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2"/>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121" i="43" s="1"/>
  <c r="A360" i="43"/>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<sst xmlns="http://schemas.openxmlformats.org/spreadsheetml/2006/main" count="311" uniqueCount="164">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</sst>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77416848"/>
        <c:axId val="57742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77416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25864"/>
        <c:crossesAt val="-8.0000000000000019E-3"/>
        <c:crossBetween val="midCat"/>
      </c:valAx>
      <c:valAx>
        <c:axId val="57742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168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7974600"/>
        <c:axId val="477980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7974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80872"/>
        <c:crosses val="autoZero"/>
        <c:crossBetween val="midCat"/>
      </c:valAx>
      <c:valAx>
        <c:axId val="4779808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746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79706176"/>
        <c:axId val="429181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7970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9181696"/>
        <c:crosses val="autoZero"/>
        <c:crossBetween val="midCat"/>
        <c:majorUnit val="10000"/>
      </c:valAx>
      <c:valAx>
        <c:axId val="42918169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7061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04818608"/>
        <c:axId val="6048170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86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7040"/>
        <c:crosses val="autoZero"/>
        <c:crossBetween val="midCat"/>
        <c:majorUnit val="10000"/>
      </c:valAx>
      <c:valAx>
        <c:axId val="6048170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860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04810376"/>
        <c:axId val="60481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03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9000"/>
        <c:crosses val="autoZero"/>
        <c:crossBetween val="midCat"/>
        <c:majorUnit val="10000"/>
      </c:valAx>
      <c:valAx>
        <c:axId val="60481900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37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4.9700383471089774E-3</c:v>
                </c:pt>
                <c:pt idx="1">
                  <c:v>4.9600449589802236E-3</c:v>
                </c:pt>
                <c:pt idx="2">
                  <c:v>4.9654015087502654E-3</c:v>
                </c:pt>
                <c:pt idx="3">
                  <c:v>4.9667821226971878E-3</c:v>
                </c:pt>
                <c:pt idx="4">
                  <c:v>4.9671716833901043E-3</c:v>
                </c:pt>
                <c:pt idx="5">
                  <c:v>4.9672842001603898E-3</c:v>
                </c:pt>
                <c:pt idx="6">
                  <c:v>4.967245989355505E-3</c:v>
                </c:pt>
                <c:pt idx="7">
                  <c:v>4.9664543116488295E-3</c:v>
                </c:pt>
                <c:pt idx="8">
                  <c:v>4.9584746161832564E-3</c:v>
                </c:pt>
                <c:pt idx="9">
                  <c:v>4.8819180934721656E-3</c:v>
                </c:pt>
                <c:pt idx="10">
                  <c:v>4.3349940495318552E-3</c:v>
                </c:pt>
                <c:pt idx="11">
                  <c:v>4.1030015847446613E-4</c:v>
                </c:pt>
                <c:pt idx="12">
                  <c:v>4.4606282278350983E-3</c:v>
                </c:pt>
                <c:pt idx="13">
                  <c:v>9.2639502343103662E-3</c:v>
                </c:pt>
                <c:pt idx="14">
                  <c:v>1.5580924950078984E-2</c:v>
                </c:pt>
                <c:pt idx="15">
                  <c:v>2.0420152103887382E-2</c:v>
                </c:pt>
                <c:pt idx="16">
                  <c:v>2.4837457442471355E-2</c:v>
                </c:pt>
                <c:pt idx="17">
                  <c:v>7.529024982961879E-3</c:v>
                </c:pt>
                <c:pt idx="18">
                  <c:v>7.574561671881043E-2</c:v>
                </c:pt>
                <c:pt idx="19">
                  <c:v>0.201565726251281</c:v>
                </c:pt>
                <c:pt idx="20">
                  <c:v>0.31788372151231742</c:v>
                </c:pt>
                <c:pt idx="21">
                  <c:v>0.40631929807041195</c:v>
                </c:pt>
                <c:pt idx="22">
                  <c:v>0.46719141391576907</c:v>
                </c:pt>
                <c:pt idx="23">
                  <c:v>0.51087982552774536</c:v>
                </c:pt>
                <c:pt idx="24">
                  <c:v>0.54780151013982237</c:v>
                </c:pt>
                <c:pt idx="25">
                  <c:v>0.58819108645776186</c:v>
                </c:pt>
                <c:pt idx="26">
                  <c:v>0.62885787379684877</c:v>
                </c:pt>
                <c:pt idx="27">
                  <c:v>0.66044513831409324</c:v>
                </c:pt>
                <c:pt idx="28">
                  <c:v>0.67626007639444274</c:v>
                </c:pt>
                <c:pt idx="29">
                  <c:v>0.68250041588904387</c:v>
                </c:pt>
                <c:pt idx="30">
                  <c:v>0.68861837605887821</c:v>
                </c:pt>
              </c:numCache>
            </c:numRef>
          </c:yVal>
          <c:smooth val="1"/>
        </c:ser>
        <c:dLbls>
          <c:showLegendKey val="0"/>
          <c:showVal val="0"/>
          <c:showCatName val="0"/>
          <c:showSerName val="0"/>
          <c:showPercent val="0"/>
          <c:showBubbleSize val="0"/>
        </c:dLbls>
        <c:axId val="604810768"/>
        <c:axId val="604817432"/>
      </c:scatterChart>
      <c:valAx>
        <c:axId val="604810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432"/>
        <c:crossesAt val="-1.5000000000000005E-3"/>
        <c:crossBetween val="midCat"/>
      </c:valAx>
      <c:valAx>
        <c:axId val="604817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7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7323.4600298283904</c:v>
                </c:pt>
                <c:pt idx="1">
                  <c:v>7323.4600298005989</c:v>
                </c:pt>
                <c:pt idx="2">
                  <c:v>7323.4600295226819</c:v>
                </c:pt>
                <c:pt idx="3">
                  <c:v>7323.4600267435153</c:v>
                </c:pt>
                <c:pt idx="4">
                  <c:v>7323.4599989518529</c:v>
                </c:pt>
                <c:pt idx="5">
                  <c:v>7323.4597210356251</c:v>
                </c:pt>
                <c:pt idx="6">
                  <c:v>7323.4569419139134</c:v>
                </c:pt>
                <c:pt idx="7">
                  <c:v>7323.4291547536041</c:v>
                </c:pt>
                <c:pt idx="8">
                  <c:v>7323.1516876753967</c:v>
                </c:pt>
                <c:pt idx="9">
                  <c:v>7320.4163466406462</c:v>
                </c:pt>
                <c:pt idx="10">
                  <c:v>7296.1231113129288</c:v>
                </c:pt>
                <c:pt idx="11">
                  <c:v>7156.5830233705274</c:v>
                </c:pt>
                <c:pt idx="12">
                  <c:v>6980.7195017811891</c:v>
                </c:pt>
                <c:pt idx="13">
                  <c:v>6791.2686196139612</c:v>
                </c:pt>
                <c:pt idx="14">
                  <c:v>6563.4535295058458</c:v>
                </c:pt>
                <c:pt idx="15">
                  <c:v>6326.0025590677196</c:v>
                </c:pt>
                <c:pt idx="16">
                  <c:v>6043.218317879172</c:v>
                </c:pt>
                <c:pt idx="17">
                  <c:v>5685.5537366046701</c:v>
                </c:pt>
                <c:pt idx="18">
                  <c:v>5281.2770243993336</c:v>
                </c:pt>
                <c:pt idx="19">
                  <c:v>4871.9712423989977</c:v>
                </c:pt>
                <c:pt idx="20">
                  <c:v>4460.6906983272338</c:v>
                </c:pt>
                <c:pt idx="21">
                  <c:v>4033.0608893799945</c:v>
                </c:pt>
                <c:pt idx="22">
                  <c:v>3512.3417543746273</c:v>
                </c:pt>
                <c:pt idx="23">
                  <c:v>2905.4894031925942</c:v>
                </c:pt>
                <c:pt idx="24">
                  <c:v>2218.0401317308842</c:v>
                </c:pt>
                <c:pt idx="25">
                  <c:v>1474.4329245094293</c:v>
                </c:pt>
                <c:pt idx="26">
                  <c:v>880.84980393830608</c:v>
                </c:pt>
                <c:pt idx="27">
                  <c:v>501.63408805801805</c:v>
                </c:pt>
                <c:pt idx="28">
                  <c:v>281.53806590019394</c:v>
                </c:pt>
                <c:pt idx="29">
                  <c:v>194.42282192286515</c:v>
                </c:pt>
                <c:pt idx="30">
                  <c:v>169.75942845818702</c:v>
                </c:pt>
              </c:numCache>
            </c:numRef>
          </c:yVal>
          <c:smooth val="1"/>
        </c:ser>
        <c:dLbls>
          <c:showLegendKey val="0"/>
          <c:showVal val="0"/>
          <c:showCatName val="0"/>
          <c:showSerName val="0"/>
          <c:showPercent val="0"/>
          <c:showBubbleSize val="0"/>
        </c:dLbls>
        <c:axId val="604813904"/>
        <c:axId val="604811160"/>
      </c:scatterChart>
      <c:valAx>
        <c:axId val="6048139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160"/>
        <c:crosses val="autoZero"/>
        <c:crossBetween val="midCat"/>
      </c:valAx>
      <c:valAx>
        <c:axId val="604811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39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1.4668900526915926E-2</c:v>
                </c:pt>
                <c:pt idx="1">
                  <c:v>1.5054486520981746E-2</c:v>
                </c:pt>
                <c:pt idx="2">
                  <c:v>1.562651744724159E-2</c:v>
                </c:pt>
                <c:pt idx="3">
                  <c:v>1.5629138934319383E-2</c:v>
                </c:pt>
                <c:pt idx="4">
                  <c:v>1.5628737190228382E-2</c:v>
                </c:pt>
                <c:pt idx="5">
                  <c:v>1.5628611645220159E-2</c:v>
                </c:pt>
                <c:pt idx="6">
                  <c:v>1.562857816675246E-2</c:v>
                </c:pt>
                <c:pt idx="7">
                  <c:v>1.5628569799151937E-2</c:v>
                </c:pt>
                <c:pt idx="8">
                  <c:v>1.5628561450163819E-2</c:v>
                </c:pt>
                <c:pt idx="9">
                  <c:v>1.5628561656969939E-2</c:v>
                </c:pt>
                <c:pt idx="10">
                  <c:v>1.562856372503163E-2</c:v>
                </c:pt>
                <c:pt idx="11">
                  <c:v>1.5628567666294155E-2</c:v>
                </c:pt>
                <c:pt idx="12">
                  <c:v>1.5628682404286887E-2</c:v>
                </c:pt>
                <c:pt idx="13">
                  <c:v>1.5629779401297592E-2</c:v>
                </c:pt>
                <c:pt idx="14">
                  <c:v>1.5640732907220626E-2</c:v>
                </c:pt>
                <c:pt idx="15">
                  <c:v>1.5748881615535337E-2</c:v>
                </c:pt>
                <c:pt idx="16">
                  <c:v>1.6711332682430254E-2</c:v>
                </c:pt>
                <c:pt idx="17">
                  <c:v>2.2147089707781623E-2</c:v>
                </c:pt>
                <c:pt idx="18">
                  <c:v>2.8972593650204999E-2</c:v>
                </c:pt>
                <c:pt idx="19">
                  <c:v>3.0870715793274956E-2</c:v>
                </c:pt>
                <c:pt idx="20">
                  <c:v>2.146824696093801E-2</c:v>
                </c:pt>
                <c:pt idx="21">
                  <c:v>5.0630201975916625E-2</c:v>
                </c:pt>
                <c:pt idx="22">
                  <c:v>0.18710327995016948</c:v>
                </c:pt>
                <c:pt idx="23">
                  <c:v>0.32730824032858596</c:v>
                </c:pt>
                <c:pt idx="24">
                  <c:v>0.42891053382474986</c:v>
                </c:pt>
                <c:pt idx="25">
                  <c:v>0.48772918289813066</c:v>
                </c:pt>
                <c:pt idx="26">
                  <c:v>0.52196299770531307</c:v>
                </c:pt>
                <c:pt idx="27">
                  <c:v>0.52962641358605833</c:v>
                </c:pt>
                <c:pt idx="28">
                  <c:v>0.54442419716354817</c:v>
                </c:pt>
                <c:pt idx="29">
                  <c:v>0.52667293209658239</c:v>
                </c:pt>
                <c:pt idx="30">
                  <c:v>0.5053275410599557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4.9700383471089774E-3</c:v>
                </c:pt>
                <c:pt idx="1">
                  <c:v>4.960044958979724E-3</c:v>
                </c:pt>
                <c:pt idx="2">
                  <c:v>4.9654015087446492E-3</c:v>
                </c:pt>
                <c:pt idx="3">
                  <c:v>4.9667821226402767E-3</c:v>
                </c:pt>
                <c:pt idx="4">
                  <c:v>4.9671716828209884E-3</c:v>
                </c:pt>
                <c:pt idx="5">
                  <c:v>4.967284194469606E-3</c:v>
                </c:pt>
                <c:pt idx="6">
                  <c:v>4.9672459324496465E-3</c:v>
                </c:pt>
                <c:pt idx="7">
                  <c:v>4.9664537427384272E-3</c:v>
                </c:pt>
                <c:pt idx="8">
                  <c:v>4.9584689419481199E-3</c:v>
                </c:pt>
                <c:pt idx="9">
                  <c:v>4.8818627770252938E-3</c:v>
                </c:pt>
                <c:pt idx="10">
                  <c:v>4.3345397798368731E-3</c:v>
                </c:pt>
                <c:pt idx="11">
                  <c:v>4.0844303850928797E-4</c:v>
                </c:pt>
                <c:pt idx="12">
                  <c:v>4.462021965530626E-3</c:v>
                </c:pt>
                <c:pt idx="13">
                  <c:v>9.2659971369816446E-3</c:v>
                </c:pt>
                <c:pt idx="14">
                  <c:v>1.5582974520471542E-2</c:v>
                </c:pt>
                <c:pt idx="15">
                  <c:v>2.042239955281993E-2</c:v>
                </c:pt>
                <c:pt idx="16">
                  <c:v>2.4840444058549922E-2</c:v>
                </c:pt>
                <c:pt idx="17">
                  <c:v>7.5327387963760083E-3</c:v>
                </c:pt>
                <c:pt idx="18">
                  <c:v>7.5741275721681031E-2</c:v>
                </c:pt>
                <c:pt idx="19">
                  <c:v>0.20156068533490135</c:v>
                </c:pt>
                <c:pt idx="20">
                  <c:v>0.31787732615151831</c:v>
                </c:pt>
                <c:pt idx="21">
                  <c:v>0.40631213583559478</c:v>
                </c:pt>
                <c:pt idx="22">
                  <c:v>0.4671756675053283</c:v>
                </c:pt>
                <c:pt idx="23">
                  <c:v>0.51085838885929069</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1.2467513416298362E-2</c:v>
                </c:pt>
                <c:pt idx="1">
                  <c:v>1.2457723888702914E-2</c:v>
                </c:pt>
                <c:pt idx="2">
                  <c:v>1.2464484531975321E-2</c:v>
                </c:pt>
                <c:pt idx="3">
                  <c:v>1.247969153881248E-2</c:v>
                </c:pt>
                <c:pt idx="4">
                  <c:v>1.261963824801029E-2</c:v>
                </c:pt>
                <c:pt idx="5">
                  <c:v>1.3806285818740159E-2</c:v>
                </c:pt>
                <c:pt idx="6">
                  <c:v>8.5016445208594537E-3</c:v>
                </c:pt>
                <c:pt idx="7">
                  <c:v>6.0227166694459518E-3</c:v>
                </c:pt>
                <c:pt idx="8">
                  <c:v>3.5868941532460899E-4</c:v>
                </c:pt>
                <c:pt idx="9">
                  <c:v>2.9767850745185042E-3</c:v>
                </c:pt>
                <c:pt idx="10">
                  <c:v>9.9735257762093351E-3</c:v>
                </c:pt>
                <c:pt idx="11">
                  <c:v>1.6755906433422649E-2</c:v>
                </c:pt>
                <c:pt idx="12">
                  <c:v>3.2472122809528298E-2</c:v>
                </c:pt>
                <c:pt idx="13">
                  <c:v>5.6450359262437112E-2</c:v>
                </c:pt>
                <c:pt idx="14">
                  <c:v>7.8510900610384932E-2</c:v>
                </c:pt>
                <c:pt idx="15">
                  <c:v>9.9134243566778441E-2</c:v>
                </c:pt>
                <c:pt idx="16">
                  <c:v>8.4251790244135413E-2</c:v>
                </c:pt>
                <c:pt idx="17">
                  <c:v>1.8654078524758151E-2</c:v>
                </c:pt>
                <c:pt idx="18">
                  <c:v>0.11162957479835522</c:v>
                </c:pt>
                <c:pt idx="19">
                  <c:v>0.25807946547270522</c:v>
                </c:pt>
                <c:pt idx="20">
                  <c:v>0.36190708790275561</c:v>
                </c:pt>
                <c:pt idx="21">
                  <c:v>0.49736531112961208</c:v>
                </c:pt>
                <c:pt idx="22">
                  <c:v>0.56438892092287396</c:v>
                </c:pt>
                <c:pt idx="23">
                  <c:v>0.61820846044512534</c:v>
                </c:pt>
                <c:pt idx="24">
                  <c:v>0.61360446783257783</c:v>
                </c:pt>
                <c:pt idx="25">
                  <c:v>0.62705766472525892</c:v>
                </c:pt>
                <c:pt idx="26">
                  <c:v>0.18890138622338004</c:v>
                </c:pt>
                <c:pt idx="27">
                  <c:v>4.0533763037012213E-2</c:v>
                </c:pt>
                <c:pt idx="28">
                  <c:v>5.6509219828440621E-2</c:v>
                </c:pt>
                <c:pt idx="29">
                  <c:v>5.6756740844343213E-2</c:v>
                </c:pt>
                <c:pt idx="30">
                  <c:v>6.7386738516745537E-2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1.4056312828337989E-4</c:v>
                </c:pt>
                <c:pt idx="1">
                  <c:v>1.7868377405467295E-3</c:v>
                </c:pt>
                <c:pt idx="2">
                  <c:v>2.1138883975488187E-2</c:v>
                </c:pt>
                <c:pt idx="3">
                  <c:v>4.5892242132099297E-2</c:v>
                </c:pt>
                <c:pt idx="4">
                  <c:v>6.7430675506290796E-2</c:v>
                </c:pt>
                <c:pt idx="5">
                  <c:v>8.9337704403980991E-2</c:v>
                </c:pt>
                <c:pt idx="6">
                  <c:v>9.0601518069074974E-2</c:v>
                </c:pt>
                <c:pt idx="7">
                  <c:v>0.1119788373119152</c:v>
                </c:pt>
                <c:pt idx="8">
                  <c:v>0.11993482043567394</c:v>
                </c:pt>
                <c:pt idx="9">
                  <c:v>0.10977361871630208</c:v>
                </c:pt>
                <c:pt idx="10">
                  <c:v>0.13625571044998377</c:v>
                </c:pt>
                <c:pt idx="11">
                  <c:v>0.12254915394760039</c:v>
                </c:pt>
                <c:pt idx="12">
                  <c:v>0.146840438119134</c:v>
                </c:pt>
                <c:pt idx="13">
                  <c:v>0.19296068484701548</c:v>
                </c:pt>
                <c:pt idx="14">
                  <c:v>0.21655098330421282</c:v>
                </c:pt>
                <c:pt idx="15">
                  <c:v>0.24979005288703826</c:v>
                </c:pt>
                <c:pt idx="16">
                  <c:v>0.48229663681090268</c:v>
                </c:pt>
                <c:pt idx="17">
                  <c:v>0.43256180533903027</c:v>
                </c:pt>
                <c:pt idx="18">
                  <c:v>0.32262134194747022</c:v>
                </c:pt>
                <c:pt idx="19">
                  <c:v>0.20810303960505361</c:v>
                </c:pt>
                <c:pt idx="20">
                  <c:v>0.11795832006569215</c:v>
                </c:pt>
                <c:pt idx="21">
                  <c:v>5.432734234378897E-2</c:v>
                </c:pt>
                <c:pt idx="22">
                  <c:v>1.1431652866090101E-2</c:v>
                </c:pt>
                <c:pt idx="23">
                  <c:v>1.7672280167980958E-2</c:v>
                </c:pt>
                <c:pt idx="24">
                  <c:v>3.720272379111924E-2</c:v>
                </c:pt>
                <c:pt idx="25">
                  <c:v>4.7610932939525757E-2</c:v>
                </c:pt>
                <c:pt idx="26">
                  <c:v>5.0384225817302189E-2</c:v>
                </c:pt>
                <c:pt idx="27">
                  <c:v>6.1415544613485758E-2</c:v>
                </c:pt>
                <c:pt idx="28">
                  <c:v>6.159244447972418E-2</c:v>
                </c:pt>
                <c:pt idx="29">
                  <c:v>6.9092022824169513E-2</c:v>
                </c:pt>
                <c:pt idx="30">
                  <c:v>7.1994286598883322E-2</c:v>
                </c:pt>
              </c:numCache>
            </c:numRef>
          </c:yVal>
          <c:smooth val="1"/>
        </c:ser>
        <c:dLbls>
          <c:showLegendKey val="0"/>
          <c:showVal val="0"/>
          <c:showCatName val="0"/>
          <c:showSerName val="0"/>
          <c:showPercent val="0"/>
          <c:showBubbleSize val="0"/>
        </c:dLbls>
        <c:axId val="604811944"/>
        <c:axId val="604817824"/>
      </c:scatterChart>
      <c:valAx>
        <c:axId val="604811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824"/>
        <c:crossesAt val="1.0000000000000005E-9"/>
        <c:crossBetween val="midCat"/>
      </c:valAx>
      <c:valAx>
        <c:axId val="60481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9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604812728"/>
        <c:axId val="604818216"/>
      </c:scatterChart>
      <c:valAx>
        <c:axId val="604812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8216"/>
        <c:crossesAt val="-100"/>
        <c:crossBetween val="midCat"/>
      </c:valAx>
      <c:valAx>
        <c:axId val="604818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2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604815080"/>
        <c:axId val="604808808"/>
      </c:scatterChart>
      <c:valAx>
        <c:axId val="6048150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8808"/>
        <c:crosses val="autoZero"/>
        <c:crossBetween val="midCat"/>
      </c:valAx>
      <c:valAx>
        <c:axId val="604808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0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09200"/>
        <c:axId val="604807240"/>
      </c:scatterChart>
      <c:valAx>
        <c:axId val="604809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7240"/>
        <c:crosses val="autoZero"/>
        <c:crossBetween val="midCat"/>
      </c:valAx>
      <c:valAx>
        <c:axId val="604807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14688"/>
        <c:axId val="604815864"/>
      </c:scatterChart>
      <c:valAx>
        <c:axId val="6048146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864"/>
        <c:crosses val="autoZero"/>
        <c:crossBetween val="midCat"/>
      </c:valAx>
      <c:valAx>
        <c:axId val="60481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46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604815472"/>
        <c:axId val="604809592"/>
      </c:scatterChart>
      <c:valAx>
        <c:axId val="6048154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592"/>
        <c:crossesAt val="-1000"/>
        <c:crossBetween val="midCat"/>
      </c:valAx>
      <c:valAx>
        <c:axId val="604809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4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tabSelected="1"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3: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28"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7287.2421568641066</v>
      </c>
      <c r="G16" s="26">
        <f>INDEX(Comparison!$AM$3:$AS$33,G14,$B$3)</f>
        <v>7287.3146216469959</v>
      </c>
      <c r="H16" s="26">
        <f>INDEX(Comparison!$AM$3:$AS$33,H14,$B$3)</f>
        <v>7287.2757793731034</v>
      </c>
      <c r="I16" s="26">
        <f>INDEX(Comparison!$AM$3:$AS$33,I14,$B$3)</f>
        <v>7287.2657654165014</v>
      </c>
      <c r="J16" s="26">
        <f>INDEX(Comparison!$AM$3:$AS$33,J14,$B$3)</f>
        <v>7287.2629129611732</v>
      </c>
      <c r="K16" s="26">
        <f>INDEX(Comparison!$AM$3:$AS$33,K14,$B$3)</f>
        <v>7287.2618205320641</v>
      </c>
      <c r="L16" s="26">
        <f>INDEX(Comparison!$AM$3:$AS$33,L14,$B$3)</f>
        <v>7287.2593322225375</v>
      </c>
      <c r="M16" s="26">
        <f>INDEX(Comparison!$AM$3:$AS$33,M14,$B$3)</f>
        <v>7287.2374230339683</v>
      </c>
      <c r="N16" s="26">
        <f>INDEX(Comparison!$AM$3:$AS$33,N14,$B$3)</f>
        <v>7287.0191880040384</v>
      </c>
      <c r="O16" s="26">
        <f>INDEX(Comparison!$AM$3:$AS$33,O14,$B$3)</f>
        <v>7284.8522944162632</v>
      </c>
      <c r="P16" s="26">
        <f>INDEX(Comparison!$AM$3:$AS$33,P14,$B$3)</f>
        <v>7264.6309792458533</v>
      </c>
      <c r="Q16" s="26">
        <f>INDEX(Comparison!$AM$3:$AS$33,Q14,$B$3)</f>
        <v>7153.647880511483</v>
      </c>
      <c r="R16" s="26">
        <f>INDEX(Comparison!$AM$3:$AS$33,R14,$B$3)</f>
        <v>7011.9974153857656</v>
      </c>
      <c r="S16" s="26">
        <f>INDEX(Comparison!$AM$3:$AS$33,S14,$B$3)</f>
        <v>6854.7708758756735</v>
      </c>
      <c r="T16" s="26">
        <f>INDEX(Comparison!$AM$3:$AS$33,T14,$B$3)</f>
        <v>6667.3368038637464</v>
      </c>
      <c r="U16" s="26">
        <f>INDEX(Comparison!$AM$3:$AS$33,U14,$B$3)</f>
        <v>6457.8733144157241</v>
      </c>
      <c r="V16" s="26">
        <f>INDEX(Comparison!$AM$3:$AS$33,V14,$B$3)</f>
        <v>6197.1395066404111</v>
      </c>
      <c r="W16" s="26">
        <f>INDEX(Comparison!$AM$3:$AS$33,W14,$B$3)</f>
        <v>5728.6851502202007</v>
      </c>
      <c r="X16" s="26">
        <f>INDEX(Comparison!$AM$3:$AS$33,X14,$B$3)</f>
        <v>4909.4106843846976</v>
      </c>
      <c r="Y16" s="26">
        <f>INDEX(Comparison!$AM$3:$AS$33,Y14,$B$3)</f>
        <v>4054.6855956010618</v>
      </c>
      <c r="Z16" s="26">
        <f>INDEX(Comparison!$AM$3:$AS$33,Z14,$B$3)</f>
        <v>3384.7376862720757</v>
      </c>
      <c r="AA16" s="26">
        <f>INDEX(Comparison!$AM$3:$AS$33,AA14,$B$3)</f>
        <v>2867.8130883318549</v>
      </c>
      <c r="AB16" s="26">
        <f>INDEX(Comparison!$AM$3:$AS$33,AB14,$B$3)</f>
        <v>2393.9219661874804</v>
      </c>
      <c r="AC16" s="26">
        <f>INDEX(Comparison!$AM$3:$AS$33,AC14,$B$3)</f>
        <v>1923.0446750969861</v>
      </c>
      <c r="AD16" s="26">
        <f>INDEX(Comparison!$AM$3:$AS$33,AD14,$B$3)</f>
        <v>1433.0262098856042</v>
      </c>
      <c r="AE16" s="26">
        <f>INDEX(Comparison!$AM$3:$AS$33,AE14,$B$3)</f>
        <v>928.3724969127901</v>
      </c>
      <c r="AF16" s="26">
        <f>INDEX(Comparison!$AM$3:$AS$33,AF14,$B$3)</f>
        <v>540.77757065756475</v>
      </c>
      <c r="AG16" s="26">
        <f>INDEX(Comparison!$AM$3:$AS$33,AG14,$B$3)</f>
        <v>302.10819766520217</v>
      </c>
      <c r="AH16" s="26">
        <f>INDEX(Comparison!$AM$3:$AS$33,AH14,$B$3)</f>
        <v>167.95607666429018</v>
      </c>
      <c r="AI16" s="26">
        <f>INDEX(Comparison!$AM$3:$AS$33,AI14,$B$3)</f>
        <v>115.55588342611547</v>
      </c>
      <c r="AJ16" s="26">
        <f>INDEX(Comparison!$AM$3:$AS$33,AJ14,$B$3)</f>
        <v>100.53155340781859</v>
      </c>
    </row>
    <row r="17" spans="1:36" x14ac:dyDescent="0.25">
      <c r="A17" s="14" t="s">
        <v>20</v>
      </c>
      <c r="B17" s="105">
        <v>1.6109766939938219E-2</v>
      </c>
      <c r="C17" s="18">
        <f t="shared" ref="C17:C48" si="3">ABS(B17/$B$49)</f>
        <v>1.3147853577774735E-2</v>
      </c>
      <c r="D17" s="66"/>
      <c r="E17" s="65" t="s">
        <v>22</v>
      </c>
      <c r="F17" s="27">
        <f>($C$17+SUM(F18:F48))*$B$51</f>
        <v>7323.4600298283904</v>
      </c>
      <c r="G17" s="27">
        <f t="shared" ref="G17:M17" si="4">($C$17+SUM(G18:G48))*$B$51</f>
        <v>7323.4600298005989</v>
      </c>
      <c r="H17" s="27">
        <f t="shared" si="4"/>
        <v>7323.4600295226819</v>
      </c>
      <c r="I17" s="27">
        <f t="shared" si="4"/>
        <v>7323.4600267435153</v>
      </c>
      <c r="J17" s="27">
        <f t="shared" si="4"/>
        <v>7323.4599989518529</v>
      </c>
      <c r="K17" s="27">
        <f t="shared" si="4"/>
        <v>7323.4597210356251</v>
      </c>
      <c r="L17" s="27">
        <f t="shared" si="4"/>
        <v>7323.4569419139134</v>
      </c>
      <c r="M17" s="27">
        <f t="shared" si="4"/>
        <v>7323.4291547536041</v>
      </c>
      <c r="N17" s="27">
        <f t="shared" ref="N17" si="5">($C$17+SUM(N18:N48))*$B$51</f>
        <v>7323.1516876753967</v>
      </c>
      <c r="O17" s="27">
        <f t="shared" ref="O17" si="6">($C$17+SUM(O18:O48))*$B$51</f>
        <v>7320.4163466406462</v>
      </c>
      <c r="P17" s="27">
        <f t="shared" ref="P17" si="7">($C$17+SUM(P18:P48))*$B$51</f>
        <v>7296.1231113129288</v>
      </c>
      <c r="Q17" s="27">
        <f t="shared" ref="Q17" si="8">($C$17+SUM(Q18:Q48))*$B$51</f>
        <v>7156.5830233705274</v>
      </c>
      <c r="R17" s="27">
        <f t="shared" ref="R17" si="9">($C$17+SUM(R18:R48))*$B$51</f>
        <v>6980.7195017811891</v>
      </c>
      <c r="S17" s="27">
        <f t="shared" ref="S17:T17" si="10">($C$17+SUM(S18:S48))*$B$51</f>
        <v>6791.2686196139612</v>
      </c>
      <c r="T17" s="27">
        <f t="shared" si="10"/>
        <v>6563.4535295058458</v>
      </c>
      <c r="U17" s="27">
        <f t="shared" ref="U17" si="11">($C$17+SUM(U18:U48))*$B$51</f>
        <v>6326.0025590677196</v>
      </c>
      <c r="V17" s="27">
        <f t="shared" ref="V17" si="12">($C$17+SUM(V18:V48))*$B$51</f>
        <v>6043.218317879172</v>
      </c>
      <c r="W17" s="27">
        <f t="shared" ref="W17" si="13">($C$17+SUM(W18:W48))*$B$51</f>
        <v>5685.5537366046701</v>
      </c>
      <c r="X17" s="27">
        <f t="shared" ref="X17" si="14">($C$17+SUM(X18:X48))*$B$51</f>
        <v>5281.2770243993336</v>
      </c>
      <c r="Y17" s="27">
        <f t="shared" ref="Y17" si="15">($C$17+SUM(Y18:Y48))*$B$51</f>
        <v>4871.9712423989977</v>
      </c>
      <c r="Z17" s="27">
        <f t="shared" ref="Z17:AA17" si="16">($C$17+SUM(Z18:Z48))*$B$51</f>
        <v>4460.6906983272338</v>
      </c>
      <c r="AA17" s="27">
        <f t="shared" si="16"/>
        <v>4033.0608893799945</v>
      </c>
      <c r="AB17" s="27">
        <f t="shared" ref="AB17" si="17">($C$17+SUM(AB18:AB48))*$B$51</f>
        <v>3512.3417543746273</v>
      </c>
      <c r="AC17" s="27">
        <f t="shared" ref="AC17" si="18">($C$17+SUM(AC18:AC48))*$B$51</f>
        <v>2905.4894031925942</v>
      </c>
      <c r="AD17" s="27">
        <f t="shared" ref="AD17" si="19">($C$17+SUM(AD18:AD48))*$B$51</f>
        <v>2218.0401317308842</v>
      </c>
      <c r="AE17" s="27">
        <f t="shared" ref="AE17" si="20">($C$17+SUM(AE18:AE48))*$B$51</f>
        <v>1474.4329245094293</v>
      </c>
      <c r="AF17" s="27">
        <f t="shared" ref="AF17" si="21">($C$17+SUM(AF18:AF48))*$B$51</f>
        <v>880.84980393830608</v>
      </c>
      <c r="AG17" s="27">
        <f t="shared" ref="AG17:AH17" si="22">($C$17+SUM(AG18:AG48))*$B$51</f>
        <v>501.63408805801805</v>
      </c>
      <c r="AH17" s="27">
        <f t="shared" si="22"/>
        <v>281.53806590019394</v>
      </c>
      <c r="AI17" s="27">
        <f t="shared" ref="AI17" si="23">($C$17+SUM(AI18:AI48))*$B$51</f>
        <v>194.42282192286515</v>
      </c>
      <c r="AJ17" s="27">
        <f t="shared" ref="AJ17" si="24">($C$17+SUM(AJ18:AJ48))*$B$51</f>
        <v>169.75942845818702</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-36.217872964283742</v>
      </c>
      <c r="G49" s="3">
        <f t="shared" si="31"/>
        <v>-36.145408153603057</v>
      </c>
      <c r="H49" s="3">
        <f t="shared" si="31"/>
        <v>-36.184250149578475</v>
      </c>
      <c r="I49" s="3">
        <f t="shared" si="31"/>
        <v>-36.194261327013919</v>
      </c>
      <c r="J49" s="3">
        <f t="shared" si="31"/>
        <v>-36.197085990679625</v>
      </c>
      <c r="K49" s="3">
        <f t="shared" si="31"/>
        <v>-36.197900503560959</v>
      </c>
      <c r="L49" s="3">
        <f t="shared" si="31"/>
        <v>-36.197609691375874</v>
      </c>
      <c r="M49" s="3">
        <f t="shared" si="31"/>
        <v>-36.191731719635754</v>
      </c>
      <c r="N49" s="3">
        <f t="shared" si="31"/>
        <v>-36.132499671358346</v>
      </c>
      <c r="O49" s="3">
        <f t="shared" si="31"/>
        <v>-35.564052224382976</v>
      </c>
      <c r="P49" s="3">
        <f t="shared" si="31"/>
        <v>-31.492132067075545</v>
      </c>
      <c r="Q49" s="3">
        <f t="shared" si="31"/>
        <v>-2.9351428590443902</v>
      </c>
      <c r="R49" s="3">
        <f t="shared" si="31"/>
        <v>31.277913604576497</v>
      </c>
      <c r="S49" s="3">
        <f t="shared" si="31"/>
        <v>63.502256261712319</v>
      </c>
      <c r="T49" s="3">
        <f t="shared" si="31"/>
        <v>103.88327435790052</v>
      </c>
      <c r="U49" s="3">
        <f t="shared" si="31"/>
        <v>131.87075534800442</v>
      </c>
      <c r="V49" s="3">
        <f t="shared" si="31"/>
        <v>153.92118876123914</v>
      </c>
      <c r="W49" s="3">
        <f t="shared" si="31"/>
        <v>43.131413615530619</v>
      </c>
      <c r="X49" s="3">
        <f t="shared" si="31"/>
        <v>-371.86634001463608</v>
      </c>
      <c r="Y49" s="3">
        <f t="shared" si="31"/>
        <v>-817.2856467979359</v>
      </c>
      <c r="Z49" s="3">
        <f t="shared" si="31"/>
        <v>-1075.9530120551581</v>
      </c>
      <c r="AA49" s="3">
        <f t="shared" si="31"/>
        <v>-1165.2478010481395</v>
      </c>
      <c r="AB49" s="3">
        <f t="shared" si="31"/>
        <v>-1118.4197881871469</v>
      </c>
      <c r="AC49" s="3">
        <f t="shared" si="31"/>
        <v>-982.44472809560807</v>
      </c>
      <c r="AD49" s="3">
        <f t="shared" si="31"/>
        <v>-785.01392184528004</v>
      </c>
      <c r="AE49" s="3">
        <f t="shared" si="31"/>
        <v>-546.06042759663922</v>
      </c>
      <c r="AF49" s="3">
        <f t="shared" si="31"/>
        <v>-340.07223328074133</v>
      </c>
      <c r="AG49" s="3">
        <f t="shared" si="31"/>
        <v>-199.52589039281588</v>
      </c>
      <c r="AH49" s="3">
        <f t="shared" si="31"/>
        <v>-113.58198923590376</v>
      </c>
      <c r="AI49" s="3">
        <f t="shared" si="31"/>
        <v>-78.866938496749682</v>
      </c>
      <c r="AJ49" s="3">
        <f t="shared" si="31"/>
        <v>-69.227875050368425</v>
      </c>
    </row>
    <row r="50" spans="1:36" x14ac:dyDescent="0.25">
      <c r="F50" s="57">
        <f t="shared" ref="F50:AJ50" si="32">F49/F17</f>
        <v>-4.9454592251160865E-3</v>
      </c>
      <c r="G50" s="57">
        <f t="shared" si="32"/>
        <v>-4.9355643379659728E-3</v>
      </c>
      <c r="H50" s="57">
        <f t="shared" si="32"/>
        <v>-4.9408681147587062E-3</v>
      </c>
      <c r="I50" s="57">
        <f t="shared" si="32"/>
        <v>-4.9422351176685855E-3</v>
      </c>
      <c r="J50" s="57">
        <f t="shared" si="32"/>
        <v>-4.9426208371261974E-3</v>
      </c>
      <c r="K50" s="57">
        <f t="shared" si="32"/>
        <v>-4.9427322443772711E-3</v>
      </c>
      <c r="L50" s="57">
        <f t="shared" si="32"/>
        <v>-4.9426944103689897E-3</v>
      </c>
      <c r="M50" s="57">
        <f t="shared" si="32"/>
        <v>-4.9419105387458915E-3</v>
      </c>
      <c r="N50" s="57">
        <f t="shared" si="32"/>
        <v>-4.9340094555419432E-3</v>
      </c>
      <c r="O50" s="57">
        <f t="shared" si="32"/>
        <v>-4.8582007553031317E-3</v>
      </c>
      <c r="P50" s="57">
        <f t="shared" si="32"/>
        <v>-4.3162829884607814E-3</v>
      </c>
      <c r="Q50" s="57">
        <f t="shared" si="32"/>
        <v>-4.1013188129857388E-4</v>
      </c>
      <c r="R50" s="57">
        <f t="shared" si="32"/>
        <v>4.4806145837253128E-3</v>
      </c>
      <c r="S50" s="57">
        <f t="shared" si="32"/>
        <v>9.3505734817071629E-3</v>
      </c>
      <c r="T50" s="57">
        <f t="shared" si="32"/>
        <v>1.5827532546836172E-2</v>
      </c>
      <c r="U50" s="57">
        <f t="shared" si="32"/>
        <v>2.0845827063250284E-2</v>
      </c>
      <c r="V50" s="57">
        <f t="shared" si="32"/>
        <v>2.5470069202341308E-2</v>
      </c>
      <c r="W50" s="57">
        <f t="shared" si="32"/>
        <v>7.5861412298053607E-3</v>
      </c>
      <c r="X50" s="57">
        <f t="shared" si="32"/>
        <v>-7.041220112041563E-2</v>
      </c>
      <c r="Y50" s="57">
        <f t="shared" si="32"/>
        <v>-0.1677525597206723</v>
      </c>
      <c r="Z50" s="57">
        <f t="shared" si="32"/>
        <v>-0.24120771531158666</v>
      </c>
      <c r="AA50" s="57">
        <f t="shared" si="32"/>
        <v>-0.2889239297419271</v>
      </c>
      <c r="AB50" s="57">
        <f t="shared" si="32"/>
        <v>-0.31842567335429511</v>
      </c>
      <c r="AC50" s="57">
        <f t="shared" si="32"/>
        <v>-0.33813399113281345</v>
      </c>
      <c r="AD50" s="57">
        <f t="shared" si="32"/>
        <v>-0.3539223256671562</v>
      </c>
      <c r="AE50" s="57">
        <f t="shared" si="32"/>
        <v>-0.37035284448651568</v>
      </c>
      <c r="AF50" s="57">
        <f t="shared" si="32"/>
        <v>-0.3860728943348436</v>
      </c>
      <c r="AG50" s="57">
        <f t="shared" si="32"/>
        <v>-0.39775185766430432</v>
      </c>
      <c r="AH50" s="57">
        <f t="shared" si="32"/>
        <v>-0.40343386203473069</v>
      </c>
      <c r="AI50" s="57">
        <f t="shared" si="32"/>
        <v>-0.40564650649932016</v>
      </c>
      <c r="AJ50" s="57">
        <f t="shared" si="32"/>
        <v>-0.40779988292326136</v>
      </c>
    </row>
    <row r="51" spans="1:36" x14ac:dyDescent="0.25">
      <c r="A51" s="13" t="s">
        <v>21</v>
      </c>
      <c r="B51" s="3">
        <f>STUTT!D8</f>
        <v>7330.9827999999998</v>
      </c>
      <c r="E51" s="11" t="s">
        <v>24</v>
      </c>
      <c r="F51" s="20">
        <f t="shared" ref="F51:AJ51" si="33">(F16-F17)^2</f>
        <v>1311.7343220569953</v>
      </c>
      <c r="G51" s="20">
        <f t="shared" si="33"/>
        <v>1306.4905305905543</v>
      </c>
      <c r="H51" s="20">
        <f t="shared" si="33"/>
        <v>1309.2999588872699</v>
      </c>
      <c r="I51" s="20">
        <f t="shared" si="33"/>
        <v>1310.0245530081754</v>
      </c>
      <c r="J51" s="20">
        <f t="shared" si="33"/>
        <v>1310.2290342166552</v>
      </c>
      <c r="K51" s="20">
        <f t="shared" si="33"/>
        <v>1310.2880008656987</v>
      </c>
      <c r="L51" s="20">
        <f t="shared" si="33"/>
        <v>1310.2669473691885</v>
      </c>
      <c r="M51" s="20">
        <f t="shared" si="33"/>
        <v>1309.8414448660888</v>
      </c>
      <c r="N51" s="20">
        <f t="shared" si="33"/>
        <v>1305.557532500711</v>
      </c>
      <c r="O51" s="20">
        <f t="shared" si="33"/>
        <v>1264.8018106186398</v>
      </c>
      <c r="P51" s="20">
        <f t="shared" si="33"/>
        <v>991.75438213012785</v>
      </c>
      <c r="Q51" s="20">
        <f t="shared" si="33"/>
        <v>8.6150636029992764</v>
      </c>
      <c r="R51" s="20">
        <f t="shared" si="33"/>
        <v>978.30787945535155</v>
      </c>
      <c r="S51" s="20">
        <f t="shared" si="33"/>
        <v>4032.5365503281814</v>
      </c>
      <c r="T51" s="20">
        <f t="shared" si="33"/>
        <v>10791.734691318832</v>
      </c>
      <c r="U51" s="20">
        <f t="shared" si="33"/>
        <v>17389.896116053238</v>
      </c>
      <c r="V51" s="20">
        <f t="shared" si="33"/>
        <v>23691.73234967301</v>
      </c>
      <c r="W51" s="20">
        <f t="shared" si="33"/>
        <v>1860.3188404739801</v>
      </c>
      <c r="X51" s="20">
        <f t="shared" si="33"/>
        <v>138284.57483588092</v>
      </c>
      <c r="Y51" s="20">
        <f t="shared" si="33"/>
        <v>667955.82846192038</v>
      </c>
      <c r="Z51" s="20">
        <f t="shared" si="33"/>
        <v>1157674.8841505672</v>
      </c>
      <c r="AA51" s="20">
        <f t="shared" si="33"/>
        <v>1357802.4378475246</v>
      </c>
      <c r="AB51" s="20">
        <f t="shared" si="33"/>
        <v>1250862.8226085824</v>
      </c>
      <c r="AC51" s="20">
        <f t="shared" si="33"/>
        <v>965197.64376285323</v>
      </c>
      <c r="AD51" s="20">
        <f t="shared" si="33"/>
        <v>616246.85749090742</v>
      </c>
      <c r="AE51" s="20">
        <f t="shared" si="33"/>
        <v>298181.99058702448</v>
      </c>
      <c r="AF51" s="20">
        <f t="shared" si="33"/>
        <v>115649.12384855095</v>
      </c>
      <c r="AG51" s="20">
        <f t="shared" si="33"/>
        <v>39810.580937045976</v>
      </c>
      <c r="AH51" s="20">
        <f t="shared" si="33"/>
        <v>12900.868278784958</v>
      </c>
      <c r="AI51" s="20">
        <f t="shared" si="33"/>
        <v>6219.9939878500973</v>
      </c>
      <c r="AJ51" s="20">
        <f t="shared" si="33"/>
        <v>4792.4986839894227</v>
      </c>
    </row>
    <row r="52" spans="1:36" x14ac:dyDescent="0.25">
      <c r="A52" s="13"/>
    </row>
    <row r="53" spans="1:36" x14ac:dyDescent="0.25">
      <c r="E53" s="118" t="s">
        <v>25</v>
      </c>
      <c r="F53" s="118"/>
      <c r="G53" s="104">
        <f>SUM(F51:AJ51)</f>
        <v>6704373.5354894968</v>
      </c>
      <c r="I53" s="3">
        <f>G53+C123</f>
        <v>6704373.5354894968</v>
      </c>
      <c r="K53" s="3">
        <f>SUM(Z51:AJ51)</f>
        <v>5825339.7021836797</v>
      </c>
    </row>
    <row r="55" spans="1:36" x14ac:dyDescent="0.25">
      <c r="E55" s="30" t="s">
        <v>30</v>
      </c>
      <c r="F55" s="31">
        <f t="shared" ref="F55:AJ55" si="34">ABS(F17-F16)/F16</f>
        <v>4.9700383471089774E-3</v>
      </c>
      <c r="G55" s="31">
        <f t="shared" si="34"/>
        <v>4.9600449589802236E-3</v>
      </c>
      <c r="H55" s="31">
        <f t="shared" si="34"/>
        <v>4.9654015087502654E-3</v>
      </c>
      <c r="I55" s="31">
        <f t="shared" si="34"/>
        <v>4.9667821226971878E-3</v>
      </c>
      <c r="J55" s="31">
        <f t="shared" si="34"/>
        <v>4.9671716833901043E-3</v>
      </c>
      <c r="K55" s="31">
        <f t="shared" si="34"/>
        <v>4.9672842001603898E-3</v>
      </c>
      <c r="L55" s="31">
        <f t="shared" si="34"/>
        <v>4.967245989355505E-3</v>
      </c>
      <c r="M55" s="31">
        <f t="shared" si="34"/>
        <v>4.9664543116488295E-3</v>
      </c>
      <c r="N55" s="31">
        <f t="shared" si="34"/>
        <v>4.9584746161832564E-3</v>
      </c>
      <c r="O55" s="31">
        <f t="shared" si="34"/>
        <v>4.8819180934721656E-3</v>
      </c>
      <c r="P55" s="31">
        <f t="shared" si="34"/>
        <v>4.3349940495318552E-3</v>
      </c>
      <c r="Q55" s="31">
        <f t="shared" si="34"/>
        <v>4.1030015847446613E-4</v>
      </c>
      <c r="R55" s="31">
        <f t="shared" si="34"/>
        <v>4.4606282278350983E-3</v>
      </c>
      <c r="S55" s="31">
        <f t="shared" si="34"/>
        <v>9.2639502343103662E-3</v>
      </c>
      <c r="T55" s="31">
        <f t="shared" si="34"/>
        <v>1.5580924950078984E-2</v>
      </c>
      <c r="U55" s="31">
        <f t="shared" si="34"/>
        <v>2.0420152103887382E-2</v>
      </c>
      <c r="V55" s="31">
        <f t="shared" si="34"/>
        <v>2.4837457442471355E-2</v>
      </c>
      <c r="W55" s="31">
        <f t="shared" si="34"/>
        <v>7.529024982961879E-3</v>
      </c>
      <c r="X55" s="31">
        <f t="shared" si="34"/>
        <v>7.574561671881043E-2</v>
      </c>
      <c r="Y55" s="31">
        <f t="shared" si="34"/>
        <v>0.201565726251281</v>
      </c>
      <c r="Z55" s="31">
        <f t="shared" si="34"/>
        <v>0.31788372151231742</v>
      </c>
      <c r="AA55" s="31">
        <f t="shared" si="34"/>
        <v>0.40631929807041195</v>
      </c>
      <c r="AB55" s="31">
        <f t="shared" si="34"/>
        <v>0.46719141391576907</v>
      </c>
      <c r="AC55" s="31">
        <f t="shared" si="34"/>
        <v>0.51087982552774536</v>
      </c>
      <c r="AD55" s="31">
        <f t="shared" si="34"/>
        <v>0.54780151013982237</v>
      </c>
      <c r="AE55" s="31">
        <f t="shared" si="34"/>
        <v>0.58819108645776186</v>
      </c>
      <c r="AF55" s="31">
        <f t="shared" si="34"/>
        <v>0.62885787379684877</v>
      </c>
      <c r="AG55" s="31">
        <f t="shared" si="34"/>
        <v>0.66044513831409324</v>
      </c>
      <c r="AH55" s="31">
        <f t="shared" si="34"/>
        <v>0.67626007639444274</v>
      </c>
      <c r="AI55" s="31">
        <f t="shared" si="34"/>
        <v>0.68250041588904387</v>
      </c>
      <c r="AJ55" s="31">
        <f t="shared" si="34"/>
        <v>0.68861837605887821</v>
      </c>
    </row>
    <row r="56" spans="1:36" x14ac:dyDescent="0.25">
      <c r="E56" s="13" t="s">
        <v>31</v>
      </c>
      <c r="F56" s="32">
        <f>AVERAGE(F55:AJ55)</f>
        <v>0.2125376879686621</v>
      </c>
    </row>
    <row r="57" spans="1:36" x14ac:dyDescent="0.25">
      <c r="A57" s="42"/>
      <c r="B57" s="15"/>
      <c r="C57" s="15"/>
      <c r="D57" s="15"/>
      <c r="F57" s="60">
        <f>AVERAGE(S55:X55)</f>
        <v>2.5562854405420065E-2</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5.8033267511717544E+16</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18"/>
      <c r="B123" s="11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7330.577648070177</v>
      </c>
      <c r="C131" s="27">
        <f t="shared" ref="C131:AF131" si="40">($C$17+SUM(C132:C162))*$B$51</f>
        <v>7327.7846379671846</v>
      </c>
      <c r="D131" s="27">
        <f t="shared" si="40"/>
        <v>7323.4896827515322</v>
      </c>
      <c r="E131" s="27">
        <f t="shared" si="40"/>
        <v>7323.4600298314763</v>
      </c>
      <c r="F131" s="27">
        <f t="shared" si="40"/>
        <v>7323.4600298314617</v>
      </c>
      <c r="G131" s="27">
        <f t="shared" si="40"/>
        <v>7323.4600298313071</v>
      </c>
      <c r="H131" s="27">
        <f t="shared" si="40"/>
        <v>7323.4600298297692</v>
      </c>
      <c r="I131" s="27">
        <f t="shared" si="40"/>
        <v>7323.4600298143832</v>
      </c>
      <c r="J131" s="27">
        <f t="shared" si="40"/>
        <v>7323.4600296605249</v>
      </c>
      <c r="K131" s="27">
        <f t="shared" si="40"/>
        <v>7323.4600281219427</v>
      </c>
      <c r="L131" s="27">
        <f t="shared" si="40"/>
        <v>7323.4600127361173</v>
      </c>
      <c r="M131" s="27">
        <f t="shared" si="40"/>
        <v>7323.4598588779945</v>
      </c>
      <c r="N131" s="27">
        <f t="shared" si="40"/>
        <v>7323.4583203091897</v>
      </c>
      <c r="O131" s="27">
        <f t="shared" si="40"/>
        <v>7323.4429358646767</v>
      </c>
      <c r="P131" s="27">
        <f t="shared" si="40"/>
        <v>7323.289215576413</v>
      </c>
      <c r="Q131" s="27">
        <f t="shared" si="40"/>
        <v>7321.7642353120509</v>
      </c>
      <c r="R131" s="27">
        <f t="shared" si="40"/>
        <v>7307.5695942289267</v>
      </c>
      <c r="S131" s="27">
        <f t="shared" si="40"/>
        <v>7210.8784375491641</v>
      </c>
      <c r="T131" s="27">
        <f t="shared" si="40"/>
        <v>7019.6700665688477</v>
      </c>
      <c r="U131" s="27">
        <f t="shared" si="40"/>
        <v>6846.8990902869655</v>
      </c>
      <c r="V131" s="27">
        <f t="shared" si="40"/>
        <v>6618.0949825855632</v>
      </c>
      <c r="W131" s="27">
        <f t="shared" si="40"/>
        <v>6383.9178541594947</v>
      </c>
      <c r="X131" s="27">
        <f t="shared" si="40"/>
        <v>6117.1108397039297</v>
      </c>
      <c r="Y131" s="27">
        <f t="shared" si="40"/>
        <v>5773.0712482628514</v>
      </c>
      <c r="Z131" s="27">
        <f t="shared" si="40"/>
        <v>5373.1914846163882</v>
      </c>
      <c r="AA131" s="27">
        <f t="shared" si="40"/>
        <v>4963.7090063641535</v>
      </c>
      <c r="AB131" s="27">
        <f t="shared" si="40"/>
        <v>4558.7332719335354</v>
      </c>
      <c r="AC131" s="27">
        <f t="shared" si="40"/>
        <v>4131.2884369070034</v>
      </c>
      <c r="AD131" s="27">
        <f t="shared" si="40"/>
        <v>3677.1223243340178</v>
      </c>
      <c r="AE131" s="27">
        <f t="shared" si="40"/>
        <v>3072.3232714745363</v>
      </c>
      <c r="AF131" s="27">
        <f t="shared" si="40"/>
        <v>2402.6413014396953</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0.1444684313045565</v>
      </c>
      <c r="B163" s="80">
        <f>IF($A$64&lt;=B129,IF($B$64&gt;=B129,ABS((B131-B130)/B130),0),0)</f>
        <v>1.4668900526915926E-2</v>
      </c>
      <c r="C163" s="80">
        <f t="shared" ref="C163:AF163" si="103">IF($A$64&lt;=C129,IF($B$64&gt;=C129,ABS((C131-C130)/C130),0),0)</f>
        <v>1.5054486520981746E-2</v>
      </c>
      <c r="D163" s="80">
        <f t="shared" si="103"/>
        <v>1.562651744724159E-2</v>
      </c>
      <c r="E163" s="80">
        <f t="shared" si="103"/>
        <v>1.5629138934319383E-2</v>
      </c>
      <c r="F163" s="80">
        <f t="shared" si="103"/>
        <v>1.5628737190228382E-2</v>
      </c>
      <c r="G163" s="80">
        <f t="shared" si="103"/>
        <v>1.5628611645220159E-2</v>
      </c>
      <c r="H163" s="80">
        <f t="shared" si="103"/>
        <v>1.562857816675246E-2</v>
      </c>
      <c r="I163" s="80">
        <f t="shared" si="103"/>
        <v>1.5628569799151937E-2</v>
      </c>
      <c r="J163" s="80">
        <f t="shared" si="103"/>
        <v>1.5628561450163819E-2</v>
      </c>
      <c r="K163" s="80">
        <f t="shared" si="103"/>
        <v>1.5628561656969939E-2</v>
      </c>
      <c r="L163" s="80">
        <f t="shared" si="103"/>
        <v>1.562856372503163E-2</v>
      </c>
      <c r="M163" s="80">
        <f t="shared" si="103"/>
        <v>1.5628567666294155E-2</v>
      </c>
      <c r="N163" s="80">
        <f t="shared" si="103"/>
        <v>1.5628682404286887E-2</v>
      </c>
      <c r="O163" s="80">
        <f t="shared" si="103"/>
        <v>1.5629779401297592E-2</v>
      </c>
      <c r="P163" s="80">
        <f t="shared" si="103"/>
        <v>1.5640732907220626E-2</v>
      </c>
      <c r="Q163" s="80">
        <f t="shared" si="103"/>
        <v>1.5748881615535337E-2</v>
      </c>
      <c r="R163" s="80">
        <f t="shared" si="103"/>
        <v>1.6711332682430254E-2</v>
      </c>
      <c r="S163" s="80">
        <f t="shared" si="103"/>
        <v>2.2147089707781623E-2</v>
      </c>
      <c r="T163" s="80">
        <f t="shared" si="103"/>
        <v>2.8972593650204999E-2</v>
      </c>
      <c r="U163" s="80">
        <f t="shared" si="103"/>
        <v>3.0870715793274956E-2</v>
      </c>
      <c r="V163" s="80">
        <f t="shared" si="103"/>
        <v>2.146824696093801E-2</v>
      </c>
      <c r="W163" s="80">
        <f t="shared" si="103"/>
        <v>5.0630201975916625E-2</v>
      </c>
      <c r="X163" s="80">
        <f t="shared" si="103"/>
        <v>0.18710327995016948</v>
      </c>
      <c r="Y163" s="80">
        <f t="shared" si="103"/>
        <v>0.32730824032858596</v>
      </c>
      <c r="Z163" s="80">
        <f t="shared" si="103"/>
        <v>0.42891053382474986</v>
      </c>
      <c r="AA163" s="80">
        <f t="shared" si="103"/>
        <v>0.48772918289813066</v>
      </c>
      <c r="AB163" s="80">
        <f t="shared" si="103"/>
        <v>0.52196299770531307</v>
      </c>
      <c r="AC163" s="80">
        <f t="shared" si="103"/>
        <v>0.52962641358605833</v>
      </c>
      <c r="AD163" s="80">
        <f t="shared" si="103"/>
        <v>0.54442419716354817</v>
      </c>
      <c r="AE163" s="80">
        <f t="shared" si="103"/>
        <v>0.52667293209658239</v>
      </c>
      <c r="AF163" s="80">
        <f t="shared" si="103"/>
        <v>0.5053275410599557</v>
      </c>
    </row>
    <row r="164" spans="1:34" x14ac:dyDescent="0.25">
      <c r="B164" s="21">
        <f>(B131-B130)^2</f>
        <v>11909.873340987306</v>
      </c>
      <c r="C164" s="21">
        <f t="shared" ref="C164:AF164" si="104">(C131-C130)^2</f>
        <v>12544.486134633882</v>
      </c>
      <c r="D164" s="21">
        <f t="shared" si="104"/>
        <v>13515.768313552535</v>
      </c>
      <c r="E164" s="21">
        <f t="shared" si="104"/>
        <v>13520.265998256422</v>
      </c>
      <c r="F164" s="21">
        <f t="shared" si="104"/>
        <v>13519.559900095164</v>
      </c>
      <c r="G164" s="21">
        <f t="shared" si="104"/>
        <v>13519.339248354274</v>
      </c>
      <c r="H164" s="21">
        <f t="shared" si="104"/>
        <v>13519.280408551676</v>
      </c>
      <c r="I164" s="21">
        <f t="shared" si="104"/>
        <v>13519.265702110171</v>
      </c>
      <c r="J164" s="21">
        <f t="shared" si="104"/>
        <v>13519.251027877677</v>
      </c>
      <c r="K164" s="21">
        <f t="shared" si="104"/>
        <v>13519.251385666701</v>
      </c>
      <c r="L164" s="21">
        <f t="shared" si="104"/>
        <v>13519.254963558047</v>
      </c>
      <c r="M164" s="21">
        <f t="shared" si="104"/>
        <v>13519.261322426282</v>
      </c>
      <c r="N164" s="21">
        <f t="shared" si="104"/>
        <v>13519.457299064965</v>
      </c>
      <c r="O164" s="21">
        <f t="shared" si="104"/>
        <v>13521.328589258223</v>
      </c>
      <c r="P164" s="21">
        <f t="shared" si="104"/>
        <v>13540.019904652137</v>
      </c>
      <c r="Q164" s="21">
        <f t="shared" si="104"/>
        <v>13725.212700409609</v>
      </c>
      <c r="R164" s="21">
        <f t="shared" si="104"/>
        <v>15424.319854899113</v>
      </c>
      <c r="S164" s="21">
        <f t="shared" si="104"/>
        <v>26672.431759269053</v>
      </c>
      <c r="T164" s="21">
        <f t="shared" si="104"/>
        <v>43867.731419059957</v>
      </c>
      <c r="U164" s="21">
        <f t="shared" si="104"/>
        <v>47568.320700457516</v>
      </c>
      <c r="V164" s="21">
        <f t="shared" si="104"/>
        <v>21081.878737344443</v>
      </c>
      <c r="W164" s="21">
        <f t="shared" si="104"/>
        <v>94644.228993148266</v>
      </c>
      <c r="X164" s="21">
        <f t="shared" si="104"/>
        <v>929562.27764608082</v>
      </c>
      <c r="Y164" s="21">
        <f t="shared" si="104"/>
        <v>2026675.1012867512</v>
      </c>
      <c r="Z164" s="21">
        <f t="shared" si="104"/>
        <v>2601285.2884909837</v>
      </c>
      <c r="AA164" s="21">
        <f t="shared" si="104"/>
        <v>2648026.6201256774</v>
      </c>
      <c r="AB164" s="21">
        <f t="shared" si="104"/>
        <v>2444328.7219498944</v>
      </c>
      <c r="AC164" s="21">
        <f t="shared" si="104"/>
        <v>2046159.8491011513</v>
      </c>
      <c r="AD164" s="21">
        <f t="shared" si="104"/>
        <v>1680187.6924493944</v>
      </c>
      <c r="AE164" s="21">
        <f t="shared" si="104"/>
        <v>1123372.5490085315</v>
      </c>
      <c r="AF164" s="21">
        <f t="shared" si="104"/>
        <v>650521.71588558354</v>
      </c>
    </row>
    <row r="165" spans="1:34" x14ac:dyDescent="0.25">
      <c r="A165" s="71">
        <f>SUM(B165:AF165)</f>
        <v>16613329.603647681</v>
      </c>
      <c r="B165" s="60">
        <f>IF($A$64&lt;=B129,IF($B$64&gt;=B129,ABS(B164),0),0)</f>
        <v>11909.873340987306</v>
      </c>
      <c r="C165" s="60">
        <f t="shared" ref="C165:AF165" si="105">IF($A$64&lt;=C129,IF($B$64&gt;=C129,ABS(C164),0),0)</f>
        <v>12544.486134633882</v>
      </c>
      <c r="D165" s="60">
        <f t="shared" si="105"/>
        <v>13515.768313552535</v>
      </c>
      <c r="E165" s="60">
        <f t="shared" si="105"/>
        <v>13520.265998256422</v>
      </c>
      <c r="F165" s="60">
        <f t="shared" si="105"/>
        <v>13519.559900095164</v>
      </c>
      <c r="G165" s="60">
        <f t="shared" si="105"/>
        <v>13519.339248354274</v>
      </c>
      <c r="H165" s="60">
        <f t="shared" si="105"/>
        <v>13519.280408551676</v>
      </c>
      <c r="I165" s="60">
        <f t="shared" si="105"/>
        <v>13519.265702110171</v>
      </c>
      <c r="J165" s="60">
        <f t="shared" si="105"/>
        <v>13519.251027877677</v>
      </c>
      <c r="K165" s="60">
        <f t="shared" si="105"/>
        <v>13519.251385666701</v>
      </c>
      <c r="L165" s="60">
        <f t="shared" si="105"/>
        <v>13519.254963558047</v>
      </c>
      <c r="M165" s="60">
        <f t="shared" si="105"/>
        <v>13519.261322426282</v>
      </c>
      <c r="N165" s="60">
        <f t="shared" si="105"/>
        <v>13519.457299064965</v>
      </c>
      <c r="O165" s="60">
        <f t="shared" si="105"/>
        <v>13521.328589258223</v>
      </c>
      <c r="P165" s="60">
        <f t="shared" si="105"/>
        <v>13540.019904652137</v>
      </c>
      <c r="Q165" s="60">
        <f t="shared" si="105"/>
        <v>13725.212700409609</v>
      </c>
      <c r="R165" s="60">
        <f t="shared" si="105"/>
        <v>15424.319854899113</v>
      </c>
      <c r="S165" s="60">
        <f t="shared" si="105"/>
        <v>26672.431759269053</v>
      </c>
      <c r="T165" s="60">
        <f t="shared" si="105"/>
        <v>43867.731419059957</v>
      </c>
      <c r="U165" s="60">
        <f t="shared" si="105"/>
        <v>47568.320700457516</v>
      </c>
      <c r="V165" s="60">
        <f t="shared" si="105"/>
        <v>21081.878737344443</v>
      </c>
      <c r="W165" s="60">
        <f t="shared" si="105"/>
        <v>94644.228993148266</v>
      </c>
      <c r="X165" s="60">
        <f t="shared" si="105"/>
        <v>929562.27764608082</v>
      </c>
      <c r="Y165" s="60">
        <f t="shared" si="105"/>
        <v>2026675.1012867512</v>
      </c>
      <c r="Z165" s="60">
        <f t="shared" si="105"/>
        <v>2601285.2884909837</v>
      </c>
      <c r="AA165" s="60">
        <f t="shared" si="105"/>
        <v>2648026.6201256774</v>
      </c>
      <c r="AB165" s="60">
        <f t="shared" si="105"/>
        <v>2444328.7219498944</v>
      </c>
      <c r="AC165" s="60">
        <f t="shared" si="105"/>
        <v>2046159.8491011513</v>
      </c>
      <c r="AD165" s="60">
        <f t="shared" si="105"/>
        <v>1680187.6924493944</v>
      </c>
      <c r="AE165" s="60">
        <f t="shared" si="105"/>
        <v>1123372.5490085315</v>
      </c>
      <c r="AF165" s="60">
        <f t="shared" si="105"/>
        <v>650521.71588558354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7324.7609056098736</v>
      </c>
      <c r="C170" s="27">
        <f t="shared" ref="C170:AF170" si="106">($C$17+SUM(C171:C201))*$B$51</f>
        <v>7323.460030011348</v>
      </c>
      <c r="D170" s="27">
        <f t="shared" si="106"/>
        <v>7323.4600298314735</v>
      </c>
      <c r="E170" s="27">
        <f t="shared" si="106"/>
        <v>7323.4600298314244</v>
      </c>
      <c r="F170" s="27">
        <f t="shared" si="106"/>
        <v>7323.460029830936</v>
      </c>
      <c r="G170" s="27">
        <f t="shared" si="106"/>
        <v>7323.4600298260593</v>
      </c>
      <c r="H170" s="27">
        <f t="shared" si="106"/>
        <v>7323.4600297772886</v>
      </c>
      <c r="I170" s="27">
        <f t="shared" si="106"/>
        <v>7323.4600292895739</v>
      </c>
      <c r="J170" s="27">
        <f t="shared" si="106"/>
        <v>7323.4600244124222</v>
      </c>
      <c r="K170" s="27">
        <f t="shared" si="106"/>
        <v>7323.4599756409289</v>
      </c>
      <c r="L170" s="27">
        <f t="shared" si="106"/>
        <v>7323.4594879272454</v>
      </c>
      <c r="M170" s="27">
        <f t="shared" si="106"/>
        <v>7323.4546109153735</v>
      </c>
      <c r="N170" s="27">
        <f t="shared" si="106"/>
        <v>7323.4058532871886</v>
      </c>
      <c r="O170" s="27">
        <f t="shared" si="106"/>
        <v>7322.9195198392754</v>
      </c>
      <c r="P170" s="27">
        <f t="shared" si="106"/>
        <v>7318.1745354739051</v>
      </c>
      <c r="Q170" s="27">
        <f t="shared" si="106"/>
        <v>7278.6493401759271</v>
      </c>
      <c r="R170" s="27">
        <f t="shared" si="106"/>
        <v>7101.4834554425379</v>
      </c>
      <c r="S170" s="27">
        <f t="shared" si="106"/>
        <v>6937.2989882593311</v>
      </c>
      <c r="T170" s="27">
        <f t="shared" si="106"/>
        <v>6729.4525623941772</v>
      </c>
      <c r="U170" s="27">
        <f t="shared" si="106"/>
        <v>6502.0368672022496</v>
      </c>
      <c r="V170" s="27">
        <f t="shared" si="106"/>
        <v>6259.2497159075165</v>
      </c>
      <c r="W170" s="27">
        <f t="shared" si="106"/>
        <v>5957.4228942249965</v>
      </c>
      <c r="X170" s="27">
        <f t="shared" si="106"/>
        <v>5586.9934340224909</v>
      </c>
      <c r="Y170" s="27">
        <f t="shared" si="106"/>
        <v>5183.3616832681164</v>
      </c>
      <c r="Z170" s="27">
        <f t="shared" si="106"/>
        <v>4779.1749822423926</v>
      </c>
      <c r="AA170" s="27">
        <f t="shared" si="106"/>
        <v>4363.6040286685475</v>
      </c>
      <c r="AB170" s="27">
        <f t="shared" si="106"/>
        <v>3942.582448358643</v>
      </c>
      <c r="AC170" s="27">
        <f t="shared" si="106"/>
        <v>3357.3137317193004</v>
      </c>
      <c r="AD170" s="27">
        <f t="shared" si="106"/>
        <v>2728.4094858697335</v>
      </c>
      <c r="AE170" s="27">
        <f t="shared" si="106"/>
        <v>2022.764486577965</v>
      </c>
      <c r="AF170" s="27">
        <f t="shared" si="106"/>
        <v>1280.1258692030083</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0.17033825265005115</v>
      </c>
      <c r="B202" s="80">
        <f>IF($A$64&lt;=B168,IF($B$64&gt;=B168,ABS((B170-B169)/B169),0),0)</f>
        <v>6.6257872021569745E-3</v>
      </c>
      <c r="C202" s="80">
        <f t="shared" ref="C202:AF202" si="138">IF($A$64&lt;=C168,IF($B$64&gt;=C168,ABS((C170-C169)/C169),0),0)</f>
        <v>6.8123040198172025E-3</v>
      </c>
      <c r="D202" s="80">
        <f t="shared" si="138"/>
        <v>6.8069976743152256E-3</v>
      </c>
      <c r="E202" s="80">
        <f t="shared" si="138"/>
        <v>6.8056250486706014E-3</v>
      </c>
      <c r="F202" s="80">
        <f t="shared" si="138"/>
        <v>6.8052316743122667E-3</v>
      </c>
      <c r="G202" s="80">
        <f t="shared" si="138"/>
        <v>6.8051061299443842E-3</v>
      </c>
      <c r="H202" s="80">
        <f t="shared" si="138"/>
        <v>6.80507265788433E-3</v>
      </c>
      <c r="I202" s="80">
        <f t="shared" si="138"/>
        <v>6.8050559846902356E-3</v>
      </c>
      <c r="J202" s="80">
        <f t="shared" si="138"/>
        <v>6.8050566461210875E-3</v>
      </c>
      <c r="K202" s="80">
        <f t="shared" si="138"/>
        <v>6.8050465210892086E-3</v>
      </c>
      <c r="L202" s="80">
        <f t="shared" si="138"/>
        <v>6.8050875549699533E-3</v>
      </c>
      <c r="M202" s="80">
        <f t="shared" si="138"/>
        <v>6.8053890714033279E-3</v>
      </c>
      <c r="N202" s="80">
        <f t="shared" si="138"/>
        <v>6.8084360465751901E-3</v>
      </c>
      <c r="O202" s="80">
        <f t="shared" si="138"/>
        <v>6.8388151732258814E-3</v>
      </c>
      <c r="P202" s="80">
        <f t="shared" si="138"/>
        <v>7.1296196949210255E-3</v>
      </c>
      <c r="Q202" s="80">
        <f t="shared" si="138"/>
        <v>9.24738783541359E-3</v>
      </c>
      <c r="R202" s="80">
        <f t="shared" si="138"/>
        <v>1.7156499630536236E-2</v>
      </c>
      <c r="S202" s="80">
        <f t="shared" si="138"/>
        <v>1.9402259171764968E-2</v>
      </c>
      <c r="T202" s="80">
        <f t="shared" si="138"/>
        <v>1.578566129930432E-2</v>
      </c>
      <c r="U202" s="80">
        <f t="shared" si="138"/>
        <v>3.3764087731375264E-2</v>
      </c>
      <c r="V202" s="80">
        <f t="shared" si="138"/>
        <v>0.16060412450322009</v>
      </c>
      <c r="W202" s="80">
        <f t="shared" si="138"/>
        <v>0.30681715417487393</v>
      </c>
      <c r="X202" s="80">
        <f t="shared" si="138"/>
        <v>0.42251906489237273</v>
      </c>
      <c r="Y202" s="80">
        <f t="shared" si="138"/>
        <v>0.49340795969983747</v>
      </c>
      <c r="Z202" s="80">
        <f t="shared" si="138"/>
        <v>0.53221925692956695</v>
      </c>
      <c r="AA202" s="80">
        <f t="shared" si="138"/>
        <v>0.54767194595765545</v>
      </c>
      <c r="AB202" s="80">
        <f t="shared" si="138"/>
        <v>0.56085269306832941</v>
      </c>
      <c r="AC202" s="80">
        <f t="shared" si="138"/>
        <v>0.5381711279116006</v>
      </c>
      <c r="AD202" s="80">
        <f t="shared" si="138"/>
        <v>0.52775059660952983</v>
      </c>
      <c r="AE202" s="80">
        <f t="shared" si="138"/>
        <v>0.51211262172004779</v>
      </c>
      <c r="AF202" s="80">
        <f t="shared" si="138"/>
        <v>0.48073475991606029</v>
      </c>
    </row>
    <row r="203" spans="1:34" x14ac:dyDescent="0.25">
      <c r="B203" s="21">
        <f>(B170-B169)^2</f>
        <v>2386.910361637913</v>
      </c>
      <c r="C203" s="21">
        <f t="shared" ref="C203:AF203" si="139">(C170-C169)^2</f>
        <v>2523.2368158393629</v>
      </c>
      <c r="D203" s="21">
        <f t="shared" si="139"/>
        <v>2519.280549353266</v>
      </c>
      <c r="E203" s="21">
        <f t="shared" si="139"/>
        <v>2518.2576693357914</v>
      </c>
      <c r="F203" s="21">
        <f t="shared" si="139"/>
        <v>2517.9645657511587</v>
      </c>
      <c r="G203" s="21">
        <f t="shared" si="139"/>
        <v>2517.8710261673032</v>
      </c>
      <c r="H203" s="21">
        <f t="shared" si="139"/>
        <v>2517.8460873398076</v>
      </c>
      <c r="I203" s="21">
        <f t="shared" si="139"/>
        <v>2517.8336644709111</v>
      </c>
      <c r="J203" s="21">
        <f t="shared" si="139"/>
        <v>2517.834153922563</v>
      </c>
      <c r="K203" s="21">
        <f t="shared" si="139"/>
        <v>2517.8265766430191</v>
      </c>
      <c r="L203" s="21">
        <f t="shared" si="139"/>
        <v>2517.8568140081516</v>
      </c>
      <c r="M203" s="21">
        <f t="shared" si="139"/>
        <v>2518.0781139348114</v>
      </c>
      <c r="N203" s="21">
        <f t="shared" si="139"/>
        <v>2520.3153602729521</v>
      </c>
      <c r="O203" s="21">
        <f t="shared" si="139"/>
        <v>2542.6745708932799</v>
      </c>
      <c r="P203" s="21">
        <f t="shared" si="139"/>
        <v>2761.5514912511185</v>
      </c>
      <c r="Q203" s="21">
        <f t="shared" si="139"/>
        <v>4615.3993732174358</v>
      </c>
      <c r="R203" s="21">
        <f t="shared" si="139"/>
        <v>15366.918562604405</v>
      </c>
      <c r="S203" s="21">
        <f t="shared" si="139"/>
        <v>18840.987053410776</v>
      </c>
      <c r="T203" s="21">
        <f t="shared" si="139"/>
        <v>11649.456307808456</v>
      </c>
      <c r="U203" s="21">
        <f t="shared" si="139"/>
        <v>45098.906670641591</v>
      </c>
      <c r="V203" s="21">
        <f t="shared" si="139"/>
        <v>750221.87976720068</v>
      </c>
      <c r="W203" s="21">
        <f t="shared" si="139"/>
        <v>1956349.6705994708</v>
      </c>
      <c r="X203" s="21">
        <f t="shared" si="139"/>
        <v>2753802.2511078762</v>
      </c>
      <c r="Y203" s="21">
        <f t="shared" si="139"/>
        <v>2932772.7141622789</v>
      </c>
      <c r="Z203" s="21">
        <f t="shared" si="139"/>
        <v>2755784.1614837516</v>
      </c>
      <c r="AA203" s="21">
        <f t="shared" si="139"/>
        <v>2384371.0357109173</v>
      </c>
      <c r="AB203" s="21">
        <f t="shared" si="139"/>
        <v>2006944.4480006455</v>
      </c>
      <c r="AC203" s="21">
        <f t="shared" si="139"/>
        <v>1379797.4331625681</v>
      </c>
      <c r="AD203" s="21">
        <f t="shared" si="139"/>
        <v>888324.50680474285</v>
      </c>
      <c r="AE203" s="21">
        <f t="shared" si="139"/>
        <v>469302.99180829822</v>
      </c>
      <c r="AF203" s="21">
        <f t="shared" si="139"/>
        <v>172727.64653811601</v>
      </c>
      <c r="AG203" s="3"/>
      <c r="AH203" s="3"/>
    </row>
    <row r="204" spans="1:34" x14ac:dyDescent="0.25">
      <c r="A204" s="71">
        <f>SUM(B204:AF204)</f>
        <v>18583885.744934369</v>
      </c>
      <c r="B204" s="60">
        <f>IF($A$64&lt;=B168,IF($B$64&gt;=B168,ABS(B203),0),0)</f>
        <v>2386.910361637913</v>
      </c>
      <c r="C204" s="60">
        <f t="shared" ref="C204" si="140">IF($A$64&lt;=C168,IF($B$64&gt;=C168,ABS(C203),0),0)</f>
        <v>2523.2368158393629</v>
      </c>
      <c r="D204" s="60">
        <f t="shared" ref="D204" si="141">IF($A$64&lt;=D168,IF($B$64&gt;=D168,ABS(D203),0),0)</f>
        <v>2519.280549353266</v>
      </c>
      <c r="E204" s="60">
        <f t="shared" ref="E204" si="142">IF($A$64&lt;=E168,IF($B$64&gt;=E168,ABS(E203),0),0)</f>
        <v>2518.2576693357914</v>
      </c>
      <c r="F204" s="60">
        <f t="shared" ref="F204" si="143">IF($A$64&lt;=F168,IF($B$64&gt;=F168,ABS(F203),0),0)</f>
        <v>2517.9645657511587</v>
      </c>
      <c r="G204" s="60">
        <f t="shared" ref="G204" si="144">IF($A$64&lt;=G168,IF($B$64&gt;=G168,ABS(G203),0),0)</f>
        <v>2517.8710261673032</v>
      </c>
      <c r="H204" s="60">
        <f t="shared" ref="H204" si="145">IF($A$64&lt;=H168,IF($B$64&gt;=H168,ABS(H203),0),0)</f>
        <v>2517.8460873398076</v>
      </c>
      <c r="I204" s="60">
        <f t="shared" ref="I204" si="146">IF($A$64&lt;=I168,IF($B$64&gt;=I168,ABS(I203),0),0)</f>
        <v>2517.8336644709111</v>
      </c>
      <c r="J204" s="60">
        <f t="shared" ref="J204" si="147">IF($A$64&lt;=J168,IF($B$64&gt;=J168,ABS(J203),0),0)</f>
        <v>2517.834153922563</v>
      </c>
      <c r="K204" s="60">
        <f t="shared" ref="K204" si="148">IF($A$64&lt;=K168,IF($B$64&gt;=K168,ABS(K203),0),0)</f>
        <v>2517.8265766430191</v>
      </c>
      <c r="L204" s="60">
        <f t="shared" ref="L204" si="149">IF($A$64&lt;=L168,IF($B$64&gt;=L168,ABS(L203),0),0)</f>
        <v>2517.8568140081516</v>
      </c>
      <c r="M204" s="60">
        <f t="shared" ref="M204" si="150">IF($A$64&lt;=M168,IF($B$64&gt;=M168,ABS(M203),0),0)</f>
        <v>2518.0781139348114</v>
      </c>
      <c r="N204" s="60">
        <f t="shared" ref="N204" si="151">IF($A$64&lt;=N168,IF($B$64&gt;=N168,ABS(N203),0),0)</f>
        <v>2520.3153602729521</v>
      </c>
      <c r="O204" s="60">
        <f t="shared" ref="O204" si="152">IF($A$64&lt;=O168,IF($B$64&gt;=O168,ABS(O203),0),0)</f>
        <v>2542.6745708932799</v>
      </c>
      <c r="P204" s="60">
        <f t="shared" ref="P204" si="153">IF($A$64&lt;=P168,IF($B$64&gt;=P168,ABS(P203),0),0)</f>
        <v>2761.5514912511185</v>
      </c>
      <c r="Q204" s="60">
        <f t="shared" ref="Q204" si="154">IF($A$64&lt;=Q168,IF($B$64&gt;=Q168,ABS(Q203),0),0)</f>
        <v>4615.3993732174358</v>
      </c>
      <c r="R204" s="60">
        <f t="shared" ref="R204" si="155">IF($A$64&lt;=R168,IF($B$64&gt;=R168,ABS(R203),0),0)</f>
        <v>15366.918562604405</v>
      </c>
      <c r="S204" s="60">
        <f t="shared" ref="S204" si="156">IF($A$64&lt;=S168,IF($B$64&gt;=S168,ABS(S203),0),0)</f>
        <v>18840.987053410776</v>
      </c>
      <c r="T204" s="60">
        <f t="shared" ref="T204" si="157">IF($A$64&lt;=T168,IF($B$64&gt;=T168,ABS(T203),0),0)</f>
        <v>11649.456307808456</v>
      </c>
      <c r="U204" s="60">
        <f t="shared" ref="U204" si="158">IF($A$64&lt;=U168,IF($B$64&gt;=U168,ABS(U203),0),0)</f>
        <v>45098.906670641591</v>
      </c>
      <c r="V204" s="60">
        <f t="shared" ref="V204" si="159">IF($A$64&lt;=V168,IF($B$64&gt;=V168,ABS(V203),0),0)</f>
        <v>750221.87976720068</v>
      </c>
      <c r="W204" s="60">
        <f t="shared" ref="W204" si="160">IF($A$64&lt;=W168,IF($B$64&gt;=W168,ABS(W203),0),0)</f>
        <v>1956349.6705994708</v>
      </c>
      <c r="X204" s="60">
        <f t="shared" ref="X204" si="161">IF($A$64&lt;=X168,IF($B$64&gt;=X168,ABS(X203),0),0)</f>
        <v>2753802.2511078762</v>
      </c>
      <c r="Y204" s="60">
        <f t="shared" ref="Y204" si="162">IF($A$64&lt;=Y168,IF($B$64&gt;=Y168,ABS(Y203),0),0)</f>
        <v>2932772.7141622789</v>
      </c>
      <c r="Z204" s="60">
        <f t="shared" ref="Z204" si="163">IF($A$64&lt;=Z168,IF($B$64&gt;=Z168,ABS(Z203),0),0)</f>
        <v>2755784.1614837516</v>
      </c>
      <c r="AA204" s="60">
        <f t="shared" ref="AA204" si="164">IF($A$64&lt;=AA168,IF($B$64&gt;=AA168,ABS(AA203),0),0)</f>
        <v>2384371.0357109173</v>
      </c>
      <c r="AB204" s="60">
        <f t="shared" ref="AB204" si="165">IF($A$64&lt;=AB168,IF($B$64&gt;=AB168,ABS(AB203),0),0)</f>
        <v>2006944.4480006455</v>
      </c>
      <c r="AC204" s="60">
        <f t="shared" ref="AC204" si="166">IF($A$64&lt;=AC168,IF($B$64&gt;=AC168,ABS(AC203),0),0)</f>
        <v>1379797.4331625681</v>
      </c>
      <c r="AD204" s="60">
        <f t="shared" ref="AD204" si="167">IF($A$64&lt;=AD168,IF($B$64&gt;=AD168,ABS(AD203),0),0)</f>
        <v>888324.50680474285</v>
      </c>
      <c r="AE204" s="60">
        <f t="shared" ref="AE204" si="168">IF($A$64&lt;=AE168,IF($B$64&gt;=AE168,ABS(AE203),0),0)</f>
        <v>469302.99180829822</v>
      </c>
      <c r="AF204" s="60">
        <f t="shared" ref="AF204" si="169">IF($A$64&lt;=AF168,IF($B$64&gt;=AF168,ABS(AF203),0),0)</f>
        <v>172727.64653811601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7323.4600298314754</v>
      </c>
      <c r="C209" s="27">
        <f t="shared" ref="C209:AF209" si="170">($C$17+SUM(C210:C240))*$B$51</f>
        <v>7323.4600298314363</v>
      </c>
      <c r="D209" s="27">
        <f t="shared" si="170"/>
        <v>7323.4600298310488</v>
      </c>
      <c r="E209" s="27">
        <f t="shared" si="170"/>
        <v>7323.4600298271807</v>
      </c>
      <c r="F209" s="27">
        <f t="shared" si="170"/>
        <v>7323.4600297884945</v>
      </c>
      <c r="G209" s="27">
        <f t="shared" si="170"/>
        <v>7323.4600294016436</v>
      </c>
      <c r="H209" s="27">
        <f t="shared" si="170"/>
        <v>7323.460025533117</v>
      </c>
      <c r="I209" s="27">
        <f t="shared" si="170"/>
        <v>7323.4599868478708</v>
      </c>
      <c r="J209" s="27">
        <f t="shared" si="170"/>
        <v>7323.4595999962021</v>
      </c>
      <c r="K209" s="27">
        <f t="shared" si="170"/>
        <v>7323.4557315581269</v>
      </c>
      <c r="L209" s="27">
        <f t="shared" si="170"/>
        <v>7323.417055036789</v>
      </c>
      <c r="M209" s="27">
        <f t="shared" si="170"/>
        <v>7323.0310726564567</v>
      </c>
      <c r="N209" s="27">
        <f t="shared" si="170"/>
        <v>7319.2465391937967</v>
      </c>
      <c r="O209" s="27">
        <f t="shared" si="170"/>
        <v>7286.7999349075089</v>
      </c>
      <c r="P209" s="27">
        <f t="shared" si="170"/>
        <v>7123.6968255712309</v>
      </c>
      <c r="Q209" s="27">
        <f t="shared" si="170"/>
        <v>6955.6280781868682</v>
      </c>
      <c r="R209" s="27">
        <f t="shared" si="170"/>
        <v>6755.3621952767789</v>
      </c>
      <c r="S209" s="27">
        <f t="shared" si="170"/>
        <v>6528.1217821857717</v>
      </c>
      <c r="T209" s="27">
        <f t="shared" si="170"/>
        <v>6288.0353794635485</v>
      </c>
      <c r="U209" s="27">
        <f t="shared" si="170"/>
        <v>5994.6201089963224</v>
      </c>
      <c r="V209" s="27">
        <f t="shared" si="170"/>
        <v>5629.8376359089898</v>
      </c>
      <c r="W209" s="27">
        <f t="shared" si="170"/>
        <v>5225.9538956134375</v>
      </c>
      <c r="X209" s="27">
        <f t="shared" si="170"/>
        <v>4819.5110668467587</v>
      </c>
      <c r="Y209" s="27">
        <f t="shared" si="170"/>
        <v>4405.6263180543947</v>
      </c>
      <c r="Z209" s="27">
        <f t="shared" si="170"/>
        <v>3981.7741237221885</v>
      </c>
      <c r="AA209" s="27">
        <f t="shared" si="170"/>
        <v>3420.2151255198733</v>
      </c>
      <c r="AB209" s="27">
        <f t="shared" si="170"/>
        <v>2801.5822491619251</v>
      </c>
      <c r="AC209" s="27">
        <f t="shared" si="170"/>
        <v>2103.3777588310618</v>
      </c>
      <c r="AD209" s="27">
        <f t="shared" si="170"/>
        <v>1358.4386674802856</v>
      </c>
      <c r="AE209" s="27">
        <f t="shared" si="170"/>
        <v>810.01845945139655</v>
      </c>
      <c r="AF209" s="27">
        <f t="shared" si="170"/>
        <v>454.47173578890829</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0.1847337326880937</v>
      </c>
      <c r="B241" s="80">
        <f>IF($A$64&lt;=B207,IF($B$64&gt;=B207,ABS((B209-B208)/B208),0),0)</f>
        <v>1.0244020044288048E-3</v>
      </c>
      <c r="C241" s="80">
        <f t="shared" ref="C241:AF241" si="202">IF($A$64&lt;=C207,IF($B$64&gt;=C207,ABS((C209-C208)/C208),0),0)</f>
        <v>1.0344372370918499E-3</v>
      </c>
      <c r="D241" s="80">
        <f t="shared" si="202"/>
        <v>1.0291141279114438E-3</v>
      </c>
      <c r="E241" s="80">
        <f t="shared" si="202"/>
        <v>1.0277415027878272E-3</v>
      </c>
      <c r="F241" s="80">
        <f t="shared" si="202"/>
        <v>1.0273397639720024E-3</v>
      </c>
      <c r="G241" s="80">
        <f t="shared" si="202"/>
        <v>1.0272226413809249E-3</v>
      </c>
      <c r="H241" s="80">
        <f t="shared" si="202"/>
        <v>1.0271813207327323E-3</v>
      </c>
      <c r="I241" s="80">
        <f t="shared" si="202"/>
        <v>1.0271698583425421E-3</v>
      </c>
      <c r="J241" s="80">
        <f t="shared" si="202"/>
        <v>1.0271807793632403E-3</v>
      </c>
      <c r="K241" s="80">
        <f t="shared" si="202"/>
        <v>1.027373675727765E-3</v>
      </c>
      <c r="L241" s="80">
        <f t="shared" si="202"/>
        <v>1.0293099563610884E-3</v>
      </c>
      <c r="M241" s="80">
        <f t="shared" si="202"/>
        <v>1.0485846530167468E-3</v>
      </c>
      <c r="N241" s="80">
        <f t="shared" si="202"/>
        <v>1.2337606281785339E-3</v>
      </c>
      <c r="O241" s="80">
        <f t="shared" si="202"/>
        <v>2.5985227588625846E-3</v>
      </c>
      <c r="P241" s="80">
        <f t="shared" si="202"/>
        <v>9.0815676527083462E-3</v>
      </c>
      <c r="Q241" s="80">
        <f t="shared" si="202"/>
        <v>1.2731807461056899E-2</v>
      </c>
      <c r="R241" s="80">
        <f t="shared" si="202"/>
        <v>1.829071586738272E-2</v>
      </c>
      <c r="S241" s="80">
        <f t="shared" si="202"/>
        <v>1.5852590387500629E-2</v>
      </c>
      <c r="T241" s="80">
        <f t="shared" si="202"/>
        <v>2.376886662196909E-2</v>
      </c>
      <c r="U241" s="80">
        <f t="shared" si="202"/>
        <v>0.13895455473228396</v>
      </c>
      <c r="V241" s="80">
        <f t="shared" si="202"/>
        <v>0.27976077443619551</v>
      </c>
      <c r="W241" s="80">
        <f t="shared" si="202"/>
        <v>0.39089953851987985</v>
      </c>
      <c r="X241" s="80">
        <f t="shared" si="202"/>
        <v>0.46438369016056108</v>
      </c>
      <c r="Y241" s="80">
        <f t="shared" si="202"/>
        <v>0.50702616995494476</v>
      </c>
      <c r="Z241" s="80">
        <f t="shared" si="202"/>
        <v>0.53626329141515017</v>
      </c>
      <c r="AA241" s="80">
        <f t="shared" si="202"/>
        <v>0.53569910614599248</v>
      </c>
      <c r="AB241" s="80">
        <f t="shared" si="202"/>
        <v>0.54093571401848239</v>
      </c>
      <c r="AC241" s="80">
        <f t="shared" si="202"/>
        <v>0.54351321513615403</v>
      </c>
      <c r="AD241" s="80">
        <f t="shared" si="202"/>
        <v>0.53912363209101133</v>
      </c>
      <c r="AE241" s="80">
        <f t="shared" si="202"/>
        <v>0.5759793668784644</v>
      </c>
      <c r="AF241" s="80">
        <f t="shared" si="202"/>
        <v>0.57829177094300777</v>
      </c>
    </row>
    <row r="242" spans="1:34" x14ac:dyDescent="0.25">
      <c r="B242" s="21">
        <f>(B209-B208)^2</f>
        <v>56.398000971623432</v>
      </c>
      <c r="C242" s="21">
        <f t="shared" ref="C242:AF242" si="203">(C209-C208)^2</f>
        <v>57.509539266465346</v>
      </c>
      <c r="D242" s="21">
        <f t="shared" si="203"/>
        <v>56.918579017246699</v>
      </c>
      <c r="E242" s="21">
        <f t="shared" si="203"/>
        <v>56.766689082259838</v>
      </c>
      <c r="F242" s="21">
        <f t="shared" si="203"/>
        <v>56.72227252568117</v>
      </c>
      <c r="G242" s="21">
        <f t="shared" si="203"/>
        <v>56.709326634371017</v>
      </c>
      <c r="H242" s="21">
        <f t="shared" si="203"/>
        <v>56.704759641750101</v>
      </c>
      <c r="I242" s="21">
        <f t="shared" si="203"/>
        <v>56.703492203524156</v>
      </c>
      <c r="J242" s="21">
        <f t="shared" si="203"/>
        <v>56.70469321876282</v>
      </c>
      <c r="K242" s="21">
        <f t="shared" si="203"/>
        <v>56.725954576235196</v>
      </c>
      <c r="L242" s="21">
        <f t="shared" si="203"/>
        <v>56.939597029126695</v>
      </c>
      <c r="M242" s="21">
        <f t="shared" si="203"/>
        <v>59.088098598713728</v>
      </c>
      <c r="N242" s="21">
        <f t="shared" si="203"/>
        <v>81.746065398544474</v>
      </c>
      <c r="O242" s="21">
        <f t="shared" si="203"/>
        <v>360.40161390609455</v>
      </c>
      <c r="P242" s="21">
        <f t="shared" si="203"/>
        <v>4262.4243848761444</v>
      </c>
      <c r="Q242" s="21">
        <f t="shared" si="203"/>
        <v>8046.0464962838269</v>
      </c>
      <c r="R242" s="21">
        <f t="shared" si="203"/>
        <v>15841.375501481985</v>
      </c>
      <c r="S242" s="21">
        <f t="shared" si="203"/>
        <v>11057.492767662598</v>
      </c>
      <c r="T242" s="21">
        <f t="shared" si="203"/>
        <v>21312.925353176735</v>
      </c>
      <c r="U242" s="21">
        <f t="shared" si="203"/>
        <v>534879.69893930713</v>
      </c>
      <c r="V242" s="21">
        <f t="shared" si="203"/>
        <v>1514634.3220945976</v>
      </c>
      <c r="W242" s="21">
        <f t="shared" si="203"/>
        <v>2157098.3038517586</v>
      </c>
      <c r="X242" s="21">
        <f t="shared" si="203"/>
        <v>2335877.7713503377</v>
      </c>
      <c r="Y242" s="21">
        <f t="shared" si="203"/>
        <v>2197022.3720522975</v>
      </c>
      <c r="Z242" s="21">
        <f t="shared" si="203"/>
        <v>1931870.7724561931</v>
      </c>
      <c r="AA242" s="21">
        <f t="shared" si="203"/>
        <v>1423431.0235844345</v>
      </c>
      <c r="AB242" s="21">
        <f t="shared" si="203"/>
        <v>967228.36400951515</v>
      </c>
      <c r="AC242" s="21">
        <f t="shared" si="203"/>
        <v>548572.54305245366</v>
      </c>
      <c r="AD242" s="21">
        <f t="shared" si="203"/>
        <v>226417.39828117419</v>
      </c>
      <c r="AE242" s="21">
        <f t="shared" si="203"/>
        <v>87640.052656070169</v>
      </c>
      <c r="AF242" s="21">
        <f t="shared" si="203"/>
        <v>27728.935560236074</v>
      </c>
      <c r="AG242" s="3"/>
      <c r="AH242" s="3"/>
    </row>
    <row r="243" spans="1:34" x14ac:dyDescent="0.25">
      <c r="A243" s="71">
        <f>SUM(B243:AF243)</f>
        <v>14014047.861073924</v>
      </c>
      <c r="B243" s="60">
        <f>IF($A$64&lt;=B207,IF($B$64&gt;=B207,ABS(B242),0),0)</f>
        <v>56.398000971623432</v>
      </c>
      <c r="C243" s="60">
        <f t="shared" ref="C243" si="204">IF($A$64&lt;=C207,IF($B$64&gt;=C207,ABS(C242),0),0)</f>
        <v>57.509539266465346</v>
      </c>
      <c r="D243" s="60">
        <f t="shared" ref="D243" si="205">IF($A$64&lt;=D207,IF($B$64&gt;=D207,ABS(D242),0),0)</f>
        <v>56.918579017246699</v>
      </c>
      <c r="E243" s="60">
        <f t="shared" ref="E243" si="206">IF($A$64&lt;=E207,IF($B$64&gt;=E207,ABS(E242),0),0)</f>
        <v>56.766689082259838</v>
      </c>
      <c r="F243" s="60">
        <f t="shared" ref="F243" si="207">IF($A$64&lt;=F207,IF($B$64&gt;=F207,ABS(F242),0),0)</f>
        <v>56.72227252568117</v>
      </c>
      <c r="G243" s="60">
        <f t="shared" ref="G243" si="208">IF($A$64&lt;=G207,IF($B$64&gt;=G207,ABS(G242),0),0)</f>
        <v>56.709326634371017</v>
      </c>
      <c r="H243" s="60">
        <f t="shared" ref="H243" si="209">IF($A$64&lt;=H207,IF($B$64&gt;=H207,ABS(H242),0),0)</f>
        <v>56.704759641750101</v>
      </c>
      <c r="I243" s="60">
        <f t="shared" ref="I243" si="210">IF($A$64&lt;=I207,IF($B$64&gt;=I207,ABS(I242),0),0)</f>
        <v>56.703492203524156</v>
      </c>
      <c r="J243" s="60">
        <f t="shared" ref="J243" si="211">IF($A$64&lt;=J207,IF($B$64&gt;=J207,ABS(J242),0),0)</f>
        <v>56.70469321876282</v>
      </c>
      <c r="K243" s="60">
        <f t="shared" ref="K243" si="212">IF($A$64&lt;=K207,IF($B$64&gt;=K207,ABS(K242),0),0)</f>
        <v>56.725954576235196</v>
      </c>
      <c r="L243" s="60">
        <f t="shared" ref="L243" si="213">IF($A$64&lt;=L207,IF($B$64&gt;=L207,ABS(L242),0),0)</f>
        <v>56.939597029126695</v>
      </c>
      <c r="M243" s="60">
        <f t="shared" ref="M243" si="214">IF($A$64&lt;=M207,IF($B$64&gt;=M207,ABS(M242),0),0)</f>
        <v>59.088098598713728</v>
      </c>
      <c r="N243" s="60">
        <f t="shared" ref="N243" si="215">IF($A$64&lt;=N207,IF($B$64&gt;=N207,ABS(N242),0),0)</f>
        <v>81.746065398544474</v>
      </c>
      <c r="O243" s="60">
        <f t="shared" ref="O243" si="216">IF($A$64&lt;=O207,IF($B$64&gt;=O207,ABS(O242),0),0)</f>
        <v>360.40161390609455</v>
      </c>
      <c r="P243" s="60">
        <f t="shared" ref="P243" si="217">IF($A$64&lt;=P207,IF($B$64&gt;=P207,ABS(P242),0),0)</f>
        <v>4262.4243848761444</v>
      </c>
      <c r="Q243" s="60">
        <f t="shared" ref="Q243" si="218">IF($A$64&lt;=Q207,IF($B$64&gt;=Q207,ABS(Q242),0),0)</f>
        <v>8046.0464962838269</v>
      </c>
      <c r="R243" s="60">
        <f t="shared" ref="R243" si="219">IF($A$64&lt;=R207,IF($B$64&gt;=R207,ABS(R242),0),0)</f>
        <v>15841.375501481985</v>
      </c>
      <c r="S243" s="60">
        <f t="shared" ref="S243" si="220">IF($A$64&lt;=S207,IF($B$64&gt;=S207,ABS(S242),0),0)</f>
        <v>11057.492767662598</v>
      </c>
      <c r="T243" s="60">
        <f t="shared" ref="T243" si="221">IF($A$64&lt;=T207,IF($B$64&gt;=T207,ABS(T242),0),0)</f>
        <v>21312.925353176735</v>
      </c>
      <c r="U243" s="60">
        <f t="shared" ref="U243" si="222">IF($A$64&lt;=U207,IF($B$64&gt;=U207,ABS(U242),0),0)</f>
        <v>534879.69893930713</v>
      </c>
      <c r="V243" s="60">
        <f t="shared" ref="V243" si="223">IF($A$64&lt;=V207,IF($B$64&gt;=V207,ABS(V242),0),0)</f>
        <v>1514634.3220945976</v>
      </c>
      <c r="W243" s="60">
        <f t="shared" ref="W243" si="224">IF($A$64&lt;=W207,IF($B$64&gt;=W207,ABS(W242),0),0)</f>
        <v>2157098.3038517586</v>
      </c>
      <c r="X243" s="60">
        <f t="shared" ref="X243" si="225">IF($A$64&lt;=X207,IF($B$64&gt;=X207,ABS(X242),0),0)</f>
        <v>2335877.7713503377</v>
      </c>
      <c r="Y243" s="60">
        <f t="shared" ref="Y243" si="226">IF($A$64&lt;=Y207,IF($B$64&gt;=Y207,ABS(Y242),0),0)</f>
        <v>2197022.3720522975</v>
      </c>
      <c r="Z243" s="60">
        <f t="shared" ref="Z243" si="227">IF($A$64&lt;=Z207,IF($B$64&gt;=Z207,ABS(Z242),0),0)</f>
        <v>1931870.7724561931</v>
      </c>
      <c r="AA243" s="60">
        <f t="shared" ref="AA243" si="228">IF($A$64&lt;=AA207,IF($B$64&gt;=AA207,ABS(AA242),0),0)</f>
        <v>1423431.0235844345</v>
      </c>
      <c r="AB243" s="60">
        <f t="shared" ref="AB243" si="229">IF($A$64&lt;=AB207,IF($B$64&gt;=AB207,ABS(AB242),0),0)</f>
        <v>967228.36400951515</v>
      </c>
      <c r="AC243" s="60">
        <f t="shared" ref="AC243" si="230">IF($A$64&lt;=AC207,IF($B$64&gt;=AC207,ABS(AC242),0),0)</f>
        <v>548572.54305245366</v>
      </c>
      <c r="AD243" s="60">
        <f t="shared" ref="AD243" si="231">IF($A$64&lt;=AD207,IF($B$64&gt;=AD207,ABS(AD242),0),0)</f>
        <v>226417.39828117419</v>
      </c>
      <c r="AE243" s="60">
        <f t="shared" ref="AE243" si="232">IF($A$64&lt;=AE207,IF($B$64&gt;=AE207,ABS(AE242),0),0)</f>
        <v>87640.052656070169</v>
      </c>
      <c r="AF243" s="60">
        <f t="shared" ref="AF243" si="233">IF($A$64&lt;=AF207,IF($B$64&gt;=AF207,ABS(AF242),0),0)</f>
        <v>27728.935560236074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7323.4600298283904</v>
      </c>
      <c r="C248" s="27">
        <f t="shared" ref="C248:AF248" si="234">($C$17+SUM(C249:C279))*$B$51</f>
        <v>7323.4600298005953</v>
      </c>
      <c r="D248" s="27">
        <f t="shared" si="234"/>
        <v>7323.460029522641</v>
      </c>
      <c r="E248" s="27">
        <f t="shared" si="234"/>
        <v>7323.4600267431006</v>
      </c>
      <c r="F248" s="27">
        <f t="shared" si="234"/>
        <v>7323.4599989477056</v>
      </c>
      <c r="G248" s="27">
        <f t="shared" si="234"/>
        <v>7323.4597209941548</v>
      </c>
      <c r="H248" s="27">
        <f t="shared" si="234"/>
        <v>7323.4569414992256</v>
      </c>
      <c r="I248" s="27">
        <f t="shared" si="234"/>
        <v>7323.4291506078189</v>
      </c>
      <c r="J248" s="27">
        <f t="shared" si="234"/>
        <v>7323.1516463271364</v>
      </c>
      <c r="K248" s="27">
        <f t="shared" si="234"/>
        <v>7320.4159436685013</v>
      </c>
      <c r="L248" s="27">
        <f t="shared" si="234"/>
        <v>7296.1198112112297</v>
      </c>
      <c r="M248" s="27">
        <f t="shared" si="234"/>
        <v>7156.5697381882246</v>
      </c>
      <c r="N248" s="27">
        <f t="shared" si="234"/>
        <v>6980.7097288960704</v>
      </c>
      <c r="O248" s="27">
        <f t="shared" si="234"/>
        <v>6791.2545885651443</v>
      </c>
      <c r="P248" s="27">
        <f t="shared" si="234"/>
        <v>6563.4398643297354</v>
      </c>
      <c r="Q248" s="27">
        <f t="shared" si="234"/>
        <v>6325.9880453272326</v>
      </c>
      <c r="R248" s="27">
        <f t="shared" si="234"/>
        <v>6043.1998094026803</v>
      </c>
      <c r="S248" s="27">
        <f t="shared" si="234"/>
        <v>5685.5324613369139</v>
      </c>
      <c r="T248" s="27">
        <f t="shared" si="234"/>
        <v>5281.2557126616457</v>
      </c>
      <c r="U248" s="27">
        <f t="shared" si="234"/>
        <v>4871.9508030679644</v>
      </c>
      <c r="V248" s="27">
        <f t="shared" si="234"/>
        <v>4460.6690517085199</v>
      </c>
      <c r="W248" s="27">
        <f t="shared" si="234"/>
        <v>4033.0403494292441</v>
      </c>
      <c r="X248" s="27">
        <f t="shared" si="234"/>
        <v>3512.3040586967845</v>
      </c>
      <c r="Y248" s="27">
        <f t="shared" si="234"/>
        <v>2905.4481795214706</v>
      </c>
      <c r="Z248" s="27">
        <f t="shared" si="234"/>
        <v>2217.9946079691049</v>
      </c>
      <c r="AA248" s="27">
        <f t="shared" si="234"/>
        <v>1474.3860566584333</v>
      </c>
      <c r="AB248" s="27">
        <f t="shared" si="234"/>
        <v>880.82126143690971</v>
      </c>
      <c r="AC248" s="27">
        <f t="shared" si="234"/>
        <v>501.61492315655624</v>
      </c>
      <c r="AD248" s="27">
        <f t="shared" si="234"/>
        <v>281.52927461645419</v>
      </c>
      <c r="AE248" s="27">
        <f t="shared" si="234"/>
        <v>194.42036088490849</v>
      </c>
      <c r="AF248" s="27">
        <f t="shared" si="234"/>
        <v>169.75840820580018</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6.8256315886010194E-2</v>
      </c>
      <c r="B280" s="80">
        <f>IF($D$61&lt;=B246,IF($E$61&gt;=B246,ABS((B248-B247)/B247),0),0)</f>
        <v>4.9700383471089774E-3</v>
      </c>
      <c r="C280" s="80">
        <f t="shared" ref="C280:AF280" si="266">IF($D$61&lt;=C246,IF($E$61&gt;=C246,ABS((C248-C247)/C247),0),0)</f>
        <v>4.960044958979724E-3</v>
      </c>
      <c r="D280" s="80">
        <f t="shared" si="266"/>
        <v>4.9654015087446492E-3</v>
      </c>
      <c r="E280" s="80">
        <f t="shared" si="266"/>
        <v>4.9667821226402767E-3</v>
      </c>
      <c r="F280" s="80">
        <f t="shared" si="266"/>
        <v>4.9671716828209884E-3</v>
      </c>
      <c r="G280" s="80">
        <f t="shared" si="266"/>
        <v>4.967284194469606E-3</v>
      </c>
      <c r="H280" s="80">
        <f t="shared" si="266"/>
        <v>4.9672459324496465E-3</v>
      </c>
      <c r="I280" s="80">
        <f t="shared" si="266"/>
        <v>4.9664537427384272E-3</v>
      </c>
      <c r="J280" s="80">
        <f t="shared" si="266"/>
        <v>4.9584689419481199E-3</v>
      </c>
      <c r="K280" s="80">
        <f t="shared" si="266"/>
        <v>4.8818627770252938E-3</v>
      </c>
      <c r="L280" s="80">
        <f t="shared" si="266"/>
        <v>4.3345397798368731E-3</v>
      </c>
      <c r="M280" s="80">
        <f t="shared" si="266"/>
        <v>4.0844303850928797E-4</v>
      </c>
      <c r="N280" s="80">
        <f t="shared" si="266"/>
        <v>4.462021965530626E-3</v>
      </c>
      <c r="O280" s="80">
        <f t="shared" si="266"/>
        <v>9.2659971369816446E-3</v>
      </c>
      <c r="P280" s="80">
        <f t="shared" si="266"/>
        <v>1.5582974520471542E-2</v>
      </c>
      <c r="Q280" s="80">
        <f t="shared" si="266"/>
        <v>2.042239955281993E-2</v>
      </c>
      <c r="R280" s="80">
        <f t="shared" si="266"/>
        <v>2.4840444058549922E-2</v>
      </c>
      <c r="S280" s="80">
        <f t="shared" si="266"/>
        <v>7.5327387963760083E-3</v>
      </c>
      <c r="T280" s="80">
        <f t="shared" si="266"/>
        <v>7.5741275721681031E-2</v>
      </c>
      <c r="U280" s="80">
        <f t="shared" si="266"/>
        <v>0.20156068533490135</v>
      </c>
      <c r="V280" s="80">
        <f t="shared" si="266"/>
        <v>0.31787732615151831</v>
      </c>
      <c r="W280" s="80">
        <f t="shared" si="266"/>
        <v>0.40631213583559478</v>
      </c>
      <c r="X280" s="80">
        <f t="shared" si="266"/>
        <v>0.4671756675053283</v>
      </c>
      <c r="Y280" s="80">
        <f t="shared" si="266"/>
        <v>0.51085838885929069</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1311.7343220569953</v>
      </c>
      <c r="C281" s="21">
        <f t="shared" ref="C281:AF281" si="267">(C248-C247)^2</f>
        <v>1306.4905305902914</v>
      </c>
      <c r="D281" s="21">
        <f t="shared" si="267"/>
        <v>1309.2999588843079</v>
      </c>
      <c r="E281" s="21">
        <f t="shared" si="267"/>
        <v>1310.0245529781537</v>
      </c>
      <c r="F281" s="21">
        <f t="shared" si="267"/>
        <v>1310.2290339164151</v>
      </c>
      <c r="G281" s="21">
        <f t="shared" si="267"/>
        <v>1310.2879978634282</v>
      </c>
      <c r="H281" s="21">
        <f t="shared" si="267"/>
        <v>1310.2669173477784</v>
      </c>
      <c r="I281" s="21">
        <f t="shared" si="267"/>
        <v>1309.8411447798167</v>
      </c>
      <c r="J281" s="21">
        <f t="shared" si="267"/>
        <v>1305.5545444704164</v>
      </c>
      <c r="K281" s="21">
        <f t="shared" si="267"/>
        <v>1264.773148136213</v>
      </c>
      <c r="L281" s="21">
        <f t="shared" si="267"/>
        <v>991.54653854371361</v>
      </c>
      <c r="M281" s="21">
        <f t="shared" si="267"/>
        <v>8.5372522831340429</v>
      </c>
      <c r="N281" s="21">
        <f t="shared" si="267"/>
        <v>978.91932587745941</v>
      </c>
      <c r="O281" s="21">
        <f t="shared" si="267"/>
        <v>4034.3187537136864</v>
      </c>
      <c r="P281" s="21">
        <f t="shared" si="267"/>
        <v>10794.574044533923</v>
      </c>
      <c r="Q281" s="21">
        <f t="shared" si="267"/>
        <v>17393.724202543795</v>
      </c>
      <c r="R281" s="21">
        <f t="shared" si="267"/>
        <v>23697.430385644224</v>
      </c>
      <c r="S281" s="21">
        <f t="shared" si="267"/>
        <v>1862.1545578577466</v>
      </c>
      <c r="T281" s="21">
        <f t="shared" si="267"/>
        <v>138268.72505428435</v>
      </c>
      <c r="U281" s="21">
        <f t="shared" si="267"/>
        <v>667922.41933591943</v>
      </c>
      <c r="V281" s="21">
        <f t="shared" si="267"/>
        <v>1157628.3031299312</v>
      </c>
      <c r="W281" s="21">
        <f t="shared" si="267"/>
        <v>1357754.570004523</v>
      </c>
      <c r="X281" s="21">
        <f t="shared" si="267"/>
        <v>1250778.5048454897</v>
      </c>
      <c r="Y281" s="21">
        <f t="shared" si="267"/>
        <v>965116.64550550806</v>
      </c>
      <c r="Z281" s="21">
        <f t="shared" si="267"/>
        <v>616175.38598977716</v>
      </c>
      <c r="AA281" s="21">
        <f t="shared" si="267"/>
        <v>298130.8074261091</v>
      </c>
      <c r="AB281" s="21">
        <f t="shared" si="267"/>
        <v>115629.71163883877</v>
      </c>
      <c r="AC281" s="21">
        <f t="shared" si="267"/>
        <v>39802.933516282508</v>
      </c>
      <c r="AD281" s="21">
        <f t="shared" si="267"/>
        <v>12898.871293081431</v>
      </c>
      <c r="AE281" s="21">
        <f t="shared" si="267"/>
        <v>6219.605804848472</v>
      </c>
      <c r="AF281" s="21">
        <f t="shared" si="267"/>
        <v>4792.3574252208264</v>
      </c>
      <c r="AG281" s="3"/>
      <c r="AH281" s="3"/>
    </row>
    <row r="282" spans="1:34" s="3" customFormat="1" x14ac:dyDescent="0.25">
      <c r="A282" s="71">
        <f>SUM(B282:AF282)</f>
        <v>5610278.8750876775</v>
      </c>
      <c r="B282" s="21">
        <f>IF($D$61&lt;=B246,IF($E$61&gt;=B246,ABS(B281),0),0)</f>
        <v>1311.7343220569953</v>
      </c>
      <c r="C282" s="21">
        <f t="shared" ref="C282:AF282" si="268">IF($D$61&lt;=C246,IF($E$61&gt;=C246,ABS(C281),0),0)</f>
        <v>1306.4905305902914</v>
      </c>
      <c r="D282" s="21">
        <f t="shared" si="268"/>
        <v>1309.2999588843079</v>
      </c>
      <c r="E282" s="21">
        <f t="shared" si="268"/>
        <v>1310.0245529781537</v>
      </c>
      <c r="F282" s="21">
        <f t="shared" si="268"/>
        <v>1310.2290339164151</v>
      </c>
      <c r="G282" s="21">
        <f t="shared" si="268"/>
        <v>1310.2879978634282</v>
      </c>
      <c r="H282" s="21">
        <f t="shared" si="268"/>
        <v>1310.2669173477784</v>
      </c>
      <c r="I282" s="21">
        <f t="shared" si="268"/>
        <v>1309.8411447798167</v>
      </c>
      <c r="J282" s="21">
        <f t="shared" si="268"/>
        <v>1305.5545444704164</v>
      </c>
      <c r="K282" s="21">
        <f t="shared" si="268"/>
        <v>1264.773148136213</v>
      </c>
      <c r="L282" s="21">
        <f t="shared" si="268"/>
        <v>991.54653854371361</v>
      </c>
      <c r="M282" s="21">
        <f t="shared" si="268"/>
        <v>8.5372522831340429</v>
      </c>
      <c r="N282" s="21">
        <f t="shared" si="268"/>
        <v>978.91932587745941</v>
      </c>
      <c r="O282" s="21">
        <f t="shared" si="268"/>
        <v>4034.3187537136864</v>
      </c>
      <c r="P282" s="21">
        <f t="shared" si="268"/>
        <v>10794.574044533923</v>
      </c>
      <c r="Q282" s="21">
        <f t="shared" si="268"/>
        <v>17393.724202543795</v>
      </c>
      <c r="R282" s="21">
        <f t="shared" si="268"/>
        <v>23697.430385644224</v>
      </c>
      <c r="S282" s="21">
        <f t="shared" si="268"/>
        <v>1862.1545578577466</v>
      </c>
      <c r="T282" s="21">
        <f t="shared" si="268"/>
        <v>138268.72505428435</v>
      </c>
      <c r="U282" s="21">
        <f t="shared" si="268"/>
        <v>667922.41933591943</v>
      </c>
      <c r="V282" s="21">
        <f t="shared" si="268"/>
        <v>1157628.3031299312</v>
      </c>
      <c r="W282" s="21">
        <f t="shared" si="268"/>
        <v>1357754.570004523</v>
      </c>
      <c r="X282" s="21">
        <f t="shared" si="268"/>
        <v>1250778.5048454897</v>
      </c>
      <c r="Y282" s="21">
        <f t="shared" si="268"/>
        <v>965116.64550550806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7323.4594940765683</v>
      </c>
      <c r="C287" s="27">
        <f t="shared" ref="C287:AF287" si="269">($C$17+SUM(C288:C318))*$B$51</f>
        <v>7323.45467240575</v>
      </c>
      <c r="D287" s="27">
        <f t="shared" si="269"/>
        <v>7323.4064679063167</v>
      </c>
      <c r="E287" s="27">
        <f t="shared" si="269"/>
        <v>7322.9256377758002</v>
      </c>
      <c r="F287" s="27">
        <f t="shared" si="269"/>
        <v>7318.2330859010799</v>
      </c>
      <c r="G287" s="27">
        <f t="shared" si="269"/>
        <v>7279.0859631225039</v>
      </c>
      <c r="H287" s="27">
        <f t="shared" si="269"/>
        <v>7102.5427498690042</v>
      </c>
      <c r="I287" s="27">
        <f t="shared" si="269"/>
        <v>6938.2069152854419</v>
      </c>
      <c r="J287" s="27">
        <f t="shared" si="269"/>
        <v>6730.7252185002653</v>
      </c>
      <c r="K287" s="27">
        <f t="shared" si="269"/>
        <v>6503.3315295744696</v>
      </c>
      <c r="L287" s="27">
        <f t="shared" si="269"/>
        <v>6260.6965789304386</v>
      </c>
      <c r="M287" s="27">
        <f t="shared" si="269"/>
        <v>5959.3006253913427</v>
      </c>
      <c r="N287" s="27">
        <f t="shared" si="269"/>
        <v>5589.1642934577103</v>
      </c>
      <c r="O287" s="27">
        <f t="shared" si="269"/>
        <v>5185.5294848265466</v>
      </c>
      <c r="P287" s="27">
        <f t="shared" si="269"/>
        <v>4781.2380636095704</v>
      </c>
      <c r="Q287" s="27">
        <f t="shared" si="269"/>
        <v>4365.7539877981308</v>
      </c>
      <c r="R287" s="27">
        <f t="shared" si="269"/>
        <v>3944.6136772551704</v>
      </c>
      <c r="S287" s="27">
        <f t="shared" si="269"/>
        <v>3360.3648570993687</v>
      </c>
      <c r="T287" s="27">
        <f t="shared" si="269"/>
        <v>2731.9749234842975</v>
      </c>
      <c r="U287" s="27">
        <f t="shared" si="269"/>
        <v>2026.6889137400069</v>
      </c>
      <c r="V287" s="27">
        <f t="shared" si="269"/>
        <v>1283.8577095729324</v>
      </c>
      <c r="W287" s="27">
        <f t="shared" si="269"/>
        <v>764.14250731497111</v>
      </c>
      <c r="X287" s="27">
        <f t="shared" si="269"/>
        <v>424.52457680770522</v>
      </c>
      <c r="Y287" s="27">
        <f t="shared" si="269"/>
        <v>246.70635696271935</v>
      </c>
      <c r="Z287" s="27">
        <f t="shared" si="269"/>
        <v>184.73396320303098</v>
      </c>
      <c r="AA287" s="27">
        <f t="shared" si="269"/>
        <v>164.43887136677202</v>
      </c>
      <c r="AB287" s="27">
        <f t="shared" si="269"/>
        <v>110.63901824843138</v>
      </c>
      <c r="AC287" s="27">
        <f t="shared" si="269"/>
        <v>96.386690793047748</v>
      </c>
      <c r="AD287" s="27">
        <f t="shared" si="269"/>
        <v>96.386688435585043</v>
      </c>
      <c r="AE287" s="27">
        <f t="shared" si="269"/>
        <v>96.386688435585043</v>
      </c>
      <c r="AF287" s="27">
        <f t="shared" si="269"/>
        <v>96.386688435585043</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0.14686086780740412</v>
      </c>
      <c r="B319" s="80">
        <f>IF($A$64&lt;=B285,IF($B$64&gt;=B285,ABS((B287-B286)/B286),0),0)</f>
        <v>1.2467513416298362E-2</v>
      </c>
      <c r="C319" s="80">
        <f t="shared" ref="C319:AF319" si="301">IF($A$64&lt;=C285,IF($B$64&gt;=C285,ABS((C287-C286)/C286),0),0)</f>
        <v>1.2457723888702914E-2</v>
      </c>
      <c r="D319" s="80">
        <f t="shared" si="301"/>
        <v>1.2464484531975321E-2</v>
      </c>
      <c r="E319" s="80">
        <f t="shared" si="301"/>
        <v>1.247969153881248E-2</v>
      </c>
      <c r="F319" s="80">
        <f t="shared" si="301"/>
        <v>1.261963824801029E-2</v>
      </c>
      <c r="G319" s="80">
        <f t="shared" si="301"/>
        <v>1.3806285818740159E-2</v>
      </c>
      <c r="H319" s="80">
        <f t="shared" si="301"/>
        <v>8.5016445208594537E-3</v>
      </c>
      <c r="I319" s="80">
        <f t="shared" si="301"/>
        <v>6.0227166694459518E-3</v>
      </c>
      <c r="J319" s="80">
        <f t="shared" si="301"/>
        <v>3.5868941532460899E-4</v>
      </c>
      <c r="K319" s="80">
        <f t="shared" si="301"/>
        <v>2.9767850745185042E-3</v>
      </c>
      <c r="L319" s="80">
        <f t="shared" si="301"/>
        <v>9.9735257762093351E-3</v>
      </c>
      <c r="M319" s="80">
        <f t="shared" si="301"/>
        <v>1.6755906433422649E-2</v>
      </c>
      <c r="N319" s="80">
        <f t="shared" si="301"/>
        <v>3.2472122809528298E-2</v>
      </c>
      <c r="O319" s="80">
        <f t="shared" si="301"/>
        <v>5.6450359262437112E-2</v>
      </c>
      <c r="P319" s="80">
        <f t="shared" si="301"/>
        <v>7.8510900610384932E-2</v>
      </c>
      <c r="Q319" s="80">
        <f t="shared" si="301"/>
        <v>9.9134243566778441E-2</v>
      </c>
      <c r="R319" s="80">
        <f t="shared" si="301"/>
        <v>8.4251790244135413E-2</v>
      </c>
      <c r="S319" s="80">
        <f t="shared" si="301"/>
        <v>1.8654078524758151E-2</v>
      </c>
      <c r="T319" s="80">
        <f t="shared" si="301"/>
        <v>0.11162957479835522</v>
      </c>
      <c r="U319" s="80">
        <f t="shared" si="301"/>
        <v>0.25807946547270522</v>
      </c>
      <c r="V319" s="80">
        <f t="shared" si="301"/>
        <v>0.36190708790275561</v>
      </c>
      <c r="W319" s="80">
        <f t="shared" si="301"/>
        <v>0.49736531112961208</v>
      </c>
      <c r="X319" s="80">
        <f t="shared" si="301"/>
        <v>0.56438892092287396</v>
      </c>
      <c r="Y319" s="80">
        <f t="shared" si="301"/>
        <v>0.61820846044512534</v>
      </c>
      <c r="Z319" s="80">
        <f t="shared" si="301"/>
        <v>0.61360446783257783</v>
      </c>
      <c r="AA319" s="80">
        <f t="shared" si="301"/>
        <v>0.62705766472525892</v>
      </c>
      <c r="AB319" s="80">
        <f t="shared" si="301"/>
        <v>0.18890138622338004</v>
      </c>
      <c r="AC319" s="80">
        <f t="shared" si="301"/>
        <v>4.0533763037012213E-2</v>
      </c>
      <c r="AD319" s="80">
        <f t="shared" si="301"/>
        <v>5.6509219828440621E-2</v>
      </c>
      <c r="AE319" s="80">
        <f t="shared" si="301"/>
        <v>5.6756740844343213E-2</v>
      </c>
      <c r="AF319" s="80">
        <f t="shared" si="301"/>
        <v>6.7386738516745537E-2</v>
      </c>
    </row>
    <row r="320" spans="1:34" x14ac:dyDescent="0.25">
      <c r="B320" s="21">
        <f>(B287-B286)^2</f>
        <v>8132.6121675627392</v>
      </c>
      <c r="C320" s="21">
        <f t="shared" ref="C320:AF320" si="302">(C287-C286)^2</f>
        <v>8119.9920117932752</v>
      </c>
      <c r="D320" s="21">
        <f t="shared" si="302"/>
        <v>8128.5920617540269</v>
      </c>
      <c r="E320" s="21">
        <f t="shared" si="302"/>
        <v>8147.1236625658421</v>
      </c>
      <c r="F320" s="21">
        <f t="shared" si="302"/>
        <v>8317.898096027162</v>
      </c>
      <c r="G320" s="21">
        <f t="shared" si="302"/>
        <v>9826.4682932080814</v>
      </c>
      <c r="H320" s="21">
        <f t="shared" si="302"/>
        <v>3584.927483025032</v>
      </c>
      <c r="I320" s="21">
        <f t="shared" si="302"/>
        <v>1725.2966763951786</v>
      </c>
      <c r="J320" s="21">
        <f t="shared" si="302"/>
        <v>5.8243752297229987</v>
      </c>
      <c r="K320" s="21">
        <f t="shared" si="302"/>
        <v>377.01289625812166</v>
      </c>
      <c r="L320" s="21">
        <f t="shared" si="302"/>
        <v>3977.8566224940296</v>
      </c>
      <c r="M320" s="21">
        <f t="shared" si="302"/>
        <v>10313.444830852444</v>
      </c>
      <c r="N320" s="21">
        <f t="shared" si="302"/>
        <v>35187.477879459453</v>
      </c>
      <c r="O320" s="21">
        <f t="shared" si="302"/>
        <v>96247.648827671364</v>
      </c>
      <c r="P320" s="21">
        <f t="shared" si="302"/>
        <v>165943.50188614143</v>
      </c>
      <c r="Q320" s="21">
        <f t="shared" si="302"/>
        <v>230805.28820946009</v>
      </c>
      <c r="R320" s="21">
        <f t="shared" si="302"/>
        <v>131708.88449742793</v>
      </c>
      <c r="S320" s="21">
        <f t="shared" si="302"/>
        <v>4080.1509051190005</v>
      </c>
      <c r="T320" s="21">
        <f t="shared" si="302"/>
        <v>75264.775944712499</v>
      </c>
      <c r="U320" s="21">
        <f t="shared" si="302"/>
        <v>172848.23022190062</v>
      </c>
      <c r="V320" s="21">
        <f t="shared" si="302"/>
        <v>116394.64607842128</v>
      </c>
      <c r="W320" s="21">
        <f t="shared" si="302"/>
        <v>64423.477912625582</v>
      </c>
      <c r="X320" s="21">
        <f t="shared" si="302"/>
        <v>23457.038031817279</v>
      </c>
      <c r="Y320" s="21">
        <f t="shared" si="302"/>
        <v>8883.0403352456397</v>
      </c>
      <c r="Z320" s="21">
        <f t="shared" si="302"/>
        <v>4934.8771527100871</v>
      </c>
      <c r="AA320" s="21">
        <f t="shared" si="302"/>
        <v>4016.2250993580124</v>
      </c>
      <c r="AB320" s="21">
        <f t="shared" si="302"/>
        <v>309.02616322558555</v>
      </c>
      <c r="AC320" s="21">
        <f t="shared" si="302"/>
        <v>14.097939265404037</v>
      </c>
      <c r="AD320" s="21">
        <f t="shared" si="302"/>
        <v>26.578236344257295</v>
      </c>
      <c r="AE320" s="21">
        <f t="shared" si="302"/>
        <v>26.799023103651756</v>
      </c>
      <c r="AF320" s="21">
        <f t="shared" si="302"/>
        <v>37.028778679981286</v>
      </c>
      <c r="AG320" s="3"/>
      <c r="AH320" s="3"/>
    </row>
    <row r="321" spans="1:34" x14ac:dyDescent="0.25">
      <c r="A321" s="71">
        <f>SUM(B321:AF321)</f>
        <v>1205265.8422998546</v>
      </c>
      <c r="B321" s="60">
        <f>IF($A$64&lt;=B285,IF($B$64&gt;=B285,ABS(B320),0),0)</f>
        <v>8132.6121675627392</v>
      </c>
      <c r="C321" s="60">
        <f t="shared" ref="C321" si="303">IF($A$64&lt;=C285,IF($B$64&gt;=C285,ABS(C320),0),0)</f>
        <v>8119.9920117932752</v>
      </c>
      <c r="D321" s="60">
        <f t="shared" ref="D321" si="304">IF($A$64&lt;=D285,IF($B$64&gt;=D285,ABS(D320),0),0)</f>
        <v>8128.5920617540269</v>
      </c>
      <c r="E321" s="60">
        <f t="shared" ref="E321" si="305">IF($A$64&lt;=E285,IF($B$64&gt;=E285,ABS(E320),0),0)</f>
        <v>8147.1236625658421</v>
      </c>
      <c r="F321" s="60">
        <f t="shared" ref="F321" si="306">IF($A$64&lt;=F285,IF($B$64&gt;=F285,ABS(F320),0),0)</f>
        <v>8317.898096027162</v>
      </c>
      <c r="G321" s="60">
        <f t="shared" ref="G321" si="307">IF($A$64&lt;=G285,IF($B$64&gt;=G285,ABS(G320),0),0)</f>
        <v>9826.4682932080814</v>
      </c>
      <c r="H321" s="60">
        <f t="shared" ref="H321" si="308">IF($A$64&lt;=H285,IF($B$64&gt;=H285,ABS(H320),0),0)</f>
        <v>3584.927483025032</v>
      </c>
      <c r="I321" s="60">
        <f t="shared" ref="I321" si="309">IF($A$64&lt;=I285,IF($B$64&gt;=I285,ABS(I320),0),0)</f>
        <v>1725.2966763951786</v>
      </c>
      <c r="J321" s="60">
        <f t="shared" ref="J321" si="310">IF($A$64&lt;=J285,IF($B$64&gt;=J285,ABS(J320),0),0)</f>
        <v>5.8243752297229987</v>
      </c>
      <c r="K321" s="60">
        <f t="shared" ref="K321" si="311">IF($A$64&lt;=K285,IF($B$64&gt;=K285,ABS(K320),0),0)</f>
        <v>377.01289625812166</v>
      </c>
      <c r="L321" s="60">
        <f t="shared" ref="L321" si="312">IF($A$64&lt;=L285,IF($B$64&gt;=L285,ABS(L320),0),0)</f>
        <v>3977.8566224940296</v>
      </c>
      <c r="M321" s="60">
        <f t="shared" ref="M321" si="313">IF($A$64&lt;=M285,IF($B$64&gt;=M285,ABS(M320),0),0)</f>
        <v>10313.444830852444</v>
      </c>
      <c r="N321" s="60">
        <f t="shared" ref="N321" si="314">IF($A$64&lt;=N285,IF($B$64&gt;=N285,ABS(N320),0),0)</f>
        <v>35187.477879459453</v>
      </c>
      <c r="O321" s="60">
        <f t="shared" ref="O321" si="315">IF($A$64&lt;=O285,IF($B$64&gt;=O285,ABS(O320),0),0)</f>
        <v>96247.648827671364</v>
      </c>
      <c r="P321" s="60">
        <f t="shared" ref="P321" si="316">IF($A$64&lt;=P285,IF($B$64&gt;=P285,ABS(P320),0),0)</f>
        <v>165943.50188614143</v>
      </c>
      <c r="Q321" s="60">
        <f t="shared" ref="Q321" si="317">IF($A$64&lt;=Q285,IF($B$64&gt;=Q285,ABS(Q320),0),0)</f>
        <v>230805.28820946009</v>
      </c>
      <c r="R321" s="60">
        <f t="shared" ref="R321" si="318">IF($A$64&lt;=R285,IF($B$64&gt;=R285,ABS(R320),0),0)</f>
        <v>131708.88449742793</v>
      </c>
      <c r="S321" s="60">
        <f t="shared" ref="S321" si="319">IF($A$64&lt;=S285,IF($B$64&gt;=S285,ABS(S320),0),0)</f>
        <v>4080.1509051190005</v>
      </c>
      <c r="T321" s="60">
        <f t="shared" ref="T321" si="320">IF($A$64&lt;=T285,IF($B$64&gt;=T285,ABS(T320),0),0)</f>
        <v>75264.775944712499</v>
      </c>
      <c r="U321" s="60">
        <f t="shared" ref="U321" si="321">IF($A$64&lt;=U285,IF($B$64&gt;=U285,ABS(U320),0),0)</f>
        <v>172848.23022190062</v>
      </c>
      <c r="V321" s="60">
        <f t="shared" ref="V321" si="322">IF($A$64&lt;=V285,IF($B$64&gt;=V285,ABS(V320),0),0)</f>
        <v>116394.64607842128</v>
      </c>
      <c r="W321" s="60">
        <f t="shared" ref="W321" si="323">IF($A$64&lt;=W285,IF($B$64&gt;=W285,ABS(W320),0),0)</f>
        <v>64423.477912625582</v>
      </c>
      <c r="X321" s="60">
        <f t="shared" ref="X321" si="324">IF($A$64&lt;=X285,IF($B$64&gt;=X285,ABS(X320),0),0)</f>
        <v>23457.038031817279</v>
      </c>
      <c r="Y321" s="60">
        <f t="shared" ref="Y321" si="325">IF($A$64&lt;=Y285,IF($B$64&gt;=Y285,ABS(Y320),0),0)</f>
        <v>8883.0403352456397</v>
      </c>
      <c r="Z321" s="60">
        <f t="shared" ref="Z321" si="326">IF($A$64&lt;=Z285,IF($B$64&gt;=Z285,ABS(Z320),0),0)</f>
        <v>4934.8771527100871</v>
      </c>
      <c r="AA321" s="60">
        <f t="shared" ref="AA321" si="327">IF($A$64&lt;=AA285,IF($B$64&gt;=AA285,ABS(AA320),0),0)</f>
        <v>4016.2250993580124</v>
      </c>
      <c r="AB321" s="60">
        <f t="shared" ref="AB321" si="328">IF($A$64&lt;=AB285,IF($B$64&gt;=AB285,ABS(AB320),0),0)</f>
        <v>309.02616322558555</v>
      </c>
      <c r="AC321" s="60">
        <f t="shared" ref="AC321" si="329">IF($A$64&lt;=AC285,IF($B$64&gt;=AC285,ABS(AC320),0),0)</f>
        <v>14.097939265404037</v>
      </c>
      <c r="AD321" s="60">
        <f t="shared" ref="AD321" si="330">IF($A$64&lt;=AD285,IF($B$64&gt;=AD285,ABS(AD320),0),0)</f>
        <v>26.578236344257295</v>
      </c>
      <c r="AE321" s="60">
        <f t="shared" ref="AE321" si="331">IF($A$64&lt;=AE285,IF($B$64&gt;=AE285,ABS(AE320),0),0)</f>
        <v>26.799023103651756</v>
      </c>
      <c r="AF321" s="60">
        <f t="shared" ref="AF321" si="332">IF($A$64&lt;=AF285,IF($B$64&gt;=AF285,ABS(AF320),0),0)</f>
        <v>37.028778679981286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6604.6310263199457</v>
      </c>
      <c r="C326" s="27">
        <f t="shared" ref="C326:AF326" si="333">($C$17+SUM(C327:C357))*$B$51</f>
        <v>6369.5687569623951</v>
      </c>
      <c r="D326" s="27">
        <f t="shared" si="333"/>
        <v>6098.7839306328133</v>
      </c>
      <c r="E326" s="27">
        <f t="shared" si="333"/>
        <v>5750.6642600001051</v>
      </c>
      <c r="F326" s="27">
        <f t="shared" si="333"/>
        <v>5348.6404753578718</v>
      </c>
      <c r="G326" s="27">
        <f t="shared" si="333"/>
        <v>4938.5010701898027</v>
      </c>
      <c r="H326" s="27">
        <f t="shared" si="333"/>
        <v>4531.8101459587688</v>
      </c>
      <c r="I326" s="27">
        <f t="shared" si="333"/>
        <v>4103.3759122074207</v>
      </c>
      <c r="J326" s="27">
        <f t="shared" si="333"/>
        <v>3634.4685869811465</v>
      </c>
      <c r="K326" s="27">
        <f t="shared" si="333"/>
        <v>3031.6188501793704</v>
      </c>
      <c r="L326" s="27">
        <f t="shared" si="333"/>
        <v>2357.4889108735319</v>
      </c>
      <c r="M326" s="27">
        <f t="shared" si="333"/>
        <v>1620.2509162580329</v>
      </c>
      <c r="N326" s="27">
        <f t="shared" si="333"/>
        <v>969.91788672118537</v>
      </c>
      <c r="O326" s="27">
        <f t="shared" si="333"/>
        <v>561.78756211572716</v>
      </c>
      <c r="P326" s="27">
        <f t="shared" si="333"/>
        <v>309.46820067343782</v>
      </c>
      <c r="Q326" s="27">
        <f t="shared" si="333"/>
        <v>202.3510777306179</v>
      </c>
      <c r="R326" s="27">
        <f t="shared" si="333"/>
        <v>172.5733391653126</v>
      </c>
      <c r="S326" s="27">
        <f t="shared" si="333"/>
        <v>138.71167553715517</v>
      </c>
      <c r="T326" s="27">
        <f t="shared" si="333"/>
        <v>96.512418594740353</v>
      </c>
      <c r="U326" s="27">
        <f t="shared" si="333"/>
        <v>96.386688435585043</v>
      </c>
      <c r="V326" s="27">
        <f t="shared" si="333"/>
        <v>96.386688435585043</v>
      </c>
      <c r="W326" s="27">
        <f t="shared" si="333"/>
        <v>96.386688435585043</v>
      </c>
      <c r="X326" s="27">
        <f t="shared" si="333"/>
        <v>96.386688435585043</v>
      </c>
      <c r="Y326" s="27">
        <f t="shared" si="333"/>
        <v>96.386688435585043</v>
      </c>
      <c r="Z326" s="27">
        <f t="shared" si="333"/>
        <v>96.386688435585043</v>
      </c>
      <c r="AA326" s="27">
        <f t="shared" si="333"/>
        <v>96.386688435585043</v>
      </c>
      <c r="AB326" s="27">
        <f t="shared" si="333"/>
        <v>96.386688435585043</v>
      </c>
      <c r="AC326" s="27">
        <f t="shared" si="333"/>
        <v>96.386688435585043</v>
      </c>
      <c r="AD326" s="27">
        <f t="shared" si="333"/>
        <v>96.386688435585043</v>
      </c>
      <c r="AE326" s="27">
        <f t="shared" si="333"/>
        <v>96.386688435585043</v>
      </c>
      <c r="AF326" s="27">
        <f t="shared" si="333"/>
        <v>96.386688435585043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9.9930917701363267E-2</v>
      </c>
      <c r="B358" s="80">
        <f>IF($A$64&lt;=B324,IF($B$64&gt;=B324,ABS((B326-B325)/B325),0),0)</f>
        <v>2.8681815371591085E-3</v>
      </c>
      <c r="C358" s="80">
        <f t="shared" ref="C358:AF358" si="365">IF($A$64&lt;=C324,IF($B$64&gt;=C324,ABS((C326-C325)/C325),0),0)</f>
        <v>5.5548076318006345E-3</v>
      </c>
      <c r="D358" s="80">
        <f t="shared" si="365"/>
        <v>1.7587674643020264E-4</v>
      </c>
      <c r="E358" s="80">
        <f t="shared" si="365"/>
        <v>1.281944921358028E-2</v>
      </c>
      <c r="F358" s="80">
        <f t="shared" si="365"/>
        <v>3.5748164830577883E-2</v>
      </c>
      <c r="G358" s="80">
        <f t="shared" si="365"/>
        <v>6.0645098266631337E-2</v>
      </c>
      <c r="H358" s="80">
        <f t="shared" si="365"/>
        <v>8.3260793692296595E-2</v>
      </c>
      <c r="I358" s="80">
        <f t="shared" si="365"/>
        <v>0.10274720829209594</v>
      </c>
      <c r="J358" s="80">
        <f t="shared" si="365"/>
        <v>0.10904033944642659</v>
      </c>
      <c r="K358" s="80">
        <f t="shared" si="365"/>
        <v>0.12361955696070971</v>
      </c>
      <c r="L358" s="80">
        <f t="shared" si="365"/>
        <v>0.12779745668384332</v>
      </c>
      <c r="M358" s="80">
        <f t="shared" si="365"/>
        <v>0.11565686547203469</v>
      </c>
      <c r="N358" s="80">
        <f t="shared" si="365"/>
        <v>0.1223573298275062</v>
      </c>
      <c r="O358" s="80">
        <f t="shared" si="365"/>
        <v>0.10957217141146149</v>
      </c>
      <c r="P358" s="80">
        <f t="shared" si="365"/>
        <v>0.12650517196834213</v>
      </c>
      <c r="Q358" s="80">
        <f t="shared" si="365"/>
        <v>0.18480294430511834</v>
      </c>
      <c r="R358" s="80">
        <f t="shared" si="365"/>
        <v>0.19574262217542576</v>
      </c>
      <c r="S358" s="80">
        <f t="shared" si="365"/>
        <v>0.25313773743024975</v>
      </c>
      <c r="T358" s="80">
        <f t="shared" si="365"/>
        <v>0.38953507245840913</v>
      </c>
      <c r="U358" s="80">
        <f t="shared" si="365"/>
        <v>0.27235599236571567</v>
      </c>
      <c r="V358" s="80">
        <f t="shared" si="365"/>
        <v>0.16652021393319799</v>
      </c>
      <c r="W358" s="80">
        <f t="shared" si="365"/>
        <v>8.8140508662391925E-2</v>
      </c>
      <c r="X358" s="80">
        <f t="shared" si="365"/>
        <v>3.3901989627107318E-2</v>
      </c>
      <c r="Y358" s="80">
        <f t="shared" si="365"/>
        <v>2.3433047546963367E-3</v>
      </c>
      <c r="Z358" s="80">
        <f t="shared" si="365"/>
        <v>2.6888984613000821E-2</v>
      </c>
      <c r="AA358" s="80">
        <f t="shared" si="365"/>
        <v>4.3358770839366234E-2</v>
      </c>
      <c r="AB358" s="80">
        <f t="shared" si="365"/>
        <v>4.6242374151198917E-2</v>
      </c>
      <c r="AC358" s="80">
        <f t="shared" si="365"/>
        <v>5.8191206096317144E-2</v>
      </c>
      <c r="AD358" s="80">
        <f t="shared" si="365"/>
        <v>6.0515083646688311E-2</v>
      </c>
      <c r="AE358" s="80">
        <f t="shared" si="365"/>
        <v>6.7519840271759057E-2</v>
      </c>
      <c r="AF358" s="80">
        <f t="shared" si="365"/>
        <v>7.0293331430722999E-2</v>
      </c>
    </row>
    <row r="359" spans="1:34" x14ac:dyDescent="0.25">
      <c r="B359" s="21">
        <f>(B326-B325)^2</f>
        <v>356.79822694751277</v>
      </c>
      <c r="C359" s="21">
        <f t="shared" ref="C359:AF359" si="366">(C326-C325)^2</f>
        <v>1238.0740291053698</v>
      </c>
      <c r="D359" s="21">
        <f t="shared" si="366"/>
        <v>1.1501396864624895</v>
      </c>
      <c r="E359" s="21">
        <f t="shared" si="366"/>
        <v>5576.7551566398906</v>
      </c>
      <c r="F359" s="21">
        <f t="shared" si="366"/>
        <v>39319.987246729703</v>
      </c>
      <c r="G359" s="21">
        <f t="shared" si="366"/>
        <v>101653.49168119293</v>
      </c>
      <c r="H359" s="21">
        <f t="shared" si="366"/>
        <v>169407.60290481336</v>
      </c>
      <c r="I359" s="21">
        <f t="shared" si="366"/>
        <v>220796.93182512643</v>
      </c>
      <c r="J359" s="21">
        <f t="shared" si="366"/>
        <v>197851.86407392749</v>
      </c>
      <c r="K359" s="21">
        <f t="shared" si="366"/>
        <v>182868.20764952211</v>
      </c>
      <c r="L359" s="21">
        <f t="shared" si="366"/>
        <v>119318.84523317491</v>
      </c>
      <c r="M359" s="21">
        <f t="shared" si="366"/>
        <v>44902.008738809527</v>
      </c>
      <c r="N359" s="21">
        <f t="shared" si="366"/>
        <v>18284.978691431214</v>
      </c>
      <c r="O359" s="21">
        <f t="shared" si="366"/>
        <v>4779.1133026509196</v>
      </c>
      <c r="P359" s="21">
        <f t="shared" si="366"/>
        <v>2008.7595134732958</v>
      </c>
      <c r="Q359" s="21">
        <f t="shared" si="366"/>
        <v>2104.2804051897747</v>
      </c>
      <c r="R359" s="21">
        <f t="shared" si="366"/>
        <v>1764.1199099225255</v>
      </c>
      <c r="S359" s="21">
        <f t="shared" si="366"/>
        <v>2210.3385161732404</v>
      </c>
      <c r="T359" s="21">
        <f t="shared" si="366"/>
        <v>3792.609206443723</v>
      </c>
      <c r="U359" s="21">
        <f t="shared" si="366"/>
        <v>1301.5776264661829</v>
      </c>
      <c r="V359" s="21">
        <f t="shared" si="366"/>
        <v>370.83259141235527</v>
      </c>
      <c r="W359" s="21">
        <f t="shared" si="366"/>
        <v>86.801929283724689</v>
      </c>
      <c r="X359" s="21">
        <f t="shared" si="366"/>
        <v>11.440423905342449</v>
      </c>
      <c r="Y359" s="21">
        <f t="shared" si="366"/>
        <v>5.0776022613930251E-2</v>
      </c>
      <c r="Z359" s="21">
        <f t="shared" si="366"/>
        <v>6.3699486836395849</v>
      </c>
      <c r="AA359" s="21">
        <f t="shared" si="366"/>
        <v>16.044297289213706</v>
      </c>
      <c r="AB359" s="21">
        <f t="shared" si="366"/>
        <v>18.148876879066457</v>
      </c>
      <c r="AC359" s="21">
        <f t="shared" si="366"/>
        <v>28.094450363959858</v>
      </c>
      <c r="AD359" s="21">
        <f t="shared" si="366"/>
        <v>30.250161321399329</v>
      </c>
      <c r="AE359" s="21">
        <f t="shared" si="366"/>
        <v>37.165931381586113</v>
      </c>
      <c r="AF359" s="21">
        <f t="shared" si="366"/>
        <v>40.073449947835741</v>
      </c>
      <c r="AG359" s="3"/>
      <c r="AH359" s="3"/>
    </row>
    <row r="360" spans="1:34" x14ac:dyDescent="0.25">
      <c r="A360" s="71">
        <f>SUM(B360:AF360)</f>
        <v>1120182.7669139171</v>
      </c>
      <c r="B360" s="60">
        <f>IF($A$64&lt;=B324,IF($B$64&gt;=B324,ABS(B359),0),0)</f>
        <v>356.79822694751277</v>
      </c>
      <c r="C360" s="60">
        <f t="shared" ref="C360:AF360" si="367">IF($A$64&lt;=C324,IF($B$64&gt;=C324,ABS(C359),0),0)</f>
        <v>1238.0740291053698</v>
      </c>
      <c r="D360" s="60">
        <f t="shared" si="367"/>
        <v>1.1501396864624895</v>
      </c>
      <c r="E360" s="60">
        <f t="shared" si="367"/>
        <v>5576.7551566398906</v>
      </c>
      <c r="F360" s="60">
        <f t="shared" si="367"/>
        <v>39319.987246729703</v>
      </c>
      <c r="G360" s="60">
        <f t="shared" si="367"/>
        <v>101653.49168119293</v>
      </c>
      <c r="H360" s="60">
        <f t="shared" si="367"/>
        <v>169407.60290481336</v>
      </c>
      <c r="I360" s="60">
        <f t="shared" si="367"/>
        <v>220796.93182512643</v>
      </c>
      <c r="J360" s="60">
        <f t="shared" si="367"/>
        <v>197851.86407392749</v>
      </c>
      <c r="K360" s="60">
        <f t="shared" si="367"/>
        <v>182868.20764952211</v>
      </c>
      <c r="L360" s="60">
        <f t="shared" si="367"/>
        <v>119318.84523317491</v>
      </c>
      <c r="M360" s="60">
        <f t="shared" si="367"/>
        <v>44902.008738809527</v>
      </c>
      <c r="N360" s="60">
        <f t="shared" si="367"/>
        <v>18284.978691431214</v>
      </c>
      <c r="O360" s="60">
        <f t="shared" si="367"/>
        <v>4779.1133026509196</v>
      </c>
      <c r="P360" s="60">
        <f t="shared" si="367"/>
        <v>2008.7595134732958</v>
      </c>
      <c r="Q360" s="60">
        <f t="shared" si="367"/>
        <v>2104.2804051897747</v>
      </c>
      <c r="R360" s="60">
        <f t="shared" si="367"/>
        <v>1764.1199099225255</v>
      </c>
      <c r="S360" s="60">
        <f t="shared" si="367"/>
        <v>2210.3385161732404</v>
      </c>
      <c r="T360" s="60">
        <f t="shared" si="367"/>
        <v>3792.609206443723</v>
      </c>
      <c r="U360" s="60">
        <f t="shared" si="367"/>
        <v>1301.5776264661829</v>
      </c>
      <c r="V360" s="60">
        <f t="shared" si="367"/>
        <v>370.83259141235527</v>
      </c>
      <c r="W360" s="60">
        <f t="shared" si="367"/>
        <v>86.801929283724689</v>
      </c>
      <c r="X360" s="60">
        <f t="shared" si="367"/>
        <v>11.440423905342449</v>
      </c>
      <c r="Y360" s="60">
        <f t="shared" si="367"/>
        <v>5.0776022613930251E-2</v>
      </c>
      <c r="Z360" s="60">
        <f t="shared" si="367"/>
        <v>6.3699486836395849</v>
      </c>
      <c r="AA360" s="60">
        <f t="shared" si="367"/>
        <v>16.044297289213706</v>
      </c>
      <c r="AB360" s="60">
        <f t="shared" si="367"/>
        <v>18.148876879066457</v>
      </c>
      <c r="AC360" s="60">
        <f t="shared" si="367"/>
        <v>28.094450363959858</v>
      </c>
      <c r="AD360" s="60">
        <f t="shared" si="367"/>
        <v>30.250161321399329</v>
      </c>
      <c r="AE360" s="60">
        <f t="shared" si="367"/>
        <v>37.165931381586113</v>
      </c>
      <c r="AF360" s="60">
        <f t="shared" si="367"/>
        <v>40.073449947835741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6163.0508653270017</v>
      </c>
      <c r="C365" s="27">
        <f t="shared" ref="C365:AF365" si="368">($C$17+SUM(C366:C396))*$B$51</f>
        <v>5831.5761074159809</v>
      </c>
      <c r="D365" s="27">
        <f t="shared" si="368"/>
        <v>5440.0984396676304</v>
      </c>
      <c r="E365" s="27">
        <f t="shared" si="368"/>
        <v>5033.3776272856248</v>
      </c>
      <c r="F365" s="27">
        <f t="shared" si="368"/>
        <v>4631.5142696396588</v>
      </c>
      <c r="G365" s="27">
        <f t="shared" si="368"/>
        <v>4208.1847336858318</v>
      </c>
      <c r="H365" s="27">
        <f t="shared" si="368"/>
        <v>3778.9847770407105</v>
      </c>
      <c r="I365" s="27">
        <f t="shared" si="368"/>
        <v>3167.3694554422727</v>
      </c>
      <c r="J365" s="27">
        <f t="shared" si="368"/>
        <v>2509.0172357330098</v>
      </c>
      <c r="K365" s="27">
        <f t="shared" si="368"/>
        <v>1782.7333573226556</v>
      </c>
      <c r="L365" s="27">
        <f t="shared" si="368"/>
        <v>1076.6801312272767</v>
      </c>
      <c r="M365" s="27">
        <f t="shared" si="368"/>
        <v>633.18931260960653</v>
      </c>
      <c r="N365" s="27">
        <f t="shared" si="368"/>
        <v>345.29614179508837</v>
      </c>
      <c r="O365" s="27">
        <f t="shared" si="368"/>
        <v>213.92336460964324</v>
      </c>
      <c r="P365" s="27">
        <f t="shared" si="368"/>
        <v>175.806540404229</v>
      </c>
      <c r="Q365" s="27">
        <f t="shared" si="368"/>
        <v>151.91150089531345</v>
      </c>
      <c r="R365" s="27">
        <f t="shared" si="368"/>
        <v>98.27962609963177</v>
      </c>
      <c r="S365" s="27">
        <f t="shared" si="368"/>
        <v>96.386688435585043</v>
      </c>
      <c r="T365" s="27">
        <f t="shared" si="368"/>
        <v>96.386688435585043</v>
      </c>
      <c r="U365" s="27">
        <f t="shared" si="368"/>
        <v>96.386688435585043</v>
      </c>
      <c r="V365" s="27">
        <f t="shared" si="368"/>
        <v>96.386688435585043</v>
      </c>
      <c r="W365" s="27">
        <f t="shared" si="368"/>
        <v>96.386688435585043</v>
      </c>
      <c r="X365" s="27">
        <f t="shared" si="368"/>
        <v>96.386688435585043</v>
      </c>
      <c r="Y365" s="27">
        <f t="shared" si="368"/>
        <v>96.386688435585043</v>
      </c>
      <c r="Z365" s="27">
        <f t="shared" si="368"/>
        <v>96.386688435585043</v>
      </c>
      <c r="AA365" s="27">
        <f t="shared" si="368"/>
        <v>96.386688435585043</v>
      </c>
      <c r="AB365" s="27">
        <f t="shared" si="368"/>
        <v>96.386688435585043</v>
      </c>
      <c r="AC365" s="27">
        <f t="shared" si="368"/>
        <v>96.386688435585043</v>
      </c>
      <c r="AD365" s="27">
        <f t="shared" si="368"/>
        <v>96.386688435585043</v>
      </c>
      <c r="AE365" s="27">
        <f t="shared" si="368"/>
        <v>96.386688435585043</v>
      </c>
      <c r="AF365" s="27">
        <f t="shared" si="368"/>
        <v>96.386688435585043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0.12158797823176964</v>
      </c>
      <c r="B397" s="80">
        <f>IF($A$64&lt;=B363,IF($B$64&gt;=B363,ABS((B365-B364)/B364),0),0)</f>
        <v>1.4056312828337989E-4</v>
      </c>
      <c r="C397" s="80">
        <f t="shared" ref="C397:AF397" si="400">IF($A$64&lt;=C363,IF($B$64&gt;=C363,ABS((C365-C364)/C364),0),0)</f>
        <v>1.7868377405467295E-3</v>
      </c>
      <c r="D397" s="80">
        <f t="shared" si="400"/>
        <v>2.1138883975488187E-2</v>
      </c>
      <c r="E397" s="80">
        <f t="shared" si="400"/>
        <v>4.5892242132099297E-2</v>
      </c>
      <c r="F397" s="80">
        <f t="shared" si="400"/>
        <v>6.7430675506290796E-2</v>
      </c>
      <c r="G397" s="80">
        <f t="shared" si="400"/>
        <v>8.9337704403980991E-2</v>
      </c>
      <c r="H397" s="80">
        <f t="shared" si="400"/>
        <v>9.0601518069074974E-2</v>
      </c>
      <c r="I397" s="80">
        <f t="shared" si="400"/>
        <v>0.1119788373119152</v>
      </c>
      <c r="J397" s="80">
        <f t="shared" si="400"/>
        <v>0.11993482043567394</v>
      </c>
      <c r="K397" s="80">
        <f t="shared" si="400"/>
        <v>0.10977361871630208</v>
      </c>
      <c r="L397" s="80">
        <f t="shared" si="400"/>
        <v>0.13625571044998377</v>
      </c>
      <c r="M397" s="80">
        <f t="shared" si="400"/>
        <v>0.12254915394760039</v>
      </c>
      <c r="N397" s="80">
        <f t="shared" si="400"/>
        <v>0.146840438119134</v>
      </c>
      <c r="O397" s="80">
        <f t="shared" si="400"/>
        <v>0.19296068484701548</v>
      </c>
      <c r="P397" s="80">
        <f t="shared" si="400"/>
        <v>0.21655098330421282</v>
      </c>
      <c r="Q397" s="80">
        <f t="shared" si="400"/>
        <v>0.24979005288703826</v>
      </c>
      <c r="R397" s="80">
        <f t="shared" si="400"/>
        <v>0.48229663681090268</v>
      </c>
      <c r="S397" s="80">
        <f t="shared" si="400"/>
        <v>0.43256180533903027</v>
      </c>
      <c r="T397" s="80">
        <f t="shared" si="400"/>
        <v>0.32262134194747022</v>
      </c>
      <c r="U397" s="80">
        <f t="shared" si="400"/>
        <v>0.20810303960505361</v>
      </c>
      <c r="V397" s="80">
        <f t="shared" si="400"/>
        <v>0.11795832006569215</v>
      </c>
      <c r="W397" s="80">
        <f t="shared" si="400"/>
        <v>5.432734234378897E-2</v>
      </c>
      <c r="X397" s="80">
        <f t="shared" si="400"/>
        <v>1.1431652866090101E-2</v>
      </c>
      <c r="Y397" s="80">
        <f t="shared" si="400"/>
        <v>1.7672280167980958E-2</v>
      </c>
      <c r="Z397" s="80">
        <f t="shared" si="400"/>
        <v>3.720272379111924E-2</v>
      </c>
      <c r="AA397" s="80">
        <f t="shared" si="400"/>
        <v>4.7610932939525757E-2</v>
      </c>
      <c r="AB397" s="80">
        <f t="shared" si="400"/>
        <v>5.0384225817302189E-2</v>
      </c>
      <c r="AC397" s="80">
        <f t="shared" si="400"/>
        <v>6.1415544613485758E-2</v>
      </c>
      <c r="AD397" s="80">
        <f t="shared" si="400"/>
        <v>6.159244447972418E-2</v>
      </c>
      <c r="AE397" s="80">
        <f t="shared" si="400"/>
        <v>6.9092022824169513E-2</v>
      </c>
      <c r="AF397" s="80">
        <f t="shared" si="400"/>
        <v>7.1994286598883322E-2</v>
      </c>
    </row>
    <row r="398" spans="1:34" x14ac:dyDescent="0.25">
      <c r="B398" s="21">
        <f>(B365-B364)^2</f>
        <v>0.75068274310906358</v>
      </c>
      <c r="C398" s="21">
        <f t="shared" ref="C398:AF398" si="401">(C365-C364)^2</f>
        <v>108.96713823102739</v>
      </c>
      <c r="D398" s="21">
        <f t="shared" si="401"/>
        <v>13801.791832300119</v>
      </c>
      <c r="E398" s="21">
        <f t="shared" si="401"/>
        <v>58614.184519615628</v>
      </c>
      <c r="F398" s="21">
        <f t="shared" si="401"/>
        <v>112149.87190753482</v>
      </c>
      <c r="G398" s="21">
        <f t="shared" si="401"/>
        <v>170429.3780417247</v>
      </c>
      <c r="H398" s="21">
        <f t="shared" si="401"/>
        <v>141746.64362640737</v>
      </c>
      <c r="I398" s="21">
        <f t="shared" si="401"/>
        <v>159522.78565880837</v>
      </c>
      <c r="J398" s="21">
        <f t="shared" si="401"/>
        <v>116914.45018635306</v>
      </c>
      <c r="K398" s="21">
        <f t="shared" si="401"/>
        <v>48324.55053726591</v>
      </c>
      <c r="L398" s="21">
        <f t="shared" si="401"/>
        <v>28847.783117359926</v>
      </c>
      <c r="M398" s="21">
        <f t="shared" si="401"/>
        <v>7820.6381545532722</v>
      </c>
      <c r="N398" s="21">
        <f t="shared" si="401"/>
        <v>3531.9477452340097</v>
      </c>
      <c r="O398" s="21">
        <f t="shared" si="401"/>
        <v>2616.1625279693831</v>
      </c>
      <c r="P398" s="21">
        <f t="shared" si="401"/>
        <v>2361.3963962938133</v>
      </c>
      <c r="Q398" s="21">
        <f t="shared" si="401"/>
        <v>2558.3853099215335</v>
      </c>
      <c r="R398" s="21">
        <f t="shared" si="401"/>
        <v>8382.8845570704489</v>
      </c>
      <c r="S398" s="21">
        <f t="shared" si="401"/>
        <v>5398.7513660835193</v>
      </c>
      <c r="T398" s="21">
        <f t="shared" si="401"/>
        <v>2107.4500348819315</v>
      </c>
      <c r="U398" s="21">
        <f t="shared" si="401"/>
        <v>641.58413208718378</v>
      </c>
      <c r="V398" s="21">
        <f t="shared" si="401"/>
        <v>166.1548646602759</v>
      </c>
      <c r="W398" s="21">
        <f t="shared" si="401"/>
        <v>30.661215982363576</v>
      </c>
      <c r="X398" s="21">
        <f t="shared" si="401"/>
        <v>1.2423351520307371</v>
      </c>
      <c r="Y398" s="21">
        <f t="shared" si="401"/>
        <v>2.8015824267812892</v>
      </c>
      <c r="Z398" s="21">
        <f t="shared" si="401"/>
        <v>11.952432434705765</v>
      </c>
      <c r="AA398" s="21">
        <f t="shared" si="401"/>
        <v>19.18878416069726</v>
      </c>
      <c r="AB398" s="21">
        <f t="shared" si="401"/>
        <v>21.376023400091622</v>
      </c>
      <c r="AC398" s="21">
        <f t="shared" si="401"/>
        <v>31.104258053128081</v>
      </c>
      <c r="AD398" s="21">
        <f t="shared" si="401"/>
        <v>31.273274900944308</v>
      </c>
      <c r="AE398" s="21">
        <f t="shared" si="401"/>
        <v>38.802504369692286</v>
      </c>
      <c r="AF398" s="21">
        <f t="shared" si="401"/>
        <v>41.90301212937193</v>
      </c>
      <c r="AG398" s="3"/>
      <c r="AH398" s="3"/>
    </row>
    <row r="399" spans="1:34" x14ac:dyDescent="0.25">
      <c r="A399" s="71">
        <f>SUM(B399:AF399)</f>
        <v>886276.81776010897</v>
      </c>
      <c r="B399" s="60">
        <f>IF($A$64&lt;=B363,IF($B$64&gt;=B363,ABS(B398),0),0)</f>
        <v>0.75068274310906358</v>
      </c>
      <c r="C399" s="60">
        <f t="shared" ref="C399" si="402">IF($A$64&lt;=C363,IF($B$64&gt;=C363,ABS(C398),0),0)</f>
        <v>108.96713823102739</v>
      </c>
      <c r="D399" s="60">
        <f t="shared" ref="D399" si="403">IF($A$64&lt;=D363,IF($B$64&gt;=D363,ABS(D398),0),0)</f>
        <v>13801.791832300119</v>
      </c>
      <c r="E399" s="60">
        <f t="shared" ref="E399" si="404">IF($A$64&lt;=E363,IF($B$64&gt;=E363,ABS(E398),0),0)</f>
        <v>58614.184519615628</v>
      </c>
      <c r="F399" s="60">
        <f t="shared" ref="F399" si="405">IF($A$64&lt;=F363,IF($B$64&gt;=F363,ABS(F398),0),0)</f>
        <v>112149.87190753482</v>
      </c>
      <c r="G399" s="60">
        <f t="shared" ref="G399" si="406">IF($A$64&lt;=G363,IF($B$64&gt;=G363,ABS(G398),0),0)</f>
        <v>170429.3780417247</v>
      </c>
      <c r="H399" s="60">
        <f t="shared" ref="H399" si="407">IF($A$64&lt;=H363,IF($B$64&gt;=H363,ABS(H398),0),0)</f>
        <v>141746.64362640737</v>
      </c>
      <c r="I399" s="60">
        <f t="shared" ref="I399" si="408">IF($A$64&lt;=I363,IF($B$64&gt;=I363,ABS(I398),0),0)</f>
        <v>159522.78565880837</v>
      </c>
      <c r="J399" s="60">
        <f t="shared" ref="J399" si="409">IF($A$64&lt;=J363,IF($B$64&gt;=J363,ABS(J398),0),0)</f>
        <v>116914.45018635306</v>
      </c>
      <c r="K399" s="60">
        <f t="shared" ref="K399" si="410">IF($A$64&lt;=K363,IF($B$64&gt;=K363,ABS(K398),0),0)</f>
        <v>48324.55053726591</v>
      </c>
      <c r="L399" s="60">
        <f t="shared" ref="L399" si="411">IF($A$64&lt;=L363,IF($B$64&gt;=L363,ABS(L398),0),0)</f>
        <v>28847.783117359926</v>
      </c>
      <c r="M399" s="60">
        <f t="shared" ref="M399" si="412">IF($A$64&lt;=M363,IF($B$64&gt;=M363,ABS(M398),0),0)</f>
        <v>7820.6381545532722</v>
      </c>
      <c r="N399" s="60">
        <f t="shared" ref="N399" si="413">IF($A$64&lt;=N363,IF($B$64&gt;=N363,ABS(N398),0),0)</f>
        <v>3531.9477452340097</v>
      </c>
      <c r="O399" s="60">
        <f t="shared" ref="O399" si="414">IF($A$64&lt;=O363,IF($B$64&gt;=O363,ABS(O398),0),0)</f>
        <v>2616.1625279693831</v>
      </c>
      <c r="P399" s="60">
        <f t="shared" ref="P399" si="415">IF($A$64&lt;=P363,IF($B$64&gt;=P363,ABS(P398),0),0)</f>
        <v>2361.3963962938133</v>
      </c>
      <c r="Q399" s="60">
        <f t="shared" ref="Q399" si="416">IF($A$64&lt;=Q363,IF($B$64&gt;=Q363,ABS(Q398),0),0)</f>
        <v>2558.3853099215335</v>
      </c>
      <c r="R399" s="60">
        <f t="shared" ref="R399" si="417">IF($A$64&lt;=R363,IF($B$64&gt;=R363,ABS(R398),0),0)</f>
        <v>8382.8845570704489</v>
      </c>
      <c r="S399" s="60">
        <f t="shared" ref="S399" si="418">IF($A$64&lt;=S363,IF($B$64&gt;=S363,ABS(S398),0),0)</f>
        <v>5398.7513660835193</v>
      </c>
      <c r="T399" s="60">
        <f t="shared" ref="T399" si="419">IF($A$64&lt;=T363,IF($B$64&gt;=T363,ABS(T398),0),0)</f>
        <v>2107.4500348819315</v>
      </c>
      <c r="U399" s="60">
        <f t="shared" ref="U399" si="420">IF($A$64&lt;=U363,IF($B$64&gt;=U363,ABS(U398),0),0)</f>
        <v>641.58413208718378</v>
      </c>
      <c r="V399" s="60">
        <f t="shared" ref="V399" si="421">IF($A$64&lt;=V363,IF($B$64&gt;=V363,ABS(V398),0),0)</f>
        <v>166.1548646602759</v>
      </c>
      <c r="W399" s="60">
        <f t="shared" ref="W399" si="422">IF($A$64&lt;=W363,IF($B$64&gt;=W363,ABS(W398),0),0)</f>
        <v>30.661215982363576</v>
      </c>
      <c r="X399" s="60">
        <f t="shared" ref="X399" si="423">IF($A$64&lt;=X363,IF($B$64&gt;=X363,ABS(X398),0),0)</f>
        <v>1.2423351520307371</v>
      </c>
      <c r="Y399" s="60">
        <f t="shared" ref="Y399" si="424">IF($A$64&lt;=Y363,IF($B$64&gt;=Y363,ABS(Y398),0),0)</f>
        <v>2.8015824267812892</v>
      </c>
      <c r="Z399" s="60">
        <f t="shared" ref="Z399" si="425">IF($A$64&lt;=Z363,IF($B$64&gt;=Z363,ABS(Z398),0),0)</f>
        <v>11.952432434705765</v>
      </c>
      <c r="AA399" s="60">
        <f t="shared" ref="AA399" si="426">IF($A$64&lt;=AA363,IF($B$64&gt;=AA363,ABS(AA398),0),0)</f>
        <v>19.18878416069726</v>
      </c>
      <c r="AB399" s="60">
        <f t="shared" ref="AB399" si="427">IF($A$64&lt;=AB363,IF($B$64&gt;=AB363,ABS(AB398),0),0)</f>
        <v>21.376023400091622</v>
      </c>
      <c r="AC399" s="60">
        <f t="shared" ref="AC399" si="428">IF($A$64&lt;=AC363,IF($B$64&gt;=AC363,ABS(AC398),0),0)</f>
        <v>31.104258053128081</v>
      </c>
      <c r="AD399" s="60">
        <f t="shared" ref="AD399" si="429">IF($A$64&lt;=AD363,IF($B$64&gt;=AD363,ABS(AD398),0),0)</f>
        <v>31.273274900944308</v>
      </c>
      <c r="AE399" s="60">
        <f t="shared" ref="AE399" si="430">IF($A$64&lt;=AE363,IF($B$64&gt;=AE363,ABS(AE398),0),0)</f>
        <v>38.802504369692286</v>
      </c>
      <c r="AF399" s="60">
        <f t="shared" ref="AF399" si="431">IF($A$64&lt;=AF363,IF($B$64&gt;=AF363,ABS(AF398),0),0)</f>
        <v>41.90301212937193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2022-01-11T18:36:10Z</dcterms:modified>
</cp:coreProperties>
</file>