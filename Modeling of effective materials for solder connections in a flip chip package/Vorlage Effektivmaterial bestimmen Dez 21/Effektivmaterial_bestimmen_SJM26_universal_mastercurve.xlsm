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4.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firstSheet="1" activeTab="6"/>
  </bookViews>
  <sheets>
    <sheet name="Modell einstellen" sheetId="42" r:id="rId1"/>
    <sheet name="Output" sheetId="39" r:id="rId2"/>
    <sheet name="CTE" sheetId="37" r:id="rId3"/>
    <sheet name="STUTT" sheetId="50" r:id="rId4"/>
    <sheet name="Comparison" sheetId="8" r:id="rId5"/>
    <sheet name="Mastercurve bestimmen" sheetId="43" r:id="rId6"/>
    <sheet name="Universal Mastercurve" sheetId="52" r:id="rId7"/>
    <sheet name="Shiftfunktion bestimmen" sheetId="44" r:id="rId8"/>
    <sheet name="creep_res-40" sheetId="2" r:id="rId9"/>
    <sheet name="creep_res0" sheetId="34" r:id="rId10"/>
    <sheet name="creep_res25" sheetId="4" r:id="rId11"/>
    <sheet name="creep_res50" sheetId="5" r:id="rId12"/>
    <sheet name="creep_res80" sheetId="11" r:id="rId13"/>
    <sheet name="creep_res125" sheetId="36" r:id="rId14"/>
    <sheet name="creep_res160" sheetId="35" r:id="rId15"/>
  </sheets>
  <definedNames>
    <definedName name="creep_res_25" localSheetId="8">'creep_res-40'!$A$1:$J$33</definedName>
    <definedName name="creep_res110" localSheetId="14">creep_res160!$A$1:$J$33</definedName>
    <definedName name="creep_res120" localSheetId="13">creep_res125!$A$1:$J$33</definedName>
    <definedName name="creep_res50" localSheetId="9">creep_res0!$A$1:$J$33</definedName>
    <definedName name="creep_res75_1" localSheetId="10">creep_res25!$A$1:$J$33</definedName>
    <definedName name="creep_res80" localSheetId="11">creep_res50!$A$1:$J$33</definedName>
    <definedName name="CTE_res100" localSheetId="2">CTE!$A$1:$J$14</definedName>
    <definedName name="res_z80" localSheetId="12">creep_res80!$A$1:$J$33</definedName>
    <definedName name="solver_adj" localSheetId="5" hidden="1">'Mastercurve bestimmen'!$B$126:$H$126</definedName>
    <definedName name="solver_adj" localSheetId="6" hidden="1">'Universal Mastercurve'!$B$110:$B$141</definedName>
    <definedName name="solver_cvg" localSheetId="5" hidden="1">0.000000000000001</definedName>
    <definedName name="solver_cvg" localSheetId="6" hidden="1">"""""""0,0001"""""""</definedName>
    <definedName name="solver_drv" localSheetId="5" hidden="1">1</definedName>
    <definedName name="solver_drv" localSheetId="6" hidden="1">2</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'Mastercurve bestimmen'!$C$18:$C$48</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0.000000000000001</definedName>
    <definedName name="solver_mrt" localSheetId="6" hidden="1">"""""""0,075"""""""</definedName>
    <definedName name="solver_msl" localSheetId="5" hidden="1">2</definedName>
    <definedName name="solver_msl" localSheetId="6" hidden="1">2</definedName>
    <definedName name="solver_neg" localSheetId="5" hidden="1">2</definedName>
    <definedName name="solver_neg" localSheetId="6" hidden="1">1</definedName>
    <definedName name="solver_nod" localSheetId="5" hidden="1">2147483647</definedName>
    <definedName name="solver_nod" localSheetId="6" hidden="1">2147483647</definedName>
    <definedName name="solver_num" localSheetId="5" hidden="1">0</definedName>
    <definedName name="solver_num" localSheetId="6" hidden="1">0</definedName>
    <definedName name="solver_nwt" localSheetId="5" hidden="1">1</definedName>
    <definedName name="solver_nwt" localSheetId="6" hidden="1">1</definedName>
    <definedName name="solver_opt" localSheetId="5" hidden="1">'Mastercurve bestimmen'!$A$121</definedName>
    <definedName name="solver_opt" localSheetId="6" hidden="1">'Universal Mastercurve'!$G$146</definedName>
    <definedName name="solver_pre" localSheetId="5" hidden="1">0.000000000000001</definedName>
    <definedName name="solver_pre" localSheetId="6" hidden="1">"""""""0,000001"""""""</definedName>
    <definedName name="solver_rbv" localSheetId="5" hidden="1">2</definedName>
    <definedName name="solver_rbv" localSheetId="6" hidden="1">2</definedName>
    <definedName name="solver_rel1" localSheetId="5" hidden="1">3</definedName>
    <definedName name="solver_rhs1" localSheetId="5" hidden="1">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2</definedName>
    <definedName name="solver_scl" localSheetId="6" hidden="1">2</definedName>
    <definedName name="solver_sho" localSheetId="5" hidden="1">2</definedName>
    <definedName name="solver_sho" localSheetId="6" hidden="1">2</definedName>
    <definedName name="solver_ssz" localSheetId="5" hidden="1">0</definedName>
    <definedName name="solver_ssz" localSheetId="6" hidden="1">100</definedName>
    <definedName name="solver_tim" localSheetId="5" hidden="1">2147483647</definedName>
    <definedName name="solver_tim" localSheetId="6" hidden="1">2147483647</definedName>
    <definedName name="solver_tol" localSheetId="5" hidden="1">1</definedName>
    <definedName name="solver_tol" localSheetId="6" hidden="1">1</definedName>
    <definedName name="solver_typ" localSheetId="5" hidden="1">2</definedName>
    <definedName name="solver_typ" localSheetId="6" hidden="1">2</definedName>
    <definedName name="solver_val" localSheetId="5" hidden="1">0</definedName>
    <definedName name="solver_val" localSheetId="6" hidden="1">0</definedName>
    <definedName name="solver_ver" localSheetId="5" hidden="1">3</definedName>
    <definedName name="solver_ver" localSheetId="6" hidden="1">3</definedName>
    <definedName name="STUTT" localSheetId="3">STUTT!$A$1:$D$10</definedName>
  </definedNames>
  <calcPr calcId="152511"/>
</workbook>
</file>

<file path=xl/calcChain.xml><?xml version="1.0" encoding="utf-8"?>
<calcChain xmlns="http://schemas.openxmlformats.org/spreadsheetml/2006/main">
  <c r="B111" i="52" l="1"/>
  <c r="B112" i="52"/>
  <c r="B113" i="52"/>
  <c r="B114" i="52"/>
  <c r="B115" i="52"/>
  <c r="B116" i="52"/>
  <c r="B117" i="52"/>
  <c r="B118" i="52"/>
  <c r="B119" i="52"/>
  <c r="B120" i="52"/>
  <c r="B121" i="52"/>
  <c r="B122" i="52"/>
  <c r="B123" i="52"/>
  <c r="B124" i="52"/>
  <c r="B125" i="52"/>
  <c r="B126" i="52"/>
  <c r="B127" i="52"/>
  <c r="B128" i="52"/>
  <c r="B129" i="52"/>
  <c r="B130" i="52"/>
  <c r="B131" i="52"/>
  <c r="B132" i="52"/>
  <c r="B133" i="52"/>
  <c r="B134" i="52"/>
  <c r="B135" i="52"/>
  <c r="B136" i="52"/>
  <c r="B137" i="52"/>
  <c r="B138" i="52"/>
  <c r="B139" i="52"/>
  <c r="B140" i="52"/>
  <c r="B141" i="52"/>
  <c r="B110" i="52"/>
  <c r="J81" i="52" l="1"/>
  <c r="J82" i="52"/>
  <c r="J83" i="52"/>
  <c r="J84" i="52"/>
  <c r="J85" i="52"/>
  <c r="J86" i="52"/>
  <c r="J87" i="52"/>
  <c r="J88" i="52"/>
  <c r="J89" i="52"/>
  <c r="J90" i="52"/>
  <c r="J91" i="52"/>
  <c r="J92" i="52"/>
  <c r="J93" i="52"/>
  <c r="J94" i="52"/>
  <c r="J95" i="52"/>
  <c r="J96" i="52"/>
  <c r="J97" i="52"/>
  <c r="J98" i="52"/>
  <c r="J99" i="52"/>
  <c r="J100" i="52"/>
  <c r="J101" i="52"/>
  <c r="J102" i="52"/>
  <c r="J73" i="52"/>
  <c r="J74" i="52"/>
  <c r="J75" i="52"/>
  <c r="J76" i="52"/>
  <c r="J77" i="52"/>
  <c r="J78" i="52"/>
  <c r="J79" i="52"/>
  <c r="J80" i="52"/>
  <c r="M11" i="8" l="1"/>
  <c r="M12" i="8" s="1"/>
  <c r="M13" i="8" s="1"/>
  <c r="M14" i="8" s="1"/>
  <c r="M15" i="8" s="1"/>
  <c r="M16" i="8" s="1"/>
  <c r="M17" i="8" s="1"/>
  <c r="M18" i="8" s="1"/>
  <c r="M19" i="8" s="1"/>
  <c r="M20" i="8" s="1"/>
  <c r="M21" i="8" s="1"/>
  <c r="M22" i="8" s="1"/>
  <c r="M23" i="8" s="1"/>
  <c r="M24" i="8" s="1"/>
  <c r="M25" i="8" s="1"/>
  <c r="M26" i="8" s="1"/>
  <c r="M27" i="8" s="1"/>
  <c r="M28" i="8" s="1"/>
  <c r="M29" i="8" s="1"/>
  <c r="M30" i="8" s="1"/>
  <c r="M31" i="8" s="1"/>
  <c r="M32" i="8" s="1"/>
  <c r="L1" i="37"/>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144" i="52" l="1"/>
  <c r="G108" i="52"/>
  <c r="H108" i="52"/>
  <c r="I108" i="52"/>
  <c r="J108" i="52"/>
  <c r="K108" i="52"/>
  <c r="L108" i="52"/>
  <c r="M108" i="52"/>
  <c r="N108" i="52"/>
  <c r="O108" i="52"/>
  <c r="P108" i="52"/>
  <c r="Q108" i="52"/>
  <c r="R108" i="52"/>
  <c r="S108" i="52"/>
  <c r="T108" i="52"/>
  <c r="U108" i="52"/>
  <c r="V108" i="52"/>
  <c r="W108" i="52"/>
  <c r="X108" i="52"/>
  <c r="Y108" i="52"/>
  <c r="Z108" i="52"/>
  <c r="AA108" i="52"/>
  <c r="AB108" i="52"/>
  <c r="AC108" i="52"/>
  <c r="AD108" i="52"/>
  <c r="AE108" i="52"/>
  <c r="AF108" i="52"/>
  <c r="AG108" i="52"/>
  <c r="AH108" i="52"/>
  <c r="AI108" i="52"/>
  <c r="AJ108" i="52"/>
  <c r="F108" i="52"/>
  <c r="A132" i="52"/>
  <c r="A133" i="52" s="1"/>
  <c r="A111" i="52"/>
  <c r="A73" i="52"/>
  <c r="A74" i="52"/>
  <c r="A75" i="52"/>
  <c r="A76" i="52"/>
  <c r="A77" i="52"/>
  <c r="A78" i="52"/>
  <c r="A79" i="52"/>
  <c r="A80" i="52"/>
  <c r="A81" i="52"/>
  <c r="A82" i="52"/>
  <c r="A83" i="52"/>
  <c r="A84" i="52"/>
  <c r="A85" i="52"/>
  <c r="A86" i="52"/>
  <c r="A87" i="52"/>
  <c r="A88" i="52"/>
  <c r="A89" i="52"/>
  <c r="A90" i="52"/>
  <c r="A91" i="52"/>
  <c r="A92" i="52"/>
  <c r="A93" i="52"/>
  <c r="A94" i="52"/>
  <c r="A95" i="52"/>
  <c r="A96" i="52"/>
  <c r="A97" i="52"/>
  <c r="A98" i="52"/>
  <c r="A99" i="52"/>
  <c r="A100" i="52"/>
  <c r="A101" i="52"/>
  <c r="A102" i="52"/>
  <c r="A72" i="52"/>
  <c r="B142" i="52" l="1"/>
  <c r="C140" i="52" s="1"/>
  <c r="N140" i="52" s="1"/>
  <c r="A134" i="52"/>
  <c r="A39" i="52"/>
  <c r="A40" i="52"/>
  <c r="A41" i="52" s="1"/>
  <c r="A42" i="52" s="1"/>
  <c r="A43" i="52" s="1"/>
  <c r="A44" i="52" s="1"/>
  <c r="A45" i="52" s="1"/>
  <c r="A46" i="52" s="1"/>
  <c r="A47" i="52" s="1"/>
  <c r="A48" i="52" s="1"/>
  <c r="A49" i="52" s="1"/>
  <c r="A50" i="52" s="1"/>
  <c r="A51" i="52" s="1"/>
  <c r="A52" i="52" s="1"/>
  <c r="A53" i="52" s="1"/>
  <c r="A54" i="52" s="1"/>
  <c r="A55" i="52" s="1"/>
  <c r="A56" i="52" s="1"/>
  <c r="A57" i="52" s="1"/>
  <c r="A58" i="52" s="1"/>
  <c r="A59" i="52" s="1"/>
  <c r="A60" i="52" s="1"/>
  <c r="A61" i="52" s="1"/>
  <c r="A62" i="52" s="1"/>
  <c r="A63" i="52" s="1"/>
  <c r="A64" i="52" s="1"/>
  <c r="A65" i="52" s="1"/>
  <c r="A66" i="52" s="1"/>
  <c r="A67" i="52" s="1"/>
  <c r="A38" i="52"/>
  <c r="A37" i="52"/>
  <c r="B436" i="43"/>
  <c r="C1" i="52"/>
  <c r="I441" i="43"/>
  <c r="I7" i="52" s="1"/>
  <c r="I449" i="43"/>
  <c r="I15" i="52" s="1"/>
  <c r="I453" i="43"/>
  <c r="I19" i="52" s="1"/>
  <c r="I457" i="43"/>
  <c r="I23" i="52" s="1"/>
  <c r="B459" i="43"/>
  <c r="B25" i="52" s="1"/>
  <c r="C459" i="43"/>
  <c r="C25" i="52" s="1"/>
  <c r="D459" i="43"/>
  <c r="D25" i="52" s="1"/>
  <c r="E459" i="43"/>
  <c r="E25" i="52" s="1"/>
  <c r="H459" i="43"/>
  <c r="H25" i="52" s="1"/>
  <c r="I459" i="43"/>
  <c r="I25" i="52" s="1"/>
  <c r="J459" i="43"/>
  <c r="J25" i="52" s="1"/>
  <c r="K459" i="43"/>
  <c r="K25" i="52" s="1"/>
  <c r="N459" i="43"/>
  <c r="N25" i="52" s="1"/>
  <c r="O459" i="43"/>
  <c r="O25" i="52" s="1"/>
  <c r="P459" i="43"/>
  <c r="P25" i="52" s="1"/>
  <c r="B460" i="43"/>
  <c r="B26" i="52" s="1"/>
  <c r="E460" i="43"/>
  <c r="E26" i="52" s="1"/>
  <c r="F460" i="43"/>
  <c r="F26" i="52" s="1"/>
  <c r="G460" i="43"/>
  <c r="G26" i="52" s="1"/>
  <c r="H460" i="43"/>
  <c r="H26" i="52" s="1"/>
  <c r="K460" i="43"/>
  <c r="K26" i="52" s="1"/>
  <c r="L460" i="43"/>
  <c r="L26" i="52" s="1"/>
  <c r="M460" i="43"/>
  <c r="M26" i="52" s="1"/>
  <c r="N460" i="43"/>
  <c r="N26" i="52" s="1"/>
  <c r="B461" i="43"/>
  <c r="B27" i="52" s="1"/>
  <c r="C461" i="43"/>
  <c r="C27" i="52" s="1"/>
  <c r="D461" i="43"/>
  <c r="D27" i="52" s="1"/>
  <c r="E461" i="43"/>
  <c r="E27" i="52" s="1"/>
  <c r="H461" i="43"/>
  <c r="H27" i="52" s="1"/>
  <c r="I461" i="43"/>
  <c r="I27" i="52" s="1"/>
  <c r="J461" i="43"/>
  <c r="J27" i="52" s="1"/>
  <c r="K461" i="43"/>
  <c r="K27" i="52" s="1"/>
  <c r="N461" i="43"/>
  <c r="N27" i="52" s="1"/>
  <c r="O461" i="43"/>
  <c r="O27" i="52" s="1"/>
  <c r="P461" i="43"/>
  <c r="P27" i="52" s="1"/>
  <c r="B462" i="43"/>
  <c r="B28" i="52" s="1"/>
  <c r="E462" i="43"/>
  <c r="E28" i="52" s="1"/>
  <c r="F462" i="43"/>
  <c r="F28" i="52" s="1"/>
  <c r="G462" i="43"/>
  <c r="G28" i="52" s="1"/>
  <c r="H462" i="43"/>
  <c r="H28" i="52" s="1"/>
  <c r="K462" i="43"/>
  <c r="K28" i="52" s="1"/>
  <c r="L462" i="43"/>
  <c r="L28" i="52" s="1"/>
  <c r="M462" i="43"/>
  <c r="M28" i="52" s="1"/>
  <c r="N462" i="43"/>
  <c r="N28" i="52" s="1"/>
  <c r="B463" i="43"/>
  <c r="B29" i="52" s="1"/>
  <c r="C463" i="43"/>
  <c r="C29" i="52" s="1"/>
  <c r="D463" i="43"/>
  <c r="D29" i="52" s="1"/>
  <c r="E463" i="43"/>
  <c r="E29" i="52" s="1"/>
  <c r="H463" i="43"/>
  <c r="H29" i="52" s="1"/>
  <c r="I463" i="43"/>
  <c r="I29" i="52" s="1"/>
  <c r="J463" i="43"/>
  <c r="J29" i="52" s="1"/>
  <c r="K463" i="43"/>
  <c r="K29" i="52" s="1"/>
  <c r="N463" i="43"/>
  <c r="N29" i="52" s="1"/>
  <c r="O463" i="43"/>
  <c r="O29" i="52" s="1"/>
  <c r="P463" i="43"/>
  <c r="P29" i="52" s="1"/>
  <c r="B464" i="43"/>
  <c r="B30" i="52" s="1"/>
  <c r="E464" i="43"/>
  <c r="E30" i="52" s="1"/>
  <c r="F464" i="43"/>
  <c r="F30" i="52" s="1"/>
  <c r="G464" i="43"/>
  <c r="G30" i="52" s="1"/>
  <c r="H464" i="43"/>
  <c r="H30" i="52" s="1"/>
  <c r="K464" i="43"/>
  <c r="K30" i="52" s="1"/>
  <c r="L464" i="43"/>
  <c r="L30" i="52" s="1"/>
  <c r="M464" i="43"/>
  <c r="M30" i="52" s="1"/>
  <c r="N464" i="43"/>
  <c r="N30" i="52" s="1"/>
  <c r="B465" i="43"/>
  <c r="B31" i="52" s="1"/>
  <c r="C465" i="43"/>
  <c r="C31" i="52" s="1"/>
  <c r="D465" i="43"/>
  <c r="D31" i="52" s="1"/>
  <c r="E465" i="43"/>
  <c r="E31" i="52" s="1"/>
  <c r="H465" i="43"/>
  <c r="H31" i="52" s="1"/>
  <c r="I465" i="43"/>
  <c r="I31" i="52" s="1"/>
  <c r="J465" i="43"/>
  <c r="J31" i="52" s="1"/>
  <c r="K465" i="43"/>
  <c r="K31" i="52" s="1"/>
  <c r="N465" i="43"/>
  <c r="N31" i="52" s="1"/>
  <c r="O465" i="43"/>
  <c r="O31" i="52" s="1"/>
  <c r="P465" i="43"/>
  <c r="P31" i="52" s="1"/>
  <c r="B466" i="43"/>
  <c r="B32" i="52" s="1"/>
  <c r="E466" i="43"/>
  <c r="E32" i="52" s="1"/>
  <c r="F466" i="43"/>
  <c r="F32" i="52" s="1"/>
  <c r="G466" i="43"/>
  <c r="G32" i="52" s="1"/>
  <c r="H466" i="43"/>
  <c r="H32" i="52" s="1"/>
  <c r="K466" i="43"/>
  <c r="K32" i="52" s="1"/>
  <c r="L466" i="43"/>
  <c r="L32" i="52" s="1"/>
  <c r="M466" i="43"/>
  <c r="M32" i="52" s="1"/>
  <c r="N466" i="43"/>
  <c r="N32" i="52" s="1"/>
  <c r="B467" i="43"/>
  <c r="B33" i="52" s="1"/>
  <c r="C467" i="43"/>
  <c r="C33" i="52" s="1"/>
  <c r="D467" i="43"/>
  <c r="D33" i="52" s="1"/>
  <c r="E467" i="43"/>
  <c r="E33" i="52" s="1"/>
  <c r="H467" i="43"/>
  <c r="H33" i="52" s="1"/>
  <c r="I467" i="43"/>
  <c r="I33" i="52" s="1"/>
  <c r="J467" i="43"/>
  <c r="J33" i="52" s="1"/>
  <c r="K467" i="43"/>
  <c r="K33" i="52" s="1"/>
  <c r="N467" i="43"/>
  <c r="N33" i="52" s="1"/>
  <c r="O467" i="43"/>
  <c r="O33" i="52" s="1"/>
  <c r="P467" i="43"/>
  <c r="P33" i="52" s="1"/>
  <c r="B468" i="43"/>
  <c r="B34" i="52" s="1"/>
  <c r="E468" i="43"/>
  <c r="E34" i="52" s="1"/>
  <c r="F468" i="43"/>
  <c r="F34" i="52" s="1"/>
  <c r="G468" i="43"/>
  <c r="G34" i="52" s="1"/>
  <c r="H468" i="43"/>
  <c r="H34" i="52" s="1"/>
  <c r="K468" i="43"/>
  <c r="K34" i="52" s="1"/>
  <c r="L468" i="43"/>
  <c r="L34" i="52" s="1"/>
  <c r="M468" i="43"/>
  <c r="M34" i="52" s="1"/>
  <c r="N468" i="43"/>
  <c r="N34" i="52" s="1"/>
  <c r="A439" i="43"/>
  <c r="A5" i="52" s="1"/>
  <c r="A440" i="43"/>
  <c r="A6" i="52" s="1"/>
  <c r="A441" i="43"/>
  <c r="A7" i="52" s="1"/>
  <c r="A442" i="43"/>
  <c r="A8" i="52" s="1"/>
  <c r="A443" i="43"/>
  <c r="A9" i="52" s="1"/>
  <c r="A444" i="43"/>
  <c r="A10" i="52" s="1"/>
  <c r="A445" i="43"/>
  <c r="A11" i="52" s="1"/>
  <c r="A446" i="43"/>
  <c r="A12" i="52" s="1"/>
  <c r="A447" i="43"/>
  <c r="A13" i="52" s="1"/>
  <c r="A448" i="43"/>
  <c r="A14" i="52" s="1"/>
  <c r="A449" i="43"/>
  <c r="A15" i="52" s="1"/>
  <c r="A450" i="43"/>
  <c r="A16" i="52" s="1"/>
  <c r="A451" i="43"/>
  <c r="A17" i="52" s="1"/>
  <c r="A452" i="43"/>
  <c r="A18" i="52" s="1"/>
  <c r="A453" i="43"/>
  <c r="A19" i="52" s="1"/>
  <c r="A454" i="43"/>
  <c r="A20" i="52" s="1"/>
  <c r="A455" i="43"/>
  <c r="A21" i="52" s="1"/>
  <c r="A456" i="43"/>
  <c r="A22" i="52" s="1"/>
  <c r="A457" i="43"/>
  <c r="A23" i="52" s="1"/>
  <c r="A458" i="43"/>
  <c r="A24" i="52" s="1"/>
  <c r="A459" i="43"/>
  <c r="A25" i="52" s="1"/>
  <c r="A460" i="43"/>
  <c r="A26" i="52" s="1"/>
  <c r="A461" i="43"/>
  <c r="A27" i="52" s="1"/>
  <c r="A462" i="43"/>
  <c r="A28" i="52" s="1"/>
  <c r="A463" i="43"/>
  <c r="A29" i="52" s="1"/>
  <c r="A464" i="43"/>
  <c r="A30" i="52" s="1"/>
  <c r="A465" i="43"/>
  <c r="A31" i="52" s="1"/>
  <c r="A466" i="43"/>
  <c r="A32" i="52" s="1"/>
  <c r="A467" i="43"/>
  <c r="A33" i="52" s="1"/>
  <c r="A468" i="43"/>
  <c r="A34" i="52" s="1"/>
  <c r="A438" i="43"/>
  <c r="A4" i="52" s="1"/>
  <c r="D436" i="43"/>
  <c r="A1" i="52" s="1"/>
  <c r="G140" i="52" l="1"/>
  <c r="J140" i="52"/>
  <c r="P140" i="52"/>
  <c r="C112" i="52"/>
  <c r="L112" i="52" s="1"/>
  <c r="C127" i="52"/>
  <c r="L127" i="52" s="1"/>
  <c r="C134" i="52"/>
  <c r="W134" i="52" s="1"/>
  <c r="O140" i="52"/>
  <c r="C141" i="52"/>
  <c r="L141" i="52" s="1"/>
  <c r="K140" i="52"/>
  <c r="C137" i="52"/>
  <c r="N137" i="52" s="1"/>
  <c r="W140" i="52"/>
  <c r="C131" i="52"/>
  <c r="O131" i="52" s="1"/>
  <c r="I140" i="52"/>
  <c r="C120" i="52"/>
  <c r="H120" i="52" s="1"/>
  <c r="C125" i="52"/>
  <c r="G125" i="52" s="1"/>
  <c r="C119" i="52"/>
  <c r="B82" i="39" s="1"/>
  <c r="C113" i="52"/>
  <c r="G113" i="52" s="1"/>
  <c r="AE140" i="52"/>
  <c r="AA140" i="52"/>
  <c r="AC140" i="52"/>
  <c r="C121" i="52"/>
  <c r="H121" i="52" s="1"/>
  <c r="C128" i="52"/>
  <c r="G128" i="52" s="1"/>
  <c r="C135" i="52"/>
  <c r="B98" i="39" s="1"/>
  <c r="C129" i="52"/>
  <c r="M129" i="52" s="1"/>
  <c r="C123" i="52"/>
  <c r="L123" i="52" s="1"/>
  <c r="AI140" i="52"/>
  <c r="C116" i="52"/>
  <c r="K116" i="52" s="1"/>
  <c r="AB140" i="52"/>
  <c r="AD140" i="52"/>
  <c r="H140" i="52"/>
  <c r="C115" i="52"/>
  <c r="B78" i="39" s="1"/>
  <c r="C122" i="52"/>
  <c r="B85" i="39" s="1"/>
  <c r="Y140" i="52"/>
  <c r="T140" i="52"/>
  <c r="AH140" i="52"/>
  <c r="U140" i="52"/>
  <c r="M140" i="52"/>
  <c r="V140" i="52"/>
  <c r="C133" i="52"/>
  <c r="AJ133" i="52" s="1"/>
  <c r="AF140" i="52"/>
  <c r="C136" i="52"/>
  <c r="H136" i="52" s="1"/>
  <c r="X140" i="52"/>
  <c r="C111" i="52"/>
  <c r="AH111" i="52" s="1"/>
  <c r="Q140" i="52"/>
  <c r="C110" i="52"/>
  <c r="C138" i="52"/>
  <c r="B101" i="39" s="1"/>
  <c r="Z140" i="52"/>
  <c r="C139" i="52"/>
  <c r="O139" i="52" s="1"/>
  <c r="F140" i="52"/>
  <c r="L140" i="52"/>
  <c r="C126" i="52"/>
  <c r="Z126" i="52" s="1"/>
  <c r="R140" i="52"/>
  <c r="C130" i="52"/>
  <c r="U130" i="52" s="1"/>
  <c r="C132" i="52"/>
  <c r="S132" i="52" s="1"/>
  <c r="AJ140" i="52"/>
  <c r="AG140" i="52"/>
  <c r="C124" i="52"/>
  <c r="AJ124" i="52" s="1"/>
  <c r="C117" i="52"/>
  <c r="F117" i="52" s="1"/>
  <c r="C118" i="52"/>
  <c r="I118" i="52" s="1"/>
  <c r="C114" i="52"/>
  <c r="AB114" i="52" s="1"/>
  <c r="S140" i="52"/>
  <c r="B103" i="39"/>
  <c r="A135" i="52"/>
  <c r="I438" i="43"/>
  <c r="I4" i="52" s="1"/>
  <c r="I440" i="43"/>
  <c r="I6" i="52" s="1"/>
  <c r="I442" i="43"/>
  <c r="I8" i="52" s="1"/>
  <c r="I444" i="43"/>
  <c r="I10" i="52" s="1"/>
  <c r="I446" i="43"/>
  <c r="I12" i="52" s="1"/>
  <c r="I448" i="43"/>
  <c r="I14" i="52" s="1"/>
  <c r="I450" i="43"/>
  <c r="I16" i="52" s="1"/>
  <c r="I452" i="43"/>
  <c r="I18" i="52" s="1"/>
  <c r="I454" i="43"/>
  <c r="I20" i="52" s="1"/>
  <c r="I456" i="43"/>
  <c r="I22" i="52" s="1"/>
  <c r="I458" i="43"/>
  <c r="I24" i="52" s="1"/>
  <c r="F459" i="43"/>
  <c r="F25" i="52" s="1"/>
  <c r="L459" i="43"/>
  <c r="L25" i="52" s="1"/>
  <c r="C460" i="43"/>
  <c r="C26" i="52" s="1"/>
  <c r="I460" i="43"/>
  <c r="I26" i="52" s="1"/>
  <c r="O460" i="43"/>
  <c r="O26" i="52" s="1"/>
  <c r="F461" i="43"/>
  <c r="F27" i="52" s="1"/>
  <c r="L461" i="43"/>
  <c r="L27" i="52" s="1"/>
  <c r="C462" i="43"/>
  <c r="C28" i="52" s="1"/>
  <c r="I462" i="43"/>
  <c r="I28" i="52" s="1"/>
  <c r="O462" i="43"/>
  <c r="O28" i="52" s="1"/>
  <c r="F463" i="43"/>
  <c r="F29" i="52" s="1"/>
  <c r="L463" i="43"/>
  <c r="L29" i="52" s="1"/>
  <c r="C464" i="43"/>
  <c r="C30" i="52" s="1"/>
  <c r="I464" i="43"/>
  <c r="I30" i="52" s="1"/>
  <c r="O464" i="43"/>
  <c r="O30" i="52" s="1"/>
  <c r="F465" i="43"/>
  <c r="F31" i="52" s="1"/>
  <c r="L465" i="43"/>
  <c r="L31" i="52" s="1"/>
  <c r="C466" i="43"/>
  <c r="C32" i="52" s="1"/>
  <c r="I466" i="43"/>
  <c r="I32" i="52" s="1"/>
  <c r="O466" i="43"/>
  <c r="O32" i="52" s="1"/>
  <c r="F467" i="43"/>
  <c r="F33" i="52" s="1"/>
  <c r="L467" i="43"/>
  <c r="L33" i="52" s="1"/>
  <c r="C468" i="43"/>
  <c r="C34" i="52" s="1"/>
  <c r="I468" i="43"/>
  <c r="I34" i="52" s="1"/>
  <c r="O468" i="43"/>
  <c r="O34" i="52" s="1"/>
  <c r="G459" i="43"/>
  <c r="G25" i="52" s="1"/>
  <c r="M459" i="43"/>
  <c r="M25" i="52" s="1"/>
  <c r="D460" i="43"/>
  <c r="D26" i="52" s="1"/>
  <c r="J460" i="43"/>
  <c r="J26" i="52" s="1"/>
  <c r="P460" i="43"/>
  <c r="P26" i="52" s="1"/>
  <c r="G461" i="43"/>
  <c r="G27" i="52" s="1"/>
  <c r="M461" i="43"/>
  <c r="M27" i="52" s="1"/>
  <c r="D462" i="43"/>
  <c r="D28" i="52" s="1"/>
  <c r="J462" i="43"/>
  <c r="J28" i="52" s="1"/>
  <c r="P462" i="43"/>
  <c r="P28" i="52" s="1"/>
  <c r="G463" i="43"/>
  <c r="G29" i="52" s="1"/>
  <c r="M463" i="43"/>
  <c r="M29" i="52" s="1"/>
  <c r="D464" i="43"/>
  <c r="D30" i="52" s="1"/>
  <c r="J464" i="43"/>
  <c r="J30" i="52" s="1"/>
  <c r="P464" i="43"/>
  <c r="P30" i="52" s="1"/>
  <c r="G465" i="43"/>
  <c r="G31" i="52" s="1"/>
  <c r="M465" i="43"/>
  <c r="M31" i="52" s="1"/>
  <c r="D466" i="43"/>
  <c r="D32" i="52" s="1"/>
  <c r="J466" i="43"/>
  <c r="J32" i="52" s="1"/>
  <c r="P466" i="43"/>
  <c r="P32" i="52" s="1"/>
  <c r="G467" i="43"/>
  <c r="G33" i="52" s="1"/>
  <c r="M467" i="43"/>
  <c r="M33" i="52" s="1"/>
  <c r="D468" i="43"/>
  <c r="D34" i="52" s="1"/>
  <c r="J468" i="43"/>
  <c r="J34" i="52" s="1"/>
  <c r="P468" i="43"/>
  <c r="P34" i="52" s="1"/>
  <c r="I443" i="43"/>
  <c r="I9" i="52" s="1"/>
  <c r="I445" i="43"/>
  <c r="I11" i="52" s="1"/>
  <c r="I439" i="43"/>
  <c r="I5" i="52" s="1"/>
  <c r="I455" i="43"/>
  <c r="I21" i="52" s="1"/>
  <c r="I451" i="43"/>
  <c r="I17" i="52" s="1"/>
  <c r="I447" i="43"/>
  <c r="I13" i="52" s="1"/>
  <c r="I404" i="43"/>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A67" i="43"/>
  <c r="M123" i="52" l="1"/>
  <c r="AG115" i="52"/>
  <c r="AD115" i="52"/>
  <c r="AG123" i="52"/>
  <c r="Q123" i="52"/>
  <c r="U115" i="52"/>
  <c r="AB123" i="52"/>
  <c r="AH120" i="52"/>
  <c r="P123" i="52"/>
  <c r="U123" i="52"/>
  <c r="O123" i="52"/>
  <c r="F115" i="52"/>
  <c r="AI123" i="52"/>
  <c r="K115" i="52"/>
  <c r="G115" i="52"/>
  <c r="AH115" i="52"/>
  <c r="T115" i="52"/>
  <c r="AB115" i="52"/>
  <c r="Y115" i="52"/>
  <c r="AE123" i="52"/>
  <c r="AF123" i="52"/>
  <c r="N111" i="52"/>
  <c r="AG122" i="52"/>
  <c r="AI115" i="52"/>
  <c r="N115" i="52"/>
  <c r="J115" i="52"/>
  <c r="V115" i="52"/>
  <c r="V123" i="52"/>
  <c r="AA123" i="52"/>
  <c r="X123" i="52"/>
  <c r="Z123" i="52"/>
  <c r="H115" i="52"/>
  <c r="G123" i="52"/>
  <c r="Z115" i="52"/>
  <c r="AA115" i="52"/>
  <c r="AF115" i="52"/>
  <c r="AE115" i="52"/>
  <c r="P115" i="52"/>
  <c r="AJ123" i="52"/>
  <c r="R123" i="52"/>
  <c r="N123" i="52"/>
  <c r="T123" i="52"/>
  <c r="L115" i="52"/>
  <c r="R115" i="52"/>
  <c r="AJ115" i="52"/>
  <c r="W115" i="52"/>
  <c r="X115" i="52"/>
  <c r="F123" i="52"/>
  <c r="H123" i="52"/>
  <c r="AH123" i="52"/>
  <c r="AD123" i="52"/>
  <c r="K123" i="52"/>
  <c r="I123" i="52"/>
  <c r="AC115" i="52"/>
  <c r="S115" i="52"/>
  <c r="M115" i="52"/>
  <c r="Q115" i="52"/>
  <c r="S123" i="52"/>
  <c r="AC123" i="52"/>
  <c r="Y123" i="52"/>
  <c r="W123" i="52"/>
  <c r="AD120" i="52"/>
  <c r="O115" i="52"/>
  <c r="B86" i="39"/>
  <c r="N122" i="52"/>
  <c r="AG141" i="52"/>
  <c r="Y141" i="52"/>
  <c r="S122" i="52"/>
  <c r="L120" i="52"/>
  <c r="AA141" i="52"/>
  <c r="V122" i="52"/>
  <c r="T120" i="52"/>
  <c r="O120" i="52"/>
  <c r="U114" i="52"/>
  <c r="AI111" i="52"/>
  <c r="J123" i="52"/>
  <c r="I115" i="52"/>
  <c r="AB122" i="52"/>
  <c r="G141" i="52"/>
  <c r="Q120" i="52"/>
  <c r="AI120" i="52"/>
  <c r="T141" i="52"/>
  <c r="AC122" i="52"/>
  <c r="R122" i="52"/>
  <c r="P120" i="52"/>
  <c r="AE120" i="52"/>
  <c r="B83" i="39"/>
  <c r="AA122" i="52"/>
  <c r="K120" i="52"/>
  <c r="Y120" i="52"/>
  <c r="I120" i="52"/>
  <c r="K122" i="52"/>
  <c r="M120" i="52"/>
  <c r="G122" i="52"/>
  <c r="R141" i="52"/>
  <c r="P141" i="52"/>
  <c r="J141" i="52"/>
  <c r="O141" i="52"/>
  <c r="U141" i="52"/>
  <c r="AJ122" i="52"/>
  <c r="W122" i="52"/>
  <c r="L122" i="52"/>
  <c r="M141" i="52"/>
  <c r="AB120" i="52"/>
  <c r="N120" i="52"/>
  <c r="AD141" i="52"/>
  <c r="S141" i="52"/>
  <c r="AE141" i="52"/>
  <c r="AI141" i="52"/>
  <c r="AE122" i="52"/>
  <c r="T122" i="52"/>
  <c r="Q112" i="52"/>
  <c r="W120" i="52"/>
  <c r="AJ120" i="52"/>
  <c r="F141" i="52"/>
  <c r="K141" i="52"/>
  <c r="Q141" i="52"/>
  <c r="O122" i="52"/>
  <c r="AF113" i="52"/>
  <c r="X112" i="52"/>
  <c r="U122" i="52"/>
  <c r="P122" i="52"/>
  <c r="Y122" i="52"/>
  <c r="AC113" i="52"/>
  <c r="W127" i="52"/>
  <c r="X120" i="52"/>
  <c r="Z120" i="52"/>
  <c r="S120" i="52"/>
  <c r="H141" i="52"/>
  <c r="AF141" i="52"/>
  <c r="G120" i="52"/>
  <c r="AC112" i="52"/>
  <c r="AB112" i="52"/>
  <c r="Q122" i="52"/>
  <c r="X122" i="52"/>
  <c r="AD122" i="52"/>
  <c r="Z122" i="52"/>
  <c r="T121" i="52"/>
  <c r="J120" i="52"/>
  <c r="Y112" i="52"/>
  <c r="I141" i="52"/>
  <c r="F120" i="52"/>
  <c r="AF120" i="52"/>
  <c r="R120" i="52"/>
  <c r="V120" i="52"/>
  <c r="Z141" i="52"/>
  <c r="N141" i="52"/>
  <c r="AB141" i="52"/>
  <c r="AH141" i="52"/>
  <c r="W141" i="52"/>
  <c r="H122" i="52"/>
  <c r="M122" i="52"/>
  <c r="X138" i="52"/>
  <c r="AG113" i="52"/>
  <c r="R112" i="52"/>
  <c r="N112" i="52"/>
  <c r="H125" i="52"/>
  <c r="AI122" i="52"/>
  <c r="AH122" i="52"/>
  <c r="F122" i="52"/>
  <c r="AF122" i="52"/>
  <c r="AG121" i="52"/>
  <c r="I112" i="52"/>
  <c r="F112" i="52"/>
  <c r="AF112" i="52"/>
  <c r="U120" i="52"/>
  <c r="AG120" i="52"/>
  <c r="AA120" i="52"/>
  <c r="AC120" i="52"/>
  <c r="V141" i="52"/>
  <c r="AJ141" i="52"/>
  <c r="X141" i="52"/>
  <c r="AC141" i="52"/>
  <c r="I122" i="52"/>
  <c r="R114" i="52"/>
  <c r="O113" i="52"/>
  <c r="P114" i="52"/>
  <c r="Y111" i="52"/>
  <c r="T111" i="52"/>
  <c r="AG111" i="52"/>
  <c r="AC121" i="52"/>
  <c r="AJ121" i="52"/>
  <c r="X121" i="52"/>
  <c r="Y121" i="52"/>
  <c r="AF125" i="52"/>
  <c r="AI121" i="52"/>
  <c r="AD116" i="52"/>
  <c r="Z121" i="52"/>
  <c r="V121" i="52"/>
  <c r="AA121" i="52"/>
  <c r="W113" i="52"/>
  <c r="Q113" i="52"/>
  <c r="AJ130" i="52"/>
  <c r="AI125" i="52"/>
  <c r="N121" i="52"/>
  <c r="U121" i="52"/>
  <c r="AE121" i="52"/>
  <c r="L113" i="52"/>
  <c r="AA113" i="52"/>
  <c r="AE127" i="52"/>
  <c r="AJ125" i="52"/>
  <c r="W121" i="52"/>
  <c r="P121" i="52"/>
  <c r="AB121" i="52"/>
  <c r="S121" i="52"/>
  <c r="AH113" i="52"/>
  <c r="F121" i="52"/>
  <c r="AD121" i="52"/>
  <c r="R121" i="52"/>
  <c r="F113" i="52"/>
  <c r="Y113" i="52"/>
  <c r="AI135" i="52"/>
  <c r="K137" i="52"/>
  <c r="AA116" i="52"/>
  <c r="Y135" i="52"/>
  <c r="S127" i="52"/>
  <c r="P125" i="52"/>
  <c r="AG125" i="52"/>
  <c r="AB135" i="52"/>
  <c r="V130" i="52"/>
  <c r="W125" i="52"/>
  <c r="L125" i="52"/>
  <c r="H127" i="52"/>
  <c r="AF121" i="52"/>
  <c r="Q121" i="52"/>
  <c r="M121" i="52"/>
  <c r="AH121" i="52"/>
  <c r="J121" i="52"/>
  <c r="S113" i="52"/>
  <c r="U113" i="52"/>
  <c r="V136" i="52"/>
  <c r="J127" i="52"/>
  <c r="X125" i="52"/>
  <c r="K127" i="52"/>
  <c r="U116" i="52"/>
  <c r="AI116" i="52"/>
  <c r="F125" i="52"/>
  <c r="AD125" i="52"/>
  <c r="AB125" i="52"/>
  <c r="Z125" i="52"/>
  <c r="K125" i="52"/>
  <c r="X116" i="52"/>
  <c r="Q116" i="52"/>
  <c r="AA125" i="52"/>
  <c r="V125" i="52"/>
  <c r="S125" i="52"/>
  <c r="T125" i="52"/>
  <c r="Z116" i="52"/>
  <c r="AE125" i="52"/>
  <c r="Q125" i="52"/>
  <c r="AC125" i="52"/>
  <c r="Y125" i="52"/>
  <c r="O125" i="52"/>
  <c r="AG116" i="52"/>
  <c r="N125" i="52"/>
  <c r="AH125" i="52"/>
  <c r="U125" i="52"/>
  <c r="R125" i="52"/>
  <c r="P113" i="52"/>
  <c r="AJ113" i="52"/>
  <c r="AI113" i="52"/>
  <c r="N113" i="52"/>
  <c r="AA112" i="52"/>
  <c r="AE112" i="52"/>
  <c r="Z112" i="52"/>
  <c r="AI137" i="52"/>
  <c r="AD127" i="52"/>
  <c r="AF127" i="52"/>
  <c r="O136" i="52"/>
  <c r="V135" i="52"/>
  <c r="I127" i="52"/>
  <c r="V113" i="52"/>
  <c r="AD113" i="52"/>
  <c r="Z113" i="52"/>
  <c r="AB113" i="52"/>
  <c r="U112" i="52"/>
  <c r="W112" i="52"/>
  <c r="M112" i="52"/>
  <c r="V137" i="52"/>
  <c r="AH127" i="52"/>
  <c r="S135" i="52"/>
  <c r="H135" i="52"/>
  <c r="M113" i="52"/>
  <c r="X113" i="52"/>
  <c r="AE113" i="52"/>
  <c r="R113" i="52"/>
  <c r="T113" i="52"/>
  <c r="AA134" i="52"/>
  <c r="Y131" i="52"/>
  <c r="AH112" i="52"/>
  <c r="J112" i="52"/>
  <c r="Y129" i="52"/>
  <c r="Y127" i="52"/>
  <c r="M135" i="52"/>
  <c r="F135" i="52"/>
  <c r="T135" i="52"/>
  <c r="AB116" i="52"/>
  <c r="AE116" i="52"/>
  <c r="R116" i="52"/>
  <c r="V116" i="52"/>
  <c r="T116" i="52"/>
  <c r="AJ116" i="52"/>
  <c r="F116" i="52"/>
  <c r="N116" i="52"/>
  <c r="AF116" i="52"/>
  <c r="S116" i="52"/>
  <c r="Y116" i="52"/>
  <c r="AC116" i="52"/>
  <c r="L121" i="52"/>
  <c r="L116" i="52"/>
  <c r="AH116" i="52"/>
  <c r="P116" i="52"/>
  <c r="W116" i="52"/>
  <c r="AC134" i="52"/>
  <c r="X129" i="52"/>
  <c r="O132" i="52"/>
  <c r="AE134" i="52"/>
  <c r="AB129" i="52"/>
  <c r="P134" i="52"/>
  <c r="AJ131" i="52"/>
  <c r="W129" i="52"/>
  <c r="K134" i="52"/>
  <c r="AI131" i="52"/>
  <c r="AG139" i="52"/>
  <c r="W131" i="52"/>
  <c r="B97" i="39"/>
  <c r="L136" i="52"/>
  <c r="AG130" i="52"/>
  <c r="AI136" i="52"/>
  <c r="R127" i="52"/>
  <c r="AC127" i="52"/>
  <c r="P127" i="52"/>
  <c r="U127" i="52"/>
  <c r="AJ135" i="52"/>
  <c r="AE135" i="52"/>
  <c r="AH135" i="52"/>
  <c r="U135" i="52"/>
  <c r="O127" i="52"/>
  <c r="K113" i="52"/>
  <c r="G127" i="52"/>
  <c r="O112" i="52"/>
  <c r="B90" i="39"/>
  <c r="G135" i="52"/>
  <c r="AI112" i="52"/>
  <c r="AG112" i="52"/>
  <c r="AJ112" i="52"/>
  <c r="T112" i="52"/>
  <c r="J130" i="52"/>
  <c r="R137" i="52"/>
  <c r="AA127" i="52"/>
  <c r="Q127" i="52"/>
  <c r="N127" i="52"/>
  <c r="Z127" i="52"/>
  <c r="J135" i="52"/>
  <c r="AF135" i="52"/>
  <c r="R135" i="52"/>
  <c r="AC135" i="52"/>
  <c r="N135" i="52"/>
  <c r="K135" i="52"/>
  <c r="K112" i="52"/>
  <c r="J113" i="52"/>
  <c r="B76" i="39"/>
  <c r="F136" i="52"/>
  <c r="V119" i="52"/>
  <c r="V127" i="52"/>
  <c r="AG127" i="52"/>
  <c r="AI127" i="52"/>
  <c r="T127" i="52"/>
  <c r="I135" i="52"/>
  <c r="AD135" i="52"/>
  <c r="Z135" i="52"/>
  <c r="W135" i="52"/>
  <c r="AG135" i="52"/>
  <c r="H112" i="52"/>
  <c r="I113" i="52"/>
  <c r="B75" i="39"/>
  <c r="L135" i="52"/>
  <c r="AD112" i="52"/>
  <c r="S112" i="52"/>
  <c r="P112" i="52"/>
  <c r="V112" i="52"/>
  <c r="Z136" i="52"/>
  <c r="AF137" i="52"/>
  <c r="AJ127" i="52"/>
  <c r="F127" i="52"/>
  <c r="X127" i="52"/>
  <c r="AB127" i="52"/>
  <c r="M127" i="52"/>
  <c r="O135" i="52"/>
  <c r="Q135" i="52"/>
  <c r="X135" i="52"/>
  <c r="P135" i="52"/>
  <c r="AA135" i="52"/>
  <c r="G112" i="52"/>
  <c r="AJ114" i="52"/>
  <c r="U111" i="52"/>
  <c r="AJ117" i="52"/>
  <c r="H111" i="52"/>
  <c r="B104" i="39"/>
  <c r="L133" i="52"/>
  <c r="R111" i="52"/>
  <c r="U138" i="52"/>
  <c r="Y137" i="52"/>
  <c r="AJ137" i="52"/>
  <c r="P137" i="52"/>
  <c r="Z137" i="52"/>
  <c r="L119" i="52"/>
  <c r="I128" i="52"/>
  <c r="J138" i="52"/>
  <c r="J128" i="52"/>
  <c r="B100" i="39"/>
  <c r="S137" i="52"/>
  <c r="L137" i="52"/>
  <c r="X137" i="52"/>
  <c r="AG137" i="52"/>
  <c r="T137" i="52"/>
  <c r="H128" i="52"/>
  <c r="AH119" i="52"/>
  <c r="I137" i="52"/>
  <c r="AD137" i="52"/>
  <c r="F137" i="52"/>
  <c r="H137" i="52"/>
  <c r="AA137" i="52"/>
  <c r="M137" i="52"/>
  <c r="V128" i="52"/>
  <c r="AF119" i="52"/>
  <c r="AE138" i="52"/>
  <c r="J137" i="52"/>
  <c r="AC137" i="52"/>
  <c r="W137" i="52"/>
  <c r="AH137" i="52"/>
  <c r="U137" i="52"/>
  <c r="Q128" i="52"/>
  <c r="G137" i="52"/>
  <c r="B91" i="39"/>
  <c r="Y138" i="52"/>
  <c r="O137" i="52"/>
  <c r="Q137" i="52"/>
  <c r="AE137" i="52"/>
  <c r="AB137" i="52"/>
  <c r="Y128" i="52"/>
  <c r="I138" i="52"/>
  <c r="AB126" i="52"/>
  <c r="F124" i="52"/>
  <c r="AE133" i="52"/>
  <c r="J111" i="52"/>
  <c r="I124" i="52"/>
  <c r="H113" i="52"/>
  <c r="F114" i="52"/>
  <c r="B99" i="39"/>
  <c r="V124" i="52"/>
  <c r="H134" i="52"/>
  <c r="AI134" i="52"/>
  <c r="X134" i="52"/>
  <c r="AF134" i="52"/>
  <c r="U131" i="52"/>
  <c r="S131" i="52"/>
  <c r="N131" i="52"/>
  <c r="R131" i="52"/>
  <c r="AH129" i="52"/>
  <c r="AG129" i="52"/>
  <c r="S129" i="52"/>
  <c r="P129" i="52"/>
  <c r="U139" i="52"/>
  <c r="AG132" i="52"/>
  <c r="J134" i="52"/>
  <c r="G134" i="52"/>
  <c r="I134" i="52"/>
  <c r="AJ134" i="52"/>
  <c r="U134" i="52"/>
  <c r="Q134" i="52"/>
  <c r="Z134" i="52"/>
  <c r="O129" i="52"/>
  <c r="AH131" i="52"/>
  <c r="AG131" i="52"/>
  <c r="AD131" i="52"/>
  <c r="Z131" i="52"/>
  <c r="Q129" i="52"/>
  <c r="N129" i="52"/>
  <c r="AI129" i="52"/>
  <c r="AF129" i="52"/>
  <c r="I129" i="52"/>
  <c r="AB132" i="52"/>
  <c r="AF132" i="52"/>
  <c r="M134" i="52"/>
  <c r="B92" i="39"/>
  <c r="V134" i="52"/>
  <c r="AG134" i="52"/>
  <c r="F134" i="52"/>
  <c r="T134" i="52"/>
  <c r="Q131" i="52"/>
  <c r="X131" i="52"/>
  <c r="V131" i="52"/>
  <c r="T131" i="52"/>
  <c r="AE129" i="52"/>
  <c r="AC129" i="52"/>
  <c r="AA129" i="52"/>
  <c r="Z129" i="52"/>
  <c r="L129" i="52"/>
  <c r="AA132" i="52"/>
  <c r="N134" i="52"/>
  <c r="AH134" i="52"/>
  <c r="Y134" i="52"/>
  <c r="AD134" i="52"/>
  <c r="L134" i="52"/>
  <c r="AA131" i="52"/>
  <c r="AB131" i="52"/>
  <c r="P131" i="52"/>
  <c r="H131" i="52"/>
  <c r="L131" i="52"/>
  <c r="H129" i="52"/>
  <c r="U129" i="52"/>
  <c r="R129" i="52"/>
  <c r="T129" i="52"/>
  <c r="Z132" i="52"/>
  <c r="O134" i="52"/>
  <c r="AB134" i="52"/>
  <c r="S134" i="52"/>
  <c r="R134" i="52"/>
  <c r="G129" i="52"/>
  <c r="AC131" i="52"/>
  <c r="F131" i="52"/>
  <c r="AE131" i="52"/>
  <c r="AF131" i="52"/>
  <c r="V129" i="52"/>
  <c r="F129" i="52"/>
  <c r="AJ129" i="52"/>
  <c r="AD129" i="52"/>
  <c r="K129" i="52"/>
  <c r="P118" i="52"/>
  <c r="M132" i="52"/>
  <c r="W132" i="52"/>
  <c r="J132" i="52"/>
  <c r="AH126" i="52"/>
  <c r="T132" i="52"/>
  <c r="AE132" i="52"/>
  <c r="V132" i="52"/>
  <c r="F132" i="52"/>
  <c r="G131" i="52"/>
  <c r="K132" i="52"/>
  <c r="AI132" i="52"/>
  <c r="R132" i="52"/>
  <c r="X132" i="52"/>
  <c r="AF133" i="52"/>
  <c r="M131" i="52"/>
  <c r="Z139" i="52"/>
  <c r="P132" i="52"/>
  <c r="G132" i="52"/>
  <c r="L132" i="52"/>
  <c r="N132" i="52"/>
  <c r="K126" i="52"/>
  <c r="K131" i="52"/>
  <c r="R118" i="52"/>
  <c r="J129" i="52"/>
  <c r="AJ132" i="52"/>
  <c r="Q139" i="52"/>
  <c r="AH132" i="52"/>
  <c r="O126" i="52"/>
  <c r="AD132" i="52"/>
  <c r="Q132" i="52"/>
  <c r="AE118" i="52"/>
  <c r="I131" i="52"/>
  <c r="AG118" i="52"/>
  <c r="H132" i="52"/>
  <c r="I132" i="52"/>
  <c r="AC132" i="52"/>
  <c r="B94" i="39"/>
  <c r="V117" i="52"/>
  <c r="U132" i="52"/>
  <c r="B102" i="39"/>
  <c r="J131" i="52"/>
  <c r="B74" i="39"/>
  <c r="Y114" i="52"/>
  <c r="P111" i="52"/>
  <c r="AC111" i="52"/>
  <c r="V139" i="52"/>
  <c r="AG126" i="52"/>
  <c r="AI126" i="52"/>
  <c r="I125" i="52"/>
  <c r="AA126" i="52"/>
  <c r="M125" i="52"/>
  <c r="AE126" i="52"/>
  <c r="G126" i="52"/>
  <c r="V133" i="52"/>
  <c r="AA133" i="52"/>
  <c r="B84" i="39"/>
  <c r="J126" i="52"/>
  <c r="AF126" i="52"/>
  <c r="I126" i="52"/>
  <c r="N126" i="52"/>
  <c r="Q126" i="52"/>
  <c r="AD126" i="52"/>
  <c r="U126" i="52"/>
  <c r="AH133" i="52"/>
  <c r="R133" i="52"/>
  <c r="S133" i="52"/>
  <c r="I116" i="52"/>
  <c r="H126" i="52"/>
  <c r="R126" i="52"/>
  <c r="S126" i="52"/>
  <c r="Y126" i="52"/>
  <c r="G116" i="52"/>
  <c r="X126" i="52"/>
  <c r="J125" i="52"/>
  <c r="W133" i="52"/>
  <c r="K121" i="52"/>
  <c r="AB133" i="52"/>
  <c r="I133" i="52"/>
  <c r="AD133" i="52"/>
  <c r="B88" i="39"/>
  <c r="M126" i="52"/>
  <c r="P126" i="52"/>
  <c r="L126" i="52"/>
  <c r="F126" i="52"/>
  <c r="G121" i="52"/>
  <c r="I121" i="52"/>
  <c r="AC126" i="52"/>
  <c r="AJ126" i="52"/>
  <c r="V126" i="52"/>
  <c r="H116" i="52"/>
  <c r="W126" i="52"/>
  <c r="T126" i="52"/>
  <c r="AC133" i="52"/>
  <c r="Z133" i="52"/>
  <c r="G133" i="52"/>
  <c r="O121" i="52"/>
  <c r="AI133" i="52"/>
  <c r="B89" i="39"/>
  <c r="B79" i="39"/>
  <c r="AC138" i="52"/>
  <c r="AC128" i="52"/>
  <c r="AJ128" i="52"/>
  <c r="F128" i="52"/>
  <c r="R128" i="52"/>
  <c r="U119" i="52"/>
  <c r="AB119" i="52"/>
  <c r="Z119" i="52"/>
  <c r="X119" i="52"/>
  <c r="M128" i="52"/>
  <c r="K119" i="52"/>
  <c r="M119" i="52"/>
  <c r="L138" i="52"/>
  <c r="N124" i="52"/>
  <c r="H119" i="52"/>
  <c r="O119" i="52"/>
  <c r="N138" i="52"/>
  <c r="W138" i="52"/>
  <c r="AF138" i="52"/>
  <c r="N128" i="52"/>
  <c r="AB128" i="52"/>
  <c r="AH128" i="52"/>
  <c r="AF128" i="52"/>
  <c r="F119" i="52"/>
  <c r="AC119" i="52"/>
  <c r="P119" i="52"/>
  <c r="Q119" i="52"/>
  <c r="C142" i="52"/>
  <c r="Z124" i="52"/>
  <c r="G138" i="52"/>
  <c r="AF124" i="52"/>
  <c r="J119" i="52"/>
  <c r="P124" i="52"/>
  <c r="O138" i="52"/>
  <c r="AB138" i="52"/>
  <c r="S138" i="52"/>
  <c r="AD138" i="52"/>
  <c r="P138" i="52"/>
  <c r="Z138" i="52"/>
  <c r="W128" i="52"/>
  <c r="S128" i="52"/>
  <c r="X128" i="52"/>
  <c r="Z128" i="52"/>
  <c r="AJ119" i="52"/>
  <c r="AI119" i="52"/>
  <c r="AG119" i="52"/>
  <c r="AE119" i="52"/>
  <c r="Q124" i="52"/>
  <c r="I119" i="52"/>
  <c r="AH124" i="52"/>
  <c r="Y124" i="52"/>
  <c r="AG124" i="52"/>
  <c r="H138" i="52"/>
  <c r="V138" i="52"/>
  <c r="R138" i="52"/>
  <c r="F138" i="52"/>
  <c r="AG138" i="52"/>
  <c r="T138" i="52"/>
  <c r="U128" i="52"/>
  <c r="AI128" i="52"/>
  <c r="P128" i="52"/>
  <c r="T128" i="52"/>
  <c r="T119" i="52"/>
  <c r="AA119" i="52"/>
  <c r="W119" i="52"/>
  <c r="Y119" i="52"/>
  <c r="S124" i="52"/>
  <c r="AE124" i="52"/>
  <c r="M124" i="52"/>
  <c r="Q138" i="52"/>
  <c r="AH138" i="52"/>
  <c r="AJ138" i="52"/>
  <c r="AI138" i="52"/>
  <c r="AA138" i="52"/>
  <c r="K138" i="52"/>
  <c r="AD128" i="52"/>
  <c r="AE128" i="52"/>
  <c r="AA128" i="52"/>
  <c r="AG128" i="52"/>
  <c r="L128" i="52"/>
  <c r="AD119" i="52"/>
  <c r="R119" i="52"/>
  <c r="N119" i="52"/>
  <c r="S119" i="52"/>
  <c r="K128" i="52"/>
  <c r="O128" i="52"/>
  <c r="X124" i="52"/>
  <c r="AI124" i="52"/>
  <c r="J124" i="52"/>
  <c r="R124" i="52"/>
  <c r="AA124" i="52"/>
  <c r="J122" i="52"/>
  <c r="M138" i="52"/>
  <c r="Y133" i="52"/>
  <c r="J116" i="52"/>
  <c r="G119" i="52"/>
  <c r="AI139" i="52"/>
  <c r="Y132" i="52"/>
  <c r="B95" i="39"/>
  <c r="J139" i="52"/>
  <c r="T118" i="52"/>
  <c r="L139" i="52"/>
  <c r="AB124" i="52"/>
  <c r="AC124" i="52"/>
  <c r="T139" i="52"/>
  <c r="T114" i="52"/>
  <c r="O111" i="52"/>
  <c r="AF139" i="52"/>
  <c r="T133" i="52"/>
  <c r="AD139" i="52"/>
  <c r="H139" i="52"/>
  <c r="AH114" i="52"/>
  <c r="B81" i="39"/>
  <c r="B96" i="39"/>
  <c r="AJ139" i="52"/>
  <c r="AB111" i="52"/>
  <c r="Q133" i="52"/>
  <c r="M116" i="52"/>
  <c r="AA111" i="52"/>
  <c r="P130" i="52"/>
  <c r="Y130" i="52"/>
  <c r="AC130" i="52"/>
  <c r="AF130" i="52"/>
  <c r="S136" i="52"/>
  <c r="M136" i="52"/>
  <c r="AC136" i="52"/>
  <c r="P136" i="52"/>
  <c r="W117" i="52"/>
  <c r="O117" i="52"/>
  <c r="AA117" i="52"/>
  <c r="X117" i="52"/>
  <c r="Q117" i="52"/>
  <c r="L117" i="52"/>
  <c r="I117" i="52"/>
  <c r="K136" i="52"/>
  <c r="H130" i="52"/>
  <c r="F130" i="52"/>
  <c r="AE130" i="52"/>
  <c r="S130" i="52"/>
  <c r="Z130" i="52"/>
  <c r="AD136" i="52"/>
  <c r="X136" i="52"/>
  <c r="W136" i="52"/>
  <c r="AG136" i="52"/>
  <c r="N117" i="52"/>
  <c r="L130" i="52"/>
  <c r="AC117" i="52"/>
  <c r="G117" i="52"/>
  <c r="AB117" i="52"/>
  <c r="I136" i="52"/>
  <c r="K130" i="52"/>
  <c r="X130" i="52"/>
  <c r="W130" i="52"/>
  <c r="AI130" i="52"/>
  <c r="T130" i="52"/>
  <c r="R136" i="52"/>
  <c r="T136" i="52"/>
  <c r="Q136" i="52"/>
  <c r="AA136" i="52"/>
  <c r="G130" i="52"/>
  <c r="J117" i="52"/>
  <c r="B93" i="39"/>
  <c r="I130" i="52"/>
  <c r="R130" i="52"/>
  <c r="Q130" i="52"/>
  <c r="N130" i="52"/>
  <c r="AB130" i="52"/>
  <c r="M130" i="52"/>
  <c r="AF136" i="52"/>
  <c r="Y136" i="52"/>
  <c r="AH136" i="52"/>
  <c r="U136" i="52"/>
  <c r="S117" i="52"/>
  <c r="K117" i="52"/>
  <c r="AF117" i="52"/>
  <c r="G136" i="52"/>
  <c r="O130" i="52"/>
  <c r="AH130" i="52"/>
  <c r="AA130" i="52"/>
  <c r="AD130" i="52"/>
  <c r="AJ136" i="52"/>
  <c r="AE136" i="52"/>
  <c r="J136" i="52"/>
  <c r="AB136" i="52"/>
  <c r="N136" i="52"/>
  <c r="H117" i="52"/>
  <c r="M111" i="52"/>
  <c r="U124" i="52"/>
  <c r="H133" i="52"/>
  <c r="N133" i="52"/>
  <c r="O116" i="52"/>
  <c r="AD111" i="52"/>
  <c r="Y139" i="52"/>
  <c r="AB139" i="52"/>
  <c r="P139" i="52"/>
  <c r="AI117" i="52"/>
  <c r="K133" i="52"/>
  <c r="B77" i="39"/>
  <c r="L111" i="52"/>
  <c r="M133" i="52"/>
  <c r="K111" i="52"/>
  <c r="O133" i="52"/>
  <c r="F133" i="52"/>
  <c r="B87" i="39"/>
  <c r="S111" i="52"/>
  <c r="W124" i="52"/>
  <c r="T124" i="52"/>
  <c r="X133" i="52"/>
  <c r="B80" i="39"/>
  <c r="J133" i="52"/>
  <c r="AJ111" i="52"/>
  <c r="R139" i="52"/>
  <c r="AE139" i="52"/>
  <c r="V111" i="52"/>
  <c r="Z111" i="52"/>
  <c r="Q111" i="52"/>
  <c r="U133" i="52"/>
  <c r="AG133" i="52"/>
  <c r="AD124" i="52"/>
  <c r="P133" i="52"/>
  <c r="X111" i="52"/>
  <c r="I111" i="52"/>
  <c r="Z117" i="52"/>
  <c r="F111" i="52"/>
  <c r="G111" i="52"/>
  <c r="AE111" i="52"/>
  <c r="M118" i="52"/>
  <c r="W111" i="52"/>
  <c r="AF111" i="52"/>
  <c r="P117" i="52"/>
  <c r="U117" i="52"/>
  <c r="AH139" i="52"/>
  <c r="N139" i="52"/>
  <c r="N114" i="52"/>
  <c r="AE117" i="52"/>
  <c r="F139" i="52"/>
  <c r="S139" i="52"/>
  <c r="G139" i="52"/>
  <c r="AA139" i="52"/>
  <c r="R117" i="52"/>
  <c r="Y117" i="52"/>
  <c r="I139" i="52"/>
  <c r="AD117" i="52"/>
  <c r="X139" i="52"/>
  <c r="AC139" i="52"/>
  <c r="AG117" i="52"/>
  <c r="W139" i="52"/>
  <c r="AH117" i="52"/>
  <c r="M139" i="52"/>
  <c r="K139" i="52"/>
  <c r="AI118" i="52"/>
  <c r="AD118" i="52"/>
  <c r="AJ118" i="52"/>
  <c r="H118" i="52"/>
  <c r="F118" i="52"/>
  <c r="Z118" i="52"/>
  <c r="J118" i="52"/>
  <c r="H124" i="52"/>
  <c r="G124" i="52"/>
  <c r="AA118" i="52"/>
  <c r="N118" i="52"/>
  <c r="W118" i="52"/>
  <c r="K124" i="52"/>
  <c r="O124" i="52"/>
  <c r="L124" i="52"/>
  <c r="Q118" i="52"/>
  <c r="H114" i="52"/>
  <c r="X114" i="52"/>
  <c r="AC118" i="52"/>
  <c r="AB118" i="52"/>
  <c r="G118" i="52"/>
  <c r="T117" i="52"/>
  <c r="M117" i="52"/>
  <c r="AF114" i="52"/>
  <c r="AG114" i="52"/>
  <c r="AA114" i="52"/>
  <c r="AC114" i="52"/>
  <c r="Q114" i="52"/>
  <c r="W114" i="52"/>
  <c r="M114" i="52"/>
  <c r="AD114" i="52"/>
  <c r="Y118" i="52"/>
  <c r="X118" i="52"/>
  <c r="S118" i="52"/>
  <c r="K118" i="52"/>
  <c r="U118" i="52"/>
  <c r="V118" i="52"/>
  <c r="L118" i="52"/>
  <c r="AH118" i="52"/>
  <c r="AF118" i="52"/>
  <c r="O118" i="52"/>
  <c r="AE114" i="52"/>
  <c r="AI114" i="52"/>
  <c r="S114" i="52"/>
  <c r="L114" i="52"/>
  <c r="J114" i="52"/>
  <c r="I114" i="52"/>
  <c r="G114" i="52"/>
  <c r="V114" i="52"/>
  <c r="K114" i="52"/>
  <c r="Z114" i="52"/>
  <c r="O114" i="52"/>
  <c r="A136" i="52"/>
  <c r="N122" i="43"/>
  <c r="O33" i="11"/>
  <c r="N33" i="11"/>
  <c r="P33" i="11" s="1"/>
  <c r="O32" i="11"/>
  <c r="N32" i="11"/>
  <c r="O31" i="11"/>
  <c r="N31" i="11"/>
  <c r="O30" i="11"/>
  <c r="N30" i="11"/>
  <c r="O29" i="11"/>
  <c r="N29" i="11"/>
  <c r="O28" i="11"/>
  <c r="N28" i="11"/>
  <c r="P28" i="11" s="1"/>
  <c r="O27" i="11"/>
  <c r="N27" i="11"/>
  <c r="O26" i="11"/>
  <c r="N26" i="11"/>
  <c r="O25" i="11"/>
  <c r="N25" i="11"/>
  <c r="P25" i="11" s="1"/>
  <c r="O24" i="11"/>
  <c r="N24" i="11"/>
  <c r="P24" i="11" s="1"/>
  <c r="O23" i="11"/>
  <c r="N23" i="11"/>
  <c r="O22" i="11"/>
  <c r="N22" i="11"/>
  <c r="O21" i="11"/>
  <c r="N21" i="11"/>
  <c r="P21" i="11" s="1"/>
  <c r="O20" i="11"/>
  <c r="N20" i="11"/>
  <c r="O19" i="11"/>
  <c r="N19" i="11"/>
  <c r="P19" i="11" s="1"/>
  <c r="O18" i="11"/>
  <c r="N18" i="11"/>
  <c r="O17" i="11"/>
  <c r="N17" i="11"/>
  <c r="O16" i="11"/>
  <c r="N16" i="11"/>
  <c r="O15" i="11"/>
  <c r="N15" i="11"/>
  <c r="O14" i="11"/>
  <c r="N14" i="11"/>
  <c r="O13" i="11"/>
  <c r="N13" i="11"/>
  <c r="P13" i="11" s="1"/>
  <c r="O12" i="11"/>
  <c r="N12" i="11"/>
  <c r="O11" i="11"/>
  <c r="N11" i="11"/>
  <c r="O10" i="11"/>
  <c r="N10" i="11"/>
  <c r="O9" i="11"/>
  <c r="N9" i="11"/>
  <c r="O8" i="11"/>
  <c r="N8" i="11"/>
  <c r="O7" i="11"/>
  <c r="N7" i="11"/>
  <c r="P7" i="11" s="1"/>
  <c r="O6" i="11"/>
  <c r="N6" i="11"/>
  <c r="O5" i="11"/>
  <c r="N5" i="11"/>
  <c r="O4" i="11"/>
  <c r="N4" i="11"/>
  <c r="P4" i="11" s="1"/>
  <c r="O3" i="11"/>
  <c r="N3" i="11"/>
  <c r="V110" i="52" l="1"/>
  <c r="AI110" i="52"/>
  <c r="AB110" i="52"/>
  <c r="I110" i="52"/>
  <c r="AG110" i="52"/>
  <c r="N110" i="52"/>
  <c r="AA110" i="52"/>
  <c r="T110" i="52"/>
  <c r="X110" i="52"/>
  <c r="AJ110" i="52"/>
  <c r="Q110" i="52"/>
  <c r="Y110" i="52"/>
  <c r="H110" i="52"/>
  <c r="AH110" i="52"/>
  <c r="AC110" i="52"/>
  <c r="P110" i="52"/>
  <c r="R110" i="52"/>
  <c r="Z110" i="52"/>
  <c r="F110" i="52"/>
  <c r="W110" i="52"/>
  <c r="K110" i="52"/>
  <c r="AE110" i="52"/>
  <c r="M110" i="52"/>
  <c r="AD110" i="52"/>
  <c r="G110" i="52"/>
  <c r="U110" i="52"/>
  <c r="S110" i="52"/>
  <c r="O110" i="52"/>
  <c r="J110" i="52"/>
  <c r="AF110" i="52"/>
  <c r="L110" i="52"/>
  <c r="P5" i="11"/>
  <c r="P8" i="11"/>
  <c r="P17" i="11"/>
  <c r="P26" i="11"/>
  <c r="P29" i="11"/>
  <c r="P27" i="11"/>
  <c r="P14" i="11"/>
  <c r="P23" i="11"/>
  <c r="P11" i="11"/>
  <c r="P3" i="11"/>
  <c r="P9" i="11"/>
  <c r="P12" i="11"/>
  <c r="P20" i="11"/>
  <c r="P31" i="11"/>
  <c r="P15" i="11"/>
  <c r="P32" i="11"/>
  <c r="P16" i="11"/>
  <c r="A137" i="52"/>
  <c r="P6" i="11"/>
  <c r="P18" i="11"/>
  <c r="P30" i="11"/>
  <c r="P10" i="11"/>
  <c r="P22" i="11"/>
  <c r="A18" i="43"/>
  <c r="A138" i="52" l="1"/>
  <c r="O33" i="35"/>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A139" i="52" l="1"/>
  <c r="C114" i="39"/>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A140" i="52" l="1"/>
  <c r="Q5" i="44"/>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A141" i="52" l="1"/>
  <c r="Q6" i="44"/>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R6" i="37"/>
  <c r="P5" i="37" s="1"/>
  <c r="B30" i="39" s="1"/>
  <c r="R7" i="37"/>
  <c r="R8" i="37"/>
  <c r="R9" i="37"/>
  <c r="R10" i="37"/>
  <c r="R11" i="37"/>
  <c r="P8" i="37" s="1"/>
  <c r="B32" i="39" s="1"/>
  <c r="R12" i="37"/>
  <c r="R13" i="37"/>
  <c r="R14" i="37"/>
  <c r="R3" i="37"/>
  <c r="L4" i="37"/>
  <c r="L5" i="37"/>
  <c r="L6" i="37"/>
  <c r="L7" i="37"/>
  <c r="L8" i="37"/>
  <c r="L9" i="37"/>
  <c r="L10" i="37"/>
  <c r="L11" i="37"/>
  <c r="L12" i="37"/>
  <c r="L13" i="37"/>
  <c r="L14" i="37"/>
  <c r="L3" i="37"/>
  <c r="P7" i="37" l="1"/>
  <c r="P9" i="37"/>
  <c r="B33" i="39" s="1"/>
  <c r="P6" i="37"/>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E403" i="43" l="1"/>
  <c r="F403" i="43"/>
  <c r="B403" i="43"/>
  <c r="G403" i="43"/>
  <c r="H403" i="43"/>
  <c r="C403" i="43"/>
  <c r="D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C406" i="43" l="1"/>
  <c r="C417" i="43"/>
  <c r="C441" i="43" s="1"/>
  <c r="C7" i="52" s="1"/>
  <c r="C419" i="43"/>
  <c r="C443" i="43" s="1"/>
  <c r="C9" i="52" s="1"/>
  <c r="C423" i="43"/>
  <c r="C447" i="43" s="1"/>
  <c r="C13" i="52" s="1"/>
  <c r="C428" i="43"/>
  <c r="C452" i="43" s="1"/>
  <c r="C18" i="52" s="1"/>
  <c r="C404" i="43"/>
  <c r="C420" i="43"/>
  <c r="C444" i="43" s="1"/>
  <c r="C10" i="52" s="1"/>
  <c r="C431" i="43"/>
  <c r="C455" i="43" s="1"/>
  <c r="C21" i="52" s="1"/>
  <c r="C426" i="43"/>
  <c r="C450" i="43" s="1"/>
  <c r="C16" i="52" s="1"/>
  <c r="C409" i="43"/>
  <c r="C421" i="43"/>
  <c r="C445" i="43" s="1"/>
  <c r="C11" i="52" s="1"/>
  <c r="C434" i="43"/>
  <c r="C458" i="43" s="1"/>
  <c r="C24" i="52" s="1"/>
  <c r="C407" i="43"/>
  <c r="C414" i="43"/>
  <c r="C438" i="43" s="1"/>
  <c r="C4" i="52" s="1"/>
  <c r="C418" i="43"/>
  <c r="C442" i="43" s="1"/>
  <c r="C8" i="52" s="1"/>
  <c r="C425" i="43"/>
  <c r="C449" i="43" s="1"/>
  <c r="C15" i="52" s="1"/>
  <c r="C427" i="43"/>
  <c r="C451" i="43" s="1"/>
  <c r="C17" i="52" s="1"/>
  <c r="C429" i="43"/>
  <c r="C453" i="43" s="1"/>
  <c r="C19" i="52" s="1"/>
  <c r="C432" i="43"/>
  <c r="C456" i="43" s="1"/>
  <c r="C22" i="52" s="1"/>
  <c r="C410" i="43"/>
  <c r="C412" i="43"/>
  <c r="C422" i="43"/>
  <c r="C446" i="43" s="1"/>
  <c r="C12" i="52" s="1"/>
  <c r="C433" i="43"/>
  <c r="C457" i="43" s="1"/>
  <c r="C23" i="52" s="1"/>
  <c r="C405" i="43"/>
  <c r="C408" i="43"/>
  <c r="C415" i="43"/>
  <c r="C439" i="43" s="1"/>
  <c r="C5" i="52" s="1"/>
  <c r="C424" i="43"/>
  <c r="C448" i="43" s="1"/>
  <c r="C14" i="52" s="1"/>
  <c r="C430" i="43"/>
  <c r="C454" i="43" s="1"/>
  <c r="C20" i="52" s="1"/>
  <c r="C413" i="43"/>
  <c r="C411" i="43"/>
  <c r="C416" i="43"/>
  <c r="C440" i="43" s="1"/>
  <c r="C6" i="52" s="1"/>
  <c r="H434" i="43"/>
  <c r="H458" i="43" s="1"/>
  <c r="H24" i="52" s="1"/>
  <c r="H418" i="43"/>
  <c r="H442" i="43" s="1"/>
  <c r="H8" i="52" s="1"/>
  <c r="H415" i="43"/>
  <c r="H439" i="43" s="1"/>
  <c r="H5" i="52" s="1"/>
  <c r="H410" i="43"/>
  <c r="H424" i="43"/>
  <c r="H448" i="43" s="1"/>
  <c r="H14" i="52" s="1"/>
  <c r="H405" i="43"/>
  <c r="H428" i="43"/>
  <c r="H452" i="43" s="1"/>
  <c r="H18" i="52" s="1"/>
  <c r="H406" i="43"/>
  <c r="H417" i="43"/>
  <c r="H441" i="43" s="1"/>
  <c r="H7" i="52" s="1"/>
  <c r="H414" i="43"/>
  <c r="H438" i="43" s="1"/>
  <c r="H4" i="52" s="1"/>
  <c r="H430" i="43"/>
  <c r="H454" i="43" s="1"/>
  <c r="H20" i="52" s="1"/>
  <c r="H423" i="43"/>
  <c r="H447" i="43" s="1"/>
  <c r="H13" i="52" s="1"/>
  <c r="H419" i="43"/>
  <c r="H443" i="43" s="1"/>
  <c r="H9" i="52" s="1"/>
  <c r="H429" i="43"/>
  <c r="H453" i="43" s="1"/>
  <c r="H19" i="52" s="1"/>
  <c r="H416" i="43"/>
  <c r="H440" i="43" s="1"/>
  <c r="H6" i="52" s="1"/>
  <c r="H404" i="43"/>
  <c r="H413" i="43"/>
  <c r="H427" i="43"/>
  <c r="H451" i="43" s="1"/>
  <c r="H17" i="52" s="1"/>
  <c r="H409" i="43"/>
  <c r="H422" i="43"/>
  <c r="H446" i="43" s="1"/>
  <c r="H12" i="52" s="1"/>
  <c r="H421" i="43"/>
  <c r="H445" i="43" s="1"/>
  <c r="H11" i="52" s="1"/>
  <c r="H426" i="43"/>
  <c r="H450" i="43" s="1"/>
  <c r="H16" i="52" s="1"/>
  <c r="H420" i="43"/>
  <c r="H444" i="43" s="1"/>
  <c r="H10" i="52" s="1"/>
  <c r="H431" i="43"/>
  <c r="H455" i="43" s="1"/>
  <c r="H21" i="52" s="1"/>
  <c r="H433" i="43"/>
  <c r="H457" i="43" s="1"/>
  <c r="H23" i="52" s="1"/>
  <c r="H408" i="43"/>
  <c r="H432" i="43"/>
  <c r="H456" i="43" s="1"/>
  <c r="H22" i="52" s="1"/>
  <c r="H412" i="43"/>
  <c r="H425" i="43"/>
  <c r="H449" i="43" s="1"/>
  <c r="H15" i="52" s="1"/>
  <c r="H407" i="43"/>
  <c r="H411" i="43"/>
  <c r="G410" i="43"/>
  <c r="G413" i="43"/>
  <c r="G431" i="43"/>
  <c r="G455" i="43" s="1"/>
  <c r="G21" i="52" s="1"/>
  <c r="G416" i="43"/>
  <c r="G440" i="43" s="1"/>
  <c r="G6" i="52" s="1"/>
  <c r="G434" i="43"/>
  <c r="G458" i="43" s="1"/>
  <c r="G24" i="52" s="1"/>
  <c r="G428" i="43"/>
  <c r="G452" i="43" s="1"/>
  <c r="G18" i="52" s="1"/>
  <c r="G429" i="43"/>
  <c r="G453" i="43" s="1"/>
  <c r="G19" i="52" s="1"/>
  <c r="G411" i="43"/>
  <c r="G427" i="43"/>
  <c r="G451" i="43" s="1"/>
  <c r="G17" i="52" s="1"/>
  <c r="G409" i="43"/>
  <c r="G405" i="43"/>
  <c r="G404" i="43"/>
  <c r="G422" i="43"/>
  <c r="G446" i="43" s="1"/>
  <c r="G12" i="52" s="1"/>
  <c r="G426" i="43"/>
  <c r="G450" i="43" s="1"/>
  <c r="G16" i="52" s="1"/>
  <c r="G408" i="43"/>
  <c r="G424" i="43"/>
  <c r="G448" i="43" s="1"/>
  <c r="G14" i="52" s="1"/>
  <c r="G433" i="43"/>
  <c r="G457" i="43" s="1"/>
  <c r="G23" i="52" s="1"/>
  <c r="G430" i="43"/>
  <c r="G454" i="43" s="1"/>
  <c r="G20" i="52" s="1"/>
  <c r="G406" i="43"/>
  <c r="G419" i="43"/>
  <c r="G443" i="43" s="1"/>
  <c r="G9" i="52" s="1"/>
  <c r="G423" i="43"/>
  <c r="G447" i="43" s="1"/>
  <c r="G13" i="52" s="1"/>
  <c r="G421" i="43"/>
  <c r="G445" i="43" s="1"/>
  <c r="G11" i="52" s="1"/>
  <c r="G418" i="43"/>
  <c r="G442" i="43" s="1"/>
  <c r="G8" i="52" s="1"/>
  <c r="G415" i="43"/>
  <c r="G439" i="43" s="1"/>
  <c r="G5" i="52" s="1"/>
  <c r="G432" i="43"/>
  <c r="G456" i="43" s="1"/>
  <c r="G22" i="52" s="1"/>
  <c r="G407" i="43"/>
  <c r="G420" i="43"/>
  <c r="G444" i="43" s="1"/>
  <c r="G10" i="52" s="1"/>
  <c r="G425" i="43"/>
  <c r="G449" i="43" s="1"/>
  <c r="G15" i="52" s="1"/>
  <c r="G417" i="43"/>
  <c r="G441" i="43" s="1"/>
  <c r="G7" i="52" s="1"/>
  <c r="G414" i="43"/>
  <c r="G438" i="43" s="1"/>
  <c r="G4" i="52" s="1"/>
  <c r="G412" i="43"/>
  <c r="B405" i="43"/>
  <c r="B424" i="43"/>
  <c r="B448" i="43" s="1"/>
  <c r="B14" i="52" s="1"/>
  <c r="B425" i="43"/>
  <c r="B449" i="43" s="1"/>
  <c r="B15" i="52" s="1"/>
  <c r="B413" i="43"/>
  <c r="B414" i="43"/>
  <c r="B438" i="43" s="1"/>
  <c r="B4" i="52" s="1"/>
  <c r="B408" i="43"/>
  <c r="B431" i="43"/>
  <c r="B455" i="43" s="1"/>
  <c r="B21" i="52" s="1"/>
  <c r="B422" i="43"/>
  <c r="B446" i="43" s="1"/>
  <c r="B12" i="52" s="1"/>
  <c r="B415" i="43"/>
  <c r="B439" i="43" s="1"/>
  <c r="B5" i="52" s="1"/>
  <c r="B417" i="43"/>
  <c r="B441" i="43" s="1"/>
  <c r="B7" i="52" s="1"/>
  <c r="B409" i="43"/>
  <c r="B406" i="43"/>
  <c r="B429" i="43"/>
  <c r="B453" i="43" s="1"/>
  <c r="B19" i="52" s="1"/>
  <c r="B433" i="43"/>
  <c r="B457" i="43" s="1"/>
  <c r="B23" i="52" s="1"/>
  <c r="B411" i="43"/>
  <c r="B416" i="43"/>
  <c r="B440" i="43" s="1"/>
  <c r="B6" i="52" s="1"/>
  <c r="B432" i="43"/>
  <c r="B456" i="43" s="1"/>
  <c r="B22" i="52" s="1"/>
  <c r="B404" i="43"/>
  <c r="B428" i="43"/>
  <c r="B452" i="43" s="1"/>
  <c r="B18" i="52" s="1"/>
  <c r="B420" i="43"/>
  <c r="B444" i="43" s="1"/>
  <c r="B10" i="52" s="1"/>
  <c r="B421" i="43"/>
  <c r="B445" i="43" s="1"/>
  <c r="B11" i="52" s="1"/>
  <c r="B410" i="43"/>
  <c r="B407" i="43"/>
  <c r="B427" i="43"/>
  <c r="B451" i="43" s="1"/>
  <c r="B17" i="52" s="1"/>
  <c r="B426" i="43"/>
  <c r="B450" i="43" s="1"/>
  <c r="B16" i="52" s="1"/>
  <c r="B434" i="43"/>
  <c r="B458" i="43" s="1"/>
  <c r="B24" i="52" s="1"/>
  <c r="B430" i="43"/>
  <c r="B454" i="43" s="1"/>
  <c r="B20" i="52" s="1"/>
  <c r="B423" i="43"/>
  <c r="B447" i="43" s="1"/>
  <c r="B13" i="52" s="1"/>
  <c r="B418" i="43"/>
  <c r="B442" i="43" s="1"/>
  <c r="B8" i="52" s="1"/>
  <c r="B419" i="43"/>
  <c r="B443" i="43" s="1"/>
  <c r="B9" i="52" s="1"/>
  <c r="B412" i="43"/>
  <c r="F415" i="43"/>
  <c r="F439" i="43" s="1"/>
  <c r="F5" i="52" s="1"/>
  <c r="F410" i="43"/>
  <c r="F420" i="43"/>
  <c r="F444" i="43" s="1"/>
  <c r="F10" i="52" s="1"/>
  <c r="F431" i="43"/>
  <c r="F455" i="43" s="1"/>
  <c r="F21" i="52" s="1"/>
  <c r="F423" i="43"/>
  <c r="F447" i="43" s="1"/>
  <c r="F13" i="52" s="1"/>
  <c r="F424" i="43"/>
  <c r="F448" i="43" s="1"/>
  <c r="F14" i="52" s="1"/>
  <c r="F419" i="43"/>
  <c r="F443" i="43" s="1"/>
  <c r="F9" i="52" s="1"/>
  <c r="F430" i="43"/>
  <c r="F454" i="43" s="1"/>
  <c r="F20" i="52" s="1"/>
  <c r="F416" i="43"/>
  <c r="F440" i="43" s="1"/>
  <c r="F6" i="52" s="1"/>
  <c r="F404" i="43"/>
  <c r="F427" i="43"/>
  <c r="F451" i="43" s="1"/>
  <c r="F17" i="52" s="1"/>
  <c r="F434" i="43"/>
  <c r="F458" i="43" s="1"/>
  <c r="F24" i="52" s="1"/>
  <c r="F421" i="43"/>
  <c r="F445" i="43" s="1"/>
  <c r="F11" i="52" s="1"/>
  <c r="F425" i="43"/>
  <c r="F449" i="43" s="1"/>
  <c r="F15" i="52" s="1"/>
  <c r="F426" i="43"/>
  <c r="F450" i="43" s="1"/>
  <c r="F16" i="52" s="1"/>
  <c r="F412" i="43"/>
  <c r="F409" i="43"/>
  <c r="F407" i="43"/>
  <c r="F417" i="43"/>
  <c r="F441" i="43" s="1"/>
  <c r="F7" i="52" s="1"/>
  <c r="F414" i="43"/>
  <c r="F438" i="43" s="1"/>
  <c r="F4" i="52" s="1"/>
  <c r="F422" i="43"/>
  <c r="F446" i="43" s="1"/>
  <c r="F12" i="52" s="1"/>
  <c r="F411" i="43"/>
  <c r="F405" i="43"/>
  <c r="F408" i="43"/>
  <c r="F432" i="43"/>
  <c r="F456" i="43" s="1"/>
  <c r="F22" i="52" s="1"/>
  <c r="F418" i="43"/>
  <c r="F442" i="43" s="1"/>
  <c r="F8" i="52" s="1"/>
  <c r="F413" i="43"/>
  <c r="F428" i="43"/>
  <c r="F452" i="43" s="1"/>
  <c r="F18" i="52" s="1"/>
  <c r="F429" i="43"/>
  <c r="F453" i="43" s="1"/>
  <c r="F19" i="52" s="1"/>
  <c r="F406" i="43"/>
  <c r="F433" i="43"/>
  <c r="F457" i="43" s="1"/>
  <c r="F23" i="52" s="1"/>
  <c r="D405" i="43"/>
  <c r="D408" i="43"/>
  <c r="D413" i="43"/>
  <c r="D415" i="43"/>
  <c r="D439" i="43" s="1"/>
  <c r="D5" i="52" s="1"/>
  <c r="D424" i="43"/>
  <c r="D448" i="43" s="1"/>
  <c r="D14" i="52" s="1"/>
  <c r="D433" i="43"/>
  <c r="D457" i="43" s="1"/>
  <c r="D23" i="52" s="1"/>
  <c r="D406" i="43"/>
  <c r="D417" i="43"/>
  <c r="D441" i="43" s="1"/>
  <c r="D7" i="52" s="1"/>
  <c r="D419" i="43"/>
  <c r="D443" i="43" s="1"/>
  <c r="D9" i="52" s="1"/>
  <c r="D426" i="43"/>
  <c r="D450" i="43" s="1"/>
  <c r="D16" i="52" s="1"/>
  <c r="D430" i="43"/>
  <c r="D454" i="43" s="1"/>
  <c r="D20" i="52" s="1"/>
  <c r="D414" i="43"/>
  <c r="D438" i="43" s="1"/>
  <c r="D4" i="52" s="1"/>
  <c r="D427" i="43"/>
  <c r="D451" i="43" s="1"/>
  <c r="D17" i="52" s="1"/>
  <c r="D431" i="43"/>
  <c r="D455" i="43" s="1"/>
  <c r="D21" i="52" s="1"/>
  <c r="D411" i="43"/>
  <c r="D416" i="43"/>
  <c r="D440" i="43" s="1"/>
  <c r="D6" i="52" s="1"/>
  <c r="D423" i="43"/>
  <c r="D447" i="43" s="1"/>
  <c r="D13" i="52" s="1"/>
  <c r="D428" i="43"/>
  <c r="D452" i="43" s="1"/>
  <c r="D18" i="52" s="1"/>
  <c r="D404" i="43"/>
  <c r="D409" i="43"/>
  <c r="D421" i="43"/>
  <c r="D445" i="43" s="1"/>
  <c r="D11" i="52" s="1"/>
  <c r="D434" i="43"/>
  <c r="D458" i="43" s="1"/>
  <c r="D24" i="52" s="1"/>
  <c r="D407" i="43"/>
  <c r="D418" i="43"/>
  <c r="D442" i="43" s="1"/>
  <c r="D8" i="52" s="1"/>
  <c r="D425" i="43"/>
  <c r="D449" i="43" s="1"/>
  <c r="D15" i="52" s="1"/>
  <c r="D429" i="43"/>
  <c r="D453" i="43" s="1"/>
  <c r="D19" i="52" s="1"/>
  <c r="D432" i="43"/>
  <c r="D456" i="43" s="1"/>
  <c r="D22" i="52" s="1"/>
  <c r="D410" i="43"/>
  <c r="D412" i="43"/>
  <c r="D420" i="43"/>
  <c r="D444" i="43" s="1"/>
  <c r="D10" i="52" s="1"/>
  <c r="D422" i="43"/>
  <c r="D446" i="43" s="1"/>
  <c r="D12" i="52" s="1"/>
  <c r="E405" i="43"/>
  <c r="E410" i="43"/>
  <c r="E420" i="43"/>
  <c r="E444" i="43" s="1"/>
  <c r="E10" i="52" s="1"/>
  <c r="E422" i="43"/>
  <c r="E446" i="43" s="1"/>
  <c r="E12" i="52" s="1"/>
  <c r="E408" i="43"/>
  <c r="E413" i="43"/>
  <c r="E415" i="43"/>
  <c r="E439" i="43" s="1"/>
  <c r="E5" i="52" s="1"/>
  <c r="E424" i="43"/>
  <c r="E448" i="43" s="1"/>
  <c r="E14" i="52" s="1"/>
  <c r="E433" i="43"/>
  <c r="E457" i="43" s="1"/>
  <c r="E23" i="52" s="1"/>
  <c r="E406" i="43"/>
  <c r="E417" i="43"/>
  <c r="E441" i="43" s="1"/>
  <c r="E7" i="52" s="1"/>
  <c r="E419" i="43"/>
  <c r="E443" i="43" s="1"/>
  <c r="E9" i="52" s="1"/>
  <c r="E426" i="43"/>
  <c r="E450" i="43" s="1"/>
  <c r="E16" i="52" s="1"/>
  <c r="E430" i="43"/>
  <c r="E454" i="43" s="1"/>
  <c r="E20" i="52" s="1"/>
  <c r="E411" i="43"/>
  <c r="E416" i="43"/>
  <c r="E440" i="43" s="1"/>
  <c r="E6" i="52" s="1"/>
  <c r="E423" i="43"/>
  <c r="E447" i="43" s="1"/>
  <c r="E13" i="52" s="1"/>
  <c r="E404" i="43"/>
  <c r="E434" i="43"/>
  <c r="E458" i="43" s="1"/>
  <c r="E24" i="52" s="1"/>
  <c r="E431" i="43"/>
  <c r="E455" i="43" s="1"/>
  <c r="E21" i="52" s="1"/>
  <c r="E418" i="43"/>
  <c r="E442" i="43" s="1"/>
  <c r="E8" i="52" s="1"/>
  <c r="E425" i="43"/>
  <c r="E449" i="43" s="1"/>
  <c r="E15" i="52" s="1"/>
  <c r="E427" i="43"/>
  <c r="E451" i="43" s="1"/>
  <c r="E17" i="52" s="1"/>
  <c r="E429" i="43"/>
  <c r="E453" i="43" s="1"/>
  <c r="E19" i="52" s="1"/>
  <c r="E414" i="43"/>
  <c r="E438" i="43" s="1"/>
  <c r="E4" i="52" s="1"/>
  <c r="E421" i="43"/>
  <c r="E445" i="43" s="1"/>
  <c r="E11" i="52" s="1"/>
  <c r="E409" i="43"/>
  <c r="E428" i="43"/>
  <c r="E452" i="43" s="1"/>
  <c r="E18" i="52" s="1"/>
  <c r="E432" i="43"/>
  <c r="E456" i="43" s="1"/>
  <c r="E22" i="52" s="1"/>
  <c r="E412" i="43"/>
  <c r="E407"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F87" i="52" l="1"/>
  <c r="F90" i="52"/>
  <c r="F89" i="52"/>
  <c r="F86" i="52"/>
  <c r="F82" i="52"/>
  <c r="F93" i="52"/>
  <c r="F97" i="52"/>
  <c r="F96" i="52"/>
  <c r="F91" i="52"/>
  <c r="F88" i="52"/>
  <c r="F83" i="52"/>
  <c r="F80" i="52"/>
  <c r="F98" i="52"/>
  <c r="F100" i="52"/>
  <c r="F99" i="52"/>
  <c r="F94" i="52"/>
  <c r="F92" i="52"/>
  <c r="F84" i="52"/>
  <c r="F74" i="52"/>
  <c r="F73" i="52"/>
  <c r="F101" i="52"/>
  <c r="F72" i="52"/>
  <c r="F95" i="52"/>
  <c r="F85" i="52"/>
  <c r="F76" i="52"/>
  <c r="F79" i="52"/>
  <c r="F78" i="52"/>
  <c r="F77" i="52"/>
  <c r="F75" i="52"/>
  <c r="F102" i="52"/>
  <c r="F81" i="52"/>
  <c r="D76" i="52"/>
  <c r="D82" i="52"/>
  <c r="D88" i="52"/>
  <c r="D94" i="52"/>
  <c r="D100" i="52"/>
  <c r="D77" i="52"/>
  <c r="D83" i="52"/>
  <c r="D89" i="52"/>
  <c r="D95" i="52"/>
  <c r="D101" i="52"/>
  <c r="D81" i="52"/>
  <c r="D99" i="52"/>
  <c r="D72" i="52"/>
  <c r="D78" i="52"/>
  <c r="D84" i="52"/>
  <c r="D90" i="52"/>
  <c r="D96" i="52"/>
  <c r="D102" i="52"/>
  <c r="D93" i="52"/>
  <c r="D73" i="52"/>
  <c r="D79" i="52"/>
  <c r="D85" i="52"/>
  <c r="D91" i="52"/>
  <c r="D97" i="52"/>
  <c r="D87" i="52"/>
  <c r="D74" i="52"/>
  <c r="D80" i="52"/>
  <c r="D86" i="52"/>
  <c r="D92" i="52"/>
  <c r="D98" i="52"/>
  <c r="D75" i="52"/>
  <c r="H73" i="52"/>
  <c r="H79" i="52"/>
  <c r="H85" i="52"/>
  <c r="H91" i="52"/>
  <c r="H97" i="52"/>
  <c r="H74" i="52"/>
  <c r="H80" i="52"/>
  <c r="H86" i="52"/>
  <c r="H92" i="52"/>
  <c r="H98" i="52"/>
  <c r="H96" i="52"/>
  <c r="H75" i="52"/>
  <c r="H81" i="52"/>
  <c r="H87" i="52"/>
  <c r="H93" i="52"/>
  <c r="H99" i="52"/>
  <c r="H78" i="52"/>
  <c r="H102" i="52"/>
  <c r="H76" i="52"/>
  <c r="H82" i="52"/>
  <c r="H88" i="52"/>
  <c r="H94" i="52"/>
  <c r="H100" i="52"/>
  <c r="H72" i="52"/>
  <c r="H90" i="52"/>
  <c r="H77" i="52"/>
  <c r="H83" i="52"/>
  <c r="H89" i="52"/>
  <c r="H95" i="52"/>
  <c r="H101" i="52"/>
  <c r="H84" i="52"/>
  <c r="B96" i="52"/>
  <c r="B90" i="52"/>
  <c r="B74" i="52"/>
  <c r="B100" i="52"/>
  <c r="B101" i="52"/>
  <c r="B85" i="52"/>
  <c r="B86" i="52"/>
  <c r="B77" i="52"/>
  <c r="B80" i="52"/>
  <c r="B75" i="52"/>
  <c r="B76" i="52"/>
  <c r="B91" i="52"/>
  <c r="B81" i="52"/>
  <c r="B84" i="52"/>
  <c r="B78" i="52"/>
  <c r="B95" i="52"/>
  <c r="B92" i="52"/>
  <c r="B102" i="52"/>
  <c r="B94" i="52"/>
  <c r="B97" i="52"/>
  <c r="B98" i="52"/>
  <c r="B87" i="52"/>
  <c r="B82" i="52"/>
  <c r="B83" i="52"/>
  <c r="B79" i="52"/>
  <c r="B72" i="52"/>
  <c r="B73" i="52"/>
  <c r="B93" i="52"/>
  <c r="B88" i="52"/>
  <c r="B89" i="52"/>
  <c r="B99" i="52"/>
  <c r="G72" i="52"/>
  <c r="G78" i="52"/>
  <c r="G84" i="52"/>
  <c r="G90" i="52"/>
  <c r="G96" i="52"/>
  <c r="G102" i="52"/>
  <c r="G73" i="52"/>
  <c r="G79" i="52"/>
  <c r="G85" i="52"/>
  <c r="G91" i="52"/>
  <c r="G97" i="52"/>
  <c r="G89" i="52"/>
  <c r="G74" i="52"/>
  <c r="G80" i="52"/>
  <c r="G86" i="52"/>
  <c r="G92" i="52"/>
  <c r="G98" i="52"/>
  <c r="G101" i="52"/>
  <c r="G75" i="52"/>
  <c r="G81" i="52"/>
  <c r="G87" i="52"/>
  <c r="G93" i="52"/>
  <c r="G99" i="52"/>
  <c r="G83" i="52"/>
  <c r="G76" i="52"/>
  <c r="G82" i="52"/>
  <c r="G88" i="52"/>
  <c r="G94" i="52"/>
  <c r="G100" i="52"/>
  <c r="G77" i="52"/>
  <c r="G95" i="52"/>
  <c r="C75" i="52"/>
  <c r="C81" i="52"/>
  <c r="C87" i="52"/>
  <c r="C93" i="52"/>
  <c r="C99" i="52"/>
  <c r="C76" i="52"/>
  <c r="C82" i="52"/>
  <c r="C88" i="52"/>
  <c r="C94" i="52"/>
  <c r="C100" i="52"/>
  <c r="C86" i="52"/>
  <c r="C77" i="52"/>
  <c r="C83" i="52"/>
  <c r="C89" i="52"/>
  <c r="C95" i="52"/>
  <c r="C101" i="52"/>
  <c r="C92" i="52"/>
  <c r="C72" i="52"/>
  <c r="C78" i="52"/>
  <c r="C84" i="52"/>
  <c r="C90" i="52"/>
  <c r="C96" i="52"/>
  <c r="C102" i="52"/>
  <c r="C80" i="52"/>
  <c r="C73" i="52"/>
  <c r="C79" i="52"/>
  <c r="C85" i="52"/>
  <c r="C91" i="52"/>
  <c r="C97" i="52"/>
  <c r="C74" i="52"/>
  <c r="C98" i="52"/>
  <c r="E77" i="52"/>
  <c r="E83" i="52"/>
  <c r="E89" i="52"/>
  <c r="E95" i="52"/>
  <c r="E101" i="52"/>
  <c r="E72" i="52"/>
  <c r="E78" i="52"/>
  <c r="E84" i="52"/>
  <c r="E90" i="52"/>
  <c r="E96" i="52"/>
  <c r="E102" i="52"/>
  <c r="E76" i="52"/>
  <c r="E100" i="52"/>
  <c r="E73" i="52"/>
  <c r="E79" i="52"/>
  <c r="E85" i="52"/>
  <c r="E91" i="52"/>
  <c r="E97" i="52"/>
  <c r="E94" i="52"/>
  <c r="E74" i="52"/>
  <c r="E80" i="52"/>
  <c r="E86" i="52"/>
  <c r="E92" i="52"/>
  <c r="E98" i="52"/>
  <c r="E88" i="52"/>
  <c r="E75" i="52"/>
  <c r="E81" i="52"/>
  <c r="E87" i="52"/>
  <c r="E93" i="52"/>
  <c r="E99" i="52"/>
  <c r="E82" i="52"/>
  <c r="H217" i="44" a="1"/>
  <c r="A8" i="43"/>
  <c r="M14" i="43"/>
  <c r="AF109" i="52" l="1"/>
  <c r="L109" i="52"/>
  <c r="N109" i="52"/>
  <c r="AE109" i="52"/>
  <c r="R109" i="52"/>
  <c r="K109" i="52"/>
  <c r="X109" i="52"/>
  <c r="AG109" i="52"/>
  <c r="M109" i="52"/>
  <c r="AB109" i="52"/>
  <c r="O109" i="52"/>
  <c r="T109" i="52"/>
  <c r="AD109" i="52"/>
  <c r="W109" i="52"/>
  <c r="Q109" i="52"/>
  <c r="Y109" i="52"/>
  <c r="S109" i="52"/>
  <c r="V109" i="52"/>
  <c r="P109" i="52"/>
  <c r="Z109" i="52"/>
  <c r="J109" i="52"/>
  <c r="AI109" i="52"/>
  <c r="AA109" i="52"/>
  <c r="U109" i="52"/>
  <c r="AC109" i="52"/>
  <c r="I109" i="52"/>
  <c r="AH109" i="52"/>
  <c r="H217" i="44"/>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J72" i="52" l="1"/>
  <c r="F109" i="52" s="1"/>
  <c r="AJ109" i="52"/>
  <c r="AJ144" i="52" s="1"/>
  <c r="J148" i="52"/>
  <c r="J144" i="52"/>
  <c r="J142" i="52"/>
  <c r="J143" i="52" s="1"/>
  <c r="Z142" i="52"/>
  <c r="Z143" i="52" s="1"/>
  <c r="Z148" i="52"/>
  <c r="Z144" i="52"/>
  <c r="AC148" i="52"/>
  <c r="AC142" i="52"/>
  <c r="AC143" i="52" s="1"/>
  <c r="AC144" i="52"/>
  <c r="P142" i="52"/>
  <c r="P143" i="52" s="1"/>
  <c r="P148" i="52"/>
  <c r="P144" i="52"/>
  <c r="W144" i="52"/>
  <c r="W148" i="52"/>
  <c r="W142" i="52"/>
  <c r="W143" i="52" s="1"/>
  <c r="AG148" i="52"/>
  <c r="AG142" i="52"/>
  <c r="AG143" i="52" s="1"/>
  <c r="AG144" i="52"/>
  <c r="AH148" i="52"/>
  <c r="AH142" i="52"/>
  <c r="AH143" i="52" s="1"/>
  <c r="AH144" i="52"/>
  <c r="F142" i="52"/>
  <c r="F143" i="52" s="1"/>
  <c r="F144" i="52"/>
  <c r="F148" i="52"/>
  <c r="U148" i="52"/>
  <c r="U142" i="52"/>
  <c r="U143" i="52" s="1"/>
  <c r="U144" i="52"/>
  <c r="V148" i="52"/>
  <c r="V142" i="52"/>
  <c r="V143" i="52" s="1"/>
  <c r="V144" i="52"/>
  <c r="AD148" i="52"/>
  <c r="AD144" i="52"/>
  <c r="AD142" i="52"/>
  <c r="AD143" i="52" s="1"/>
  <c r="X148" i="52"/>
  <c r="X142" i="52"/>
  <c r="X143" i="52" s="1"/>
  <c r="X144" i="52"/>
  <c r="N144" i="52"/>
  <c r="N148" i="52"/>
  <c r="N142" i="52"/>
  <c r="N143" i="52" s="1"/>
  <c r="I148" i="52"/>
  <c r="I142" i="52"/>
  <c r="I143" i="52" s="1"/>
  <c r="I144" i="52"/>
  <c r="Q148" i="52"/>
  <c r="Q142" i="52"/>
  <c r="Q143" i="52" s="1"/>
  <c r="Q144" i="52"/>
  <c r="S144" i="52"/>
  <c r="S148" i="52"/>
  <c r="S142" i="52"/>
  <c r="S143" i="52" s="1"/>
  <c r="T148" i="52"/>
  <c r="T142" i="52"/>
  <c r="T143" i="52" s="1"/>
  <c r="T144" i="52"/>
  <c r="K148" i="52"/>
  <c r="K142" i="52"/>
  <c r="K143" i="52" s="1"/>
  <c r="K144" i="52"/>
  <c r="L148" i="52"/>
  <c r="L144" i="52"/>
  <c r="L142" i="52"/>
  <c r="L143" i="52" s="1"/>
  <c r="M148" i="52"/>
  <c r="M144" i="52"/>
  <c r="M142" i="52"/>
  <c r="M143" i="52" s="1"/>
  <c r="AA144" i="52"/>
  <c r="AA148" i="52"/>
  <c r="AA142" i="52"/>
  <c r="AA143" i="52" s="1"/>
  <c r="AI148" i="52"/>
  <c r="AI144" i="52"/>
  <c r="AI142" i="52"/>
  <c r="AI143" i="52" s="1"/>
  <c r="Y144" i="52"/>
  <c r="Y148" i="52"/>
  <c r="Y142" i="52"/>
  <c r="Y143" i="52" s="1"/>
  <c r="O148" i="52"/>
  <c r="O144" i="52"/>
  <c r="O142" i="52"/>
  <c r="O143" i="52" s="1"/>
  <c r="R148" i="52"/>
  <c r="R144" i="52"/>
  <c r="R142" i="52"/>
  <c r="R143" i="52" s="1"/>
  <c r="AF148" i="52"/>
  <c r="AF142" i="52"/>
  <c r="AF143" i="52" s="1"/>
  <c r="AF144" i="52"/>
  <c r="AB148" i="52"/>
  <c r="AB144" i="52"/>
  <c r="AB142" i="52"/>
  <c r="AB143" i="52" s="1"/>
  <c r="AE148" i="52"/>
  <c r="AE142" i="52"/>
  <c r="AE143" i="52" s="1"/>
  <c r="AE144" i="52"/>
  <c r="F224" i="44"/>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J148" i="52" l="1"/>
  <c r="AJ142" i="52"/>
  <c r="AJ143" i="52" s="1"/>
  <c r="G109" i="52"/>
  <c r="H109" i="52"/>
  <c r="F150" i="52"/>
  <c r="K146" i="52"/>
  <c r="A12" i="43"/>
  <c r="P14" i="43"/>
  <c r="H142" i="52" l="1"/>
  <c r="H143" i="52" s="1"/>
  <c r="H148" i="52"/>
  <c r="H144" i="52"/>
  <c r="G142" i="52"/>
  <c r="G143" i="52" s="1"/>
  <c r="G148" i="52"/>
  <c r="G144" i="52"/>
  <c r="A13" i="43"/>
  <c r="Q14" i="43"/>
  <c r="F149" i="52" l="1"/>
  <c r="G146" i="52"/>
  <c r="I146" i="52" s="1"/>
  <c r="R14" i="43"/>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P457" i="43" s="1"/>
  <c r="P23" i="52" s="1"/>
  <c r="BE31" i="8"/>
  <c r="BE30" i="8"/>
  <c r="AS29" i="8"/>
  <c r="P430" i="43" s="1"/>
  <c r="P454" i="43" s="1"/>
  <c r="P20" i="52" s="1"/>
  <c r="BE28" i="8"/>
  <c r="BE27" i="8"/>
  <c r="AS26" i="8"/>
  <c r="P427" i="43" s="1"/>
  <c r="P451" i="43" s="1"/>
  <c r="P17" i="52" s="1"/>
  <c r="BE25" i="8"/>
  <c r="BE24" i="8"/>
  <c r="BE23" i="8"/>
  <c r="BE22" i="8"/>
  <c r="BE21" i="8"/>
  <c r="AS20" i="8"/>
  <c r="P421" i="43" s="1"/>
  <c r="P445" i="43" s="1"/>
  <c r="P11" i="52" s="1"/>
  <c r="BE19" i="8"/>
  <c r="BE18" i="8"/>
  <c r="AS17" i="8"/>
  <c r="P418" i="43" s="1"/>
  <c r="P442" i="43" s="1"/>
  <c r="P8" i="52" s="1"/>
  <c r="BE16" i="8"/>
  <c r="BE15" i="8"/>
  <c r="AS14" i="8"/>
  <c r="P415" i="43" s="1"/>
  <c r="P439" i="43" s="1"/>
  <c r="P5" i="52"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N458" i="43" s="1"/>
  <c r="N24" i="52" s="1"/>
  <c r="S32" i="8"/>
  <c r="AQ32" i="8" s="1"/>
  <c r="N433" i="43" s="1"/>
  <c r="N457" i="43" s="1"/>
  <c r="N23" i="52" s="1"/>
  <c r="S31" i="8"/>
  <c r="AQ31" i="8" s="1"/>
  <c r="N432" i="43" s="1"/>
  <c r="N456" i="43" s="1"/>
  <c r="N22" i="52" s="1"/>
  <c r="S30" i="8"/>
  <c r="AQ30" i="8" s="1"/>
  <c r="N431" i="43" s="1"/>
  <c r="N455" i="43" s="1"/>
  <c r="N21" i="52" s="1"/>
  <c r="S29" i="8"/>
  <c r="AQ29" i="8" s="1"/>
  <c r="N430" i="43" s="1"/>
  <c r="N454" i="43" s="1"/>
  <c r="N20" i="52" s="1"/>
  <c r="S28" i="8"/>
  <c r="AQ28" i="8" s="1"/>
  <c r="N429" i="43" s="1"/>
  <c r="N453" i="43" s="1"/>
  <c r="N19" i="52" s="1"/>
  <c r="S27" i="8"/>
  <c r="AQ27" i="8" s="1"/>
  <c r="N428" i="43" s="1"/>
  <c r="N452" i="43" s="1"/>
  <c r="N18" i="52" s="1"/>
  <c r="S26" i="8"/>
  <c r="AQ26" i="8" s="1"/>
  <c r="N427" i="43" s="1"/>
  <c r="N451" i="43" s="1"/>
  <c r="N17" i="52" s="1"/>
  <c r="S25" i="8"/>
  <c r="AQ25" i="8" s="1"/>
  <c r="N426" i="43" s="1"/>
  <c r="N450" i="43" s="1"/>
  <c r="N16" i="52" s="1"/>
  <c r="S24" i="8"/>
  <c r="AQ24" i="8" s="1"/>
  <c r="N425" i="43" s="1"/>
  <c r="N449" i="43" s="1"/>
  <c r="N15" i="52" s="1"/>
  <c r="S23" i="8"/>
  <c r="AQ23" i="8" s="1"/>
  <c r="N424" i="43" s="1"/>
  <c r="N448" i="43" s="1"/>
  <c r="N14" i="52" s="1"/>
  <c r="S22" i="8"/>
  <c r="AQ22" i="8" s="1"/>
  <c r="N423" i="43" s="1"/>
  <c r="N447" i="43" s="1"/>
  <c r="N13" i="52" s="1"/>
  <c r="S21" i="8"/>
  <c r="AQ21" i="8" s="1"/>
  <c r="N422" i="43" s="1"/>
  <c r="N446" i="43" s="1"/>
  <c r="N12" i="52" s="1"/>
  <c r="S20" i="8"/>
  <c r="AQ20" i="8" s="1"/>
  <c r="N421" i="43" s="1"/>
  <c r="N445" i="43" s="1"/>
  <c r="N11" i="52" s="1"/>
  <c r="S19" i="8"/>
  <c r="AQ19" i="8" s="1"/>
  <c r="N420" i="43" s="1"/>
  <c r="N444" i="43" s="1"/>
  <c r="N10" i="52" s="1"/>
  <c r="S18" i="8"/>
  <c r="AQ18" i="8" s="1"/>
  <c r="N419" i="43" s="1"/>
  <c r="N443" i="43" s="1"/>
  <c r="N9" i="52" s="1"/>
  <c r="S17" i="8"/>
  <c r="AQ17" i="8" s="1"/>
  <c r="N418" i="43" s="1"/>
  <c r="N442" i="43" s="1"/>
  <c r="N8" i="52" s="1"/>
  <c r="S16" i="8"/>
  <c r="AQ16" i="8" s="1"/>
  <c r="N417" i="43" s="1"/>
  <c r="N441" i="43" s="1"/>
  <c r="N7" i="52" s="1"/>
  <c r="S15" i="8"/>
  <c r="AQ15" i="8" s="1"/>
  <c r="N416" i="43" s="1"/>
  <c r="N440" i="43" s="1"/>
  <c r="N6" i="52" s="1"/>
  <c r="S14" i="8"/>
  <c r="AQ14" i="8" s="1"/>
  <c r="N415" i="43" s="1"/>
  <c r="N439" i="43" s="1"/>
  <c r="N5" i="52" s="1"/>
  <c r="S13" i="8"/>
  <c r="AQ13" i="8" s="1"/>
  <c r="N414" i="43" s="1"/>
  <c r="N438" i="43" s="1"/>
  <c r="N4" i="52"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P447" i="43" s="1"/>
  <c r="P13" i="52" s="1"/>
  <c r="AS23" i="8"/>
  <c r="P424" i="43" s="1"/>
  <c r="P448" i="43" s="1"/>
  <c r="P14" i="52" s="1"/>
  <c r="AO4" i="8"/>
  <c r="L405" i="43" s="1"/>
  <c r="AO6" i="8"/>
  <c r="L407" i="43" s="1"/>
  <c r="AO10" i="8"/>
  <c r="L411" i="43" s="1"/>
  <c r="AO30" i="8"/>
  <c r="L431" i="43" s="1"/>
  <c r="L455" i="43" s="1"/>
  <c r="L21" i="52" s="1"/>
  <c r="BA13" i="8"/>
  <c r="BA15" i="8"/>
  <c r="BA19" i="8"/>
  <c r="AS28" i="8"/>
  <c r="P429" i="43" s="1"/>
  <c r="P453" i="43" s="1"/>
  <c r="P19" i="52" s="1"/>
  <c r="AS9" i="8"/>
  <c r="P410" i="43" s="1"/>
  <c r="AS5" i="8"/>
  <c r="P406" i="43" s="1"/>
  <c r="BE32" i="8"/>
  <c r="AS18" i="8"/>
  <c r="P419" i="43" s="1"/>
  <c r="P443" i="43" s="1"/>
  <c r="P9" i="52" s="1"/>
  <c r="AS7" i="8"/>
  <c r="P408" i="43" s="1"/>
  <c r="BA12" i="8"/>
  <c r="BA16" i="8"/>
  <c r="BA18" i="8"/>
  <c r="BA22" i="8"/>
  <c r="BA24" i="8"/>
  <c r="BA28" i="8"/>
  <c r="AO7" i="8"/>
  <c r="L408" i="43" s="1"/>
  <c r="AO9" i="8"/>
  <c r="L410" i="43" s="1"/>
  <c r="AO21" i="8"/>
  <c r="L422" i="43" s="1"/>
  <c r="L446" i="43" s="1"/>
  <c r="L12" i="52" s="1"/>
  <c r="AO25" i="8"/>
  <c r="L426" i="43" s="1"/>
  <c r="L450" i="43" s="1"/>
  <c r="L16" i="52" s="1"/>
  <c r="AO27" i="8"/>
  <c r="L428" i="43" s="1"/>
  <c r="L452" i="43" s="1"/>
  <c r="L18" i="52" s="1"/>
  <c r="AO31" i="8"/>
  <c r="L432" i="43" s="1"/>
  <c r="L456" i="43" s="1"/>
  <c r="L22" i="52" s="1"/>
  <c r="AO33" i="8"/>
  <c r="L434" i="43" s="1"/>
  <c r="L458" i="43" s="1"/>
  <c r="L24" i="52" s="1"/>
  <c r="AS15" i="8"/>
  <c r="P416" i="43" s="1"/>
  <c r="P440" i="43" s="1"/>
  <c r="P6" i="52" s="1"/>
  <c r="BE11" i="8"/>
  <c r="BE29" i="8"/>
  <c r="AS24" i="8"/>
  <c r="P425" i="43" s="1"/>
  <c r="P449" i="43" s="1"/>
  <c r="P15" i="52" s="1"/>
  <c r="AS13" i="8"/>
  <c r="P414" i="43" s="1"/>
  <c r="P438" i="43" s="1"/>
  <c r="P4" i="52" s="1"/>
  <c r="AS21" i="8"/>
  <c r="P422" i="43" s="1"/>
  <c r="P446" i="43" s="1"/>
  <c r="P12" i="52" s="1"/>
  <c r="AS30" i="8"/>
  <c r="P431" i="43" s="1"/>
  <c r="P455" i="43" s="1"/>
  <c r="P21" i="52" s="1"/>
  <c r="BE8" i="8"/>
  <c r="AS19" i="8"/>
  <c r="P420" i="43" s="1"/>
  <c r="P444" i="43" s="1"/>
  <c r="P10" i="52" s="1"/>
  <c r="AS27" i="8"/>
  <c r="P428" i="43" s="1"/>
  <c r="P452" i="43" s="1"/>
  <c r="P18" i="52" s="1"/>
  <c r="AS4" i="8"/>
  <c r="P405" i="43" s="1"/>
  <c r="BE20" i="8"/>
  <c r="BE17" i="8"/>
  <c r="AS31" i="8"/>
  <c r="P432" i="43" s="1"/>
  <c r="P456" i="43" s="1"/>
  <c r="P22" i="52" s="1"/>
  <c r="AS25" i="8"/>
  <c r="P426" i="43" s="1"/>
  <c r="P450" i="43" s="1"/>
  <c r="P16" i="52" s="1"/>
  <c r="AS33" i="8"/>
  <c r="P434" i="43" s="1"/>
  <c r="P458" i="43" s="1"/>
  <c r="P24" i="52" s="1"/>
  <c r="AS10" i="8"/>
  <c r="P411" i="43" s="1"/>
  <c r="AS6" i="8"/>
  <c r="P407" i="43" s="1"/>
  <c r="BE26" i="8"/>
  <c r="BE14" i="8"/>
  <c r="AS16" i="8"/>
  <c r="P417" i="43" s="1"/>
  <c r="P441" i="43" s="1"/>
  <c r="P7" i="52" s="1"/>
  <c r="AS12" i="8"/>
  <c r="P413" i="43" s="1"/>
  <c r="AR3" i="8"/>
  <c r="O404" i="43" s="1"/>
  <c r="BD3" i="8"/>
  <c r="T5" i="8"/>
  <c r="AR7" i="8"/>
  <c r="O408" i="43" s="1"/>
  <c r="BD7" i="8"/>
  <c r="AR9" i="8"/>
  <c r="O410" i="43" s="1"/>
  <c r="BD9" i="8"/>
  <c r="T11" i="8"/>
  <c r="AR13" i="8"/>
  <c r="O414" i="43" s="1"/>
  <c r="O438" i="43" s="1"/>
  <c r="O4" i="52" s="1"/>
  <c r="BD13" i="8"/>
  <c r="AR15" i="8"/>
  <c r="O416" i="43" s="1"/>
  <c r="O440" i="43" s="1"/>
  <c r="O6" i="52" s="1"/>
  <c r="BD15" i="8"/>
  <c r="T17" i="8"/>
  <c r="AR19" i="8"/>
  <c r="O420" i="43" s="1"/>
  <c r="O444" i="43" s="1"/>
  <c r="O10" i="52" s="1"/>
  <c r="BD19" i="8"/>
  <c r="AR21" i="8"/>
  <c r="O422" i="43" s="1"/>
  <c r="O446" i="43" s="1"/>
  <c r="O12" i="52" s="1"/>
  <c r="BD21" i="8"/>
  <c r="T23" i="8"/>
  <c r="AR25" i="8"/>
  <c r="O426" i="43" s="1"/>
  <c r="O450" i="43" s="1"/>
  <c r="O16" i="52" s="1"/>
  <c r="BD25" i="8"/>
  <c r="AR27" i="8"/>
  <c r="O428" i="43" s="1"/>
  <c r="O452" i="43" s="1"/>
  <c r="O18" i="52" s="1"/>
  <c r="BD27" i="8"/>
  <c r="T29" i="8"/>
  <c r="AR31" i="8"/>
  <c r="O432" i="43" s="1"/>
  <c r="O456" i="43" s="1"/>
  <c r="O22" i="52" s="1"/>
  <c r="BD31" i="8"/>
  <c r="AR33" i="8"/>
  <c r="O434" i="43" s="1"/>
  <c r="O458" i="43" s="1"/>
  <c r="O24" i="52" s="1"/>
  <c r="BD33" i="8"/>
  <c r="AR4" i="8"/>
  <c r="O405" i="43" s="1"/>
  <c r="BD4" i="8"/>
  <c r="AR6" i="8"/>
  <c r="O407" i="43" s="1"/>
  <c r="BD6" i="8"/>
  <c r="T8" i="8"/>
  <c r="AR10" i="8"/>
  <c r="O411" i="43" s="1"/>
  <c r="BD10" i="8"/>
  <c r="AR12" i="8"/>
  <c r="O413" i="43" s="1"/>
  <c r="BD12" i="8"/>
  <c r="T14" i="8"/>
  <c r="AR16" i="8"/>
  <c r="O417" i="43" s="1"/>
  <c r="O441" i="43" s="1"/>
  <c r="O7" i="52" s="1"/>
  <c r="BD16" i="8"/>
  <c r="AR18" i="8"/>
  <c r="O419" i="43" s="1"/>
  <c r="O443" i="43" s="1"/>
  <c r="O9" i="52" s="1"/>
  <c r="BD18" i="8"/>
  <c r="T20" i="8"/>
  <c r="AR22" i="8"/>
  <c r="O423" i="43" s="1"/>
  <c r="O447" i="43" s="1"/>
  <c r="O13" i="52" s="1"/>
  <c r="BD22" i="8"/>
  <c r="AR24" i="8"/>
  <c r="O425" i="43" s="1"/>
  <c r="O449" i="43" s="1"/>
  <c r="O15" i="52" s="1"/>
  <c r="BD24" i="8"/>
  <c r="T26" i="8"/>
  <c r="AR28" i="8"/>
  <c r="O429" i="43" s="1"/>
  <c r="O453" i="43" s="1"/>
  <c r="O19" i="52" s="1"/>
  <c r="BD28" i="8"/>
  <c r="AR30" i="8"/>
  <c r="O431" i="43" s="1"/>
  <c r="O455" i="43" s="1"/>
  <c r="O21" i="52"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M446" i="43" s="1"/>
  <c r="M12" i="52" s="1"/>
  <c r="BB21" i="8"/>
  <c r="AP4" i="8"/>
  <c r="M405" i="43" s="1"/>
  <c r="BB4" i="8"/>
  <c r="AP6" i="8"/>
  <c r="M407" i="43" s="1"/>
  <c r="BB6" i="8"/>
  <c r="AP8" i="8"/>
  <c r="M409" i="43" s="1"/>
  <c r="BB8" i="8"/>
  <c r="AP29" i="8"/>
  <c r="M430" i="43" s="1"/>
  <c r="M454" i="43" s="1"/>
  <c r="M20" i="52" s="1"/>
  <c r="BB29" i="8"/>
  <c r="AP31" i="8"/>
  <c r="M432" i="43" s="1"/>
  <c r="M456" i="43" s="1"/>
  <c r="M22" i="52" s="1"/>
  <c r="BB31" i="8"/>
  <c r="AP33" i="8"/>
  <c r="BB33" i="8"/>
  <c r="AP23" i="8"/>
  <c r="M424" i="43" s="1"/>
  <c r="M448" i="43" s="1"/>
  <c r="M14" i="52" s="1"/>
  <c r="BB23" i="8"/>
  <c r="AP10" i="8"/>
  <c r="M411" i="43" s="1"/>
  <c r="BB10" i="8"/>
  <c r="AP12" i="8"/>
  <c r="M413" i="43" s="1"/>
  <c r="BB12" i="8"/>
  <c r="AP14" i="8"/>
  <c r="M415" i="43" s="1"/>
  <c r="M439" i="43" s="1"/>
  <c r="M5" i="52" s="1"/>
  <c r="BB14" i="8"/>
  <c r="AP16" i="8"/>
  <c r="M417" i="43" s="1"/>
  <c r="M441" i="43" s="1"/>
  <c r="M7" i="52" s="1"/>
  <c r="BB16" i="8"/>
  <c r="AP18" i="8"/>
  <c r="M419" i="43" s="1"/>
  <c r="M443" i="43" s="1"/>
  <c r="M9" i="52" s="1"/>
  <c r="BB18" i="8"/>
  <c r="AP25" i="8"/>
  <c r="M426" i="43" s="1"/>
  <c r="M450" i="43" s="1"/>
  <c r="M16" i="52" s="1"/>
  <c r="BB25" i="8"/>
  <c r="AP20" i="8"/>
  <c r="M421" i="43" s="1"/>
  <c r="M445" i="43" s="1"/>
  <c r="M11" i="52" s="1"/>
  <c r="BB20" i="8"/>
  <c r="AP22" i="8"/>
  <c r="M423" i="43" s="1"/>
  <c r="M447" i="43" s="1"/>
  <c r="M13" i="52" s="1"/>
  <c r="BB22" i="8"/>
  <c r="AP24" i="8"/>
  <c r="M425" i="43" s="1"/>
  <c r="M449" i="43" s="1"/>
  <c r="M15" i="52" s="1"/>
  <c r="BB24" i="8"/>
  <c r="AP26" i="8"/>
  <c r="BB26" i="8"/>
  <c r="AP27" i="8"/>
  <c r="M428" i="43" s="1"/>
  <c r="M452" i="43" s="1"/>
  <c r="M18" i="52" s="1"/>
  <c r="BB27" i="8"/>
  <c r="AP3" i="8"/>
  <c r="M404" i="43" s="1"/>
  <c r="BB3" i="8"/>
  <c r="AP5" i="8"/>
  <c r="M406" i="43" s="1"/>
  <c r="BB5" i="8"/>
  <c r="AP7" i="8"/>
  <c r="M408" i="43" s="1"/>
  <c r="BB7" i="8"/>
  <c r="AP9" i="8"/>
  <c r="M410" i="43" s="1"/>
  <c r="BB9" i="8"/>
  <c r="AP28" i="8"/>
  <c r="M429" i="43" s="1"/>
  <c r="M453" i="43" s="1"/>
  <c r="M19" i="52" s="1"/>
  <c r="BB28" i="8"/>
  <c r="AP30" i="8"/>
  <c r="M431" i="43" s="1"/>
  <c r="M455" i="43" s="1"/>
  <c r="M21" i="52" s="1"/>
  <c r="BB30" i="8"/>
  <c r="AP32" i="8"/>
  <c r="M433" i="43" s="1"/>
  <c r="M457" i="43" s="1"/>
  <c r="M23" i="52" s="1"/>
  <c r="BB32" i="8"/>
  <c r="AP19" i="8"/>
  <c r="BB19" i="8"/>
  <c r="AP11" i="8"/>
  <c r="M412" i="43" s="1"/>
  <c r="BB11" i="8"/>
  <c r="AP13" i="8"/>
  <c r="M414" i="43" s="1"/>
  <c r="M438" i="43" s="1"/>
  <c r="M4" i="52" s="1"/>
  <c r="BB13" i="8"/>
  <c r="AP15" i="8"/>
  <c r="M416" i="43" s="1"/>
  <c r="M440" i="43" s="1"/>
  <c r="M6" i="52" s="1"/>
  <c r="BB15" i="8"/>
  <c r="AP17" i="8"/>
  <c r="M418" i="43" s="1"/>
  <c r="M442" i="43" s="1"/>
  <c r="M8" i="52" s="1"/>
  <c r="BB17" i="8"/>
  <c r="AO8" i="8"/>
  <c r="L409" i="43" s="1"/>
  <c r="BA8" i="8"/>
  <c r="BA7" i="8"/>
  <c r="BA9" i="8"/>
  <c r="AO12" i="8"/>
  <c r="L413" i="43" s="1"/>
  <c r="Q14" i="8"/>
  <c r="AO16" i="8"/>
  <c r="L417" i="43" s="1"/>
  <c r="L441" i="43" s="1"/>
  <c r="L7" i="52" s="1"/>
  <c r="AO18" i="8"/>
  <c r="L419" i="43" s="1"/>
  <c r="L443" i="43" s="1"/>
  <c r="L9" i="52" s="1"/>
  <c r="AO20" i="8"/>
  <c r="L421" i="43" s="1"/>
  <c r="L445" i="43" s="1"/>
  <c r="L11" i="52" s="1"/>
  <c r="BA20" i="8"/>
  <c r="BA30" i="8"/>
  <c r="Q23" i="8"/>
  <c r="AO22" i="8"/>
  <c r="L423" i="43" s="1"/>
  <c r="L447" i="43" s="1"/>
  <c r="L13" i="52" s="1"/>
  <c r="AO24" i="8"/>
  <c r="L425" i="43" s="1"/>
  <c r="L449" i="43" s="1"/>
  <c r="L15" i="52" s="1"/>
  <c r="AO26" i="8"/>
  <c r="BA26" i="8"/>
  <c r="AO28" i="8"/>
  <c r="L429" i="43" s="1"/>
  <c r="L453" i="43" s="1"/>
  <c r="L19" i="52" s="1"/>
  <c r="AO3" i="8"/>
  <c r="L404" i="43" s="1"/>
  <c r="BA3" i="8"/>
  <c r="AO11" i="8"/>
  <c r="L412" i="43" s="1"/>
  <c r="BA11" i="8"/>
  <c r="BA21" i="8"/>
  <c r="BA25" i="8"/>
  <c r="BA27" i="8"/>
  <c r="Q32" i="8"/>
  <c r="AO29" i="8"/>
  <c r="L430" i="43" s="1"/>
  <c r="L454" i="43" s="1"/>
  <c r="L20" i="52" s="1"/>
  <c r="BA29" i="8"/>
  <c r="Q5" i="8"/>
  <c r="BA4" i="8"/>
  <c r="BA6" i="8"/>
  <c r="BA10" i="8"/>
  <c r="AO13" i="8"/>
  <c r="L414" i="43" s="1"/>
  <c r="L438" i="43" s="1"/>
  <c r="L4" i="52" s="1"/>
  <c r="AO15" i="8"/>
  <c r="AO17" i="8"/>
  <c r="L418" i="43" s="1"/>
  <c r="L442" i="43" s="1"/>
  <c r="L8" i="52" s="1"/>
  <c r="BA17" i="8"/>
  <c r="AO19" i="8"/>
  <c r="L420" i="43" s="1"/>
  <c r="L444" i="43" s="1"/>
  <c r="L10" i="52" s="1"/>
  <c r="BA31" i="8"/>
  <c r="BA33" i="8"/>
  <c r="AN3" i="8"/>
  <c r="K404" i="43" s="1"/>
  <c r="AZ3" i="8"/>
  <c r="AN7" i="8"/>
  <c r="AZ7" i="8"/>
  <c r="AN9" i="8"/>
  <c r="AZ9" i="8"/>
  <c r="AN11" i="8"/>
  <c r="K412" i="43" s="1"/>
  <c r="AZ11" i="8"/>
  <c r="AN13" i="8"/>
  <c r="AZ13" i="8"/>
  <c r="AN15" i="8"/>
  <c r="AZ15" i="8"/>
  <c r="AN17" i="8"/>
  <c r="K418" i="43" s="1"/>
  <c r="K442" i="43" s="1"/>
  <c r="K8" i="52" s="1"/>
  <c r="AZ17" i="8"/>
  <c r="AN19" i="8"/>
  <c r="AZ19" i="8"/>
  <c r="AN21" i="8"/>
  <c r="K422" i="43" s="1"/>
  <c r="K446" i="43" s="1"/>
  <c r="K12" i="52" s="1"/>
  <c r="AZ21" i="8"/>
  <c r="AN23" i="8"/>
  <c r="K424" i="43" s="1"/>
  <c r="K448" i="43" s="1"/>
  <c r="K14" i="52" s="1"/>
  <c r="AZ23" i="8"/>
  <c r="AN25" i="8"/>
  <c r="K426" i="43" s="1"/>
  <c r="K450" i="43" s="1"/>
  <c r="K16" i="52" s="1"/>
  <c r="AZ25" i="8"/>
  <c r="AN27" i="8"/>
  <c r="AZ27" i="8"/>
  <c r="AN29" i="8"/>
  <c r="K430" i="43" s="1"/>
  <c r="K454" i="43" s="1"/>
  <c r="K20" i="52" s="1"/>
  <c r="AZ29" i="8"/>
  <c r="AN31" i="8"/>
  <c r="AZ31" i="8"/>
  <c r="AN33" i="8"/>
  <c r="K434" i="43" s="1"/>
  <c r="K458" i="43" s="1"/>
  <c r="K24" i="52" s="1"/>
  <c r="AZ33" i="8"/>
  <c r="AN5" i="8"/>
  <c r="AZ5" i="8"/>
  <c r="AN4" i="8"/>
  <c r="K405" i="43" s="1"/>
  <c r="AZ4" i="8"/>
  <c r="AN8" i="8"/>
  <c r="AZ8" i="8"/>
  <c r="AN10" i="8"/>
  <c r="K411" i="43" s="1"/>
  <c r="AZ10" i="8"/>
  <c r="AN12" i="8"/>
  <c r="AZ12" i="8"/>
  <c r="AN14" i="8"/>
  <c r="K415" i="43" s="1"/>
  <c r="K439" i="43" s="1"/>
  <c r="K5" i="52" s="1"/>
  <c r="AZ14" i="8"/>
  <c r="AN16" i="8"/>
  <c r="K417" i="43" s="1"/>
  <c r="K441" i="43" s="1"/>
  <c r="K7" i="52" s="1"/>
  <c r="AZ16" i="8"/>
  <c r="AN18" i="8"/>
  <c r="K419" i="43" s="1"/>
  <c r="K443" i="43" s="1"/>
  <c r="K9" i="52" s="1"/>
  <c r="AZ18" i="8"/>
  <c r="AN20" i="8"/>
  <c r="K421" i="43" s="1"/>
  <c r="K445" i="43" s="1"/>
  <c r="K11" i="52" s="1"/>
  <c r="AZ20" i="8"/>
  <c r="AN22" i="8"/>
  <c r="K423" i="43" s="1"/>
  <c r="K447" i="43" s="1"/>
  <c r="K13" i="52" s="1"/>
  <c r="AZ22" i="8"/>
  <c r="AN24" i="8"/>
  <c r="K425" i="43" s="1"/>
  <c r="K449" i="43" s="1"/>
  <c r="K15" i="52" s="1"/>
  <c r="AZ24" i="8"/>
  <c r="AN26" i="8"/>
  <c r="AZ26" i="8"/>
  <c r="AN28" i="8"/>
  <c r="K429" i="43" s="1"/>
  <c r="K453" i="43" s="1"/>
  <c r="K19" i="52" s="1"/>
  <c r="AZ28" i="8"/>
  <c r="AN30" i="8"/>
  <c r="K431" i="43" s="1"/>
  <c r="K455" i="43" s="1"/>
  <c r="K21" i="52" s="1"/>
  <c r="AZ30" i="8"/>
  <c r="AN32" i="8"/>
  <c r="K433" i="43" s="1"/>
  <c r="K457" i="43" s="1"/>
  <c r="K23" i="52" s="1"/>
  <c r="AZ32" i="8"/>
  <c r="AN6" i="8"/>
  <c r="K407" i="43" s="1"/>
  <c r="AZ6" i="8"/>
  <c r="C169" i="43"/>
  <c r="Y286" i="43" l="1"/>
  <c r="M427" i="43"/>
  <c r="M451" i="43" s="1"/>
  <c r="M17" i="52" s="1"/>
  <c r="R286" i="43"/>
  <c r="M420" i="43"/>
  <c r="M444" i="43" s="1"/>
  <c r="M10" i="52" s="1"/>
  <c r="AF286" i="43"/>
  <c r="M434" i="43"/>
  <c r="M458" i="43" s="1"/>
  <c r="M24" i="52" s="1"/>
  <c r="N247" i="43"/>
  <c r="L416" i="43"/>
  <c r="L440" i="43" s="1"/>
  <c r="L6" i="52" s="1"/>
  <c r="Y247" i="43"/>
  <c r="L427" i="43"/>
  <c r="L451" i="43" s="1"/>
  <c r="L17" i="52" s="1"/>
  <c r="Y169" i="43"/>
  <c r="K427" i="43"/>
  <c r="K451" i="43" s="1"/>
  <c r="K17" i="52" s="1"/>
  <c r="G208" i="43"/>
  <c r="K409" i="43"/>
  <c r="Z169" i="43"/>
  <c r="K428" i="43"/>
  <c r="K452" i="43" s="1"/>
  <c r="K18" i="52" s="1"/>
  <c r="N169" i="43"/>
  <c r="K416" i="43"/>
  <c r="K440" i="43" s="1"/>
  <c r="K6" i="52" s="1"/>
  <c r="H169" i="43"/>
  <c r="K410" i="43"/>
  <c r="D169" i="43"/>
  <c r="K406" i="43"/>
  <c r="R169" i="43"/>
  <c r="K420" i="43"/>
  <c r="K444" i="43" s="1"/>
  <c r="K10" i="52" s="1"/>
  <c r="F169" i="43"/>
  <c r="K408" i="43"/>
  <c r="K208" i="43"/>
  <c r="K413" i="43"/>
  <c r="AD169" i="43"/>
  <c r="K432" i="43"/>
  <c r="K456" i="43" s="1"/>
  <c r="K22" i="52" s="1"/>
  <c r="L169" i="43"/>
  <c r="K414" i="43"/>
  <c r="K438" i="43" s="1"/>
  <c r="K4" i="52" s="1"/>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O454" i="43" s="1"/>
  <c r="O20" i="52" s="1"/>
  <c r="BD29" i="8"/>
  <c r="AR23" i="8"/>
  <c r="O424" i="43" s="1"/>
  <c r="O448" i="43" s="1"/>
  <c r="O14" i="52" s="1"/>
  <c r="BD23" i="8"/>
  <c r="AR17" i="8"/>
  <c r="O418" i="43" s="1"/>
  <c r="O442" i="43" s="1"/>
  <c r="O8" i="52" s="1"/>
  <c r="BD17" i="8"/>
  <c r="AR11" i="8"/>
  <c r="O412" i="43" s="1"/>
  <c r="BD11" i="8"/>
  <c r="AR5" i="8"/>
  <c r="O406" i="43" s="1"/>
  <c r="BD5" i="8"/>
  <c r="AR32" i="8"/>
  <c r="O433" i="43" s="1"/>
  <c r="O457" i="43" s="1"/>
  <c r="O23" i="52" s="1"/>
  <c r="BD32" i="8"/>
  <c r="AR26" i="8"/>
  <c r="O427" i="43" s="1"/>
  <c r="O451" i="43" s="1"/>
  <c r="O17" i="52" s="1"/>
  <c r="BD26" i="8"/>
  <c r="AR20" i="8"/>
  <c r="BD20" i="8"/>
  <c r="AR14" i="8"/>
  <c r="O415" i="43" s="1"/>
  <c r="O439" i="43" s="1"/>
  <c r="O5" i="52" s="1"/>
  <c r="BD14" i="8"/>
  <c r="AR8" i="8"/>
  <c r="O409" i="43" s="1"/>
  <c r="BD8" i="8"/>
  <c r="AO5" i="8"/>
  <c r="BA5" i="8"/>
  <c r="AO23" i="8"/>
  <c r="BA23" i="8"/>
  <c r="AO32" i="8"/>
  <c r="BA32" i="8"/>
  <c r="AO14" i="8"/>
  <c r="BA14" i="8"/>
  <c r="W16" i="43" l="1"/>
  <c r="O421" i="43"/>
  <c r="O445" i="43" s="1"/>
  <c r="O11" i="52" s="1"/>
  <c r="V247" i="43"/>
  <c r="L424" i="43"/>
  <c r="L448" i="43" s="1"/>
  <c r="L14" i="52" s="1"/>
  <c r="AE247" i="43"/>
  <c r="L433" i="43"/>
  <c r="L457" i="43" s="1"/>
  <c r="L23" i="52" s="1"/>
  <c r="M247" i="43"/>
  <c r="L415" i="43"/>
  <c r="L439" i="43" s="1"/>
  <c r="L5" i="52" s="1"/>
  <c r="D247" i="43"/>
  <c r="L406" i="43"/>
  <c r="G130" i="43"/>
  <c r="J409" i="43"/>
  <c r="T130" i="43"/>
  <c r="J422" i="43"/>
  <c r="J446" i="43" s="1"/>
  <c r="J12" i="52" s="1"/>
  <c r="I130" i="43"/>
  <c r="J411" i="43"/>
  <c r="X130" i="43"/>
  <c r="J426" i="43"/>
  <c r="J450" i="43" s="1"/>
  <c r="J16" i="52" s="1"/>
  <c r="AE130" i="43"/>
  <c r="J433" i="43"/>
  <c r="J457" i="43" s="1"/>
  <c r="J23" i="52" s="1"/>
  <c r="R130" i="43"/>
  <c r="J420" i="43"/>
  <c r="J444" i="43" s="1"/>
  <c r="J10" i="52" s="1"/>
  <c r="N130" i="43"/>
  <c r="J416" i="43"/>
  <c r="J440" i="43" s="1"/>
  <c r="J6" i="52" s="1"/>
  <c r="E130" i="43"/>
  <c r="J407" i="43"/>
  <c r="AB130" i="43"/>
  <c r="J430" i="43"/>
  <c r="J454" i="43" s="1"/>
  <c r="J20" i="52" s="1"/>
  <c r="P130" i="43"/>
  <c r="J418" i="43"/>
  <c r="J442" i="43" s="1"/>
  <c r="J8" i="52" s="1"/>
  <c r="O130" i="43"/>
  <c r="J417" i="43"/>
  <c r="J441" i="43" s="1"/>
  <c r="J7" i="52" s="1"/>
  <c r="F130" i="43"/>
  <c r="J408" i="43"/>
  <c r="Z130" i="43"/>
  <c r="J428" i="43"/>
  <c r="J452" i="43" s="1"/>
  <c r="J18" i="52" s="1"/>
  <c r="S130" i="43"/>
  <c r="J421" i="43"/>
  <c r="J445" i="43" s="1"/>
  <c r="J11" i="52" s="1"/>
  <c r="W130" i="43"/>
  <c r="J425" i="43"/>
  <c r="J449" i="43" s="1"/>
  <c r="J15" i="52" s="1"/>
  <c r="D130" i="43"/>
  <c r="J406" i="43"/>
  <c r="AF130" i="43"/>
  <c r="J434" i="43"/>
  <c r="J458" i="43" s="1"/>
  <c r="J24" i="52" s="1"/>
  <c r="M130" i="43"/>
  <c r="J415" i="43"/>
  <c r="J439" i="43" s="1"/>
  <c r="J5" i="52" s="1"/>
  <c r="V130" i="43"/>
  <c r="J424" i="43"/>
  <c r="J448" i="43" s="1"/>
  <c r="J14" i="52" s="1"/>
  <c r="K130" i="43"/>
  <c r="J413" i="43"/>
  <c r="Q130" i="43"/>
  <c r="J419" i="43"/>
  <c r="J443" i="43" s="1"/>
  <c r="J9" i="52" s="1"/>
  <c r="L130" i="43"/>
  <c r="J414" i="43"/>
  <c r="J438" i="43" s="1"/>
  <c r="J4" i="52" s="1"/>
  <c r="Y130" i="43"/>
  <c r="J427" i="43"/>
  <c r="J451" i="43" s="1"/>
  <c r="J17" i="52" s="1"/>
  <c r="J130" i="43"/>
  <c r="J412" i="43"/>
  <c r="AD130" i="43"/>
  <c r="J432" i="43"/>
  <c r="J456" i="43" s="1"/>
  <c r="J22" i="52" s="1"/>
  <c r="AC130" i="43"/>
  <c r="J431" i="43"/>
  <c r="J455" i="43" s="1"/>
  <c r="J21" i="52" s="1"/>
  <c r="C130" i="43"/>
  <c r="J405" i="43"/>
  <c r="AA130" i="43"/>
  <c r="J429" i="43"/>
  <c r="J453" i="43" s="1"/>
  <c r="J19" i="52" s="1"/>
  <c r="H130" i="43"/>
  <c r="J410" i="43"/>
  <c r="U130" i="43"/>
  <c r="J423" i="43"/>
  <c r="J447" i="43" s="1"/>
  <c r="J13" i="52" s="1"/>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T216" i="43"/>
  <c r="AE216" i="43"/>
  <c r="Z333" i="43"/>
  <c r="Y333" i="43"/>
  <c r="F177" i="43"/>
  <c r="U294" i="43"/>
  <c r="O24" i="43"/>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<sst xmlns="http://schemas.openxmlformats.org/spreadsheetml/2006/main" count="326" uniqueCount="166">
  <si>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</si>
  <si>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</si>
  <si>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</si>
  <si>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</si>
  <si>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</si>
  <si>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</si>
  <si>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</si>
  <si>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</si>
  <si>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</si>
  <si>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</si>
  <si>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</si>
  <si>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</si>
  <si>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</si>
  <si>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</si>
  <si>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</si>
  <si>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</si>
  <si>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</si>
  <si>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</si>
  <si>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</si>
  <si>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</si>
  <si>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</si>
  <si>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</si>
  <si>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</si>
  <si>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</si>
  <si>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</si>
  <si>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</si>
  <si>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</si>
  <si>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</si>
  <si>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</si>
  <si>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</si>
  <si>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</si>
  <si>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</si>
  <si>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</si>
  <si>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</si>
  <si>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</si>
  <si>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</si>
  <si>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</si>
  <si>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</si>
  <si>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</si>
  <si>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</si>
  <si>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</si>
  <si>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</si>
  <si>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</si>
  <si>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</si>
  <si>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</si>
  <si>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</si>
  <si>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</si>
  <si>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</si>
  <si>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</si>
  <si>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</si>
  <si>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</si>
  <si>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</si>
  <si>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</si>
  <si>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</si>
  <si>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</si>
  <si>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</si>
  <si>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</si>
  <si>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</si>
  <si>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</si>
  <si>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</si>
  <si>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</si>
  <si>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</si>
  <si>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</si>
  <si>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</si>
  <si>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</si>
  <si>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</si>
  <si>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</si>
  <si>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</si>
  <si>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</si>
  <si>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</si>
  <si>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</si>
  <si>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</si>
  <si>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</si>
  <si>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</si>
  <si>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</si>
  <si>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</si>
  <si>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</si>
  <si>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</si>
  <si>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</si>
  <si>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</si>
  <si>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</si>
  <si>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</si>
  <si>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</si>
  <si>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</si>
  <si>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</si>
  <si>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</si>
  <si>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</si>
  <si>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</si>
  <si>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</si>
  <si>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</si>
  <si>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</si>
  <si>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</si>
  <si>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</si>
  <si>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</si>
  <si>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</si>
  <si>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</si>
  <si>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</si>
  <si>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</si>
  <si>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</si>
  <si>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</si>
  <si>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</si>
  <si>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</si>
  <si>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</si>
  <si>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</si>
  <si>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</si>
  <si>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</si>
  <si>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</si>
  <si>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</si>
  <si>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</si>
  <si>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</si>
  <si>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</si>
  <si>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</si>
  <si>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</si>
  <si>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</si>
  <si>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</si>
  <si>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</si>
  <si>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</si>
  <si>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</si>
  <si>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</si>
  <si>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</si>
  <si>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</si>
  <si>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</si>
  <si>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</si>
  <si>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</si>
  <si>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</si>
  <si>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</si>
  <si>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</si>
  <si>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</si>
  <si>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</si>
  <si>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</si>
  <si>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</si>
  <si>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</si>
  <si>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</si>
  <si>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</si>
  <si>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</si>
  <si>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</si>
  <si>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</si>
  <si>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</si>
  <si>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</si>
  <si>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</si>
  <si>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</si>
  <si>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</si>
  <si>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</si>
  <si>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</si>
  <si>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</si>
  <si>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</si>
  <si>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</si>
  <si>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</si>
  <si>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</si>
  <si>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</si>
  <si>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</si>
  <si>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</si>
  <si>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</si>
  <si>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</si>
  <si>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</si>
  <si>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</si>
  <si>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</si>
  <si>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</si>
  <si>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</si>
  <si>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</si>
  <si>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</si>
  <si>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</si>
  <si>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</si>
  <si>
    <t>Intervall: +-</t>
  </si>
  <si>
    <t>log10(t)</t>
  </si>
  <si>
    <t>Viertel</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</si>
</sst>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 numFmtId="182" formatCode="_-* #,##0\ _€_-;\-* #,##0\ _€_-;_-* &quot;-&quot;??\ _€_-;_-@_-"/>
    <numFmt numFmtId="183" formatCode="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6">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
      <patternFill patternType="solid">
        <fgColor rgb="FFFFC000"/>
        <bgColor indexed="64"/>
      </patternFill>
    </fill>
    <fill>
      <patternFill patternType="solid">
        <fgColor rgb="FF00B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35">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3" fillId="0" borderId="0" xfId="0" applyFont="1" applyAlignment="1">
      <alignment horizontal="center"/>
    </xf>
    <xf numFmtId="182" fontId="0" fillId="0" borderId="0" xfId="2" applyNumberFormat="1" applyFont="1" applyFill="1"/>
    <xf numFmtId="182" fontId="0" fillId="0" borderId="0" xfId="2" applyNumberFormat="1" applyFont="1" applyFill="1" applyAlignment="1">
      <alignment horizontal="left"/>
    </xf>
    <xf numFmtId="0" fontId="0" fillId="6" borderId="0" xfId="0" applyFill="1"/>
    <xf numFmtId="11" fontId="0" fillId="6" borderId="0" xfId="1" applyNumberFormat="1" applyFont="1" applyFill="1"/>
    <xf numFmtId="11" fontId="0" fillId="6" borderId="0" xfId="2" applyNumberFormat="1" applyFont="1" applyFill="1"/>
    <xf numFmtId="0" fontId="1" fillId="5" borderId="0" xfId="0" applyFont="1" applyFill="1"/>
    <xf numFmtId="0" fontId="0" fillId="7" borderId="0" xfId="0" applyFill="1"/>
    <xf numFmtId="0" fontId="0" fillId="14" borderId="0" xfId="0" applyNumberFormat="1" applyFill="1"/>
    <xf numFmtId="1" fontId="0" fillId="14" borderId="0" xfId="0" applyNumberFormat="1" applyFill="1"/>
    <xf numFmtId="11" fontId="0" fillId="15" borderId="0" xfId="0" applyNumberFormat="1" applyFill="1"/>
    <xf numFmtId="0" fontId="0" fillId="0" borderId="0" xfId="0" applyNumberFormat="1"/>
    <xf numFmtId="183" fontId="0" fillId="0" borderId="0" xfId="0" applyNumberFormat="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-4.9616354857142861E-4</c:v>
                </c:pt>
                <c:pt idx="1">
                  <c:v>-4.9615606285714287E-4</c:v>
                </c:pt>
                <c:pt idx="2">
                  <c:v>-4.9615869142857142E-4</c:v>
                </c:pt>
                <c:pt idx="3">
                  <c:v>-4.9615937714285723E-4</c:v>
                </c:pt>
                <c:pt idx="4">
                  <c:v>-4.961595828571429E-4</c:v>
                </c:pt>
                <c:pt idx="5">
                  <c:v>-4.9615964571428578E-4</c:v>
                </c:pt>
                <c:pt idx="6">
                  <c:v>-4.961596628571429E-4</c:v>
                </c:pt>
                <c:pt idx="7">
                  <c:v>-4.9615966857142861E-4</c:v>
                </c:pt>
                <c:pt idx="8">
                  <c:v>-4.9615967428571432E-4</c:v>
                </c:pt>
                <c:pt idx="9">
                  <c:v>-4.9615967428571432E-4</c:v>
                </c:pt>
                <c:pt idx="10">
                  <c:v>-4.9615967428571432E-4</c:v>
                </c:pt>
                <c:pt idx="11">
                  <c:v>-4.9615968000000002E-4</c:v>
                </c:pt>
                <c:pt idx="12">
                  <c:v>-4.9615971999999997E-4</c:v>
                </c:pt>
                <c:pt idx="13">
                  <c:v>-4.9616012E-4</c:v>
                </c:pt>
                <c:pt idx="14">
                  <c:v>-4.9616414285714289E-4</c:v>
                </c:pt>
                <c:pt idx="15">
                  <c:v>-4.9620426857142864E-4</c:v>
                </c:pt>
                <c:pt idx="16">
                  <c:v>-4.9659688571428574E-4</c:v>
                </c:pt>
                <c:pt idx="17">
                  <c:v>-4.9978220571428582E-4</c:v>
                </c:pt>
                <c:pt idx="18">
                  <c:v>-5.0802429142857142E-4</c:v>
                </c:pt>
                <c:pt idx="19">
                  <c:v>-5.1786149714285715E-4</c:v>
                </c:pt>
                <c:pt idx="20">
                  <c:v>-5.3859186857142859E-4</c:v>
                </c:pt>
                <c:pt idx="21">
                  <c:v>-5.9660388571428568E-4</c:v>
                </c:pt>
                <c:pt idx="22">
                  <c:v>-7.0151668571428571E-4</c:v>
                </c:pt>
                <c:pt idx="23">
                  <c:v>-8.3000274285714303E-4</c:v>
                </c:pt>
                <c:pt idx="24">
                  <c:v>-9.6008531428571427E-4</c:v>
                </c:pt>
                <c:pt idx="25">
                  <c:v>-1.0833461714285714E-3</c:v>
                </c:pt>
                <c:pt idx="26">
                  <c:v>-1.2086622857142857E-3</c:v>
                </c:pt>
                <c:pt idx="27">
                  <c:v>-1.3428904000000001E-3</c:v>
                </c:pt>
                <c:pt idx="28">
                  <c:v>-1.5254830857142857E-3</c:v>
                </c:pt>
                <c:pt idx="29">
                  <c:v>-1.8067370285714287E-3</c:v>
                </c:pt>
                <c:pt idx="30">
                  <c:v>-2.2795963428571429E-3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-5.0062553142857138E-4</c:v>
                </c:pt>
                <c:pt idx="1">
                  <c:v>-5.0061783428571427E-4</c:v>
                </c:pt>
                <c:pt idx="2">
                  <c:v>-5.0062047428571423E-4</c:v>
                </c:pt>
                <c:pt idx="3">
                  <c:v>-5.0062116571428575E-4</c:v>
                </c:pt>
                <c:pt idx="4">
                  <c:v>-5.0062136571428571E-4</c:v>
                </c:pt>
                <c:pt idx="5">
                  <c:v>-5.0062142857142859E-4</c:v>
                </c:pt>
                <c:pt idx="6">
                  <c:v>-5.0062144571428582E-4</c:v>
                </c:pt>
                <c:pt idx="7">
                  <c:v>-5.0062145714285713E-4</c:v>
                </c:pt>
                <c:pt idx="8">
                  <c:v>-5.0062145714285713E-4</c:v>
                </c:pt>
                <c:pt idx="9">
                  <c:v>-5.0062146285714283E-4</c:v>
                </c:pt>
                <c:pt idx="10">
                  <c:v>-5.0062147428571436E-4</c:v>
                </c:pt>
                <c:pt idx="11">
                  <c:v>-5.0062162285714295E-4</c:v>
                </c:pt>
                <c:pt idx="12">
                  <c:v>-5.006231028571429E-4</c:v>
                </c:pt>
                <c:pt idx="13">
                  <c:v>-5.0063787428571431E-4</c:v>
                </c:pt>
                <c:pt idx="14">
                  <c:v>-5.0078442857142856E-4</c:v>
                </c:pt>
                <c:pt idx="15">
                  <c:v>-5.0213963428571431E-4</c:v>
                </c:pt>
                <c:pt idx="16">
                  <c:v>-5.0906977142857143E-4</c:v>
                </c:pt>
                <c:pt idx="17">
                  <c:v>-5.1808074285714285E-4</c:v>
                </c:pt>
                <c:pt idx="18">
                  <c:v>-5.3390951428571433E-4</c:v>
                </c:pt>
                <c:pt idx="19">
                  <c:v>-5.7776177142857151E-4</c:v>
                </c:pt>
                <c:pt idx="20">
                  <c:v>-6.7136982857142859E-4</c:v>
                </c:pt>
                <c:pt idx="21">
                  <c:v>-7.9288314285714287E-4</c:v>
                </c:pt>
                <c:pt idx="22">
                  <c:v>-9.1991182857142863E-4</c:v>
                </c:pt>
                <c:pt idx="23">
                  <c:v>-1.0417293142857143E-3</c:v>
                </c:pt>
                <c:pt idx="24">
                  <c:v>-1.1608348571428573E-3</c:v>
                </c:pt>
                <c:pt idx="25">
                  <c:v>-1.286381542857143E-3</c:v>
                </c:pt>
                <c:pt idx="26">
                  <c:v>-1.4380592571428571E-3</c:v>
                </c:pt>
                <c:pt idx="27">
                  <c:v>-1.6660458857142859E-3</c:v>
                </c:pt>
                <c:pt idx="28">
                  <c:v>-2.0377010285714285E-3</c:v>
                </c:pt>
                <c:pt idx="29">
                  <c:v>-2.7212866285714287E-3</c:v>
                </c:pt>
                <c:pt idx="30">
                  <c:v>-4.2085354857142859E-3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-5.0354817714285717E-4</c:v>
                </c:pt>
                <c:pt idx="1">
                  <c:v>-5.0354034285714287E-4</c:v>
                </c:pt>
                <c:pt idx="2">
                  <c:v>-5.0354298857142865E-4</c:v>
                </c:pt>
                <c:pt idx="3">
                  <c:v>-5.0354368000000006E-4</c:v>
                </c:pt>
                <c:pt idx="4">
                  <c:v>-5.0354388000000002E-4</c:v>
                </c:pt>
                <c:pt idx="5">
                  <c:v>-5.0354394285714291E-4</c:v>
                </c:pt>
                <c:pt idx="6">
                  <c:v>-5.0354396571428573E-4</c:v>
                </c:pt>
                <c:pt idx="7">
                  <c:v>-5.0354397142857144E-4</c:v>
                </c:pt>
                <c:pt idx="8">
                  <c:v>-5.0354398857142856E-4</c:v>
                </c:pt>
                <c:pt idx="9">
                  <c:v>-5.0354413142857145E-4</c:v>
                </c:pt>
                <c:pt idx="10">
                  <c:v>-5.0354551999999997E-4</c:v>
                </c:pt>
                <c:pt idx="11">
                  <c:v>-5.0355938857142861E-4</c:v>
                </c:pt>
                <c:pt idx="12">
                  <c:v>-5.0369704571428576E-4</c:v>
                </c:pt>
                <c:pt idx="13">
                  <c:v>-5.0497592000000007E-4</c:v>
                </c:pt>
                <c:pt idx="14">
                  <c:v>-5.1173175428571437E-4</c:v>
                </c:pt>
                <c:pt idx="15">
                  <c:v>-5.2032943428571431E-4</c:v>
                </c:pt>
                <c:pt idx="16">
                  <c:v>-5.3060416571428578E-4</c:v>
                </c:pt>
                <c:pt idx="17">
                  <c:v>-5.4780842285714285E-4</c:v>
                </c:pt>
                <c:pt idx="18">
                  <c:v>-5.8892868571428576E-4</c:v>
                </c:pt>
                <c:pt idx="19">
                  <c:v>-6.8474788571428575E-4</c:v>
                </c:pt>
                <c:pt idx="20">
                  <c:v>-8.1817565714285714E-4</c:v>
                </c:pt>
                <c:pt idx="21">
                  <c:v>-9.5848325714285724E-4</c:v>
                </c:pt>
                <c:pt idx="22">
                  <c:v>-1.0958064000000001E-3</c:v>
                </c:pt>
                <c:pt idx="23">
                  <c:v>-1.2360097142857145E-3</c:v>
                </c:pt>
                <c:pt idx="24">
                  <c:v>-1.3967930285714288E-3</c:v>
                </c:pt>
                <c:pt idx="25">
                  <c:v>-1.6280200571428573E-3</c:v>
                </c:pt>
                <c:pt idx="26">
                  <c:v>-1.9967447428571429E-3</c:v>
                </c:pt>
                <c:pt idx="27">
                  <c:v>-2.665770742857143E-3</c:v>
                </c:pt>
                <c:pt idx="28">
                  <c:v>-4.1149062285714289E-3</c:v>
                </c:pt>
                <c:pt idx="29">
                  <c:v>-7.0580468571428577E-3</c:v>
                </c:pt>
                <c:pt idx="30">
                  <c:v>-1.2567767428571429E-2</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-5.0658109142857151E-4</c:v>
                </c:pt>
                <c:pt idx="1">
                  <c:v>-5.0657311428571432E-4</c:v>
                </c:pt>
                <c:pt idx="2">
                  <c:v>-5.0657577142857141E-4</c:v>
                </c:pt>
                <c:pt idx="3">
                  <c:v>-5.0657646285714292E-4</c:v>
                </c:pt>
                <c:pt idx="4">
                  <c:v>-5.0657666285714288E-4</c:v>
                </c:pt>
                <c:pt idx="5">
                  <c:v>-5.0657673714285718E-4</c:v>
                </c:pt>
                <c:pt idx="6">
                  <c:v>-5.0657688571428578E-4</c:v>
                </c:pt>
                <c:pt idx="7">
                  <c:v>-5.0657814285714282E-4</c:v>
                </c:pt>
                <c:pt idx="8">
                  <c:v>-5.0659066857142859E-4</c:v>
                </c:pt>
                <c:pt idx="9">
                  <c:v>-5.0671505714285721E-4</c:v>
                </c:pt>
                <c:pt idx="10">
                  <c:v>-5.0787922285714293E-4</c:v>
                </c:pt>
                <c:pt idx="11">
                  <c:v>-5.1437622857142859E-4</c:v>
                </c:pt>
                <c:pt idx="12">
                  <c:v>-5.2294328571428578E-4</c:v>
                </c:pt>
                <c:pt idx="13">
                  <c:v>-5.328277314285714E-4</c:v>
                </c:pt>
                <c:pt idx="14">
                  <c:v>-5.4514910857142852E-4</c:v>
                </c:pt>
                <c:pt idx="15">
                  <c:v>-5.598790057142857E-4</c:v>
                </c:pt>
                <c:pt idx="16">
                  <c:v>-5.7975125714285723E-4</c:v>
                </c:pt>
                <c:pt idx="17">
                  <c:v>-6.2296308571428574E-4</c:v>
                </c:pt>
                <c:pt idx="18">
                  <c:v>-7.2448354285714286E-4</c:v>
                </c:pt>
                <c:pt idx="19">
                  <c:v>-8.7810862857142869E-4</c:v>
                </c:pt>
                <c:pt idx="20">
                  <c:v>-1.0546606857142857E-3</c:v>
                </c:pt>
                <c:pt idx="21">
                  <c:v>-1.248117142857143E-3</c:v>
                </c:pt>
                <c:pt idx="22">
                  <c:v>-1.4984720571428571E-3</c:v>
                </c:pt>
                <c:pt idx="23">
                  <c:v>-1.8695733714285717E-3</c:v>
                </c:pt>
                <c:pt idx="24">
                  <c:v>-2.5137643428571428E-3</c:v>
                </c:pt>
                <c:pt idx="25">
                  <c:v>-3.8843041714285717E-3</c:v>
                </c:pt>
                <c:pt idx="26">
                  <c:v>-6.6688354285714289E-3</c:v>
                </c:pt>
                <c:pt idx="27">
                  <c:v>-1.1922857142857143E-2</c:v>
                </c:pt>
                <c:pt idx="28">
                  <c:v>-2.1379386285714286E-2</c:v>
                </c:pt>
                <c:pt idx="29">
                  <c:v>-3.0989681714285715E-2</c:v>
                </c:pt>
                <c:pt idx="30">
                  <c:v>-3.5601946857142859E-2</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-5.1037552571428578E-4</c:v>
                </c:pt>
                <c:pt idx="1">
                  <c:v>-5.1036770285714289E-4</c:v>
                </c:pt>
                <c:pt idx="2">
                  <c:v>-5.1037372000000011E-4</c:v>
                </c:pt>
                <c:pt idx="3">
                  <c:v>-5.1040788571428571E-4</c:v>
                </c:pt>
                <c:pt idx="4">
                  <c:v>-5.1073692000000003E-4</c:v>
                </c:pt>
                <c:pt idx="5">
                  <c:v>-5.1350480000000008E-4</c:v>
                </c:pt>
                <c:pt idx="6">
                  <c:v>-5.2176818857142858E-4</c:v>
                </c:pt>
                <c:pt idx="7">
                  <c:v>-5.3089043999999998E-4</c:v>
                </c:pt>
                <c:pt idx="8">
                  <c:v>-5.4184649714285717E-4</c:v>
                </c:pt>
                <c:pt idx="9">
                  <c:v>-5.560503828571429E-4</c:v>
                </c:pt>
                <c:pt idx="10">
                  <c:v>-5.7032560571428569E-4</c:v>
                </c:pt>
                <c:pt idx="11">
                  <c:v>-5.9075154285714285E-4</c:v>
                </c:pt>
                <c:pt idx="12">
                  <c:v>-6.1450165714285721E-4</c:v>
                </c:pt>
                <c:pt idx="13">
                  <c:v>-6.4009560000000002E-4</c:v>
                </c:pt>
                <c:pt idx="14">
                  <c:v>-6.7092542857142862E-4</c:v>
                </c:pt>
                <c:pt idx="15">
                  <c:v>-7.0998982857142855E-4</c:v>
                </c:pt>
                <c:pt idx="16">
                  <c:v>-7.8814565714285714E-4</c:v>
                </c:pt>
                <c:pt idx="17">
                  <c:v>-9.8329554285714305E-4</c:v>
                </c:pt>
                <c:pt idx="18">
                  <c:v>-1.3697842857142858E-3</c:v>
                </c:pt>
                <c:pt idx="19">
                  <c:v>-2.0932604000000001E-3</c:v>
                </c:pt>
                <c:pt idx="20">
                  <c:v>-3.5947298857142863E-3</c:v>
                </c:pt>
                <c:pt idx="21">
                  <c:v>-6.7054811428571438E-3</c:v>
                </c:pt>
                <c:pt idx="22">
                  <c:v>-1.2735464000000002E-2</c:v>
                </c:pt>
                <c:pt idx="23">
                  <c:v>-2.2840043428571429E-2</c:v>
                </c:pt>
                <c:pt idx="24">
                  <c:v>-3.0692317142857143E-2</c:v>
                </c:pt>
                <c:pt idx="25">
                  <c:v>-3.5013912000000001E-2</c:v>
                </c:pt>
                <c:pt idx="26">
                  <c:v>-3.8170907428571432E-2</c:v>
                </c:pt>
                <c:pt idx="27">
                  <c:v>-3.838269542857143E-2</c:v>
                </c:pt>
                <c:pt idx="28">
                  <c:v>-3.9121936000000003E-2</c:v>
                </c:pt>
                <c:pt idx="29">
                  <c:v>-3.9133293142857142E-2</c:v>
                </c:pt>
                <c:pt idx="30">
                  <c:v>-3.961332E-2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-5.5299581142857139E-4</c:v>
                </c:pt>
                <c:pt idx="1">
                  <c:v>-5.7108600571428576E-4</c:v>
                </c:pt>
                <c:pt idx="2">
                  <c:v>-5.8931291428571423E-4</c:v>
                </c:pt>
                <c:pt idx="3">
                  <c:v>-6.1189388571428573E-4</c:v>
                </c:pt>
                <c:pt idx="4">
                  <c:v>-6.3697485714285724E-4</c:v>
                </c:pt>
                <c:pt idx="5">
                  <c:v>-6.6554657142857149E-4</c:v>
                </c:pt>
                <c:pt idx="6">
                  <c:v>-6.9984782857142856E-4</c:v>
                </c:pt>
                <c:pt idx="7">
                  <c:v>-7.4568331428571434E-4</c:v>
                </c:pt>
                <c:pt idx="8">
                  <c:v>-8.1845571428571429E-4</c:v>
                </c:pt>
                <c:pt idx="9">
                  <c:v>-9.3642748571428583E-4</c:v>
                </c:pt>
                <c:pt idx="10">
                  <c:v>-1.1481097714285714E-3</c:v>
                </c:pt>
                <c:pt idx="11">
                  <c:v>-1.5971413714285718E-3</c:v>
                </c:pt>
                <c:pt idx="12">
                  <c:v>-2.500001942857143E-3</c:v>
                </c:pt>
                <c:pt idx="13">
                  <c:v>-4.1989545142857142E-3</c:v>
                </c:pt>
                <c:pt idx="14">
                  <c:v>-7.2816897142857148E-3</c:v>
                </c:pt>
                <c:pt idx="15">
                  <c:v>-1.0303910857142858E-2</c:v>
                </c:pt>
                <c:pt idx="16">
                  <c:v>-1.2012539428571429E-2</c:v>
                </c:pt>
                <c:pt idx="17">
                  <c:v>-1.4327210285714287E-2</c:v>
                </c:pt>
                <c:pt idx="18">
                  <c:v>-1.8220335428571429E-2</c:v>
                </c:pt>
                <c:pt idx="19">
                  <c:v>-2.3546590285714285E-2</c:v>
                </c:pt>
                <c:pt idx="20">
                  <c:v>-2.8443946857142858E-2</c:v>
                </c:pt>
                <c:pt idx="21">
                  <c:v>-3.2151818857142855E-2</c:v>
                </c:pt>
                <c:pt idx="22">
                  <c:v>-3.4756550857142854E-2</c:v>
                </c:pt>
                <c:pt idx="23">
                  <c:v>-3.6507982285714287E-2</c:v>
                </c:pt>
                <c:pt idx="24">
                  <c:v>-3.7692596571428573E-2</c:v>
                </c:pt>
                <c:pt idx="25">
                  <c:v>-3.8479935999999999E-2</c:v>
                </c:pt>
                <c:pt idx="26">
                  <c:v>-3.8618251999999999E-2</c:v>
                </c:pt>
                <c:pt idx="27">
                  <c:v>-3.918260914285715E-2</c:v>
                </c:pt>
                <c:pt idx="28">
                  <c:v>-3.9291900571428576E-2</c:v>
                </c:pt>
                <c:pt idx="29">
                  <c:v>-3.9614430857142863E-2</c:v>
                </c:pt>
                <c:pt idx="30">
                  <c:v>-3.9740222857142862E-2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-5.8529725714285717E-4</c:v>
                </c:pt>
                <c:pt idx="1">
                  <c:v>-6.1177828571428578E-4</c:v>
                </c:pt>
                <c:pt idx="2">
                  <c:v>-6.373926285714286E-4</c:v>
                </c:pt>
                <c:pt idx="3">
                  <c:v>-6.6519811428571434E-4</c:v>
                </c:pt>
                <c:pt idx="4">
                  <c:v>-6.9886154285714298E-4</c:v>
                </c:pt>
                <c:pt idx="5">
                  <c:v>-7.4121085714285719E-4</c:v>
                </c:pt>
                <c:pt idx="6">
                  <c:v>-8.0826034285714295E-4</c:v>
                </c:pt>
                <c:pt idx="7">
                  <c:v>-9.1564354285714287E-4</c:v>
                </c:pt>
                <c:pt idx="8">
                  <c:v>-1.1011168571428572E-3</c:v>
                </c:pt>
                <c:pt idx="9">
                  <c:v>-1.4827460571428574E-3</c:v>
                </c:pt>
                <c:pt idx="10">
                  <c:v>-2.2463832571428572E-3</c:v>
                </c:pt>
                <c:pt idx="11">
                  <c:v>-3.7054184571428572E-3</c:v>
                </c:pt>
                <c:pt idx="12">
                  <c:v>-6.4069080000000002E-3</c:v>
                </c:pt>
                <c:pt idx="13">
                  <c:v>-9.6377394285714294E-3</c:v>
                </c:pt>
                <c:pt idx="14">
                  <c:v>-1.1343958857142858E-2</c:v>
                </c:pt>
                <c:pt idx="15">
                  <c:v>-1.2617024571428574E-2</c:v>
                </c:pt>
                <c:pt idx="16">
                  <c:v>-1.3739041142857143E-2</c:v>
                </c:pt>
                <c:pt idx="17">
                  <c:v>-1.6347784571428572E-2</c:v>
                </c:pt>
                <c:pt idx="18">
                  <c:v>-2.1261844000000002E-2</c:v>
                </c:pt>
                <c:pt idx="19">
                  <c:v>-2.6506324000000001E-2</c:v>
                </c:pt>
                <c:pt idx="20">
                  <c:v>-3.0733689142857148E-2</c:v>
                </c:pt>
                <c:pt idx="21">
                  <c:v>-3.3773099428571429E-2</c:v>
                </c:pt>
                <c:pt idx="22">
                  <c:v>-3.5841918857142857E-2</c:v>
                </c:pt>
                <c:pt idx="23">
                  <c:v>-3.7248799999999999E-2</c:v>
                </c:pt>
                <c:pt idx="24">
                  <c:v>-3.8186862285714288E-2</c:v>
                </c:pt>
                <c:pt idx="25">
                  <c:v>-3.8684196571428568E-2</c:v>
                </c:pt>
                <c:pt idx="26">
                  <c:v>-3.8816426857142858E-2</c:v>
                </c:pt>
                <c:pt idx="27">
                  <c:v>-3.9329979428571429E-2</c:v>
                </c:pt>
                <c:pt idx="28">
                  <c:v>-3.9338258857142858E-2</c:v>
                </c:pt>
                <c:pt idx="29">
                  <c:v>-3.9678557142857146E-2</c:v>
                </c:pt>
                <c:pt idx="30">
                  <c:v>-3.9819933714285716E-2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445704568"/>
        <c:axId val="44570809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57045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708096"/>
        <c:crossesAt val="-8.0000000000000019E-3"/>
        <c:crossBetween val="midCat"/>
      </c:valAx>
      <c:valAx>
        <c:axId val="4457080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704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20154.644630369057</c:v>
                </c:pt>
                <c:pt idx="1">
                  <c:v>20154.948711932353</c:v>
                </c:pt>
                <c:pt idx="2">
                  <c:v>20154.841934154916</c:v>
                </c:pt>
                <c:pt idx="3">
                  <c:v>20154.814079268603</c:v>
                </c:pt>
                <c:pt idx="4">
                  <c:v>20154.805722817728</c:v>
                </c:pt>
                <c:pt idx="5">
                  <c:v>20154.803169459119</c:v>
                </c:pt>
                <c:pt idx="6">
                  <c:v>20154.802473088701</c:v>
                </c:pt>
                <c:pt idx="7">
                  <c:v>20154.80224096524</c:v>
                </c:pt>
                <c:pt idx="8">
                  <c:v>20154.802008841783</c:v>
                </c:pt>
                <c:pt idx="9">
                  <c:v>20154.802008841783</c:v>
                </c:pt>
                <c:pt idx="10">
                  <c:v>20154.802008841783</c:v>
                </c:pt>
                <c:pt idx="11">
                  <c:v>20154.801776718334</c:v>
                </c:pt>
                <c:pt idx="12">
                  <c:v>20154.800151854328</c:v>
                </c:pt>
                <c:pt idx="13">
                  <c:v>20154.783903228661</c:v>
                </c:pt>
                <c:pt idx="14">
                  <c:v>20154.620489935787</c:v>
                </c:pt>
                <c:pt idx="15">
                  <c:v>20152.99068020915</c:v>
                </c:pt>
                <c:pt idx="16">
                  <c:v>20137.057415526051</c:v>
                </c:pt>
                <c:pt idx="17">
                  <c:v>20008.715567830306</c:v>
                </c:pt>
                <c:pt idx="18">
                  <c:v>19684.098120347473</c:v>
                </c:pt>
                <c:pt idx="19">
                  <c:v>19310.182462245117</c:v>
                </c:pt>
                <c:pt idx="20">
                  <c:v>18566.934600264562</c:v>
                </c:pt>
                <c:pt idx="21">
                  <c:v>16761.540176741342</c:v>
                </c:pt>
                <c:pt idx="22">
                  <c:v>14254.828436215996</c:v>
                </c:pt>
                <c:pt idx="23">
                  <c:v>12048.152956189884</c:v>
                </c:pt>
                <c:pt idx="24">
                  <c:v>10415.741029681112</c:v>
                </c:pt>
                <c:pt idx="25">
                  <c:v>9230.6598423783071</c:v>
                </c:pt>
                <c:pt idx="26">
                  <c:v>8273.6096908081145</c:v>
                </c:pt>
                <c:pt idx="27">
                  <c:v>7446.6240878630142</c:v>
                </c:pt>
                <c:pt idx="28">
                  <c:v>6555.3004773682187</c:v>
                </c:pt>
                <c:pt idx="29">
                  <c:v>5534.8397923226894</c:v>
                </c:pt>
                <c:pt idx="30">
                  <c:v>4386.7415524392591</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19975.010006909302</c:v>
                </c:pt>
                <c:pt idx="1">
                  <c:v>19975.317128420094</c:v>
                </c:pt>
                <c:pt idx="2">
                  <c:v>19975.21178946588</c:v>
                </c:pt>
                <c:pt idx="3">
                  <c:v>19975.184200875749</c:v>
                </c:pt>
                <c:pt idx="4">
                  <c:v>19975.176220719259</c:v>
                </c:pt>
                <c:pt idx="5">
                  <c:v>19975.173712671392</c:v>
                </c:pt>
                <c:pt idx="6">
                  <c:v>19975.173028658446</c:v>
                </c:pt>
                <c:pt idx="7">
                  <c:v>19975.172572649844</c:v>
                </c:pt>
                <c:pt idx="8">
                  <c:v>19975.172572649844</c:v>
                </c:pt>
                <c:pt idx="9">
                  <c:v>19975.172344645551</c:v>
                </c:pt>
                <c:pt idx="10">
                  <c:v>19975.171888636974</c:v>
                </c:pt>
                <c:pt idx="11">
                  <c:v>19975.165960527425</c:v>
                </c:pt>
                <c:pt idx="12">
                  <c:v>19975.106907628244</c:v>
                </c:pt>
                <c:pt idx="13">
                  <c:v>19974.517537786192</c:v>
                </c:pt>
                <c:pt idx="14">
                  <c:v>19968.672006289562</c:v>
                </c:pt>
                <c:pt idx="15">
                  <c:v>19914.779310788406</c:v>
                </c:pt>
                <c:pt idx="16">
                  <c:v>19643.672756167805</c:v>
                </c:pt>
                <c:pt idx="17">
                  <c:v>19302.010618752975</c:v>
                </c:pt>
                <c:pt idx="18">
                  <c:v>18729.765498519733</c:v>
                </c:pt>
                <c:pt idx="19">
                  <c:v>17308.171801111104</c:v>
                </c:pt>
                <c:pt idx="20">
                  <c:v>14894.920168334727</c:v>
                </c:pt>
                <c:pt idx="21">
                  <c:v>12612.199023383377</c:v>
                </c:pt>
                <c:pt idx="22">
                  <c:v>10870.607040165401</c:v>
                </c:pt>
                <c:pt idx="23">
                  <c:v>9599.4226742642168</c:v>
                </c:pt>
                <c:pt idx="24">
                  <c:v>8614.4897686935656</c:v>
                </c:pt>
                <c:pt idx="25">
                  <c:v>7773.7433777145961</c:v>
                </c:pt>
                <c:pt idx="26">
                  <c:v>6953.8163676704444</c:v>
                </c:pt>
                <c:pt idx="27">
                  <c:v>6002.2356441357479</c:v>
                </c:pt>
                <c:pt idx="28">
                  <c:v>4907.4912657872592</c:v>
                </c:pt>
                <c:pt idx="29">
                  <c:v>3674.7323471947598</c:v>
                </c:pt>
                <c:pt idx="30">
                  <c:v>2376.123483797302</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19859.07298233152</c:v>
                </c:pt>
                <c:pt idx="1">
                  <c:v>19859.381957876321</c:v>
                </c:pt>
                <c:pt idx="2">
                  <c:v>19859.277612762307</c:v>
                </c:pt>
                <c:pt idx="3">
                  <c:v>19859.25034348559</c:v>
                </c:pt>
                <c:pt idx="4">
                  <c:v>19859.242455692241</c:v>
                </c:pt>
                <c:pt idx="5">
                  <c:v>19859.239976672769</c:v>
                </c:pt>
                <c:pt idx="6">
                  <c:v>19859.239075211295</c:v>
                </c:pt>
                <c:pt idx="7">
                  <c:v>19859.23884984594</c:v>
                </c:pt>
                <c:pt idx="8">
                  <c:v>19859.238173749905</c:v>
                </c:pt>
                <c:pt idx="9">
                  <c:v>19859.23253961806</c:v>
                </c:pt>
                <c:pt idx="10">
                  <c:v>19859.177776023109</c:v>
                </c:pt>
                <c:pt idx="11">
                  <c:v>19858.630832739454</c:v>
                </c:pt>
                <c:pt idx="12">
                  <c:v>19853.203597450407</c:v>
                </c:pt>
                <c:pt idx="13">
                  <c:v>19802.92446420019</c:v>
                </c:pt>
                <c:pt idx="14">
                  <c:v>19541.4881258604</c:v>
                </c:pt>
                <c:pt idx="15">
                  <c:v>19218.593723661947</c:v>
                </c:pt>
                <c:pt idx="16">
                  <c:v>18846.440804960992</c:v>
                </c:pt>
                <c:pt idx="17">
                  <c:v>18254.556853733873</c:v>
                </c:pt>
                <c:pt idx="18">
                  <c:v>16979.984576352294</c:v>
                </c:pt>
                <c:pt idx="19">
                  <c:v>14603.915117705887</c:v>
                </c:pt>
                <c:pt idx="20">
                  <c:v>12222.314258188637</c:v>
                </c:pt>
                <c:pt idx="21">
                  <c:v>10433.150423314644</c:v>
                </c:pt>
                <c:pt idx="22">
                  <c:v>9125.6995761295057</c:v>
                </c:pt>
                <c:pt idx="23">
                  <c:v>8090.5512994118853</c:v>
                </c:pt>
                <c:pt idx="24">
                  <c:v>7159.2568085964094</c:v>
                </c:pt>
                <c:pt idx="25">
                  <c:v>6142.4304670728689</c:v>
                </c:pt>
                <c:pt idx="26">
                  <c:v>5008.1514103254858</c:v>
                </c:pt>
                <c:pt idx="27">
                  <c:v>3751.2603162874061</c:v>
                </c:pt>
                <c:pt idx="28">
                  <c:v>2430.1890357952816</c:v>
                </c:pt>
                <c:pt idx="29">
                  <c:v>1416.8225576286502</c:v>
                </c:pt>
                <c:pt idx="30">
                  <c:v>795.68627099719447</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19740.176191337396</c:v>
                </c:pt>
                <c:pt idx="1">
                  <c:v>19740.487045192571</c:v>
                </c:pt>
                <c:pt idx="2">
                  <c:v>19740.383500378339</c:v>
                </c:pt>
                <c:pt idx="3">
                  <c:v>19740.356556637038</c:v>
                </c:pt>
                <c:pt idx="4">
                  <c:v>19740.348763006576</c:v>
                </c:pt>
                <c:pt idx="5">
                  <c:v>19740.345868231114</c:v>
                </c:pt>
                <c:pt idx="6">
                  <c:v>19740.340078682737</c:v>
                </c:pt>
                <c:pt idx="7">
                  <c:v>19740.291090332419</c:v>
                </c:pt>
                <c:pt idx="8">
                  <c:v>19739.803001503598</c:v>
                </c:pt>
                <c:pt idx="9">
                  <c:v>19734.957268460879</c:v>
                </c:pt>
                <c:pt idx="10">
                  <c:v>19689.720606690018</c:v>
                </c:pt>
                <c:pt idx="11">
                  <c:v>19441.022824427346</c:v>
                </c:pt>
                <c:pt idx="12">
                  <c:v>19122.532544501544</c:v>
                </c:pt>
                <c:pt idx="13">
                  <c:v>18767.791933781053</c:v>
                </c:pt>
                <c:pt idx="14">
                  <c:v>18343.605158238544</c:v>
                </c:pt>
                <c:pt idx="15">
                  <c:v>17861.001927089837</c:v>
                </c:pt>
                <c:pt idx="16">
                  <c:v>17248.776741394606</c:v>
                </c:pt>
                <c:pt idx="17">
                  <c:v>16052.315505234246</c:v>
                </c:pt>
                <c:pt idx="18">
                  <c:v>13802.936034354956</c:v>
                </c:pt>
                <c:pt idx="19">
                  <c:v>11388.112671513923</c:v>
                </c:pt>
                <c:pt idx="20">
                  <c:v>9481.7225439927552</c:v>
                </c:pt>
                <c:pt idx="21">
                  <c:v>8012.0684642696078</c:v>
                </c:pt>
                <c:pt idx="22">
                  <c:v>6673.464448224041</c:v>
                </c:pt>
                <c:pt idx="23">
                  <c:v>5348.8138806549405</c:v>
                </c:pt>
                <c:pt idx="24">
                  <c:v>3978.0976400651807</c:v>
                </c:pt>
                <c:pt idx="25">
                  <c:v>2574.4636770611592</c:v>
                </c:pt>
                <c:pt idx="26">
                  <c:v>1499.5121872638804</c:v>
                </c:pt>
                <c:pt idx="27">
                  <c:v>838.72513779055839</c:v>
                </c:pt>
                <c:pt idx="28">
                  <c:v>467.74027403592981</c:v>
                </c:pt>
                <c:pt idx="29">
                  <c:v>322.68805120996677</c:v>
                </c:pt>
                <c:pt idx="30">
                  <c:v>280.88351572812059</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19593.41601657858</c:v>
                </c:pt>
                <c:pt idx="1">
                  <c:v>19593.716342193977</c:v>
                </c:pt>
                <c:pt idx="2">
                  <c:v>19593.485338547598</c:v>
                </c:pt>
                <c:pt idx="3">
                  <c:v>19592.173788627089</c:v>
                </c:pt>
                <c:pt idx="4">
                  <c:v>19579.551836589373</c:v>
                </c:pt>
                <c:pt idx="5">
                  <c:v>19474.014653806546</c:v>
                </c:pt>
                <c:pt idx="6">
                  <c:v>19165.599243180055</c:v>
                </c:pt>
                <c:pt idx="7">
                  <c:v>18836.278159388217</c:v>
                </c:pt>
                <c:pt idx="8">
                  <c:v>18455.411362313396</c:v>
                </c:pt>
                <c:pt idx="9">
                  <c:v>17983.981862609631</c:v>
                </c:pt>
                <c:pt idx="10">
                  <c:v>17533.843649674167</c:v>
                </c:pt>
                <c:pt idx="11">
                  <c:v>16927.590153443285</c:v>
                </c:pt>
                <c:pt idx="12">
                  <c:v>16273.34911755207</c:v>
                </c:pt>
                <c:pt idx="13">
                  <c:v>15622.666364211846</c:v>
                </c:pt>
                <c:pt idx="14">
                  <c:v>14904.786097156208</c:v>
                </c:pt>
                <c:pt idx="15">
                  <c:v>14084.708819168596</c:v>
                </c:pt>
                <c:pt idx="16">
                  <c:v>12688.010026283031</c:v>
                </c:pt>
                <c:pt idx="17">
                  <c:v>10169.882364098989</c:v>
                </c:pt>
                <c:pt idx="18">
                  <c:v>7300.4195655416024</c:v>
                </c:pt>
                <c:pt idx="19">
                  <c:v>4777.2365062655363</c:v>
                </c:pt>
                <c:pt idx="20">
                  <c:v>2781.8501856678345</c:v>
                </c:pt>
                <c:pt idx="21">
                  <c:v>1491.317295053803</c:v>
                </c:pt>
                <c:pt idx="22">
                  <c:v>785.20892524999465</c:v>
                </c:pt>
                <c:pt idx="23">
                  <c:v>437.8275387817626</c:v>
                </c:pt>
                <c:pt idx="24">
                  <c:v>325.81443601846939</c:v>
                </c:pt>
                <c:pt idx="25">
                  <c:v>285.60076349080902</c:v>
                </c:pt>
                <c:pt idx="26">
                  <c:v>261.97962463200093</c:v>
                </c:pt>
                <c:pt idx="27">
                  <c:v>260.53407371062764</c:v>
                </c:pt>
                <c:pt idx="28">
                  <c:v>255.61107200829733</c:v>
                </c:pt>
                <c:pt idx="29">
                  <c:v>255.53688935645488</c:v>
                </c:pt>
                <c:pt idx="30">
                  <c:v>252.44034077426483</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18083.319608093752</c:v>
                </c:pt>
                <c:pt idx="1">
                  <c:v>17510.497368067183</c:v>
                </c:pt>
                <c:pt idx="2">
                  <c:v>16968.91372577615</c:v>
                </c:pt>
                <c:pt idx="3">
                  <c:v>16342.70293177818</c:v>
                </c:pt>
                <c:pt idx="4">
                  <c:v>15699.206786363398</c:v>
                </c:pt>
                <c:pt idx="5">
                  <c:v>15025.244557319804</c:v>
                </c:pt>
                <c:pt idx="6">
                  <c:v>14288.820500325908</c:v>
                </c:pt>
                <c:pt idx="7">
                  <c:v>13410.518659089135</c:v>
                </c:pt>
                <c:pt idx="8">
                  <c:v>12218.132057062168</c:v>
                </c:pt>
                <c:pt idx="9">
                  <c:v>10678.883472084573</c:v>
                </c:pt>
                <c:pt idx="10">
                  <c:v>8709.9685490501379</c:v>
                </c:pt>
                <c:pt idx="11">
                  <c:v>6261.1865041448682</c:v>
                </c:pt>
                <c:pt idx="12">
                  <c:v>3999.996891430987</c:v>
                </c:pt>
                <c:pt idx="13">
                  <c:v>2381.5452074981822</c:v>
                </c:pt>
                <c:pt idx="14">
                  <c:v>1373.307623968283</c:v>
                </c:pt>
                <c:pt idx="15">
                  <c:v>970.50529052935451</c:v>
                </c:pt>
                <c:pt idx="16">
                  <c:v>832.46344867058917</c:v>
                </c:pt>
                <c:pt idx="17">
                  <c:v>697.97258507268759</c:v>
                </c:pt>
                <c:pt idx="18">
                  <c:v>548.83731637118672</c:v>
                </c:pt>
                <c:pt idx="19">
                  <c:v>424.68993933559034</c:v>
                </c:pt>
                <c:pt idx="20">
                  <c:v>351.56865009712232</c:v>
                </c:pt>
                <c:pt idx="21">
                  <c:v>311.02439474519485</c:v>
                </c:pt>
                <c:pt idx="22">
                  <c:v>287.7155458003362</c:v>
                </c:pt>
                <c:pt idx="23">
                  <c:v>273.91270001555353</c:v>
                </c:pt>
                <c:pt idx="24">
                  <c:v>265.30408912131344</c:v>
                </c:pt>
                <c:pt idx="25">
                  <c:v>259.87569210094318</c:v>
                </c:pt>
                <c:pt idx="26">
                  <c:v>258.94491547675437</c:v>
                </c:pt>
                <c:pt idx="27">
                  <c:v>255.21526561798564</c:v>
                </c:pt>
                <c:pt idx="28">
                  <c:v>254.50537781497852</c:v>
                </c:pt>
                <c:pt idx="29">
                  <c:v>252.43326191058742</c:v>
                </c:pt>
                <c:pt idx="30">
                  <c:v>251.63422047097583</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17085.335490576606</c:v>
                </c:pt>
                <c:pt idx="1">
                  <c:v>16345.791005518337</c:v>
                </c:pt>
                <c:pt idx="2">
                  <c:v>15688.916927722772</c:v>
                </c:pt>
                <c:pt idx="3">
                  <c:v>15033.115376067983</c:v>
                </c:pt>
                <c:pt idx="4">
                  <c:v>14308.985953236433</c:v>
                </c:pt>
                <c:pt idx="5">
                  <c:v>13491.437562783367</c:v>
                </c:pt>
                <c:pt idx="6">
                  <c:v>12372.251203926089</c:v>
                </c:pt>
                <c:pt idx="7">
                  <c:v>10921.28053324806</c:v>
                </c:pt>
                <c:pt idx="8">
                  <c:v>9081.6882287568278</c:v>
                </c:pt>
                <c:pt idx="9">
                  <c:v>6744.2431910891501</c:v>
                </c:pt>
                <c:pt idx="10">
                  <c:v>4451.600130210576</c:v>
                </c:pt>
                <c:pt idx="11">
                  <c:v>2698.7505232298959</c:v>
                </c:pt>
                <c:pt idx="12">
                  <c:v>1560.8152949909691</c:v>
                </c:pt>
                <c:pt idx="13">
                  <c:v>1037.5877117360774</c:v>
                </c:pt>
                <c:pt idx="14">
                  <c:v>881.52646936861743</c:v>
                </c:pt>
                <c:pt idx="15">
                  <c:v>792.579894204624</c:v>
                </c:pt>
                <c:pt idx="16">
                  <c:v>727.85283165113367</c:v>
                </c:pt>
                <c:pt idx="17">
                  <c:v>611.70368108943933</c:v>
                </c:pt>
                <c:pt idx="18">
                  <c:v>470.32609213010869</c:v>
                </c:pt>
                <c:pt idx="19">
                  <c:v>377.26845865160328</c:v>
                </c:pt>
                <c:pt idx="20">
                  <c:v>325.37584256539247</c:v>
                </c:pt>
                <c:pt idx="21">
                  <c:v>296.09364166145144</c:v>
                </c:pt>
                <c:pt idx="22">
                  <c:v>279.00291945466313</c:v>
                </c:pt>
                <c:pt idx="23">
                  <c:v>268.46502437662423</c:v>
                </c:pt>
                <c:pt idx="24">
                  <c:v>261.87016689614222</c:v>
                </c:pt>
                <c:pt idx="25">
                  <c:v>258.5034946127281</c:v>
                </c:pt>
                <c:pt idx="26">
                  <c:v>257.62288828910681</c:v>
                </c:pt>
                <c:pt idx="27">
                  <c:v>254.25896848385986</c:v>
                </c:pt>
                <c:pt idx="28">
                  <c:v>254.20545521130117</c:v>
                </c:pt>
                <c:pt idx="29">
                  <c:v>252.02529325843139</c:v>
                </c:pt>
                <c:pt idx="30">
                  <c:v>251.13050342453033</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445710448"/>
        <c:axId val="44570692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5710448"/>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706920"/>
        <c:crosses val="autoZero"/>
        <c:crossBetween val="midCat"/>
      </c:valAx>
      <c:valAx>
        <c:axId val="445706920"/>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710448"/>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23091.664287895361</c:v>
                </c:pt>
                <c:pt idx="1">
                  <c:v>23093.037347630336</c:v>
                </c:pt>
                <c:pt idx="2">
                  <c:v>23092.925814714792</c:v>
                </c:pt>
                <c:pt idx="3">
                  <c:v>23092.894731963072</c:v>
                </c:pt>
                <c:pt idx="4">
                  <c:v>23092.8837616001</c:v>
                </c:pt>
                <c:pt idx="5">
                  <c:v>23092.88101901098</c:v>
                </c:pt>
                <c:pt idx="6">
                  <c:v>23092.880104814758</c:v>
                </c:pt>
                <c:pt idx="7">
                  <c:v>23092.879190618609</c:v>
                </c:pt>
                <c:pt idx="8">
                  <c:v>23092.878276422522</c:v>
                </c:pt>
                <c:pt idx="9">
                  <c:v>23092.878276422522</c:v>
                </c:pt>
                <c:pt idx="10">
                  <c:v>23092.878276422522</c:v>
                </c:pt>
                <c:pt idx="11">
                  <c:v>23092.879190618602</c:v>
                </c:pt>
                <c:pt idx="12">
                  <c:v>23092.880104814769</c:v>
                </c:pt>
                <c:pt idx="13">
                  <c:v>23092.900217148483</c:v>
                </c:pt>
                <c:pt idx="14">
                  <c:v>23093.090371853257</c:v>
                </c:pt>
                <c:pt idx="15">
                  <c:v>23094.990262426258</c:v>
                </c:pt>
                <c:pt idx="16">
                  <c:v>23113.614390393683</c:v>
                </c:pt>
                <c:pt idx="17">
                  <c:v>23266.667815375284</c:v>
                </c:pt>
                <c:pt idx="18">
                  <c:v>23677.952674862463</c:v>
                </c:pt>
                <c:pt idx="19">
                  <c:v>24127.233185682937</c:v>
                </c:pt>
                <c:pt idx="20">
                  <c:v>24294.462096800613</c:v>
                </c:pt>
                <c:pt idx="21">
                  <c:v>23137.466351182688</c:v>
                </c:pt>
                <c:pt idx="22">
                  <c:v>20334.791070595831</c:v>
                </c:pt>
                <c:pt idx="23">
                  <c:v>17463.791970831018</c:v>
                </c:pt>
                <c:pt idx="24">
                  <c:v>15088.2159705507</c:v>
                </c:pt>
                <c:pt idx="25">
                  <c:v>13184.309351933493</c:v>
                </c:pt>
                <c:pt idx="26">
                  <c:v>11597.378361592906</c:v>
                </c:pt>
                <c:pt idx="27">
                  <c:v>10220.861605550637</c:v>
                </c:pt>
                <c:pt idx="28">
                  <c:v>8856.7683423672406</c:v>
                </c:pt>
                <c:pt idx="29">
                  <c:v>7389.4175770851343</c:v>
                </c:pt>
                <c:pt idx="30">
                  <c:v>5812.4040289060513</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22879.621291278767</c:v>
                </c:pt>
                <c:pt idx="1">
                  <c:v>22881.083231796893</c:v>
                </c:pt>
                <c:pt idx="2">
                  <c:v>22880.977326821179</c:v>
                </c:pt>
                <c:pt idx="3">
                  <c:v>22880.945914516891</c:v>
                </c:pt>
                <c:pt idx="4">
                  <c:v>22880.936042096218</c:v>
                </c:pt>
                <c:pt idx="5">
                  <c:v>22880.933349619339</c:v>
                </c:pt>
                <c:pt idx="6">
                  <c:v>22880.932452127159</c:v>
                </c:pt>
                <c:pt idx="7">
                  <c:v>22880.930657143079</c:v>
                </c:pt>
                <c:pt idx="8">
                  <c:v>22880.930657143079</c:v>
                </c:pt>
                <c:pt idx="9">
                  <c:v>22880.931554635095</c:v>
                </c:pt>
                <c:pt idx="10">
                  <c:v>22880.931554635074</c:v>
                </c:pt>
                <c:pt idx="11">
                  <c:v>22880.93873457372</c:v>
                </c:pt>
                <c:pt idx="12">
                  <c:v>22881.006046717706</c:v>
                </c:pt>
                <c:pt idx="13">
                  <c:v>22881.676497288649</c:v>
                </c:pt>
                <c:pt idx="14">
                  <c:v>22888.326585920066</c:v>
                </c:pt>
                <c:pt idx="15">
                  <c:v>22950.132221613188</c:v>
                </c:pt>
                <c:pt idx="16">
                  <c:v>23275.539238382869</c:v>
                </c:pt>
                <c:pt idx="17">
                  <c:v>23686.514422745709</c:v>
                </c:pt>
                <c:pt idx="18">
                  <c:v>23949.605541101169</c:v>
                </c:pt>
                <c:pt idx="19">
                  <c:v>23248.691357733402</c:v>
                </c:pt>
                <c:pt idx="20">
                  <c:v>20848.0505678878</c:v>
                </c:pt>
                <c:pt idx="21">
                  <c:v>18012.69349364013</c:v>
                </c:pt>
                <c:pt idx="22">
                  <c:v>15604.81851114552</c:v>
                </c:pt>
                <c:pt idx="23">
                  <c:v>13659.478596315132</c:v>
                </c:pt>
                <c:pt idx="24">
                  <c:v>12056.693466284903</c:v>
                </c:pt>
                <c:pt idx="25">
                  <c:v>10671.101161660947</c:v>
                </c:pt>
                <c:pt idx="26">
                  <c:v>9383.9197173173034</c:v>
                </c:pt>
                <c:pt idx="27">
                  <c:v>8001.5776367701637</c:v>
                </c:pt>
                <c:pt idx="28">
                  <c:v>6489.0635917849504</c:v>
                </c:pt>
                <c:pt idx="29">
                  <c:v>4842.2553687053723</c:v>
                </c:pt>
                <c:pt idx="30">
                  <c:v>3149.0996661072604</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22742.488042487119</c:v>
                </c:pt>
                <c:pt idx="1">
                  <c:v>22744.008773208971</c:v>
                </c:pt>
                <c:pt idx="2">
                  <c:v>22743.905020100996</c:v>
                </c:pt>
                <c:pt idx="3">
                  <c:v>22743.873983030415</c:v>
                </c:pt>
                <c:pt idx="4">
                  <c:v>22743.866002083112</c:v>
                </c:pt>
                <c:pt idx="5">
                  <c:v>22743.861568225893</c:v>
                </c:pt>
                <c:pt idx="6">
                  <c:v>22743.859794683511</c:v>
                </c:pt>
                <c:pt idx="7">
                  <c:v>22743.860681454684</c:v>
                </c:pt>
                <c:pt idx="8">
                  <c:v>22743.861568225911</c:v>
                </c:pt>
                <c:pt idx="9">
                  <c:v>22743.866002083108</c:v>
                </c:pt>
                <c:pt idx="10">
                  <c:v>22743.927189489001</c:v>
                </c:pt>
                <c:pt idx="11">
                  <c:v>22744.543515776928</c:v>
                </c:pt>
                <c:pt idx="12">
                  <c:v>22750.655378129468</c:v>
                </c:pt>
                <c:pt idx="13">
                  <c:v>22807.726538330313</c:v>
                </c:pt>
                <c:pt idx="14">
                  <c:v>23119.548715921093</c:v>
                </c:pt>
                <c:pt idx="15">
                  <c:v>23539.170194751117</c:v>
                </c:pt>
                <c:pt idx="16">
                  <c:v>24053.006007932338</c:v>
                </c:pt>
                <c:pt idx="17">
                  <c:v>24532.417037744013</c:v>
                </c:pt>
                <c:pt idx="18">
                  <c:v>24038.911937855533</c:v>
                </c:pt>
                <c:pt idx="19">
                  <c:v>21605.392785053158</c:v>
                </c:pt>
                <c:pt idx="20">
                  <c:v>18380.492109422798</c:v>
                </c:pt>
                <c:pt idx="21">
                  <c:v>15581.640468230606</c:v>
                </c:pt>
                <c:pt idx="22">
                  <c:v>13388.464428663197</c:v>
                </c:pt>
                <c:pt idx="23">
                  <c:v>11600.508502655679</c:v>
                </c:pt>
                <c:pt idx="24">
                  <c:v>10035.900998532001</c:v>
                </c:pt>
                <c:pt idx="25">
                  <c:v>8460.358362409168</c:v>
                </c:pt>
                <c:pt idx="26">
                  <c:v>6802.7139485606767</c:v>
                </c:pt>
                <c:pt idx="27">
                  <c:v>5057.7654618780325</c:v>
                </c:pt>
                <c:pt idx="28">
                  <c:v>3285.2835273837663</c:v>
                </c:pt>
                <c:pt idx="29">
                  <c:v>1940.1857367522732</c:v>
                </c:pt>
                <c:pt idx="30">
                  <c:v>1120.3536230398786</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22601.623842724206</c:v>
                </c:pt>
                <c:pt idx="1">
                  <c:v>22603.200238586462</c:v>
                </c:pt>
                <c:pt idx="2">
                  <c:v>22603.09951783068</c:v>
                </c:pt>
                <c:pt idx="3">
                  <c:v>22603.070615518671</c:v>
                </c:pt>
                <c:pt idx="4">
                  <c:v>22603.06098143111</c:v>
                </c:pt>
                <c:pt idx="5">
                  <c:v>22603.0583539541</c:v>
                </c:pt>
                <c:pt idx="6">
                  <c:v>22603.061857256907</c:v>
                </c:pt>
                <c:pt idx="7">
                  <c:v>22603.11615858931</c:v>
                </c:pt>
                <c:pt idx="8">
                  <c:v>22603.655682775396</c:v>
                </c:pt>
                <c:pt idx="9">
                  <c:v>22609.026052897494</c:v>
                </c:pt>
                <c:pt idx="10">
                  <c:v>22659.511958136605</c:v>
                </c:pt>
                <c:pt idx="11">
                  <c:v>22950.442833384557</c:v>
                </c:pt>
                <c:pt idx="12">
                  <c:v>23358.587704015405</c:v>
                </c:pt>
                <c:pt idx="13">
                  <c:v>23870.012369440417</c:v>
                </c:pt>
                <c:pt idx="14">
                  <c:v>24582.450226367855</c:v>
                </c:pt>
                <c:pt idx="15">
                  <c:v>25418.201308726548</c:v>
                </c:pt>
                <c:pt idx="16">
                  <c:v>26537.998319158982</c:v>
                </c:pt>
                <c:pt idx="17">
                  <c:v>27036.96493846388</c:v>
                </c:pt>
                <c:pt idx="18">
                  <c:v>24411.748696698593</c:v>
                </c:pt>
                <c:pt idx="19">
                  <c:v>19836.143480107861</c:v>
                </c:pt>
                <c:pt idx="20">
                  <c:v>15907.606584781948</c:v>
                </c:pt>
                <c:pt idx="21">
                  <c:v>12951.329790737587</c:v>
                </c:pt>
                <c:pt idx="22">
                  <c:v>10476.560790543319</c:v>
                </c:pt>
                <c:pt idx="23">
                  <c:v>8157.2805733477471</c:v>
                </c:pt>
                <c:pt idx="24">
                  <c:v>5920.0994955601627</c:v>
                </c:pt>
                <c:pt idx="25">
                  <c:v>3781.973261189708</c:v>
                </c:pt>
                <c:pt idx="26">
                  <c:v>2200.7791714033719</c:v>
                </c:pt>
                <c:pt idx="27">
                  <c:v>1249.4466557746339</c:v>
                </c:pt>
                <c:pt idx="28">
                  <c:v>724.82946833551421</c:v>
                </c:pt>
                <c:pt idx="29">
                  <c:v>518.33647874718224</c:v>
                </c:pt>
                <c:pt idx="30">
                  <c:v>454.46798250989048</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22427.415559851273</c:v>
                </c:pt>
                <c:pt idx="1">
                  <c:v>22429.077271093392</c:v>
                </c:pt>
                <c:pt idx="2">
                  <c:v>22429.119528507599</c:v>
                </c:pt>
                <c:pt idx="3">
                  <c:v>22430.484787376045</c:v>
                </c:pt>
                <c:pt idx="4">
                  <c:v>22444.180201629541</c:v>
                </c:pt>
                <c:pt idx="5">
                  <c:v>22560.863795914058</c:v>
                </c:pt>
                <c:pt idx="6">
                  <c:v>22927.118894522977</c:v>
                </c:pt>
                <c:pt idx="7">
                  <c:v>23359.64470274073</c:v>
                </c:pt>
                <c:pt idx="8">
                  <c:v>23932.162957571156</c:v>
                </c:pt>
                <c:pt idx="9">
                  <c:v>24681.292236302077</c:v>
                </c:pt>
                <c:pt idx="10">
                  <c:v>25712.062135152279</c:v>
                </c:pt>
                <c:pt idx="11">
                  <c:v>27250.346032679754</c:v>
                </c:pt>
                <c:pt idx="12">
                  <c:v>29648.848860571012</c:v>
                </c:pt>
                <c:pt idx="13">
                  <c:v>33100.063003605632</c:v>
                </c:pt>
                <c:pt idx="14">
                  <c:v>38998.208667425417</c:v>
                </c:pt>
                <c:pt idx="15">
                  <c:v>50135.230473373435</c:v>
                </c:pt>
                <c:pt idx="16">
                  <c:v>77661.347885028619</c:v>
                </c:pt>
                <c:pt idx="17">
                  <c:v>112874.35909938901</c:v>
                </c:pt>
                <c:pt idx="18">
                  <c:v>82522.140690347413</c:v>
                </c:pt>
                <c:pt idx="19">
                  <c:v>46155.010680269632</c:v>
                </c:pt>
                <c:pt idx="20">
                  <c:v>18911.340071605871</c:v>
                </c:pt>
                <c:pt idx="21">
                  <c:v>6397.0180976393976</c:v>
                </c:pt>
                <c:pt idx="22">
                  <c:v>2458.1768598411568</c:v>
                </c:pt>
                <c:pt idx="23">
                  <c:v>1138.5739484911751</c:v>
                </c:pt>
                <c:pt idx="24">
                  <c:v>704.79920331109042</c:v>
                </c:pt>
                <c:pt idx="25">
                  <c:v>546.83473929231957</c:v>
                </c:pt>
                <c:pt idx="26">
                  <c:v>472.47631098271978</c:v>
                </c:pt>
                <c:pt idx="27">
                  <c:v>463.3494184422018</c:v>
                </c:pt>
                <c:pt idx="28">
                  <c:v>429.87012763703814</c:v>
                </c:pt>
                <c:pt idx="29">
                  <c:v>429.40543909466612</c:v>
                </c:pt>
                <c:pt idx="30">
                  <c:v>411.52756917249343</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23715.402700073144</c:v>
                </c:pt>
                <c:pt idx="1">
                  <c:v>24769.857240838614</c:v>
                </c:pt>
                <c:pt idx="2">
                  <c:v>26045.894473466047</c:v>
                </c:pt>
                <c:pt idx="3">
                  <c:v>28000.797462711733</c:v>
                </c:pt>
                <c:pt idx="4">
                  <c:v>30828.068339661877</c:v>
                </c:pt>
                <c:pt idx="5">
                  <c:v>35260.524500906417</c:v>
                </c:pt>
                <c:pt idx="6">
                  <c:v>43490.574374796946</c:v>
                </c:pt>
                <c:pt idx="7">
                  <c:v>66099.600086088118</c:v>
                </c:pt>
                <c:pt idx="8">
                  <c:v>843764.67547848891</c:v>
                </c:pt>
                <c:pt idx="9">
                  <c:v>-40890.884800236614</c:v>
                </c:pt>
                <c:pt idx="10">
                  <c:v>-13052.406755657226</c:v>
                </c:pt>
                <c:pt idx="11">
                  <c:v>-5000.2094373438613</c:v>
                </c:pt>
                <c:pt idx="12">
                  <c:v>-2152.4502004816723</c:v>
                </c:pt>
                <c:pt idx="13">
                  <c:v>-1024.6827693397393</c:v>
                </c:pt>
                <c:pt idx="14">
                  <c:v>-522.41658208742194</c:v>
                </c:pt>
                <c:pt idx="15">
                  <c:v>-355.57302401162281</c:v>
                </c:pt>
                <c:pt idx="16">
                  <c:v>-315.47182344480592</c:v>
                </c:pt>
                <c:pt idx="17">
                  <c:v>-306.90421543988464</c:v>
                </c:pt>
                <c:pt idx="18">
                  <c:v>-387.9818132749063</c:v>
                </c:pt>
                <c:pt idx="19">
                  <c:v>-686.94569615763794</c:v>
                </c:pt>
                <c:pt idx="20">
                  <c:v>-2922.2876870326827</c:v>
                </c:pt>
                <c:pt idx="21">
                  <c:v>1800.6732871764245</c:v>
                </c:pt>
                <c:pt idx="22">
                  <c:v>825.45518900942818</c:v>
                </c:pt>
                <c:pt idx="23">
                  <c:v>602.54767486320873</c:v>
                </c:pt>
                <c:pt idx="24">
                  <c:v>509.73663975898</c:v>
                </c:pt>
                <c:pt idx="25">
                  <c:v>463.43780280695023</c:v>
                </c:pt>
                <c:pt idx="26">
                  <c:v>456.09614590156087</c:v>
                </c:pt>
                <c:pt idx="27">
                  <c:v>429.45390200097501</c:v>
                </c:pt>
                <c:pt idx="28">
                  <c:v>424.70580143756354</c:v>
                </c:pt>
                <c:pt idx="29">
                  <c:v>412.06053626076198</c:v>
                </c:pt>
                <c:pt idx="30">
                  <c:v>407.54499459758341</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24960.032569562049</c:v>
                </c:pt>
                <c:pt idx="1">
                  <c:v>26969.44694541116</c:v>
                </c:pt>
                <c:pt idx="2">
                  <c:v>29542.081530337884</c:v>
                </c:pt>
                <c:pt idx="3">
                  <c:v>33322.437848226611</c:v>
                </c:pt>
                <c:pt idx="4">
                  <c:v>40134.26033842488</c:v>
                </c:pt>
                <c:pt idx="5">
                  <c:v>55922.642432413799</c:v>
                </c:pt>
                <c:pt idx="6">
                  <c:v>181964.24475376276</c:v>
                </c:pt>
                <c:pt idx="7">
                  <c:v>-58763.553057981509</c:v>
                </c:pt>
                <c:pt idx="8">
                  <c:v>-16319.184600284887</c:v>
                </c:pt>
                <c:pt idx="9">
                  <c:v>-6112.1090729963262</c:v>
                </c:pt>
                <c:pt idx="10">
                  <c:v>-2597.7885159963871</c:v>
                </c:pt>
                <c:pt idx="11">
                  <c:v>-1215.9313155279717</c:v>
                </c:pt>
                <c:pt idx="12">
                  <c:v>-607.46000457295872</c:v>
                </c:pt>
                <c:pt idx="13">
                  <c:v>-378.25449083184589</c:v>
                </c:pt>
                <c:pt idx="14">
                  <c:v>-316.51811838334686</c:v>
                </c:pt>
                <c:pt idx="15">
                  <c:v>-289.01073030782044</c:v>
                </c:pt>
                <c:pt idx="16">
                  <c:v>-290.88082303515483</c:v>
                </c:pt>
                <c:pt idx="17">
                  <c:v>-339.17877917695796</c:v>
                </c:pt>
                <c:pt idx="18">
                  <c:v>-513.47871353453911</c:v>
                </c:pt>
                <c:pt idx="19">
                  <c:v>-1262.932154635145</c:v>
                </c:pt>
                <c:pt idx="20">
                  <c:v>4828.5985475575499</c:v>
                </c:pt>
                <c:pt idx="21">
                  <c:v>1039.4167007298379</c:v>
                </c:pt>
                <c:pt idx="22">
                  <c:v>671.63538687963717</c:v>
                </c:pt>
                <c:pt idx="23">
                  <c:v>540.76065309301828</c:v>
                </c:pt>
                <c:pt idx="24">
                  <c:v>479.47253418303558</c:v>
                </c:pt>
                <c:pt idx="25">
                  <c:v>452.63730028284408</c:v>
                </c:pt>
                <c:pt idx="26">
                  <c:v>446.0375034959784</c:v>
                </c:pt>
                <c:pt idx="27">
                  <c:v>423.58243659721273</c:v>
                </c:pt>
                <c:pt idx="28">
                  <c:v>423.23365068359851</c:v>
                </c:pt>
                <c:pt idx="29">
                  <c:v>410.57511038781047</c:v>
                </c:pt>
                <c:pt idx="30">
                  <c:v>404.44648932589445</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445706136"/>
        <c:axId val="44570731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44570613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707312"/>
        <c:crosses val="autoZero"/>
        <c:crossBetween val="midCat"/>
        <c:majorUnit val="10000"/>
      </c:valAx>
      <c:valAx>
        <c:axId val="445707312"/>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706136"/>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0.35453160081858259</c:v>
                </c:pt>
                <c:pt idx="1">
                  <c:v>0.35453805542820516</c:v>
                </c:pt>
                <c:pt idx="2">
                  <c:v>0.35453812352271485</c:v>
                </c:pt>
                <c:pt idx="3">
                  <c:v>0.35453812876786328</c:v>
                </c:pt>
                <c:pt idx="4">
                  <c:v>0.35453811997607637</c:v>
                </c:pt>
                <c:pt idx="5">
                  <c:v>0.35453812112870858</c:v>
                </c:pt>
                <c:pt idx="6">
                  <c:v>0.35453812039606009</c:v>
                </c:pt>
                <c:pt idx="7">
                  <c:v>0.354538116312834</c:v>
                </c:pt>
                <c:pt idx="8">
                  <c:v>0.35453811222960796</c:v>
                </c:pt>
                <c:pt idx="9">
                  <c:v>0.35453811222960796</c:v>
                </c:pt>
                <c:pt idx="10">
                  <c:v>0.35453811222960796</c:v>
                </c:pt>
                <c:pt idx="11">
                  <c:v>0.35453811966341159</c:v>
                </c:pt>
                <c:pt idx="12">
                  <c:v>0.3545381371489465</c:v>
                </c:pt>
                <c:pt idx="13">
                  <c:v>0.35453838110625602</c:v>
                </c:pt>
                <c:pt idx="14">
                  <c:v>0.3545407582571321</c:v>
                </c:pt>
                <c:pt idx="15">
                  <c:v>0.35456448598294432</c:v>
                </c:pt>
                <c:pt idx="16">
                  <c:v>0.3547965636514262</c:v>
                </c:pt>
                <c:pt idx="17">
                  <c:v>0.35667109899733923</c:v>
                </c:pt>
                <c:pt idx="18">
                  <c:v>0.36144566360499458</c:v>
                </c:pt>
                <c:pt idx="19">
                  <c:v>0.36660866917731405</c:v>
                </c:pt>
                <c:pt idx="20">
                  <c:v>0.37262574130210468</c:v>
                </c:pt>
                <c:pt idx="21">
                  <c:v>0.37926119536791486</c:v>
                </c:pt>
                <c:pt idx="22">
                  <c:v>0.38316552006257132</c:v>
                </c:pt>
                <c:pt idx="23">
                  <c:v>0.38501778445069501</c:v>
                </c:pt>
                <c:pt idx="24">
                  <c:v>0.38494618305647005</c:v>
                </c:pt>
                <c:pt idx="25">
                  <c:v>0.38331255995313573</c:v>
                </c:pt>
                <c:pt idx="26">
                  <c:v>0.38109942562237648</c:v>
                </c:pt>
                <c:pt idx="27">
                  <c:v>0.37857148814442121</c:v>
                </c:pt>
                <c:pt idx="28">
                  <c:v>0.37664235561688492</c:v>
                </c:pt>
                <c:pt idx="29">
                  <c:v>0.37516292196274398</c:v>
                </c:pt>
                <c:pt idx="30">
                  <c:v>0.37421321910224914</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0.35449198253321207</c:v>
                </c:pt>
                <c:pt idx="1">
                  <c:v>0.35449904238900409</c:v>
                </c:pt>
                <c:pt idx="2">
                  <c:v>0.35449913623189183</c:v>
                </c:pt>
                <c:pt idx="3">
                  <c:v>0.35449913743730305</c:v>
                </c:pt>
                <c:pt idx="4">
                  <c:v>0.3544991327862852</c:v>
                </c:pt>
                <c:pt idx="5">
                  <c:v>0.35449913393353982</c:v>
                </c:pt>
                <c:pt idx="6">
                  <c:v>0.35449913320875592</c:v>
                </c:pt>
                <c:pt idx="7">
                  <c:v>0.35449912511597731</c:v>
                </c:pt>
                <c:pt idx="8">
                  <c:v>0.35449912511597731</c:v>
                </c:pt>
                <c:pt idx="9">
                  <c:v>0.3544991324839723</c:v>
                </c:pt>
                <c:pt idx="10">
                  <c:v>0.35449913580557774</c:v>
                </c:pt>
                <c:pt idx="11">
                  <c:v>0.354499224643958</c:v>
                </c:pt>
                <c:pt idx="12">
                  <c:v>0.35450008282820761</c:v>
                </c:pt>
                <c:pt idx="13">
                  <c:v>0.35450863896742107</c:v>
                </c:pt>
                <c:pt idx="14">
                  <c:v>0.35459347634896232</c:v>
                </c:pt>
                <c:pt idx="15">
                  <c:v>0.35537643735204172</c:v>
                </c:pt>
                <c:pt idx="16">
                  <c:v>0.3593396515616552</c:v>
                </c:pt>
                <c:pt idx="17">
                  <c:v>0.36418424794899595</c:v>
                </c:pt>
                <c:pt idx="18">
                  <c:v>0.36965849697484854</c:v>
                </c:pt>
                <c:pt idx="19">
                  <c:v>0.37592009994035108</c:v>
                </c:pt>
                <c:pt idx="20">
                  <c:v>0.38092475665105002</c:v>
                </c:pt>
                <c:pt idx="21">
                  <c:v>0.3833026736780884</c:v>
                </c:pt>
                <c:pt idx="22">
                  <c:v>0.38389689769646873</c:v>
                </c:pt>
                <c:pt idx="23">
                  <c:v>0.38287226574844252</c:v>
                </c:pt>
                <c:pt idx="24">
                  <c:v>0.380916911523283</c:v>
                </c:pt>
                <c:pt idx="25">
                  <c:v>0.37858573574949567</c:v>
                </c:pt>
                <c:pt idx="26">
                  <c:v>0.37649410592537874</c:v>
                </c:pt>
                <c:pt idx="27">
                  <c:v>0.37497807897796537</c:v>
                </c:pt>
                <c:pt idx="28">
                  <c:v>0.37395481653161627</c:v>
                </c:pt>
                <c:pt idx="29">
                  <c:v>0.3735185684015519</c:v>
                </c:pt>
                <c:pt idx="30">
                  <c:v>0.3742432369178007</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0.35446423052430071</c:v>
                </c:pt>
                <c:pt idx="1">
                  <c:v>0.35447169731669115</c:v>
                </c:pt>
                <c:pt idx="2">
                  <c:v>0.35447179808384754</c:v>
                </c:pt>
                <c:pt idx="3">
                  <c:v>0.35447179931980138</c:v>
                </c:pt>
                <c:pt idx="4">
                  <c:v>0.35447180605477441</c:v>
                </c:pt>
                <c:pt idx="5">
                  <c:v>0.35447179585064437</c:v>
                </c:pt>
                <c:pt idx="6">
                  <c:v>0.3544717911084036</c:v>
                </c:pt>
                <c:pt idx="7">
                  <c:v>0.35447179843394588</c:v>
                </c:pt>
                <c:pt idx="8">
                  <c:v>0.35447180906243542</c:v>
                </c:pt>
                <c:pt idx="9">
                  <c:v>0.35447187871959884</c:v>
                </c:pt>
                <c:pt idx="10">
                  <c:v>0.35447267153580425</c:v>
                </c:pt>
                <c:pt idx="11">
                  <c:v>0.35448062287287818</c:v>
                </c:pt>
                <c:pt idx="12">
                  <c:v>0.35455947482626826</c:v>
                </c:pt>
                <c:pt idx="13">
                  <c:v>0.35529081975122406</c:v>
                </c:pt>
                <c:pt idx="14">
                  <c:v>0.35912723783399148</c:v>
                </c:pt>
                <c:pt idx="15">
                  <c:v>0.36392472940027848</c:v>
                </c:pt>
                <c:pt idx="16">
                  <c:v>0.36941035700662039</c:v>
                </c:pt>
                <c:pt idx="17">
                  <c:v>0.3759834329569689</c:v>
                </c:pt>
                <c:pt idx="18">
                  <c:v>0.38227431271814427</c:v>
                </c:pt>
                <c:pt idx="19">
                  <c:v>0.38734359624163656</c:v>
                </c:pt>
                <c:pt idx="20">
                  <c:v>0.38917313180529733</c:v>
                </c:pt>
                <c:pt idx="21">
                  <c:v>0.38840338041227873</c:v>
                </c:pt>
                <c:pt idx="22">
                  <c:v>0.38639847852164921</c:v>
                </c:pt>
                <c:pt idx="23">
                  <c:v>0.38376154232722165</c:v>
                </c:pt>
                <c:pt idx="24">
                  <c:v>0.38110589489932811</c:v>
                </c:pt>
                <c:pt idx="25">
                  <c:v>0.37899585722899659</c:v>
                </c:pt>
                <c:pt idx="26">
                  <c:v>0.37730016166598934</c:v>
                </c:pt>
                <c:pt idx="27">
                  <c:v>0.37638611212264145</c:v>
                </c:pt>
                <c:pt idx="28">
                  <c:v>0.37671337874194777</c:v>
                </c:pt>
                <c:pt idx="29">
                  <c:v>0.37829150144491613</c:v>
                </c:pt>
                <c:pt idx="30">
                  <c:v>0.38163167791638225</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0.35443393854720717</c:v>
                </c:pt>
                <c:pt idx="1">
                  <c:v>0.35444179852983004</c:v>
                </c:pt>
                <c:pt idx="2">
                  <c:v>0.35444191341394027</c:v>
                </c:pt>
                <c:pt idx="3">
                  <c:v>0.35444192596348811</c:v>
                </c:pt>
                <c:pt idx="4">
                  <c:v>0.35444192138973502</c:v>
                </c:pt>
                <c:pt idx="5">
                  <c:v>0.35444192581444917</c:v>
                </c:pt>
                <c:pt idx="6">
                  <c:v>0.35444199106484525</c:v>
                </c:pt>
                <c:pt idx="7">
                  <c:v>0.35444270197208333</c:v>
                </c:pt>
                <c:pt idx="8">
                  <c:v>0.35444977515631193</c:v>
                </c:pt>
                <c:pt idx="9">
                  <c:v>0.35452006923925178</c:v>
                </c:pt>
                <c:pt idx="10">
                  <c:v>0.35517692935409251</c:v>
                </c:pt>
                <c:pt idx="11">
                  <c:v>0.35881882566446083</c:v>
                </c:pt>
                <c:pt idx="12">
                  <c:v>0.36355815694845905</c:v>
                </c:pt>
                <c:pt idx="13">
                  <c:v>0.36895837028130662</c:v>
                </c:pt>
                <c:pt idx="14">
                  <c:v>0.37563210753117782</c:v>
                </c:pt>
                <c:pt idx="15">
                  <c:v>0.38288574717153689</c:v>
                </c:pt>
                <c:pt idx="16">
                  <c:v>0.39167245814880008</c:v>
                </c:pt>
                <c:pt idx="17">
                  <c:v>0.40104710629953405</c:v>
                </c:pt>
                <c:pt idx="18">
                  <c:v>0.40576302551523996</c:v>
                </c:pt>
                <c:pt idx="19">
                  <c:v>0.40431513159354637</c:v>
                </c:pt>
                <c:pt idx="20">
                  <c:v>0.40065839997720054</c:v>
                </c:pt>
                <c:pt idx="21">
                  <c:v>0.3968951632287262</c:v>
                </c:pt>
                <c:pt idx="22">
                  <c:v>0.39383500015501505</c:v>
                </c:pt>
                <c:pt idx="23">
                  <c:v>0.39071492979880451</c:v>
                </c:pt>
                <c:pt idx="24">
                  <c:v>0.38800589013048981</c:v>
                </c:pt>
                <c:pt idx="25">
                  <c:v>0.38654671784347389</c:v>
                </c:pt>
                <c:pt idx="26">
                  <c:v>0.38644081099788508</c:v>
                </c:pt>
                <c:pt idx="27">
                  <c:v>0.38812045530793199</c:v>
                </c:pt>
                <c:pt idx="28">
                  <c:v>0.39244820230841321</c:v>
                </c:pt>
                <c:pt idx="29">
                  <c:v>0.39624241381135833</c:v>
                </c:pt>
                <c:pt idx="30">
                  <c:v>0.3969918210090822</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0.35439386328836164</c:v>
                </c:pt>
                <c:pt idx="1">
                  <c:v>0.35440241919473009</c:v>
                </c:pt>
                <c:pt idx="2">
                  <c:v>0.35440441005241635</c:v>
                </c:pt>
                <c:pt idx="3">
                  <c:v>0.35442301719924163</c:v>
                </c:pt>
                <c:pt idx="4">
                  <c:v>0.35460557658529956</c:v>
                </c:pt>
                <c:pt idx="5">
                  <c:v>0.35613719677011779</c:v>
                </c:pt>
                <c:pt idx="6">
                  <c:v>0.36067736835032149</c:v>
                </c:pt>
                <c:pt idx="7">
                  <c:v>0.3656067019348529</c:v>
                </c:pt>
                <c:pt idx="8">
                  <c:v>0.37147413716127109</c:v>
                </c:pt>
                <c:pt idx="9">
                  <c:v>0.37855861509445748</c:v>
                </c:pt>
                <c:pt idx="10">
                  <c:v>0.38634488904137881</c:v>
                </c:pt>
                <c:pt idx="11">
                  <c:v>0.39646865319836666</c:v>
                </c:pt>
                <c:pt idx="12">
                  <c:v>0.40852174849418049</c:v>
                </c:pt>
                <c:pt idx="13">
                  <c:v>0.42133617005245555</c:v>
                </c:pt>
                <c:pt idx="14">
                  <c:v>0.43630140713956289</c:v>
                </c:pt>
                <c:pt idx="15">
                  <c:v>0.45317760689046493</c:v>
                </c:pt>
                <c:pt idx="16">
                  <c:v>0.47277064594804052</c:v>
                </c:pt>
                <c:pt idx="17">
                  <c:v>0.48498347713740708</c:v>
                </c:pt>
                <c:pt idx="18">
                  <c:v>0.48525563462025828</c:v>
                </c:pt>
                <c:pt idx="19">
                  <c:v>0.48274930343114508</c:v>
                </c:pt>
                <c:pt idx="20">
                  <c:v>0.47548340329898497</c:v>
                </c:pt>
                <c:pt idx="21">
                  <c:v>0.46114550893631406</c:v>
                </c:pt>
                <c:pt idx="22">
                  <c:v>0.4467621079889309</c:v>
                </c:pt>
                <c:pt idx="23">
                  <c:v>0.43590995423676454</c:v>
                </c:pt>
                <c:pt idx="24">
                  <c:v>0.42295336636595238</c:v>
                </c:pt>
                <c:pt idx="25">
                  <c:v>0.4129533589799555</c:v>
                </c:pt>
                <c:pt idx="26">
                  <c:v>0.40758632812471929</c:v>
                </c:pt>
                <c:pt idx="27">
                  <c:v>0.40628596068076334</c:v>
                </c:pt>
                <c:pt idx="28">
                  <c:v>0.40089600882737497</c:v>
                </c:pt>
                <c:pt idx="29">
                  <c:v>0.40081755450233147</c:v>
                </c:pt>
                <c:pt idx="30">
                  <c:v>0.39776288812522081</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0.37291438229131724</c:v>
                </c:pt>
                <c:pt idx="1">
                  <c:v>0.38217872232224498</c:v>
                </c:pt>
                <c:pt idx="2">
                  <c:v>0.39141658043226329</c:v>
                </c:pt>
                <c:pt idx="3">
                  <c:v>0.40272477683572211</c:v>
                </c:pt>
                <c:pt idx="4">
                  <c:v>0.41512492980211818</c:v>
                </c:pt>
                <c:pt idx="5">
                  <c:v>0.42897985887431728</c:v>
                </c:pt>
                <c:pt idx="6">
                  <c:v>0.4452416962152671</c:v>
                </c:pt>
                <c:pt idx="7">
                  <c:v>0.46618608221123053</c:v>
                </c:pt>
                <c:pt idx="8">
                  <c:v>0.49758658379282245</c:v>
                </c:pt>
                <c:pt idx="9">
                  <c:v>0.54352593299726781</c:v>
                </c:pt>
                <c:pt idx="10">
                  <c:v>0.61121791191593877</c:v>
                </c:pt>
                <c:pt idx="11">
                  <c:v>0.70869747499586222</c:v>
                </c:pt>
                <c:pt idx="12">
                  <c:v>0.80972430787139493</c:v>
                </c:pt>
                <c:pt idx="13">
                  <c:v>0.88736300943701596</c:v>
                </c:pt>
                <c:pt idx="14">
                  <c:v>0.93812660593612618</c:v>
                </c:pt>
                <c:pt idx="15">
                  <c:v>0.9549020055852302</c:v>
                </c:pt>
                <c:pt idx="16">
                  <c:v>0.93979809859640007</c:v>
                </c:pt>
                <c:pt idx="17">
                  <c:v>0.87903931691536952</c:v>
                </c:pt>
                <c:pt idx="18">
                  <c:v>0.73576591204044639</c:v>
                </c:pt>
                <c:pt idx="19">
                  <c:v>0.6030382124116096</c:v>
                </c:pt>
                <c:pt idx="20">
                  <c:v>0.52005099473135197</c:v>
                </c:pt>
                <c:pt idx="21">
                  <c:v>0.47121221295758564</c:v>
                </c:pt>
                <c:pt idx="22">
                  <c:v>0.44190769940610913</c:v>
                </c:pt>
                <c:pt idx="23">
                  <c:v>0.42423484717682641</c:v>
                </c:pt>
                <c:pt idx="24">
                  <c:v>0.41325452255542594</c:v>
                </c:pt>
                <c:pt idx="25">
                  <c:v>0.40654060784894686</c:v>
                </c:pt>
                <c:pt idx="26">
                  <c:v>0.40537634158805835</c:v>
                </c:pt>
                <c:pt idx="27">
                  <c:v>0.40095356590123371</c:v>
                </c:pt>
                <c:pt idx="28">
                  <c:v>0.40012483270634358</c:v>
                </c:pt>
                <c:pt idx="29">
                  <c:v>0.39789798678559474</c:v>
                </c:pt>
                <c:pt idx="30">
                  <c:v>0.39709348096257707</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0.38591537662620667</c:v>
                </c:pt>
                <c:pt idx="1">
                  <c:v>0.39898574833833361</c:v>
                </c:pt>
                <c:pt idx="2">
                  <c:v>0.41148831251892193</c:v>
                </c:pt>
                <c:pt idx="3">
                  <c:v>0.42480984612360811</c:v>
                </c:pt>
                <c:pt idx="4">
                  <c:v>0.44057867338038831</c:v>
                </c:pt>
                <c:pt idx="5">
                  <c:v>0.45979136840952911</c:v>
                </c:pt>
                <c:pt idx="6">
                  <c:v>0.48866787335000123</c:v>
                </c:pt>
                <c:pt idx="7">
                  <c:v>0.53097521044059437</c:v>
                </c:pt>
                <c:pt idx="8">
                  <c:v>0.59275063318827714</c:v>
                </c:pt>
                <c:pt idx="9">
                  <c:v>0.68390387318417989</c:v>
                </c:pt>
                <c:pt idx="10">
                  <c:v>0.78560190734022317</c:v>
                </c:pt>
                <c:pt idx="11">
                  <c:v>0.86991542871510341</c:v>
                </c:pt>
                <c:pt idx="12">
                  <c:v>0.92823540733577847</c:v>
                </c:pt>
                <c:pt idx="13">
                  <c:v>0.95718237187096167</c:v>
                </c:pt>
                <c:pt idx="14">
                  <c:v>0.9641790459848536</c:v>
                </c:pt>
                <c:pt idx="15">
                  <c:v>0.95706486016422332</c:v>
                </c:pt>
                <c:pt idx="16">
                  <c:v>0.91703954220635575</c:v>
                </c:pt>
                <c:pt idx="17">
                  <c:v>0.80058075497027603</c:v>
                </c:pt>
                <c:pt idx="18">
                  <c:v>0.65266004209230388</c:v>
                </c:pt>
                <c:pt idx="19">
                  <c:v>0.5497873747304336</c:v>
                </c:pt>
                <c:pt idx="20">
                  <c:v>0.48876914148896</c:v>
                </c:pt>
                <c:pt idx="21">
                  <c:v>0.45252246741633295</c:v>
                </c:pt>
                <c:pt idx="22">
                  <c:v>0.43076528205010961</c:v>
                </c:pt>
                <c:pt idx="23">
                  <c:v>0.41725697778950505</c:v>
                </c:pt>
                <c:pt idx="24">
                  <c:v>0.40897283013220004</c:v>
                </c:pt>
                <c:pt idx="25">
                  <c:v>0.40481580784026033</c:v>
                </c:pt>
                <c:pt idx="26">
                  <c:v>0.4037364622668515</c:v>
                </c:pt>
                <c:pt idx="27">
                  <c:v>0.39995691254874655</c:v>
                </c:pt>
                <c:pt idx="28">
                  <c:v>0.39989554044174197</c:v>
                </c:pt>
                <c:pt idx="29">
                  <c:v>0.39769419898981057</c:v>
                </c:pt>
                <c:pt idx="30">
                  <c:v>0.39651267841674243</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45709272"/>
        <c:axId val="44571084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570927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45710840"/>
        <c:crosses val="autoZero"/>
        <c:crossBetween val="midCat"/>
        <c:majorUnit val="10000"/>
      </c:valAx>
      <c:valAx>
        <c:axId val="445710840"/>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45709272"/>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7373.6169222469052</c:v>
                </c:pt>
                <c:pt idx="1">
                  <c:v>7373.6918607149901</c:v>
                </c:pt>
                <c:pt idx="2">
                  <c:v>7373.6524650120191</c:v>
                </c:pt>
                <c:pt idx="3">
                  <c:v>7373.6422743939765</c:v>
                </c:pt>
                <c:pt idx="4">
                  <c:v>7373.6393539171686</c:v>
                </c:pt>
                <c:pt idx="5">
                  <c:v>7373.6384218505882</c:v>
                </c:pt>
                <c:pt idx="6">
                  <c:v>7373.6381732995414</c:v>
                </c:pt>
                <c:pt idx="7">
                  <c:v>7373.6380490240244</c:v>
                </c:pt>
                <c:pt idx="8">
                  <c:v>7373.6380490240244</c:v>
                </c:pt>
                <c:pt idx="9">
                  <c:v>7373.6379247485102</c:v>
                </c:pt>
                <c:pt idx="10">
                  <c:v>7373.6377383352474</c:v>
                </c:pt>
                <c:pt idx="11">
                  <c:v>7373.6350664128558</c:v>
                </c:pt>
                <c:pt idx="12">
                  <c:v>7373.6085958444728</c:v>
                </c:pt>
                <c:pt idx="13">
                  <c:v>7373.3444598084343</c:v>
                </c:pt>
                <c:pt idx="14">
                  <c:v>7370.7250016112393</c:v>
                </c:pt>
                <c:pt idx="15">
                  <c:v>7346.5860708392247</c:v>
                </c:pt>
                <c:pt idx="16">
                  <c:v>7225.4468313347925</c:v>
                </c:pt>
                <c:pt idx="17">
                  <c:v>7074.5614632967963</c:v>
                </c:pt>
                <c:pt idx="18">
                  <c:v>6837.385209483964</c:v>
                </c:pt>
                <c:pt idx="19">
                  <c:v>6289.6718355453368</c:v>
                </c:pt>
                <c:pt idx="20">
                  <c:v>5393.096219252795</c:v>
                </c:pt>
                <c:pt idx="21">
                  <c:v>4558.7271908643725</c:v>
                </c:pt>
                <c:pt idx="22">
                  <c:v>3927.5350129983676</c:v>
                </c:pt>
                <c:pt idx="23">
                  <c:v>3470.8276794707381</c:v>
                </c:pt>
                <c:pt idx="24">
                  <c:v>3119.1195128427248</c:v>
                </c:pt>
                <c:pt idx="25">
                  <c:v>2819.4631556550398</c:v>
                </c:pt>
                <c:pt idx="26">
                  <c:v>2525.9157804368465</c:v>
                </c:pt>
                <c:pt idx="27">
                  <c:v>2182.665940608038</c:v>
                </c:pt>
                <c:pt idx="28">
                  <c:v>1785.8998006119411</c:v>
                </c:pt>
                <c:pt idx="29">
                  <c:v>1337.7075606161161</c:v>
                </c:pt>
                <c:pt idx="30">
                  <c:v>864.52071218722244</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7330.9698900812818</c:v>
                </c:pt>
                <c:pt idx="1">
                  <c:v>7331.0435342500059</c:v>
                </c:pt>
                <c:pt idx="2">
                  <c:v>7331.0044701030138</c:v>
                </c:pt>
                <c:pt idx="3">
                  <c:v>7330.9943970257091</c:v>
                </c:pt>
                <c:pt idx="4">
                  <c:v>7330.991448813199</c:v>
                </c:pt>
                <c:pt idx="5">
                  <c:v>7330.990588918331</c:v>
                </c:pt>
                <c:pt idx="6">
                  <c:v>7330.9902818130686</c:v>
                </c:pt>
                <c:pt idx="7">
                  <c:v>7330.9901589709716</c:v>
                </c:pt>
                <c:pt idx="8">
                  <c:v>7330.9898518657455</c:v>
                </c:pt>
                <c:pt idx="9">
                  <c:v>7330.9873950248675</c:v>
                </c:pt>
                <c:pt idx="10">
                  <c:v>7330.962888127252</c:v>
                </c:pt>
                <c:pt idx="11">
                  <c:v>7330.7179509954649</c:v>
                </c:pt>
                <c:pt idx="12">
                  <c:v>7328.2878922672335</c:v>
                </c:pt>
                <c:pt idx="13">
                  <c:v>7305.7841813741479</c:v>
                </c:pt>
                <c:pt idx="14">
                  <c:v>7188.9840707641179</c:v>
                </c:pt>
                <c:pt idx="15">
                  <c:v>7045.3278356909095</c:v>
                </c:pt>
                <c:pt idx="16">
                  <c:v>6881.2247214769232</c:v>
                </c:pt>
                <c:pt idx="17">
                  <c:v>6633.2763958157147</c:v>
                </c:pt>
                <c:pt idx="18">
                  <c:v>6142.0459094556854</c:v>
                </c:pt>
                <c:pt idx="19">
                  <c:v>5263.2654078154883</c:v>
                </c:pt>
                <c:pt idx="20">
                  <c:v>4399.1328288595505</c:v>
                </c:pt>
                <c:pt idx="21">
                  <c:v>3757.2475587809995</c:v>
                </c:pt>
                <c:pt idx="22">
                  <c:v>3291.1531992809396</c:v>
                </c:pt>
                <c:pt idx="23">
                  <c:v>2923.3907186801598</c:v>
                </c:pt>
                <c:pt idx="24">
                  <c:v>2591.8565821190209</c:v>
                </c:pt>
                <c:pt idx="25">
                  <c:v>2227.1388397843657</c:v>
                </c:pt>
                <c:pt idx="26">
                  <c:v>1818.1045605438685</c:v>
                </c:pt>
                <c:pt idx="27">
                  <c:v>1362.7209266527218</c:v>
                </c:pt>
                <c:pt idx="28">
                  <c:v>882.60529508909428</c:v>
                </c:pt>
                <c:pt idx="29">
                  <c:v>513.97783275284667</c:v>
                </c:pt>
                <c:pt idx="30">
                  <c:v>287.95166024173568</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7287.2421568641066</c:v>
                </c:pt>
                <c:pt idx="1">
                  <c:v>7287.3146216469959</c:v>
                </c:pt>
                <c:pt idx="2">
                  <c:v>7287.2757793731034</c:v>
                </c:pt>
                <c:pt idx="3">
                  <c:v>7287.2657654165014</c:v>
                </c:pt>
                <c:pt idx="4">
                  <c:v>7287.2629129611732</c:v>
                </c:pt>
                <c:pt idx="5">
                  <c:v>7287.2618205320641</c:v>
                </c:pt>
                <c:pt idx="6">
                  <c:v>7287.2593322225375</c:v>
                </c:pt>
                <c:pt idx="7">
                  <c:v>7287.2374230339683</c:v>
                </c:pt>
                <c:pt idx="8">
                  <c:v>7287.0191880040384</c:v>
                </c:pt>
                <c:pt idx="9">
                  <c:v>7284.8522944162632</c:v>
                </c:pt>
                <c:pt idx="10">
                  <c:v>7264.6309792458533</c:v>
                </c:pt>
                <c:pt idx="11">
                  <c:v>7153.647880511483</c:v>
                </c:pt>
                <c:pt idx="12">
                  <c:v>7011.9974153857656</c:v>
                </c:pt>
                <c:pt idx="13">
                  <c:v>6854.7708758756735</c:v>
                </c:pt>
                <c:pt idx="14">
                  <c:v>6667.3368038637464</c:v>
                </c:pt>
                <c:pt idx="15">
                  <c:v>6457.8733144157241</c:v>
                </c:pt>
                <c:pt idx="16">
                  <c:v>6197.1395066404111</c:v>
                </c:pt>
                <c:pt idx="17">
                  <c:v>5728.6851502202007</c:v>
                </c:pt>
                <c:pt idx="18">
                  <c:v>4909.4106843846976</c:v>
                </c:pt>
                <c:pt idx="19">
                  <c:v>4054.6855956010618</c:v>
                </c:pt>
                <c:pt idx="20">
                  <c:v>3384.7376862720757</c:v>
                </c:pt>
                <c:pt idx="21">
                  <c:v>2867.8130883318549</c:v>
                </c:pt>
                <c:pt idx="22">
                  <c:v>2393.9219661874804</c:v>
                </c:pt>
                <c:pt idx="23">
                  <c:v>1923.0446750969861</c:v>
                </c:pt>
                <c:pt idx="24">
                  <c:v>1433.0262098856042</c:v>
                </c:pt>
                <c:pt idx="25">
                  <c:v>928.3724969127901</c:v>
                </c:pt>
                <c:pt idx="26">
                  <c:v>540.77757065756475</c:v>
                </c:pt>
                <c:pt idx="27">
                  <c:v>302.10819766520217</c:v>
                </c:pt>
                <c:pt idx="28">
                  <c:v>167.95607666429018</c:v>
                </c:pt>
                <c:pt idx="29">
                  <c:v>115.55588342611547</c:v>
                </c:pt>
                <c:pt idx="30">
                  <c:v>100.53155340781859</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7233.2784973668249</c:v>
                </c:pt>
                <c:pt idx="1">
                  <c:v>7233.3436741214491</c:v>
                </c:pt>
                <c:pt idx="2">
                  <c:v>7233.2477630478616</c:v>
                </c:pt>
                <c:pt idx="3">
                  <c:v>7232.6642193149437</c:v>
                </c:pt>
                <c:pt idx="4">
                  <c:v>7227.030574444283</c:v>
                </c:pt>
                <c:pt idx="5">
                  <c:v>7179.9574188317292</c:v>
                </c:pt>
                <c:pt idx="6">
                  <c:v>7042.6684859234238</c:v>
                </c:pt>
                <c:pt idx="7">
                  <c:v>6896.670224560311</c:v>
                </c:pt>
                <c:pt idx="8">
                  <c:v>6728.3118442587265</c:v>
                </c:pt>
                <c:pt idx="9">
                  <c:v>6522.7483495061197</c:v>
                </c:pt>
                <c:pt idx="10">
                  <c:v>6323.7668304163335</c:v>
                </c:pt>
                <c:pt idx="11">
                  <c:v>6060.8557573682765</c:v>
                </c:pt>
                <c:pt idx="12">
                  <c:v>5776.7475493188331</c:v>
                </c:pt>
                <c:pt idx="13">
                  <c:v>5495.7675366958674</c:v>
                </c:pt>
                <c:pt idx="14">
                  <c:v>5188.5996988750203</c:v>
                </c:pt>
                <c:pt idx="15">
                  <c:v>4846.1759775211867</c:v>
                </c:pt>
                <c:pt idx="16">
                  <c:v>4307.5308640863095</c:v>
                </c:pt>
                <c:pt idx="17">
                  <c:v>3424.2409160347711</c:v>
                </c:pt>
                <c:pt idx="18">
                  <c:v>2457.6306581082695</c:v>
                </c:pt>
                <c:pt idx="19">
                  <c:v>1610.938712030013</c:v>
                </c:pt>
                <c:pt idx="20">
                  <c:v>942.69111378955085</c:v>
                </c:pt>
                <c:pt idx="21">
                  <c:v>510.32470275306576</c:v>
                </c:pt>
                <c:pt idx="22">
                  <c:v>271.36767023207187</c:v>
                </c:pt>
                <c:pt idx="23">
                  <c:v>152.45647454769647</c:v>
                </c:pt>
                <c:pt idx="24">
                  <c:v>114.48528241321054</c:v>
                </c:pt>
                <c:pt idx="25">
                  <c:v>101.06517730245214</c:v>
                </c:pt>
                <c:pt idx="26">
                  <c:v>93.059878245985715</c:v>
                </c:pt>
                <c:pt idx="27">
                  <c:v>92.631968530961771</c:v>
                </c:pt>
                <c:pt idx="28">
                  <c:v>91.23127997996707</c:v>
                </c:pt>
                <c:pt idx="29">
                  <c:v>91.209911146223277</c:v>
                </c:pt>
                <c:pt idx="30">
                  <c:v>90.301560772176387</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6585.7419229281086</c:v>
                </c:pt>
                <c:pt idx="1">
                  <c:v>6334.3824808152185</c:v>
                </c:pt>
                <c:pt idx="2">
                  <c:v>6097.7114849761656</c:v>
                </c:pt>
                <c:pt idx="3">
                  <c:v>5825.3419350887143</c:v>
                </c:pt>
                <c:pt idx="4">
                  <c:v>5546.9331561273084</c:v>
                </c:pt>
                <c:pt idx="5">
                  <c:v>5257.3325173232261</c:v>
                </c:pt>
                <c:pt idx="6">
                  <c:v>4943.4016945901922</c:v>
                </c:pt>
                <c:pt idx="7">
                  <c:v>4573.266252420035</c:v>
                </c:pt>
                <c:pt idx="8">
                  <c:v>4079.2740096930638</c:v>
                </c:pt>
                <c:pt idx="9">
                  <c:v>3459.2497747504567</c:v>
                </c:pt>
                <c:pt idx="10">
                  <c:v>2702.914511015118</c:v>
                </c:pt>
                <c:pt idx="11">
                  <c:v>1832.1518571214692</c:v>
                </c:pt>
                <c:pt idx="12">
                  <c:v>1105.139847553852</c:v>
                </c:pt>
                <c:pt idx="13">
                  <c:v>630.91869332772831</c:v>
                </c:pt>
                <c:pt idx="14">
                  <c:v>354.28738756335468</c:v>
                </c:pt>
                <c:pt idx="15">
                  <c:v>248.22351395532451</c:v>
                </c:pt>
                <c:pt idx="16">
                  <c:v>214.57476664013214</c:v>
                </c:pt>
                <c:pt idx="17">
                  <c:v>185.72591291449908</c:v>
                </c:pt>
                <c:pt idx="18">
                  <c:v>158.09658219581334</c:v>
                </c:pt>
                <c:pt idx="19">
                  <c:v>132.46407229952649</c:v>
                </c:pt>
                <c:pt idx="20">
                  <c:v>115.64370251909122</c:v>
                </c:pt>
                <c:pt idx="21">
                  <c:v>105.70344373363407</c:v>
                </c:pt>
                <c:pt idx="22">
                  <c:v>99.769058005183027</c:v>
                </c:pt>
                <c:pt idx="23">
                  <c:v>96.16135307969536</c:v>
                </c:pt>
                <c:pt idx="24">
                  <c:v>93.862812708921865</c:v>
                </c:pt>
                <c:pt idx="25">
                  <c:v>92.381155101656375</c:v>
                </c:pt>
                <c:pt idx="26">
                  <c:v>92.126538569786135</c:v>
                </c:pt>
                <c:pt idx="27">
                  <c:v>91.086268606556416</c:v>
                </c:pt>
                <c:pt idx="28">
                  <c:v>90.886673770022838</c:v>
                </c:pt>
                <c:pt idx="29">
                  <c:v>90.290301687552557</c:v>
                </c:pt>
                <c:pt idx="30">
                  <c:v>90.056329050223439</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6163.9172848230364</c:v>
                </c:pt>
                <c:pt idx="1">
                  <c:v>5842.0148400129501</c:v>
                </c:pt>
                <c:pt idx="2">
                  <c:v>5557.579467209528</c:v>
                </c:pt>
                <c:pt idx="3">
                  <c:v>5275.4812921063285</c:v>
                </c:pt>
                <c:pt idx="4">
                  <c:v>4966.4021193857116</c:v>
                </c:pt>
                <c:pt idx="5">
                  <c:v>4621.0156652325422</c:v>
                </c:pt>
                <c:pt idx="6">
                  <c:v>4155.4773315838347</c:v>
                </c:pt>
                <c:pt idx="7">
                  <c:v>3566.7724920591822</c:v>
                </c:pt>
                <c:pt idx="8">
                  <c:v>2850.9447868112361</c:v>
                </c:pt>
                <c:pt idx="9">
                  <c:v>2002.5618143914935</c:v>
                </c:pt>
                <c:pt idx="10">
                  <c:v>1246.5264827258</c:v>
                </c:pt>
                <c:pt idx="11">
                  <c:v>721.62368462950201</c:v>
                </c:pt>
                <c:pt idx="12">
                  <c:v>404.72633399765499</c:v>
                </c:pt>
                <c:pt idx="13">
                  <c:v>265.07180083177406</c:v>
                </c:pt>
                <c:pt idx="14">
                  <c:v>224.4007416662501</c:v>
                </c:pt>
                <c:pt idx="15">
                  <c:v>202.49198438372559</c:v>
                </c:pt>
                <c:pt idx="16">
                  <c:v>189.83771999127222</c:v>
                </c:pt>
                <c:pt idx="17">
                  <c:v>169.86288435020435</c:v>
                </c:pt>
                <c:pt idx="18">
                  <c:v>142.29365996368665</c:v>
                </c:pt>
                <c:pt idx="19">
                  <c:v>121.71619952615258</c:v>
                </c:pt>
                <c:pt idx="20">
                  <c:v>109.27679567564616</c:v>
                </c:pt>
                <c:pt idx="21">
                  <c:v>101.92394551670053</c:v>
                </c:pt>
                <c:pt idx="22">
                  <c:v>97.501289329192588</c:v>
                </c:pt>
                <c:pt idx="23">
                  <c:v>94.712895608864457</c:v>
                </c:pt>
                <c:pt idx="24">
                  <c:v>92.92945942455529</c:v>
                </c:pt>
                <c:pt idx="25">
                  <c:v>92.006187989209394</c:v>
                </c:pt>
                <c:pt idx="26">
                  <c:v>91.763267256404887</c:v>
                </c:pt>
                <c:pt idx="27">
                  <c:v>90.809569282014081</c:v>
                </c:pt>
                <c:pt idx="28">
                  <c:v>90.794437108888047</c:v>
                </c:pt>
                <c:pt idx="29">
                  <c:v>90.157522811707935</c:v>
                </c:pt>
                <c:pt idx="30">
                  <c:v>89.913434838716469</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47903240"/>
        <c:axId val="44790088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7903240"/>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7900888"/>
        <c:crosses val="autoZero"/>
        <c:crossBetween val="midCat"/>
        <c:majorUnit val="10000"/>
      </c:valAx>
      <c:valAx>
        <c:axId val="447900888"/>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7903240"/>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5.1210217925205929E-5</c:v>
                </c:pt>
                <c:pt idx="1">
                  <c:v>4.1137789186788764E-5</c:v>
                </c:pt>
                <c:pt idx="2">
                  <c:v>4.3790798171033478E-5</c:v>
                </c:pt>
                <c:pt idx="3">
                  <c:v>1.9044887405139432E-5</c:v>
                </c:pt>
                <c:pt idx="4">
                  <c:v>1.9520142497162749E-4</c:v>
                </c:pt>
                <c:pt idx="5">
                  <c:v>4.5396837771028728E-5</c:v>
                </c:pt>
                <c:pt idx="6">
                  <c:v>7.8186125366947099E-6</c:v>
                </c:pt>
                <c:pt idx="7">
                  <c:v>7.7542286823330244E-6</c:v>
                </c:pt>
                <c:pt idx="8">
                  <c:v>1.7316869286557536E-5</c:v>
                </c:pt>
                <c:pt idx="9">
                  <c:v>3.6414553252274743E-5</c:v>
                </c:pt>
                <c:pt idx="10">
                  <c:v>6.5136486240483052E-5</c:v>
                </c:pt>
                <c:pt idx="11">
                  <c:v>9.8571630171081254E-5</c:v>
                </c:pt>
                <c:pt idx="12">
                  <c:v>1.27196955920931E-4</c:v>
                </c:pt>
                <c:pt idx="13">
                  <c:v>1.4108363873124955E-4</c:v>
                </c:pt>
                <c:pt idx="14">
                  <c:v>1.3431526241562466E-4</c:v>
                </c:pt>
                <c:pt idx="15">
                  <c:v>1.0899304515023737E-4</c:v>
                </c:pt>
                <c:pt idx="16">
                  <c:v>7.9763000524922596E-5</c:v>
                </c:pt>
                <c:pt idx="17">
                  <c:v>5.8334008738745825E-5</c:v>
                </c:pt>
                <c:pt idx="18">
                  <c:v>4.2118623288911368E-5</c:v>
                </c:pt>
                <c:pt idx="19">
                  <c:v>2.6929873801327433E-5</c:v>
                </c:pt>
                <c:pt idx="20">
                  <c:v>1.4693336768744481E-5</c:v>
                </c:pt>
                <c:pt idx="21">
                  <c:v>5.50964518329514E-6</c:v>
                </c:pt>
                <c:pt idx="22">
                  <c:v>3.1416565383076496E-5</c:v>
                </c:pt>
                <c:pt idx="23">
                  <c:v>1.5496786855161517E-4</c:v>
                </c:pt>
                <c:pt idx="24">
                  <c:v>3.0941634337392654E-4</c:v>
                </c:pt>
                <c:pt idx="25">
                  <c:v>4.2923751133303826E-4</c:v>
                </c:pt>
                <c:pt idx="26">
                  <c:v>1.1100508810267756E-3</c:v>
                </c:pt>
                <c:pt idx="27">
                  <c:v>2.0605655361157784E-3</c:v>
                </c:pt>
                <c:pt idx="28">
                  <c:v>2.7887055283202311E-3</c:v>
                </c:pt>
                <c:pt idx="29">
                  <c:v>1.7950908817172173E-3</c:v>
                </c:pt>
                <c:pt idx="30">
                  <c:v>2.2807696548628284E-4</c:v>
                </c:pt>
              </c:numCache>
            </c:numRef>
          </c:yVal>
          <c:smooth val="1"/>
        </c:ser>
        <c:dLbls>
          <c:showLegendKey val="0"/>
          <c:showVal val="0"/>
          <c:showCatName val="0"/>
          <c:showSerName val="0"/>
          <c:showPercent val="0"/>
          <c:showBubbleSize val="0"/>
        </c:dLbls>
        <c:axId val="447905200"/>
        <c:axId val="447904024"/>
      </c:scatterChart>
      <c:valAx>
        <c:axId val="44790520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7904024"/>
        <c:crossesAt val="-1.5000000000000005E-3"/>
        <c:crossBetween val="midCat"/>
      </c:valAx>
      <c:valAx>
        <c:axId val="447904024"/>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7905200"/>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7233.2784973668249</c:v>
                </c:pt>
                <c:pt idx="1">
                  <c:v>7233.3436741214491</c:v>
                </c:pt>
                <c:pt idx="2">
                  <c:v>7233.2477630478616</c:v>
                </c:pt>
                <c:pt idx="3">
                  <c:v>7232.6642193149437</c:v>
                </c:pt>
                <c:pt idx="4">
                  <c:v>7227.030574444283</c:v>
                </c:pt>
                <c:pt idx="5">
                  <c:v>7179.9574188317292</c:v>
                </c:pt>
                <c:pt idx="6">
                  <c:v>7042.6684859234238</c:v>
                </c:pt>
                <c:pt idx="7">
                  <c:v>6896.670224560311</c:v>
                </c:pt>
                <c:pt idx="8">
                  <c:v>6728.3118442587265</c:v>
                </c:pt>
                <c:pt idx="9">
                  <c:v>6522.7483495061197</c:v>
                </c:pt>
                <c:pt idx="10">
                  <c:v>6323.7668304163335</c:v>
                </c:pt>
                <c:pt idx="11">
                  <c:v>6060.8557573682765</c:v>
                </c:pt>
                <c:pt idx="12">
                  <c:v>5776.7475493188331</c:v>
                </c:pt>
                <c:pt idx="13">
                  <c:v>5495.7675366958674</c:v>
                </c:pt>
                <c:pt idx="14">
                  <c:v>5188.5996988750203</c:v>
                </c:pt>
                <c:pt idx="15">
                  <c:v>4846.1759775211867</c:v>
                </c:pt>
                <c:pt idx="16">
                  <c:v>4307.5308640863095</c:v>
                </c:pt>
                <c:pt idx="17">
                  <c:v>3424.2409160347711</c:v>
                </c:pt>
                <c:pt idx="18">
                  <c:v>2457.6306581082695</c:v>
                </c:pt>
                <c:pt idx="19">
                  <c:v>1610.938712030013</c:v>
                </c:pt>
                <c:pt idx="20">
                  <c:v>942.69111378955085</c:v>
                </c:pt>
                <c:pt idx="21">
                  <c:v>510.32470275306576</c:v>
                </c:pt>
                <c:pt idx="22">
                  <c:v>271.36767023207187</c:v>
                </c:pt>
                <c:pt idx="23">
                  <c:v>152.45647454769647</c:v>
                </c:pt>
                <c:pt idx="24">
                  <c:v>114.48528241321054</c:v>
                </c:pt>
                <c:pt idx="25">
                  <c:v>101.06517730245214</c:v>
                </c:pt>
                <c:pt idx="26">
                  <c:v>93.059878245985715</c:v>
                </c:pt>
                <c:pt idx="27">
                  <c:v>92.631968530961771</c:v>
                </c:pt>
                <c:pt idx="28">
                  <c:v>91.23127997996707</c:v>
                </c:pt>
                <c:pt idx="29">
                  <c:v>91.209911146223277</c:v>
                </c:pt>
                <c:pt idx="30">
                  <c:v>90.301560772176387</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7233.6489151349888</c:v>
                </c:pt>
                <c:pt idx="1">
                  <c:v>7233.6412378886307</c:v>
                </c:pt>
                <c:pt idx="2">
                  <c:v>7233.5645127407743</c:v>
                </c:pt>
                <c:pt idx="3">
                  <c:v>7232.8019645906397</c:v>
                </c:pt>
                <c:pt idx="4">
                  <c:v>7225.619847777838</c:v>
                </c:pt>
                <c:pt idx="5">
                  <c:v>7180.2833661938748</c:v>
                </c:pt>
                <c:pt idx="6">
                  <c:v>7042.6134220273079</c:v>
                </c:pt>
                <c:pt idx="7">
                  <c:v>6896.7237029183789</c:v>
                </c:pt>
                <c:pt idx="8">
                  <c:v>6728.1953309620003</c:v>
                </c:pt>
                <c:pt idx="9">
                  <c:v>6522.9858724732439</c:v>
                </c:pt>
                <c:pt idx="10">
                  <c:v>6323.3549224651961</c:v>
                </c:pt>
                <c:pt idx="11">
                  <c:v>6061.4531858005121</c:v>
                </c:pt>
                <c:pt idx="12">
                  <c:v>5776.012764615436</c:v>
                </c:pt>
                <c:pt idx="13">
                  <c:v>5496.5428995775655</c:v>
                </c:pt>
                <c:pt idx="14">
                  <c:v>5187.9027907448963</c:v>
                </c:pt>
                <c:pt idx="15">
                  <c:v>4846.7041769983107</c:v>
                </c:pt>
                <c:pt idx="16">
                  <c:v>4307.1872824997363</c:v>
                </c:pt>
                <c:pt idx="17">
                  <c:v>3424.4406657342906</c:v>
                </c:pt>
                <c:pt idx="18">
                  <c:v>2457.5271460883973</c:v>
                </c:pt>
                <c:pt idx="19">
                  <c:v>1610.9820944062296</c:v>
                </c:pt>
                <c:pt idx="20">
                  <c:v>942.67726251154704</c:v>
                </c:pt>
                <c:pt idx="21">
                  <c:v>510.3275144611062</c:v>
                </c:pt>
                <c:pt idx="22">
                  <c:v>271.37619567222657</c:v>
                </c:pt>
                <c:pt idx="23">
                  <c:v>152.43284869278892</c:v>
                </c:pt>
                <c:pt idx="24">
                  <c:v>114.52070603066497</c:v>
                </c:pt>
                <c:pt idx="25">
                  <c:v>101.0217963372644</c:v>
                </c:pt>
                <c:pt idx="26">
                  <c:v>93.163179445820916</c:v>
                </c:pt>
                <c:pt idx="27">
                  <c:v>92.44109428906431</c:v>
                </c:pt>
                <c:pt idx="28">
                  <c:v>91.485697154802935</c:v>
                </c:pt>
                <c:pt idx="29">
                  <c:v>91.046181066402454</c:v>
                </c:pt>
                <c:pt idx="30">
                  <c:v>90.32215647813598</c:v>
                </c:pt>
              </c:numCache>
            </c:numRef>
          </c:yVal>
          <c:smooth val="1"/>
        </c:ser>
        <c:dLbls>
          <c:showLegendKey val="0"/>
          <c:showVal val="0"/>
          <c:showCatName val="0"/>
          <c:showSerName val="0"/>
          <c:showPercent val="0"/>
          <c:showBubbleSize val="0"/>
        </c:dLbls>
        <c:axId val="447905592"/>
        <c:axId val="447904416"/>
      </c:scatterChart>
      <c:valAx>
        <c:axId val="44790559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7904416"/>
        <c:crosses val="autoZero"/>
        <c:crossBetween val="midCat"/>
      </c:valAx>
      <c:valAx>
        <c:axId val="4479044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7905592"/>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1.4614986140633082E-2</c:v>
                </c:pt>
                <c:pt idx="1">
                  <c:v>1.4630049050735044E-2</c:v>
                </c:pt>
                <c:pt idx="2">
                  <c:v>1.4673595930861693E-2</c:v>
                </c:pt>
                <c:pt idx="3">
                  <c:v>1.5150487646494236E-2</c:v>
                </c:pt>
                <c:pt idx="4">
                  <c:v>1.9065995406199507E-2</c:v>
                </c:pt>
                <c:pt idx="5">
                  <c:v>2.7495191900805079E-2</c:v>
                </c:pt>
                <c:pt idx="6">
                  <c:v>2.7700284014714409E-2</c:v>
                </c:pt>
                <c:pt idx="7">
                  <c:v>2.7700276176525353E-2</c:v>
                </c:pt>
                <c:pt idx="8">
                  <c:v>2.7700272197890837E-2</c:v>
                </c:pt>
                <c:pt idx="9">
                  <c:v>2.7700315081719315E-2</c:v>
                </c:pt>
                <c:pt idx="10">
                  <c:v>2.7700743909014464E-2</c:v>
                </c:pt>
                <c:pt idx="11">
                  <c:v>2.7705014549363003E-2</c:v>
                </c:pt>
                <c:pt idx="12">
                  <c:v>2.7747685770823857E-2</c:v>
                </c:pt>
                <c:pt idx="13">
                  <c:v>2.8163657867160411E-2</c:v>
                </c:pt>
                <c:pt idx="14">
                  <c:v>3.1477195474012183E-2</c:v>
                </c:pt>
                <c:pt idx="15">
                  <c:v>4.4388423538212721E-2</c:v>
                </c:pt>
                <c:pt idx="16">
                  <c:v>6.3982739523569573E-2</c:v>
                </c:pt>
                <c:pt idx="17">
                  <c:v>7.76740440018686E-2</c:v>
                </c:pt>
                <c:pt idx="18">
                  <c:v>8.5788317093115088E-2</c:v>
                </c:pt>
                <c:pt idx="19">
                  <c:v>9.4394824919172254E-2</c:v>
                </c:pt>
                <c:pt idx="20">
                  <c:v>8.6783334037312893E-2</c:v>
                </c:pt>
                <c:pt idx="21">
                  <c:v>3.3297610751370187E-2</c:v>
                </c:pt>
                <c:pt idx="22">
                  <c:v>8.6742149499453552E-2</c:v>
                </c:pt>
                <c:pt idx="23">
                  <c:v>0.21858759555747179</c:v>
                </c:pt>
                <c:pt idx="24">
                  <c:v>0.32154006029853899</c:v>
                </c:pt>
                <c:pt idx="25">
                  <c:v>0.36455091641329052</c:v>
                </c:pt>
                <c:pt idx="26">
                  <c:v>0.25135900508070069</c:v>
                </c:pt>
                <c:pt idx="27">
                  <c:v>2.8336053126171407E-2</c:v>
                </c:pt>
                <c:pt idx="28">
                  <c:v>0.20649916543088476</c:v>
                </c:pt>
                <c:pt idx="29">
                  <c:v>0.42400572359139654</c:v>
                </c:pt>
                <c:pt idx="30">
                  <c:v>0.59591133437847055</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7.3542757650799069E-3</c:v>
                </c:pt>
                <c:pt idx="1">
                  <c:v>7.3641468579317502E-3</c:v>
                </c:pt>
                <c:pt idx="2">
                  <c:v>7.3588579880611389E-3</c:v>
                </c:pt>
                <c:pt idx="3">
                  <c:v>7.3575142108382331E-3</c:v>
                </c:pt>
                <c:pt idx="4">
                  <c:v>7.3573284826363413E-3</c:v>
                </c:pt>
                <c:pt idx="5">
                  <c:v>7.3592076569045642E-3</c:v>
                </c:pt>
                <c:pt idx="6">
                  <c:v>7.3791244761455725E-3</c:v>
                </c:pt>
                <c:pt idx="7">
                  <c:v>7.5763211597406786E-3</c:v>
                </c:pt>
                <c:pt idx="8">
                  <c:v>9.3359402305764356E-3</c:v>
                </c:pt>
                <c:pt idx="9">
                  <c:v>1.8027429418188193E-2</c:v>
                </c:pt>
                <c:pt idx="10">
                  <c:v>3.6537040010402103E-2</c:v>
                </c:pt>
                <c:pt idx="11">
                  <c:v>4.2187283057528051E-2</c:v>
                </c:pt>
                <c:pt idx="12">
                  <c:v>4.8639510144019599E-2</c:v>
                </c:pt>
                <c:pt idx="13">
                  <c:v>5.7926358209051523E-2</c:v>
                </c:pt>
                <c:pt idx="14">
                  <c:v>6.1598100973952526E-2</c:v>
                </c:pt>
                <c:pt idx="15">
                  <c:v>7.6334420350285231E-2</c:v>
                </c:pt>
                <c:pt idx="16">
                  <c:v>8.1787192014051463E-2</c:v>
                </c:pt>
                <c:pt idx="17">
                  <c:v>5.6905472780752177E-2</c:v>
                </c:pt>
                <c:pt idx="18">
                  <c:v>3.5787310863984782E-2</c:v>
                </c:pt>
                <c:pt idx="19">
                  <c:v>0.16539807322918432</c:v>
                </c:pt>
                <c:pt idx="20">
                  <c:v>0.19932248924301696</c:v>
                </c:pt>
                <c:pt idx="21">
                  <c:v>9.3461864025497415E-2</c:v>
                </c:pt>
                <c:pt idx="22">
                  <c:v>7.7663553284455858E-2</c:v>
                </c:pt>
                <c:pt idx="23">
                  <c:v>0.26447536662892629</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5.1210218631599471E-5</c:v>
                </c:pt>
                <c:pt idx="1">
                  <c:v>4.1137796249151719E-5</c:v>
                </c:pt>
                <c:pt idx="2">
                  <c:v>4.3790868714875635E-5</c:v>
                </c:pt>
                <c:pt idx="3">
                  <c:v>1.9045585059446309E-5</c:v>
                </c:pt>
                <c:pt idx="4">
                  <c:v>1.9519516183855729E-4</c:v>
                </c:pt>
                <c:pt idx="5">
                  <c:v>4.5426103436209408E-5</c:v>
                </c:pt>
                <c:pt idx="6">
                  <c:v>7.7552462693244178E-6</c:v>
                </c:pt>
                <c:pt idx="7">
                  <c:v>7.8165012592710692E-6</c:v>
                </c:pt>
                <c:pt idx="8">
                  <c:v>1.723638511576288E-5</c:v>
                </c:pt>
                <c:pt idx="9">
                  <c:v>3.6511651612620595E-5</c:v>
                </c:pt>
                <c:pt idx="10">
                  <c:v>6.5043712328292293E-5</c:v>
                </c:pt>
                <c:pt idx="11">
                  <c:v>9.8718285535546473E-5</c:v>
                </c:pt>
                <c:pt idx="12">
                  <c:v>1.2706598683349216E-4</c:v>
                </c:pt>
                <c:pt idx="13">
                  <c:v>1.4123096364102557E-4</c:v>
                </c:pt>
                <c:pt idx="14">
                  <c:v>1.3414732667268103E-4</c:v>
                </c:pt>
                <c:pt idx="15">
                  <c:v>1.0919177861328145E-4</c:v>
                </c:pt>
                <c:pt idx="16">
                  <c:v>7.9296781407583883E-5</c:v>
                </c:pt>
                <c:pt idx="17">
                  <c:v>5.9024005394541275E-5</c:v>
                </c:pt>
                <c:pt idx="18">
                  <c:v>4.1274292260858213E-5</c:v>
                </c:pt>
                <c:pt idx="19">
                  <c:v>2.7969880506307476E-5</c:v>
                </c:pt>
                <c:pt idx="20">
                  <c:v>1.3445532622569866E-5</c:v>
                </c:pt>
                <c:pt idx="21">
                  <c:v>6.7331848082633672E-6</c:v>
                </c:pt>
                <c:pt idx="22">
                  <c:v>3.3438703340888176E-5</c:v>
                </c:pt>
                <c:pt idx="23">
                  <c:v>1.5364153675445343E-4</c:v>
                </c:pt>
                <c:pt idx="24">
                  <c:v>3.0963190180045104E-4</c:v>
                </c:pt>
                <c:pt idx="25">
                  <c:v>4.2877739835622553E-4</c:v>
                </c:pt>
                <c:pt idx="26">
                  <c:v>1.1100590418967136E-3</c:v>
                </c:pt>
                <c:pt idx="27">
                  <c:v>2.0605316053188649E-3</c:v>
                </c:pt>
                <c:pt idx="28">
                  <c:v>2.7887290884225733E-3</c:v>
                </c:pt>
                <c:pt idx="29">
                  <c:v>1.7950843362876017E-3</c:v>
                </c:pt>
                <c:pt idx="30">
                  <c:v>2.281207205166479E-4</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pt idx="0" formatCode="_-* #,##0\ _€_-;\-* #,##0\ _€_-;_-* &quot;-&quot;??\ _€_-;_-@_-">
                  <c:v>5</c:v>
                </c:pt>
                <c:pt idx="2" formatCode="_-* #,##0\ _€_-;\-* #,##0\ _€_-;_-* &quot;-&quot;??\ _€_-;_-@_-">
                  <c:v>11</c:v>
                </c:pt>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3.1721844546243085E-2</c:v>
                </c:pt>
                <c:pt idx="1">
                  <c:v>4.7029637580289864E-2</c:v>
                </c:pt>
                <c:pt idx="2">
                  <c:v>4.7659473261542726E-2</c:v>
                </c:pt>
                <c:pt idx="3">
                  <c:v>5.124282523308768E-2</c:v>
                </c:pt>
                <c:pt idx="4">
                  <c:v>5.5247987566337586E-2</c:v>
                </c:pt>
                <c:pt idx="5">
                  <c:v>6.129031348069288E-2</c:v>
                </c:pt>
                <c:pt idx="6">
                  <c:v>6.5294419818065219E-2</c:v>
                </c:pt>
                <c:pt idx="7">
                  <c:v>8.705664980024016E-4</c:v>
                </c:pt>
                <c:pt idx="8">
                  <c:v>9.1217450889535631E-2</c:v>
                </c:pt>
                <c:pt idx="9">
                  <c:v>0.13977316945937882</c:v>
                </c:pt>
                <c:pt idx="10">
                  <c:v>0.17730653054579115</c:v>
                </c:pt>
                <c:pt idx="11">
                  <c:v>0.22617251353781948</c:v>
                </c:pt>
                <c:pt idx="12">
                  <c:v>0.23390560108579481</c:v>
                </c:pt>
                <c:pt idx="13">
                  <c:v>0.37597570181386808</c:v>
                </c:pt>
                <c:pt idx="14">
                  <c:v>0.4827486614736799</c:v>
                </c:pt>
                <c:pt idx="15">
                  <c:v>0.48648457395544425</c:v>
                </c:pt>
                <c:pt idx="16">
                  <c:v>0.50892424184057306</c:v>
                </c:pt>
                <c:pt idx="17">
                  <c:v>0.45464057537839164</c:v>
                </c:pt>
                <c:pt idx="18">
                  <c:v>0.35610032966977406</c:v>
                </c:pt>
                <c:pt idx="19">
                  <c:v>0.25170581920178509</c:v>
                </c:pt>
                <c:pt idx="20">
                  <c:v>0.17137989963990907</c:v>
                </c:pt>
                <c:pt idx="21">
                  <c:v>0.1356281881652554</c:v>
                </c:pt>
                <c:pt idx="22">
                  <c:v>0.12293797581291764</c:v>
                </c:pt>
                <c:pt idx="23">
                  <c:v>9.7178408458405183E-2</c:v>
                </c:pt>
                <c:pt idx="24">
                  <c:v>7.98520976813792E-2</c:v>
                </c:pt>
                <c:pt idx="25">
                  <c:v>7.0618520102837798E-2</c:v>
                </c:pt>
                <c:pt idx="26">
                  <c:v>6.8158210690350121E-2</c:v>
                </c:pt>
                <c:pt idx="27">
                  <c:v>5.8371845289172802E-2</c:v>
                </c:pt>
                <c:pt idx="28">
                  <c:v>5.8214909680437833E-2</c:v>
                </c:pt>
                <c:pt idx="29">
                  <c:v>5.1561705708226463E-2</c:v>
                </c:pt>
                <c:pt idx="30">
                  <c:v>4.8986980572028264E-2</c:v>
                </c:pt>
              </c:numCache>
            </c:numRef>
          </c:yVal>
          <c:smooth val="1"/>
        </c:ser>
        <c:dLbls>
          <c:showLegendKey val="0"/>
          <c:showVal val="0"/>
          <c:showCatName val="0"/>
          <c:showSerName val="0"/>
          <c:showPercent val="0"/>
          <c:showBubbleSize val="0"/>
        </c:dLbls>
        <c:axId val="447901672"/>
        <c:axId val="447902848"/>
      </c:scatterChart>
      <c:valAx>
        <c:axId val="44790167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7902848"/>
        <c:crossesAt val="1.0000000000000005E-9"/>
        <c:crossBetween val="midCat"/>
      </c:valAx>
      <c:valAx>
        <c:axId val="4479028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7901672"/>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-21.601432961392756</c:v>
                </c:pt>
                <c:pt idx="1">
                  <c:v>-17.60083092062002</c:v>
                </c:pt>
                <c:pt idx="2">
                  <c:v>-13.983378315651946</c:v>
                </c:pt>
                <c:pt idx="3">
                  <c:v>-8.5553694671339517</c:v>
                </c:pt>
                <c:pt idx="4">
                  <c:v>0</c:v>
                </c:pt>
                <c:pt idx="5">
                  <c:v>18.564414953206096</c:v>
                </c:pt>
                <c:pt idx="6">
                  <c:v>22.63634100105423</c:v>
                </c:pt>
              </c:numCache>
            </c:numRef>
          </c:yVal>
          <c:smooth val="0"/>
        </c:ser>
        <c:dLbls>
          <c:showLegendKey val="0"/>
          <c:showVal val="0"/>
          <c:showCatName val="0"/>
          <c:showSerName val="0"/>
          <c:showPercent val="0"/>
          <c:showBubbleSize val="0"/>
        </c:dLbls>
        <c:axId val="447898536"/>
        <c:axId val="447901280"/>
      </c:scatterChart>
      <c:valAx>
        <c:axId val="4478985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7901280"/>
        <c:crossesAt val="-100"/>
        <c:crossBetween val="midCat"/>
      </c:valAx>
      <c:valAx>
        <c:axId val="447901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7898536"/>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0"/>
        </c:ser>
        <c:dLbls>
          <c:showLegendKey val="0"/>
          <c:showVal val="0"/>
          <c:showCatName val="0"/>
          <c:showSerName val="0"/>
          <c:showPercent val="0"/>
          <c:showBubbleSize val="0"/>
        </c:dLbls>
        <c:axId val="447902064"/>
        <c:axId val="447902456"/>
      </c:scatterChart>
      <c:valAx>
        <c:axId val="447902064"/>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7902456"/>
        <c:crosses val="autoZero"/>
        <c:crossBetween val="midCat"/>
      </c:valAx>
      <c:valAx>
        <c:axId val="447902456"/>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7902064"/>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4.1554385428399519E-25</c:v>
                </c:pt>
                <c:pt idx="1">
                  <c:v>4.1554385428399515E-24</c:v>
                </c:pt>
                <c:pt idx="2">
                  <c:v>4.1554385428399514E-23</c:v>
                </c:pt>
                <c:pt idx="3">
                  <c:v>4.155438542839951E-22</c:v>
                </c:pt>
                <c:pt idx="4">
                  <c:v>4.1554385428399507E-21</c:v>
                </c:pt>
                <c:pt idx="5">
                  <c:v>4.1554385428399515E-20</c:v>
                </c:pt>
                <c:pt idx="6">
                  <c:v>4.1554385428399516E-19</c:v>
                </c:pt>
                <c:pt idx="7">
                  <c:v>4.1554385428399511E-18</c:v>
                </c:pt>
                <c:pt idx="8">
                  <c:v>4.155438542839951E-17</c:v>
                </c:pt>
                <c:pt idx="9">
                  <c:v>4.1554385428399507E-16</c:v>
                </c:pt>
                <c:pt idx="10">
                  <c:v>4.1554385428399511E-15</c:v>
                </c:pt>
                <c:pt idx="11">
                  <c:v>4.1554385428399513E-14</c:v>
                </c:pt>
                <c:pt idx="12">
                  <c:v>4.1554385428399512E-13</c:v>
                </c:pt>
                <c:pt idx="13">
                  <c:v>4.1554385428399516E-12</c:v>
                </c:pt>
                <c:pt idx="14">
                  <c:v>4.1554385428399514E-11</c:v>
                </c:pt>
                <c:pt idx="15">
                  <c:v>4.155438542839951E-10</c:v>
                </c:pt>
                <c:pt idx="16">
                  <c:v>4.1554385428399509E-9</c:v>
                </c:pt>
                <c:pt idx="17">
                  <c:v>4.1554385428399509E-8</c:v>
                </c:pt>
                <c:pt idx="18">
                  <c:v>4.1554385428399509E-7</c:v>
                </c:pt>
                <c:pt idx="19">
                  <c:v>4.1554385428399512E-6</c:v>
                </c:pt>
                <c:pt idx="20">
                  <c:v>4.1554385428399512E-5</c:v>
                </c:pt>
                <c:pt idx="21">
                  <c:v>4.155438542839951E-4</c:v>
                </c:pt>
                <c:pt idx="22">
                  <c:v>4.155438542839951E-3</c:v>
                </c:pt>
                <c:pt idx="23">
                  <c:v>4.155438542839951E-2</c:v>
                </c:pt>
                <c:pt idx="24">
                  <c:v>0.4155438542839951</c:v>
                </c:pt>
                <c:pt idx="25">
                  <c:v>4.155438542839951</c:v>
                </c:pt>
                <c:pt idx="26">
                  <c:v>41.554385428399513</c:v>
                </c:pt>
                <c:pt idx="27">
                  <c:v>415.54385428399513</c:v>
                </c:pt>
                <c:pt idx="28">
                  <c:v>4155.438542839951</c:v>
                </c:pt>
                <c:pt idx="29">
                  <c:v>41554.38542839951</c:v>
                </c:pt>
                <c:pt idx="30">
                  <c:v>415543.85428399511</c:v>
                </c:pt>
              </c:numCache>
            </c:numRef>
          </c:xVal>
          <c:yVal>
            <c:numRef>
              <c:f>'Mastercurve bestimmen'!$J$404:$J$434</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2.2701588870349419E-23</c:v>
                </c:pt>
                <c:pt idx="1">
                  <c:v>2.2701588870349416E-22</c:v>
                </c:pt>
                <c:pt idx="2">
                  <c:v>2.2701588870349419E-21</c:v>
                </c:pt>
                <c:pt idx="3">
                  <c:v>2.2701588870349417E-20</c:v>
                </c:pt>
                <c:pt idx="4">
                  <c:v>2.2701588870349415E-19</c:v>
                </c:pt>
                <c:pt idx="5">
                  <c:v>2.270158887034942E-18</c:v>
                </c:pt>
                <c:pt idx="6">
                  <c:v>2.2701588870349419E-17</c:v>
                </c:pt>
                <c:pt idx="7">
                  <c:v>2.2701588870349417E-16</c:v>
                </c:pt>
                <c:pt idx="8">
                  <c:v>2.2701588870349416E-15</c:v>
                </c:pt>
                <c:pt idx="9">
                  <c:v>2.2701588870349418E-14</c:v>
                </c:pt>
                <c:pt idx="10">
                  <c:v>2.270158887034942E-13</c:v>
                </c:pt>
                <c:pt idx="11">
                  <c:v>2.2701588870349418E-12</c:v>
                </c:pt>
                <c:pt idx="12">
                  <c:v>2.270158887034942E-11</c:v>
                </c:pt>
                <c:pt idx="13">
                  <c:v>2.270158887034942E-10</c:v>
                </c:pt>
                <c:pt idx="14">
                  <c:v>2.2701588870349419E-9</c:v>
                </c:pt>
                <c:pt idx="15">
                  <c:v>2.2701588870349417E-8</c:v>
                </c:pt>
                <c:pt idx="16">
                  <c:v>2.2701588870349418E-7</c:v>
                </c:pt>
                <c:pt idx="17">
                  <c:v>2.2701588870349417E-6</c:v>
                </c:pt>
                <c:pt idx="18">
                  <c:v>2.2701588870349416E-5</c:v>
                </c:pt>
                <c:pt idx="19">
                  <c:v>2.2701588870349418E-4</c:v>
                </c:pt>
                <c:pt idx="20">
                  <c:v>2.2701588870349416E-3</c:v>
                </c:pt>
                <c:pt idx="21">
                  <c:v>2.2701588870349419E-2</c:v>
                </c:pt>
                <c:pt idx="22">
                  <c:v>0.22701588870349418</c:v>
                </c:pt>
                <c:pt idx="23">
                  <c:v>2.2701588870349418</c:v>
                </c:pt>
                <c:pt idx="24">
                  <c:v>22.701588870349418</c:v>
                </c:pt>
                <c:pt idx="25">
                  <c:v>227.01588870349417</c:v>
                </c:pt>
                <c:pt idx="26">
                  <c:v>2270.1588870349419</c:v>
                </c:pt>
                <c:pt idx="27">
                  <c:v>22701.588870349417</c:v>
                </c:pt>
                <c:pt idx="28">
                  <c:v>227015.88870349419</c:v>
                </c:pt>
                <c:pt idx="29">
                  <c:v>2270158.8870349419</c:v>
                </c:pt>
                <c:pt idx="30">
                  <c:v>22701588.870349418</c:v>
                </c:pt>
              </c:numCache>
            </c:numRef>
          </c:xVal>
          <c:yVal>
            <c:numRef>
              <c:f>'Mastercurve bestimmen'!$K$404:$K$434</c:f>
              <c:numCache>
                <c:formatCode>0.00E+00</c:formatCode>
                <c:ptCount val="31"/>
                <c:pt idx="0">
                  <c:v>7373.6169222469052</c:v>
                </c:pt>
                <c:pt idx="1">
                  <c:v>7373.6918607149901</c:v>
                </c:pt>
                <c:pt idx="2">
                  <c:v>7373.6524650120191</c:v>
                </c:pt>
                <c:pt idx="3">
                  <c:v>7373.6422743939765</c:v>
                </c:pt>
                <c:pt idx="4">
                  <c:v>7373.6393539171686</c:v>
                </c:pt>
                <c:pt idx="5">
                  <c:v>7373.6384218505882</c:v>
                </c:pt>
                <c:pt idx="6">
                  <c:v>7373.6381732995414</c:v>
                </c:pt>
                <c:pt idx="7">
                  <c:v>7373.6380490240244</c:v>
                </c:pt>
                <c:pt idx="8">
                  <c:v>7373.6380490240244</c:v>
                </c:pt>
                <c:pt idx="9">
                  <c:v>7373.6379247485102</c:v>
                </c:pt>
                <c:pt idx="10">
                  <c:v>7373.6377383352474</c:v>
                </c:pt>
                <c:pt idx="11">
                  <c:v>7373.6350664128558</c:v>
                </c:pt>
                <c:pt idx="12">
                  <c:v>7373.6085958444728</c:v>
                </c:pt>
                <c:pt idx="13">
                  <c:v>7373.3444598084343</c:v>
                </c:pt>
                <c:pt idx="14">
                  <c:v>7370.7250016112393</c:v>
                </c:pt>
                <c:pt idx="15">
                  <c:v>7346.5860708392247</c:v>
                </c:pt>
                <c:pt idx="16">
                  <c:v>7225.4468313347925</c:v>
                </c:pt>
                <c:pt idx="17">
                  <c:v>7074.5614632967963</c:v>
                </c:pt>
                <c:pt idx="18">
                  <c:v>6837.385209483964</c:v>
                </c:pt>
                <c:pt idx="19">
                  <c:v>6289.6718355453368</c:v>
                </c:pt>
                <c:pt idx="20">
                  <c:v>5393.096219252795</c:v>
                </c:pt>
                <c:pt idx="21">
                  <c:v>4558.7271908643725</c:v>
                </c:pt>
                <c:pt idx="22">
                  <c:v>3927.5350129983676</c:v>
                </c:pt>
                <c:pt idx="23">
                  <c:v>3470.8276794707381</c:v>
                </c:pt>
                <c:pt idx="24">
                  <c:v>3119.1195128427248</c:v>
                </c:pt>
                <c:pt idx="25">
                  <c:v>2819.4631556550398</c:v>
                </c:pt>
                <c:pt idx="26">
                  <c:v>2525.9157804368465</c:v>
                </c:pt>
                <c:pt idx="27">
                  <c:v>2182.665940608038</c:v>
                </c:pt>
                <c:pt idx="28">
                  <c:v>1785.8998006119411</c:v>
                </c:pt>
                <c:pt idx="29">
                  <c:v>1337.7075606161161</c:v>
                </c:pt>
                <c:pt idx="30">
                  <c:v>864.52071218722244</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8.4546563362260539E-22</c:v>
                </c:pt>
                <c:pt idx="1">
                  <c:v>8.4546563362260543E-21</c:v>
                </c:pt>
                <c:pt idx="2">
                  <c:v>8.4546563362260534E-20</c:v>
                </c:pt>
                <c:pt idx="3">
                  <c:v>8.4546563362260539E-19</c:v>
                </c:pt>
                <c:pt idx="4">
                  <c:v>8.4546563362260533E-18</c:v>
                </c:pt>
                <c:pt idx="5">
                  <c:v>8.4546563362260545E-17</c:v>
                </c:pt>
                <c:pt idx="6">
                  <c:v>8.4546563362260538E-16</c:v>
                </c:pt>
                <c:pt idx="7">
                  <c:v>8.4546563362260538E-15</c:v>
                </c:pt>
                <c:pt idx="8">
                  <c:v>8.4546563362260538E-14</c:v>
                </c:pt>
                <c:pt idx="9">
                  <c:v>8.4546563362260536E-13</c:v>
                </c:pt>
                <c:pt idx="10">
                  <c:v>8.4546563362260552E-12</c:v>
                </c:pt>
                <c:pt idx="11">
                  <c:v>8.4546563362260539E-11</c:v>
                </c:pt>
                <c:pt idx="12">
                  <c:v>8.4546563362260539E-10</c:v>
                </c:pt>
                <c:pt idx="13">
                  <c:v>8.4546563362260539E-9</c:v>
                </c:pt>
                <c:pt idx="14">
                  <c:v>8.4546563362260545E-8</c:v>
                </c:pt>
                <c:pt idx="15">
                  <c:v>8.4546563362260537E-7</c:v>
                </c:pt>
                <c:pt idx="16">
                  <c:v>8.4546563362260542E-6</c:v>
                </c:pt>
                <c:pt idx="17">
                  <c:v>8.4546563362260542E-5</c:v>
                </c:pt>
                <c:pt idx="18">
                  <c:v>8.4546563362260534E-4</c:v>
                </c:pt>
                <c:pt idx="19">
                  <c:v>8.4546563362260536E-3</c:v>
                </c:pt>
                <c:pt idx="20">
                  <c:v>8.4546563362260532E-2</c:v>
                </c:pt>
                <c:pt idx="21">
                  <c:v>0.84546563362260541</c:v>
                </c:pt>
                <c:pt idx="22">
                  <c:v>8.4546563362260532</c:v>
                </c:pt>
                <c:pt idx="23">
                  <c:v>84.546563362260542</c:v>
                </c:pt>
                <c:pt idx="24">
                  <c:v>845.46563362260542</c:v>
                </c:pt>
                <c:pt idx="25">
                  <c:v>8454.6563362260531</c:v>
                </c:pt>
                <c:pt idx="26">
                  <c:v>84546.563362260538</c:v>
                </c:pt>
                <c:pt idx="27">
                  <c:v>845465.63362260535</c:v>
                </c:pt>
                <c:pt idx="28">
                  <c:v>8454656.3362260535</c:v>
                </c:pt>
                <c:pt idx="29">
                  <c:v>84546563.362260535</c:v>
                </c:pt>
                <c:pt idx="30">
                  <c:v>845465633.62260532</c:v>
                </c:pt>
              </c:numCache>
            </c:numRef>
          </c:xVal>
          <c:yVal>
            <c:numRef>
              <c:f>'Mastercurve bestimmen'!$L$404:$L$434</c:f>
              <c:numCache>
                <c:formatCode>0.00E+00</c:formatCode>
                <c:ptCount val="31"/>
                <c:pt idx="0">
                  <c:v>7330.9698900812818</c:v>
                </c:pt>
                <c:pt idx="1">
                  <c:v>7331.0435342500059</c:v>
                </c:pt>
                <c:pt idx="2">
                  <c:v>7331.0044701030138</c:v>
                </c:pt>
                <c:pt idx="3">
                  <c:v>7330.9943970257091</c:v>
                </c:pt>
                <c:pt idx="4">
                  <c:v>7330.991448813199</c:v>
                </c:pt>
                <c:pt idx="5">
                  <c:v>7330.990588918331</c:v>
                </c:pt>
                <c:pt idx="6">
                  <c:v>7330.9902818130686</c:v>
                </c:pt>
                <c:pt idx="7">
                  <c:v>7330.9901589709716</c:v>
                </c:pt>
                <c:pt idx="8">
                  <c:v>7330.9898518657455</c:v>
                </c:pt>
                <c:pt idx="9">
                  <c:v>7330.9873950248675</c:v>
                </c:pt>
                <c:pt idx="10">
                  <c:v>7330.962888127252</c:v>
                </c:pt>
                <c:pt idx="11">
                  <c:v>7330.7179509954649</c:v>
                </c:pt>
                <c:pt idx="12">
                  <c:v>7328.2878922672335</c:v>
                </c:pt>
                <c:pt idx="13">
                  <c:v>7305.7841813741479</c:v>
                </c:pt>
                <c:pt idx="14">
                  <c:v>7188.9840707641179</c:v>
                </c:pt>
                <c:pt idx="15">
                  <c:v>7045.3278356909095</c:v>
                </c:pt>
                <c:pt idx="16">
                  <c:v>6881.2247214769232</c:v>
                </c:pt>
                <c:pt idx="17">
                  <c:v>6633.2763958157147</c:v>
                </c:pt>
                <c:pt idx="18">
                  <c:v>6142.0459094556854</c:v>
                </c:pt>
                <c:pt idx="19">
                  <c:v>5263.2654078154883</c:v>
                </c:pt>
                <c:pt idx="20">
                  <c:v>4399.1328288595505</c:v>
                </c:pt>
                <c:pt idx="21">
                  <c:v>3757.2475587809995</c:v>
                </c:pt>
                <c:pt idx="22">
                  <c:v>3291.1531992809396</c:v>
                </c:pt>
                <c:pt idx="23">
                  <c:v>2923.3907186801598</c:v>
                </c:pt>
                <c:pt idx="24">
                  <c:v>2591.8565821190209</c:v>
                </c:pt>
                <c:pt idx="25">
                  <c:v>2227.1388397843657</c:v>
                </c:pt>
                <c:pt idx="26">
                  <c:v>1818.1045605438685</c:v>
                </c:pt>
                <c:pt idx="27">
                  <c:v>1362.7209266527218</c:v>
                </c:pt>
                <c:pt idx="28">
                  <c:v>882.60529508909428</c:v>
                </c:pt>
                <c:pt idx="29">
                  <c:v>513.97783275284667</c:v>
                </c:pt>
                <c:pt idx="30">
                  <c:v>287.95166024173568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1.9250865058659276E-19</c:v>
                </c:pt>
                <c:pt idx="1">
                  <c:v>1.9250865058659272E-18</c:v>
                </c:pt>
                <c:pt idx="2">
                  <c:v>1.9250865058659275E-17</c:v>
                </c:pt>
                <c:pt idx="3">
                  <c:v>1.9250865058659275E-16</c:v>
                </c:pt>
                <c:pt idx="4">
                  <c:v>1.9250865058659272E-15</c:v>
                </c:pt>
                <c:pt idx="5">
                  <c:v>1.9250865058659276E-14</c:v>
                </c:pt>
                <c:pt idx="6">
                  <c:v>1.9250865058659276E-13</c:v>
                </c:pt>
                <c:pt idx="7">
                  <c:v>1.9250865058659273E-12</c:v>
                </c:pt>
                <c:pt idx="8">
                  <c:v>1.9250865058659274E-11</c:v>
                </c:pt>
                <c:pt idx="9">
                  <c:v>1.9250865058659273E-10</c:v>
                </c:pt>
                <c:pt idx="10">
                  <c:v>1.9250865058659275E-9</c:v>
                </c:pt>
                <c:pt idx="11">
                  <c:v>1.9250865058659276E-8</c:v>
                </c:pt>
                <c:pt idx="12">
                  <c:v>1.9250865058659276E-7</c:v>
                </c:pt>
                <c:pt idx="13">
                  <c:v>1.9250865058659274E-6</c:v>
                </c:pt>
                <c:pt idx="14">
                  <c:v>1.9250865058659274E-5</c:v>
                </c:pt>
                <c:pt idx="15">
                  <c:v>1.9250865058659274E-4</c:v>
                </c:pt>
                <c:pt idx="16">
                  <c:v>1.9250865058659274E-3</c:v>
                </c:pt>
                <c:pt idx="17">
                  <c:v>1.9250865058659274E-2</c:v>
                </c:pt>
                <c:pt idx="18">
                  <c:v>0.19250865058659275</c:v>
                </c:pt>
                <c:pt idx="19">
                  <c:v>1.9250865058659274</c:v>
                </c:pt>
                <c:pt idx="20">
                  <c:v>19.250865058659276</c:v>
                </c:pt>
                <c:pt idx="21">
                  <c:v>192.50865058659275</c:v>
                </c:pt>
                <c:pt idx="22">
                  <c:v>1925.0865058659274</c:v>
                </c:pt>
                <c:pt idx="23">
                  <c:v>19250.865058659274</c:v>
                </c:pt>
                <c:pt idx="24">
                  <c:v>192508.65058659273</c:v>
                </c:pt>
                <c:pt idx="25">
                  <c:v>1925086.5058659273</c:v>
                </c:pt>
                <c:pt idx="26">
                  <c:v>19250865.058659274</c:v>
                </c:pt>
                <c:pt idx="27">
                  <c:v>192508650.58659273</c:v>
                </c:pt>
                <c:pt idx="28">
                  <c:v>1925086505.8659275</c:v>
                </c:pt>
                <c:pt idx="29">
                  <c:v>19250865058.659275</c:v>
                </c:pt>
                <c:pt idx="30">
                  <c:v>192508650586.59274</c:v>
                </c:pt>
              </c:numCache>
            </c:numRef>
          </c:xVal>
          <c:yVal>
            <c:numRef>
              <c:f>'Mastercurve bestimmen'!$M$404:$M$434</c:f>
              <c:numCache>
                <c:formatCode>0.00E+00</c:formatCode>
                <c:ptCount val="31"/>
                <c:pt idx="0">
                  <c:v>7287.2421568641066</c:v>
                </c:pt>
                <c:pt idx="1">
                  <c:v>7287.3146216469959</c:v>
                </c:pt>
                <c:pt idx="2">
                  <c:v>7287.2757793731034</c:v>
                </c:pt>
                <c:pt idx="3">
                  <c:v>7287.2657654165014</c:v>
                </c:pt>
                <c:pt idx="4">
                  <c:v>7287.2629129611732</c:v>
                </c:pt>
                <c:pt idx="5">
                  <c:v>7287.2618205320641</c:v>
                </c:pt>
                <c:pt idx="6">
                  <c:v>7287.2593322225375</c:v>
                </c:pt>
                <c:pt idx="7">
                  <c:v>7287.2374230339683</c:v>
                </c:pt>
                <c:pt idx="8">
                  <c:v>7287.0191880040384</c:v>
                </c:pt>
                <c:pt idx="9">
                  <c:v>7284.8522944162632</c:v>
                </c:pt>
                <c:pt idx="10">
                  <c:v>7264.6309792458533</c:v>
                </c:pt>
                <c:pt idx="11">
                  <c:v>7153.647880511483</c:v>
                </c:pt>
                <c:pt idx="12">
                  <c:v>7011.9974153857656</c:v>
                </c:pt>
                <c:pt idx="13">
                  <c:v>6854.7708758756735</c:v>
                </c:pt>
                <c:pt idx="14">
                  <c:v>6667.3368038637464</c:v>
                </c:pt>
                <c:pt idx="15">
                  <c:v>6457.8733144157241</c:v>
                </c:pt>
                <c:pt idx="16">
                  <c:v>6197.1395066404111</c:v>
                </c:pt>
                <c:pt idx="17">
                  <c:v>5728.6851502202007</c:v>
                </c:pt>
                <c:pt idx="18">
                  <c:v>4909.4106843846976</c:v>
                </c:pt>
                <c:pt idx="19">
                  <c:v>4054.6855956010618</c:v>
                </c:pt>
                <c:pt idx="20">
                  <c:v>3384.7376862720757</c:v>
                </c:pt>
                <c:pt idx="21">
                  <c:v>2867.8130883318549</c:v>
                </c:pt>
                <c:pt idx="22">
                  <c:v>2393.9219661874804</c:v>
                </c:pt>
                <c:pt idx="23">
                  <c:v>1923.0446750969861</c:v>
                </c:pt>
                <c:pt idx="24">
                  <c:v>1433.0262098856042</c:v>
                </c:pt>
                <c:pt idx="25">
                  <c:v>928.3724969127901</c:v>
                </c:pt>
                <c:pt idx="26">
                  <c:v>540.77757065756475</c:v>
                </c:pt>
                <c:pt idx="27">
                  <c:v>302.10819766520217</c:v>
                </c:pt>
                <c:pt idx="28">
                  <c:v>167.95607666429018</c:v>
                </c:pt>
                <c:pt idx="29">
                  <c:v>115.55588342611547</c:v>
                </c:pt>
                <c:pt idx="30">
                  <c:v>100.53155340781859</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7233.2784973668249</c:v>
                </c:pt>
                <c:pt idx="1">
                  <c:v>7233.3436741214491</c:v>
                </c:pt>
                <c:pt idx="2">
                  <c:v>7233.2477630478616</c:v>
                </c:pt>
                <c:pt idx="3">
                  <c:v>7232.6642193149437</c:v>
                </c:pt>
                <c:pt idx="4">
                  <c:v>7227.030574444283</c:v>
                </c:pt>
                <c:pt idx="5">
                  <c:v>7179.9574188317292</c:v>
                </c:pt>
                <c:pt idx="6">
                  <c:v>7042.6684859234238</c:v>
                </c:pt>
                <c:pt idx="7">
                  <c:v>6896.670224560311</c:v>
                </c:pt>
                <c:pt idx="8">
                  <c:v>6728.3118442587265</c:v>
                </c:pt>
                <c:pt idx="9">
                  <c:v>6522.7483495061197</c:v>
                </c:pt>
                <c:pt idx="10">
                  <c:v>6323.7668304163335</c:v>
                </c:pt>
                <c:pt idx="11">
                  <c:v>6060.8557573682765</c:v>
                </c:pt>
                <c:pt idx="12">
                  <c:v>5776.7475493188331</c:v>
                </c:pt>
                <c:pt idx="13">
                  <c:v>5495.7675366958674</c:v>
                </c:pt>
                <c:pt idx="14">
                  <c:v>5188.5996988750203</c:v>
                </c:pt>
                <c:pt idx="15">
                  <c:v>4846.1759775211867</c:v>
                </c:pt>
                <c:pt idx="16">
                  <c:v>4307.5308640863095</c:v>
                </c:pt>
                <c:pt idx="17">
                  <c:v>3424.2409160347711</c:v>
                </c:pt>
                <c:pt idx="18">
                  <c:v>2457.6306581082695</c:v>
                </c:pt>
                <c:pt idx="19">
                  <c:v>1610.938712030013</c:v>
                </c:pt>
                <c:pt idx="20">
                  <c:v>942.69111378955085</c:v>
                </c:pt>
                <c:pt idx="21">
                  <c:v>510.32470275306576</c:v>
                </c:pt>
                <c:pt idx="22">
                  <c:v>271.36767023207187</c:v>
                </c:pt>
                <c:pt idx="23">
                  <c:v>152.45647454769647</c:v>
                </c:pt>
                <c:pt idx="24">
                  <c:v>114.48528241321054</c:v>
                </c:pt>
                <c:pt idx="25">
                  <c:v>101.06517730245214</c:v>
                </c:pt>
                <c:pt idx="26">
                  <c:v>93.059878245985715</c:v>
                </c:pt>
                <c:pt idx="27">
                  <c:v>92.631968530961771</c:v>
                </c:pt>
                <c:pt idx="28">
                  <c:v>91.23127997996707</c:v>
                </c:pt>
                <c:pt idx="29">
                  <c:v>91.209911146223277</c:v>
                </c:pt>
                <c:pt idx="30">
                  <c:v>90.301560772176387</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1.1545771918054734E-7</c:v>
                </c:pt>
                <c:pt idx="1">
                  <c:v>1.1545771918054734E-6</c:v>
                </c:pt>
                <c:pt idx="2">
                  <c:v>1.1545771918054733E-5</c:v>
                </c:pt>
                <c:pt idx="3">
                  <c:v>1.1545771918054733E-4</c:v>
                </c:pt>
                <c:pt idx="4">
                  <c:v>1.1545771918054731E-3</c:v>
                </c:pt>
                <c:pt idx="5">
                  <c:v>1.1545771918054733E-2</c:v>
                </c:pt>
                <c:pt idx="6">
                  <c:v>0.11545771918054734</c:v>
                </c:pt>
                <c:pt idx="7">
                  <c:v>1.1545771918054732</c:v>
                </c:pt>
                <c:pt idx="8">
                  <c:v>11.545771918054733</c:v>
                </c:pt>
                <c:pt idx="9">
                  <c:v>115.45771918054733</c:v>
                </c:pt>
                <c:pt idx="10">
                  <c:v>1154.5771918054734</c:v>
                </c:pt>
                <c:pt idx="11">
                  <c:v>11545.771918054734</c:v>
                </c:pt>
                <c:pt idx="12">
                  <c:v>115457.71918054733</c:v>
                </c:pt>
                <c:pt idx="13">
                  <c:v>1154577.1918054733</c:v>
                </c:pt>
                <c:pt idx="14">
                  <c:v>11545771.918054733</c:v>
                </c:pt>
                <c:pt idx="15">
                  <c:v>115457719.18054733</c:v>
                </c:pt>
                <c:pt idx="16">
                  <c:v>1154577191.8054733</c:v>
                </c:pt>
                <c:pt idx="17">
                  <c:v>11545771918.054733</c:v>
                </c:pt>
                <c:pt idx="18">
                  <c:v>115457719180.54733</c:v>
                </c:pt>
                <c:pt idx="19">
                  <c:v>1154577191805.4734</c:v>
                </c:pt>
                <c:pt idx="20">
                  <c:v>11545771918054.732</c:v>
                </c:pt>
                <c:pt idx="21">
                  <c:v>115457719180547.33</c:v>
                </c:pt>
                <c:pt idx="22">
                  <c:v>1154577191805473.2</c:v>
                </c:pt>
                <c:pt idx="23">
                  <c:v>1.1545771918054732E+16</c:v>
                </c:pt>
                <c:pt idx="24">
                  <c:v>1.1545771918054733E+17</c:v>
                </c:pt>
                <c:pt idx="25">
                  <c:v>1.1545771918054733E+18</c:v>
                </c:pt>
                <c:pt idx="26">
                  <c:v>1.1545771918054732E+19</c:v>
                </c:pt>
                <c:pt idx="27">
                  <c:v>1.1545771918054733E+20</c:v>
                </c:pt>
                <c:pt idx="28">
                  <c:v>1.1545771918054733E+21</c:v>
                </c:pt>
                <c:pt idx="29">
                  <c:v>1.1545771918054734E+22</c:v>
                </c:pt>
                <c:pt idx="30">
                  <c:v>1.1545771918054732E+23</c:v>
                </c:pt>
              </c:numCache>
            </c:numRef>
          </c:xVal>
          <c:yVal>
            <c:numRef>
              <c:f>'Mastercurve bestimmen'!$O$404:$O$434</c:f>
              <c:numCache>
                <c:formatCode>0.00E+00</c:formatCode>
                <c:ptCount val="31"/>
                <c:pt idx="0">
                  <c:v>6585.7419229281086</c:v>
                </c:pt>
                <c:pt idx="1">
                  <c:v>6334.3824808152185</c:v>
                </c:pt>
                <c:pt idx="2">
                  <c:v>6097.7114849761656</c:v>
                </c:pt>
                <c:pt idx="3">
                  <c:v>5825.3419350887143</c:v>
                </c:pt>
                <c:pt idx="4">
                  <c:v>5546.9331561273084</c:v>
                </c:pt>
                <c:pt idx="5">
                  <c:v>5257.3325173232261</c:v>
                </c:pt>
                <c:pt idx="6">
                  <c:v>4943.4016945901922</c:v>
                </c:pt>
                <c:pt idx="7">
                  <c:v>4573.266252420035</c:v>
                </c:pt>
                <c:pt idx="8">
                  <c:v>4079.2740096930638</c:v>
                </c:pt>
                <c:pt idx="9">
                  <c:v>3459.2497747504567</c:v>
                </c:pt>
                <c:pt idx="10">
                  <c:v>2702.914511015118</c:v>
                </c:pt>
                <c:pt idx="11">
                  <c:v>1832.1518571214692</c:v>
                </c:pt>
                <c:pt idx="12">
                  <c:v>1105.139847553852</c:v>
                </c:pt>
                <c:pt idx="13">
                  <c:v>630.91869332772831</c:v>
                </c:pt>
                <c:pt idx="14">
                  <c:v>354.28738756335468</c:v>
                </c:pt>
                <c:pt idx="15">
                  <c:v>248.22351395532451</c:v>
                </c:pt>
                <c:pt idx="16">
                  <c:v>214.57476664013214</c:v>
                </c:pt>
                <c:pt idx="17">
                  <c:v>185.72591291449908</c:v>
                </c:pt>
                <c:pt idx="18">
                  <c:v>158.09658219581334</c:v>
                </c:pt>
                <c:pt idx="19">
                  <c:v>132.46407229952649</c:v>
                </c:pt>
                <c:pt idx="20">
                  <c:v>115.64370251909122</c:v>
                </c:pt>
                <c:pt idx="21">
                  <c:v>105.70344373363407</c:v>
                </c:pt>
                <c:pt idx="22">
                  <c:v>99.769058005183027</c:v>
                </c:pt>
                <c:pt idx="23">
                  <c:v>96.16135307969536</c:v>
                </c:pt>
                <c:pt idx="24">
                  <c:v>93.862812708921865</c:v>
                </c:pt>
                <c:pt idx="25">
                  <c:v>92.381155101656375</c:v>
                </c:pt>
                <c:pt idx="26">
                  <c:v>92.126538569786135</c:v>
                </c:pt>
                <c:pt idx="27">
                  <c:v>91.086268606556416</c:v>
                </c:pt>
                <c:pt idx="28">
                  <c:v>90.886673770022838</c:v>
                </c:pt>
                <c:pt idx="29">
                  <c:v>90.290301687552557</c:v>
                </c:pt>
                <c:pt idx="30">
                  <c:v>90.056329050223439</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6.7738876183229333E-6</c:v>
                </c:pt>
                <c:pt idx="1">
                  <c:v>6.7738876183229317E-5</c:v>
                </c:pt>
                <c:pt idx="2">
                  <c:v>6.7738876183229323E-4</c:v>
                </c:pt>
                <c:pt idx="3">
                  <c:v>6.7738876183229321E-3</c:v>
                </c:pt>
                <c:pt idx="4">
                  <c:v>6.7738876183229324E-2</c:v>
                </c:pt>
                <c:pt idx="5">
                  <c:v>0.67738876183229324</c:v>
                </c:pt>
                <c:pt idx="6">
                  <c:v>6.7738876183229326</c:v>
                </c:pt>
                <c:pt idx="7">
                  <c:v>67.738876183229323</c:v>
                </c:pt>
                <c:pt idx="8">
                  <c:v>677.3887618322932</c:v>
                </c:pt>
                <c:pt idx="9">
                  <c:v>6773.8876183229322</c:v>
                </c:pt>
                <c:pt idx="10">
                  <c:v>67738.876183229324</c:v>
                </c:pt>
                <c:pt idx="11">
                  <c:v>677388.76183229324</c:v>
                </c:pt>
                <c:pt idx="12">
                  <c:v>6773887.6183229322</c:v>
                </c:pt>
                <c:pt idx="13">
                  <c:v>67738876.183229327</c:v>
                </c:pt>
                <c:pt idx="14">
                  <c:v>677388761.83229327</c:v>
                </c:pt>
                <c:pt idx="15">
                  <c:v>6773887618.3229322</c:v>
                </c:pt>
                <c:pt idx="16">
                  <c:v>67738876183.229324</c:v>
                </c:pt>
                <c:pt idx="17">
                  <c:v>677388761832.29321</c:v>
                </c:pt>
                <c:pt idx="18">
                  <c:v>6773887618322.9326</c:v>
                </c:pt>
                <c:pt idx="19">
                  <c:v>67738876183229.32</c:v>
                </c:pt>
                <c:pt idx="20">
                  <c:v>677388761832293.25</c:v>
                </c:pt>
                <c:pt idx="21">
                  <c:v>6773887618322932</c:v>
                </c:pt>
                <c:pt idx="22">
                  <c:v>6.7738876183229328E+16</c:v>
                </c:pt>
                <c:pt idx="23">
                  <c:v>6.7738876183229325E+17</c:v>
                </c:pt>
                <c:pt idx="24">
                  <c:v>6.7738876183229327E+18</c:v>
                </c:pt>
                <c:pt idx="25">
                  <c:v>6.7738876183229325E+19</c:v>
                </c:pt>
                <c:pt idx="26">
                  <c:v>6.7738876183229327E+20</c:v>
                </c:pt>
                <c:pt idx="27">
                  <c:v>6.7738876183229319E+21</c:v>
                </c:pt>
                <c:pt idx="28">
                  <c:v>6.7738876183229321E+22</c:v>
                </c:pt>
                <c:pt idx="29">
                  <c:v>6.7738876183229321E+23</c:v>
                </c:pt>
                <c:pt idx="30">
                  <c:v>6.7738876183229321E+24</c:v>
                </c:pt>
              </c:numCache>
            </c:numRef>
          </c:xVal>
          <c:yVal>
            <c:numRef>
              <c:f>'Mastercurve bestimmen'!$P$404:$P$434</c:f>
              <c:numCache>
                <c:formatCode>0.00E+00</c:formatCode>
                <c:ptCount val="31"/>
                <c:pt idx="0">
                  <c:v>6163.9172848230364</c:v>
                </c:pt>
                <c:pt idx="1">
                  <c:v>5842.0148400129501</c:v>
                </c:pt>
                <c:pt idx="2">
                  <c:v>5557.579467209528</c:v>
                </c:pt>
                <c:pt idx="3">
                  <c:v>5275.4812921063285</c:v>
                </c:pt>
                <c:pt idx="4">
                  <c:v>4966.4021193857116</c:v>
                </c:pt>
                <c:pt idx="5">
                  <c:v>4621.0156652325422</c:v>
                </c:pt>
                <c:pt idx="6">
                  <c:v>4155.4773315838347</c:v>
                </c:pt>
                <c:pt idx="7">
                  <c:v>3566.7724920591822</c:v>
                </c:pt>
                <c:pt idx="8">
                  <c:v>2850.9447868112361</c:v>
                </c:pt>
                <c:pt idx="9">
                  <c:v>2002.5618143914935</c:v>
                </c:pt>
                <c:pt idx="10">
                  <c:v>1246.5264827258</c:v>
                </c:pt>
                <c:pt idx="11">
                  <c:v>721.62368462950201</c:v>
                </c:pt>
                <c:pt idx="12">
                  <c:v>404.72633399765499</c:v>
                </c:pt>
                <c:pt idx="13">
                  <c:v>265.07180083177406</c:v>
                </c:pt>
                <c:pt idx="14">
                  <c:v>224.4007416662501</c:v>
                </c:pt>
                <c:pt idx="15">
                  <c:v>202.49198438372559</c:v>
                </c:pt>
                <c:pt idx="16">
                  <c:v>189.83771999127222</c:v>
                </c:pt>
                <c:pt idx="17">
                  <c:v>169.86288435020435</c:v>
                </c:pt>
                <c:pt idx="18">
                  <c:v>142.29365996368665</c:v>
                </c:pt>
                <c:pt idx="19">
                  <c:v>121.71619952615258</c:v>
                </c:pt>
                <c:pt idx="20">
                  <c:v>109.27679567564616</c:v>
                </c:pt>
                <c:pt idx="21">
                  <c:v>101.92394551670053</c:v>
                </c:pt>
                <c:pt idx="22">
                  <c:v>97.501289329192588</c:v>
                </c:pt>
                <c:pt idx="23">
                  <c:v>94.712895608864457</c:v>
                </c:pt>
                <c:pt idx="24">
                  <c:v>92.92945942455529</c:v>
                </c:pt>
                <c:pt idx="25">
                  <c:v>92.006187989209394</c:v>
                </c:pt>
                <c:pt idx="26">
                  <c:v>91.763267256404887</c:v>
                </c:pt>
                <c:pt idx="27">
                  <c:v>90.809569282014081</c:v>
                </c:pt>
                <c:pt idx="28">
                  <c:v>90.794437108888047</c:v>
                </c:pt>
                <c:pt idx="29">
                  <c:v>90.157522811707935</c:v>
                </c:pt>
                <c:pt idx="30">
                  <c:v>89.913434838716469</c:v>
                </c:pt>
              </c:numCache>
            </c:numRef>
          </c:yVal>
          <c:smooth val="1"/>
        </c:ser>
        <c:dLbls>
          <c:showLegendKey val="0"/>
          <c:showVal val="0"/>
          <c:showCatName val="0"/>
          <c:showSerName val="0"/>
          <c:showPercent val="0"/>
          <c:showBubbleSize val="0"/>
        </c:dLbls>
        <c:axId val="447899712"/>
        <c:axId val="445707704"/>
      </c:scatterChart>
      <c:valAx>
        <c:axId val="447899712"/>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707704"/>
        <c:crosses val="autoZero"/>
        <c:crossBetween val="midCat"/>
      </c:valAx>
      <c:valAx>
        <c:axId val="445707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7899712"/>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SJM6 CMU @Tref 80°C E+-15</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4.1554385428399519E-25</c:v>
                </c:pt>
                <c:pt idx="1">
                  <c:v>4.1554385428399515E-24</c:v>
                </c:pt>
                <c:pt idx="2">
                  <c:v>4.1554385428399514E-23</c:v>
                </c:pt>
                <c:pt idx="3">
                  <c:v>4.155438542839951E-22</c:v>
                </c:pt>
                <c:pt idx="4">
                  <c:v>4.1554385428399507E-21</c:v>
                </c:pt>
                <c:pt idx="5">
                  <c:v>4.1554385428399515E-20</c:v>
                </c:pt>
                <c:pt idx="6">
                  <c:v>4.1554385428399516E-19</c:v>
                </c:pt>
                <c:pt idx="7">
                  <c:v>4.1554385428399511E-18</c:v>
                </c:pt>
                <c:pt idx="8">
                  <c:v>4.155438542839951E-17</c:v>
                </c:pt>
                <c:pt idx="9">
                  <c:v>4.1554385428399507E-16</c:v>
                </c:pt>
                <c:pt idx="10">
                  <c:v>4.1554385428399511E-15</c:v>
                </c:pt>
                <c:pt idx="11">
                  <c:v>4.1554385428399513E-14</c:v>
                </c:pt>
                <c:pt idx="12">
                  <c:v>4.1554385428399512E-13</c:v>
                </c:pt>
                <c:pt idx="13">
                  <c:v>4.1554385428399516E-12</c:v>
                </c:pt>
                <c:pt idx="14">
                  <c:v>4.1554385428399514E-11</c:v>
                </c:pt>
                <c:pt idx="15">
                  <c:v>4.155438542839951E-10</c:v>
                </c:pt>
                <c:pt idx="16">
                  <c:v>4.1554385428399509E-9</c:v>
                </c:pt>
                <c:pt idx="17">
                  <c:v>4.1554385428399509E-8</c:v>
                </c:pt>
                <c:pt idx="18">
                  <c:v>4.1554385428399509E-7</c:v>
                </c:pt>
                <c:pt idx="19">
                  <c:v>4.1554385428399512E-6</c:v>
                </c:pt>
                <c:pt idx="20">
                  <c:v>4.1554385428399512E-5</c:v>
                </c:pt>
                <c:pt idx="21">
                  <c:v>4.155438542839951E-4</c:v>
                </c:pt>
                <c:pt idx="22">
                  <c:v>4.155438542839951E-3</c:v>
                </c:pt>
                <c:pt idx="23">
                  <c:v>4.155438542839951E-2</c:v>
                </c:pt>
                <c:pt idx="24">
                  <c:v>0.4155438542839951</c:v>
                </c:pt>
                <c:pt idx="25">
                  <c:v>4.155438542839951</c:v>
                </c:pt>
                <c:pt idx="26">
                  <c:v>41.554385428399513</c:v>
                </c:pt>
                <c:pt idx="27">
                  <c:v>415.54385428399513</c:v>
                </c:pt>
                <c:pt idx="28">
                  <c:v>4155.438542839951</c:v>
                </c:pt>
                <c:pt idx="29">
                  <c:v>41554.38542839951</c:v>
                </c:pt>
                <c:pt idx="30">
                  <c:v>415543.85428399511</c:v>
                </c:pt>
              </c:numCache>
            </c:numRef>
          </c:xVal>
          <c:yVal>
            <c:numRef>
              <c:f>'Mastercurve bestimmen'!$J$404:$J$434</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2.2701588870349419E-23</c:v>
                </c:pt>
                <c:pt idx="1">
                  <c:v>2.2701588870349416E-22</c:v>
                </c:pt>
                <c:pt idx="2">
                  <c:v>2.2701588870349419E-21</c:v>
                </c:pt>
                <c:pt idx="3">
                  <c:v>2.2701588870349417E-20</c:v>
                </c:pt>
                <c:pt idx="4">
                  <c:v>2.2701588870349415E-19</c:v>
                </c:pt>
                <c:pt idx="5">
                  <c:v>2.270158887034942E-18</c:v>
                </c:pt>
                <c:pt idx="6">
                  <c:v>2.2701588870349419E-17</c:v>
                </c:pt>
                <c:pt idx="7">
                  <c:v>2.2701588870349417E-16</c:v>
                </c:pt>
                <c:pt idx="8">
                  <c:v>2.2701588870349416E-15</c:v>
                </c:pt>
                <c:pt idx="9">
                  <c:v>2.2701588870349418E-14</c:v>
                </c:pt>
                <c:pt idx="10">
                  <c:v>2.270158887034942E-13</c:v>
                </c:pt>
                <c:pt idx="11">
                  <c:v>2.2701588870349418E-12</c:v>
                </c:pt>
                <c:pt idx="12">
                  <c:v>2.270158887034942E-11</c:v>
                </c:pt>
                <c:pt idx="13">
                  <c:v>2.270158887034942E-10</c:v>
                </c:pt>
                <c:pt idx="14">
                  <c:v>2.2701588870349419E-9</c:v>
                </c:pt>
                <c:pt idx="15">
                  <c:v>2.2701588870349417E-8</c:v>
                </c:pt>
                <c:pt idx="16">
                  <c:v>2.2701588870349418E-7</c:v>
                </c:pt>
                <c:pt idx="17">
                  <c:v>2.2701588870349417E-6</c:v>
                </c:pt>
                <c:pt idx="18">
                  <c:v>2.2701588870349416E-5</c:v>
                </c:pt>
                <c:pt idx="19">
                  <c:v>2.2701588870349418E-4</c:v>
                </c:pt>
                <c:pt idx="20">
                  <c:v>2.2701588870349416E-3</c:v>
                </c:pt>
                <c:pt idx="21">
                  <c:v>2.2701588870349419E-2</c:v>
                </c:pt>
                <c:pt idx="22">
                  <c:v>0.22701588870349418</c:v>
                </c:pt>
                <c:pt idx="23">
                  <c:v>2.2701588870349418</c:v>
                </c:pt>
                <c:pt idx="24">
                  <c:v>22.701588870349418</c:v>
                </c:pt>
                <c:pt idx="25">
                  <c:v>227.01588870349417</c:v>
                </c:pt>
                <c:pt idx="26">
                  <c:v>2270.1588870349419</c:v>
                </c:pt>
                <c:pt idx="27">
                  <c:v>22701.588870349417</c:v>
                </c:pt>
                <c:pt idx="28">
                  <c:v>227015.88870349419</c:v>
                </c:pt>
                <c:pt idx="29">
                  <c:v>2270158.8870349419</c:v>
                </c:pt>
                <c:pt idx="30">
                  <c:v>22701588.870349418</c:v>
                </c:pt>
              </c:numCache>
            </c:numRef>
          </c:xVal>
          <c:yVal>
            <c:numRef>
              <c:f>'Mastercurve bestimmen'!$K$404:$K$434</c:f>
              <c:numCache>
                <c:formatCode>0.00E+00</c:formatCode>
                <c:ptCount val="31"/>
                <c:pt idx="0">
                  <c:v>7373.6169222469052</c:v>
                </c:pt>
                <c:pt idx="1">
                  <c:v>7373.6918607149901</c:v>
                </c:pt>
                <c:pt idx="2">
                  <c:v>7373.6524650120191</c:v>
                </c:pt>
                <c:pt idx="3">
                  <c:v>7373.6422743939765</c:v>
                </c:pt>
                <c:pt idx="4">
                  <c:v>7373.6393539171686</c:v>
                </c:pt>
                <c:pt idx="5">
                  <c:v>7373.6384218505882</c:v>
                </c:pt>
                <c:pt idx="6">
                  <c:v>7373.6381732995414</c:v>
                </c:pt>
                <c:pt idx="7">
                  <c:v>7373.6380490240244</c:v>
                </c:pt>
                <c:pt idx="8">
                  <c:v>7373.6380490240244</c:v>
                </c:pt>
                <c:pt idx="9">
                  <c:v>7373.6379247485102</c:v>
                </c:pt>
                <c:pt idx="10">
                  <c:v>7373.6377383352474</c:v>
                </c:pt>
                <c:pt idx="11">
                  <c:v>7373.6350664128558</c:v>
                </c:pt>
                <c:pt idx="12">
                  <c:v>7373.6085958444728</c:v>
                </c:pt>
                <c:pt idx="13">
                  <c:v>7373.3444598084343</c:v>
                </c:pt>
                <c:pt idx="14">
                  <c:v>7370.7250016112393</c:v>
                </c:pt>
                <c:pt idx="15">
                  <c:v>7346.5860708392247</c:v>
                </c:pt>
                <c:pt idx="16">
                  <c:v>7225.4468313347925</c:v>
                </c:pt>
                <c:pt idx="17">
                  <c:v>7074.5614632967963</c:v>
                </c:pt>
                <c:pt idx="18">
                  <c:v>6837.385209483964</c:v>
                </c:pt>
                <c:pt idx="19">
                  <c:v>6289.6718355453368</c:v>
                </c:pt>
                <c:pt idx="20">
                  <c:v>5393.096219252795</c:v>
                </c:pt>
                <c:pt idx="21">
                  <c:v>4558.7271908643725</c:v>
                </c:pt>
                <c:pt idx="22">
                  <c:v>3927.5350129983676</c:v>
                </c:pt>
                <c:pt idx="23">
                  <c:v>3470.8276794707381</c:v>
                </c:pt>
                <c:pt idx="24">
                  <c:v>3119.1195128427248</c:v>
                </c:pt>
                <c:pt idx="25">
                  <c:v>2819.4631556550398</c:v>
                </c:pt>
                <c:pt idx="26">
                  <c:v>2525.9157804368465</c:v>
                </c:pt>
                <c:pt idx="27">
                  <c:v>2182.665940608038</c:v>
                </c:pt>
                <c:pt idx="28">
                  <c:v>1785.8998006119411</c:v>
                </c:pt>
                <c:pt idx="29">
                  <c:v>1337.7075606161161</c:v>
                </c:pt>
                <c:pt idx="30">
                  <c:v>864.52071218722244</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8.4546563362260539E-22</c:v>
                </c:pt>
                <c:pt idx="1">
                  <c:v>8.4546563362260543E-21</c:v>
                </c:pt>
                <c:pt idx="2">
                  <c:v>8.4546563362260534E-20</c:v>
                </c:pt>
                <c:pt idx="3">
                  <c:v>8.4546563362260539E-19</c:v>
                </c:pt>
                <c:pt idx="4">
                  <c:v>8.4546563362260533E-18</c:v>
                </c:pt>
                <c:pt idx="5">
                  <c:v>8.4546563362260545E-17</c:v>
                </c:pt>
                <c:pt idx="6">
                  <c:v>8.4546563362260538E-16</c:v>
                </c:pt>
                <c:pt idx="7">
                  <c:v>8.4546563362260538E-15</c:v>
                </c:pt>
                <c:pt idx="8">
                  <c:v>8.4546563362260538E-14</c:v>
                </c:pt>
                <c:pt idx="9">
                  <c:v>8.4546563362260536E-13</c:v>
                </c:pt>
                <c:pt idx="10">
                  <c:v>8.4546563362260552E-12</c:v>
                </c:pt>
                <c:pt idx="11">
                  <c:v>8.4546563362260539E-11</c:v>
                </c:pt>
                <c:pt idx="12">
                  <c:v>8.4546563362260539E-10</c:v>
                </c:pt>
                <c:pt idx="13">
                  <c:v>8.4546563362260539E-9</c:v>
                </c:pt>
                <c:pt idx="14">
                  <c:v>8.4546563362260545E-8</c:v>
                </c:pt>
                <c:pt idx="15">
                  <c:v>8.4546563362260537E-7</c:v>
                </c:pt>
                <c:pt idx="16">
                  <c:v>8.4546563362260542E-6</c:v>
                </c:pt>
                <c:pt idx="17">
                  <c:v>8.4546563362260542E-5</c:v>
                </c:pt>
                <c:pt idx="18">
                  <c:v>8.4546563362260534E-4</c:v>
                </c:pt>
                <c:pt idx="19">
                  <c:v>8.4546563362260536E-3</c:v>
                </c:pt>
                <c:pt idx="20">
                  <c:v>8.4546563362260532E-2</c:v>
                </c:pt>
                <c:pt idx="21">
                  <c:v>0.84546563362260541</c:v>
                </c:pt>
                <c:pt idx="22">
                  <c:v>8.4546563362260532</c:v>
                </c:pt>
                <c:pt idx="23">
                  <c:v>84.546563362260542</c:v>
                </c:pt>
                <c:pt idx="24">
                  <c:v>845.46563362260542</c:v>
                </c:pt>
                <c:pt idx="25">
                  <c:v>8454.6563362260531</c:v>
                </c:pt>
                <c:pt idx="26">
                  <c:v>84546.563362260538</c:v>
                </c:pt>
                <c:pt idx="27">
                  <c:v>845465.63362260535</c:v>
                </c:pt>
                <c:pt idx="28">
                  <c:v>8454656.3362260535</c:v>
                </c:pt>
                <c:pt idx="29">
                  <c:v>84546563.362260535</c:v>
                </c:pt>
                <c:pt idx="30">
                  <c:v>845465633.62260532</c:v>
                </c:pt>
              </c:numCache>
            </c:numRef>
          </c:xVal>
          <c:yVal>
            <c:numRef>
              <c:f>'Mastercurve bestimmen'!$L$404:$L$434</c:f>
              <c:numCache>
                <c:formatCode>0.00E+00</c:formatCode>
                <c:ptCount val="31"/>
                <c:pt idx="0">
                  <c:v>7330.9698900812818</c:v>
                </c:pt>
                <c:pt idx="1">
                  <c:v>7331.0435342500059</c:v>
                </c:pt>
                <c:pt idx="2">
                  <c:v>7331.0044701030138</c:v>
                </c:pt>
                <c:pt idx="3">
                  <c:v>7330.9943970257091</c:v>
                </c:pt>
                <c:pt idx="4">
                  <c:v>7330.991448813199</c:v>
                </c:pt>
                <c:pt idx="5">
                  <c:v>7330.990588918331</c:v>
                </c:pt>
                <c:pt idx="6">
                  <c:v>7330.9902818130686</c:v>
                </c:pt>
                <c:pt idx="7">
                  <c:v>7330.9901589709716</c:v>
                </c:pt>
                <c:pt idx="8">
                  <c:v>7330.9898518657455</c:v>
                </c:pt>
                <c:pt idx="9">
                  <c:v>7330.9873950248675</c:v>
                </c:pt>
                <c:pt idx="10">
                  <c:v>7330.962888127252</c:v>
                </c:pt>
                <c:pt idx="11">
                  <c:v>7330.7179509954649</c:v>
                </c:pt>
                <c:pt idx="12">
                  <c:v>7328.2878922672335</c:v>
                </c:pt>
                <c:pt idx="13">
                  <c:v>7305.7841813741479</c:v>
                </c:pt>
                <c:pt idx="14">
                  <c:v>7188.9840707641179</c:v>
                </c:pt>
                <c:pt idx="15">
                  <c:v>7045.3278356909095</c:v>
                </c:pt>
                <c:pt idx="16">
                  <c:v>6881.2247214769232</c:v>
                </c:pt>
                <c:pt idx="17">
                  <c:v>6633.2763958157147</c:v>
                </c:pt>
                <c:pt idx="18">
                  <c:v>6142.0459094556854</c:v>
                </c:pt>
                <c:pt idx="19">
                  <c:v>5263.2654078154883</c:v>
                </c:pt>
                <c:pt idx="20">
                  <c:v>4399.1328288595505</c:v>
                </c:pt>
                <c:pt idx="21">
                  <c:v>3757.2475587809995</c:v>
                </c:pt>
                <c:pt idx="22">
                  <c:v>3291.1531992809396</c:v>
                </c:pt>
                <c:pt idx="23">
                  <c:v>2923.3907186801598</c:v>
                </c:pt>
                <c:pt idx="24">
                  <c:v>2591.8565821190209</c:v>
                </c:pt>
                <c:pt idx="25">
                  <c:v>2227.1388397843657</c:v>
                </c:pt>
                <c:pt idx="26">
                  <c:v>1818.1045605438685</c:v>
                </c:pt>
                <c:pt idx="27">
                  <c:v>1362.7209266527218</c:v>
                </c:pt>
                <c:pt idx="28">
                  <c:v>882.60529508909428</c:v>
                </c:pt>
                <c:pt idx="29">
                  <c:v>513.97783275284667</c:v>
                </c:pt>
                <c:pt idx="30">
                  <c:v>287.95166024173568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1.9250865058659276E-19</c:v>
                </c:pt>
                <c:pt idx="1">
                  <c:v>1.9250865058659272E-18</c:v>
                </c:pt>
                <c:pt idx="2">
                  <c:v>1.9250865058659275E-17</c:v>
                </c:pt>
                <c:pt idx="3">
                  <c:v>1.9250865058659275E-16</c:v>
                </c:pt>
                <c:pt idx="4">
                  <c:v>1.9250865058659272E-15</c:v>
                </c:pt>
                <c:pt idx="5">
                  <c:v>1.9250865058659276E-14</c:v>
                </c:pt>
                <c:pt idx="6">
                  <c:v>1.9250865058659276E-13</c:v>
                </c:pt>
                <c:pt idx="7">
                  <c:v>1.9250865058659273E-12</c:v>
                </c:pt>
                <c:pt idx="8">
                  <c:v>1.9250865058659274E-11</c:v>
                </c:pt>
                <c:pt idx="9">
                  <c:v>1.9250865058659273E-10</c:v>
                </c:pt>
                <c:pt idx="10">
                  <c:v>1.9250865058659275E-9</c:v>
                </c:pt>
                <c:pt idx="11">
                  <c:v>1.9250865058659276E-8</c:v>
                </c:pt>
                <c:pt idx="12">
                  <c:v>1.9250865058659276E-7</c:v>
                </c:pt>
                <c:pt idx="13">
                  <c:v>1.9250865058659274E-6</c:v>
                </c:pt>
                <c:pt idx="14">
                  <c:v>1.9250865058659274E-5</c:v>
                </c:pt>
                <c:pt idx="15">
                  <c:v>1.9250865058659274E-4</c:v>
                </c:pt>
                <c:pt idx="16">
                  <c:v>1.9250865058659274E-3</c:v>
                </c:pt>
                <c:pt idx="17">
                  <c:v>1.9250865058659274E-2</c:v>
                </c:pt>
                <c:pt idx="18">
                  <c:v>0.19250865058659275</c:v>
                </c:pt>
                <c:pt idx="19">
                  <c:v>1.9250865058659274</c:v>
                </c:pt>
                <c:pt idx="20">
                  <c:v>19.250865058659276</c:v>
                </c:pt>
                <c:pt idx="21">
                  <c:v>192.50865058659275</c:v>
                </c:pt>
                <c:pt idx="22">
                  <c:v>1925.0865058659274</c:v>
                </c:pt>
                <c:pt idx="23">
                  <c:v>19250.865058659274</c:v>
                </c:pt>
                <c:pt idx="24">
                  <c:v>192508.65058659273</c:v>
                </c:pt>
                <c:pt idx="25">
                  <c:v>1925086.5058659273</c:v>
                </c:pt>
                <c:pt idx="26">
                  <c:v>19250865.058659274</c:v>
                </c:pt>
                <c:pt idx="27">
                  <c:v>192508650.58659273</c:v>
                </c:pt>
                <c:pt idx="28">
                  <c:v>1925086505.8659275</c:v>
                </c:pt>
                <c:pt idx="29">
                  <c:v>19250865058.659275</c:v>
                </c:pt>
                <c:pt idx="30">
                  <c:v>192508650586.59274</c:v>
                </c:pt>
              </c:numCache>
            </c:numRef>
          </c:xVal>
          <c:yVal>
            <c:numRef>
              <c:f>'Mastercurve bestimmen'!$M$404:$M$434</c:f>
              <c:numCache>
                <c:formatCode>0.00E+00</c:formatCode>
                <c:ptCount val="31"/>
                <c:pt idx="0">
                  <c:v>7287.2421568641066</c:v>
                </c:pt>
                <c:pt idx="1">
                  <c:v>7287.3146216469959</c:v>
                </c:pt>
                <c:pt idx="2">
                  <c:v>7287.2757793731034</c:v>
                </c:pt>
                <c:pt idx="3">
                  <c:v>7287.2657654165014</c:v>
                </c:pt>
                <c:pt idx="4">
                  <c:v>7287.2629129611732</c:v>
                </c:pt>
                <c:pt idx="5">
                  <c:v>7287.2618205320641</c:v>
                </c:pt>
                <c:pt idx="6">
                  <c:v>7287.2593322225375</c:v>
                </c:pt>
                <c:pt idx="7">
                  <c:v>7287.2374230339683</c:v>
                </c:pt>
                <c:pt idx="8">
                  <c:v>7287.0191880040384</c:v>
                </c:pt>
                <c:pt idx="9">
                  <c:v>7284.8522944162632</c:v>
                </c:pt>
                <c:pt idx="10">
                  <c:v>7264.6309792458533</c:v>
                </c:pt>
                <c:pt idx="11">
                  <c:v>7153.647880511483</c:v>
                </c:pt>
                <c:pt idx="12">
                  <c:v>7011.9974153857656</c:v>
                </c:pt>
                <c:pt idx="13">
                  <c:v>6854.7708758756735</c:v>
                </c:pt>
                <c:pt idx="14">
                  <c:v>6667.3368038637464</c:v>
                </c:pt>
                <c:pt idx="15">
                  <c:v>6457.8733144157241</c:v>
                </c:pt>
                <c:pt idx="16">
                  <c:v>6197.1395066404111</c:v>
                </c:pt>
                <c:pt idx="17">
                  <c:v>5728.6851502202007</c:v>
                </c:pt>
                <c:pt idx="18">
                  <c:v>4909.4106843846976</c:v>
                </c:pt>
                <c:pt idx="19">
                  <c:v>4054.6855956010618</c:v>
                </c:pt>
                <c:pt idx="20">
                  <c:v>3384.7376862720757</c:v>
                </c:pt>
                <c:pt idx="21">
                  <c:v>2867.8130883318549</c:v>
                </c:pt>
                <c:pt idx="22">
                  <c:v>2393.9219661874804</c:v>
                </c:pt>
                <c:pt idx="23">
                  <c:v>1923.0446750969861</c:v>
                </c:pt>
                <c:pt idx="24">
                  <c:v>1433.0262098856042</c:v>
                </c:pt>
                <c:pt idx="25">
                  <c:v>928.3724969127901</c:v>
                </c:pt>
                <c:pt idx="26">
                  <c:v>540.77757065756475</c:v>
                </c:pt>
                <c:pt idx="27">
                  <c:v>302.10819766520217</c:v>
                </c:pt>
                <c:pt idx="28">
                  <c:v>167.95607666429018</c:v>
                </c:pt>
                <c:pt idx="29">
                  <c:v>115.55588342611547</c:v>
                </c:pt>
                <c:pt idx="30">
                  <c:v>100.53155340781859</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7233.2784973668249</c:v>
                </c:pt>
                <c:pt idx="1">
                  <c:v>7233.3436741214491</c:v>
                </c:pt>
                <c:pt idx="2">
                  <c:v>7233.2477630478616</c:v>
                </c:pt>
                <c:pt idx="3">
                  <c:v>7232.6642193149437</c:v>
                </c:pt>
                <c:pt idx="4">
                  <c:v>7227.030574444283</c:v>
                </c:pt>
                <c:pt idx="5">
                  <c:v>7179.9574188317292</c:v>
                </c:pt>
                <c:pt idx="6">
                  <c:v>7042.6684859234238</c:v>
                </c:pt>
                <c:pt idx="7">
                  <c:v>6896.670224560311</c:v>
                </c:pt>
                <c:pt idx="8">
                  <c:v>6728.3118442587265</c:v>
                </c:pt>
                <c:pt idx="9">
                  <c:v>6522.7483495061197</c:v>
                </c:pt>
                <c:pt idx="10">
                  <c:v>6323.7668304163335</c:v>
                </c:pt>
                <c:pt idx="11">
                  <c:v>6060.8557573682765</c:v>
                </c:pt>
                <c:pt idx="12">
                  <c:v>5776.7475493188331</c:v>
                </c:pt>
                <c:pt idx="13">
                  <c:v>5495.7675366958674</c:v>
                </c:pt>
                <c:pt idx="14">
                  <c:v>5188.5996988750203</c:v>
                </c:pt>
                <c:pt idx="15">
                  <c:v>4846.1759775211867</c:v>
                </c:pt>
                <c:pt idx="16">
                  <c:v>4307.5308640863095</c:v>
                </c:pt>
                <c:pt idx="17">
                  <c:v>3424.2409160347711</c:v>
                </c:pt>
                <c:pt idx="18">
                  <c:v>2457.6306581082695</c:v>
                </c:pt>
                <c:pt idx="19">
                  <c:v>1610.938712030013</c:v>
                </c:pt>
                <c:pt idx="20">
                  <c:v>942.69111378955085</c:v>
                </c:pt>
                <c:pt idx="21">
                  <c:v>510.32470275306576</c:v>
                </c:pt>
                <c:pt idx="22">
                  <c:v>271.36767023207187</c:v>
                </c:pt>
                <c:pt idx="23">
                  <c:v>152.45647454769647</c:v>
                </c:pt>
                <c:pt idx="24">
                  <c:v>114.48528241321054</c:v>
                </c:pt>
                <c:pt idx="25">
                  <c:v>101.06517730245214</c:v>
                </c:pt>
                <c:pt idx="26">
                  <c:v>93.059878245985715</c:v>
                </c:pt>
                <c:pt idx="27">
                  <c:v>92.631968530961771</c:v>
                </c:pt>
                <c:pt idx="28">
                  <c:v>91.23127997996707</c:v>
                </c:pt>
                <c:pt idx="29">
                  <c:v>91.209911146223277</c:v>
                </c:pt>
                <c:pt idx="30">
                  <c:v>90.301560772176387</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1.1545771918054734E-7</c:v>
                </c:pt>
                <c:pt idx="1">
                  <c:v>1.1545771918054734E-6</c:v>
                </c:pt>
                <c:pt idx="2">
                  <c:v>1.1545771918054733E-5</c:v>
                </c:pt>
                <c:pt idx="3">
                  <c:v>1.1545771918054733E-4</c:v>
                </c:pt>
                <c:pt idx="4">
                  <c:v>1.1545771918054731E-3</c:v>
                </c:pt>
                <c:pt idx="5">
                  <c:v>1.1545771918054733E-2</c:v>
                </c:pt>
                <c:pt idx="6">
                  <c:v>0.11545771918054734</c:v>
                </c:pt>
                <c:pt idx="7">
                  <c:v>1.1545771918054732</c:v>
                </c:pt>
                <c:pt idx="8">
                  <c:v>11.545771918054733</c:v>
                </c:pt>
                <c:pt idx="9">
                  <c:v>115.45771918054733</c:v>
                </c:pt>
                <c:pt idx="10">
                  <c:v>1154.5771918054734</c:v>
                </c:pt>
                <c:pt idx="11">
                  <c:v>11545.771918054734</c:v>
                </c:pt>
                <c:pt idx="12">
                  <c:v>115457.71918054733</c:v>
                </c:pt>
                <c:pt idx="13">
                  <c:v>1154577.1918054733</c:v>
                </c:pt>
                <c:pt idx="14">
                  <c:v>11545771.918054733</c:v>
                </c:pt>
                <c:pt idx="15">
                  <c:v>115457719.18054733</c:v>
                </c:pt>
                <c:pt idx="16">
                  <c:v>1154577191.8054733</c:v>
                </c:pt>
                <c:pt idx="17">
                  <c:v>11545771918.054733</c:v>
                </c:pt>
                <c:pt idx="18">
                  <c:v>115457719180.54733</c:v>
                </c:pt>
                <c:pt idx="19">
                  <c:v>1154577191805.4734</c:v>
                </c:pt>
                <c:pt idx="20">
                  <c:v>11545771918054.732</c:v>
                </c:pt>
                <c:pt idx="21">
                  <c:v>115457719180547.33</c:v>
                </c:pt>
                <c:pt idx="22">
                  <c:v>1154577191805473.2</c:v>
                </c:pt>
                <c:pt idx="23">
                  <c:v>1.1545771918054732E+16</c:v>
                </c:pt>
                <c:pt idx="24">
                  <c:v>1.1545771918054733E+17</c:v>
                </c:pt>
                <c:pt idx="25">
                  <c:v>1.1545771918054733E+18</c:v>
                </c:pt>
                <c:pt idx="26">
                  <c:v>1.1545771918054732E+19</c:v>
                </c:pt>
                <c:pt idx="27">
                  <c:v>1.1545771918054733E+20</c:v>
                </c:pt>
                <c:pt idx="28">
                  <c:v>1.1545771918054733E+21</c:v>
                </c:pt>
                <c:pt idx="29">
                  <c:v>1.1545771918054734E+22</c:v>
                </c:pt>
                <c:pt idx="30">
                  <c:v>1.1545771918054732E+23</c:v>
                </c:pt>
              </c:numCache>
            </c:numRef>
          </c:xVal>
          <c:yVal>
            <c:numRef>
              <c:f>'Mastercurve bestimmen'!$O$404:$O$434</c:f>
              <c:numCache>
                <c:formatCode>0.00E+00</c:formatCode>
                <c:ptCount val="31"/>
                <c:pt idx="0">
                  <c:v>6585.7419229281086</c:v>
                </c:pt>
                <c:pt idx="1">
                  <c:v>6334.3824808152185</c:v>
                </c:pt>
                <c:pt idx="2">
                  <c:v>6097.7114849761656</c:v>
                </c:pt>
                <c:pt idx="3">
                  <c:v>5825.3419350887143</c:v>
                </c:pt>
                <c:pt idx="4">
                  <c:v>5546.9331561273084</c:v>
                </c:pt>
                <c:pt idx="5">
                  <c:v>5257.3325173232261</c:v>
                </c:pt>
                <c:pt idx="6">
                  <c:v>4943.4016945901922</c:v>
                </c:pt>
                <c:pt idx="7">
                  <c:v>4573.266252420035</c:v>
                </c:pt>
                <c:pt idx="8">
                  <c:v>4079.2740096930638</c:v>
                </c:pt>
                <c:pt idx="9">
                  <c:v>3459.2497747504567</c:v>
                </c:pt>
                <c:pt idx="10">
                  <c:v>2702.914511015118</c:v>
                </c:pt>
                <c:pt idx="11">
                  <c:v>1832.1518571214692</c:v>
                </c:pt>
                <c:pt idx="12">
                  <c:v>1105.139847553852</c:v>
                </c:pt>
                <c:pt idx="13">
                  <c:v>630.91869332772831</c:v>
                </c:pt>
                <c:pt idx="14">
                  <c:v>354.28738756335468</c:v>
                </c:pt>
                <c:pt idx="15">
                  <c:v>248.22351395532451</c:v>
                </c:pt>
                <c:pt idx="16">
                  <c:v>214.57476664013214</c:v>
                </c:pt>
                <c:pt idx="17">
                  <c:v>185.72591291449908</c:v>
                </c:pt>
                <c:pt idx="18">
                  <c:v>158.09658219581334</c:v>
                </c:pt>
                <c:pt idx="19">
                  <c:v>132.46407229952649</c:v>
                </c:pt>
                <c:pt idx="20">
                  <c:v>115.64370251909122</c:v>
                </c:pt>
                <c:pt idx="21">
                  <c:v>105.70344373363407</c:v>
                </c:pt>
                <c:pt idx="22">
                  <c:v>99.769058005183027</c:v>
                </c:pt>
                <c:pt idx="23">
                  <c:v>96.16135307969536</c:v>
                </c:pt>
                <c:pt idx="24">
                  <c:v>93.862812708921865</c:v>
                </c:pt>
                <c:pt idx="25">
                  <c:v>92.381155101656375</c:v>
                </c:pt>
                <c:pt idx="26">
                  <c:v>92.126538569786135</c:v>
                </c:pt>
                <c:pt idx="27">
                  <c:v>91.086268606556416</c:v>
                </c:pt>
                <c:pt idx="28">
                  <c:v>90.886673770022838</c:v>
                </c:pt>
                <c:pt idx="29">
                  <c:v>90.290301687552557</c:v>
                </c:pt>
                <c:pt idx="30">
                  <c:v>90.056329050223439</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6.7738876183229333E-6</c:v>
                </c:pt>
                <c:pt idx="1">
                  <c:v>6.7738876183229317E-5</c:v>
                </c:pt>
                <c:pt idx="2">
                  <c:v>6.7738876183229323E-4</c:v>
                </c:pt>
                <c:pt idx="3">
                  <c:v>6.7738876183229321E-3</c:v>
                </c:pt>
                <c:pt idx="4">
                  <c:v>6.7738876183229324E-2</c:v>
                </c:pt>
                <c:pt idx="5">
                  <c:v>0.67738876183229324</c:v>
                </c:pt>
                <c:pt idx="6">
                  <c:v>6.7738876183229326</c:v>
                </c:pt>
                <c:pt idx="7">
                  <c:v>67.738876183229323</c:v>
                </c:pt>
                <c:pt idx="8">
                  <c:v>677.3887618322932</c:v>
                </c:pt>
                <c:pt idx="9">
                  <c:v>6773.8876183229322</c:v>
                </c:pt>
                <c:pt idx="10">
                  <c:v>67738.876183229324</c:v>
                </c:pt>
                <c:pt idx="11">
                  <c:v>677388.76183229324</c:v>
                </c:pt>
                <c:pt idx="12">
                  <c:v>6773887.6183229322</c:v>
                </c:pt>
                <c:pt idx="13">
                  <c:v>67738876.183229327</c:v>
                </c:pt>
                <c:pt idx="14">
                  <c:v>677388761.83229327</c:v>
                </c:pt>
                <c:pt idx="15">
                  <c:v>6773887618.3229322</c:v>
                </c:pt>
                <c:pt idx="16">
                  <c:v>67738876183.229324</c:v>
                </c:pt>
                <c:pt idx="17">
                  <c:v>677388761832.29321</c:v>
                </c:pt>
                <c:pt idx="18">
                  <c:v>6773887618322.9326</c:v>
                </c:pt>
                <c:pt idx="19">
                  <c:v>67738876183229.32</c:v>
                </c:pt>
                <c:pt idx="20">
                  <c:v>677388761832293.25</c:v>
                </c:pt>
                <c:pt idx="21">
                  <c:v>6773887618322932</c:v>
                </c:pt>
                <c:pt idx="22">
                  <c:v>6.7738876183229328E+16</c:v>
                </c:pt>
                <c:pt idx="23">
                  <c:v>6.7738876183229325E+17</c:v>
                </c:pt>
                <c:pt idx="24">
                  <c:v>6.7738876183229327E+18</c:v>
                </c:pt>
                <c:pt idx="25">
                  <c:v>6.7738876183229325E+19</c:v>
                </c:pt>
                <c:pt idx="26">
                  <c:v>6.7738876183229327E+20</c:v>
                </c:pt>
                <c:pt idx="27">
                  <c:v>6.7738876183229319E+21</c:v>
                </c:pt>
                <c:pt idx="28">
                  <c:v>6.7738876183229321E+22</c:v>
                </c:pt>
                <c:pt idx="29">
                  <c:v>6.7738876183229321E+23</c:v>
                </c:pt>
                <c:pt idx="30">
                  <c:v>6.7738876183229321E+24</c:v>
                </c:pt>
              </c:numCache>
            </c:numRef>
          </c:xVal>
          <c:yVal>
            <c:numRef>
              <c:f>'Mastercurve bestimmen'!$P$404:$P$434</c:f>
              <c:numCache>
                <c:formatCode>0.00E+00</c:formatCode>
                <c:ptCount val="31"/>
                <c:pt idx="0">
                  <c:v>6163.9172848230364</c:v>
                </c:pt>
                <c:pt idx="1">
                  <c:v>5842.0148400129501</c:v>
                </c:pt>
                <c:pt idx="2">
                  <c:v>5557.579467209528</c:v>
                </c:pt>
                <c:pt idx="3">
                  <c:v>5275.4812921063285</c:v>
                </c:pt>
                <c:pt idx="4">
                  <c:v>4966.4021193857116</c:v>
                </c:pt>
                <c:pt idx="5">
                  <c:v>4621.0156652325422</c:v>
                </c:pt>
                <c:pt idx="6">
                  <c:v>4155.4773315838347</c:v>
                </c:pt>
                <c:pt idx="7">
                  <c:v>3566.7724920591822</c:v>
                </c:pt>
                <c:pt idx="8">
                  <c:v>2850.9447868112361</c:v>
                </c:pt>
                <c:pt idx="9">
                  <c:v>2002.5618143914935</c:v>
                </c:pt>
                <c:pt idx="10">
                  <c:v>1246.5264827258</c:v>
                </c:pt>
                <c:pt idx="11">
                  <c:v>721.62368462950201</c:v>
                </c:pt>
                <c:pt idx="12">
                  <c:v>404.72633399765499</c:v>
                </c:pt>
                <c:pt idx="13">
                  <c:v>265.07180083177406</c:v>
                </c:pt>
                <c:pt idx="14">
                  <c:v>224.4007416662501</c:v>
                </c:pt>
                <c:pt idx="15">
                  <c:v>202.49198438372559</c:v>
                </c:pt>
                <c:pt idx="16">
                  <c:v>189.83771999127222</c:v>
                </c:pt>
                <c:pt idx="17">
                  <c:v>169.86288435020435</c:v>
                </c:pt>
                <c:pt idx="18">
                  <c:v>142.29365996368665</c:v>
                </c:pt>
                <c:pt idx="19">
                  <c:v>121.71619952615258</c:v>
                </c:pt>
                <c:pt idx="20">
                  <c:v>109.27679567564616</c:v>
                </c:pt>
                <c:pt idx="21">
                  <c:v>101.92394551670053</c:v>
                </c:pt>
                <c:pt idx="22">
                  <c:v>97.501289329192588</c:v>
                </c:pt>
                <c:pt idx="23">
                  <c:v>94.712895608864457</c:v>
                </c:pt>
                <c:pt idx="24">
                  <c:v>92.92945942455529</c:v>
                </c:pt>
                <c:pt idx="25">
                  <c:v>92.006187989209394</c:v>
                </c:pt>
                <c:pt idx="26">
                  <c:v>91.763267256404887</c:v>
                </c:pt>
                <c:pt idx="27">
                  <c:v>90.809569282014081</c:v>
                </c:pt>
                <c:pt idx="28">
                  <c:v>90.794437108888047</c:v>
                </c:pt>
                <c:pt idx="29">
                  <c:v>90.157522811707935</c:v>
                </c:pt>
                <c:pt idx="30">
                  <c:v>89.913434838716469</c:v>
                </c:pt>
              </c:numCache>
            </c:numRef>
          </c:yVal>
          <c:smooth val="1"/>
        </c:ser>
        <c:dLbls>
          <c:showLegendKey val="0"/>
          <c:showVal val="0"/>
          <c:showCatName val="0"/>
          <c:showSerName val="0"/>
          <c:showPercent val="0"/>
          <c:showBubbleSize val="0"/>
        </c:dLbls>
        <c:axId val="448440400"/>
        <c:axId val="448440792"/>
      </c:scatterChart>
      <c:valAx>
        <c:axId val="448440400"/>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8440792"/>
        <c:crosses val="autoZero"/>
        <c:crossBetween val="midCat"/>
      </c:valAx>
      <c:valAx>
        <c:axId val="448440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8440400"/>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155446509366477"/>
          <c:y val="0.18948727700485571"/>
          <c:w val="0.70007204458649541"/>
          <c:h val="0.58927146811954401"/>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4.1554385428399519E-25</c:v>
                </c:pt>
                <c:pt idx="1">
                  <c:v>4.1554385428399515E-24</c:v>
                </c:pt>
                <c:pt idx="2">
                  <c:v>4.1554385428399514E-23</c:v>
                </c:pt>
                <c:pt idx="3">
                  <c:v>4.155438542839951E-22</c:v>
                </c:pt>
                <c:pt idx="4">
                  <c:v>4.1554385428399507E-21</c:v>
                </c:pt>
                <c:pt idx="5">
                  <c:v>4.1554385428399515E-20</c:v>
                </c:pt>
                <c:pt idx="6">
                  <c:v>4.1554385428399516E-19</c:v>
                </c:pt>
                <c:pt idx="7">
                  <c:v>4.1554385428399511E-18</c:v>
                </c:pt>
                <c:pt idx="8">
                  <c:v>4.155438542839951E-17</c:v>
                </c:pt>
                <c:pt idx="9">
                  <c:v>4.1554385428399507E-16</c:v>
                </c:pt>
                <c:pt idx="10">
                  <c:v>4.1554385428399511E-15</c:v>
                </c:pt>
                <c:pt idx="11">
                  <c:v>4.1554385428399513E-14</c:v>
                </c:pt>
                <c:pt idx="12">
                  <c:v>4.1554385428399512E-13</c:v>
                </c:pt>
                <c:pt idx="13">
                  <c:v>4.1554385428399516E-12</c:v>
                </c:pt>
                <c:pt idx="14">
                  <c:v>4.1554385428399514E-11</c:v>
                </c:pt>
                <c:pt idx="15">
                  <c:v>4.155438542839951E-10</c:v>
                </c:pt>
                <c:pt idx="16">
                  <c:v>4.1554385428399509E-9</c:v>
                </c:pt>
                <c:pt idx="17">
                  <c:v>4.1554385428399509E-8</c:v>
                </c:pt>
                <c:pt idx="18">
                  <c:v>4.1554385428399509E-7</c:v>
                </c:pt>
                <c:pt idx="19">
                  <c:v>4.1554385428399512E-6</c:v>
                </c:pt>
                <c:pt idx="20">
                  <c:v>4.1554385428399512E-5</c:v>
                </c:pt>
                <c:pt idx="21">
                  <c:v>4.155438542839951E-4</c:v>
                </c:pt>
                <c:pt idx="22">
                  <c:v>4.155438542839951E-3</c:v>
                </c:pt>
                <c:pt idx="23">
                  <c:v>4.155438542839951E-2</c:v>
                </c:pt>
                <c:pt idx="24">
                  <c:v>0.4155438542839951</c:v>
                </c:pt>
                <c:pt idx="25">
                  <c:v>4.155438542839951</c:v>
                </c:pt>
                <c:pt idx="26">
                  <c:v>41.554385428399513</c:v>
                </c:pt>
                <c:pt idx="27">
                  <c:v>415.54385428399513</c:v>
                </c:pt>
                <c:pt idx="28">
                  <c:v>4155.438542839951</c:v>
                </c:pt>
                <c:pt idx="29">
                  <c:v>41554.38542839951</c:v>
                </c:pt>
                <c:pt idx="30">
                  <c:v>415543.85428399511</c:v>
                </c:pt>
              </c:numCache>
            </c:numRef>
          </c:xVal>
          <c:yVal>
            <c:numRef>
              <c:f>'Mastercurve bestimmen'!$J$404:$J$434</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2.2701588870349419E-23</c:v>
                </c:pt>
                <c:pt idx="1">
                  <c:v>2.2701588870349416E-22</c:v>
                </c:pt>
                <c:pt idx="2">
                  <c:v>2.2701588870349419E-21</c:v>
                </c:pt>
                <c:pt idx="3">
                  <c:v>2.2701588870349417E-20</c:v>
                </c:pt>
                <c:pt idx="4">
                  <c:v>2.2701588870349415E-19</c:v>
                </c:pt>
                <c:pt idx="5">
                  <c:v>2.270158887034942E-18</c:v>
                </c:pt>
                <c:pt idx="6">
                  <c:v>2.2701588870349419E-17</c:v>
                </c:pt>
                <c:pt idx="7">
                  <c:v>2.2701588870349417E-16</c:v>
                </c:pt>
                <c:pt idx="8">
                  <c:v>2.2701588870349416E-15</c:v>
                </c:pt>
                <c:pt idx="9">
                  <c:v>2.2701588870349418E-14</c:v>
                </c:pt>
                <c:pt idx="10">
                  <c:v>2.270158887034942E-13</c:v>
                </c:pt>
                <c:pt idx="11">
                  <c:v>2.2701588870349418E-12</c:v>
                </c:pt>
                <c:pt idx="12">
                  <c:v>2.270158887034942E-11</c:v>
                </c:pt>
                <c:pt idx="13">
                  <c:v>2.270158887034942E-10</c:v>
                </c:pt>
                <c:pt idx="14">
                  <c:v>2.2701588870349419E-9</c:v>
                </c:pt>
                <c:pt idx="15">
                  <c:v>2.2701588870349417E-8</c:v>
                </c:pt>
                <c:pt idx="16">
                  <c:v>2.2701588870349418E-7</c:v>
                </c:pt>
                <c:pt idx="17">
                  <c:v>2.2701588870349417E-6</c:v>
                </c:pt>
                <c:pt idx="18">
                  <c:v>2.2701588870349416E-5</c:v>
                </c:pt>
                <c:pt idx="19">
                  <c:v>2.2701588870349418E-4</c:v>
                </c:pt>
                <c:pt idx="20">
                  <c:v>2.2701588870349416E-3</c:v>
                </c:pt>
                <c:pt idx="21">
                  <c:v>2.2701588870349419E-2</c:v>
                </c:pt>
                <c:pt idx="22">
                  <c:v>0.22701588870349418</c:v>
                </c:pt>
                <c:pt idx="23">
                  <c:v>2.2701588870349418</c:v>
                </c:pt>
                <c:pt idx="24">
                  <c:v>22.701588870349418</c:v>
                </c:pt>
                <c:pt idx="25">
                  <c:v>227.01588870349417</c:v>
                </c:pt>
                <c:pt idx="26">
                  <c:v>2270.1588870349419</c:v>
                </c:pt>
                <c:pt idx="27">
                  <c:v>22701.588870349417</c:v>
                </c:pt>
                <c:pt idx="28">
                  <c:v>227015.88870349419</c:v>
                </c:pt>
                <c:pt idx="29">
                  <c:v>2270158.8870349419</c:v>
                </c:pt>
                <c:pt idx="30">
                  <c:v>22701588.870349418</c:v>
                </c:pt>
              </c:numCache>
            </c:numRef>
          </c:xVal>
          <c:yVal>
            <c:numRef>
              <c:f>'Mastercurve bestimmen'!$K$404:$K$434</c:f>
              <c:numCache>
                <c:formatCode>0.00E+00</c:formatCode>
                <c:ptCount val="31"/>
                <c:pt idx="0">
                  <c:v>7373.6169222469052</c:v>
                </c:pt>
                <c:pt idx="1">
                  <c:v>7373.6918607149901</c:v>
                </c:pt>
                <c:pt idx="2">
                  <c:v>7373.6524650120191</c:v>
                </c:pt>
                <c:pt idx="3">
                  <c:v>7373.6422743939765</c:v>
                </c:pt>
                <c:pt idx="4">
                  <c:v>7373.6393539171686</c:v>
                </c:pt>
                <c:pt idx="5">
                  <c:v>7373.6384218505882</c:v>
                </c:pt>
                <c:pt idx="6">
                  <c:v>7373.6381732995414</c:v>
                </c:pt>
                <c:pt idx="7">
                  <c:v>7373.6380490240244</c:v>
                </c:pt>
                <c:pt idx="8">
                  <c:v>7373.6380490240244</c:v>
                </c:pt>
                <c:pt idx="9">
                  <c:v>7373.6379247485102</c:v>
                </c:pt>
                <c:pt idx="10">
                  <c:v>7373.6377383352474</c:v>
                </c:pt>
                <c:pt idx="11">
                  <c:v>7373.6350664128558</c:v>
                </c:pt>
                <c:pt idx="12">
                  <c:v>7373.6085958444728</c:v>
                </c:pt>
                <c:pt idx="13">
                  <c:v>7373.3444598084343</c:v>
                </c:pt>
                <c:pt idx="14">
                  <c:v>7370.7250016112393</c:v>
                </c:pt>
                <c:pt idx="15">
                  <c:v>7346.5860708392247</c:v>
                </c:pt>
                <c:pt idx="16">
                  <c:v>7225.4468313347925</c:v>
                </c:pt>
                <c:pt idx="17">
                  <c:v>7074.5614632967963</c:v>
                </c:pt>
                <c:pt idx="18">
                  <c:v>6837.385209483964</c:v>
                </c:pt>
                <c:pt idx="19">
                  <c:v>6289.6718355453368</c:v>
                </c:pt>
                <c:pt idx="20">
                  <c:v>5393.096219252795</c:v>
                </c:pt>
                <c:pt idx="21">
                  <c:v>4558.7271908643725</c:v>
                </c:pt>
                <c:pt idx="22">
                  <c:v>3927.5350129983676</c:v>
                </c:pt>
                <c:pt idx="23">
                  <c:v>3470.8276794707381</c:v>
                </c:pt>
                <c:pt idx="24">
                  <c:v>3119.1195128427248</c:v>
                </c:pt>
                <c:pt idx="25">
                  <c:v>2819.4631556550398</c:v>
                </c:pt>
                <c:pt idx="26">
                  <c:v>2525.9157804368465</c:v>
                </c:pt>
                <c:pt idx="27">
                  <c:v>2182.665940608038</c:v>
                </c:pt>
                <c:pt idx="28">
                  <c:v>1785.8998006119411</c:v>
                </c:pt>
                <c:pt idx="29">
                  <c:v>1337.7075606161161</c:v>
                </c:pt>
                <c:pt idx="30">
                  <c:v>864.52071218722244</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8.4546563362260539E-22</c:v>
                </c:pt>
                <c:pt idx="1">
                  <c:v>8.4546563362260543E-21</c:v>
                </c:pt>
                <c:pt idx="2">
                  <c:v>8.4546563362260534E-20</c:v>
                </c:pt>
                <c:pt idx="3">
                  <c:v>8.4546563362260539E-19</c:v>
                </c:pt>
                <c:pt idx="4">
                  <c:v>8.4546563362260533E-18</c:v>
                </c:pt>
                <c:pt idx="5">
                  <c:v>8.4546563362260545E-17</c:v>
                </c:pt>
                <c:pt idx="6">
                  <c:v>8.4546563362260538E-16</c:v>
                </c:pt>
                <c:pt idx="7">
                  <c:v>8.4546563362260538E-15</c:v>
                </c:pt>
                <c:pt idx="8">
                  <c:v>8.4546563362260538E-14</c:v>
                </c:pt>
                <c:pt idx="9">
                  <c:v>8.4546563362260536E-13</c:v>
                </c:pt>
                <c:pt idx="10">
                  <c:v>8.4546563362260552E-12</c:v>
                </c:pt>
                <c:pt idx="11">
                  <c:v>8.4546563362260539E-11</c:v>
                </c:pt>
                <c:pt idx="12">
                  <c:v>8.4546563362260539E-10</c:v>
                </c:pt>
                <c:pt idx="13">
                  <c:v>8.4546563362260539E-9</c:v>
                </c:pt>
                <c:pt idx="14">
                  <c:v>8.4546563362260545E-8</c:v>
                </c:pt>
                <c:pt idx="15">
                  <c:v>8.4546563362260537E-7</c:v>
                </c:pt>
                <c:pt idx="16">
                  <c:v>8.4546563362260542E-6</c:v>
                </c:pt>
                <c:pt idx="17">
                  <c:v>8.4546563362260542E-5</c:v>
                </c:pt>
                <c:pt idx="18">
                  <c:v>8.4546563362260534E-4</c:v>
                </c:pt>
                <c:pt idx="19">
                  <c:v>8.4546563362260536E-3</c:v>
                </c:pt>
                <c:pt idx="20">
                  <c:v>8.4546563362260532E-2</c:v>
                </c:pt>
                <c:pt idx="21">
                  <c:v>0.84546563362260541</c:v>
                </c:pt>
                <c:pt idx="22">
                  <c:v>8.4546563362260532</c:v>
                </c:pt>
                <c:pt idx="23">
                  <c:v>84.546563362260542</c:v>
                </c:pt>
                <c:pt idx="24">
                  <c:v>845.46563362260542</c:v>
                </c:pt>
                <c:pt idx="25">
                  <c:v>8454.6563362260531</c:v>
                </c:pt>
                <c:pt idx="26">
                  <c:v>84546.563362260538</c:v>
                </c:pt>
                <c:pt idx="27">
                  <c:v>845465.63362260535</c:v>
                </c:pt>
                <c:pt idx="28">
                  <c:v>8454656.3362260535</c:v>
                </c:pt>
                <c:pt idx="29">
                  <c:v>84546563.362260535</c:v>
                </c:pt>
                <c:pt idx="30">
                  <c:v>845465633.62260532</c:v>
                </c:pt>
              </c:numCache>
            </c:numRef>
          </c:xVal>
          <c:yVal>
            <c:numRef>
              <c:f>'Mastercurve bestimmen'!$L$404:$L$434</c:f>
              <c:numCache>
                <c:formatCode>0.00E+00</c:formatCode>
                <c:ptCount val="31"/>
                <c:pt idx="0">
                  <c:v>7330.9698900812818</c:v>
                </c:pt>
                <c:pt idx="1">
                  <c:v>7331.0435342500059</c:v>
                </c:pt>
                <c:pt idx="2">
                  <c:v>7331.0044701030138</c:v>
                </c:pt>
                <c:pt idx="3">
                  <c:v>7330.9943970257091</c:v>
                </c:pt>
                <c:pt idx="4">
                  <c:v>7330.991448813199</c:v>
                </c:pt>
                <c:pt idx="5">
                  <c:v>7330.990588918331</c:v>
                </c:pt>
                <c:pt idx="6">
                  <c:v>7330.9902818130686</c:v>
                </c:pt>
                <c:pt idx="7">
                  <c:v>7330.9901589709716</c:v>
                </c:pt>
                <c:pt idx="8">
                  <c:v>7330.9898518657455</c:v>
                </c:pt>
                <c:pt idx="9">
                  <c:v>7330.9873950248675</c:v>
                </c:pt>
                <c:pt idx="10">
                  <c:v>7330.962888127252</c:v>
                </c:pt>
                <c:pt idx="11">
                  <c:v>7330.7179509954649</c:v>
                </c:pt>
                <c:pt idx="12">
                  <c:v>7328.2878922672335</c:v>
                </c:pt>
                <c:pt idx="13">
                  <c:v>7305.7841813741479</c:v>
                </c:pt>
                <c:pt idx="14">
                  <c:v>7188.9840707641179</c:v>
                </c:pt>
                <c:pt idx="15">
                  <c:v>7045.3278356909095</c:v>
                </c:pt>
                <c:pt idx="16">
                  <c:v>6881.2247214769232</c:v>
                </c:pt>
                <c:pt idx="17">
                  <c:v>6633.2763958157147</c:v>
                </c:pt>
                <c:pt idx="18">
                  <c:v>6142.0459094556854</c:v>
                </c:pt>
                <c:pt idx="19">
                  <c:v>5263.2654078154883</c:v>
                </c:pt>
                <c:pt idx="20">
                  <c:v>4399.1328288595505</c:v>
                </c:pt>
                <c:pt idx="21">
                  <c:v>3757.2475587809995</c:v>
                </c:pt>
                <c:pt idx="22">
                  <c:v>3291.1531992809396</c:v>
                </c:pt>
                <c:pt idx="23">
                  <c:v>2923.3907186801598</c:v>
                </c:pt>
                <c:pt idx="24">
                  <c:v>2591.8565821190209</c:v>
                </c:pt>
                <c:pt idx="25">
                  <c:v>2227.1388397843657</c:v>
                </c:pt>
                <c:pt idx="26">
                  <c:v>1818.1045605438685</c:v>
                </c:pt>
                <c:pt idx="27">
                  <c:v>1362.7209266527218</c:v>
                </c:pt>
                <c:pt idx="28">
                  <c:v>882.60529508909428</c:v>
                </c:pt>
                <c:pt idx="29">
                  <c:v>513.97783275284667</c:v>
                </c:pt>
                <c:pt idx="30">
                  <c:v>287.95166024173568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1.9250865058659276E-19</c:v>
                </c:pt>
                <c:pt idx="1">
                  <c:v>1.9250865058659272E-18</c:v>
                </c:pt>
                <c:pt idx="2">
                  <c:v>1.9250865058659275E-17</c:v>
                </c:pt>
                <c:pt idx="3">
                  <c:v>1.9250865058659275E-16</c:v>
                </c:pt>
                <c:pt idx="4">
                  <c:v>1.9250865058659272E-15</c:v>
                </c:pt>
                <c:pt idx="5">
                  <c:v>1.9250865058659276E-14</c:v>
                </c:pt>
                <c:pt idx="6">
                  <c:v>1.9250865058659276E-13</c:v>
                </c:pt>
                <c:pt idx="7">
                  <c:v>1.9250865058659273E-12</c:v>
                </c:pt>
                <c:pt idx="8">
                  <c:v>1.9250865058659274E-11</c:v>
                </c:pt>
                <c:pt idx="9">
                  <c:v>1.9250865058659273E-10</c:v>
                </c:pt>
                <c:pt idx="10">
                  <c:v>1.9250865058659275E-9</c:v>
                </c:pt>
                <c:pt idx="11">
                  <c:v>1.9250865058659276E-8</c:v>
                </c:pt>
                <c:pt idx="12">
                  <c:v>1.9250865058659276E-7</c:v>
                </c:pt>
                <c:pt idx="13">
                  <c:v>1.9250865058659274E-6</c:v>
                </c:pt>
                <c:pt idx="14">
                  <c:v>1.9250865058659274E-5</c:v>
                </c:pt>
                <c:pt idx="15">
                  <c:v>1.9250865058659274E-4</c:v>
                </c:pt>
                <c:pt idx="16">
                  <c:v>1.9250865058659274E-3</c:v>
                </c:pt>
                <c:pt idx="17">
                  <c:v>1.9250865058659274E-2</c:v>
                </c:pt>
                <c:pt idx="18">
                  <c:v>0.19250865058659275</c:v>
                </c:pt>
                <c:pt idx="19">
                  <c:v>1.9250865058659274</c:v>
                </c:pt>
                <c:pt idx="20">
                  <c:v>19.250865058659276</c:v>
                </c:pt>
                <c:pt idx="21">
                  <c:v>192.50865058659275</c:v>
                </c:pt>
                <c:pt idx="22">
                  <c:v>1925.0865058659274</c:v>
                </c:pt>
                <c:pt idx="23">
                  <c:v>19250.865058659274</c:v>
                </c:pt>
                <c:pt idx="24">
                  <c:v>192508.65058659273</c:v>
                </c:pt>
                <c:pt idx="25">
                  <c:v>1925086.5058659273</c:v>
                </c:pt>
                <c:pt idx="26">
                  <c:v>19250865.058659274</c:v>
                </c:pt>
                <c:pt idx="27">
                  <c:v>192508650.58659273</c:v>
                </c:pt>
                <c:pt idx="28">
                  <c:v>1925086505.8659275</c:v>
                </c:pt>
                <c:pt idx="29">
                  <c:v>19250865058.659275</c:v>
                </c:pt>
                <c:pt idx="30">
                  <c:v>192508650586.59274</c:v>
                </c:pt>
              </c:numCache>
            </c:numRef>
          </c:xVal>
          <c:yVal>
            <c:numRef>
              <c:f>'Mastercurve bestimmen'!$M$404:$M$434</c:f>
              <c:numCache>
                <c:formatCode>0.00E+00</c:formatCode>
                <c:ptCount val="31"/>
                <c:pt idx="0">
                  <c:v>7287.2421568641066</c:v>
                </c:pt>
                <c:pt idx="1">
                  <c:v>7287.3146216469959</c:v>
                </c:pt>
                <c:pt idx="2">
                  <c:v>7287.2757793731034</c:v>
                </c:pt>
                <c:pt idx="3">
                  <c:v>7287.2657654165014</c:v>
                </c:pt>
                <c:pt idx="4">
                  <c:v>7287.2629129611732</c:v>
                </c:pt>
                <c:pt idx="5">
                  <c:v>7287.2618205320641</c:v>
                </c:pt>
                <c:pt idx="6">
                  <c:v>7287.2593322225375</c:v>
                </c:pt>
                <c:pt idx="7">
                  <c:v>7287.2374230339683</c:v>
                </c:pt>
                <c:pt idx="8">
                  <c:v>7287.0191880040384</c:v>
                </c:pt>
                <c:pt idx="9">
                  <c:v>7284.8522944162632</c:v>
                </c:pt>
                <c:pt idx="10">
                  <c:v>7264.6309792458533</c:v>
                </c:pt>
                <c:pt idx="11">
                  <c:v>7153.647880511483</c:v>
                </c:pt>
                <c:pt idx="12">
                  <c:v>7011.9974153857656</c:v>
                </c:pt>
                <c:pt idx="13">
                  <c:v>6854.7708758756735</c:v>
                </c:pt>
                <c:pt idx="14">
                  <c:v>6667.3368038637464</c:v>
                </c:pt>
                <c:pt idx="15">
                  <c:v>6457.8733144157241</c:v>
                </c:pt>
                <c:pt idx="16">
                  <c:v>6197.1395066404111</c:v>
                </c:pt>
                <c:pt idx="17">
                  <c:v>5728.6851502202007</c:v>
                </c:pt>
                <c:pt idx="18">
                  <c:v>4909.4106843846976</c:v>
                </c:pt>
                <c:pt idx="19">
                  <c:v>4054.6855956010618</c:v>
                </c:pt>
                <c:pt idx="20">
                  <c:v>3384.7376862720757</c:v>
                </c:pt>
                <c:pt idx="21">
                  <c:v>2867.8130883318549</c:v>
                </c:pt>
                <c:pt idx="22">
                  <c:v>2393.9219661874804</c:v>
                </c:pt>
                <c:pt idx="23">
                  <c:v>1923.0446750969861</c:v>
                </c:pt>
                <c:pt idx="24">
                  <c:v>1433.0262098856042</c:v>
                </c:pt>
                <c:pt idx="25">
                  <c:v>928.3724969127901</c:v>
                </c:pt>
                <c:pt idx="26">
                  <c:v>540.77757065756475</c:v>
                </c:pt>
                <c:pt idx="27">
                  <c:v>302.10819766520217</c:v>
                </c:pt>
                <c:pt idx="28">
                  <c:v>167.95607666429018</c:v>
                </c:pt>
                <c:pt idx="29">
                  <c:v>115.55588342611547</c:v>
                </c:pt>
                <c:pt idx="30">
                  <c:v>100.53155340781859</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7233.2784973668249</c:v>
                </c:pt>
                <c:pt idx="1">
                  <c:v>7233.3436741214491</c:v>
                </c:pt>
                <c:pt idx="2">
                  <c:v>7233.2477630478616</c:v>
                </c:pt>
                <c:pt idx="3">
                  <c:v>7232.6642193149437</c:v>
                </c:pt>
                <c:pt idx="4">
                  <c:v>7227.030574444283</c:v>
                </c:pt>
                <c:pt idx="5">
                  <c:v>7179.9574188317292</c:v>
                </c:pt>
                <c:pt idx="6">
                  <c:v>7042.6684859234238</c:v>
                </c:pt>
                <c:pt idx="7">
                  <c:v>6896.670224560311</c:v>
                </c:pt>
                <c:pt idx="8">
                  <c:v>6728.3118442587265</c:v>
                </c:pt>
                <c:pt idx="9">
                  <c:v>6522.7483495061197</c:v>
                </c:pt>
                <c:pt idx="10">
                  <c:v>6323.7668304163335</c:v>
                </c:pt>
                <c:pt idx="11">
                  <c:v>6060.8557573682765</c:v>
                </c:pt>
                <c:pt idx="12">
                  <c:v>5776.7475493188331</c:v>
                </c:pt>
                <c:pt idx="13">
                  <c:v>5495.7675366958674</c:v>
                </c:pt>
                <c:pt idx="14">
                  <c:v>5188.5996988750203</c:v>
                </c:pt>
                <c:pt idx="15">
                  <c:v>4846.1759775211867</c:v>
                </c:pt>
                <c:pt idx="16">
                  <c:v>4307.5308640863095</c:v>
                </c:pt>
                <c:pt idx="17">
                  <c:v>3424.2409160347711</c:v>
                </c:pt>
                <c:pt idx="18">
                  <c:v>2457.6306581082695</c:v>
                </c:pt>
                <c:pt idx="19">
                  <c:v>1610.938712030013</c:v>
                </c:pt>
                <c:pt idx="20">
                  <c:v>942.69111378955085</c:v>
                </c:pt>
                <c:pt idx="21">
                  <c:v>510.32470275306576</c:v>
                </c:pt>
                <c:pt idx="22">
                  <c:v>271.36767023207187</c:v>
                </c:pt>
                <c:pt idx="23">
                  <c:v>152.45647454769647</c:v>
                </c:pt>
                <c:pt idx="24">
                  <c:v>114.48528241321054</c:v>
                </c:pt>
                <c:pt idx="25">
                  <c:v>101.06517730245214</c:v>
                </c:pt>
                <c:pt idx="26">
                  <c:v>93.059878245985715</c:v>
                </c:pt>
                <c:pt idx="27">
                  <c:v>92.631968530961771</c:v>
                </c:pt>
                <c:pt idx="28">
                  <c:v>91.23127997996707</c:v>
                </c:pt>
                <c:pt idx="29">
                  <c:v>91.209911146223277</c:v>
                </c:pt>
                <c:pt idx="30">
                  <c:v>90.301560772176387</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1.1545771918054734E-7</c:v>
                </c:pt>
                <c:pt idx="1">
                  <c:v>1.1545771918054734E-6</c:v>
                </c:pt>
                <c:pt idx="2">
                  <c:v>1.1545771918054733E-5</c:v>
                </c:pt>
                <c:pt idx="3">
                  <c:v>1.1545771918054733E-4</c:v>
                </c:pt>
                <c:pt idx="4">
                  <c:v>1.1545771918054731E-3</c:v>
                </c:pt>
                <c:pt idx="5">
                  <c:v>1.1545771918054733E-2</c:v>
                </c:pt>
                <c:pt idx="6">
                  <c:v>0.11545771918054734</c:v>
                </c:pt>
                <c:pt idx="7">
                  <c:v>1.1545771918054732</c:v>
                </c:pt>
                <c:pt idx="8">
                  <c:v>11.545771918054733</c:v>
                </c:pt>
                <c:pt idx="9">
                  <c:v>115.45771918054733</c:v>
                </c:pt>
                <c:pt idx="10">
                  <c:v>1154.5771918054734</c:v>
                </c:pt>
                <c:pt idx="11">
                  <c:v>11545.771918054734</c:v>
                </c:pt>
                <c:pt idx="12">
                  <c:v>115457.71918054733</c:v>
                </c:pt>
                <c:pt idx="13">
                  <c:v>1154577.1918054733</c:v>
                </c:pt>
                <c:pt idx="14">
                  <c:v>11545771.918054733</c:v>
                </c:pt>
                <c:pt idx="15">
                  <c:v>115457719.18054733</c:v>
                </c:pt>
                <c:pt idx="16">
                  <c:v>1154577191.8054733</c:v>
                </c:pt>
                <c:pt idx="17">
                  <c:v>11545771918.054733</c:v>
                </c:pt>
                <c:pt idx="18">
                  <c:v>115457719180.54733</c:v>
                </c:pt>
                <c:pt idx="19">
                  <c:v>1154577191805.4734</c:v>
                </c:pt>
                <c:pt idx="20">
                  <c:v>11545771918054.732</c:v>
                </c:pt>
                <c:pt idx="21">
                  <c:v>115457719180547.33</c:v>
                </c:pt>
                <c:pt idx="22">
                  <c:v>1154577191805473.2</c:v>
                </c:pt>
                <c:pt idx="23">
                  <c:v>1.1545771918054732E+16</c:v>
                </c:pt>
                <c:pt idx="24">
                  <c:v>1.1545771918054733E+17</c:v>
                </c:pt>
                <c:pt idx="25">
                  <c:v>1.1545771918054733E+18</c:v>
                </c:pt>
                <c:pt idx="26">
                  <c:v>1.1545771918054732E+19</c:v>
                </c:pt>
                <c:pt idx="27">
                  <c:v>1.1545771918054733E+20</c:v>
                </c:pt>
                <c:pt idx="28">
                  <c:v>1.1545771918054733E+21</c:v>
                </c:pt>
                <c:pt idx="29">
                  <c:v>1.1545771918054734E+22</c:v>
                </c:pt>
                <c:pt idx="30">
                  <c:v>1.1545771918054732E+23</c:v>
                </c:pt>
              </c:numCache>
            </c:numRef>
          </c:xVal>
          <c:yVal>
            <c:numRef>
              <c:f>'Mastercurve bestimmen'!$O$404:$O$434</c:f>
              <c:numCache>
                <c:formatCode>0.00E+00</c:formatCode>
                <c:ptCount val="31"/>
                <c:pt idx="0">
                  <c:v>6585.7419229281086</c:v>
                </c:pt>
                <c:pt idx="1">
                  <c:v>6334.3824808152185</c:v>
                </c:pt>
                <c:pt idx="2">
                  <c:v>6097.7114849761656</c:v>
                </c:pt>
                <c:pt idx="3">
                  <c:v>5825.3419350887143</c:v>
                </c:pt>
                <c:pt idx="4">
                  <c:v>5546.9331561273084</c:v>
                </c:pt>
                <c:pt idx="5">
                  <c:v>5257.3325173232261</c:v>
                </c:pt>
                <c:pt idx="6">
                  <c:v>4943.4016945901922</c:v>
                </c:pt>
                <c:pt idx="7">
                  <c:v>4573.266252420035</c:v>
                </c:pt>
                <c:pt idx="8">
                  <c:v>4079.2740096930638</c:v>
                </c:pt>
                <c:pt idx="9">
                  <c:v>3459.2497747504567</c:v>
                </c:pt>
                <c:pt idx="10">
                  <c:v>2702.914511015118</c:v>
                </c:pt>
                <c:pt idx="11">
                  <c:v>1832.1518571214692</c:v>
                </c:pt>
                <c:pt idx="12">
                  <c:v>1105.139847553852</c:v>
                </c:pt>
                <c:pt idx="13">
                  <c:v>630.91869332772831</c:v>
                </c:pt>
                <c:pt idx="14">
                  <c:v>354.28738756335468</c:v>
                </c:pt>
                <c:pt idx="15">
                  <c:v>248.22351395532451</c:v>
                </c:pt>
                <c:pt idx="16">
                  <c:v>214.57476664013214</c:v>
                </c:pt>
                <c:pt idx="17">
                  <c:v>185.72591291449908</c:v>
                </c:pt>
                <c:pt idx="18">
                  <c:v>158.09658219581334</c:v>
                </c:pt>
                <c:pt idx="19">
                  <c:v>132.46407229952649</c:v>
                </c:pt>
                <c:pt idx="20">
                  <c:v>115.64370251909122</c:v>
                </c:pt>
                <c:pt idx="21">
                  <c:v>105.70344373363407</c:v>
                </c:pt>
                <c:pt idx="22">
                  <c:v>99.769058005183027</c:v>
                </c:pt>
                <c:pt idx="23">
                  <c:v>96.16135307969536</c:v>
                </c:pt>
                <c:pt idx="24">
                  <c:v>93.862812708921865</c:v>
                </c:pt>
                <c:pt idx="25">
                  <c:v>92.381155101656375</c:v>
                </c:pt>
                <c:pt idx="26">
                  <c:v>92.126538569786135</c:v>
                </c:pt>
                <c:pt idx="27">
                  <c:v>91.086268606556416</c:v>
                </c:pt>
                <c:pt idx="28">
                  <c:v>90.886673770022838</c:v>
                </c:pt>
                <c:pt idx="29">
                  <c:v>90.290301687552557</c:v>
                </c:pt>
                <c:pt idx="30">
                  <c:v>90.056329050223439</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6.7738876183229333E-6</c:v>
                </c:pt>
                <c:pt idx="1">
                  <c:v>6.7738876183229317E-5</c:v>
                </c:pt>
                <c:pt idx="2">
                  <c:v>6.7738876183229323E-4</c:v>
                </c:pt>
                <c:pt idx="3">
                  <c:v>6.7738876183229321E-3</c:v>
                </c:pt>
                <c:pt idx="4">
                  <c:v>6.7738876183229324E-2</c:v>
                </c:pt>
                <c:pt idx="5">
                  <c:v>0.67738876183229324</c:v>
                </c:pt>
                <c:pt idx="6">
                  <c:v>6.7738876183229326</c:v>
                </c:pt>
                <c:pt idx="7">
                  <c:v>67.738876183229323</c:v>
                </c:pt>
                <c:pt idx="8">
                  <c:v>677.3887618322932</c:v>
                </c:pt>
                <c:pt idx="9">
                  <c:v>6773.8876183229322</c:v>
                </c:pt>
                <c:pt idx="10">
                  <c:v>67738.876183229324</c:v>
                </c:pt>
                <c:pt idx="11">
                  <c:v>677388.76183229324</c:v>
                </c:pt>
                <c:pt idx="12">
                  <c:v>6773887.6183229322</c:v>
                </c:pt>
                <c:pt idx="13">
                  <c:v>67738876.183229327</c:v>
                </c:pt>
                <c:pt idx="14">
                  <c:v>677388761.83229327</c:v>
                </c:pt>
                <c:pt idx="15">
                  <c:v>6773887618.3229322</c:v>
                </c:pt>
                <c:pt idx="16">
                  <c:v>67738876183.229324</c:v>
                </c:pt>
                <c:pt idx="17">
                  <c:v>677388761832.29321</c:v>
                </c:pt>
                <c:pt idx="18">
                  <c:v>6773887618322.9326</c:v>
                </c:pt>
                <c:pt idx="19">
                  <c:v>67738876183229.32</c:v>
                </c:pt>
                <c:pt idx="20">
                  <c:v>677388761832293.25</c:v>
                </c:pt>
                <c:pt idx="21">
                  <c:v>6773887618322932</c:v>
                </c:pt>
                <c:pt idx="22">
                  <c:v>6.7738876183229328E+16</c:v>
                </c:pt>
                <c:pt idx="23">
                  <c:v>6.7738876183229325E+17</c:v>
                </c:pt>
                <c:pt idx="24">
                  <c:v>6.7738876183229327E+18</c:v>
                </c:pt>
                <c:pt idx="25">
                  <c:v>6.7738876183229325E+19</c:v>
                </c:pt>
                <c:pt idx="26">
                  <c:v>6.7738876183229327E+20</c:v>
                </c:pt>
                <c:pt idx="27">
                  <c:v>6.7738876183229319E+21</c:v>
                </c:pt>
                <c:pt idx="28">
                  <c:v>6.7738876183229321E+22</c:v>
                </c:pt>
                <c:pt idx="29">
                  <c:v>6.7738876183229321E+23</c:v>
                </c:pt>
                <c:pt idx="30">
                  <c:v>6.7738876183229321E+24</c:v>
                </c:pt>
              </c:numCache>
            </c:numRef>
          </c:xVal>
          <c:yVal>
            <c:numRef>
              <c:f>'Mastercurve bestimmen'!$P$404:$P$434</c:f>
              <c:numCache>
                <c:formatCode>0.00E+00</c:formatCode>
                <c:ptCount val="31"/>
                <c:pt idx="0">
                  <c:v>6163.9172848230364</c:v>
                </c:pt>
                <c:pt idx="1">
                  <c:v>5842.0148400129501</c:v>
                </c:pt>
                <c:pt idx="2">
                  <c:v>5557.579467209528</c:v>
                </c:pt>
                <c:pt idx="3">
                  <c:v>5275.4812921063285</c:v>
                </c:pt>
                <c:pt idx="4">
                  <c:v>4966.4021193857116</c:v>
                </c:pt>
                <c:pt idx="5">
                  <c:v>4621.0156652325422</c:v>
                </c:pt>
                <c:pt idx="6">
                  <c:v>4155.4773315838347</c:v>
                </c:pt>
                <c:pt idx="7">
                  <c:v>3566.7724920591822</c:v>
                </c:pt>
                <c:pt idx="8">
                  <c:v>2850.9447868112361</c:v>
                </c:pt>
                <c:pt idx="9">
                  <c:v>2002.5618143914935</c:v>
                </c:pt>
                <c:pt idx="10">
                  <c:v>1246.5264827258</c:v>
                </c:pt>
                <c:pt idx="11">
                  <c:v>721.62368462950201</c:v>
                </c:pt>
                <c:pt idx="12">
                  <c:v>404.72633399765499</c:v>
                </c:pt>
                <c:pt idx="13">
                  <c:v>265.07180083177406</c:v>
                </c:pt>
                <c:pt idx="14">
                  <c:v>224.4007416662501</c:v>
                </c:pt>
                <c:pt idx="15">
                  <c:v>202.49198438372559</c:v>
                </c:pt>
                <c:pt idx="16">
                  <c:v>189.83771999127222</c:v>
                </c:pt>
                <c:pt idx="17">
                  <c:v>169.86288435020435</c:v>
                </c:pt>
                <c:pt idx="18">
                  <c:v>142.29365996368665</c:v>
                </c:pt>
                <c:pt idx="19">
                  <c:v>121.71619952615258</c:v>
                </c:pt>
                <c:pt idx="20">
                  <c:v>109.27679567564616</c:v>
                </c:pt>
                <c:pt idx="21">
                  <c:v>101.92394551670053</c:v>
                </c:pt>
                <c:pt idx="22">
                  <c:v>97.501289329192588</c:v>
                </c:pt>
                <c:pt idx="23">
                  <c:v>94.712895608864457</c:v>
                </c:pt>
                <c:pt idx="24">
                  <c:v>92.92945942455529</c:v>
                </c:pt>
                <c:pt idx="25">
                  <c:v>92.006187989209394</c:v>
                </c:pt>
                <c:pt idx="26">
                  <c:v>91.763267256404887</c:v>
                </c:pt>
                <c:pt idx="27">
                  <c:v>90.809569282014081</c:v>
                </c:pt>
                <c:pt idx="28">
                  <c:v>90.794437108888047</c:v>
                </c:pt>
                <c:pt idx="29">
                  <c:v>90.157522811707935</c:v>
                </c:pt>
                <c:pt idx="30">
                  <c:v>89.913434838716469</c:v>
                </c:pt>
              </c:numCache>
            </c:numRef>
          </c:yVal>
          <c:smooth val="1"/>
        </c:ser>
        <c:ser>
          <c:idx val="7"/>
          <c:order val="7"/>
          <c:tx>
            <c:v>Mastercurve @Tref interpolated</c:v>
          </c:tx>
          <c:spPr>
            <a:ln w="19050" cap="rnd">
              <a:solidFill>
                <a:srgbClr val="FF0000"/>
              </a:solidFill>
              <a:prstDash val="sysDash"/>
              <a:round/>
            </a:ln>
            <a:effectLst/>
          </c:spPr>
          <c:marker>
            <c:symbol val="none"/>
          </c:marker>
          <c:xVal>
            <c:numRef>
              <c:f>'Universal Mastercurve'!$A$72:$A$102</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'Universal Mastercurve'!$J$72:$J$102</c:f>
              <c:numCache>
                <c:formatCode>General</c:formatCode>
                <c:ptCount val="31"/>
                <c:pt idx="0">
                  <c:v>7439.7300389875654</c:v>
                </c:pt>
                <c:pt idx="1">
                  <c:v>7439.7300389875654</c:v>
                </c:pt>
                <c:pt idx="2">
                  <c:v>7439.7339342688329</c:v>
                </c:pt>
                <c:pt idx="3">
                  <c:v>7406.6969156987388</c:v>
                </c:pt>
                <c:pt idx="4">
                  <c:v>7381.4552725937056</c:v>
                </c:pt>
                <c:pt idx="5">
                  <c:v>7381.2394018214954</c:v>
                </c:pt>
                <c:pt idx="6">
                  <c:v>7379.3868134644645</c:v>
                </c:pt>
                <c:pt idx="7">
                  <c:v>7320.8588116549827</c:v>
                </c:pt>
                <c:pt idx="8">
                  <c:v>7209.6704564184183</c:v>
                </c:pt>
                <c:pt idx="9">
                  <c:v>7060.1418643166126</c:v>
                </c:pt>
                <c:pt idx="10">
                  <c:v>6764.9104190611779</c:v>
                </c:pt>
                <c:pt idx="11">
                  <c:v>6429.8266434634443</c:v>
                </c:pt>
                <c:pt idx="12">
                  <c:v>5970.8431101294782</c:v>
                </c:pt>
                <c:pt idx="13">
                  <c:v>5530.1139729977176</c:v>
                </c:pt>
                <c:pt idx="14">
                  <c:v>5176.0509115400628</c:v>
                </c:pt>
                <c:pt idx="15">
                  <c:v>4563.9699654860879</c:v>
                </c:pt>
                <c:pt idx="16">
                  <c:v>3935.3639656515084</c:v>
                </c:pt>
                <c:pt idx="17">
                  <c:v>3424.2409160347711</c:v>
                </c:pt>
                <c:pt idx="18">
                  <c:v>2457.6306581082695</c:v>
                </c:pt>
                <c:pt idx="19">
                  <c:v>1762.4710028638951</c:v>
                </c:pt>
                <c:pt idx="20">
                  <c:v>1090.3816817317634</c:v>
                </c:pt>
                <c:pt idx="21">
                  <c:v>668.87113764136575</c:v>
                </c:pt>
                <c:pt idx="22">
                  <c:v>364.1658011484277</c:v>
                </c:pt>
                <c:pt idx="23">
                  <c:v>253.81729259189456</c:v>
                </c:pt>
                <c:pt idx="24">
                  <c:v>217.96559959517339</c:v>
                </c:pt>
                <c:pt idx="25">
                  <c:v>193.81928252694365</c:v>
                </c:pt>
                <c:pt idx="26">
                  <c:v>173.53083190685766</c:v>
                </c:pt>
                <c:pt idx="27">
                  <c:v>149.60284674742712</c:v>
                </c:pt>
                <c:pt idx="28">
                  <c:v>127.31860798738022</c:v>
                </c:pt>
                <c:pt idx="29">
                  <c:v>119.20571487717096</c:v>
                </c:pt>
                <c:pt idx="30">
                  <c:v>119.20571487717096</c:v>
                </c:pt>
              </c:numCache>
            </c:numRef>
          </c:yVal>
          <c:smooth val="1"/>
        </c:ser>
        <c:dLbls>
          <c:showLegendKey val="0"/>
          <c:showVal val="0"/>
          <c:showCatName val="0"/>
          <c:showSerName val="0"/>
          <c:showPercent val="0"/>
          <c:showBubbleSize val="0"/>
        </c:dLbls>
        <c:axId val="448434912"/>
        <c:axId val="448441576"/>
      </c:scatterChart>
      <c:valAx>
        <c:axId val="448434912"/>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8441576"/>
        <c:crosses val="autoZero"/>
        <c:crossBetween val="midCat"/>
      </c:valAx>
      <c:valAx>
        <c:axId val="448441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8434912"/>
        <c:crossesAt val="1.0000000000000012E-22"/>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'Universal Mastercurve'!$F$108:$AJ$108</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'Universal Mastercurve'!$F$109:$AJ$109</c:f>
              <c:numCache>
                <c:formatCode>0.00E+00</c:formatCode>
                <c:ptCount val="31"/>
                <c:pt idx="0">
                  <c:v>7439.7300389875654</c:v>
                </c:pt>
                <c:pt idx="1">
                  <c:v>7439.7300389875654</c:v>
                </c:pt>
                <c:pt idx="2">
                  <c:v>7439.7339342688329</c:v>
                </c:pt>
                <c:pt idx="3">
                  <c:v>7406.6969156987388</c:v>
                </c:pt>
                <c:pt idx="4">
                  <c:v>7381.4552725937056</c:v>
                </c:pt>
                <c:pt idx="5">
                  <c:v>7381.2394018214954</c:v>
                </c:pt>
                <c:pt idx="6">
                  <c:v>7379.3868134644645</c:v>
                </c:pt>
                <c:pt idx="7">
                  <c:v>7320.8588116549827</c:v>
                </c:pt>
                <c:pt idx="8">
                  <c:v>7209.6704564184183</c:v>
                </c:pt>
                <c:pt idx="9">
                  <c:v>7060.1418643166126</c:v>
                </c:pt>
                <c:pt idx="10">
                  <c:v>6764.9104190611779</c:v>
                </c:pt>
                <c:pt idx="11">
                  <c:v>6429.8266434634443</c:v>
                </c:pt>
                <c:pt idx="12">
                  <c:v>5970.8431101294782</c:v>
                </c:pt>
                <c:pt idx="13">
                  <c:v>5530.1139729977176</c:v>
                </c:pt>
                <c:pt idx="14">
                  <c:v>5176.0509115400628</c:v>
                </c:pt>
                <c:pt idx="15">
                  <c:v>4563.9699654860879</c:v>
                </c:pt>
                <c:pt idx="16">
                  <c:v>3935.3639656515084</c:v>
                </c:pt>
                <c:pt idx="17">
                  <c:v>3424.2409160347711</c:v>
                </c:pt>
                <c:pt idx="18">
                  <c:v>2457.6306581082695</c:v>
                </c:pt>
                <c:pt idx="19">
                  <c:v>1762.4710028638951</c:v>
                </c:pt>
                <c:pt idx="20">
                  <c:v>1090.3816817317634</c:v>
                </c:pt>
                <c:pt idx="21">
                  <c:v>668.87113764136575</c:v>
                </c:pt>
                <c:pt idx="22">
                  <c:v>364.1658011484277</c:v>
                </c:pt>
                <c:pt idx="23">
                  <c:v>253.81729259189456</c:v>
                </c:pt>
                <c:pt idx="24">
                  <c:v>217.96559959517339</c:v>
                </c:pt>
                <c:pt idx="25">
                  <c:v>193.81928252694365</c:v>
                </c:pt>
                <c:pt idx="26">
                  <c:v>173.53083190685766</c:v>
                </c:pt>
                <c:pt idx="27">
                  <c:v>149.60284674742712</c:v>
                </c:pt>
                <c:pt idx="28">
                  <c:v>127.31860798738022</c:v>
                </c:pt>
                <c:pt idx="29">
                  <c:v>119.20571487717096</c:v>
                </c:pt>
                <c:pt idx="30">
                  <c:v>119.20571487717096</c:v>
                </c:pt>
              </c:numCache>
            </c:numRef>
          </c:yVal>
          <c:smooth val="1"/>
        </c:ser>
        <c:ser>
          <c:idx val="1"/>
          <c:order val="1"/>
          <c:tx>
            <c:v>original master curve</c:v>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7233.6489151349888</c:v>
                </c:pt>
                <c:pt idx="1">
                  <c:v>7233.6412378886307</c:v>
                </c:pt>
                <c:pt idx="2">
                  <c:v>7233.5645127407743</c:v>
                </c:pt>
                <c:pt idx="3">
                  <c:v>7232.8019645906397</c:v>
                </c:pt>
                <c:pt idx="4">
                  <c:v>7225.619847777838</c:v>
                </c:pt>
                <c:pt idx="5">
                  <c:v>7180.2833661938748</c:v>
                </c:pt>
                <c:pt idx="6">
                  <c:v>7042.6134220273079</c:v>
                </c:pt>
                <c:pt idx="7">
                  <c:v>6896.7237029183789</c:v>
                </c:pt>
                <c:pt idx="8">
                  <c:v>6728.1953309620003</c:v>
                </c:pt>
                <c:pt idx="9">
                  <c:v>6522.9858724732439</c:v>
                </c:pt>
                <c:pt idx="10">
                  <c:v>6323.3549224651961</c:v>
                </c:pt>
                <c:pt idx="11">
                  <c:v>6061.4531858005121</c:v>
                </c:pt>
                <c:pt idx="12">
                  <c:v>5776.012764615436</c:v>
                </c:pt>
                <c:pt idx="13">
                  <c:v>5496.5428995775655</c:v>
                </c:pt>
                <c:pt idx="14">
                  <c:v>5187.9027907448963</c:v>
                </c:pt>
                <c:pt idx="15">
                  <c:v>4846.7041769983107</c:v>
                </c:pt>
                <c:pt idx="16">
                  <c:v>4307.1872824997363</c:v>
                </c:pt>
                <c:pt idx="17">
                  <c:v>3424.4406657342906</c:v>
                </c:pt>
                <c:pt idx="18">
                  <c:v>2457.5271460883973</c:v>
                </c:pt>
                <c:pt idx="19">
                  <c:v>1610.9820944062296</c:v>
                </c:pt>
                <c:pt idx="20">
                  <c:v>942.67726251154704</c:v>
                </c:pt>
                <c:pt idx="21">
                  <c:v>510.3275144611062</c:v>
                </c:pt>
                <c:pt idx="22">
                  <c:v>271.37619567222657</c:v>
                </c:pt>
                <c:pt idx="23">
                  <c:v>152.43284869278892</c:v>
                </c:pt>
                <c:pt idx="24">
                  <c:v>114.52070603066497</c:v>
                </c:pt>
                <c:pt idx="25">
                  <c:v>101.0217963372644</c:v>
                </c:pt>
                <c:pt idx="26">
                  <c:v>93.163179445820916</c:v>
                </c:pt>
                <c:pt idx="27">
                  <c:v>92.44109428906431</c:v>
                </c:pt>
                <c:pt idx="28">
                  <c:v>91.485697154802935</c:v>
                </c:pt>
                <c:pt idx="29">
                  <c:v>91.046181066402454</c:v>
                </c:pt>
                <c:pt idx="30">
                  <c:v>90.32215647813598</c:v>
                </c:pt>
              </c:numCache>
            </c:numRef>
          </c:yVal>
          <c:smooth val="1"/>
        </c:ser>
        <c:ser>
          <c:idx val="2"/>
          <c:order val="2"/>
          <c:tx>
            <c:v>Regression new Mastercurve</c:v>
          </c:tx>
          <c:spPr>
            <a:ln w="19050" cap="rnd">
              <a:solidFill>
                <a:schemeClr val="accent3"/>
              </a:solidFill>
              <a:round/>
            </a:ln>
            <a:effectLst/>
          </c:spPr>
          <c:marker>
            <c:symbol val="none"/>
          </c:marker>
          <c:xVal>
            <c:numRef>
              <c:f>'Universal Mastercurve'!$F$108:$AJ$108</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'Universal Mastercurve'!$F$110:$AJ$110</c:f>
              <c:numCache>
                <c:formatCode>0.00E+00</c:formatCode>
                <c:ptCount val="31"/>
                <c:pt idx="0">
                  <c:v>7233.6489151349888</c:v>
                </c:pt>
                <c:pt idx="1">
                  <c:v>7233.6412378886307</c:v>
                </c:pt>
                <c:pt idx="2">
                  <c:v>7233.5645127407743</c:v>
                </c:pt>
                <c:pt idx="3">
                  <c:v>7232.8019645906397</c:v>
                </c:pt>
                <c:pt idx="4">
                  <c:v>7225.619847777838</c:v>
                </c:pt>
                <c:pt idx="5">
                  <c:v>7180.2833661938748</c:v>
                </c:pt>
                <c:pt idx="6">
                  <c:v>7042.6134220273079</c:v>
                </c:pt>
                <c:pt idx="7">
                  <c:v>6896.7237029183789</c:v>
                </c:pt>
                <c:pt idx="8">
                  <c:v>6728.1953309620003</c:v>
                </c:pt>
                <c:pt idx="9">
                  <c:v>6522.9858724732439</c:v>
                </c:pt>
                <c:pt idx="10">
                  <c:v>6323.3549224651961</c:v>
                </c:pt>
                <c:pt idx="11">
                  <c:v>6061.4531858005121</c:v>
                </c:pt>
                <c:pt idx="12">
                  <c:v>5776.012764615436</c:v>
                </c:pt>
                <c:pt idx="13">
                  <c:v>5496.5428995775655</c:v>
                </c:pt>
                <c:pt idx="14">
                  <c:v>5187.9027907448963</c:v>
                </c:pt>
                <c:pt idx="15">
                  <c:v>4846.7041769983107</c:v>
                </c:pt>
                <c:pt idx="16">
                  <c:v>4307.1872824997363</c:v>
                </c:pt>
                <c:pt idx="17">
                  <c:v>3424.4406657342906</c:v>
                </c:pt>
                <c:pt idx="18">
                  <c:v>2457.5271460883973</c:v>
                </c:pt>
                <c:pt idx="19">
                  <c:v>1610.9820944062296</c:v>
                </c:pt>
                <c:pt idx="20">
                  <c:v>942.67726251154704</c:v>
                </c:pt>
                <c:pt idx="21">
                  <c:v>510.3275144611062</c:v>
                </c:pt>
                <c:pt idx="22">
                  <c:v>271.37619567222657</c:v>
                </c:pt>
                <c:pt idx="23">
                  <c:v>152.43284869278892</c:v>
                </c:pt>
                <c:pt idx="24">
                  <c:v>114.52070603066497</c:v>
                </c:pt>
                <c:pt idx="25">
                  <c:v>101.0217963372644</c:v>
                </c:pt>
                <c:pt idx="26">
                  <c:v>93.163179445820916</c:v>
                </c:pt>
                <c:pt idx="27">
                  <c:v>92.44109428906431</c:v>
                </c:pt>
                <c:pt idx="28">
                  <c:v>91.485697154802935</c:v>
                </c:pt>
                <c:pt idx="29">
                  <c:v>91.046181066402454</c:v>
                </c:pt>
                <c:pt idx="30">
                  <c:v>90.32215647813598</c:v>
                </c:pt>
              </c:numCache>
            </c:numRef>
          </c:yVal>
          <c:smooth val="1"/>
        </c:ser>
        <c:dLbls>
          <c:showLegendKey val="0"/>
          <c:showVal val="0"/>
          <c:showCatName val="0"/>
          <c:showSerName val="0"/>
          <c:showPercent val="0"/>
          <c:showBubbleSize val="0"/>
        </c:dLbls>
        <c:axId val="448441184"/>
        <c:axId val="448441968"/>
      </c:scatterChart>
      <c:valAx>
        <c:axId val="44844118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8441968"/>
        <c:crosses val="autoZero"/>
        <c:crossBetween val="midCat"/>
      </c:valAx>
      <c:valAx>
        <c:axId val="44844196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8441184"/>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'Universal Mastercurve'!$F$148:$AJ$148</c:f>
              <c:numCache>
                <c:formatCode>0.00%</c:formatCode>
                <c:ptCount val="31"/>
                <c:pt idx="0">
                  <c:v>2.7700080886351779E-2</c:v>
                </c:pt>
                <c:pt idx="1">
                  <c:v>2.7701112811746632E-2</c:v>
                </c:pt>
                <c:pt idx="2">
                  <c:v>2.7711934774764312E-2</c:v>
                </c:pt>
                <c:pt idx="3">
                  <c:v>2.3478070331124666E-2</c:v>
                </c:pt>
                <c:pt idx="4">
                  <c:v>2.111174816630839E-2</c:v>
                </c:pt>
                <c:pt idx="5">
                  <c:v>2.7225242901352038E-2</c:v>
                </c:pt>
                <c:pt idx="6">
                  <c:v>4.5637042744890159E-2</c:v>
                </c:pt>
                <c:pt idx="7">
                  <c:v>5.7935157561209968E-2</c:v>
                </c:pt>
                <c:pt idx="8">
                  <c:v>6.6781849235256541E-2</c:v>
                </c:pt>
                <c:pt idx="9">
                  <c:v>7.6082889291256853E-2</c:v>
                </c:pt>
                <c:pt idx="10">
                  <c:v>6.5271447697493698E-2</c:v>
                </c:pt>
                <c:pt idx="11">
                  <c:v>5.729135139862912E-2</c:v>
                </c:pt>
                <c:pt idx="12">
                  <c:v>3.263029055034361E-2</c:v>
                </c:pt>
                <c:pt idx="13">
                  <c:v>6.0705934062248879E-3</c:v>
                </c:pt>
                <c:pt idx="14">
                  <c:v>2.2897532129001279E-3</c:v>
                </c:pt>
                <c:pt idx="15">
                  <c:v>6.1949183200225133E-2</c:v>
                </c:pt>
                <c:pt idx="16">
                  <c:v>9.4482573935616085E-2</c:v>
                </c:pt>
                <c:pt idx="17">
                  <c:v>5.8334008738745825E-5</c:v>
                </c:pt>
                <c:pt idx="18">
                  <c:v>4.2118623288911368E-5</c:v>
                </c:pt>
                <c:pt idx="19">
                  <c:v>8.5952567850198031E-2</c:v>
                </c:pt>
                <c:pt idx="20">
                  <c:v>0.13546120747886151</c:v>
                </c:pt>
                <c:pt idx="21">
                  <c:v>0.23703164071233584</c:v>
                </c:pt>
                <c:pt idx="22">
                  <c:v>0.2548004375577862</c:v>
                </c:pt>
                <c:pt idx="23">
                  <c:v>0.39943867836506608</c:v>
                </c:pt>
                <c:pt idx="24">
                  <c:v>0.47459275113429</c:v>
                </c:pt>
                <c:pt idx="25">
                  <c:v>0.4787835605406241</c:v>
                </c:pt>
                <c:pt idx="26">
                  <c:v>0.46313183414100112</c:v>
                </c:pt>
                <c:pt idx="27">
                  <c:v>0.38209000497743456</c:v>
                </c:pt>
                <c:pt idx="28">
                  <c:v>0.28144284169466438</c:v>
                </c:pt>
                <c:pt idx="29">
                  <c:v>0.2362263742118737</c:v>
                </c:pt>
                <c:pt idx="30">
                  <c:v>0.24230011479564106</c:v>
                </c:pt>
              </c:numCache>
            </c:numRef>
          </c:yVal>
          <c:smooth val="1"/>
        </c:ser>
        <c:dLbls>
          <c:showLegendKey val="0"/>
          <c:showVal val="0"/>
          <c:showCatName val="0"/>
          <c:showSerName val="0"/>
          <c:showPercent val="0"/>
          <c:showBubbleSize val="0"/>
        </c:dLbls>
        <c:axId val="448440008"/>
        <c:axId val="448434520"/>
      </c:scatterChart>
      <c:valAx>
        <c:axId val="44844000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8434520"/>
        <c:crossesAt val="-1.5000000000000005E-3"/>
        <c:crossBetween val="midCat"/>
      </c:valAx>
      <c:valAx>
        <c:axId val="448434520"/>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8440008"/>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-21.601432961392753</c:v>
                </c:pt>
                <c:pt idx="1">
                  <c:v>-21.517031204258437</c:v>
                </c:pt>
                <c:pt idx="2">
                  <c:v>-21.432570860655503</c:v>
                </c:pt>
                <c:pt idx="3">
                  <c:v>-21.347993344115352</c:v>
                </c:pt>
                <c:pt idx="4">
                  <c:v>-21.26324006816936</c:v>
                </c:pt>
                <c:pt idx="5">
                  <c:v>-21.178252446348925</c:v>
                </c:pt>
                <c:pt idx="6">
                  <c:v>-21.092971892185428</c:v>
                </c:pt>
                <c:pt idx="7">
                  <c:v>-21.007339819210269</c:v>
                </c:pt>
                <c:pt idx="8">
                  <c:v>-20.921297640954823</c:v>
                </c:pt>
                <c:pt idx="9">
                  <c:v>-20.834786770950483</c:v>
                </c:pt>
                <c:pt idx="10">
                  <c:v>-20.747748622728643</c:v>
                </c:pt>
                <c:pt idx="11">
                  <c:v>-20.660124609820684</c:v>
                </c:pt>
                <c:pt idx="12">
                  <c:v>-20.571856145757998</c:v>
                </c:pt>
                <c:pt idx="13">
                  <c:v>-20.482884644071966</c:v>
                </c:pt>
                <c:pt idx="14">
                  <c:v>-20.39315151829399</c:v>
                </c:pt>
                <c:pt idx="15">
                  <c:v>-20.30259818195545</c:v>
                </c:pt>
                <c:pt idx="16">
                  <c:v>-20.211166048587735</c:v>
                </c:pt>
                <c:pt idx="17">
                  <c:v>-20.118796531722236</c:v>
                </c:pt>
                <c:pt idx="18">
                  <c:v>-20.02543104489034</c:v>
                </c:pt>
                <c:pt idx="19">
                  <c:v>-19.931011001623428</c:v>
                </c:pt>
                <c:pt idx="20">
                  <c:v>-19.835477815452897</c:v>
                </c:pt>
                <c:pt idx="21">
                  <c:v>-19.738772899910138</c:v>
                </c:pt>
                <c:pt idx="22">
                  <c:v>-19.64083766852653</c:v>
                </c:pt>
                <c:pt idx="23">
                  <c:v>-19.54161353483347</c:v>
                </c:pt>
                <c:pt idx="24">
                  <c:v>-19.441041912362344</c:v>
                </c:pt>
                <c:pt idx="25">
                  <c:v>-19.339064214644534</c:v>
                </c:pt>
                <c:pt idx="26">
                  <c:v>-19.235621855211438</c:v>
                </c:pt>
                <c:pt idx="27">
                  <c:v>-19.130656247594434</c:v>
                </c:pt>
                <c:pt idx="28">
                  <c:v>-19.024108805324921</c:v>
                </c:pt>
                <c:pt idx="29">
                  <c:v>-18.915920941934282</c:v>
                </c:pt>
                <c:pt idx="30">
                  <c:v>-18.806034070953899</c:v>
                </c:pt>
                <c:pt idx="31">
                  <c:v>-18.694389605915173</c:v>
                </c:pt>
                <c:pt idx="32">
                  <c:v>-18.580928960349489</c:v>
                </c:pt>
                <c:pt idx="33">
                  <c:v>-18.465593547788231</c:v>
                </c:pt>
                <c:pt idx="34">
                  <c:v>-18.348324781762788</c:v>
                </c:pt>
                <c:pt idx="35">
                  <c:v>-18.229064075804548</c:v>
                </c:pt>
                <c:pt idx="36">
                  <c:v>-18.107752843444903</c:v>
                </c:pt>
                <c:pt idx="37">
                  <c:v>-17.984332498215238</c:v>
                </c:pt>
                <c:pt idx="38">
                  <c:v>-17.858744453646942</c:v>
                </c:pt>
                <c:pt idx="39">
                  <c:v>-17.730930123271406</c:v>
                </c:pt>
                <c:pt idx="40">
                  <c:v>-17.60083092062002</c:v>
                </c:pt>
                <c:pt idx="41">
                  <c:v>-17.48973550123165</c:v>
                </c:pt>
                <c:pt idx="42">
                  <c:v>-17.376243919446146</c:v>
                </c:pt>
                <c:pt idx="43">
                  <c:v>-17.260303471610861</c:v>
                </c:pt>
                <c:pt idx="44">
                  <c:v>-17.141861454073126</c:v>
                </c:pt>
                <c:pt idx="45">
                  <c:v>-17.020865163180282</c:v>
                </c:pt>
                <c:pt idx="46">
                  <c:v>-16.897261895279662</c:v>
                </c:pt>
                <c:pt idx="47">
                  <c:v>-16.770998946718613</c:v>
                </c:pt>
                <c:pt idx="48">
                  <c:v>-16.642023613844472</c:v>
                </c:pt>
                <c:pt idx="49">
                  <c:v>-16.510283193004575</c:v>
                </c:pt>
                <c:pt idx="50">
                  <c:v>-16.375724980546259</c:v>
                </c:pt>
                <c:pt idx="51">
                  <c:v>-16.238296272816868</c:v>
                </c:pt>
                <c:pt idx="52">
                  <c:v>-16.097944366163738</c:v>
                </c:pt>
                <c:pt idx="53">
                  <c:v>-15.954616556934203</c:v>
                </c:pt>
                <c:pt idx="54">
                  <c:v>-15.808260141475612</c:v>
                </c:pt>
                <c:pt idx="55">
                  <c:v>-15.658822416135298</c:v>
                </c:pt>
                <c:pt idx="56">
                  <c:v>-15.506250677260599</c:v>
                </c:pt>
                <c:pt idx="57">
                  <c:v>-15.350492221198856</c:v>
                </c:pt>
                <c:pt idx="58">
                  <c:v>-15.191494344297407</c:v>
                </c:pt>
                <c:pt idx="59">
                  <c:v>-15.02920434290359</c:v>
                </c:pt>
                <c:pt idx="60">
                  <c:v>-14.863569513364745</c:v>
                </c:pt>
                <c:pt idx="61">
                  <c:v>-14.694537152028211</c:v>
                </c:pt>
                <c:pt idx="62">
                  <c:v>-14.522054555241324</c:v>
                </c:pt>
                <c:pt idx="63">
                  <c:v>-14.346069019351425</c:v>
                </c:pt>
                <c:pt idx="64">
                  <c:v>-14.166527840705852</c:v>
                </c:pt>
                <c:pt idx="65">
                  <c:v>-13.983378315651946</c:v>
                </c:pt>
                <c:pt idx="66">
                  <c:v>-13.796598306939895</c:v>
                </c:pt>
                <c:pt idx="67">
                  <c:v>-13.606287942931303</c:v>
                </c:pt>
                <c:pt idx="68">
                  <c:v>-13.412577918390625</c:v>
                </c:pt>
                <c:pt idx="69">
                  <c:v>-13.215598928082313</c:v>
                </c:pt>
                <c:pt idx="70">
                  <c:v>-13.015481666770825</c:v>
                </c:pt>
                <c:pt idx="71">
                  <c:v>-12.812356829220615</c:v>
                </c:pt>
                <c:pt idx="72">
                  <c:v>-12.606355110196134</c:v>
                </c:pt>
                <c:pt idx="73">
                  <c:v>-12.397607204461842</c:v>
                </c:pt>
                <c:pt idx="74">
                  <c:v>-12.186243806782189</c:v>
                </c:pt>
                <c:pt idx="75">
                  <c:v>-11.972395611921634</c:v>
                </c:pt>
                <c:pt idx="76">
                  <c:v>-11.75619331464463</c:v>
                </c:pt>
                <c:pt idx="77">
                  <c:v>-11.537767609715628</c:v>
                </c:pt>
                <c:pt idx="78">
                  <c:v>-11.317249191899087</c:v>
                </c:pt>
                <c:pt idx="79">
                  <c:v>-11.094768755959461</c:v>
                </c:pt>
                <c:pt idx="80">
                  <c:v>-10.870456996661204</c:v>
                </c:pt>
                <c:pt idx="81">
                  <c:v>-10.644444608768771</c:v>
                </c:pt>
                <c:pt idx="82">
                  <c:v>-10.416862287046616</c:v>
                </c:pt>
                <c:pt idx="83">
                  <c:v>-10.187840726259193</c:v>
                </c:pt>
                <c:pt idx="84">
                  <c:v>-9.9575106211709592</c:v>
                </c:pt>
                <c:pt idx="85">
                  <c:v>-9.7260026665463659</c:v>
                </c:pt>
                <c:pt idx="86">
                  <c:v>-9.4934475571498709</c:v>
                </c:pt>
                <c:pt idx="87">
                  <c:v>-9.2599759877459267</c:v>
                </c:pt>
                <c:pt idx="88">
                  <c:v>-9.0257186530989895</c:v>
                </c:pt>
                <c:pt idx="89">
                  <c:v>-8.7908062479735118</c:v>
                </c:pt>
                <c:pt idx="90">
                  <c:v>-8.5553694671339517</c:v>
                </c:pt>
                <c:pt idx="91">
                  <c:v>-8.3194687580348869</c:v>
                </c:pt>
                <c:pt idx="92">
                  <c:v>-8.0828835788914049</c:v>
                </c:pt>
                <c:pt idx="93">
                  <c:v>-7.8453231406087154</c:v>
                </c:pt>
                <c:pt idx="94">
                  <c:v>-7.6064966540920329</c:v>
                </c:pt>
                <c:pt idx="95">
                  <c:v>-7.3661133302465664</c:v>
                </c:pt>
                <c:pt idx="96">
                  <c:v>-7.1238823799775277</c:v>
                </c:pt>
                <c:pt idx="97">
                  <c:v>-6.8795130141901319</c:v>
                </c:pt>
                <c:pt idx="98">
                  <c:v>-6.6327144437895882</c:v>
                </c:pt>
                <c:pt idx="99">
                  <c:v>-6.3831958796811099</c:v>
                </c:pt>
                <c:pt idx="100">
                  <c:v>-6.130666532769907</c:v>
                </c:pt>
                <c:pt idx="101">
                  <c:v>-5.8748356139611921</c:v>
                </c:pt>
                <c:pt idx="102">
                  <c:v>-5.615412334160176</c:v>
                </c:pt>
                <c:pt idx="103">
                  <c:v>-5.3521059042720722</c:v>
                </c:pt>
                <c:pt idx="104">
                  <c:v>-5.0846255352020933</c:v>
                </c:pt>
                <c:pt idx="105">
                  <c:v>-4.8126804378554482</c:v>
                </c:pt>
                <c:pt idx="106">
                  <c:v>-4.5359798231373496</c:v>
                </c:pt>
                <c:pt idx="107">
                  <c:v>-4.2542329019530101</c:v>
                </c:pt>
                <c:pt idx="108">
                  <c:v>-3.9671488852076409</c:v>
                </c:pt>
                <c:pt idx="109">
                  <c:v>-3.6744369838064541</c:v>
                </c:pt>
                <c:pt idx="110">
                  <c:v>-3.375806408654662</c:v>
                </c:pt>
                <c:pt idx="111">
                  <c:v>-3.0709663706574748</c:v>
                </c:pt>
                <c:pt idx="112">
                  <c:v>-2.7596260807201056</c:v>
                </c:pt>
                <c:pt idx="113">
                  <c:v>-2.4414947497477661</c:v>
                </c:pt>
                <c:pt idx="114">
                  <c:v>-2.1162815886456672</c:v>
                </c:pt>
                <c:pt idx="115">
                  <c:v>-1.7836958083190217</c:v>
                </c:pt>
                <c:pt idx="116">
                  <c:v>-1.4434466196730404</c:v>
                </c:pt>
                <c:pt idx="117">
                  <c:v>-1.0952432336129361</c:v>
                </c:pt>
                <c:pt idx="118">
                  <c:v>-0.73879486104392023</c:v>
                </c:pt>
                <c:pt idx="119">
                  <c:v>-0.37381071287120404</c:v>
                </c:pt>
                <c:pt idx="120">
                  <c:v>0</c:v>
                </c:pt>
                <c:pt idx="121">
                  <c:v>0.38279519745448343</c:v>
                </c:pt>
                <c:pt idx="122">
                  <c:v>0.77420132253705365</c:v>
                </c:pt>
                <c:pt idx="123">
                  <c:v>1.1737119490825194</c:v>
                </c:pt>
                <c:pt idx="124">
                  <c:v>1.5808206509256908</c:v>
                </c:pt>
                <c:pt idx="125">
                  <c:v>1.9950210019013763</c:v>
                </c:pt>
                <c:pt idx="126">
                  <c:v>2.4158065758443872</c:v>
                </c:pt>
                <c:pt idx="127">
                  <c:v>2.842670946589533</c:v>
                </c:pt>
                <c:pt idx="128">
                  <c:v>3.2751076879716221</c:v>
                </c:pt>
                <c:pt idx="129">
                  <c:v>3.7126103738254645</c:v>
                </c:pt>
                <c:pt idx="130">
                  <c:v>4.1546725779858704</c:v>
                </c:pt>
                <c:pt idx="131">
                  <c:v>4.6007878742876507</c:v>
                </c:pt>
                <c:pt idx="132">
                  <c:v>5.0504498365656119</c:v>
                </c:pt>
                <c:pt idx="133">
                  <c:v>5.5031520386545658</c:v>
                </c:pt>
                <c:pt idx="134">
                  <c:v>5.9583880543893226</c:v>
                </c:pt>
                <c:pt idx="135">
                  <c:v>6.4156514576046906</c:v>
                </c:pt>
                <c:pt idx="136">
                  <c:v>6.8744358221354798</c:v>
                </c:pt>
                <c:pt idx="137">
                  <c:v>7.3342347218165003</c:v>
                </c:pt>
                <c:pt idx="138">
                  <c:v>7.7945417304825604</c:v>
                </c:pt>
                <c:pt idx="139">
                  <c:v>8.254850421968472</c:v>
                </c:pt>
                <c:pt idx="140">
                  <c:v>8.7146543701090415</c:v>
                </c:pt>
                <c:pt idx="141">
                  <c:v>9.1734471487390845</c:v>
                </c:pt>
                <c:pt idx="142">
                  <c:v>9.6307223316934056</c:v>
                </c:pt>
                <c:pt idx="143">
                  <c:v>10.085973492806815</c:v>
                </c:pt>
                <c:pt idx="144">
                  <c:v>10.538694205914123</c:v>
                </c:pt>
                <c:pt idx="145">
                  <c:v>10.988378044850137</c:v>
                </c:pt>
                <c:pt idx="146">
                  <c:v>11.434518583449671</c:v>
                </c:pt>
                <c:pt idx="147">
                  <c:v>11.876609395547533</c:v>
                </c:pt>
                <c:pt idx="148">
                  <c:v>12.314144054978534</c:v>
                </c:pt>
                <c:pt idx="149">
                  <c:v>12.746616135577479</c:v>
                </c:pt>
                <c:pt idx="150">
                  <c:v>13.173519211179183</c:v>
                </c:pt>
                <c:pt idx="151">
                  <c:v>13.594346855618452</c:v>
                </c:pt>
                <c:pt idx="152">
                  <c:v>14.008592642730097</c:v>
                </c:pt>
                <c:pt idx="153">
                  <c:v>14.415750146348929</c:v>
                </c:pt>
                <c:pt idx="154">
                  <c:v>14.815312940309754</c:v>
                </c:pt>
                <c:pt idx="155">
                  <c:v>15.206774598447385</c:v>
                </c:pt>
                <c:pt idx="156">
                  <c:v>15.58962869459663</c:v>
                </c:pt>
                <c:pt idx="157">
                  <c:v>15.963368802592301</c:v>
                </c:pt>
                <c:pt idx="158">
                  <c:v>16.327488496269204</c:v>
                </c:pt>
                <c:pt idx="159">
                  <c:v>16.681481349462153</c:v>
                </c:pt>
                <c:pt idx="160">
                  <c:v>17.024840936005955</c:v>
                </c:pt>
                <c:pt idx="161">
                  <c:v>17.357060829735421</c:v>
                </c:pt>
                <c:pt idx="162">
                  <c:v>17.677634604485359</c:v>
                </c:pt>
                <c:pt idx="163">
                  <c:v>17.986055834090578</c:v>
                </c:pt>
                <c:pt idx="164">
                  <c:v>18.281818092385887</c:v>
                </c:pt>
                <c:pt idx="165">
                  <c:v>18.5644149532061</c:v>
                </c:pt>
                <c:pt idx="166">
                  <c:v>18.833489498668982</c:v>
                </c:pt>
                <c:pt idx="167">
                  <c:v>19.089282844024158</c:v>
                </c:pt>
                <c:pt idx="168">
                  <c:v>19.33218561280421</c:v>
                </c:pt>
                <c:pt idx="169">
                  <c:v>19.562588428541705</c:v>
                </c:pt>
                <c:pt idx="170">
                  <c:v>19.780881914769232</c:v>
                </c:pt>
                <c:pt idx="171">
                  <c:v>19.987456695019368</c:v>
                </c:pt>
                <c:pt idx="172">
                  <c:v>20.182703392824695</c:v>
                </c:pt>
                <c:pt idx="173">
                  <c:v>20.367012631717792</c:v>
                </c:pt>
                <c:pt idx="174">
                  <c:v>20.540775035231238</c:v>
                </c:pt>
                <c:pt idx="175">
                  <c:v>20.70438122689761</c:v>
                </c:pt>
                <c:pt idx="176">
                  <c:v>20.858221830249494</c:v>
                </c:pt>
                <c:pt idx="177">
                  <c:v>21.002687468819463</c:v>
                </c:pt>
                <c:pt idx="178">
                  <c:v>21.138168766140097</c:v>
                </c:pt>
                <c:pt idx="179">
                  <c:v>21.265056345743982</c:v>
                </c:pt>
                <c:pt idx="180">
                  <c:v>21.383740831163692</c:v>
                </c:pt>
                <c:pt idx="181">
                  <c:v>21.494612845931808</c:v>
                </c:pt>
                <c:pt idx="182">
                  <c:v>21.598063013580912</c:v>
                </c:pt>
                <c:pt idx="183">
                  <c:v>21.694481957643582</c:v>
                </c:pt>
                <c:pt idx="184">
                  <c:v>21.784260301652395</c:v>
                </c:pt>
                <c:pt idx="185">
                  <c:v>21.867788669139934</c:v>
                </c:pt>
                <c:pt idx="186">
                  <c:v>21.945457683638779</c:v>
                </c:pt>
                <c:pt idx="187">
                  <c:v>22.017657968681508</c:v>
                </c:pt>
                <c:pt idx="188">
                  <c:v>22.084780147800704</c:v>
                </c:pt>
                <c:pt idx="189">
                  <c:v>22.147214844528939</c:v>
                </c:pt>
                <c:pt idx="190">
                  <c:v>22.205352682398797</c:v>
                </c:pt>
                <c:pt idx="191">
                  <c:v>22.259584284942864</c:v>
                </c:pt>
                <c:pt idx="192">
                  <c:v>22.310300275693713</c:v>
                </c:pt>
                <c:pt idx="193">
                  <c:v>22.357891278183921</c:v>
                </c:pt>
                <c:pt idx="194">
                  <c:v>22.402747915946073</c:v>
                </c:pt>
                <c:pt idx="195">
                  <c:v>22.445260812512746</c:v>
                </c:pt>
                <c:pt idx="196">
                  <c:v>22.485820591416523</c:v>
                </c:pt>
                <c:pt idx="197">
                  <c:v>22.524817876189978</c:v>
                </c:pt>
                <c:pt idx="198">
                  <c:v>22.562643290365692</c:v>
                </c:pt>
                <c:pt idx="199">
                  <c:v>22.599687457476254</c:v>
                </c:pt>
                <c:pt idx="200">
                  <c:v>22.636341001054234</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-21.601432961392756</c:v>
                </c:pt>
                <c:pt idx="1">
                  <c:v>-17.60083092062002</c:v>
                </c:pt>
                <c:pt idx="2">
                  <c:v>-13.983378315651946</c:v>
                </c:pt>
                <c:pt idx="3">
                  <c:v>-8.5553694671339517</c:v>
                </c:pt>
                <c:pt idx="4">
                  <c:v>0</c:v>
                </c:pt>
                <c:pt idx="5">
                  <c:v>18.564414953206096</c:v>
                </c:pt>
                <c:pt idx="6">
                  <c:v>22.63634100105423</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-120</c:v>
                </c:pt>
                <c:pt idx="1">
                  <c:v>-119</c:v>
                </c:pt>
                <c:pt idx="2">
                  <c:v>-118</c:v>
                </c:pt>
                <c:pt idx="3">
                  <c:v>-117</c:v>
                </c:pt>
                <c:pt idx="4">
                  <c:v>-116</c:v>
                </c:pt>
                <c:pt idx="5">
                  <c:v>-115</c:v>
                </c:pt>
                <c:pt idx="6">
                  <c:v>-114</c:v>
                </c:pt>
                <c:pt idx="7">
                  <c:v>-113</c:v>
                </c:pt>
                <c:pt idx="8">
                  <c:v>-112</c:v>
                </c:pt>
                <c:pt idx="9">
                  <c:v>-111</c:v>
                </c:pt>
                <c:pt idx="10">
                  <c:v>-110</c:v>
                </c:pt>
                <c:pt idx="11">
                  <c:v>-109</c:v>
                </c:pt>
                <c:pt idx="12">
                  <c:v>-108</c:v>
                </c:pt>
                <c:pt idx="13">
                  <c:v>-107</c:v>
                </c:pt>
                <c:pt idx="14">
                  <c:v>-106</c:v>
                </c:pt>
                <c:pt idx="15">
                  <c:v>-105</c:v>
                </c:pt>
                <c:pt idx="16">
                  <c:v>-104</c:v>
                </c:pt>
                <c:pt idx="17">
                  <c:v>-103</c:v>
                </c:pt>
                <c:pt idx="18">
                  <c:v>-102</c:v>
                </c:pt>
                <c:pt idx="19">
                  <c:v>-101</c:v>
                </c:pt>
                <c:pt idx="20">
                  <c:v>-100</c:v>
                </c:pt>
                <c:pt idx="21">
                  <c:v>-99</c:v>
                </c:pt>
                <c:pt idx="22">
                  <c:v>-98</c:v>
                </c:pt>
                <c:pt idx="23">
                  <c:v>-97</c:v>
                </c:pt>
                <c:pt idx="24">
                  <c:v>-96</c:v>
                </c:pt>
                <c:pt idx="25">
                  <c:v>-95</c:v>
                </c:pt>
                <c:pt idx="26">
                  <c:v>-94</c:v>
                </c:pt>
                <c:pt idx="27">
                  <c:v>-93</c:v>
                </c:pt>
                <c:pt idx="28">
                  <c:v>-92</c:v>
                </c:pt>
                <c:pt idx="29">
                  <c:v>-91</c:v>
                </c:pt>
                <c:pt idx="30">
                  <c:v>-90</c:v>
                </c:pt>
                <c:pt idx="31">
                  <c:v>-89</c:v>
                </c:pt>
                <c:pt idx="32">
                  <c:v>-88</c:v>
                </c:pt>
                <c:pt idx="33">
                  <c:v>-87</c:v>
                </c:pt>
                <c:pt idx="34">
                  <c:v>-86</c:v>
                </c:pt>
                <c:pt idx="35">
                  <c:v>-85</c:v>
                </c:pt>
                <c:pt idx="36">
                  <c:v>-84</c:v>
                </c:pt>
                <c:pt idx="37">
                  <c:v>-83</c:v>
                </c:pt>
                <c:pt idx="38">
                  <c:v>-82</c:v>
                </c:pt>
                <c:pt idx="39">
                  <c:v>-81</c:v>
                </c:pt>
                <c:pt idx="40">
                  <c:v>-80</c:v>
                </c:pt>
                <c:pt idx="41">
                  <c:v>-79</c:v>
                </c:pt>
                <c:pt idx="42">
                  <c:v>-78</c:v>
                </c:pt>
                <c:pt idx="43">
                  <c:v>-77</c:v>
                </c:pt>
                <c:pt idx="44">
                  <c:v>-76</c:v>
                </c:pt>
                <c:pt idx="45">
                  <c:v>-75</c:v>
                </c:pt>
                <c:pt idx="46">
                  <c:v>-74</c:v>
                </c:pt>
                <c:pt idx="47">
                  <c:v>-73</c:v>
                </c:pt>
                <c:pt idx="48">
                  <c:v>-72</c:v>
                </c:pt>
                <c:pt idx="49">
                  <c:v>-71</c:v>
                </c:pt>
                <c:pt idx="50">
                  <c:v>-70</c:v>
                </c:pt>
                <c:pt idx="51">
                  <c:v>-69</c:v>
                </c:pt>
                <c:pt idx="52">
                  <c:v>-68</c:v>
                </c:pt>
                <c:pt idx="53">
                  <c:v>-67</c:v>
                </c:pt>
                <c:pt idx="54">
                  <c:v>-66</c:v>
                </c:pt>
                <c:pt idx="55">
                  <c:v>-65</c:v>
                </c:pt>
                <c:pt idx="56">
                  <c:v>-64</c:v>
                </c:pt>
                <c:pt idx="57">
                  <c:v>-63</c:v>
                </c:pt>
                <c:pt idx="58">
                  <c:v>-62</c:v>
                </c:pt>
                <c:pt idx="59">
                  <c:v>-61</c:v>
                </c:pt>
                <c:pt idx="60">
                  <c:v>-60</c:v>
                </c:pt>
                <c:pt idx="61">
                  <c:v>-59</c:v>
                </c:pt>
                <c:pt idx="62">
                  <c:v>-58</c:v>
                </c:pt>
                <c:pt idx="63">
                  <c:v>-57</c:v>
                </c:pt>
                <c:pt idx="64">
                  <c:v>-56</c:v>
                </c:pt>
                <c:pt idx="65">
                  <c:v>-55</c:v>
                </c:pt>
                <c:pt idx="66">
                  <c:v>-54</c:v>
                </c:pt>
                <c:pt idx="67">
                  <c:v>-53</c:v>
                </c:pt>
                <c:pt idx="68">
                  <c:v>-52</c:v>
                </c:pt>
                <c:pt idx="69">
                  <c:v>-51</c:v>
                </c:pt>
                <c:pt idx="70">
                  <c:v>-50</c:v>
                </c:pt>
                <c:pt idx="71">
                  <c:v>-49</c:v>
                </c:pt>
                <c:pt idx="72">
                  <c:v>-48</c:v>
                </c:pt>
                <c:pt idx="73">
                  <c:v>-47</c:v>
                </c:pt>
                <c:pt idx="74">
                  <c:v>-46</c:v>
                </c:pt>
                <c:pt idx="75">
                  <c:v>-45</c:v>
                </c:pt>
                <c:pt idx="76">
                  <c:v>-44</c:v>
                </c:pt>
                <c:pt idx="77">
                  <c:v>-43</c:v>
                </c:pt>
                <c:pt idx="78">
                  <c:v>-42</c:v>
                </c:pt>
                <c:pt idx="79">
                  <c:v>-41</c:v>
                </c:pt>
                <c:pt idx="80">
                  <c:v>-40</c:v>
                </c:pt>
                <c:pt idx="81">
                  <c:v>-39</c:v>
                </c:pt>
                <c:pt idx="82">
                  <c:v>-38</c:v>
                </c:pt>
                <c:pt idx="83">
                  <c:v>-37</c:v>
                </c:pt>
                <c:pt idx="84">
                  <c:v>-36</c:v>
                </c:pt>
                <c:pt idx="85">
                  <c:v>-35</c:v>
                </c:pt>
                <c:pt idx="86">
                  <c:v>-34</c:v>
                </c:pt>
                <c:pt idx="87">
                  <c:v>-33</c:v>
                </c:pt>
                <c:pt idx="88">
                  <c:v>-32</c:v>
                </c:pt>
                <c:pt idx="89">
                  <c:v>-31</c:v>
                </c:pt>
                <c:pt idx="90">
                  <c:v>-30</c:v>
                </c:pt>
                <c:pt idx="91">
                  <c:v>-29</c:v>
                </c:pt>
                <c:pt idx="92">
                  <c:v>-28</c:v>
                </c:pt>
                <c:pt idx="93">
                  <c:v>-27</c:v>
                </c:pt>
                <c:pt idx="94">
                  <c:v>-26</c:v>
                </c:pt>
                <c:pt idx="95">
                  <c:v>-25</c:v>
                </c:pt>
                <c:pt idx="96">
                  <c:v>-24</c:v>
                </c:pt>
                <c:pt idx="97">
                  <c:v>-23</c:v>
                </c:pt>
                <c:pt idx="98">
                  <c:v>-22</c:v>
                </c:pt>
                <c:pt idx="99">
                  <c:v>-21</c:v>
                </c:pt>
                <c:pt idx="100">
                  <c:v>-20</c:v>
                </c:pt>
                <c:pt idx="101">
                  <c:v>-19</c:v>
                </c:pt>
                <c:pt idx="102">
                  <c:v>-18</c:v>
                </c:pt>
                <c:pt idx="103">
                  <c:v>-17</c:v>
                </c:pt>
                <c:pt idx="104">
                  <c:v>-16</c:v>
                </c:pt>
                <c:pt idx="105">
                  <c:v>-15</c:v>
                </c:pt>
                <c:pt idx="106">
                  <c:v>-14</c:v>
                </c:pt>
                <c:pt idx="107">
                  <c:v>-13</c:v>
                </c:pt>
                <c:pt idx="108">
                  <c:v>-12</c:v>
                </c:pt>
                <c:pt idx="109">
                  <c:v>-11</c:v>
                </c:pt>
                <c:pt idx="110">
                  <c:v>-10</c:v>
                </c:pt>
                <c:pt idx="111">
                  <c:v>-9</c:v>
                </c:pt>
                <c:pt idx="112">
                  <c:v>-8</c:v>
                </c:pt>
                <c:pt idx="113">
                  <c:v>-7</c:v>
                </c:pt>
                <c:pt idx="114">
                  <c:v>-6</c:v>
                </c:pt>
                <c:pt idx="115">
                  <c:v>-5</c:v>
                </c:pt>
                <c:pt idx="116">
                  <c:v>-4</c:v>
                </c:pt>
                <c:pt idx="117">
                  <c:v>-3</c:v>
                </c:pt>
                <c:pt idx="118">
                  <c:v>-2</c:v>
                </c:pt>
                <c:pt idx="119">
                  <c:v>-1</c:v>
                </c:pt>
                <c:pt idx="120">
                  <c:v>0</c:v>
                </c:pt>
                <c:pt idx="121">
                  <c:v>1</c:v>
                </c:pt>
                <c:pt idx="122">
                  <c:v>2</c:v>
                </c:pt>
                <c:pt idx="123">
                  <c:v>3</c:v>
                </c:pt>
                <c:pt idx="124">
                  <c:v>4</c:v>
                </c:pt>
                <c:pt idx="125">
                  <c:v>5</c:v>
                </c:pt>
                <c:pt idx="126">
                  <c:v>6</c:v>
                </c:pt>
                <c:pt idx="127">
                  <c:v>7</c:v>
                </c:pt>
                <c:pt idx="128">
                  <c:v>8</c:v>
                </c:pt>
                <c:pt idx="129">
                  <c:v>9</c:v>
                </c:pt>
                <c:pt idx="130">
                  <c:v>10</c:v>
                </c:pt>
                <c:pt idx="131">
                  <c:v>11</c:v>
                </c:pt>
                <c:pt idx="132">
                  <c:v>12</c:v>
                </c:pt>
                <c:pt idx="133">
                  <c:v>13</c:v>
                </c:pt>
                <c:pt idx="134">
                  <c:v>14</c:v>
                </c:pt>
                <c:pt idx="135">
                  <c:v>15</c:v>
                </c:pt>
                <c:pt idx="136">
                  <c:v>16</c:v>
                </c:pt>
                <c:pt idx="137">
                  <c:v>17</c:v>
                </c:pt>
                <c:pt idx="138">
                  <c:v>18</c:v>
                </c:pt>
                <c:pt idx="139">
                  <c:v>19</c:v>
                </c:pt>
                <c:pt idx="140">
                  <c:v>20</c:v>
                </c:pt>
                <c:pt idx="141">
                  <c:v>21</c:v>
                </c:pt>
                <c:pt idx="142">
                  <c:v>22</c:v>
                </c:pt>
                <c:pt idx="143">
                  <c:v>23</c:v>
                </c:pt>
                <c:pt idx="144">
                  <c:v>24</c:v>
                </c:pt>
                <c:pt idx="145">
                  <c:v>25</c:v>
                </c:pt>
                <c:pt idx="146">
                  <c:v>26</c:v>
                </c:pt>
                <c:pt idx="147">
                  <c:v>27</c:v>
                </c:pt>
                <c:pt idx="148">
                  <c:v>28</c:v>
                </c:pt>
                <c:pt idx="149">
                  <c:v>29</c:v>
                </c:pt>
                <c:pt idx="150">
                  <c:v>30</c:v>
                </c:pt>
                <c:pt idx="151">
                  <c:v>31</c:v>
                </c:pt>
                <c:pt idx="152">
                  <c:v>32</c:v>
                </c:pt>
                <c:pt idx="153">
                  <c:v>33</c:v>
                </c:pt>
                <c:pt idx="154">
                  <c:v>34</c:v>
                </c:pt>
                <c:pt idx="155">
                  <c:v>35</c:v>
                </c:pt>
                <c:pt idx="156">
                  <c:v>36</c:v>
                </c:pt>
                <c:pt idx="157">
                  <c:v>37</c:v>
                </c:pt>
                <c:pt idx="158">
                  <c:v>38</c:v>
                </c:pt>
                <c:pt idx="159">
                  <c:v>39</c:v>
                </c:pt>
                <c:pt idx="160">
                  <c:v>40</c:v>
                </c:pt>
                <c:pt idx="161">
                  <c:v>41</c:v>
                </c:pt>
                <c:pt idx="162">
                  <c:v>42</c:v>
                </c:pt>
                <c:pt idx="163">
                  <c:v>43</c:v>
                </c:pt>
                <c:pt idx="164">
                  <c:v>44</c:v>
                </c:pt>
                <c:pt idx="165">
                  <c:v>45</c:v>
                </c:pt>
                <c:pt idx="166">
                  <c:v>46</c:v>
                </c:pt>
                <c:pt idx="167">
                  <c:v>47</c:v>
                </c:pt>
                <c:pt idx="168">
                  <c:v>48</c:v>
                </c:pt>
                <c:pt idx="169">
                  <c:v>49</c:v>
                </c:pt>
                <c:pt idx="170">
                  <c:v>50</c:v>
                </c:pt>
                <c:pt idx="171">
                  <c:v>51</c:v>
                </c:pt>
                <c:pt idx="172">
                  <c:v>52</c:v>
                </c:pt>
                <c:pt idx="173">
                  <c:v>53</c:v>
                </c:pt>
                <c:pt idx="174">
                  <c:v>54</c:v>
                </c:pt>
                <c:pt idx="175">
                  <c:v>55</c:v>
                </c:pt>
                <c:pt idx="176">
                  <c:v>56</c:v>
                </c:pt>
                <c:pt idx="177">
                  <c:v>57</c:v>
                </c:pt>
                <c:pt idx="178">
                  <c:v>58</c:v>
                </c:pt>
                <c:pt idx="179">
                  <c:v>59</c:v>
                </c:pt>
                <c:pt idx="180">
                  <c:v>60</c:v>
                </c:pt>
                <c:pt idx="181">
                  <c:v>61</c:v>
                </c:pt>
                <c:pt idx="182">
                  <c:v>62</c:v>
                </c:pt>
                <c:pt idx="183">
                  <c:v>63</c:v>
                </c:pt>
                <c:pt idx="184">
                  <c:v>64</c:v>
                </c:pt>
                <c:pt idx="185">
                  <c:v>65</c:v>
                </c:pt>
                <c:pt idx="186">
                  <c:v>66</c:v>
                </c:pt>
                <c:pt idx="187">
                  <c:v>67</c:v>
                </c:pt>
                <c:pt idx="188">
                  <c:v>68</c:v>
                </c:pt>
                <c:pt idx="189">
                  <c:v>69</c:v>
                </c:pt>
                <c:pt idx="190">
                  <c:v>70</c:v>
                </c:pt>
                <c:pt idx="191">
                  <c:v>71</c:v>
                </c:pt>
                <c:pt idx="192">
                  <c:v>72</c:v>
                </c:pt>
                <c:pt idx="193">
                  <c:v>73</c:v>
                </c:pt>
                <c:pt idx="194">
                  <c:v>74</c:v>
                </c:pt>
                <c:pt idx="195">
                  <c:v>75</c:v>
                </c:pt>
                <c:pt idx="196">
                  <c:v>76</c:v>
                </c:pt>
                <c:pt idx="197">
                  <c:v>77</c:v>
                </c:pt>
                <c:pt idx="198">
                  <c:v>78</c:v>
                </c:pt>
                <c:pt idx="199">
                  <c:v>79</c:v>
                </c:pt>
                <c:pt idx="200">
                  <c:v>80</c:v>
                </c:pt>
              </c:numCache>
            </c:numRef>
          </c:xVal>
          <c:yVal>
            <c:numRef>
              <c:f>'Shiftfunktion bestimmen'!$F$222:$F$422</c:f>
              <c:numCache>
                <c:formatCode>General</c:formatCode>
                <c:ptCount val="201"/>
                <c:pt idx="0">
                  <c:v>-21.743761924620145</c:v>
                </c:pt>
                <c:pt idx="1">
                  <c:v>-21.616231358145413</c:v>
                </c:pt>
                <c:pt idx="2">
                  <c:v>-21.494014160426985</c:v>
                </c:pt>
                <c:pt idx="3">
                  <c:v>-21.376772536337214</c:v>
                </c:pt>
                <c:pt idx="4">
                  <c:v>-21.264160880610369</c:v>
                </c:pt>
                <c:pt idx="5">
                  <c:v>-21.155828078946186</c:v>
                </c:pt>
                <c:pt idx="6">
                  <c:v>-21.051419653412324</c:v>
                </c:pt>
                <c:pt idx="7">
                  <c:v>-20.950579757237961</c:v>
                </c:pt>
                <c:pt idx="8">
                  <c:v>-20.852953024023982</c:v>
                </c:pt>
                <c:pt idx="9">
                  <c:v>-20.758186276323009</c:v>
                </c:pt>
                <c:pt idx="10">
                  <c:v>-20.665930098475862</c:v>
                </c:pt>
                <c:pt idx="11">
                  <c:v>-20.575840278520246</c:v>
                </c:pt>
                <c:pt idx="12">
                  <c:v>-20.487579123919261</c:v>
                </c:pt>
                <c:pt idx="13">
                  <c:v>-20.400816655787576</c:v>
                </c:pt>
                <c:pt idx="14">
                  <c:v>-20.315231686224038</c:v>
                </c:pt>
                <c:pt idx="15">
                  <c:v>-20.230512783290401</c:v>
                </c:pt>
                <c:pt idx="16">
                  <c:v>-20.146359128106869</c:v>
                </c:pt>
                <c:pt idx="17">
                  <c:v>-20.062481268465287</c:v>
                </c:pt>
                <c:pt idx="18">
                  <c:v>-19.978601773292247</c:v>
                </c:pt>
                <c:pt idx="19">
                  <c:v>-19.894455792225351</c:v>
                </c:pt>
                <c:pt idx="20">
                  <c:v>-19.809791524495754</c:v>
                </c:pt>
                <c:pt idx="21">
                  <c:v>-19.724370601241951</c:v>
                </c:pt>
                <c:pt idx="22">
                  <c:v>-19.637968385309726</c:v>
                </c:pt>
                <c:pt idx="23">
                  <c:v>-19.550374192525112</c:v>
                </c:pt>
                <c:pt idx="24">
                  <c:v>-19.461391438356461</c:v>
                </c:pt>
                <c:pt idx="25">
                  <c:v>-19.370837713814037</c:v>
                </c:pt>
                <c:pt idx="26">
                  <c:v>-19.278544794365477</c:v>
                </c:pt>
                <c:pt idx="27">
                  <c:v>-19.18435858557654</c:v>
                </c:pt>
                <c:pt idx="28">
                  <c:v>-19.088139009117349</c:v>
                </c:pt>
                <c:pt idx="29">
                  <c:v>-18.989759832705296</c:v>
                </c:pt>
                <c:pt idx="30">
                  <c:v>-18.889108447486123</c:v>
                </c:pt>
                <c:pt idx="31">
                  <c:v>-18.786085596286341</c:v>
                </c:pt>
                <c:pt idx="32">
                  <c:v>-18.680605056099914</c:v>
                </c:pt>
                <c:pt idx="33">
                  <c:v>-18.572593278103959</c:v>
                </c:pt>
                <c:pt idx="34">
                  <c:v>-18.461988988428118</c:v>
                </c:pt>
                <c:pt idx="35">
                  <c:v>-18.348742752834042</c:v>
                </c:pt>
                <c:pt idx="36">
                  <c:v>-18.23281650839116</c:v>
                </c:pt>
                <c:pt idx="37">
                  <c:v>-18.114183065166642</c:v>
                </c:pt>
                <c:pt idx="38">
                  <c:v>-17.992825580877824</c:v>
                </c:pt>
                <c:pt idx="39">
                  <c:v>-17.868737011386152</c:v>
                </c:pt>
                <c:pt idx="40">
                  <c:v>-17.741919539842737</c:v>
                </c:pt>
                <c:pt idx="41">
                  <c:v>-17.612383987226305</c:v>
                </c:pt>
                <c:pt idx="42">
                  <c:v>-17.480149206945086</c:v>
                </c:pt>
                <c:pt idx="43">
                  <c:v>-17.345241466105119</c:v>
                </c:pt>
                <c:pt idx="44">
                  <c:v>-17.207693815978143</c:v>
                </c:pt>
                <c:pt idx="45">
                  <c:v>-17.067545454133256</c:v>
                </c:pt>
                <c:pt idx="46">
                  <c:v>-16.924841080626987</c:v>
                </c:pt>
                <c:pt idx="47">
                  <c:v>-16.779630250577625</c:v>
                </c:pt>
                <c:pt idx="48">
                  <c:v>-16.631966725380298</c:v>
                </c:pt>
                <c:pt idx="49">
                  <c:v>-16.48190782474995</c:v>
                </c:pt>
                <c:pt idx="50">
                  <c:v>-16.32951378171046</c:v>
                </c:pt>
                <c:pt idx="51">
                  <c:v>-16.174847102578823</c:v>
                </c:pt>
                <c:pt idx="52">
                  <c:v>-16.017971933924059</c:v>
                </c:pt>
                <c:pt idx="53">
                  <c:v>-15.858953438411476</c:v>
                </c:pt>
                <c:pt idx="54">
                  <c:v>-15.697857181373625</c:v>
                </c:pt>
                <c:pt idx="55">
                  <c:v>-15.534748529880114</c:v>
                </c:pt>
                <c:pt idx="56">
                  <c:v>-15.369692066009303</c:v>
                </c:pt>
                <c:pt idx="57">
                  <c:v>-15.202751015955675</c:v>
                </c:pt>
                <c:pt idx="58">
                  <c:v>-15.033986696537507</c:v>
                </c:pt>
                <c:pt idx="59">
                  <c:v>-14.863457980600284</c:v>
                </c:pt>
                <c:pt idx="60">
                  <c:v>-14.691220782742054</c:v>
                </c:pt>
                <c:pt idx="61">
                  <c:v>-14.517327566717885</c:v>
                </c:pt>
                <c:pt idx="62">
                  <c:v>-14.341826875811188</c:v>
                </c:pt>
                <c:pt idx="63">
                  <c:v>-14.164762887390674</c:v>
                </c:pt>
                <c:pt idx="64">
                  <c:v>-13.986174992802415</c:v>
                </c:pt>
                <c:pt idx="65">
                  <c:v>-13.806097403677324</c:v>
                </c:pt>
                <c:pt idx="66">
                  <c:v>-13.624558785665196</c:v>
                </c:pt>
                <c:pt idx="67">
                  <c:v>-13.441581920537239</c:v>
                </c:pt>
                <c:pt idx="68">
                  <c:v>-13.257183397529849</c:v>
                </c:pt>
                <c:pt idx="69">
                  <c:v>-13.071373334733234</c:v>
                </c:pt>
                <c:pt idx="70">
                  <c:v>-12.884155131259199</c:v>
                </c:pt>
                <c:pt idx="71">
                  <c:v>-12.695525250853377</c:v>
                </c:pt>
                <c:pt idx="72">
                  <c:v>-12.505473037547825</c:v>
                </c:pt>
                <c:pt idx="73">
                  <c:v>-12.3139805638809</c:v>
                </c:pt>
                <c:pt idx="74">
                  <c:v>-12.121022512141954</c:v>
                </c:pt>
                <c:pt idx="75">
                  <c:v>-11.926566089029405</c:v>
                </c:pt>
                <c:pt idx="76">
                  <c:v>-11.730570974041338</c:v>
                </c:pt>
                <c:pt idx="77">
                  <c:v>-11.532989301848819</c:v>
                </c:pt>
                <c:pt idx="78">
                  <c:v>-11.333765678832691</c:v>
                </c:pt>
                <c:pt idx="79">
                  <c:v>-11.132837233895728</c:v>
                </c:pt>
                <c:pt idx="80">
                  <c:v>-10.93013370359245</c:v>
                </c:pt>
                <c:pt idx="81">
                  <c:v>-10.725577551550119</c:v>
                </c:pt>
                <c:pt idx="82">
                  <c:v>-10.519084122084973</c:v>
                </c:pt>
                <c:pt idx="83">
                  <c:v>-10.310561827848625</c:v>
                </c:pt>
                <c:pt idx="84">
                  <c:v>-10.099912371270497</c:v>
                </c:pt>
                <c:pt idx="85">
                  <c:v>-9.8870309994927741</c:v>
                </c:pt>
                <c:pt idx="86">
                  <c:v>-9.6718067924253432</c:v>
                </c:pt>
                <c:pt idx="87">
                  <c:v>-9.4541229834789018</c:v>
                </c:pt>
                <c:pt idx="88">
                  <c:v>-9.2338573124652523</c:v>
                </c:pt>
                <c:pt idx="89">
                  <c:v>-9.0108824100846565</c:v>
                </c:pt>
                <c:pt idx="90">
                  <c:v>-8.7850662133508681</c:v>
                </c:pt>
                <c:pt idx="91">
                  <c:v>-8.5562724112353052</c:v>
                </c:pt>
                <c:pt idx="92">
                  <c:v>-8.3243609197426895</c:v>
                </c:pt>
                <c:pt idx="93">
                  <c:v>-8.089188385561199</c:v>
                </c:pt>
                <c:pt idx="94">
                  <c:v>-7.8506087173610339</c:v>
                </c:pt>
                <c:pt idx="95">
                  <c:v>-7.6084736437461773</c:v>
                </c:pt>
                <c:pt idx="96">
                  <c:v>-7.3626332967948063</c:v>
                </c:pt>
                <c:pt idx="97">
                  <c:v>-7.1129368200547516</c:v>
                </c:pt>
                <c:pt idx="98">
                  <c:v>-6.8592329997911516</c:v>
                </c:pt>
                <c:pt idx="99">
                  <c:v>-6.6013709182142746</c:v>
                </c:pt>
                <c:pt idx="100">
                  <c:v>-6.33920062734627</c:v>
                </c:pt>
                <c:pt idx="101">
                  <c:v>-6.0725738421165225</c:v>
                </c:pt>
                <c:pt idx="102">
                  <c:v>-5.8013446512059197</c:v>
                </c:pt>
                <c:pt idx="103">
                  <c:v>-5.5253702440913539</c:v>
                </c:pt>
                <c:pt idx="104">
                  <c:v>-5.2445116526724398</c:v>
                </c:pt>
                <c:pt idx="105">
                  <c:v>-4.9586345057933396</c:v>
                </c:pt>
                <c:pt idx="106">
                  <c:v>-4.6676097949033251</c:v>
                </c:pt>
                <c:pt idx="107">
                  <c:v>-4.3713146490305945</c:v>
                </c:pt>
                <c:pt idx="108">
                  <c:v>-4.0696331171746181</c:v>
                </c:pt>
                <c:pt idx="109">
                  <c:v>-3.7624569561531325</c:v>
                </c:pt>
                <c:pt idx="110">
                  <c:v>-3.4496864218706893</c:v>
                </c:pt>
                <c:pt idx="111">
                  <c:v>-3.1312310619065076</c:v>
                </c:pt>
                <c:pt idx="112">
                  <c:v>-2.8070105072501761</c:v>
                </c:pt>
                <c:pt idx="113">
                  <c:v>-2.4769552609445653</c:v>
                </c:pt>
                <c:pt idx="114">
                  <c:v>-2.14100748132612</c:v>
                </c:pt>
                <c:pt idx="115">
                  <c:v>-1.799121757483531</c:v>
                </c:pt>
                <c:pt idx="116">
                  <c:v>-1.451265874486583</c:v>
                </c:pt>
                <c:pt idx="117">
                  <c:v>-1.0974215658677939</c:v>
                </c:pt>
                <c:pt idx="118">
                  <c:v>-0.73758525077027925</c:v>
                </c:pt>
                <c:pt idx="119">
                  <c:v>-0.37176875310607704</c:v>
                </c:pt>
                <c:pt idx="120">
                  <c:v>0</c:v>
                </c:pt>
                <c:pt idx="121">
                  <c:v>0.37767630327512502</c:v>
                </c:pt>
                <c:pt idx="122">
                  <c:v>0.76119802473514098</c:v>
                </c:pt>
                <c:pt idx="123">
                  <c:v>1.1504849864256734</c:v>
                </c:pt>
                <c:pt idx="124">
                  <c:v>1.5454383774693623</c:v>
                </c:pt>
                <c:pt idx="125">
                  <c:v>1.9459402024900863</c:v>
                </c:pt>
                <c:pt idx="126">
                  <c:v>2.3518527685542474</c:v>
                </c:pt>
                <c:pt idx="127">
                  <c:v>2.7630182138383588</c:v>
                </c:pt>
                <c:pt idx="128">
                  <c:v>3.1792580813013798</c:v>
                </c:pt>
                <c:pt idx="129">
                  <c:v>3.6003729407094087</c:v>
                </c:pt>
                <c:pt idx="130">
                  <c:v>4.0261420624295594</c:v>
                </c:pt>
                <c:pt idx="131">
                  <c:v>4.456323146478999</c:v>
                </c:pt>
                <c:pt idx="132">
                  <c:v>4.8906521103843374</c:v>
                </c:pt>
                <c:pt idx="133">
                  <c:v>5.3288429394757451</c:v>
                </c:pt>
                <c:pt idx="134">
                  <c:v>5.7705876033093348</c:v>
                </c:pt>
                <c:pt idx="135">
                  <c:v>6.215556041980566</c:v>
                </c:pt>
                <c:pt idx="136">
                  <c:v>6.6633962261605983</c:v>
                </c:pt>
                <c:pt idx="137">
                  <c:v>7.1137342947566857</c:v>
                </c:pt>
                <c:pt idx="138">
                  <c:v>7.5661747741669636</c:v>
                </c:pt>
                <c:pt idx="139">
                  <c:v>8.0203008831690443</c:v>
                </c:pt>
                <c:pt idx="140">
                  <c:v>8.4756749275511805</c:v>
                </c:pt>
                <c:pt idx="141">
                  <c:v>8.9318387886637538</c:v>
                </c:pt>
                <c:pt idx="142">
                  <c:v>9.3883145101382564</c:v>
                </c:pt>
                <c:pt idx="143">
                  <c:v>9.8446049870899071</c:v>
                </c:pt>
                <c:pt idx="144">
                  <c:v>10.300194762189321</c:v>
                </c:pt>
                <c:pt idx="145">
                  <c:v>10.754550933057946</c:v>
                </c:pt>
                <c:pt idx="146">
                  <c:v>11.207124175510904</c:v>
                </c:pt>
                <c:pt idx="147">
                  <c:v>11.657349887240363</c:v>
                </c:pt>
                <c:pt idx="148">
                  <c:v>12.104649456601493</c:v>
                </c:pt>
                <c:pt idx="149">
                  <c:v>12.548431661232431</c:v>
                </c:pt>
                <c:pt idx="150">
                  <c:v>12.988094201308764</c:v>
                </c:pt>
                <c:pt idx="151">
                  <c:v>13.423025372302265</c:v>
                </c:pt>
                <c:pt idx="152">
                  <c:v>13.852605882182788</c:v>
                </c:pt>
                <c:pt idx="153">
                  <c:v>14.276210818071428</c:v>
                </c:pt>
                <c:pt idx="154">
                  <c:v>14.693211767422211</c:v>
                </c:pt>
                <c:pt idx="155">
                  <c:v>15.102979098878846</c:v>
                </c:pt>
                <c:pt idx="156">
                  <c:v>15.504884408022111</c:v>
                </c:pt>
                <c:pt idx="157">
                  <c:v>15.898303133292774</c:v>
                </c:pt>
                <c:pt idx="158">
                  <c:v>16.282617347444106</c:v>
                </c:pt>
                <c:pt idx="159">
                  <c:v>16.657218729947093</c:v>
                </c:pt>
                <c:pt idx="160">
                  <c:v>17.021511725840913</c:v>
                </c:pt>
                <c:pt idx="161">
                  <c:v>17.374916896590126</c:v>
                </c:pt>
                <c:pt idx="162">
                  <c:v>17.716874468579412</c:v>
                </c:pt>
                <c:pt idx="163">
                  <c:v>18.046848084945864</c:v>
                </c:pt>
                <c:pt idx="164">
                  <c:v>18.364328766517886</c:v>
                </c:pt>
                <c:pt idx="165">
                  <c:v>18.668839087699162</c:v>
                </c:pt>
                <c:pt idx="166">
                  <c:v>18.959937573205064</c:v>
                </c:pt>
                <c:pt idx="167">
                  <c:v>19.237223321628388</c:v>
                </c:pt>
                <c:pt idx="168">
                  <c:v>19.50034086188014</c:v>
                </c:pt>
                <c:pt idx="169">
                  <c:v>19.74898524862061</c:v>
                </c:pt>
                <c:pt idx="170">
                  <c:v>19.98290740286485</c:v>
                </c:pt>
                <c:pt idx="171">
                  <c:v>20.201919704016191</c:v>
                </c:pt>
                <c:pt idx="172">
                  <c:v>20.405901839650255</c:v>
                </c:pt>
                <c:pt idx="173">
                  <c:v>20.594806919441478</c:v>
                </c:pt>
                <c:pt idx="174">
                  <c:v>20.768667859692936</c:v>
                </c:pt>
                <c:pt idx="175">
                  <c:v>20.927604044999963</c:v>
                </c:pt>
                <c:pt idx="176">
                  <c:v>21.071828273646641</c:v>
                </c:pt>
                <c:pt idx="177">
                  <c:v>21.201653993404044</c:v>
                </c:pt>
                <c:pt idx="178">
                  <c:v>21.31750283446765</c:v>
                </c:pt>
                <c:pt idx="179">
                  <c:v>21.4199124463413</c:v>
                </c:pt>
                <c:pt idx="180">
                  <c:v>21.509544645543386</c:v>
                </c:pt>
                <c:pt idx="181">
                  <c:v>21.58719388108095</c:v>
                </c:pt>
                <c:pt idx="182">
                  <c:v>21.653796024705986</c:v>
                </c:pt>
                <c:pt idx="183">
                  <c:v>21.710437493037773</c:v>
                </c:pt>
                <c:pt idx="184">
                  <c:v>21.758364708704004</c:v>
                </c:pt>
                <c:pt idx="185">
                  <c:v>21.798993907722895</c:v>
                </c:pt>
                <c:pt idx="186">
                  <c:v>21.833921300417384</c:v>
                </c:pt>
                <c:pt idx="187">
                  <c:v>21.864933593222048</c:v>
                </c:pt>
                <c:pt idx="188">
                  <c:v>21.894018878812226</c:v>
                </c:pt>
                <c:pt idx="189">
                  <c:v>21.923377902054149</c:v>
                </c:pt>
                <c:pt idx="190">
                  <c:v>21.955435709344247</c:v>
                </c:pt>
                <c:pt idx="191">
                  <c:v>21.992853688974563</c:v>
                </c:pt>
                <c:pt idx="192">
                  <c:v>22.038542010230927</c:v>
                </c:pt>
                <c:pt idx="193">
                  <c:v>22.095672468999179</c:v>
                </c:pt>
                <c:pt idx="194">
                  <c:v>22.167691747724458</c:v>
                </c:pt>
                <c:pt idx="195">
                  <c:v>22.258335097637225</c:v>
                </c:pt>
                <c:pt idx="196">
                  <c:v>22.371640451229378</c:v>
                </c:pt>
                <c:pt idx="197">
                  <c:v>22.511962973032535</c:v>
                </c:pt>
                <c:pt idx="198">
                  <c:v>22.683990056820264</c:v>
                </c:pt>
                <c:pt idx="199">
                  <c:v>22.892756777424562</c:v>
                </c:pt>
                <c:pt idx="200">
                  <c:v>23.143661805426913</c:v>
                </c:pt>
              </c:numCache>
            </c:numRef>
          </c:yVal>
          <c:smooth val="1"/>
        </c:ser>
        <c:dLbls>
          <c:showLegendKey val="0"/>
          <c:showVal val="0"/>
          <c:showCatName val="0"/>
          <c:showSerName val="0"/>
          <c:showPercent val="0"/>
          <c:showBubbleSize val="0"/>
        </c:dLbls>
        <c:axId val="448435696"/>
        <c:axId val="448436088"/>
      </c:scatterChart>
      <c:valAx>
        <c:axId val="448435696"/>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8436088"/>
        <c:crossesAt val="-1000"/>
        <c:crossBetween val="midCat"/>
      </c:valAx>
      <c:valAx>
        <c:axId val="4484360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8435696"/>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460375</xdr:colOff>
      <xdr:row>419</xdr:row>
      <xdr:rowOff>180181</xdr:rowOff>
    </xdr:from>
    <xdr:to>
      <xdr:col>22</xdr:col>
      <xdr:colOff>460375</xdr:colOff>
      <xdr:row>434</xdr:row>
      <xdr:rowOff>65881</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72</xdr:row>
      <xdr:rowOff>190499</xdr:rowOff>
    </xdr:from>
    <xdr:to>
      <xdr:col>19</xdr:col>
      <xdr:colOff>363682</xdr:colOff>
      <xdr:row>93</xdr:row>
      <xdr:rowOff>147204</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152</xdr:row>
      <xdr:rowOff>0</xdr:rowOff>
    </xdr:from>
    <xdr:to>
      <xdr:col>19</xdr:col>
      <xdr:colOff>760866</xdr:colOff>
      <xdr:row>174</xdr:row>
      <xdr:rowOff>181841</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753341</xdr:colOff>
      <xdr:row>175</xdr:row>
      <xdr:rowOff>8659</xdr:rowOff>
    </xdr:from>
    <xdr:to>
      <xdr:col>20</xdr:col>
      <xdr:colOff>8659</xdr:colOff>
      <xdr:row>196</xdr:row>
      <xdr:rowOff>84859</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5.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E11" sqref="E11"/>
    </sheetView>
  </sheetViews>
  <sheetFormatPr baseColWidth="10" defaultRowHeight="15" x14ac:dyDescent="0.25"/>
  <cols>
    <col min="1" max="1" width="22.140625" customWidth="1"/>
  </cols>
  <sheetData>
    <row r="1" spans="1:13" x14ac:dyDescent="0.25">
      <c r="A1" s="13" t="s">
        <v>102</v>
      </c>
      <c r="B1" s="63" t="s">
        <v>165</v>
      </c>
      <c r="D1" t="s">
        <v>103</v>
      </c>
    </row>
    <row r="2" spans="1:13" x14ac:dyDescent="0.25">
      <c r="A2" s="13" t="s">
        <v>104</v>
      </c>
      <c r="B2" s="63" t="s">
        <v>105</v>
      </c>
      <c r="D2" s="124" t="s">
        <v>106</v>
      </c>
      <c r="E2" s="124"/>
      <c r="F2" s="124"/>
      <c r="G2" s="124"/>
      <c r="H2" s="124"/>
      <c r="I2" s="124"/>
      <c r="J2" s="124"/>
      <c r="K2" s="124"/>
      <c r="L2" s="124"/>
      <c r="M2" s="124"/>
    </row>
    <row r="3" spans="1:13" x14ac:dyDescent="0.25">
      <c r="D3" s="124"/>
      <c r="E3" s="124"/>
      <c r="F3" s="124"/>
      <c r="G3" s="124"/>
      <c r="H3" s="124"/>
      <c r="I3" s="124"/>
      <c r="J3" s="124"/>
      <c r="K3" s="124"/>
      <c r="L3" s="124"/>
      <c r="M3" s="124"/>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69" workbookViewId="0">
      <selection activeCell="B74" sqref="B74"/>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154</v>
      </c>
      <c r="B20" s="99">
        <f>CTE!N5</f>
        <v>0.5</v>
      </c>
    </row>
    <row r="21" spans="1:2" s="11" customFormat="1" x14ac:dyDescent="0.25">
      <c r="A21" s="61" t="s">
        <v>155</v>
      </c>
      <c r="B21" s="99">
        <f>CTE!N6-0.5</f>
        <v>85</v>
      </c>
    </row>
    <row r="22" spans="1:2" s="11" customFormat="1" x14ac:dyDescent="0.25">
      <c r="A22" s="61" t="s">
        <v>156</v>
      </c>
      <c r="B22" s="99">
        <f>CTE!N8-0.5</f>
        <v>95</v>
      </c>
    </row>
    <row r="23" spans="1:2" s="11" customFormat="1" x14ac:dyDescent="0.25">
      <c r="A23" s="61" t="s">
        <v>157</v>
      </c>
      <c r="B23" s="99">
        <f>CTE!N9</f>
        <v>180.5</v>
      </c>
    </row>
    <row r="24" spans="1:2" s="11" customFormat="1" x14ac:dyDescent="0.25"/>
    <row r="25" spans="1:2" s="11" customFormat="1" x14ac:dyDescent="0.25">
      <c r="A25" s="61" t="s">
        <v>146</v>
      </c>
      <c r="B25" s="53">
        <f>CTE!O5</f>
        <v>2.4982378857142858E-5</v>
      </c>
    </row>
    <row r="26" spans="1:2" s="11" customFormat="1" x14ac:dyDescent="0.25">
      <c r="A26" s="61" t="s">
        <v>147</v>
      </c>
      <c r="B26" s="53">
        <f>CTE!O6</f>
        <v>2.7353645142857146E-5</v>
      </c>
    </row>
    <row r="27" spans="1:2" s="11" customFormat="1" x14ac:dyDescent="0.25">
      <c r="A27" s="61" t="s">
        <v>148</v>
      </c>
      <c r="B27" s="53">
        <f>CTE!O8</f>
        <v>6.5304893142857141E-5</v>
      </c>
    </row>
    <row r="28" spans="1:2" s="11" customFormat="1" x14ac:dyDescent="0.25">
      <c r="A28" s="61" t="s">
        <v>149</v>
      </c>
      <c r="B28" s="53">
        <f>CTE!O9</f>
        <v>6.5054468571428583E-5</v>
      </c>
    </row>
    <row r="29" spans="1:2" s="11" customFormat="1" x14ac:dyDescent="0.25">
      <c r="A29" s="61"/>
    </row>
    <row r="30" spans="1:2" s="11" customFormat="1" x14ac:dyDescent="0.25">
      <c r="A30" s="61" t="s">
        <v>150</v>
      </c>
      <c r="B30" s="52">
        <f>CTE!P5</f>
        <v>2.1653550666666668E-5</v>
      </c>
    </row>
    <row r="31" spans="1:2" s="11" customFormat="1" x14ac:dyDescent="0.25">
      <c r="A31" s="61" t="s">
        <v>151</v>
      </c>
      <c r="B31" s="52">
        <f>CTE!P6</f>
        <v>2.2701453333333334E-5</v>
      </c>
    </row>
    <row r="32" spans="1:2" s="11" customFormat="1" x14ac:dyDescent="0.25">
      <c r="A32" s="61" t="s">
        <v>152</v>
      </c>
      <c r="B32" s="52">
        <f>CTE!P8</f>
        <v>3.6964487777777785E-5</v>
      </c>
    </row>
    <row r="33" spans="1:2" s="11" customFormat="1" x14ac:dyDescent="0.25">
      <c r="A33" s="61" t="s">
        <v>153</v>
      </c>
      <c r="B33" s="52">
        <f>CTE!P9</f>
        <v>3.8042414444444447E-5</v>
      </c>
    </row>
    <row r="34" spans="1:2" s="11" customFormat="1" x14ac:dyDescent="0.25"/>
    <row r="35" spans="1:2" s="11" customFormat="1" x14ac:dyDescent="0.25">
      <c r="A35" s="11" t="s">
        <v>56</v>
      </c>
    </row>
    <row r="36" spans="1:2" s="11" customFormat="1" x14ac:dyDescent="0.25">
      <c r="A36" s="11" t="s">
        <v>158</v>
      </c>
    </row>
    <row r="37" spans="1:2" s="11" customFormat="1" x14ac:dyDescent="0.25">
      <c r="A37" s="11" t="s">
        <v>159</v>
      </c>
    </row>
    <row r="38" spans="1:2" s="11" customFormat="1" x14ac:dyDescent="0.25">
      <c r="A38" s="11" t="s">
        <v>160</v>
      </c>
    </row>
    <row r="39" spans="1:2" s="11" customFormat="1" x14ac:dyDescent="0.25">
      <c r="A39" s="11" t="s">
        <v>161</v>
      </c>
    </row>
    <row r="40" spans="1:2" s="11" customFormat="1" x14ac:dyDescent="0.25"/>
    <row r="41" spans="1:2" s="11" customFormat="1" x14ac:dyDescent="0.25">
      <c r="A41" s="11" t="s">
        <v>57</v>
      </c>
    </row>
    <row r="42" spans="1:2" s="11" customFormat="1" x14ac:dyDescent="0.25">
      <c r="A42" s="11" t="s">
        <v>113</v>
      </c>
      <c r="B42" s="52">
        <f>273.15+'Mastercurve bestimmen'!B2</f>
        <v>353.15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0.37473141014378614</v>
      </c>
      <c r="D59" s="55">
        <v>1</v>
      </c>
    </row>
    <row r="60" spans="1:4" s="11" customFormat="1" x14ac:dyDescent="0.25">
      <c r="A60" s="54">
        <v>2</v>
      </c>
      <c r="B60" s="56">
        <f>'Shiftfunktion bestimmen'!N2</f>
        <v>2.9545013602366669E-3</v>
      </c>
      <c r="D60" s="55">
        <v>2</v>
      </c>
    </row>
    <row r="61" spans="1:4" s="11" customFormat="1" x14ac:dyDescent="0.25">
      <c r="A61" s="54">
        <v>3</v>
      </c>
      <c r="B61" s="56">
        <f>'Shiftfunktion bestimmen'!N3</f>
        <v>-8.8766629393353679E-6</v>
      </c>
      <c r="D61" s="55">
        <v>3</v>
      </c>
    </row>
    <row r="62" spans="1:4" s="11" customFormat="1" x14ac:dyDescent="0.25">
      <c r="A62" s="54">
        <v>4</v>
      </c>
      <c r="B62" s="56">
        <f>'Shiftfunktion bestimmen'!N4</f>
        <v>-7.2631639098291619E-7</v>
      </c>
      <c r="D62" s="55">
        <v>4</v>
      </c>
    </row>
    <row r="63" spans="1:4" s="11" customFormat="1" x14ac:dyDescent="0.25">
      <c r="A63" s="54">
        <v>5</v>
      </c>
      <c r="B63" s="56">
        <f>'Shiftfunktion bestimmen'!N5</f>
        <v>-5.2908344461554078E-9</v>
      </c>
      <c r="D63" s="55">
        <v>5</v>
      </c>
    </row>
    <row r="64" spans="1:4" s="11" customFormat="1" x14ac:dyDescent="0.25">
      <c r="A64" s="54">
        <v>6</v>
      </c>
      <c r="B64" s="56">
        <f>'Shiftfunktion bestimmen'!N6</f>
        <v>4.0676572020837843E-11</v>
      </c>
      <c r="D64" s="55">
        <v>6</v>
      </c>
    </row>
    <row r="65" spans="1:5" s="11" customFormat="1" x14ac:dyDescent="0.25">
      <c r="A65" s="54">
        <v>7</v>
      </c>
      <c r="B65" s="56">
        <f>'Shiftfunktion bestimmen'!N7</f>
        <v>5.8870962139290244E-13</v>
      </c>
      <c r="D65" s="55">
        <v>7</v>
      </c>
    </row>
    <row r="66" spans="1:5" x14ac:dyDescent="0.25">
      <c r="A66" s="54">
        <v>8</v>
      </c>
      <c r="B66" s="56">
        <f>'Shiftfunktion bestimmen'!N8</f>
        <v>1.7159357703370749E-15</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'Universal Mastercurve'!C111</f>
        <v>1.3276941774369114E-2</v>
      </c>
      <c r="D74" s="51">
        <v>1</v>
      </c>
      <c r="E74" s="56">
        <f>'Universal Mastercurve'!A111</f>
        <v>1.0000000000000001E-20</v>
      </c>
    </row>
    <row r="75" spans="1:5" x14ac:dyDescent="0.25">
      <c r="A75" s="50">
        <f>A74+1</f>
        <v>2</v>
      </c>
      <c r="B75" s="56">
        <f>'Universal Mastercurve'!C112</f>
        <v>0</v>
      </c>
      <c r="D75" s="51">
        <v>2</v>
      </c>
      <c r="E75" s="56">
        <f>'Universal Mastercurve'!A112</f>
        <v>3.9038946506297401E-14</v>
      </c>
    </row>
    <row r="76" spans="1:5" x14ac:dyDescent="0.25">
      <c r="A76" s="50">
        <f t="shared" ref="A76:A104" si="0">A75+1</f>
        <v>3</v>
      </c>
      <c r="B76" s="56">
        <f>'Universal Mastercurve'!C113</f>
        <v>0</v>
      </c>
      <c r="D76" s="51">
        <v>3</v>
      </c>
      <c r="E76" s="56">
        <f>'Universal Mastercurve'!A113</f>
        <v>4.3276437088188502E-13</v>
      </c>
    </row>
    <row r="77" spans="1:5" x14ac:dyDescent="0.25">
      <c r="A77" s="50">
        <f t="shared" si="0"/>
        <v>4</v>
      </c>
      <c r="B77" s="56">
        <f>'Universal Mastercurve'!C114</f>
        <v>0</v>
      </c>
      <c r="D77" s="51">
        <v>4</v>
      </c>
      <c r="E77" s="56">
        <f>'Universal Mastercurve'!A114</f>
        <v>4.7973886968128502E-12</v>
      </c>
    </row>
    <row r="78" spans="1:5" x14ac:dyDescent="0.25">
      <c r="A78" s="50">
        <f t="shared" si="0"/>
        <v>5</v>
      </c>
      <c r="B78" s="56">
        <f>'Universal Mastercurve'!C115</f>
        <v>3.9093064533808055E-3</v>
      </c>
      <c r="D78" s="51">
        <v>5</v>
      </c>
      <c r="E78" s="56">
        <f>'Universal Mastercurve'!A115</f>
        <v>5.31812225239524E-11</v>
      </c>
    </row>
    <row r="79" spans="1:5" x14ac:dyDescent="0.25">
      <c r="A79" s="50">
        <f t="shared" si="0"/>
        <v>6</v>
      </c>
      <c r="B79" s="56">
        <f>'Universal Mastercurve'!C116</f>
        <v>2.3295025109815591E-2</v>
      </c>
      <c r="D79" s="51">
        <v>6</v>
      </c>
      <c r="E79" s="56">
        <f>'Universal Mastercurve'!A116</f>
        <v>5.8953789402578301E-10</v>
      </c>
    </row>
    <row r="80" spans="1:5" x14ac:dyDescent="0.25">
      <c r="A80" s="50">
        <f t="shared" si="0"/>
        <v>7</v>
      </c>
      <c r="B80" s="56">
        <f>'Universal Mastercurve'!C117</f>
        <v>1.9366384778578011E-2</v>
      </c>
      <c r="D80" s="51">
        <v>7</v>
      </c>
      <c r="E80" s="56">
        <f>'Universal Mastercurve'!A117</f>
        <v>6.5352940755699598E-9</v>
      </c>
    </row>
    <row r="81" spans="1:5" x14ac:dyDescent="0.25">
      <c r="A81" s="50">
        <f t="shared" si="0"/>
        <v>8</v>
      </c>
      <c r="B81" s="56">
        <f>'Universal Mastercurve'!C118</f>
        <v>2.4447536701486281E-2</v>
      </c>
      <c r="D81" s="51">
        <v>8</v>
      </c>
      <c r="E81" s="56">
        <f>'Universal Mastercurve'!A118</f>
        <v>7.2446689325643296E-8</v>
      </c>
    </row>
    <row r="82" spans="1:5" x14ac:dyDescent="0.25">
      <c r="A82" s="50">
        <f t="shared" si="0"/>
        <v>9</v>
      </c>
      <c r="B82" s="56">
        <f>'Universal Mastercurve'!C119</f>
        <v>3.2102560695383232E-2</v>
      </c>
      <c r="D82" s="51">
        <f>A82</f>
        <v>9</v>
      </c>
      <c r="E82" s="56">
        <f>'Universal Mastercurve'!A119</f>
        <v>8.03104303120212E-7</v>
      </c>
    </row>
    <row r="83" spans="1:5" x14ac:dyDescent="0.25">
      <c r="A83" s="50">
        <f t="shared" si="0"/>
        <v>10</v>
      </c>
      <c r="B83" s="56">
        <f>'Universal Mastercurve'!C120</f>
        <v>2.4134444755217831E-2</v>
      </c>
      <c r="C83" s="11"/>
      <c r="D83" s="51">
        <f t="shared" ref="D83:D104" si="1">A83</f>
        <v>10</v>
      </c>
      <c r="E83" s="56">
        <f>'Universal Mastercurve'!A120</f>
        <v>8.9027742702096099E-6</v>
      </c>
    </row>
    <row r="84" spans="1:5" x14ac:dyDescent="0.25">
      <c r="A84" s="50">
        <f t="shared" si="0"/>
        <v>11</v>
      </c>
      <c r="B84" s="56">
        <f>'Universal Mastercurve'!C121</f>
        <v>4.5522140204717329E-2</v>
      </c>
      <c r="C84" s="11"/>
      <c r="D84" s="51">
        <f t="shared" si="1"/>
        <v>11</v>
      </c>
      <c r="E84" s="56">
        <f>'Universal Mastercurve'!A121</f>
        <v>9.86912775817142E-5</v>
      </c>
    </row>
    <row r="85" spans="1:5" x14ac:dyDescent="0.25">
      <c r="A85" s="50">
        <f t="shared" si="0"/>
        <v>12</v>
      </c>
      <c r="B85" s="56">
        <f>'Universal Mastercurve'!C122</f>
        <v>3.7432935335074267E-2</v>
      </c>
      <c r="C85" s="11"/>
      <c r="D85" s="51">
        <f t="shared" si="1"/>
        <v>12</v>
      </c>
      <c r="E85" s="56">
        <f>'Universal Mastercurve'!A122</f>
        <v>1.0940374286813801E-3</v>
      </c>
    </row>
    <row r="86" spans="1:5" x14ac:dyDescent="0.25">
      <c r="A86" s="50">
        <f t="shared" si="0"/>
        <v>13</v>
      </c>
      <c r="B86" s="56">
        <f>'Universal Mastercurve'!C123</f>
        <v>4.1089114467289377E-2</v>
      </c>
      <c r="C86" s="11"/>
      <c r="D86" s="51">
        <f t="shared" si="1"/>
        <v>13</v>
      </c>
      <c r="E86" s="56">
        <f>'Universal Mastercurve'!A123</f>
        <v>1.2127899493091E-2</v>
      </c>
    </row>
    <row r="87" spans="1:5" x14ac:dyDescent="0.25">
      <c r="A87" s="50">
        <f t="shared" si="0"/>
        <v>14</v>
      </c>
      <c r="B87" s="56">
        <f>'Universal Mastercurve'!C124</f>
        <v>4.624509457562298E-2</v>
      </c>
      <c r="C87" s="11"/>
      <c r="D87" s="51">
        <f t="shared" si="1"/>
        <v>14</v>
      </c>
      <c r="E87" s="56">
        <f>'Universal Mastercurve'!A124</f>
        <v>0.13444324870292301</v>
      </c>
    </row>
    <row r="88" spans="1:5" x14ac:dyDescent="0.25">
      <c r="A88" s="50">
        <f t="shared" si="0"/>
        <v>15</v>
      </c>
      <c r="B88" s="56">
        <f>'Universal Mastercurve'!C125</f>
        <v>4.2152470755880481E-2</v>
      </c>
      <c r="C88" s="11"/>
      <c r="D88" s="51">
        <f t="shared" si="1"/>
        <v>15</v>
      </c>
      <c r="E88" s="56">
        <f>'Universal Mastercurve'!A125</f>
        <v>1.49036419143257</v>
      </c>
    </row>
    <row r="89" spans="1:5" x14ac:dyDescent="0.25">
      <c r="A89" s="50">
        <f t="shared" si="0"/>
        <v>16</v>
      </c>
      <c r="B89" s="56">
        <f>'Universal Mastercurve'!C126</f>
        <v>0.11273931401056794</v>
      </c>
      <c r="C89" s="11"/>
      <c r="D89" s="51">
        <f t="shared" si="1"/>
        <v>16</v>
      </c>
      <c r="E89" s="56">
        <f>'Universal Mastercurve'!A126</f>
        <v>16.521360830937301</v>
      </c>
    </row>
    <row r="90" spans="1:5" x14ac:dyDescent="0.25">
      <c r="A90" s="50">
        <f t="shared" si="0"/>
        <v>17</v>
      </c>
      <c r="B90" s="56">
        <f>'Universal Mastercurve'!C127</f>
        <v>0.14424740982428688</v>
      </c>
      <c r="C90" s="11"/>
      <c r="D90" s="51">
        <f t="shared" si="1"/>
        <v>17</v>
      </c>
      <c r="E90" s="56">
        <f>'Universal Mastercurve'!A127</f>
        <v>183.146753843879</v>
      </c>
    </row>
    <row r="91" spans="1:5" x14ac:dyDescent="0.25">
      <c r="A91" s="50">
        <f t="shared" si="0"/>
        <v>18</v>
      </c>
      <c r="B91" s="56">
        <f>'Universal Mastercurve'!C128</f>
        <v>0.12974291069495422</v>
      </c>
      <c r="C91" s="11"/>
      <c r="D91" s="51">
        <f t="shared" si="1"/>
        <v>18</v>
      </c>
      <c r="E91" s="56">
        <f>'Universal Mastercurve'!A128</f>
        <v>2030.26456396616</v>
      </c>
    </row>
    <row r="92" spans="1:5" x14ac:dyDescent="0.25">
      <c r="A92" s="50">
        <f t="shared" si="0"/>
        <v>19</v>
      </c>
      <c r="B92" s="56">
        <f>'Universal Mastercurve'!C129</f>
        <v>0.10714334071735752</v>
      </c>
      <c r="C92" s="11"/>
      <c r="D92" s="51">
        <f t="shared" si="1"/>
        <v>19</v>
      </c>
      <c r="E92" s="56">
        <f>'Universal Mastercurve'!A129</f>
        <v>22506.400540467101</v>
      </c>
    </row>
    <row r="93" spans="1:5" x14ac:dyDescent="0.25">
      <c r="A93" s="50">
        <f t="shared" si="0"/>
        <v>20</v>
      </c>
      <c r="B93" s="56">
        <f>'Universal Mastercurve'!C130</f>
        <v>7.467332001482109E-2</v>
      </c>
      <c r="C93" s="11"/>
      <c r="D93" s="51">
        <f t="shared" si="1"/>
        <v>20</v>
      </c>
      <c r="E93" s="56">
        <f>'Universal Mastercurve'!A130</f>
        <v>249493.62476110301</v>
      </c>
    </row>
    <row r="94" spans="1:5" x14ac:dyDescent="0.25">
      <c r="A94" s="50">
        <f t="shared" si="0"/>
        <v>21</v>
      </c>
      <c r="B94" s="56">
        <f>'Universal Mastercurve'!C131</f>
        <v>2.5720461590382049E-2</v>
      </c>
      <c r="C94" s="11"/>
      <c r="D94" s="51">
        <f t="shared" si="1"/>
        <v>21</v>
      </c>
      <c r="E94" s="56">
        <f>'Universal Mastercurve'!A131</f>
        <v>2765749.6224023802</v>
      </c>
    </row>
    <row r="95" spans="1:5" x14ac:dyDescent="0.25">
      <c r="A95" s="50">
        <f t="shared" si="0"/>
        <v>22</v>
      </c>
      <c r="B95" s="56">
        <f>'Universal Mastercurve'!C132</f>
        <v>2.4141304859351478E-2</v>
      </c>
      <c r="C95" s="11"/>
      <c r="D95" s="51">
        <f t="shared" si="1"/>
        <v>22</v>
      </c>
      <c r="E95" s="56">
        <f>'Universal Mastercurve'!A132</f>
        <v>10000000</v>
      </c>
    </row>
    <row r="96" spans="1:5" x14ac:dyDescent="0.25">
      <c r="A96" s="50">
        <f t="shared" si="0"/>
        <v>23</v>
      </c>
      <c r="B96" s="56">
        <f>'Universal Mastercurve'!C133</f>
        <v>1.2214190227025473E-2</v>
      </c>
      <c r="C96" s="11"/>
      <c r="D96" s="51">
        <f t="shared" si="1"/>
        <v>23</v>
      </c>
      <c r="E96" s="56">
        <f>'Universal Mastercurve'!A133</f>
        <v>100000000</v>
      </c>
    </row>
    <row r="97" spans="1:5" x14ac:dyDescent="0.25">
      <c r="A97" s="50">
        <f t="shared" si="0"/>
        <v>24</v>
      </c>
      <c r="B97" s="56">
        <f>'Universal Mastercurve'!C134</f>
        <v>8.0564872453676788E-4</v>
      </c>
      <c r="C97" s="11"/>
      <c r="D97" s="51">
        <f t="shared" si="1"/>
        <v>24</v>
      </c>
      <c r="E97" s="56">
        <f>'Universal Mastercurve'!A134</f>
        <v>1000000000</v>
      </c>
    </row>
    <row r="98" spans="1:5" x14ac:dyDescent="0.25">
      <c r="A98" s="50">
        <f t="shared" si="0"/>
        <v>25</v>
      </c>
      <c r="B98" s="56">
        <f>'Universal Mastercurve'!C135</f>
        <v>2.8733708973087426E-3</v>
      </c>
      <c r="C98" s="11"/>
      <c r="D98" s="51">
        <f t="shared" si="1"/>
        <v>25</v>
      </c>
      <c r="E98" s="56">
        <f>'Universal Mastercurve'!A135</f>
        <v>10000000000</v>
      </c>
    </row>
    <row r="99" spans="1:5" x14ac:dyDescent="0.25">
      <c r="A99" s="50">
        <f t="shared" si="0"/>
        <v>26</v>
      </c>
      <c r="B99" s="56">
        <f>'Universal Mastercurve'!C136</f>
        <v>0</v>
      </c>
      <c r="C99" s="11"/>
      <c r="D99" s="51">
        <f t="shared" si="1"/>
        <v>26</v>
      </c>
      <c r="E99" s="56">
        <f>'Universal Mastercurve'!A136</f>
        <v>100000000000</v>
      </c>
    </row>
    <row r="100" spans="1:5" x14ac:dyDescent="0.25">
      <c r="A100" s="50">
        <f t="shared" si="0"/>
        <v>27</v>
      </c>
      <c r="B100" s="56">
        <f>'Universal Mastercurve'!C137</f>
        <v>1.6248048079890072E-4</v>
      </c>
      <c r="C100" s="11"/>
      <c r="D100" s="51">
        <f t="shared" si="1"/>
        <v>27</v>
      </c>
      <c r="E100" s="56">
        <f>'Universal Mastercurve'!A137</f>
        <v>1000000000000</v>
      </c>
    </row>
    <row r="101" spans="1:5" x14ac:dyDescent="0.25">
      <c r="A101" s="50">
        <f t="shared" si="0"/>
        <v>28</v>
      </c>
      <c r="B101" s="56">
        <f>'Universal Mastercurve'!C138</f>
        <v>1.2901117231804357E-4</v>
      </c>
      <c r="C101" s="11"/>
      <c r="D101" s="51">
        <f t="shared" si="1"/>
        <v>28</v>
      </c>
      <c r="E101" s="56">
        <f>'Universal Mastercurve'!A138</f>
        <v>10000000000000</v>
      </c>
    </row>
    <row r="102" spans="1:5" x14ac:dyDescent="0.25">
      <c r="A102" s="50">
        <f t="shared" si="0"/>
        <v>29</v>
      </c>
      <c r="B102" s="56">
        <f>'Universal Mastercurve'!C139</f>
        <v>0</v>
      </c>
      <c r="C102" s="11"/>
      <c r="D102" s="51">
        <f t="shared" si="1"/>
        <v>29</v>
      </c>
      <c r="E102" s="56">
        <f>'Universal Mastercurve'!A139</f>
        <v>100000000000000</v>
      </c>
    </row>
    <row r="103" spans="1:5" x14ac:dyDescent="0.25">
      <c r="A103" s="50">
        <f t="shared" si="0"/>
        <v>30</v>
      </c>
      <c r="B103" s="56">
        <f>'Universal Mastercurve'!C140</f>
        <v>7.3508598139721321E-5</v>
      </c>
      <c r="C103" s="11"/>
      <c r="D103" s="51">
        <f t="shared" si="1"/>
        <v>30</v>
      </c>
      <c r="E103" s="56">
        <f>'Universal Mastercurve'!A140</f>
        <v>1000000000000000</v>
      </c>
    </row>
    <row r="104" spans="1:5" x14ac:dyDescent="0.25">
      <c r="A104" s="50">
        <f t="shared" si="0"/>
        <v>31</v>
      </c>
      <c r="B104" s="56">
        <f>'Universal Mastercurve'!C141</f>
        <v>6.9573660063357843E-4</v>
      </c>
      <c r="C104" s="11"/>
      <c r="D104" s="51">
        <f t="shared" si="1"/>
        <v>31</v>
      </c>
      <c r="E104" s="56">
        <f>'Universal Mastercurve'!A141</f>
        <v>1E+16</v>
      </c>
    </row>
    <row r="105" spans="1:5" x14ac:dyDescent="0.25">
      <c r="A105" s="11"/>
    </row>
    <row r="106" spans="1:5" s="11" customFormat="1" x14ac:dyDescent="0.25"/>
    <row r="107" spans="1:5" s="11" customFormat="1" x14ac:dyDescent="0.25">
      <c r="A107" s="61" t="str">
        <f>STUTT!B2</f>
        <v>mp,ex,MatID,</v>
      </c>
      <c r="B107" s="52">
        <f>STUTT!C2</f>
        <v>19859.223000000002</v>
      </c>
    </row>
    <row r="108" spans="1:5" s="11" customFormat="1" x14ac:dyDescent="0.25">
      <c r="A108" s="61" t="str">
        <f>STUTT!B3</f>
        <v>mp,PRXY,MatID,</v>
      </c>
      <c r="B108" s="52">
        <f>STUTT!C3</f>
        <v>0.28281187000000002</v>
      </c>
    </row>
    <row r="109" spans="1:5" s="11" customFormat="1" x14ac:dyDescent="0.25">
      <c r="A109" s="61" t="str">
        <f>STUTT!B4</f>
        <v>mp,ey,MatID,</v>
      </c>
      <c r="B109" s="52">
        <f>STUTT!C4</f>
        <v>25588.819</v>
      </c>
    </row>
    <row r="110" spans="1:5" s="11" customFormat="1" x14ac:dyDescent="0.25">
      <c r="A110" s="61" t="str">
        <f>STUTT!B5</f>
        <v>mp,PRYZ,MatID,</v>
      </c>
      <c r="B110" s="52">
        <f>STUTT!C5</f>
        <v>0.36446197000000002</v>
      </c>
    </row>
    <row r="111" spans="1:5" s="11" customFormat="1" x14ac:dyDescent="0.25">
      <c r="A111" s="61" t="str">
        <f>STUTT!B6</f>
        <v>mp,ez,MatID,</v>
      </c>
      <c r="B111" s="52">
        <f>STUTT!C6</f>
        <v>19859.223000000002</v>
      </c>
    </row>
    <row r="112" spans="1:5" s="11" customFormat="1" x14ac:dyDescent="0.25">
      <c r="A112" s="61" t="str">
        <f>STUTT!B7</f>
        <v>mp,PRXZ,MatID,</v>
      </c>
      <c r="B112" s="52">
        <f>STUTT!C7</f>
        <v>0.35447205999999998</v>
      </c>
    </row>
    <row r="113" spans="1:4" s="11" customFormat="1" x14ac:dyDescent="0.25">
      <c r="A113" s="61" t="str">
        <f>STUTT!B8</f>
        <v>MP,GXZ,</v>
      </c>
      <c r="B113" s="52" t="str">
        <f>STUTT!C8</f>
        <v>MatID,</v>
      </c>
      <c r="C113" s="125">
        <f>STUTT!D8</f>
        <v>7330.9827999999998</v>
      </c>
      <c r="D113" s="125"/>
    </row>
    <row r="114" spans="1:4" s="11" customFormat="1" x14ac:dyDescent="0.25">
      <c r="A114" s="61" t="str">
        <f>STUTT!B9</f>
        <v>MP,GXY,</v>
      </c>
      <c r="B114" s="52" t="str">
        <f>STUTT!C9</f>
        <v>MatID,</v>
      </c>
      <c r="C114" s="125">
        <f>STUTT!D9</f>
        <v>9212.0444000000007</v>
      </c>
      <c r="D114" s="125"/>
    </row>
    <row r="115" spans="1:4" x14ac:dyDescent="0.25">
      <c r="A115" s="61" t="str">
        <f>STUTT!B10</f>
        <v>MP,GYZ,</v>
      </c>
      <c r="B115" s="52" t="str">
        <f>STUTT!C10</f>
        <v>MatID,</v>
      </c>
      <c r="C115" s="125">
        <f>STUTT!D10</f>
        <v>9212.0444000000007</v>
      </c>
      <c r="D115" s="125"/>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107</v>
      </c>
    </row>
    <row r="155" spans="1:4" x14ac:dyDescent="0.25">
      <c r="A155" t="s">
        <v>108</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N22" sqref="N22"/>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128</v>
      </c>
      <c r="L1" s="11">
        <f>0.35/2</f>
        <v>0.17499999999999999</v>
      </c>
      <c r="M1" s="11"/>
      <c r="N1" s="11"/>
      <c r="O1" s="11"/>
      <c r="P1" s="11"/>
      <c r="Q1" s="11" t="s">
        <v>129</v>
      </c>
      <c r="R1" s="11">
        <v>0.09</v>
      </c>
    </row>
    <row r="2" spans="1:18" x14ac:dyDescent="0.25">
      <c r="A2" t="s">
        <v>27</v>
      </c>
      <c r="B2" t="s">
        <v>14</v>
      </c>
      <c r="C2" t="s">
        <v>15</v>
      </c>
      <c r="D2" t="s">
        <v>16</v>
      </c>
      <c r="E2" t="s">
        <v>33</v>
      </c>
      <c r="F2" t="s">
        <v>34</v>
      </c>
      <c r="G2" t="s">
        <v>35</v>
      </c>
      <c r="H2" t="s">
        <v>36</v>
      </c>
      <c r="I2" t="s">
        <v>37</v>
      </c>
      <c r="J2" t="s">
        <v>38</v>
      </c>
    </row>
    <row r="3" spans="1:18" x14ac:dyDescent="0.25">
      <c r="A3">
        <v>-40</v>
      </c>
      <c r="B3" s="3">
        <v>-2.7109999999999999E-7</v>
      </c>
      <c r="C3" s="3">
        <v>2.9730000000000002E-6</v>
      </c>
      <c r="D3" s="3">
        <v>-2.7109999999999999E-7</v>
      </c>
      <c r="E3" s="3">
        <v>-1.415E-5</v>
      </c>
      <c r="F3" s="3">
        <v>-1.415E-5</v>
      </c>
      <c r="G3" s="3">
        <v>-1.415E-5</v>
      </c>
      <c r="H3" s="3">
        <v>-2.1879924E-6</v>
      </c>
      <c r="I3" s="3">
        <v>-9.7158281000000005E-7</v>
      </c>
      <c r="J3" s="3">
        <v>-2.1879924E-6</v>
      </c>
      <c r="L3" s="48">
        <f>ABS(H3/(-0.5)/$L$1)</f>
        <v>2.5005627428571431E-5</v>
      </c>
      <c r="R3">
        <f>ABS(I3/(-0.5)/$R$1)</f>
        <v>2.1590729111111115E-5</v>
      </c>
    </row>
    <row r="4" spans="1:18" x14ac:dyDescent="0.25">
      <c r="A4">
        <v>-39</v>
      </c>
      <c r="B4" s="3">
        <v>2.7090000000000002E-7</v>
      </c>
      <c r="C4" s="3">
        <v>-2.9720000000000001E-6</v>
      </c>
      <c r="D4" s="3">
        <v>2.7090000000000002E-7</v>
      </c>
      <c r="E4" s="3">
        <v>1.415E-5</v>
      </c>
      <c r="F4" s="3">
        <v>1.415E-5</v>
      </c>
      <c r="G4" s="3">
        <v>1.415E-5</v>
      </c>
      <c r="H4" s="3">
        <v>2.1879434000000001E-6</v>
      </c>
      <c r="I4" s="3">
        <v>9.716506599999999E-7</v>
      </c>
      <c r="J4" s="3">
        <v>2.1879434000000001E-6</v>
      </c>
      <c r="L4" s="48">
        <f t="shared" ref="L4:L14" si="0">ABS(H4/(-0.5)/$L$1)</f>
        <v>2.5005067428571433E-5</v>
      </c>
      <c r="N4" s="39" t="s">
        <v>27</v>
      </c>
      <c r="O4" s="39" t="s">
        <v>130</v>
      </c>
      <c r="P4" s="85" t="s">
        <v>131</v>
      </c>
      <c r="R4" s="11">
        <f t="shared" ref="R4:R14" si="1">ABS(I4/(-0.5)/$R$1)</f>
        <v>2.1592236888888889E-5</v>
      </c>
    </row>
    <row r="5" spans="1:18" x14ac:dyDescent="0.25">
      <c r="A5">
        <v>0</v>
      </c>
      <c r="B5" s="3">
        <v>-2.6539999999999998E-7</v>
      </c>
      <c r="C5" s="3">
        <v>2.948E-6</v>
      </c>
      <c r="D5" s="3">
        <v>-2.6539999999999998E-7</v>
      </c>
      <c r="E5" s="3">
        <v>-1.415E-5</v>
      </c>
      <c r="F5" s="3">
        <v>-1.415E-5</v>
      </c>
      <c r="G5" s="3">
        <v>-1.415E-5</v>
      </c>
      <c r="H5" s="3">
        <v>-2.1859839E-6</v>
      </c>
      <c r="I5" s="3">
        <v>-9.7437384999999995E-7</v>
      </c>
      <c r="J5" s="3">
        <v>-2.1859839E-6</v>
      </c>
      <c r="L5" s="48">
        <f t="shared" si="0"/>
        <v>2.4982673142857145E-5</v>
      </c>
      <c r="M5" s="48"/>
      <c r="N5" s="10">
        <f>(INDEX(A:A,ROW(A2)*2+1)+INDEX(A:A,ROW(A2)*2+2))/2</f>
        <v>0.5</v>
      </c>
      <c r="O5" s="89">
        <f>(INDEX(L:L,ROW(L2)*2+1)+INDEX(L:L,ROW(L2)*2+2))/2</f>
        <v>2.4982378857142858E-5</v>
      </c>
      <c r="P5" s="89">
        <f>(INDEX(R:R,ROW(M2)*2+1)+INDEX(R:R,ROW(R2)*2+2))/2</f>
        <v>2.1653550666666668E-5</v>
      </c>
      <c r="R5" s="11">
        <f t="shared" si="1"/>
        <v>2.1652752222222223E-5</v>
      </c>
    </row>
    <row r="6" spans="1:18" x14ac:dyDescent="0.25">
      <c r="A6">
        <v>1</v>
      </c>
      <c r="B6" s="3">
        <v>2.6520000000000002E-7</v>
      </c>
      <c r="C6" s="3">
        <v>-2.948E-6</v>
      </c>
      <c r="D6" s="3">
        <v>2.6520000000000002E-7</v>
      </c>
      <c r="E6" s="3">
        <v>1.415E-5</v>
      </c>
      <c r="F6" s="3">
        <v>1.415E-5</v>
      </c>
      <c r="G6" s="3">
        <v>1.415E-5</v>
      </c>
      <c r="H6" s="3">
        <v>2.1859323999999999E-6</v>
      </c>
      <c r="I6" s="3">
        <v>9.7444570999999994E-7</v>
      </c>
      <c r="J6" s="3">
        <v>2.1859323999999999E-6</v>
      </c>
      <c r="L6" s="48">
        <f t="shared" si="0"/>
        <v>2.4982084571428571E-5</v>
      </c>
      <c r="M6" s="49"/>
      <c r="N6" s="10">
        <f>(INDEX(A:A,ROW(A3)*2+1)+INDEX(A:A,ROW(A3)*2+2))/2</f>
        <v>85.5</v>
      </c>
      <c r="O6" s="89">
        <f t="shared" ref="O6:O7" si="2">(INDEX(L:L,ROW(L3)*2+1)+INDEX(L:L,ROW(L3)*2+2))/2</f>
        <v>2.7353645142857146E-5</v>
      </c>
      <c r="P6" s="89">
        <f t="shared" ref="P6:P9" si="3">(INDEX(R:R,ROW(M3)*2+1)+INDEX(R:R,ROW(R3)*2+2))/2</f>
        <v>2.2701453333333334E-5</v>
      </c>
      <c r="R6" s="11">
        <f t="shared" si="1"/>
        <v>2.165434911111111E-5</v>
      </c>
    </row>
    <row r="7" spans="1:18" x14ac:dyDescent="0.25">
      <c r="A7">
        <v>85</v>
      </c>
      <c r="B7" s="3">
        <v>-3.8930000000000003E-7</v>
      </c>
      <c r="C7" s="3">
        <v>3.749E-6</v>
      </c>
      <c r="D7" s="3">
        <v>-3.8930000000000003E-7</v>
      </c>
      <c r="E7" s="3">
        <v>-1.525E-5</v>
      </c>
      <c r="F7" s="3">
        <v>-1.525E-5</v>
      </c>
      <c r="G7" s="3">
        <v>-1.525E-5</v>
      </c>
      <c r="H7" s="3">
        <v>-2.3050969999999999E-6</v>
      </c>
      <c r="I7" s="3">
        <v>-1.0045800999999999E-6</v>
      </c>
      <c r="J7" s="3">
        <v>-2.3050969999999999E-6</v>
      </c>
      <c r="L7" s="48">
        <f t="shared" si="0"/>
        <v>2.6343965714285715E-5</v>
      </c>
      <c r="M7" s="48"/>
      <c r="N7" s="10">
        <f>(INDEX(A:A,ROW(A4)*2+1)+INDEX(A:A,ROW(A4)*2+2))/2</f>
        <v>90.5</v>
      </c>
      <c r="O7" s="89">
        <f t="shared" si="2"/>
        <v>4.7545937714285716E-5</v>
      </c>
      <c r="P7" s="89">
        <f t="shared" si="3"/>
        <v>3.0262870000000003E-5</v>
      </c>
      <c r="R7" s="11">
        <f t="shared" si="1"/>
        <v>2.2324002222222221E-5</v>
      </c>
    </row>
    <row r="8" spans="1:18" x14ac:dyDescent="0.25">
      <c r="A8">
        <v>86</v>
      </c>
      <c r="B8" s="3">
        <v>5.848E-7</v>
      </c>
      <c r="C8" s="3">
        <v>-4.9740000000000001E-6</v>
      </c>
      <c r="D8" s="3">
        <v>5.848E-7</v>
      </c>
      <c r="E8" s="3">
        <v>1.681E-5</v>
      </c>
      <c r="F8" s="3">
        <v>1.681E-5</v>
      </c>
      <c r="G8" s="3">
        <v>1.681E-5</v>
      </c>
      <c r="H8" s="3">
        <v>2.4817909000000001E-6</v>
      </c>
      <c r="I8" s="3">
        <v>1.0385507E-6</v>
      </c>
      <c r="J8" s="3">
        <v>2.4817909000000001E-6</v>
      </c>
      <c r="L8" s="48">
        <f t="shared" si="0"/>
        <v>2.8363324571428574E-5</v>
      </c>
      <c r="M8" s="49"/>
      <c r="N8" s="10">
        <f>(INDEX(A:A,ROW(A5)*2+1)+INDEX(A:A,ROW(A5)*2+2))/2</f>
        <v>95.5</v>
      </c>
      <c r="O8" s="89">
        <f t="shared" ref="O8:O9" si="4">(INDEX(L:L,ROW(L5)*2+1)+INDEX(L:L,ROW(L5)*2+2))/2</f>
        <v>6.5304893142857141E-5</v>
      </c>
      <c r="P8" s="89">
        <f t="shared" si="3"/>
        <v>3.6964487777777785E-5</v>
      </c>
      <c r="R8" s="11">
        <f t="shared" si="1"/>
        <v>2.3078904444444446E-5</v>
      </c>
    </row>
    <row r="9" spans="1:18" x14ac:dyDescent="0.25">
      <c r="A9">
        <v>90</v>
      </c>
      <c r="B9" s="3">
        <v>-2.345E-6</v>
      </c>
      <c r="C9" s="3">
        <v>1.5999999999999999E-5</v>
      </c>
      <c r="D9" s="3">
        <v>-2.345E-6</v>
      </c>
      <c r="E9" s="3">
        <v>-3.0899999999999999E-5</v>
      </c>
      <c r="F9" s="3">
        <v>-3.0899999999999999E-5</v>
      </c>
      <c r="G9" s="3">
        <v>-3.0899999999999999E-5</v>
      </c>
      <c r="H9" s="3">
        <v>-4.0719910999999996E-6</v>
      </c>
      <c r="I9" s="3">
        <v>-1.3446786000000001E-6</v>
      </c>
      <c r="J9" s="3">
        <v>-4.0719910999999996E-6</v>
      </c>
      <c r="L9" s="48">
        <f t="shared" si="0"/>
        <v>4.6537041142857139E-5</v>
      </c>
      <c r="M9" s="48"/>
      <c r="N9" s="10">
        <f>(INDEX(A:A,ROW(A6)*2+1)+INDEX(A:A,ROW(A6)*2+2))/2</f>
        <v>180.5</v>
      </c>
      <c r="O9" s="89">
        <f t="shared" si="4"/>
        <v>6.5054468571428583E-5</v>
      </c>
      <c r="P9" s="89">
        <f t="shared" si="3"/>
        <v>3.8042414444444447E-5</v>
      </c>
      <c r="R9" s="11">
        <f t="shared" si="1"/>
        <v>2.9881746666666671E-5</v>
      </c>
    </row>
    <row r="10" spans="1:18" x14ac:dyDescent="0.25">
      <c r="A10">
        <v>91</v>
      </c>
      <c r="B10" s="3">
        <v>2.5399999999999998E-6</v>
      </c>
      <c r="C10" s="3">
        <v>-1.7220000000000001E-5</v>
      </c>
      <c r="D10" s="3">
        <v>2.5399999999999998E-6</v>
      </c>
      <c r="E10" s="3">
        <v>3.2459999999999998E-5</v>
      </c>
      <c r="F10" s="3">
        <v>3.2459999999999998E-5</v>
      </c>
      <c r="G10" s="3">
        <v>3.2459999999999998E-5</v>
      </c>
      <c r="H10" s="3">
        <v>4.2485479999999997E-6</v>
      </c>
      <c r="I10" s="3">
        <v>1.3789796999999999E-6</v>
      </c>
      <c r="J10" s="3">
        <v>4.2485479999999997E-6</v>
      </c>
      <c r="L10" s="48">
        <f t="shared" si="0"/>
        <v>4.8554834285714287E-5</v>
      </c>
      <c r="M10" s="49"/>
      <c r="N10" s="10"/>
      <c r="O10" s="3"/>
      <c r="R10" s="11">
        <f t="shared" si="1"/>
        <v>3.0643993333333331E-5</v>
      </c>
    </row>
    <row r="11" spans="1:18" x14ac:dyDescent="0.25">
      <c r="A11">
        <v>95</v>
      </c>
      <c r="B11" s="3">
        <v>-4.16E-6</v>
      </c>
      <c r="C11" s="3">
        <v>2.7370000000000001E-5</v>
      </c>
      <c r="D11" s="3">
        <v>-4.16E-6</v>
      </c>
      <c r="E11" s="3">
        <v>-4.545E-5</v>
      </c>
      <c r="F11" s="3">
        <v>-4.545E-5</v>
      </c>
      <c r="G11" s="3">
        <v>-4.545E-5</v>
      </c>
      <c r="H11" s="3">
        <v>-5.7142993000000001E-6</v>
      </c>
      <c r="I11" s="3">
        <v>-1.6631382000000001E-6</v>
      </c>
      <c r="J11" s="3">
        <v>-5.7142993000000001E-6</v>
      </c>
      <c r="L11" s="48">
        <f t="shared" si="0"/>
        <v>6.5306277714285719E-5</v>
      </c>
      <c r="M11" s="48"/>
      <c r="N11" s="10"/>
      <c r="O11" s="3"/>
      <c r="R11" s="11">
        <f t="shared" si="1"/>
        <v>3.6958626666666673E-5</v>
      </c>
    </row>
    <row r="12" spans="1:18" x14ac:dyDescent="0.25">
      <c r="A12">
        <v>96</v>
      </c>
      <c r="B12" s="3">
        <v>4.1590000000000003E-6</v>
      </c>
      <c r="C12" s="3">
        <v>-2.7370000000000001E-5</v>
      </c>
      <c r="D12" s="3">
        <v>4.1590000000000003E-6</v>
      </c>
      <c r="E12" s="3">
        <v>4.545E-5</v>
      </c>
      <c r="F12" s="3">
        <v>4.545E-5</v>
      </c>
      <c r="G12" s="3">
        <v>4.545E-5</v>
      </c>
      <c r="H12" s="3">
        <v>5.7140569999999999E-6</v>
      </c>
      <c r="I12" s="3">
        <v>1.6636656999999999E-6</v>
      </c>
      <c r="J12" s="3">
        <v>5.7140569999999999E-6</v>
      </c>
      <c r="L12" s="48">
        <f t="shared" si="0"/>
        <v>6.5303508571428576E-5</v>
      </c>
      <c r="M12" s="49"/>
      <c r="N12" s="10"/>
      <c r="O12" s="3"/>
      <c r="R12" s="11">
        <f t="shared" si="1"/>
        <v>3.6970348888888889E-5</v>
      </c>
    </row>
    <row r="13" spans="1:18" x14ac:dyDescent="0.25">
      <c r="A13">
        <v>180</v>
      </c>
      <c r="B13" s="3">
        <v>-4.0799999999999999E-6</v>
      </c>
      <c r="C13" s="3">
        <v>2.692E-5</v>
      </c>
      <c r="D13" s="3">
        <v>-4.0799999999999999E-6</v>
      </c>
      <c r="E13" s="3">
        <v>-4.545E-5</v>
      </c>
      <c r="F13" s="3">
        <v>-4.545E-5</v>
      </c>
      <c r="G13" s="3">
        <v>-4.545E-5</v>
      </c>
      <c r="H13" s="3">
        <v>-5.6924030999999997E-6</v>
      </c>
      <c r="I13" s="3">
        <v>-1.7116000000000001E-6</v>
      </c>
      <c r="J13" s="3">
        <v>-5.6924030999999997E-6</v>
      </c>
      <c r="L13" s="48">
        <f t="shared" si="0"/>
        <v>6.5056035428571435E-5</v>
      </c>
      <c r="M13" s="48"/>
      <c r="N13" s="10"/>
      <c r="O13" s="3"/>
      <c r="R13" s="11">
        <f t="shared" si="1"/>
        <v>3.8035555555555557E-5</v>
      </c>
    </row>
    <row r="14" spans="1:18" x14ac:dyDescent="0.25">
      <c r="A14" s="11">
        <v>181</v>
      </c>
      <c r="B14" s="3">
        <v>4.0790000000000002E-6</v>
      </c>
      <c r="C14" s="3">
        <v>-2.692E-5</v>
      </c>
      <c r="D14" s="3">
        <v>4.0790000000000002E-6</v>
      </c>
      <c r="E14" s="3">
        <v>4.545E-5</v>
      </c>
      <c r="F14" s="3">
        <v>4.545E-5</v>
      </c>
      <c r="G14" s="3">
        <v>4.545E-5</v>
      </c>
      <c r="H14" s="3">
        <v>5.6921289000000003E-6</v>
      </c>
      <c r="I14" s="3">
        <v>1.7122173E-6</v>
      </c>
      <c r="J14" s="3">
        <v>5.6921289000000003E-6</v>
      </c>
      <c r="L14" s="48">
        <f t="shared" si="0"/>
        <v>6.5052901714285718E-5</v>
      </c>
      <c r="M14" s="49"/>
      <c r="N14" s="10"/>
      <c r="O14" s="3"/>
      <c r="R14" s="11">
        <f t="shared" si="1"/>
        <v>3.8049273333333331E-5</v>
      </c>
    </row>
    <row r="15" spans="1:18" x14ac:dyDescent="0.25">
      <c r="L15" s="48"/>
      <c r="M15" s="48"/>
      <c r="N15" s="10"/>
      <c r="O15" s="3"/>
    </row>
    <row r="16" spans="1:18" x14ac:dyDescent="0.25">
      <c r="L16" s="48"/>
      <c r="M16" s="49"/>
      <c r="N16" s="10"/>
      <c r="O16" s="3"/>
    </row>
    <row r="17" spans="2:15" x14ac:dyDescent="0.25">
      <c r="B17" s="88" t="s">
        <v>127</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117</v>
      </c>
      <c r="C2" s="3">
        <v>19859.223000000002</v>
      </c>
    </row>
    <row r="3" spans="2:4" x14ac:dyDescent="0.25">
      <c r="B3" t="s">
        <v>118</v>
      </c>
      <c r="C3" s="3">
        <v>0.28281187000000002</v>
      </c>
    </row>
    <row r="4" spans="2:4" x14ac:dyDescent="0.25">
      <c r="B4" t="s">
        <v>119</v>
      </c>
      <c r="C4" s="3">
        <v>25588.819</v>
      </c>
    </row>
    <row r="5" spans="2:4" x14ac:dyDescent="0.25">
      <c r="B5" t="s">
        <v>120</v>
      </c>
      <c r="C5" s="3">
        <v>0.36446197000000002</v>
      </c>
    </row>
    <row r="6" spans="2:4" x14ac:dyDescent="0.25">
      <c r="B6" t="s">
        <v>121</v>
      </c>
      <c r="C6" s="3">
        <v>19859.223000000002</v>
      </c>
    </row>
    <row r="7" spans="2:4" x14ac:dyDescent="0.25">
      <c r="B7" t="s">
        <v>122</v>
      </c>
      <c r="C7" s="3">
        <v>0.35447205999999998</v>
      </c>
    </row>
    <row r="8" spans="2:4" x14ac:dyDescent="0.25">
      <c r="B8" t="s">
        <v>123</v>
      </c>
      <c r="C8" t="s">
        <v>124</v>
      </c>
      <c r="D8" s="3">
        <v>7330.9827999999998</v>
      </c>
    </row>
    <row r="9" spans="2:4" x14ac:dyDescent="0.25">
      <c r="B9" t="s">
        <v>125</v>
      </c>
      <c r="C9" t="s">
        <v>124</v>
      </c>
      <c r="D9" s="3">
        <v>9212.0444000000007</v>
      </c>
    </row>
    <row r="10" spans="2:4" x14ac:dyDescent="0.25">
      <c r="B10" t="s">
        <v>126</v>
      </c>
      <c r="C10" t="s">
        <v>124</v>
      </c>
      <c r="D10" s="3">
        <v>9212.0444000000007</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B19" zoomScaleNormal="100" workbookViewId="0">
      <selection activeCell="K6" sqref="K6"/>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26" t="s">
        <v>7</v>
      </c>
      <c r="B1" s="126"/>
      <c r="C1" s="126"/>
      <c r="D1" s="126"/>
      <c r="E1" s="126"/>
      <c r="F1" s="126"/>
      <c r="G1" s="126"/>
      <c r="H1" s="126"/>
      <c r="I1" s="126"/>
      <c r="J1" s="126"/>
      <c r="K1" s="126"/>
      <c r="M1" s="126" t="s">
        <v>8</v>
      </c>
      <c r="N1" s="126"/>
      <c r="O1" s="126"/>
      <c r="P1" s="126"/>
      <c r="Q1" s="126"/>
      <c r="R1" s="126"/>
      <c r="S1" s="126"/>
      <c r="T1" s="126"/>
      <c r="U1" s="126"/>
      <c r="V1" s="126"/>
      <c r="W1" s="126"/>
      <c r="X1" s="126"/>
      <c r="Z1" s="127" t="s">
        <v>10</v>
      </c>
      <c r="AA1" s="127"/>
      <c r="AB1" s="127"/>
      <c r="AC1" s="127"/>
      <c r="AD1" s="127"/>
      <c r="AE1" s="127"/>
      <c r="AF1" s="127"/>
      <c r="AG1" s="127"/>
      <c r="AH1" s="127"/>
      <c r="AI1" s="127"/>
      <c r="AJ1" s="127"/>
      <c r="AL1" s="126" t="s">
        <v>11</v>
      </c>
      <c r="AM1" s="126"/>
      <c r="AN1" s="126"/>
      <c r="AO1" s="126"/>
      <c r="AP1" s="126"/>
      <c r="AQ1" s="126"/>
      <c r="AR1" s="126"/>
      <c r="AS1" s="126"/>
      <c r="AT1" s="126"/>
      <c r="AU1" s="126"/>
      <c r="AV1" s="126"/>
      <c r="AX1" s="126" t="s">
        <v>12</v>
      </c>
      <c r="AY1" s="126"/>
      <c r="AZ1" s="126"/>
      <c r="BA1" s="126"/>
      <c r="BB1" s="126"/>
      <c r="BC1" s="126"/>
      <c r="BD1" s="126"/>
      <c r="BE1" s="126"/>
      <c r="BF1" s="126"/>
      <c r="BG1" s="126"/>
      <c r="BH1" s="126"/>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-4.9616354857142861E-4</v>
      </c>
      <c r="C3" s="2">
        <f>IF('Modell einstellen'!$B$2="Ja",creep_res0!O3,creep_res0!C3)</f>
        <v>-5.0062553142857138E-4</v>
      </c>
      <c r="D3" s="2">
        <f>IF('Modell einstellen'!$B$2="Ja",creep_res25!O3,creep_res25!C3)</f>
        <v>-5.0354817714285717E-4</v>
      </c>
      <c r="E3" s="2">
        <f>IF('Modell einstellen'!$B$2="Ja",creep_res50!O3,creep_res50!C3)</f>
        <v>-5.0658109142857151E-4</v>
      </c>
      <c r="F3" s="2">
        <f>IF('Modell einstellen'!$B$2="Ja",creep_res80!O3,creep_res80!C3)</f>
        <v>-5.1037552571428578E-4</v>
      </c>
      <c r="G3" s="2">
        <f>IF('Modell einstellen'!$B$2="Ja",creep_res125!O3,creep_res125!C3)</f>
        <v>-5.5299581142857139E-4</v>
      </c>
      <c r="H3" s="2">
        <f>IF('Modell einstellen'!$B$2="Ja",creep_res160!O3,creep_res160!C3)</f>
        <v>-5.8529725714285717E-4</v>
      </c>
      <c r="M3" s="9">
        <v>-10</v>
      </c>
      <c r="N3" s="2">
        <f t="shared" ref="N3:N33" si="4">A3</f>
        <v>1.0000000000000001E-15</v>
      </c>
      <c r="O3" s="2">
        <f t="shared" ref="O3:O33" si="5">$M$3/B3</f>
        <v>20154.644630369057</v>
      </c>
      <c r="P3" s="2">
        <f t="shared" ref="P3:P33" si="6">$M$3/C3</f>
        <v>19975.010006909302</v>
      </c>
      <c r="Q3" s="2">
        <f t="shared" ref="Q3:Q33" si="7">$M$3/D3</f>
        <v>19859.07298233152</v>
      </c>
      <c r="R3" s="2">
        <f t="shared" ref="R3:R33" si="8">$M$3/E3</f>
        <v>19740.176191337396</v>
      </c>
      <c r="S3" s="2">
        <f t="shared" ref="S3:S33" si="9">$M$3/F3</f>
        <v>19593.41601657858</v>
      </c>
      <c r="T3" s="2">
        <f t="shared" ref="T3:T33" si="10">$M$3/G3</f>
        <v>18083.319608093752</v>
      </c>
      <c r="U3" s="2">
        <f t="shared" ref="U3:U33" si="11">$M$3/H3</f>
        <v>17085.335490576606</v>
      </c>
      <c r="Z3" s="2">
        <v>1.0000000000000001E-15</v>
      </c>
      <c r="AA3" s="3">
        <f>IF('Modell einstellen'!$B$2="Ja",'creep_res-40'!P3,'creep_res-40'!L3)</f>
        <v>0.35453160081858259</v>
      </c>
      <c r="AB3" s="2">
        <f>IF('Modell einstellen'!$B$2="Ja",creep_res0!P3,creep_res0!L3)</f>
        <v>0.35449198253321207</v>
      </c>
      <c r="AC3" s="2">
        <f>IF('Modell einstellen'!$B$2="Ja",creep_res25!P3,creep_res25!L3)</f>
        <v>0.35446423052430071</v>
      </c>
      <c r="AD3" s="2">
        <f>IF('Modell einstellen'!$B$2="Ja",creep_res50!P3,creep_res50!L3)</f>
        <v>0.35443393854720717</v>
      </c>
      <c r="AE3" s="2">
        <f>IF('Modell einstellen'!$B$2="Ja",creep_res80!P3,creep_res80!L3)</f>
        <v>0.35439386328836164</v>
      </c>
      <c r="AF3" s="2">
        <f>IF('Modell einstellen'!$B$2="Ja",creep_res125!P3,creep_res125!L3)</f>
        <v>0.37291438229131724</v>
      </c>
      <c r="AG3" s="2">
        <f>IF('Modell einstellen'!$B$2="Ja",creep_res160!P3,creep_res160!L3)</f>
        <v>0.38591537662620667</v>
      </c>
      <c r="AL3" s="2">
        <f t="shared" ref="AL3:AL33" si="12">Z3</f>
        <v>1.0000000000000001E-15</v>
      </c>
      <c r="AM3" s="2">
        <f t="shared" ref="AM3:AM33" si="13">O3/(2*(1+AA3))</f>
        <v>7439.7100142178388</v>
      </c>
      <c r="AN3" s="2">
        <f t="shared" ref="AN3:AN33" si="14">P3/(2*(1+AB3))</f>
        <v>7373.6169222469052</v>
      </c>
      <c r="AO3" s="2">
        <f t="shared" ref="AO3:AO33" si="15">Q3/(2*(1+AC3))</f>
        <v>7330.9698900812818</v>
      </c>
      <c r="AP3" s="2">
        <f t="shared" ref="AP3:AP33" si="16">R3/(2*(1+AD3))</f>
        <v>7287.2421568641066</v>
      </c>
      <c r="AQ3" s="2">
        <f t="shared" ref="AQ3:AQ33" si="17">S3/(2*(1+AE3))</f>
        <v>7233.2784973668249</v>
      </c>
      <c r="AR3" s="2">
        <f t="shared" ref="AR3:AR33" si="18">T3/(2*(1+AF3))</f>
        <v>6585.7419229281086</v>
      </c>
      <c r="AS3" s="2">
        <f t="shared" ref="AS3:AS33" si="19">U3/(2*(1+AG3))</f>
        <v>6163.9172848230364</v>
      </c>
      <c r="AX3" s="2">
        <f>AL3</f>
        <v>1.0000000000000001E-15</v>
      </c>
      <c r="AY3" s="37">
        <f t="shared" ref="AY3:AY33" si="20">O3/(3*(1-(2*AA3)))</f>
        <v>23091.664287895361</v>
      </c>
      <c r="AZ3" s="37">
        <f t="shared" ref="AZ3:AZ33" si="21">P3/(3*(1-(2*AB3)))</f>
        <v>22879.621291278767</v>
      </c>
      <c r="BA3" s="37">
        <f t="shared" ref="BA3:BA33" si="22">Q3/(3*(1-(2*AC3)))</f>
        <v>22742.488042487119</v>
      </c>
      <c r="BB3" s="37">
        <f t="shared" ref="BB3:BB33" si="23">R3/(3*(1-(2*AD3)))</f>
        <v>22601.623842724206</v>
      </c>
      <c r="BC3" s="37">
        <f t="shared" ref="BC3:BC33" si="24">S3/(3*(1-(2*AE3)))</f>
        <v>22427.415559851273</v>
      </c>
      <c r="BD3" s="37">
        <f t="shared" ref="BD3:BD33" si="25">T3/(3*(1-(2*AF3)))</f>
        <v>23715.402700073144</v>
      </c>
      <c r="BE3" s="37">
        <f t="shared" ref="BE3:BE33" si="26">U3/(3*(1-(2*AG3)))</f>
        <v>24960.032569562049</v>
      </c>
    </row>
    <row r="4" spans="1:308" x14ac:dyDescent="0.25">
      <c r="A4" s="2">
        <f>'creep_res-40'!A4</f>
        <v>1E-14</v>
      </c>
      <c r="B4" s="3">
        <f>'creep_res-40'!O4</f>
        <v>-4.9615606285714287E-4</v>
      </c>
      <c r="C4" s="2">
        <f>IF('Modell einstellen'!$B$2="Ja",creep_res0!O4,creep_res0!C4)</f>
        <v>-5.0061783428571427E-4</v>
      </c>
      <c r="D4" s="2">
        <f>IF('Modell einstellen'!$B$2="Ja",creep_res25!O4,creep_res25!C4)</f>
        <v>-5.0354034285714287E-4</v>
      </c>
      <c r="E4" s="2">
        <f>IF('Modell einstellen'!$B$2="Ja",creep_res50!O4,creep_res50!C4)</f>
        <v>-5.0657311428571432E-4</v>
      </c>
      <c r="F4" s="2">
        <f>IF('Modell einstellen'!$B$2="Ja",creep_res80!O4,creep_res80!C4)</f>
        <v>-5.1036770285714289E-4</v>
      </c>
      <c r="G4" s="2">
        <f>IF('Modell einstellen'!$B$2="Ja",creep_res125!O4,creep_res125!C4)</f>
        <v>-5.7108600571428576E-4</v>
      </c>
      <c r="H4" s="2">
        <f>IF('Modell einstellen'!$B$2="Ja",creep_res160!O4,creep_res160!C4)</f>
        <v>-6.1177828571428578E-4</v>
      </c>
      <c r="M4" s="9">
        <f t="shared" ref="M4:M32" si="27">M3</f>
        <v>-10</v>
      </c>
      <c r="N4" s="2">
        <f t="shared" si="4"/>
        <v>1E-14</v>
      </c>
      <c r="O4" s="2">
        <f t="shared" si="5"/>
        <v>20154.948711932353</v>
      </c>
      <c r="P4" s="2">
        <f t="shared" si="6"/>
        <v>19975.317128420094</v>
      </c>
      <c r="Q4" s="2">
        <f t="shared" si="7"/>
        <v>19859.381957876321</v>
      </c>
      <c r="R4" s="2">
        <f t="shared" si="8"/>
        <v>19740.487045192571</v>
      </c>
      <c r="S4" s="2">
        <f t="shared" si="9"/>
        <v>19593.716342193977</v>
      </c>
      <c r="T4" s="2">
        <f t="shared" si="10"/>
        <v>17510.497368067183</v>
      </c>
      <c r="U4" s="2">
        <f t="shared" si="11"/>
        <v>16345.791005518337</v>
      </c>
      <c r="Z4" s="2">
        <v>1E-14</v>
      </c>
      <c r="AA4" s="3">
        <f>IF('Modell einstellen'!$B$2="Ja",'creep_res-40'!P4,'creep_res-40'!L4)</f>
        <v>0.35453805542820516</v>
      </c>
      <c r="AB4" s="2">
        <f>IF('Modell einstellen'!$B$2="Ja",creep_res0!P4,creep_res0!L4)</f>
        <v>0.35449904238900409</v>
      </c>
      <c r="AC4" s="2">
        <f>IF('Modell einstellen'!$B$2="Ja",creep_res25!P4,creep_res25!L4)</f>
        <v>0.35447169731669115</v>
      </c>
      <c r="AD4" s="2">
        <f>IF('Modell einstellen'!$B$2="Ja",creep_res50!P4,creep_res50!L4)</f>
        <v>0.35444179852983004</v>
      </c>
      <c r="AE4" s="2">
        <f>IF('Modell einstellen'!$B$2="Ja",creep_res80!P4,creep_res80!L4)</f>
        <v>0.35440241919473009</v>
      </c>
      <c r="AF4" s="2">
        <f>IF('Modell einstellen'!$B$2="Ja",creep_res125!P4,creep_res125!L4)</f>
        <v>0.38217872232224498</v>
      </c>
      <c r="AG4" s="2">
        <f>IF('Modell einstellen'!$B$2="Ja",creep_res160!P4,creep_res160!L4)</f>
        <v>0.39898574833833361</v>
      </c>
      <c r="AL4" s="2">
        <f t="shared" si="12"/>
        <v>1E-14</v>
      </c>
      <c r="AM4" s="2">
        <f t="shared" si="13"/>
        <v>7439.7868081900597</v>
      </c>
      <c r="AN4" s="2">
        <f t="shared" si="14"/>
        <v>7373.6918607149901</v>
      </c>
      <c r="AO4" s="2">
        <f t="shared" si="15"/>
        <v>7331.0435342500059</v>
      </c>
      <c r="AP4" s="2">
        <f t="shared" si="16"/>
        <v>7287.3146216469959</v>
      </c>
      <c r="AQ4" s="2">
        <f t="shared" si="17"/>
        <v>7233.3436741214491</v>
      </c>
      <c r="AR4" s="2">
        <f t="shared" si="18"/>
        <v>6334.3824808152185</v>
      </c>
      <c r="AS4" s="2">
        <f t="shared" si="19"/>
        <v>5842.0148400129501</v>
      </c>
      <c r="AX4" s="2">
        <f t="shared" ref="AX4:AX32" si="28">AL4</f>
        <v>1E-14</v>
      </c>
      <c r="AY4" s="37">
        <f t="shared" si="20"/>
        <v>23093.037347630336</v>
      </c>
      <c r="AZ4" s="37">
        <f t="shared" si="21"/>
        <v>22881.083231796893</v>
      </c>
      <c r="BA4" s="37">
        <f t="shared" si="22"/>
        <v>22744.008773208971</v>
      </c>
      <c r="BB4" s="37">
        <f t="shared" si="23"/>
        <v>22603.200238586462</v>
      </c>
      <c r="BC4" s="37">
        <f t="shared" si="24"/>
        <v>22429.077271093392</v>
      </c>
      <c r="BD4" s="37">
        <f t="shared" si="25"/>
        <v>24769.857240838614</v>
      </c>
      <c r="BE4" s="37">
        <f t="shared" si="26"/>
        <v>26969.44694541116</v>
      </c>
      <c r="BF4" s="5"/>
      <c r="BG4" s="5"/>
    </row>
    <row r="5" spans="1:308" x14ac:dyDescent="0.25">
      <c r="A5" s="2">
        <f>'creep_res-40'!A5</f>
        <v>1E-13</v>
      </c>
      <c r="B5" s="3">
        <f>'creep_res-40'!O5</f>
        <v>-4.9615869142857142E-4</v>
      </c>
      <c r="C5" s="2">
        <f>IF('Modell einstellen'!$B$2="Ja",creep_res0!O5,creep_res0!C5)</f>
        <v>-5.0062047428571423E-4</v>
      </c>
      <c r="D5" s="2">
        <f>IF('Modell einstellen'!$B$2="Ja",creep_res25!O5,creep_res25!C5)</f>
        <v>-5.0354298857142865E-4</v>
      </c>
      <c r="E5" s="2">
        <f>IF('Modell einstellen'!$B$2="Ja",creep_res50!O5,creep_res50!C5)</f>
        <v>-5.0657577142857141E-4</v>
      </c>
      <c r="F5" s="2">
        <f>IF('Modell einstellen'!$B$2="Ja",creep_res80!O5,creep_res80!C5)</f>
        <v>-5.1037372000000011E-4</v>
      </c>
      <c r="G5" s="2">
        <f>IF('Modell einstellen'!$B$2="Ja",creep_res125!O5,creep_res125!C5)</f>
        <v>-5.8931291428571423E-4</v>
      </c>
      <c r="H5" s="2">
        <f>IF('Modell einstellen'!$B$2="Ja",creep_res160!O5,creep_res160!C5)</f>
        <v>-6.373926285714286E-4</v>
      </c>
      <c r="M5" s="9">
        <f t="shared" si="27"/>
        <v>-10</v>
      </c>
      <c r="N5" s="2">
        <f t="shared" si="4"/>
        <v>1E-13</v>
      </c>
      <c r="O5" s="2">
        <f t="shared" si="5"/>
        <v>20154.841934154916</v>
      </c>
      <c r="P5" s="2">
        <f t="shared" si="6"/>
        <v>19975.21178946588</v>
      </c>
      <c r="Q5" s="2">
        <f t="shared" si="7"/>
        <v>19859.277612762307</v>
      </c>
      <c r="R5" s="2">
        <f t="shared" si="8"/>
        <v>19740.383500378339</v>
      </c>
      <c r="S5" s="2">
        <f t="shared" si="9"/>
        <v>19593.485338547598</v>
      </c>
      <c r="T5" s="2">
        <f t="shared" si="10"/>
        <v>16968.91372577615</v>
      </c>
      <c r="U5" s="2">
        <f t="shared" si="11"/>
        <v>15688.916927722772</v>
      </c>
      <c r="Z5" s="2">
        <v>1E-13</v>
      </c>
      <c r="AA5" s="3">
        <f>IF('Modell einstellen'!$B$2="Ja",'creep_res-40'!P5,'creep_res-40'!L5)</f>
        <v>0.35453812352271485</v>
      </c>
      <c r="AB5" s="2">
        <f>IF('Modell einstellen'!$B$2="Ja",creep_res0!P5,creep_res0!L5)</f>
        <v>0.35449913623189183</v>
      </c>
      <c r="AC5" s="2">
        <f>IF('Modell einstellen'!$B$2="Ja",creep_res25!P5,creep_res25!L5)</f>
        <v>0.35447179808384754</v>
      </c>
      <c r="AD5" s="2">
        <f>IF('Modell einstellen'!$B$2="Ja",creep_res50!P5,creep_res50!L5)</f>
        <v>0.35444191341394027</v>
      </c>
      <c r="AE5" s="2">
        <f>IF('Modell einstellen'!$B$2="Ja",creep_res80!P5,creep_res80!L5)</f>
        <v>0.35440441005241635</v>
      </c>
      <c r="AF5" s="2">
        <f>IF('Modell einstellen'!$B$2="Ja",creep_res125!P5,creep_res125!L5)</f>
        <v>0.39141658043226329</v>
      </c>
      <c r="AG5" s="2">
        <f>IF('Modell einstellen'!$B$2="Ja",creep_res160!P5,creep_res160!L5)</f>
        <v>0.41148831251892193</v>
      </c>
      <c r="AL5" s="2">
        <f t="shared" si="12"/>
        <v>1E-13</v>
      </c>
      <c r="AM5" s="2">
        <f t="shared" si="13"/>
        <v>7439.7470193525078</v>
      </c>
      <c r="AN5" s="2">
        <f t="shared" si="14"/>
        <v>7373.6524650120191</v>
      </c>
      <c r="AO5" s="2">
        <f t="shared" si="15"/>
        <v>7331.0044701030138</v>
      </c>
      <c r="AP5" s="2">
        <f t="shared" si="16"/>
        <v>7287.2757793731034</v>
      </c>
      <c r="AQ5" s="2">
        <f t="shared" si="17"/>
        <v>7233.2477630478616</v>
      </c>
      <c r="AR5" s="2">
        <f t="shared" si="18"/>
        <v>6097.7114849761656</v>
      </c>
      <c r="AS5" s="2">
        <f t="shared" si="19"/>
        <v>5557.579467209528</v>
      </c>
      <c r="AX5" s="2">
        <f t="shared" si="28"/>
        <v>1E-13</v>
      </c>
      <c r="AY5" s="37">
        <f t="shared" si="20"/>
        <v>23092.925814714792</v>
      </c>
      <c r="AZ5" s="37">
        <f t="shared" si="21"/>
        <v>22880.977326821179</v>
      </c>
      <c r="BA5" s="37">
        <f t="shared" si="22"/>
        <v>22743.905020100996</v>
      </c>
      <c r="BB5" s="37">
        <f t="shared" si="23"/>
        <v>22603.09951783068</v>
      </c>
      <c r="BC5" s="37">
        <f t="shared" si="24"/>
        <v>22429.119528507599</v>
      </c>
      <c r="BD5" s="37">
        <f t="shared" si="25"/>
        <v>26045.894473466047</v>
      </c>
      <c r="BE5" s="37">
        <f t="shared" si="26"/>
        <v>29542.081530337884</v>
      </c>
    </row>
    <row r="6" spans="1:308" x14ac:dyDescent="0.25">
      <c r="A6" s="2">
        <f>'creep_res-40'!A6</f>
        <v>9.9999999999999998E-13</v>
      </c>
      <c r="B6" s="3">
        <f>'creep_res-40'!O6</f>
        <v>-4.9615937714285723E-4</v>
      </c>
      <c r="C6" s="2">
        <f>IF('Modell einstellen'!$B$2="Ja",creep_res0!O6,creep_res0!C6)</f>
        <v>-5.0062116571428575E-4</v>
      </c>
      <c r="D6" s="2">
        <f>IF('Modell einstellen'!$B$2="Ja",creep_res25!O6,creep_res25!C6)</f>
        <v>-5.0354368000000006E-4</v>
      </c>
      <c r="E6" s="2">
        <f>IF('Modell einstellen'!$B$2="Ja",creep_res50!O6,creep_res50!C6)</f>
        <v>-5.0657646285714292E-4</v>
      </c>
      <c r="F6" s="2">
        <f>IF('Modell einstellen'!$B$2="Ja",creep_res80!O6,creep_res80!C6)</f>
        <v>-5.1040788571428571E-4</v>
      </c>
      <c r="G6" s="2">
        <f>IF('Modell einstellen'!$B$2="Ja",creep_res125!O6,creep_res125!C6)</f>
        <v>-6.1189388571428573E-4</v>
      </c>
      <c r="H6" s="2">
        <f>IF('Modell einstellen'!$B$2="Ja",creep_res160!O6,creep_res160!C6)</f>
        <v>-6.6519811428571434E-4</v>
      </c>
      <c r="M6" s="9">
        <f t="shared" si="27"/>
        <v>-10</v>
      </c>
      <c r="N6" s="2">
        <f t="shared" si="4"/>
        <v>9.9999999999999998E-13</v>
      </c>
      <c r="O6" s="2">
        <f t="shared" si="5"/>
        <v>20154.814079268603</v>
      </c>
      <c r="P6" s="2">
        <f t="shared" si="6"/>
        <v>19975.184200875749</v>
      </c>
      <c r="Q6" s="2">
        <f t="shared" si="7"/>
        <v>19859.25034348559</v>
      </c>
      <c r="R6" s="2">
        <f t="shared" si="8"/>
        <v>19740.356556637038</v>
      </c>
      <c r="S6" s="2">
        <f t="shared" si="9"/>
        <v>19592.173788627089</v>
      </c>
      <c r="T6" s="2">
        <f t="shared" si="10"/>
        <v>16342.70293177818</v>
      </c>
      <c r="U6" s="2">
        <f t="shared" si="11"/>
        <v>15033.115376067983</v>
      </c>
      <c r="Z6" s="2">
        <v>9.9999999999999998E-13</v>
      </c>
      <c r="AA6" s="3">
        <f>IF('Modell einstellen'!$B$2="Ja",'creep_res-40'!P6,'creep_res-40'!L6)</f>
        <v>0.35453812876786328</v>
      </c>
      <c r="AB6" s="2">
        <f>IF('Modell einstellen'!$B$2="Ja",creep_res0!P6,creep_res0!L6)</f>
        <v>0.35449913743730305</v>
      </c>
      <c r="AC6" s="2">
        <f>IF('Modell einstellen'!$B$2="Ja",creep_res25!P6,creep_res25!L6)</f>
        <v>0.35447179931980138</v>
      </c>
      <c r="AD6" s="2">
        <f>IF('Modell einstellen'!$B$2="Ja",creep_res50!P6,creep_res50!L6)</f>
        <v>0.35444192596348811</v>
      </c>
      <c r="AE6" s="2">
        <f>IF('Modell einstellen'!$B$2="Ja",creep_res80!P6,creep_res80!L6)</f>
        <v>0.35442301719924163</v>
      </c>
      <c r="AF6" s="2">
        <f>IF('Modell einstellen'!$B$2="Ja",creep_res125!P6,creep_res125!L6)</f>
        <v>0.40272477683572211</v>
      </c>
      <c r="AG6" s="2">
        <f>IF('Modell einstellen'!$B$2="Ja",creep_res160!P6,creep_res160!L6)</f>
        <v>0.42480984612360811</v>
      </c>
      <c r="AL6" s="2">
        <f t="shared" si="12"/>
        <v>9.9999999999999998E-13</v>
      </c>
      <c r="AM6" s="2">
        <f t="shared" si="13"/>
        <v>7439.7367084831149</v>
      </c>
      <c r="AN6" s="2">
        <f t="shared" si="14"/>
        <v>7373.6422743939765</v>
      </c>
      <c r="AO6" s="2">
        <f t="shared" si="15"/>
        <v>7330.9943970257091</v>
      </c>
      <c r="AP6" s="2">
        <f t="shared" si="16"/>
        <v>7287.2657654165014</v>
      </c>
      <c r="AQ6" s="2">
        <f t="shared" si="17"/>
        <v>7232.6642193149437</v>
      </c>
      <c r="AR6" s="2">
        <f t="shared" si="18"/>
        <v>5825.3419350887143</v>
      </c>
      <c r="AS6" s="2">
        <f t="shared" si="19"/>
        <v>5275.4812921063285</v>
      </c>
      <c r="AX6" s="2">
        <f t="shared" si="28"/>
        <v>9.9999999999999998E-13</v>
      </c>
      <c r="AY6" s="37">
        <f t="shared" si="20"/>
        <v>23092.894731963072</v>
      </c>
      <c r="AZ6" s="37">
        <f t="shared" si="21"/>
        <v>22880.945914516891</v>
      </c>
      <c r="BA6" s="37">
        <f t="shared" si="22"/>
        <v>22743.873983030415</v>
      </c>
      <c r="BB6" s="37">
        <f t="shared" si="23"/>
        <v>22603.070615518671</v>
      </c>
      <c r="BC6" s="37">
        <f t="shared" si="24"/>
        <v>22430.484787376045</v>
      </c>
      <c r="BD6" s="37">
        <f t="shared" si="25"/>
        <v>28000.797462711733</v>
      </c>
      <c r="BE6" s="37">
        <f t="shared" si="26"/>
        <v>33322.437848226611</v>
      </c>
    </row>
    <row r="7" spans="1:308" x14ac:dyDescent="0.25">
      <c r="A7" s="2">
        <f>'creep_res-40'!A7</f>
        <v>9.9999999999999994E-12</v>
      </c>
      <c r="B7" s="3">
        <f>'creep_res-40'!O7</f>
        <v>-4.961595828571429E-4</v>
      </c>
      <c r="C7" s="2">
        <f>IF('Modell einstellen'!$B$2="Ja",creep_res0!O7,creep_res0!C7)</f>
        <v>-5.0062136571428571E-4</v>
      </c>
      <c r="D7" s="2">
        <f>IF('Modell einstellen'!$B$2="Ja",creep_res25!O7,creep_res25!C7)</f>
        <v>-5.0354388000000002E-4</v>
      </c>
      <c r="E7" s="2">
        <f>IF('Modell einstellen'!$B$2="Ja",creep_res50!O7,creep_res50!C7)</f>
        <v>-5.0657666285714288E-4</v>
      </c>
      <c r="F7" s="2">
        <f>IF('Modell einstellen'!$B$2="Ja",creep_res80!O7,creep_res80!C7)</f>
        <v>-5.1073692000000003E-4</v>
      </c>
      <c r="G7" s="2">
        <f>IF('Modell einstellen'!$B$2="Ja",creep_res125!O7,creep_res125!C7)</f>
        <v>-6.3697485714285724E-4</v>
      </c>
      <c r="H7" s="2">
        <f>IF('Modell einstellen'!$B$2="Ja",creep_res160!O7,creep_res160!C7)</f>
        <v>-6.9886154285714298E-4</v>
      </c>
      <c r="M7" s="9">
        <f t="shared" si="27"/>
        <v>-10</v>
      </c>
      <c r="N7" s="2">
        <f t="shared" si="4"/>
        <v>9.9999999999999994E-12</v>
      </c>
      <c r="O7" s="2">
        <f t="shared" si="5"/>
        <v>20154.805722817728</v>
      </c>
      <c r="P7" s="2">
        <f t="shared" si="6"/>
        <v>19975.176220719259</v>
      </c>
      <c r="Q7" s="2">
        <f t="shared" si="7"/>
        <v>19859.242455692241</v>
      </c>
      <c r="R7" s="2">
        <f t="shared" si="8"/>
        <v>19740.348763006576</v>
      </c>
      <c r="S7" s="2">
        <f t="shared" si="9"/>
        <v>19579.551836589373</v>
      </c>
      <c r="T7" s="2">
        <f t="shared" si="10"/>
        <v>15699.206786363398</v>
      </c>
      <c r="U7" s="2">
        <f t="shared" si="11"/>
        <v>14308.985953236433</v>
      </c>
      <c r="Z7" s="2">
        <v>9.9999999999999994E-12</v>
      </c>
      <c r="AA7" s="3">
        <f>IF('Modell einstellen'!$B$2="Ja",'creep_res-40'!P7,'creep_res-40'!L7)</f>
        <v>0.35453811997607637</v>
      </c>
      <c r="AB7" s="2">
        <f>IF('Modell einstellen'!$B$2="Ja",creep_res0!P7,creep_res0!L7)</f>
        <v>0.3544991327862852</v>
      </c>
      <c r="AC7" s="2">
        <f>IF('Modell einstellen'!$B$2="Ja",creep_res25!P7,creep_res25!L7)</f>
        <v>0.35447180605477441</v>
      </c>
      <c r="AD7" s="2">
        <f>IF('Modell einstellen'!$B$2="Ja",creep_res50!P7,creep_res50!L7)</f>
        <v>0.35444192138973502</v>
      </c>
      <c r="AE7" s="2">
        <f>IF('Modell einstellen'!$B$2="Ja",creep_res80!P7,creep_res80!L7)</f>
        <v>0.35460557658529956</v>
      </c>
      <c r="AF7" s="2">
        <f>IF('Modell einstellen'!$B$2="Ja",creep_res125!P7,creep_res125!L7)</f>
        <v>0.41512492980211818</v>
      </c>
      <c r="AG7" s="2">
        <f>IF('Modell einstellen'!$B$2="Ja",creep_res160!P7,creep_res160!L7)</f>
        <v>0.44057867338038831</v>
      </c>
      <c r="AL7" s="2">
        <f t="shared" si="12"/>
        <v>9.9999999999999994E-12</v>
      </c>
      <c r="AM7" s="2">
        <f t="shared" si="13"/>
        <v>7439.7336721589263</v>
      </c>
      <c r="AN7" s="2">
        <f t="shared" si="14"/>
        <v>7373.6393539171686</v>
      </c>
      <c r="AO7" s="2">
        <f t="shared" si="15"/>
        <v>7330.991448813199</v>
      </c>
      <c r="AP7" s="2">
        <f t="shared" si="16"/>
        <v>7287.2629129611732</v>
      </c>
      <c r="AQ7" s="2">
        <f t="shared" si="17"/>
        <v>7227.030574444283</v>
      </c>
      <c r="AR7" s="2">
        <f t="shared" si="18"/>
        <v>5546.9331561273084</v>
      </c>
      <c r="AS7" s="2">
        <f t="shared" si="19"/>
        <v>4966.4021193857116</v>
      </c>
      <c r="AX7" s="2">
        <f t="shared" si="28"/>
        <v>9.9999999999999994E-12</v>
      </c>
      <c r="AY7" s="37">
        <f t="shared" si="20"/>
        <v>23092.8837616001</v>
      </c>
      <c r="AZ7" s="37">
        <f t="shared" si="21"/>
        <v>22880.936042096218</v>
      </c>
      <c r="BA7" s="37">
        <f t="shared" si="22"/>
        <v>22743.866002083112</v>
      </c>
      <c r="BB7" s="37">
        <f t="shared" si="23"/>
        <v>22603.06098143111</v>
      </c>
      <c r="BC7" s="37">
        <f t="shared" si="24"/>
        <v>22444.180201629541</v>
      </c>
      <c r="BD7" s="37">
        <f t="shared" si="25"/>
        <v>30828.068339661877</v>
      </c>
      <c r="BE7" s="37">
        <f t="shared" si="26"/>
        <v>40134.26033842488</v>
      </c>
    </row>
    <row r="8" spans="1:308" x14ac:dyDescent="0.25">
      <c r="A8" s="2">
        <f>'creep_res-40'!A8</f>
        <v>1E-10</v>
      </c>
      <c r="B8" s="3">
        <f>'creep_res-40'!O8</f>
        <v>-4.9615964571428578E-4</v>
      </c>
      <c r="C8" s="2">
        <f>IF('Modell einstellen'!$B$2="Ja",creep_res0!O8,creep_res0!C8)</f>
        <v>-5.0062142857142859E-4</v>
      </c>
      <c r="D8" s="2">
        <f>IF('Modell einstellen'!$B$2="Ja",creep_res25!O8,creep_res25!C8)</f>
        <v>-5.0354394285714291E-4</v>
      </c>
      <c r="E8" s="2">
        <f>IF('Modell einstellen'!$B$2="Ja",creep_res50!O8,creep_res50!C8)</f>
        <v>-5.0657673714285718E-4</v>
      </c>
      <c r="F8" s="2">
        <f>IF('Modell einstellen'!$B$2="Ja",creep_res80!O8,creep_res80!C8)</f>
        <v>-5.1350480000000008E-4</v>
      </c>
      <c r="G8" s="2">
        <f>IF('Modell einstellen'!$B$2="Ja",creep_res125!O8,creep_res125!C8)</f>
        <v>-6.6554657142857149E-4</v>
      </c>
      <c r="H8" s="2">
        <f>IF('Modell einstellen'!$B$2="Ja",creep_res160!O8,creep_res160!C8)</f>
        <v>-7.4121085714285719E-4</v>
      </c>
      <c r="M8" s="9">
        <f t="shared" si="27"/>
        <v>-10</v>
      </c>
      <c r="N8" s="2">
        <f t="shared" si="4"/>
        <v>1E-10</v>
      </c>
      <c r="O8" s="2">
        <f t="shared" si="5"/>
        <v>20154.803169459119</v>
      </c>
      <c r="P8" s="2">
        <f t="shared" si="6"/>
        <v>19975.173712671392</v>
      </c>
      <c r="Q8" s="2">
        <f t="shared" si="7"/>
        <v>19859.239976672769</v>
      </c>
      <c r="R8" s="2">
        <f t="shared" si="8"/>
        <v>19740.345868231114</v>
      </c>
      <c r="S8" s="2">
        <f t="shared" si="9"/>
        <v>19474.014653806546</v>
      </c>
      <c r="T8" s="2">
        <f t="shared" si="10"/>
        <v>15025.244557319804</v>
      </c>
      <c r="U8" s="2">
        <f t="shared" si="11"/>
        <v>13491.437562783367</v>
      </c>
      <c r="Z8" s="2">
        <v>1E-10</v>
      </c>
      <c r="AA8" s="3">
        <f>IF('Modell einstellen'!$B$2="Ja",'creep_res-40'!P8,'creep_res-40'!L8)</f>
        <v>0.35453812112870858</v>
      </c>
      <c r="AB8" s="2">
        <f>IF('Modell einstellen'!$B$2="Ja",creep_res0!P8,creep_res0!L8)</f>
        <v>0.35449913393353982</v>
      </c>
      <c r="AC8" s="2">
        <f>IF('Modell einstellen'!$B$2="Ja",creep_res25!P8,creep_res25!L8)</f>
        <v>0.35447179585064437</v>
      </c>
      <c r="AD8" s="2">
        <f>IF('Modell einstellen'!$B$2="Ja",creep_res50!P8,creep_res50!L8)</f>
        <v>0.35444192581444917</v>
      </c>
      <c r="AE8" s="2">
        <f>IF('Modell einstellen'!$B$2="Ja",creep_res80!P8,creep_res80!L8)</f>
        <v>0.35613719677011779</v>
      </c>
      <c r="AF8" s="2">
        <f>IF('Modell einstellen'!$B$2="Ja",creep_res125!P8,creep_res125!L8)</f>
        <v>0.42897985887431728</v>
      </c>
      <c r="AG8" s="2">
        <f>IF('Modell einstellen'!$B$2="Ja",creep_res160!P8,creep_res160!L8)</f>
        <v>0.45979136840952911</v>
      </c>
      <c r="AL8" s="2">
        <f t="shared" si="12"/>
        <v>1E-10</v>
      </c>
      <c r="AM8" s="2">
        <f t="shared" si="13"/>
        <v>7439.732723308126</v>
      </c>
      <c r="AN8" s="2">
        <f t="shared" si="14"/>
        <v>7373.6384218505882</v>
      </c>
      <c r="AO8" s="2">
        <f t="shared" si="15"/>
        <v>7330.990588918331</v>
      </c>
      <c r="AP8" s="2">
        <f t="shared" si="16"/>
        <v>7287.2618205320641</v>
      </c>
      <c r="AQ8" s="2">
        <f t="shared" si="17"/>
        <v>7179.9574188317292</v>
      </c>
      <c r="AR8" s="2">
        <f t="shared" si="18"/>
        <v>5257.3325173232261</v>
      </c>
      <c r="AS8" s="2">
        <f t="shared" si="19"/>
        <v>4621.0156652325422</v>
      </c>
      <c r="AX8" s="2">
        <f t="shared" si="28"/>
        <v>1E-10</v>
      </c>
      <c r="AY8" s="37">
        <f t="shared" si="20"/>
        <v>23092.88101901098</v>
      </c>
      <c r="AZ8" s="37">
        <f t="shared" si="21"/>
        <v>22880.933349619339</v>
      </c>
      <c r="BA8" s="37">
        <f t="shared" si="22"/>
        <v>22743.861568225893</v>
      </c>
      <c r="BB8" s="37">
        <f t="shared" si="23"/>
        <v>22603.0583539541</v>
      </c>
      <c r="BC8" s="37">
        <f t="shared" si="24"/>
        <v>22560.863795914058</v>
      </c>
      <c r="BD8" s="37">
        <f t="shared" si="25"/>
        <v>35260.524500906417</v>
      </c>
      <c r="BE8" s="37">
        <f t="shared" si="26"/>
        <v>55922.642432413799</v>
      </c>
    </row>
    <row r="9" spans="1:308" x14ac:dyDescent="0.25">
      <c r="A9" s="2">
        <f>'creep_res-40'!A9</f>
        <v>1.0000000000000001E-9</v>
      </c>
      <c r="B9" s="3">
        <f>'creep_res-40'!O9</f>
        <v>-4.961596628571429E-4</v>
      </c>
      <c r="C9" s="2">
        <f>IF('Modell einstellen'!$B$2="Ja",creep_res0!O9,creep_res0!C9)</f>
        <v>-5.0062144571428582E-4</v>
      </c>
      <c r="D9" s="2">
        <f>IF('Modell einstellen'!$B$2="Ja",creep_res25!O9,creep_res25!C9)</f>
        <v>-5.0354396571428573E-4</v>
      </c>
      <c r="E9" s="2">
        <f>IF('Modell einstellen'!$B$2="Ja",creep_res50!O9,creep_res50!C9)</f>
        <v>-5.0657688571428578E-4</v>
      </c>
      <c r="F9" s="2">
        <f>IF('Modell einstellen'!$B$2="Ja",creep_res80!O9,creep_res80!C9)</f>
        <v>-5.2176818857142858E-4</v>
      </c>
      <c r="G9" s="2">
        <f>IF('Modell einstellen'!$B$2="Ja",creep_res125!O9,creep_res125!C9)</f>
        <v>-6.9984782857142856E-4</v>
      </c>
      <c r="H9" s="2">
        <f>IF('Modell einstellen'!$B$2="Ja",creep_res160!O9,creep_res160!C9)</f>
        <v>-8.0826034285714295E-4</v>
      </c>
      <c r="M9" s="9">
        <f t="shared" si="27"/>
        <v>-10</v>
      </c>
      <c r="N9" s="2">
        <f t="shared" si="4"/>
        <v>1.0000000000000001E-9</v>
      </c>
      <c r="O9" s="2">
        <f t="shared" si="5"/>
        <v>20154.802473088701</v>
      </c>
      <c r="P9" s="2">
        <f t="shared" si="6"/>
        <v>19975.173028658446</v>
      </c>
      <c r="Q9" s="2">
        <f t="shared" si="7"/>
        <v>19859.239075211295</v>
      </c>
      <c r="R9" s="2">
        <f t="shared" si="8"/>
        <v>19740.340078682737</v>
      </c>
      <c r="S9" s="2">
        <f t="shared" si="9"/>
        <v>19165.599243180055</v>
      </c>
      <c r="T9" s="2">
        <f t="shared" si="10"/>
        <v>14288.820500325908</v>
      </c>
      <c r="U9" s="2">
        <f t="shared" si="11"/>
        <v>12372.251203926089</v>
      </c>
      <c r="Z9" s="2">
        <v>1.0000000000000001E-9</v>
      </c>
      <c r="AA9" s="3">
        <f>IF('Modell einstellen'!$B$2="Ja",'creep_res-40'!P9,'creep_res-40'!L9)</f>
        <v>0.35453812039606009</v>
      </c>
      <c r="AB9" s="2">
        <f>IF('Modell einstellen'!$B$2="Ja",creep_res0!P9,creep_res0!L9)</f>
        <v>0.35449913320875592</v>
      </c>
      <c r="AC9" s="2">
        <f>IF('Modell einstellen'!$B$2="Ja",creep_res25!P9,creep_res25!L9)</f>
        <v>0.3544717911084036</v>
      </c>
      <c r="AD9" s="2">
        <f>IF('Modell einstellen'!$B$2="Ja",creep_res50!P9,creep_res50!L9)</f>
        <v>0.35444199106484525</v>
      </c>
      <c r="AE9" s="2">
        <f>IF('Modell einstellen'!$B$2="Ja",creep_res80!P9,creep_res80!L9)</f>
        <v>0.36067736835032149</v>
      </c>
      <c r="AF9" s="2">
        <f>IF('Modell einstellen'!$B$2="Ja",creep_res125!P9,creep_res125!L9)</f>
        <v>0.4452416962152671</v>
      </c>
      <c r="AG9" s="2">
        <f>IF('Modell einstellen'!$B$2="Ja",creep_res160!P9,creep_res160!L9)</f>
        <v>0.48866787335000123</v>
      </c>
      <c r="AL9" s="2">
        <f t="shared" si="12"/>
        <v>1.0000000000000001E-9</v>
      </c>
      <c r="AM9" s="2">
        <f t="shared" si="13"/>
        <v>7439.7324702812866</v>
      </c>
      <c r="AN9" s="2">
        <f t="shared" si="14"/>
        <v>7373.6381732995414</v>
      </c>
      <c r="AO9" s="2">
        <f t="shared" si="15"/>
        <v>7330.9902818130686</v>
      </c>
      <c r="AP9" s="2">
        <f t="shared" si="16"/>
        <v>7287.2593322225375</v>
      </c>
      <c r="AQ9" s="2">
        <f t="shared" si="17"/>
        <v>7042.6684859234238</v>
      </c>
      <c r="AR9" s="2">
        <f t="shared" si="18"/>
        <v>4943.4016945901922</v>
      </c>
      <c r="AS9" s="2">
        <f t="shared" si="19"/>
        <v>4155.4773315838347</v>
      </c>
      <c r="AX9" s="2">
        <f t="shared" si="28"/>
        <v>1.0000000000000001E-9</v>
      </c>
      <c r="AY9" s="37">
        <f t="shared" si="20"/>
        <v>23092.880104814758</v>
      </c>
      <c r="AZ9" s="37">
        <f t="shared" si="21"/>
        <v>22880.932452127159</v>
      </c>
      <c r="BA9" s="37">
        <f t="shared" si="22"/>
        <v>22743.859794683511</v>
      </c>
      <c r="BB9" s="37">
        <f t="shared" si="23"/>
        <v>22603.061857256907</v>
      </c>
      <c r="BC9" s="37">
        <f t="shared" si="24"/>
        <v>22927.118894522977</v>
      </c>
      <c r="BD9" s="37">
        <f t="shared" si="25"/>
        <v>43490.574374796946</v>
      </c>
      <c r="BE9" s="37">
        <f t="shared" si="26"/>
        <v>181964.24475376276</v>
      </c>
    </row>
    <row r="10" spans="1:308" x14ac:dyDescent="0.25">
      <c r="A10" s="2">
        <f>'creep_res-40'!A10</f>
        <v>1E-8</v>
      </c>
      <c r="B10" s="3">
        <f>'creep_res-40'!O10</f>
        <v>-4.9615966857142861E-4</v>
      </c>
      <c r="C10" s="2">
        <f>IF('Modell einstellen'!$B$2="Ja",creep_res0!O10,creep_res0!C10)</f>
        <v>-5.0062145714285713E-4</v>
      </c>
      <c r="D10" s="2">
        <f>IF('Modell einstellen'!$B$2="Ja",creep_res25!O10,creep_res25!C10)</f>
        <v>-5.0354397142857144E-4</v>
      </c>
      <c r="E10" s="2">
        <f>IF('Modell einstellen'!$B$2="Ja",creep_res50!O10,creep_res50!C10)</f>
        <v>-5.0657814285714282E-4</v>
      </c>
      <c r="F10" s="2">
        <f>IF('Modell einstellen'!$B$2="Ja",creep_res80!O10,creep_res80!C10)</f>
        <v>-5.3089043999999998E-4</v>
      </c>
      <c r="G10" s="2">
        <f>IF('Modell einstellen'!$B$2="Ja",creep_res125!O10,creep_res125!C10)</f>
        <v>-7.4568331428571434E-4</v>
      </c>
      <c r="H10" s="2">
        <f>IF('Modell einstellen'!$B$2="Ja",creep_res160!O10,creep_res160!C10)</f>
        <v>-9.1564354285714287E-4</v>
      </c>
      <c r="M10" s="9">
        <f t="shared" si="27"/>
        <v>-10</v>
      </c>
      <c r="N10" s="2">
        <f t="shared" si="4"/>
        <v>1E-8</v>
      </c>
      <c r="O10" s="2">
        <f t="shared" si="5"/>
        <v>20154.80224096524</v>
      </c>
      <c r="P10" s="2">
        <f t="shared" si="6"/>
        <v>19975.172572649844</v>
      </c>
      <c r="Q10" s="2">
        <f t="shared" si="7"/>
        <v>19859.23884984594</v>
      </c>
      <c r="R10" s="2">
        <f t="shared" si="8"/>
        <v>19740.291090332419</v>
      </c>
      <c r="S10" s="2">
        <f t="shared" si="9"/>
        <v>18836.278159388217</v>
      </c>
      <c r="T10" s="2">
        <f t="shared" si="10"/>
        <v>13410.518659089135</v>
      </c>
      <c r="U10" s="2">
        <f t="shared" si="11"/>
        <v>10921.28053324806</v>
      </c>
      <c r="Z10" s="2">
        <v>1E-8</v>
      </c>
      <c r="AA10" s="3">
        <f>IF('Modell einstellen'!$B$2="Ja",'creep_res-40'!P10,'creep_res-40'!L10)</f>
        <v>0.354538116312834</v>
      </c>
      <c r="AB10" s="2">
        <f>IF('Modell einstellen'!$B$2="Ja",creep_res0!P10,creep_res0!L10)</f>
        <v>0.35449912511597731</v>
      </c>
      <c r="AC10" s="2">
        <f>IF('Modell einstellen'!$B$2="Ja",creep_res25!P10,creep_res25!L10)</f>
        <v>0.35447179843394588</v>
      </c>
      <c r="AD10" s="2">
        <f>IF('Modell einstellen'!$B$2="Ja",creep_res50!P10,creep_res50!L10)</f>
        <v>0.35444270197208333</v>
      </c>
      <c r="AE10" s="2">
        <f>IF('Modell einstellen'!$B$2="Ja",creep_res80!P10,creep_res80!L10)</f>
        <v>0.3656067019348529</v>
      </c>
      <c r="AF10" s="2">
        <f>IF('Modell einstellen'!$B$2="Ja",creep_res125!P10,creep_res125!L10)</f>
        <v>0.46618608221123053</v>
      </c>
      <c r="AG10" s="2">
        <f>IF('Modell einstellen'!$B$2="Ja",creep_res160!P10,creep_res160!L10)</f>
        <v>0.53097521044059437</v>
      </c>
      <c r="AL10" s="2">
        <f t="shared" si="12"/>
        <v>1E-8</v>
      </c>
      <c r="AM10" s="2">
        <f t="shared" si="13"/>
        <v>7439.7324070245795</v>
      </c>
      <c r="AN10" s="2">
        <f t="shared" si="14"/>
        <v>7373.6380490240244</v>
      </c>
      <c r="AO10" s="2">
        <f t="shared" si="15"/>
        <v>7330.9901589709716</v>
      </c>
      <c r="AP10" s="2">
        <f t="shared" si="16"/>
        <v>7287.2374230339683</v>
      </c>
      <c r="AQ10" s="2">
        <f t="shared" si="17"/>
        <v>6896.670224560311</v>
      </c>
      <c r="AR10" s="2">
        <f t="shared" si="18"/>
        <v>4573.266252420035</v>
      </c>
      <c r="AS10" s="2">
        <f t="shared" si="19"/>
        <v>3566.7724920591822</v>
      </c>
      <c r="AX10" s="2">
        <f t="shared" si="28"/>
        <v>1E-8</v>
      </c>
      <c r="AY10" s="37">
        <f t="shared" si="20"/>
        <v>23092.879190618609</v>
      </c>
      <c r="AZ10" s="37">
        <f t="shared" si="21"/>
        <v>22880.930657143079</v>
      </c>
      <c r="BA10" s="37">
        <f t="shared" si="22"/>
        <v>22743.860681454684</v>
      </c>
      <c r="BB10" s="37">
        <f t="shared" si="23"/>
        <v>22603.11615858931</v>
      </c>
      <c r="BC10" s="37">
        <f t="shared" si="24"/>
        <v>23359.64470274073</v>
      </c>
      <c r="BD10" s="37">
        <f t="shared" si="25"/>
        <v>66099.600086088118</v>
      </c>
      <c r="BE10" s="37">
        <f t="shared" si="26"/>
        <v>-58763.553057981509</v>
      </c>
    </row>
    <row r="11" spans="1:308" x14ac:dyDescent="0.25">
      <c r="A11" s="2">
        <f>'creep_res-40'!A11</f>
        <v>9.9999999999999995E-8</v>
      </c>
      <c r="B11" s="3">
        <f>'creep_res-40'!O11</f>
        <v>-4.9615967428571432E-4</v>
      </c>
      <c r="C11" s="2">
        <f>IF('Modell einstellen'!$B$2="Ja",creep_res0!O11,creep_res0!C11)</f>
        <v>-5.0062145714285713E-4</v>
      </c>
      <c r="D11" s="2">
        <f>IF('Modell einstellen'!$B$2="Ja",creep_res25!O11,creep_res25!C11)</f>
        <v>-5.0354398857142856E-4</v>
      </c>
      <c r="E11" s="2">
        <f>IF('Modell einstellen'!$B$2="Ja",creep_res50!O11,creep_res50!C11)</f>
        <v>-5.0659066857142859E-4</v>
      </c>
      <c r="F11" s="2">
        <f>IF('Modell einstellen'!$B$2="Ja",creep_res80!O11,creep_res80!C11)</f>
        <v>-5.4184649714285717E-4</v>
      </c>
      <c r="G11" s="2">
        <f>IF('Modell einstellen'!$B$2="Ja",creep_res125!O11,creep_res125!C11)</f>
        <v>-8.1845571428571429E-4</v>
      </c>
      <c r="H11" s="2">
        <f>IF('Modell einstellen'!$B$2="Ja",creep_res160!O11,creep_res160!C11)</f>
        <v>-1.1011168571428572E-3</v>
      </c>
      <c r="M11" s="9">
        <f t="shared" si="27"/>
        <v>-10</v>
      </c>
      <c r="N11" s="2">
        <f t="shared" si="4"/>
        <v>9.9999999999999995E-8</v>
      </c>
      <c r="O11" s="2">
        <f t="shared" si="5"/>
        <v>20154.802008841783</v>
      </c>
      <c r="P11" s="2">
        <f t="shared" si="6"/>
        <v>19975.172572649844</v>
      </c>
      <c r="Q11" s="2">
        <f t="shared" si="7"/>
        <v>19859.238173749905</v>
      </c>
      <c r="R11" s="2">
        <f t="shared" si="8"/>
        <v>19739.803001503598</v>
      </c>
      <c r="S11" s="2">
        <f t="shared" si="9"/>
        <v>18455.411362313396</v>
      </c>
      <c r="T11" s="2">
        <f t="shared" si="10"/>
        <v>12218.132057062168</v>
      </c>
      <c r="U11" s="2">
        <f t="shared" si="11"/>
        <v>9081.6882287568278</v>
      </c>
      <c r="Z11" s="2">
        <v>9.9999999999999995E-8</v>
      </c>
      <c r="AA11" s="3">
        <f>IF('Modell einstellen'!$B$2="Ja",'creep_res-40'!P11,'creep_res-40'!L11)</f>
        <v>0.35453811222960796</v>
      </c>
      <c r="AB11" s="2">
        <f>IF('Modell einstellen'!$B$2="Ja",creep_res0!P11,creep_res0!L11)</f>
        <v>0.35449912511597731</v>
      </c>
      <c r="AC11" s="2">
        <f>IF('Modell einstellen'!$B$2="Ja",creep_res25!P11,creep_res25!L11)</f>
        <v>0.35447180906243542</v>
      </c>
      <c r="AD11" s="2">
        <f>IF('Modell einstellen'!$B$2="Ja",creep_res50!P11,creep_res50!L11)</f>
        <v>0.35444977515631193</v>
      </c>
      <c r="AE11" s="2">
        <f>IF('Modell einstellen'!$B$2="Ja",creep_res80!P11,creep_res80!L11)</f>
        <v>0.37147413716127109</v>
      </c>
      <c r="AF11" s="2">
        <f>IF('Modell einstellen'!$B$2="Ja",creep_res125!P11,creep_res125!L11)</f>
        <v>0.49758658379282245</v>
      </c>
      <c r="AG11" s="2">
        <f>IF('Modell einstellen'!$B$2="Ja",creep_res160!P11,creep_res160!L11)</f>
        <v>0.59275063318827714</v>
      </c>
      <c r="AL11" s="2">
        <f t="shared" si="12"/>
        <v>9.9999999999999995E-8</v>
      </c>
      <c r="AM11" s="2">
        <f t="shared" si="13"/>
        <v>7439.7323437678724</v>
      </c>
      <c r="AN11" s="2">
        <f t="shared" si="14"/>
        <v>7373.6380490240244</v>
      </c>
      <c r="AO11" s="2">
        <f t="shared" si="15"/>
        <v>7330.9898518657455</v>
      </c>
      <c r="AP11" s="2">
        <f t="shared" si="16"/>
        <v>7287.0191880040384</v>
      </c>
      <c r="AQ11" s="2">
        <f t="shared" si="17"/>
        <v>6728.3118442587265</v>
      </c>
      <c r="AR11" s="2">
        <f t="shared" si="18"/>
        <v>4079.2740096930638</v>
      </c>
      <c r="AS11" s="2">
        <f t="shared" si="19"/>
        <v>2850.9447868112361</v>
      </c>
      <c r="AX11" s="2">
        <f t="shared" si="28"/>
        <v>9.9999999999999995E-8</v>
      </c>
      <c r="AY11" s="37">
        <f t="shared" si="20"/>
        <v>23092.878276422522</v>
      </c>
      <c r="AZ11" s="37">
        <f t="shared" si="21"/>
        <v>22880.930657143079</v>
      </c>
      <c r="BA11" s="37">
        <f t="shared" si="22"/>
        <v>22743.861568225911</v>
      </c>
      <c r="BB11" s="37">
        <f t="shared" si="23"/>
        <v>22603.655682775396</v>
      </c>
      <c r="BC11" s="37">
        <f t="shared" si="24"/>
        <v>23932.162957571156</v>
      </c>
      <c r="BD11" s="37">
        <f t="shared" si="25"/>
        <v>843764.67547848891</v>
      </c>
      <c r="BE11" s="37">
        <f t="shared" si="26"/>
        <v>-16319.184600284887</v>
      </c>
    </row>
    <row r="12" spans="1:308" x14ac:dyDescent="0.25">
      <c r="A12" s="2">
        <f>'creep_res-40'!A12</f>
        <v>9.9999999999999995E-7</v>
      </c>
      <c r="B12" s="3">
        <f>'creep_res-40'!O12</f>
        <v>-4.9615967428571432E-4</v>
      </c>
      <c r="C12" s="2">
        <f>IF('Modell einstellen'!$B$2="Ja",creep_res0!O12,creep_res0!C12)</f>
        <v>-5.0062146285714283E-4</v>
      </c>
      <c r="D12" s="2">
        <f>IF('Modell einstellen'!$B$2="Ja",creep_res25!O12,creep_res25!C12)</f>
        <v>-5.0354413142857145E-4</v>
      </c>
      <c r="E12" s="2">
        <f>IF('Modell einstellen'!$B$2="Ja",creep_res50!O12,creep_res50!C12)</f>
        <v>-5.0671505714285721E-4</v>
      </c>
      <c r="F12" s="2">
        <f>IF('Modell einstellen'!$B$2="Ja",creep_res80!O12,creep_res80!C12)</f>
        <v>-5.560503828571429E-4</v>
      </c>
      <c r="G12" s="2">
        <f>IF('Modell einstellen'!$B$2="Ja",creep_res125!O12,creep_res125!C12)</f>
        <v>-9.3642748571428583E-4</v>
      </c>
      <c r="H12" s="2">
        <f>IF('Modell einstellen'!$B$2="Ja",creep_res160!O12,creep_res160!C12)</f>
        <v>-1.4827460571428574E-3</v>
      </c>
      <c r="M12" s="9">
        <f t="shared" si="27"/>
        <v>-10</v>
      </c>
      <c r="N12" s="2">
        <f t="shared" si="4"/>
        <v>9.9999999999999995E-7</v>
      </c>
      <c r="O12" s="2">
        <f t="shared" si="5"/>
        <v>20154.802008841783</v>
      </c>
      <c r="P12" s="2">
        <f t="shared" si="6"/>
        <v>19975.172344645551</v>
      </c>
      <c r="Q12" s="2">
        <f t="shared" si="7"/>
        <v>19859.23253961806</v>
      </c>
      <c r="R12" s="2">
        <f t="shared" si="8"/>
        <v>19734.957268460879</v>
      </c>
      <c r="S12" s="2">
        <f t="shared" si="9"/>
        <v>17983.981862609631</v>
      </c>
      <c r="T12" s="2">
        <f t="shared" si="10"/>
        <v>10678.883472084573</v>
      </c>
      <c r="U12" s="2">
        <f t="shared" si="11"/>
        <v>6744.2431910891501</v>
      </c>
      <c r="Z12" s="2">
        <v>9.9999999999999995E-7</v>
      </c>
      <c r="AA12" s="3">
        <f>IF('Modell einstellen'!$B$2="Ja",'creep_res-40'!P12,'creep_res-40'!L12)</f>
        <v>0.35453811222960796</v>
      </c>
      <c r="AB12" s="2">
        <f>IF('Modell einstellen'!$B$2="Ja",creep_res0!P12,creep_res0!L12)</f>
        <v>0.3544991324839723</v>
      </c>
      <c r="AC12" s="2">
        <f>IF('Modell einstellen'!$B$2="Ja",creep_res25!P12,creep_res25!L12)</f>
        <v>0.35447187871959884</v>
      </c>
      <c r="AD12" s="2">
        <f>IF('Modell einstellen'!$B$2="Ja",creep_res50!P12,creep_res50!L12)</f>
        <v>0.35452006923925178</v>
      </c>
      <c r="AE12" s="2">
        <f>IF('Modell einstellen'!$B$2="Ja",creep_res80!P12,creep_res80!L12)</f>
        <v>0.37855861509445748</v>
      </c>
      <c r="AF12" s="2">
        <f>IF('Modell einstellen'!$B$2="Ja",creep_res125!P12,creep_res125!L12)</f>
        <v>0.54352593299726781</v>
      </c>
      <c r="AG12" s="2">
        <f>IF('Modell einstellen'!$B$2="Ja",creep_res160!P12,creep_res160!L12)</f>
        <v>0.68390387318417989</v>
      </c>
      <c r="AL12" s="2">
        <f t="shared" si="12"/>
        <v>9.9999999999999995E-7</v>
      </c>
      <c r="AM12" s="2">
        <f t="shared" si="13"/>
        <v>7439.7323437678724</v>
      </c>
      <c r="AN12" s="2">
        <f t="shared" si="14"/>
        <v>7373.6379247485102</v>
      </c>
      <c r="AO12" s="2">
        <f t="shared" si="15"/>
        <v>7330.9873950248675</v>
      </c>
      <c r="AP12" s="2">
        <f t="shared" si="16"/>
        <v>7284.8522944162632</v>
      </c>
      <c r="AQ12" s="2">
        <f t="shared" si="17"/>
        <v>6522.7483495061197</v>
      </c>
      <c r="AR12" s="2">
        <f t="shared" si="18"/>
        <v>3459.2497747504567</v>
      </c>
      <c r="AS12" s="2">
        <f t="shared" si="19"/>
        <v>2002.5618143914935</v>
      </c>
      <c r="AX12" s="2">
        <f t="shared" si="28"/>
        <v>9.9999999999999995E-7</v>
      </c>
      <c r="AY12" s="37">
        <f t="shared" si="20"/>
        <v>23092.878276422522</v>
      </c>
      <c r="AZ12" s="37">
        <f t="shared" si="21"/>
        <v>22880.931554635095</v>
      </c>
      <c r="BA12" s="37">
        <f t="shared" si="22"/>
        <v>22743.866002083108</v>
      </c>
      <c r="BB12" s="37">
        <f t="shared" si="23"/>
        <v>22609.026052897494</v>
      </c>
      <c r="BC12" s="37">
        <f t="shared" si="24"/>
        <v>24681.292236302077</v>
      </c>
      <c r="BD12" s="37">
        <f t="shared" si="25"/>
        <v>-40890.884800236614</v>
      </c>
      <c r="BE12" s="37">
        <f t="shared" si="26"/>
        <v>-6112.1090729963262</v>
      </c>
    </row>
    <row r="13" spans="1:308" x14ac:dyDescent="0.25">
      <c r="A13" s="2">
        <f>'creep_res-40'!A13</f>
        <v>1.0000000000000001E-5</v>
      </c>
      <c r="B13" s="3">
        <f>'creep_res-40'!O13</f>
        <v>-4.9615967428571432E-4</v>
      </c>
      <c r="C13" s="2">
        <f>IF('Modell einstellen'!$B$2="Ja",creep_res0!O13,creep_res0!C13)</f>
        <v>-5.0062147428571436E-4</v>
      </c>
      <c r="D13" s="2">
        <f>IF('Modell einstellen'!$B$2="Ja",creep_res25!O13,creep_res25!C13)</f>
        <v>-5.0354551999999997E-4</v>
      </c>
      <c r="E13" s="2">
        <f>IF('Modell einstellen'!$B$2="Ja",creep_res50!O13,creep_res50!C13)</f>
        <v>-5.0787922285714293E-4</v>
      </c>
      <c r="F13" s="2">
        <f>IF('Modell einstellen'!$B$2="Ja",creep_res80!O13,creep_res80!C13)</f>
        <v>-5.7032560571428569E-4</v>
      </c>
      <c r="G13" s="2">
        <f>IF('Modell einstellen'!$B$2="Ja",creep_res125!O13,creep_res125!C13)</f>
        <v>-1.1481097714285714E-3</v>
      </c>
      <c r="H13" s="2">
        <f>IF('Modell einstellen'!$B$2="Ja",creep_res160!O13,creep_res160!C13)</f>
        <v>-2.2463832571428572E-3</v>
      </c>
      <c r="M13" s="9">
        <f t="shared" si="27"/>
        <v>-10</v>
      </c>
      <c r="N13" s="2">
        <f t="shared" si="4"/>
        <v>1.0000000000000001E-5</v>
      </c>
      <c r="O13" s="2">
        <f t="shared" si="5"/>
        <v>20154.802008841783</v>
      </c>
      <c r="P13" s="2">
        <f t="shared" si="6"/>
        <v>19975.171888636974</v>
      </c>
      <c r="Q13" s="2">
        <f t="shared" si="7"/>
        <v>19859.177776023109</v>
      </c>
      <c r="R13" s="2">
        <f t="shared" si="8"/>
        <v>19689.720606690018</v>
      </c>
      <c r="S13" s="2">
        <f t="shared" si="9"/>
        <v>17533.843649674167</v>
      </c>
      <c r="T13" s="2">
        <f t="shared" si="10"/>
        <v>8709.9685490501379</v>
      </c>
      <c r="U13" s="2">
        <f t="shared" si="11"/>
        <v>4451.600130210576</v>
      </c>
      <c r="Z13" s="2">
        <v>1.0000000000000001E-5</v>
      </c>
      <c r="AA13" s="3">
        <f>IF('Modell einstellen'!$B$2="Ja",'creep_res-40'!P13,'creep_res-40'!L13)</f>
        <v>0.35453811222960796</v>
      </c>
      <c r="AB13" s="2">
        <f>IF('Modell einstellen'!$B$2="Ja",creep_res0!P13,creep_res0!L13)</f>
        <v>0.35449913580557774</v>
      </c>
      <c r="AC13" s="2">
        <f>IF('Modell einstellen'!$B$2="Ja",creep_res25!P13,creep_res25!L13)</f>
        <v>0.35447267153580425</v>
      </c>
      <c r="AD13" s="2">
        <f>IF('Modell einstellen'!$B$2="Ja",creep_res50!P13,creep_res50!L13)</f>
        <v>0.35517692935409251</v>
      </c>
      <c r="AE13" s="2">
        <f>IF('Modell einstellen'!$B$2="Ja",creep_res80!P13,creep_res80!L13)</f>
        <v>0.38634488904137881</v>
      </c>
      <c r="AF13" s="2">
        <f>IF('Modell einstellen'!$B$2="Ja",creep_res125!P13,creep_res125!L13)</f>
        <v>0.61121791191593877</v>
      </c>
      <c r="AG13" s="2">
        <f>IF('Modell einstellen'!$B$2="Ja",creep_res160!P13,creep_res160!L13)</f>
        <v>0.78560190734022317</v>
      </c>
      <c r="AL13" s="2">
        <f t="shared" si="12"/>
        <v>1.0000000000000001E-5</v>
      </c>
      <c r="AM13" s="2">
        <f t="shared" si="13"/>
        <v>7439.7323437678724</v>
      </c>
      <c r="AN13" s="2">
        <f t="shared" si="14"/>
        <v>7373.6377383352474</v>
      </c>
      <c r="AO13" s="2">
        <f t="shared" si="15"/>
        <v>7330.962888127252</v>
      </c>
      <c r="AP13" s="2">
        <f t="shared" si="16"/>
        <v>7264.6309792458533</v>
      </c>
      <c r="AQ13" s="2">
        <f t="shared" si="17"/>
        <v>6323.7668304163335</v>
      </c>
      <c r="AR13" s="2">
        <f t="shared" si="18"/>
        <v>2702.914511015118</v>
      </c>
      <c r="AS13" s="2">
        <f t="shared" si="19"/>
        <v>1246.5264827258</v>
      </c>
      <c r="AX13" s="2">
        <f t="shared" si="28"/>
        <v>1.0000000000000001E-5</v>
      </c>
      <c r="AY13" s="37">
        <f t="shared" si="20"/>
        <v>23092.878276422522</v>
      </c>
      <c r="AZ13" s="37">
        <f t="shared" si="21"/>
        <v>22880.931554635074</v>
      </c>
      <c r="BA13" s="37">
        <f t="shared" si="22"/>
        <v>22743.927189489001</v>
      </c>
      <c r="BB13" s="37">
        <f t="shared" si="23"/>
        <v>22659.511958136605</v>
      </c>
      <c r="BC13" s="37">
        <f t="shared" si="24"/>
        <v>25712.062135152279</v>
      </c>
      <c r="BD13" s="37">
        <f t="shared" si="25"/>
        <v>-13052.406755657226</v>
      </c>
      <c r="BE13" s="37">
        <f t="shared" si="26"/>
        <v>-2597.7885159963871</v>
      </c>
    </row>
    <row r="14" spans="1:308" x14ac:dyDescent="0.25">
      <c r="A14" s="2">
        <f>'creep_res-40'!A14</f>
        <v>1E-4</v>
      </c>
      <c r="B14" s="3">
        <f>'creep_res-40'!O14</f>
        <v>-4.9615968000000002E-4</v>
      </c>
      <c r="C14" s="2">
        <f>IF('Modell einstellen'!$B$2="Ja",creep_res0!O14,creep_res0!C14)</f>
        <v>-5.0062162285714295E-4</v>
      </c>
      <c r="D14" s="2">
        <f>IF('Modell einstellen'!$B$2="Ja",creep_res25!O14,creep_res25!C14)</f>
        <v>-5.0355938857142861E-4</v>
      </c>
      <c r="E14" s="2">
        <f>IF('Modell einstellen'!$B$2="Ja",creep_res50!O14,creep_res50!C14)</f>
        <v>-5.1437622857142859E-4</v>
      </c>
      <c r="F14" s="2">
        <f>IF('Modell einstellen'!$B$2="Ja",creep_res80!O14,creep_res80!C14)</f>
        <v>-5.9075154285714285E-4</v>
      </c>
      <c r="G14" s="2">
        <f>IF('Modell einstellen'!$B$2="Ja",creep_res125!O14,creep_res125!C14)</f>
        <v>-1.5971413714285718E-3</v>
      </c>
      <c r="H14" s="2">
        <f>IF('Modell einstellen'!$B$2="Ja",creep_res160!O14,creep_res160!C14)</f>
        <v>-3.7054184571428572E-3</v>
      </c>
      <c r="M14" s="9">
        <f t="shared" si="27"/>
        <v>-10</v>
      </c>
      <c r="N14" s="2">
        <f t="shared" si="4"/>
        <v>1E-4</v>
      </c>
      <c r="O14" s="2">
        <f t="shared" si="5"/>
        <v>20154.801776718334</v>
      </c>
      <c r="P14" s="2">
        <f t="shared" si="6"/>
        <v>19975.165960527425</v>
      </c>
      <c r="Q14" s="2">
        <f t="shared" si="7"/>
        <v>19858.630832739454</v>
      </c>
      <c r="R14" s="2">
        <f t="shared" si="8"/>
        <v>19441.022824427346</v>
      </c>
      <c r="S14" s="2">
        <f t="shared" si="9"/>
        <v>16927.590153443285</v>
      </c>
      <c r="T14" s="2">
        <f t="shared" si="10"/>
        <v>6261.1865041448682</v>
      </c>
      <c r="U14" s="2">
        <f t="shared" si="11"/>
        <v>2698.7505232298959</v>
      </c>
      <c r="Z14" s="2">
        <v>1E-4</v>
      </c>
      <c r="AA14" s="3">
        <f>IF('Modell einstellen'!$B$2="Ja",'creep_res-40'!P14,'creep_res-40'!L14)</f>
        <v>0.35453811966341159</v>
      </c>
      <c r="AB14" s="2">
        <f>IF('Modell einstellen'!$B$2="Ja",creep_res0!P14,creep_res0!L14)</f>
        <v>0.354499224643958</v>
      </c>
      <c r="AC14" s="2">
        <f>IF('Modell einstellen'!$B$2="Ja",creep_res25!P14,creep_res25!L14)</f>
        <v>0.35448062287287818</v>
      </c>
      <c r="AD14" s="2">
        <f>IF('Modell einstellen'!$B$2="Ja",creep_res50!P14,creep_res50!L14)</f>
        <v>0.35881882566446083</v>
      </c>
      <c r="AE14" s="2">
        <f>IF('Modell einstellen'!$B$2="Ja",creep_res80!P14,creep_res80!L14)</f>
        <v>0.39646865319836666</v>
      </c>
      <c r="AF14" s="2">
        <f>IF('Modell einstellen'!$B$2="Ja",creep_res125!P14,creep_res125!L14)</f>
        <v>0.70869747499586222</v>
      </c>
      <c r="AG14" s="2">
        <f>IF('Modell einstellen'!$B$2="Ja",creep_res160!P14,creep_res160!L14)</f>
        <v>0.86991542871510341</v>
      </c>
      <c r="AL14" s="2">
        <f t="shared" si="12"/>
        <v>1E-4</v>
      </c>
      <c r="AM14" s="2">
        <f t="shared" si="13"/>
        <v>7439.7322172544646</v>
      </c>
      <c r="AN14" s="2">
        <f t="shared" si="14"/>
        <v>7373.6350664128558</v>
      </c>
      <c r="AO14" s="2">
        <f t="shared" si="15"/>
        <v>7330.7179509954649</v>
      </c>
      <c r="AP14" s="2">
        <f t="shared" si="16"/>
        <v>7153.647880511483</v>
      </c>
      <c r="AQ14" s="2">
        <f t="shared" si="17"/>
        <v>6060.8557573682765</v>
      </c>
      <c r="AR14" s="2">
        <f t="shared" si="18"/>
        <v>1832.1518571214692</v>
      </c>
      <c r="AS14" s="2">
        <f t="shared" si="19"/>
        <v>721.62368462950201</v>
      </c>
      <c r="AX14" s="2">
        <f t="shared" si="28"/>
        <v>1E-4</v>
      </c>
      <c r="AY14" s="37">
        <f t="shared" si="20"/>
        <v>23092.879190618602</v>
      </c>
      <c r="AZ14" s="37">
        <f t="shared" si="21"/>
        <v>22880.93873457372</v>
      </c>
      <c r="BA14" s="37">
        <f t="shared" si="22"/>
        <v>22744.543515776928</v>
      </c>
      <c r="BB14" s="37">
        <f t="shared" si="23"/>
        <v>22950.442833384557</v>
      </c>
      <c r="BC14" s="37">
        <f t="shared" si="24"/>
        <v>27250.346032679754</v>
      </c>
      <c r="BD14" s="37">
        <f t="shared" si="25"/>
        <v>-5000.2094373438613</v>
      </c>
      <c r="BE14" s="37">
        <f t="shared" si="26"/>
        <v>-1215.9313155279717</v>
      </c>
    </row>
    <row r="15" spans="1:308" x14ac:dyDescent="0.25">
      <c r="A15" s="2">
        <f>'creep_res-40'!A15</f>
        <v>1E-3</v>
      </c>
      <c r="B15" s="3">
        <f>'creep_res-40'!O15</f>
        <v>-4.9615971999999997E-4</v>
      </c>
      <c r="C15" s="2">
        <f>IF('Modell einstellen'!$B$2="Ja",creep_res0!O15,creep_res0!C15)</f>
        <v>-5.006231028571429E-4</v>
      </c>
      <c r="D15" s="2">
        <f>IF('Modell einstellen'!$B$2="Ja",creep_res25!O15,creep_res25!C15)</f>
        <v>-5.0369704571428576E-4</v>
      </c>
      <c r="E15" s="2">
        <f>IF('Modell einstellen'!$B$2="Ja",creep_res50!O15,creep_res50!C15)</f>
        <v>-5.2294328571428578E-4</v>
      </c>
      <c r="F15" s="2">
        <f>IF('Modell einstellen'!$B$2="Ja",creep_res80!O15,creep_res80!C15)</f>
        <v>-6.1450165714285721E-4</v>
      </c>
      <c r="G15" s="2">
        <f>IF('Modell einstellen'!$B$2="Ja",creep_res125!O15,creep_res125!C15)</f>
        <v>-2.500001942857143E-3</v>
      </c>
      <c r="H15" s="2">
        <f>IF('Modell einstellen'!$B$2="Ja",creep_res160!O15,creep_res160!C15)</f>
        <v>-6.4069080000000002E-3</v>
      </c>
      <c r="M15" s="9">
        <f t="shared" si="27"/>
        <v>-10</v>
      </c>
      <c r="N15" s="2">
        <f t="shared" si="4"/>
        <v>1E-3</v>
      </c>
      <c r="O15" s="2">
        <f t="shared" si="5"/>
        <v>20154.800151854328</v>
      </c>
      <c r="P15" s="2">
        <f t="shared" si="6"/>
        <v>19975.106907628244</v>
      </c>
      <c r="Q15" s="2">
        <f t="shared" si="7"/>
        <v>19853.203597450407</v>
      </c>
      <c r="R15" s="2">
        <f t="shared" si="8"/>
        <v>19122.532544501544</v>
      </c>
      <c r="S15" s="2">
        <f t="shared" si="9"/>
        <v>16273.34911755207</v>
      </c>
      <c r="T15" s="2">
        <f t="shared" si="10"/>
        <v>3999.996891430987</v>
      </c>
      <c r="U15" s="2">
        <f t="shared" si="11"/>
        <v>1560.8152949909691</v>
      </c>
      <c r="Z15" s="2">
        <v>1E-3</v>
      </c>
      <c r="AA15" s="3">
        <f>IF('Modell einstellen'!$B$2="Ja",'creep_res-40'!P15,'creep_res-40'!L15)</f>
        <v>0.3545381371489465</v>
      </c>
      <c r="AB15" s="2">
        <f>IF('Modell einstellen'!$B$2="Ja",creep_res0!P15,creep_res0!L15)</f>
        <v>0.35450008282820761</v>
      </c>
      <c r="AC15" s="2">
        <f>IF('Modell einstellen'!$B$2="Ja",creep_res25!P15,creep_res25!L15)</f>
        <v>0.35455947482626826</v>
      </c>
      <c r="AD15" s="2">
        <f>IF('Modell einstellen'!$B$2="Ja",creep_res50!P15,creep_res50!L15)</f>
        <v>0.36355815694845905</v>
      </c>
      <c r="AE15" s="2">
        <f>IF('Modell einstellen'!$B$2="Ja",creep_res80!P15,creep_res80!L15)</f>
        <v>0.40852174849418049</v>
      </c>
      <c r="AF15" s="2">
        <f>IF('Modell einstellen'!$B$2="Ja",creep_res125!P15,creep_res125!L15)</f>
        <v>0.80972430787139493</v>
      </c>
      <c r="AG15" s="2">
        <f>IF('Modell einstellen'!$B$2="Ja",creep_res160!P15,creep_res160!L15)</f>
        <v>0.92823540733577847</v>
      </c>
      <c r="AL15" s="2">
        <f t="shared" si="12"/>
        <v>1E-3</v>
      </c>
      <c r="AM15" s="2">
        <f t="shared" si="13"/>
        <v>7439.7315214307937</v>
      </c>
      <c r="AN15" s="2">
        <f t="shared" si="14"/>
        <v>7373.6085958444728</v>
      </c>
      <c r="AO15" s="2">
        <f t="shared" si="15"/>
        <v>7328.2878922672335</v>
      </c>
      <c r="AP15" s="2">
        <f t="shared" si="16"/>
        <v>7011.9974153857656</v>
      </c>
      <c r="AQ15" s="2">
        <f t="shared" si="17"/>
        <v>5776.7475493188331</v>
      </c>
      <c r="AR15" s="2">
        <f t="shared" si="18"/>
        <v>1105.139847553852</v>
      </c>
      <c r="AS15" s="2">
        <f t="shared" si="19"/>
        <v>404.72633399765499</v>
      </c>
      <c r="AX15" s="2">
        <f t="shared" si="28"/>
        <v>1E-3</v>
      </c>
      <c r="AY15" s="37">
        <f t="shared" si="20"/>
        <v>23092.880104814769</v>
      </c>
      <c r="AZ15" s="37">
        <f t="shared" si="21"/>
        <v>22881.006046717706</v>
      </c>
      <c r="BA15" s="37">
        <f t="shared" si="22"/>
        <v>22750.655378129468</v>
      </c>
      <c r="BB15" s="37">
        <f t="shared" si="23"/>
        <v>23358.587704015405</v>
      </c>
      <c r="BC15" s="37">
        <f t="shared" si="24"/>
        <v>29648.848860571012</v>
      </c>
      <c r="BD15" s="37">
        <f t="shared" si="25"/>
        <v>-2152.4502004816723</v>
      </c>
      <c r="BE15" s="37">
        <f t="shared" si="26"/>
        <v>-607.46000457295872</v>
      </c>
    </row>
    <row r="16" spans="1:308" x14ac:dyDescent="0.25">
      <c r="A16" s="2">
        <f>'creep_res-40'!A16</f>
        <v>0.01</v>
      </c>
      <c r="B16" s="3">
        <f>'creep_res-40'!O16</f>
        <v>-4.9616012E-4</v>
      </c>
      <c r="C16" s="2">
        <f>IF('Modell einstellen'!$B$2="Ja",creep_res0!O16,creep_res0!C16)</f>
        <v>-5.0063787428571431E-4</v>
      </c>
      <c r="D16" s="2">
        <f>IF('Modell einstellen'!$B$2="Ja",creep_res25!O16,creep_res25!C16)</f>
        <v>-5.0497592000000007E-4</v>
      </c>
      <c r="E16" s="2">
        <f>IF('Modell einstellen'!$B$2="Ja",creep_res50!O16,creep_res50!C16)</f>
        <v>-5.328277314285714E-4</v>
      </c>
      <c r="F16" s="2">
        <f>IF('Modell einstellen'!$B$2="Ja",creep_res80!O16,creep_res80!C16)</f>
        <v>-6.4009560000000002E-4</v>
      </c>
      <c r="G16" s="2">
        <f>IF('Modell einstellen'!$B$2="Ja",creep_res125!O16,creep_res125!C16)</f>
        <v>-4.1989545142857142E-3</v>
      </c>
      <c r="H16" s="2">
        <f>IF('Modell einstellen'!$B$2="Ja",creep_res160!O16,creep_res160!C16)</f>
        <v>-9.6377394285714294E-3</v>
      </c>
      <c r="M16" s="9">
        <f t="shared" si="27"/>
        <v>-10</v>
      </c>
      <c r="N16" s="2">
        <f t="shared" si="4"/>
        <v>0.01</v>
      </c>
      <c r="O16" s="2">
        <f t="shared" si="5"/>
        <v>20154.783903228661</v>
      </c>
      <c r="P16" s="2">
        <f t="shared" si="6"/>
        <v>19974.517537786192</v>
      </c>
      <c r="Q16" s="2">
        <f t="shared" si="7"/>
        <v>19802.92446420019</v>
      </c>
      <c r="R16" s="2">
        <f t="shared" si="8"/>
        <v>18767.791933781053</v>
      </c>
      <c r="S16" s="2">
        <f t="shared" si="9"/>
        <v>15622.666364211846</v>
      </c>
      <c r="T16" s="2">
        <f t="shared" si="10"/>
        <v>2381.5452074981822</v>
      </c>
      <c r="U16" s="2">
        <f t="shared" si="11"/>
        <v>1037.5877117360774</v>
      </c>
      <c r="Z16" s="2">
        <v>0.01</v>
      </c>
      <c r="AA16" s="3">
        <f>IF('Modell einstellen'!$B$2="Ja",'creep_res-40'!P16,'creep_res-40'!L16)</f>
        <v>0.35453838110625602</v>
      </c>
      <c r="AB16" s="2">
        <f>IF('Modell einstellen'!$B$2="Ja",creep_res0!P16,creep_res0!L16)</f>
        <v>0.35450863896742107</v>
      </c>
      <c r="AC16" s="2">
        <f>IF('Modell einstellen'!$B$2="Ja",creep_res25!P16,creep_res25!L16)</f>
        <v>0.35529081975122406</v>
      </c>
      <c r="AD16" s="2">
        <f>IF('Modell einstellen'!$B$2="Ja",creep_res50!P16,creep_res50!L16)</f>
        <v>0.36895837028130662</v>
      </c>
      <c r="AE16" s="2">
        <f>IF('Modell einstellen'!$B$2="Ja",creep_res80!P16,creep_res80!L16)</f>
        <v>0.42133617005245555</v>
      </c>
      <c r="AF16" s="2">
        <f>IF('Modell einstellen'!$B$2="Ja",creep_res125!P16,creep_res125!L16)</f>
        <v>0.88736300943701596</v>
      </c>
      <c r="AG16" s="2">
        <f>IF('Modell einstellen'!$B$2="Ja",creep_res160!P16,creep_res160!L16)</f>
        <v>0.95718237187096167</v>
      </c>
      <c r="AL16" s="2">
        <f t="shared" si="12"/>
        <v>0.01</v>
      </c>
      <c r="AM16" s="2">
        <f t="shared" si="13"/>
        <v>7439.7241836618095</v>
      </c>
      <c r="AN16" s="2">
        <f t="shared" si="14"/>
        <v>7373.3444598084343</v>
      </c>
      <c r="AO16" s="2">
        <f t="shared" si="15"/>
        <v>7305.7841813741479</v>
      </c>
      <c r="AP16" s="2">
        <f t="shared" si="16"/>
        <v>6854.7708758756735</v>
      </c>
      <c r="AQ16" s="2">
        <f t="shared" si="17"/>
        <v>5495.7675366958674</v>
      </c>
      <c r="AR16" s="2">
        <f t="shared" si="18"/>
        <v>630.91869332772831</v>
      </c>
      <c r="AS16" s="2">
        <f t="shared" si="19"/>
        <v>265.07180083177406</v>
      </c>
      <c r="AX16" s="2">
        <f t="shared" si="28"/>
        <v>0.01</v>
      </c>
      <c r="AY16" s="37">
        <f t="shared" si="20"/>
        <v>23092.900217148483</v>
      </c>
      <c r="AZ16" s="37">
        <f t="shared" si="21"/>
        <v>22881.676497288649</v>
      </c>
      <c r="BA16" s="37">
        <f t="shared" si="22"/>
        <v>22807.726538330313</v>
      </c>
      <c r="BB16" s="37">
        <f t="shared" si="23"/>
        <v>23870.012369440417</v>
      </c>
      <c r="BC16" s="37">
        <f t="shared" si="24"/>
        <v>33100.063003605632</v>
      </c>
      <c r="BD16" s="37">
        <f t="shared" si="25"/>
        <v>-1024.6827693397393</v>
      </c>
      <c r="BE16" s="37">
        <f t="shared" si="26"/>
        <v>-378.25449083184589</v>
      </c>
    </row>
    <row r="17" spans="1:57" x14ac:dyDescent="0.25">
      <c r="A17" s="2">
        <f>'creep_res-40'!A17</f>
        <v>0.1</v>
      </c>
      <c r="B17" s="3">
        <f>'creep_res-40'!O17</f>
        <v>-4.9616414285714289E-4</v>
      </c>
      <c r="C17" s="2">
        <f>IF('Modell einstellen'!$B$2="Ja",creep_res0!O17,creep_res0!C17)</f>
        <v>-5.0078442857142856E-4</v>
      </c>
      <c r="D17" s="2">
        <f>IF('Modell einstellen'!$B$2="Ja",creep_res25!O17,creep_res25!C17)</f>
        <v>-5.1173175428571437E-4</v>
      </c>
      <c r="E17" s="2">
        <f>IF('Modell einstellen'!$B$2="Ja",creep_res50!O17,creep_res50!C17)</f>
        <v>-5.4514910857142852E-4</v>
      </c>
      <c r="F17" s="2">
        <f>IF('Modell einstellen'!$B$2="Ja",creep_res80!O17,creep_res80!C17)</f>
        <v>-6.7092542857142862E-4</v>
      </c>
      <c r="G17" s="2">
        <f>IF('Modell einstellen'!$B$2="Ja",creep_res125!O17,creep_res125!C17)</f>
        <v>-7.2816897142857148E-3</v>
      </c>
      <c r="H17" s="2">
        <f>IF('Modell einstellen'!$B$2="Ja",creep_res160!O17,creep_res160!C17)</f>
        <v>-1.1343958857142858E-2</v>
      </c>
      <c r="M17" s="9">
        <f t="shared" si="27"/>
        <v>-10</v>
      </c>
      <c r="N17" s="2">
        <f t="shared" si="4"/>
        <v>0.1</v>
      </c>
      <c r="O17" s="2">
        <f t="shared" si="5"/>
        <v>20154.620489935787</v>
      </c>
      <c r="P17" s="2">
        <f t="shared" si="6"/>
        <v>19968.672006289562</v>
      </c>
      <c r="Q17" s="2">
        <f t="shared" si="7"/>
        <v>19541.4881258604</v>
      </c>
      <c r="R17" s="2">
        <f t="shared" si="8"/>
        <v>18343.605158238544</v>
      </c>
      <c r="S17" s="2">
        <f t="shared" si="9"/>
        <v>14904.786097156208</v>
      </c>
      <c r="T17" s="2">
        <f t="shared" si="10"/>
        <v>1373.307623968283</v>
      </c>
      <c r="U17" s="2">
        <f t="shared" si="11"/>
        <v>881.52646936861743</v>
      </c>
      <c r="Z17" s="2">
        <v>0.1</v>
      </c>
      <c r="AA17" s="3">
        <f>IF('Modell einstellen'!$B$2="Ja",'creep_res-40'!P17,'creep_res-40'!L17)</f>
        <v>0.3545407582571321</v>
      </c>
      <c r="AB17" s="2">
        <f>IF('Modell einstellen'!$B$2="Ja",creep_res0!P17,creep_res0!L17)</f>
        <v>0.35459347634896232</v>
      </c>
      <c r="AC17" s="2">
        <f>IF('Modell einstellen'!$B$2="Ja",creep_res25!P17,creep_res25!L17)</f>
        <v>0.35912723783399148</v>
      </c>
      <c r="AD17" s="2">
        <f>IF('Modell einstellen'!$B$2="Ja",creep_res50!P17,creep_res50!L17)</f>
        <v>0.37563210753117782</v>
      </c>
      <c r="AE17" s="2">
        <f>IF('Modell einstellen'!$B$2="Ja",creep_res80!P17,creep_res80!L17)</f>
        <v>0.43630140713956289</v>
      </c>
      <c r="AF17" s="2">
        <f>IF('Modell einstellen'!$B$2="Ja",creep_res125!P17,creep_res125!L17)</f>
        <v>0.93812660593612618</v>
      </c>
      <c r="AG17" s="2">
        <f>IF('Modell einstellen'!$B$2="Ja",creep_res160!P17,creep_res160!L17)</f>
        <v>0.9641790459848536</v>
      </c>
      <c r="AL17" s="2">
        <f t="shared" si="12"/>
        <v>0.1</v>
      </c>
      <c r="AM17" s="2">
        <f t="shared" si="13"/>
        <v>7439.6508067680606</v>
      </c>
      <c r="AN17" s="2">
        <f t="shared" si="14"/>
        <v>7370.7250016112393</v>
      </c>
      <c r="AO17" s="2">
        <f t="shared" si="15"/>
        <v>7188.9840707641179</v>
      </c>
      <c r="AP17" s="2">
        <f t="shared" si="16"/>
        <v>6667.3368038637464</v>
      </c>
      <c r="AQ17" s="2">
        <f t="shared" si="17"/>
        <v>5188.5996988750203</v>
      </c>
      <c r="AR17" s="2">
        <f t="shared" si="18"/>
        <v>354.28738756335468</v>
      </c>
      <c r="AS17" s="2">
        <f t="shared" si="19"/>
        <v>224.4007416662501</v>
      </c>
      <c r="AX17" s="2">
        <f t="shared" si="28"/>
        <v>0.1</v>
      </c>
      <c r="AY17" s="37">
        <f t="shared" si="20"/>
        <v>23093.090371853257</v>
      </c>
      <c r="AZ17" s="37">
        <f t="shared" si="21"/>
        <v>22888.326585920066</v>
      </c>
      <c r="BA17" s="37">
        <f t="shared" si="22"/>
        <v>23119.548715921093</v>
      </c>
      <c r="BB17" s="37">
        <f t="shared" si="23"/>
        <v>24582.450226367855</v>
      </c>
      <c r="BC17" s="37">
        <f t="shared" si="24"/>
        <v>38998.208667425417</v>
      </c>
      <c r="BD17" s="37">
        <f t="shared" si="25"/>
        <v>-522.41658208742194</v>
      </c>
      <c r="BE17" s="37">
        <f t="shared" si="26"/>
        <v>-316.51811838334686</v>
      </c>
    </row>
    <row r="18" spans="1:57" x14ac:dyDescent="0.25">
      <c r="A18" s="2">
        <f>'creep_res-40'!A18</f>
        <v>1</v>
      </c>
      <c r="B18" s="3">
        <f>'creep_res-40'!O18</f>
        <v>-4.9620426857142864E-4</v>
      </c>
      <c r="C18" s="2">
        <f>IF('Modell einstellen'!$B$2="Ja",creep_res0!O18,creep_res0!C18)</f>
        <v>-5.0213963428571431E-4</v>
      </c>
      <c r="D18" s="2">
        <f>IF('Modell einstellen'!$B$2="Ja",creep_res25!O18,creep_res25!C18)</f>
        <v>-5.2032943428571431E-4</v>
      </c>
      <c r="E18" s="2">
        <f>IF('Modell einstellen'!$B$2="Ja",creep_res50!O18,creep_res50!C18)</f>
        <v>-5.598790057142857E-4</v>
      </c>
      <c r="F18" s="2">
        <f>IF('Modell einstellen'!$B$2="Ja",creep_res80!O18,creep_res80!C18)</f>
        <v>-7.0998982857142855E-4</v>
      </c>
      <c r="G18" s="2">
        <f>IF('Modell einstellen'!$B$2="Ja",creep_res125!O18,creep_res125!C18)</f>
        <v>-1.0303910857142858E-2</v>
      </c>
      <c r="H18" s="2">
        <f>IF('Modell einstellen'!$B$2="Ja",creep_res160!O18,creep_res160!C18)</f>
        <v>-1.2617024571428574E-2</v>
      </c>
      <c r="M18" s="9">
        <f t="shared" si="27"/>
        <v>-10</v>
      </c>
      <c r="N18" s="2">
        <f t="shared" si="4"/>
        <v>1</v>
      </c>
      <c r="O18" s="2">
        <f t="shared" si="5"/>
        <v>20152.99068020915</v>
      </c>
      <c r="P18" s="2">
        <f t="shared" si="6"/>
        <v>19914.779310788406</v>
      </c>
      <c r="Q18" s="2">
        <f t="shared" si="7"/>
        <v>19218.593723661947</v>
      </c>
      <c r="R18" s="2">
        <f t="shared" si="8"/>
        <v>17861.001927089837</v>
      </c>
      <c r="S18" s="2">
        <f t="shared" si="9"/>
        <v>14084.708819168596</v>
      </c>
      <c r="T18" s="2">
        <f t="shared" si="10"/>
        <v>970.50529052935451</v>
      </c>
      <c r="U18" s="2">
        <f t="shared" si="11"/>
        <v>792.579894204624</v>
      </c>
      <c r="Z18" s="2">
        <v>1</v>
      </c>
      <c r="AA18" s="3">
        <f>IF('Modell einstellen'!$B$2="Ja",'creep_res-40'!P18,'creep_res-40'!L18)</f>
        <v>0.35456448598294432</v>
      </c>
      <c r="AB18" s="2">
        <f>IF('Modell einstellen'!$B$2="Ja",creep_res0!P18,creep_res0!L18)</f>
        <v>0.35537643735204172</v>
      </c>
      <c r="AC18" s="2">
        <f>IF('Modell einstellen'!$B$2="Ja",creep_res25!P18,creep_res25!L18)</f>
        <v>0.36392472940027848</v>
      </c>
      <c r="AD18" s="2">
        <f>IF('Modell einstellen'!$B$2="Ja",creep_res50!P18,creep_res50!L18)</f>
        <v>0.38288574717153689</v>
      </c>
      <c r="AE18" s="2">
        <f>IF('Modell einstellen'!$B$2="Ja",creep_res80!P18,creep_res80!L18)</f>
        <v>0.45317760689046493</v>
      </c>
      <c r="AF18" s="2">
        <f>IF('Modell einstellen'!$B$2="Ja",creep_res125!P18,creep_res125!L18)</f>
        <v>0.9549020055852302</v>
      </c>
      <c r="AG18" s="2">
        <f>IF('Modell einstellen'!$B$2="Ja",creep_res160!P18,creep_res160!L18)</f>
        <v>0.95706486016422332</v>
      </c>
      <c r="AL18" s="2">
        <f t="shared" si="12"/>
        <v>1</v>
      </c>
      <c r="AM18" s="2">
        <f t="shared" si="13"/>
        <v>7438.9188882303606</v>
      </c>
      <c r="AN18" s="2">
        <f t="shared" si="14"/>
        <v>7346.5860708392247</v>
      </c>
      <c r="AO18" s="2">
        <f t="shared" si="15"/>
        <v>7045.3278356909095</v>
      </c>
      <c r="AP18" s="2">
        <f t="shared" si="16"/>
        <v>6457.8733144157241</v>
      </c>
      <c r="AQ18" s="2">
        <f t="shared" si="17"/>
        <v>4846.1759775211867</v>
      </c>
      <c r="AR18" s="2">
        <f t="shared" si="18"/>
        <v>248.22351395532451</v>
      </c>
      <c r="AS18" s="2">
        <f t="shared" si="19"/>
        <v>202.49198438372559</v>
      </c>
      <c r="AX18" s="2">
        <f t="shared" si="28"/>
        <v>1</v>
      </c>
      <c r="AY18" s="37">
        <f t="shared" si="20"/>
        <v>23094.990262426258</v>
      </c>
      <c r="AZ18" s="37">
        <f t="shared" si="21"/>
        <v>22950.132221613188</v>
      </c>
      <c r="BA18" s="37">
        <f t="shared" si="22"/>
        <v>23539.170194751117</v>
      </c>
      <c r="BB18" s="37">
        <f t="shared" si="23"/>
        <v>25418.201308726548</v>
      </c>
      <c r="BC18" s="37">
        <f t="shared" si="24"/>
        <v>50135.230473373435</v>
      </c>
      <c r="BD18" s="37">
        <f t="shared" si="25"/>
        <v>-355.57302401162281</v>
      </c>
      <c r="BE18" s="37">
        <f t="shared" si="26"/>
        <v>-289.01073030782044</v>
      </c>
    </row>
    <row r="19" spans="1:57" x14ac:dyDescent="0.25">
      <c r="A19" s="2">
        <f>'creep_res-40'!A19</f>
        <v>10</v>
      </c>
      <c r="B19" s="3">
        <f>'creep_res-40'!O19</f>
        <v>-4.9659688571428574E-4</v>
      </c>
      <c r="C19" s="2">
        <f>IF('Modell einstellen'!$B$2="Ja",creep_res0!O19,creep_res0!C19)</f>
        <v>-5.0906977142857143E-4</v>
      </c>
      <c r="D19" s="2">
        <f>IF('Modell einstellen'!$B$2="Ja",creep_res25!O19,creep_res25!C19)</f>
        <v>-5.3060416571428578E-4</v>
      </c>
      <c r="E19" s="2">
        <f>IF('Modell einstellen'!$B$2="Ja",creep_res50!O19,creep_res50!C19)</f>
        <v>-5.7975125714285723E-4</v>
      </c>
      <c r="F19" s="2">
        <f>IF('Modell einstellen'!$B$2="Ja",creep_res80!O19,creep_res80!C19)</f>
        <v>-7.8814565714285714E-4</v>
      </c>
      <c r="G19" s="2">
        <f>IF('Modell einstellen'!$B$2="Ja",creep_res125!O19,creep_res125!C19)</f>
        <v>-1.2012539428571429E-2</v>
      </c>
      <c r="H19" s="2">
        <f>IF('Modell einstellen'!$B$2="Ja",creep_res160!O19,creep_res160!C19)</f>
        <v>-1.3739041142857143E-2</v>
      </c>
      <c r="M19" s="9">
        <f t="shared" si="27"/>
        <v>-10</v>
      </c>
      <c r="N19" s="2">
        <f t="shared" si="4"/>
        <v>10</v>
      </c>
      <c r="O19" s="2">
        <f t="shared" si="5"/>
        <v>20137.057415526051</v>
      </c>
      <c r="P19" s="2">
        <f t="shared" si="6"/>
        <v>19643.672756167805</v>
      </c>
      <c r="Q19" s="2">
        <f t="shared" si="7"/>
        <v>18846.440804960992</v>
      </c>
      <c r="R19" s="2">
        <f t="shared" si="8"/>
        <v>17248.776741394606</v>
      </c>
      <c r="S19" s="2">
        <f t="shared" si="9"/>
        <v>12688.010026283031</v>
      </c>
      <c r="T19" s="2">
        <f t="shared" si="10"/>
        <v>832.46344867058917</v>
      </c>
      <c r="U19" s="2">
        <f t="shared" si="11"/>
        <v>727.85283165113367</v>
      </c>
      <c r="Z19" s="2">
        <v>10</v>
      </c>
      <c r="AA19" s="3">
        <f>IF('Modell einstellen'!$B$2="Ja",'creep_res-40'!P19,'creep_res-40'!L19)</f>
        <v>0.3547965636514262</v>
      </c>
      <c r="AB19" s="2">
        <f>IF('Modell einstellen'!$B$2="Ja",creep_res0!P19,creep_res0!L19)</f>
        <v>0.3593396515616552</v>
      </c>
      <c r="AC19" s="2">
        <f>IF('Modell einstellen'!$B$2="Ja",creep_res25!P19,creep_res25!L19)</f>
        <v>0.36941035700662039</v>
      </c>
      <c r="AD19" s="2">
        <f>IF('Modell einstellen'!$B$2="Ja",creep_res50!P19,creep_res50!L19)</f>
        <v>0.39167245814880008</v>
      </c>
      <c r="AE19" s="2">
        <f>IF('Modell einstellen'!$B$2="Ja",creep_res80!P19,creep_res80!L19)</f>
        <v>0.47277064594804052</v>
      </c>
      <c r="AF19" s="2">
        <f>IF('Modell einstellen'!$B$2="Ja",creep_res125!P19,creep_res125!L19)</f>
        <v>0.93979809859640007</v>
      </c>
      <c r="AG19" s="2">
        <f>IF('Modell einstellen'!$B$2="Ja",creep_res160!P19,creep_res160!L19)</f>
        <v>0.91703954220635575</v>
      </c>
      <c r="AL19" s="2">
        <f t="shared" si="12"/>
        <v>10</v>
      </c>
      <c r="AM19" s="2">
        <f t="shared" si="13"/>
        <v>7431.7642795214106</v>
      </c>
      <c r="AN19" s="2">
        <f t="shared" si="14"/>
        <v>7225.4468313347925</v>
      </c>
      <c r="AO19" s="2">
        <f t="shared" si="15"/>
        <v>6881.2247214769232</v>
      </c>
      <c r="AP19" s="2">
        <f t="shared" si="16"/>
        <v>6197.1395066404111</v>
      </c>
      <c r="AQ19" s="2">
        <f t="shared" si="17"/>
        <v>4307.5308640863095</v>
      </c>
      <c r="AR19" s="2">
        <f t="shared" si="18"/>
        <v>214.57476664013214</v>
      </c>
      <c r="AS19" s="2">
        <f t="shared" si="19"/>
        <v>189.83771999127222</v>
      </c>
      <c r="AX19" s="2">
        <f t="shared" si="28"/>
        <v>10</v>
      </c>
      <c r="AY19" s="37">
        <f t="shared" si="20"/>
        <v>23113.614390393683</v>
      </c>
      <c r="AZ19" s="37">
        <f t="shared" si="21"/>
        <v>23275.539238382869</v>
      </c>
      <c r="BA19" s="37">
        <f t="shared" si="22"/>
        <v>24053.006007932338</v>
      </c>
      <c r="BB19" s="37">
        <f t="shared" si="23"/>
        <v>26537.998319158982</v>
      </c>
      <c r="BC19" s="37">
        <f t="shared" si="24"/>
        <v>77661.347885028619</v>
      </c>
      <c r="BD19" s="37">
        <f t="shared" si="25"/>
        <v>-315.47182344480592</v>
      </c>
      <c r="BE19" s="37">
        <f t="shared" si="26"/>
        <v>-290.88082303515483</v>
      </c>
    </row>
    <row r="20" spans="1:57" x14ac:dyDescent="0.25">
      <c r="A20" s="2">
        <f>'creep_res-40'!A20</f>
        <v>100</v>
      </c>
      <c r="B20" s="3">
        <f>'creep_res-40'!O20</f>
        <v>-4.9978220571428582E-4</v>
      </c>
      <c r="C20" s="2">
        <f>IF('Modell einstellen'!$B$2="Ja",creep_res0!O20,creep_res0!C20)</f>
        <v>-5.1808074285714285E-4</v>
      </c>
      <c r="D20" s="2">
        <f>IF('Modell einstellen'!$B$2="Ja",creep_res25!O20,creep_res25!C20)</f>
        <v>-5.4780842285714285E-4</v>
      </c>
      <c r="E20" s="2">
        <f>IF('Modell einstellen'!$B$2="Ja",creep_res50!O20,creep_res50!C20)</f>
        <v>-6.2296308571428574E-4</v>
      </c>
      <c r="F20" s="2">
        <f>IF('Modell einstellen'!$B$2="Ja",creep_res80!O20,creep_res80!C20)</f>
        <v>-9.8329554285714305E-4</v>
      </c>
      <c r="G20" s="2">
        <f>IF('Modell einstellen'!$B$2="Ja",creep_res125!O20,creep_res125!C20)</f>
        <v>-1.4327210285714287E-2</v>
      </c>
      <c r="H20" s="2">
        <f>IF('Modell einstellen'!$B$2="Ja",creep_res160!O20,creep_res160!C20)</f>
        <v>-1.6347784571428572E-2</v>
      </c>
      <c r="M20" s="9">
        <f t="shared" si="27"/>
        <v>-10</v>
      </c>
      <c r="N20" s="2">
        <f t="shared" si="4"/>
        <v>100</v>
      </c>
      <c r="O20" s="2">
        <f t="shared" si="5"/>
        <v>20008.715567830306</v>
      </c>
      <c r="P20" s="2">
        <f t="shared" si="6"/>
        <v>19302.010618752975</v>
      </c>
      <c r="Q20" s="2">
        <f t="shared" si="7"/>
        <v>18254.556853733873</v>
      </c>
      <c r="R20" s="2">
        <f t="shared" si="8"/>
        <v>16052.315505234246</v>
      </c>
      <c r="S20" s="2">
        <f t="shared" si="9"/>
        <v>10169.882364098989</v>
      </c>
      <c r="T20" s="2">
        <f t="shared" si="10"/>
        <v>697.97258507268759</v>
      </c>
      <c r="U20" s="2">
        <f t="shared" si="11"/>
        <v>611.70368108943933</v>
      </c>
      <c r="Z20" s="2">
        <v>100</v>
      </c>
      <c r="AA20" s="3">
        <f>IF('Modell einstellen'!$B$2="Ja",'creep_res-40'!P20,'creep_res-40'!L20)</f>
        <v>0.35667109899733923</v>
      </c>
      <c r="AB20" s="2">
        <f>IF('Modell einstellen'!$B$2="Ja",creep_res0!P20,creep_res0!L20)</f>
        <v>0.36418424794899595</v>
      </c>
      <c r="AC20" s="2">
        <f>IF('Modell einstellen'!$B$2="Ja",creep_res25!P20,creep_res25!L20)</f>
        <v>0.3759834329569689</v>
      </c>
      <c r="AD20" s="2">
        <f>IF('Modell einstellen'!$B$2="Ja",creep_res50!P20,creep_res50!L20)</f>
        <v>0.40104710629953405</v>
      </c>
      <c r="AE20" s="2">
        <f>IF('Modell einstellen'!$B$2="Ja",creep_res80!P20,creep_res80!L20)</f>
        <v>0.48498347713740708</v>
      </c>
      <c r="AF20" s="2">
        <f>IF('Modell einstellen'!$B$2="Ja",creep_res125!P20,creep_res125!L20)</f>
        <v>0.87903931691536952</v>
      </c>
      <c r="AG20" s="2">
        <f>IF('Modell einstellen'!$B$2="Ja",creep_res160!P20,creep_res160!L20)</f>
        <v>0.80058075497027603</v>
      </c>
      <c r="AL20" s="2">
        <f t="shared" si="12"/>
        <v>100</v>
      </c>
      <c r="AM20" s="2">
        <f t="shared" si="13"/>
        <v>7374.1954046997607</v>
      </c>
      <c r="AN20" s="2">
        <f t="shared" si="14"/>
        <v>7074.5614632967963</v>
      </c>
      <c r="AO20" s="2">
        <f t="shared" si="15"/>
        <v>6633.2763958157147</v>
      </c>
      <c r="AP20" s="2">
        <f t="shared" si="16"/>
        <v>5728.6851502202007</v>
      </c>
      <c r="AQ20" s="2">
        <f t="shared" si="17"/>
        <v>3424.2409160347711</v>
      </c>
      <c r="AR20" s="2">
        <f t="shared" si="18"/>
        <v>185.72591291449908</v>
      </c>
      <c r="AS20" s="2">
        <f t="shared" si="19"/>
        <v>169.86288435020435</v>
      </c>
      <c r="AX20" s="2">
        <f t="shared" si="28"/>
        <v>100</v>
      </c>
      <c r="AY20" s="37">
        <f t="shared" si="20"/>
        <v>23266.667815375284</v>
      </c>
      <c r="AZ20" s="37">
        <f t="shared" si="21"/>
        <v>23686.514422745709</v>
      </c>
      <c r="BA20" s="37">
        <f t="shared" si="22"/>
        <v>24532.417037744013</v>
      </c>
      <c r="BB20" s="37">
        <f t="shared" si="23"/>
        <v>27036.96493846388</v>
      </c>
      <c r="BC20" s="37">
        <f t="shared" si="24"/>
        <v>112874.35909938901</v>
      </c>
      <c r="BD20" s="37">
        <f t="shared" si="25"/>
        <v>-306.90421543988464</v>
      </c>
      <c r="BE20" s="37">
        <f t="shared" si="26"/>
        <v>-339.17877917695796</v>
      </c>
    </row>
    <row r="21" spans="1:57" x14ac:dyDescent="0.25">
      <c r="A21" s="2">
        <f>'creep_res-40'!A21</f>
        <v>1000</v>
      </c>
      <c r="B21" s="3">
        <f>'creep_res-40'!O21</f>
        <v>-5.0802429142857142E-4</v>
      </c>
      <c r="C21" s="2">
        <f>IF('Modell einstellen'!$B$2="Ja",creep_res0!O21,creep_res0!C21)</f>
        <v>-5.3390951428571433E-4</v>
      </c>
      <c r="D21" s="2">
        <f>IF('Modell einstellen'!$B$2="Ja",creep_res25!O21,creep_res25!C21)</f>
        <v>-5.8892868571428576E-4</v>
      </c>
      <c r="E21" s="2">
        <f>IF('Modell einstellen'!$B$2="Ja",creep_res50!O21,creep_res50!C21)</f>
        <v>-7.2448354285714286E-4</v>
      </c>
      <c r="F21" s="2">
        <f>IF('Modell einstellen'!$B$2="Ja",creep_res80!O21,creep_res80!C21)</f>
        <v>-1.3697842857142858E-3</v>
      </c>
      <c r="G21" s="2">
        <f>IF('Modell einstellen'!$B$2="Ja",creep_res125!O21,creep_res125!C21)</f>
        <v>-1.8220335428571429E-2</v>
      </c>
      <c r="H21" s="2">
        <f>IF('Modell einstellen'!$B$2="Ja",creep_res160!O21,creep_res160!C21)</f>
        <v>-2.1261844000000002E-2</v>
      </c>
      <c r="M21" s="9">
        <f t="shared" si="27"/>
        <v>-10</v>
      </c>
      <c r="N21" s="2">
        <f t="shared" si="4"/>
        <v>1000</v>
      </c>
      <c r="O21" s="2">
        <f t="shared" si="5"/>
        <v>19684.098120347473</v>
      </c>
      <c r="P21" s="2">
        <f t="shared" si="6"/>
        <v>18729.765498519733</v>
      </c>
      <c r="Q21" s="2">
        <f t="shared" si="7"/>
        <v>16979.984576352294</v>
      </c>
      <c r="R21" s="2">
        <f t="shared" si="8"/>
        <v>13802.936034354956</v>
      </c>
      <c r="S21" s="2">
        <f t="shared" si="9"/>
        <v>7300.4195655416024</v>
      </c>
      <c r="T21" s="2">
        <f t="shared" si="10"/>
        <v>548.83731637118672</v>
      </c>
      <c r="U21" s="2">
        <f t="shared" si="11"/>
        <v>470.32609213010869</v>
      </c>
      <c r="Z21" s="2">
        <v>1000</v>
      </c>
      <c r="AA21" s="3">
        <f>IF('Modell einstellen'!$B$2="Ja",'creep_res-40'!P21,'creep_res-40'!L21)</f>
        <v>0.36144566360499458</v>
      </c>
      <c r="AB21" s="2">
        <f>IF('Modell einstellen'!$B$2="Ja",creep_res0!P21,creep_res0!L21)</f>
        <v>0.36965849697484854</v>
      </c>
      <c r="AC21" s="2">
        <f>IF('Modell einstellen'!$B$2="Ja",creep_res25!P21,creep_res25!L21)</f>
        <v>0.38227431271814427</v>
      </c>
      <c r="AD21" s="2">
        <f>IF('Modell einstellen'!$B$2="Ja",creep_res50!P21,creep_res50!L21)</f>
        <v>0.40576302551523996</v>
      </c>
      <c r="AE21" s="2">
        <f>IF('Modell einstellen'!$B$2="Ja",creep_res80!P21,creep_res80!L21)</f>
        <v>0.48525563462025828</v>
      </c>
      <c r="AF21" s="2">
        <f>IF('Modell einstellen'!$B$2="Ja",creep_res125!P21,creep_res125!L21)</f>
        <v>0.73576591204044639</v>
      </c>
      <c r="AG21" s="2">
        <f>IF('Modell einstellen'!$B$2="Ja",creep_res160!P21,creep_res160!L21)</f>
        <v>0.65266004209230388</v>
      </c>
      <c r="AL21" s="2">
        <f t="shared" si="12"/>
        <v>1000</v>
      </c>
      <c r="AM21" s="2">
        <f t="shared" si="13"/>
        <v>7229.1163160436472</v>
      </c>
      <c r="AN21" s="2">
        <f t="shared" si="14"/>
        <v>6837.385209483964</v>
      </c>
      <c r="AO21" s="2">
        <f t="shared" si="15"/>
        <v>6142.0459094556854</v>
      </c>
      <c r="AP21" s="2">
        <f t="shared" si="16"/>
        <v>4909.4106843846976</v>
      </c>
      <c r="AQ21" s="2">
        <f t="shared" si="17"/>
        <v>2457.6306581082695</v>
      </c>
      <c r="AR21" s="2">
        <f t="shared" si="18"/>
        <v>158.09658219581334</v>
      </c>
      <c r="AS21" s="2">
        <f t="shared" si="19"/>
        <v>142.29365996368665</v>
      </c>
      <c r="AX21" s="2">
        <f t="shared" si="28"/>
        <v>1000</v>
      </c>
      <c r="AY21" s="37">
        <f t="shared" si="20"/>
        <v>23677.952674862463</v>
      </c>
      <c r="AZ21" s="37">
        <f t="shared" si="21"/>
        <v>23949.605541101169</v>
      </c>
      <c r="BA21" s="37">
        <f t="shared" si="22"/>
        <v>24038.911937855533</v>
      </c>
      <c r="BB21" s="37">
        <f t="shared" si="23"/>
        <v>24411.748696698593</v>
      </c>
      <c r="BC21" s="37">
        <f t="shared" si="24"/>
        <v>82522.140690347413</v>
      </c>
      <c r="BD21" s="37">
        <f t="shared" si="25"/>
        <v>-387.9818132749063</v>
      </c>
      <c r="BE21" s="37">
        <f t="shared" si="26"/>
        <v>-513.47871353453911</v>
      </c>
    </row>
    <row r="22" spans="1:57" x14ac:dyDescent="0.25">
      <c r="A22" s="2">
        <f>'creep_res-40'!A22</f>
        <v>10000</v>
      </c>
      <c r="B22" s="3">
        <f>'creep_res-40'!O22</f>
        <v>-5.1786149714285715E-4</v>
      </c>
      <c r="C22" s="2">
        <f>IF('Modell einstellen'!$B$2="Ja",creep_res0!O22,creep_res0!C22)</f>
        <v>-5.7776177142857151E-4</v>
      </c>
      <c r="D22" s="2">
        <f>IF('Modell einstellen'!$B$2="Ja",creep_res25!O22,creep_res25!C22)</f>
        <v>-6.8474788571428575E-4</v>
      </c>
      <c r="E22" s="2">
        <f>IF('Modell einstellen'!$B$2="Ja",creep_res50!O22,creep_res50!C22)</f>
        <v>-8.7810862857142869E-4</v>
      </c>
      <c r="F22" s="2">
        <f>IF('Modell einstellen'!$B$2="Ja",creep_res80!O22,creep_res80!C22)</f>
        <v>-2.0932604000000001E-3</v>
      </c>
      <c r="G22" s="2">
        <f>IF('Modell einstellen'!$B$2="Ja",creep_res125!O22,creep_res125!C22)</f>
        <v>-2.3546590285714285E-2</v>
      </c>
      <c r="H22" s="2">
        <f>IF('Modell einstellen'!$B$2="Ja",creep_res160!O22,creep_res160!C22)</f>
        <v>-2.6506324000000001E-2</v>
      </c>
      <c r="M22" s="9">
        <f t="shared" si="27"/>
        <v>-10</v>
      </c>
      <c r="N22" s="2">
        <f t="shared" si="4"/>
        <v>10000</v>
      </c>
      <c r="O22" s="2">
        <f t="shared" si="5"/>
        <v>19310.182462245117</v>
      </c>
      <c r="P22" s="2">
        <f t="shared" si="6"/>
        <v>17308.171801111104</v>
      </c>
      <c r="Q22" s="2">
        <f t="shared" si="7"/>
        <v>14603.915117705887</v>
      </c>
      <c r="R22" s="2">
        <f t="shared" si="8"/>
        <v>11388.112671513923</v>
      </c>
      <c r="S22" s="2">
        <f t="shared" si="9"/>
        <v>4777.2365062655363</v>
      </c>
      <c r="T22" s="2">
        <f t="shared" si="10"/>
        <v>424.68993933559034</v>
      </c>
      <c r="U22" s="2">
        <f t="shared" si="11"/>
        <v>377.26845865160328</v>
      </c>
      <c r="Z22" s="2">
        <v>10000</v>
      </c>
      <c r="AA22" s="3">
        <f>IF('Modell einstellen'!$B$2="Ja",'creep_res-40'!P22,'creep_res-40'!L22)</f>
        <v>0.36660866917731405</v>
      </c>
      <c r="AB22" s="2">
        <f>IF('Modell einstellen'!$B$2="Ja",creep_res0!P22,creep_res0!L22)</f>
        <v>0.37592009994035108</v>
      </c>
      <c r="AC22" s="2">
        <f>IF('Modell einstellen'!$B$2="Ja",creep_res25!P22,creep_res25!L22)</f>
        <v>0.38734359624163656</v>
      </c>
      <c r="AD22" s="2">
        <f>IF('Modell einstellen'!$B$2="Ja",creep_res50!P22,creep_res50!L22)</f>
        <v>0.40431513159354637</v>
      </c>
      <c r="AE22" s="2">
        <f>IF('Modell einstellen'!$B$2="Ja",creep_res80!P22,creep_res80!L22)</f>
        <v>0.48274930343114508</v>
      </c>
      <c r="AF22" s="2">
        <f>IF('Modell einstellen'!$B$2="Ja",creep_res125!P22,creep_res125!L22)</f>
        <v>0.6030382124116096</v>
      </c>
      <c r="AG22" s="2">
        <f>IF('Modell einstellen'!$B$2="Ja",creep_res160!P22,creep_res160!L22)</f>
        <v>0.5497873747304336</v>
      </c>
      <c r="AL22" s="2">
        <f t="shared" si="12"/>
        <v>10000</v>
      </c>
      <c r="AM22" s="2">
        <f t="shared" si="13"/>
        <v>7065.0007195804155</v>
      </c>
      <c r="AN22" s="2">
        <f t="shared" si="14"/>
        <v>6289.6718355453368</v>
      </c>
      <c r="AO22" s="2">
        <f t="shared" si="15"/>
        <v>5263.2654078154883</v>
      </c>
      <c r="AP22" s="2">
        <f t="shared" si="16"/>
        <v>4054.6855956010618</v>
      </c>
      <c r="AQ22" s="2">
        <f t="shared" si="17"/>
        <v>1610.938712030013</v>
      </c>
      <c r="AR22" s="2">
        <f t="shared" si="18"/>
        <v>132.46407229952649</v>
      </c>
      <c r="AS22" s="2">
        <f t="shared" si="19"/>
        <v>121.71619952615258</v>
      </c>
      <c r="AX22" s="2">
        <f t="shared" si="28"/>
        <v>10000</v>
      </c>
      <c r="AY22" s="37">
        <f t="shared" si="20"/>
        <v>24127.233185682937</v>
      </c>
      <c r="AZ22" s="37">
        <f t="shared" si="21"/>
        <v>23248.691357733402</v>
      </c>
      <c r="BA22" s="37">
        <f t="shared" si="22"/>
        <v>21605.392785053158</v>
      </c>
      <c r="BB22" s="37">
        <f t="shared" si="23"/>
        <v>19836.143480107861</v>
      </c>
      <c r="BC22" s="37">
        <f t="shared" si="24"/>
        <v>46155.010680269632</v>
      </c>
      <c r="BD22" s="37">
        <f t="shared" si="25"/>
        <v>-686.94569615763794</v>
      </c>
      <c r="BE22" s="37">
        <f t="shared" si="26"/>
        <v>-1262.932154635145</v>
      </c>
    </row>
    <row r="23" spans="1:57" x14ac:dyDescent="0.25">
      <c r="A23" s="2">
        <f>'creep_res-40'!A23</f>
        <v>100000</v>
      </c>
      <c r="B23" s="3">
        <f>'creep_res-40'!O23</f>
        <v>-5.3859186857142859E-4</v>
      </c>
      <c r="C23" s="2">
        <f>IF('Modell einstellen'!$B$2="Ja",creep_res0!O23,creep_res0!C23)</f>
        <v>-6.7136982857142859E-4</v>
      </c>
      <c r="D23" s="2">
        <f>IF('Modell einstellen'!$B$2="Ja",creep_res25!O23,creep_res25!C23)</f>
        <v>-8.1817565714285714E-4</v>
      </c>
      <c r="E23" s="2">
        <f>IF('Modell einstellen'!$B$2="Ja",creep_res50!O23,creep_res50!C23)</f>
        <v>-1.0546606857142857E-3</v>
      </c>
      <c r="F23" s="2">
        <f>IF('Modell einstellen'!$B$2="Ja",creep_res80!O23,creep_res80!C23)</f>
        <v>-3.5947298857142863E-3</v>
      </c>
      <c r="G23" s="2">
        <f>IF('Modell einstellen'!$B$2="Ja",creep_res125!O23,creep_res125!C23)</f>
        <v>-2.8443946857142858E-2</v>
      </c>
      <c r="H23" s="2">
        <f>IF('Modell einstellen'!$B$2="Ja",creep_res160!O23,creep_res160!C23)</f>
        <v>-3.0733689142857148E-2</v>
      </c>
      <c r="M23" s="9">
        <f t="shared" si="27"/>
        <v>-10</v>
      </c>
      <c r="N23" s="2">
        <f t="shared" si="4"/>
        <v>100000</v>
      </c>
      <c r="O23" s="2">
        <f t="shared" si="5"/>
        <v>18566.934600264562</v>
      </c>
      <c r="P23" s="2">
        <f t="shared" si="6"/>
        <v>14894.920168334727</v>
      </c>
      <c r="Q23" s="2">
        <f t="shared" si="7"/>
        <v>12222.314258188637</v>
      </c>
      <c r="R23" s="2">
        <f t="shared" si="8"/>
        <v>9481.7225439927552</v>
      </c>
      <c r="S23" s="2">
        <f t="shared" si="9"/>
        <v>2781.8501856678345</v>
      </c>
      <c r="T23" s="2">
        <f t="shared" si="10"/>
        <v>351.56865009712232</v>
      </c>
      <c r="U23" s="2">
        <f t="shared" si="11"/>
        <v>325.37584256539247</v>
      </c>
      <c r="Z23" s="2">
        <v>100000</v>
      </c>
      <c r="AA23" s="3">
        <f>IF('Modell einstellen'!$B$2="Ja",'creep_res-40'!P23,'creep_res-40'!L23)</f>
        <v>0.37262574130210468</v>
      </c>
      <c r="AB23" s="2">
        <f>IF('Modell einstellen'!$B$2="Ja",creep_res0!P23,creep_res0!L23)</f>
        <v>0.38092475665105002</v>
      </c>
      <c r="AC23" s="2">
        <f>IF('Modell einstellen'!$B$2="Ja",creep_res25!P23,creep_res25!L23)</f>
        <v>0.38917313180529733</v>
      </c>
      <c r="AD23" s="2">
        <f>IF('Modell einstellen'!$B$2="Ja",creep_res50!P23,creep_res50!L23)</f>
        <v>0.40065839997720054</v>
      </c>
      <c r="AE23" s="2">
        <f>IF('Modell einstellen'!$B$2="Ja",creep_res80!P23,creep_res80!L23)</f>
        <v>0.47548340329898497</v>
      </c>
      <c r="AF23" s="2">
        <f>IF('Modell einstellen'!$B$2="Ja",creep_res125!P23,creep_res125!L23)</f>
        <v>0.52005099473135197</v>
      </c>
      <c r="AG23" s="2">
        <f>IF('Modell einstellen'!$B$2="Ja",creep_res160!P23,creep_res160!L23)</f>
        <v>0.48876914148896</v>
      </c>
      <c r="AL23" s="2">
        <f t="shared" si="12"/>
        <v>100000</v>
      </c>
      <c r="AM23" s="2">
        <f t="shared" si="13"/>
        <v>6763.2909836921517</v>
      </c>
      <c r="AN23" s="2">
        <f t="shared" si="14"/>
        <v>5393.096219252795</v>
      </c>
      <c r="AO23" s="2">
        <f t="shared" si="15"/>
        <v>4399.1328288595505</v>
      </c>
      <c r="AP23" s="2">
        <f t="shared" si="16"/>
        <v>3384.7376862720757</v>
      </c>
      <c r="AQ23" s="2">
        <f t="shared" si="17"/>
        <v>942.69111378955085</v>
      </c>
      <c r="AR23" s="2">
        <f t="shared" si="18"/>
        <v>115.64370251909122</v>
      </c>
      <c r="AS23" s="2">
        <f t="shared" si="19"/>
        <v>109.27679567564616</v>
      </c>
      <c r="AX23" s="2">
        <f t="shared" si="28"/>
        <v>100000</v>
      </c>
      <c r="AY23" s="37">
        <f t="shared" si="20"/>
        <v>24294.462096800613</v>
      </c>
      <c r="AZ23" s="37">
        <f t="shared" si="21"/>
        <v>20848.0505678878</v>
      </c>
      <c r="BA23" s="37">
        <f t="shared" si="22"/>
        <v>18380.492109422798</v>
      </c>
      <c r="BB23" s="37">
        <f t="shared" si="23"/>
        <v>15907.606584781948</v>
      </c>
      <c r="BC23" s="37">
        <f t="shared" si="24"/>
        <v>18911.340071605871</v>
      </c>
      <c r="BD23" s="37">
        <f t="shared" si="25"/>
        <v>-2922.2876870326827</v>
      </c>
      <c r="BE23" s="37">
        <f t="shared" si="26"/>
        <v>4828.5985475575499</v>
      </c>
    </row>
    <row r="24" spans="1:57" x14ac:dyDescent="0.25">
      <c r="A24" s="2">
        <f>'creep_res-40'!A24</f>
        <v>1000000</v>
      </c>
      <c r="B24" s="3">
        <f>'creep_res-40'!O24</f>
        <v>-5.9660388571428568E-4</v>
      </c>
      <c r="C24" s="2">
        <f>IF('Modell einstellen'!$B$2="Ja",creep_res0!O24,creep_res0!C24)</f>
        <v>-7.9288314285714287E-4</v>
      </c>
      <c r="D24" s="2">
        <f>IF('Modell einstellen'!$B$2="Ja",creep_res25!O24,creep_res25!C24)</f>
        <v>-9.5848325714285724E-4</v>
      </c>
      <c r="E24" s="2">
        <f>IF('Modell einstellen'!$B$2="Ja",creep_res50!O24,creep_res50!C24)</f>
        <v>-1.248117142857143E-3</v>
      </c>
      <c r="F24" s="2">
        <f>IF('Modell einstellen'!$B$2="Ja",creep_res80!O24,creep_res80!C24)</f>
        <v>-6.7054811428571438E-3</v>
      </c>
      <c r="G24" s="2">
        <f>IF('Modell einstellen'!$B$2="Ja",creep_res125!O24,creep_res125!C24)</f>
        <v>-3.2151818857142855E-2</v>
      </c>
      <c r="H24" s="2">
        <f>IF('Modell einstellen'!$B$2="Ja",creep_res160!O24,creep_res160!C24)</f>
        <v>-3.3773099428571429E-2</v>
      </c>
      <c r="M24" s="9">
        <f t="shared" si="27"/>
        <v>-10</v>
      </c>
      <c r="N24" s="2">
        <f t="shared" si="4"/>
        <v>1000000</v>
      </c>
      <c r="O24" s="2">
        <f t="shared" si="5"/>
        <v>16761.540176741342</v>
      </c>
      <c r="P24" s="2">
        <f t="shared" si="6"/>
        <v>12612.199023383377</v>
      </c>
      <c r="Q24" s="2">
        <f t="shared" si="7"/>
        <v>10433.150423314644</v>
      </c>
      <c r="R24" s="2">
        <f t="shared" si="8"/>
        <v>8012.0684642696078</v>
      </c>
      <c r="S24" s="2">
        <f t="shared" si="9"/>
        <v>1491.317295053803</v>
      </c>
      <c r="T24" s="2">
        <f t="shared" si="10"/>
        <v>311.02439474519485</v>
      </c>
      <c r="U24" s="2">
        <f t="shared" si="11"/>
        <v>296.09364166145144</v>
      </c>
      <c r="Z24" s="2">
        <v>1000000</v>
      </c>
      <c r="AA24" s="3">
        <f>IF('Modell einstellen'!$B$2="Ja",'creep_res-40'!P24,'creep_res-40'!L24)</f>
        <v>0.37926119536791486</v>
      </c>
      <c r="AB24" s="2">
        <f>IF('Modell einstellen'!$B$2="Ja",creep_res0!P24,creep_res0!L24)</f>
        <v>0.3833026736780884</v>
      </c>
      <c r="AC24" s="2">
        <f>IF('Modell einstellen'!$B$2="Ja",creep_res25!P24,creep_res25!L24)</f>
        <v>0.38840338041227873</v>
      </c>
      <c r="AD24" s="2">
        <f>IF('Modell einstellen'!$B$2="Ja",creep_res50!P24,creep_res50!L24)</f>
        <v>0.3968951632287262</v>
      </c>
      <c r="AE24" s="2">
        <f>IF('Modell einstellen'!$B$2="Ja",creep_res80!P24,creep_res80!L24)</f>
        <v>0.46114550893631406</v>
      </c>
      <c r="AF24" s="2">
        <f>IF('Modell einstellen'!$B$2="Ja",creep_res125!P24,creep_res125!L24)</f>
        <v>0.47121221295758564</v>
      </c>
      <c r="AG24" s="2">
        <f>IF('Modell einstellen'!$B$2="Ja",creep_res160!P24,creep_res160!L24)</f>
        <v>0.45252246741633295</v>
      </c>
      <c r="AL24" s="2">
        <f t="shared" si="12"/>
        <v>1000000</v>
      </c>
      <c r="AM24" s="2">
        <f t="shared" si="13"/>
        <v>6076.274832146727</v>
      </c>
      <c r="AN24" s="2">
        <f t="shared" si="14"/>
        <v>4558.7271908643725</v>
      </c>
      <c r="AO24" s="2">
        <f t="shared" si="15"/>
        <v>3757.2475587809995</v>
      </c>
      <c r="AP24" s="2">
        <f t="shared" si="16"/>
        <v>2867.8130883318549</v>
      </c>
      <c r="AQ24" s="2">
        <f t="shared" si="17"/>
        <v>510.32470275306576</v>
      </c>
      <c r="AR24" s="2">
        <f t="shared" si="18"/>
        <v>105.70344373363407</v>
      </c>
      <c r="AS24" s="2">
        <f t="shared" si="19"/>
        <v>101.92394551670053</v>
      </c>
      <c r="AX24" s="2">
        <f t="shared" si="28"/>
        <v>1000000</v>
      </c>
      <c r="AY24" s="37">
        <f t="shared" si="20"/>
        <v>23137.466351182688</v>
      </c>
      <c r="AZ24" s="37">
        <f t="shared" si="21"/>
        <v>18012.69349364013</v>
      </c>
      <c r="BA24" s="37">
        <f t="shared" si="22"/>
        <v>15581.640468230606</v>
      </c>
      <c r="BB24" s="37">
        <f t="shared" si="23"/>
        <v>12951.329790737587</v>
      </c>
      <c r="BC24" s="37">
        <f t="shared" si="24"/>
        <v>6397.0180976393976</v>
      </c>
      <c r="BD24" s="37">
        <f t="shared" si="25"/>
        <v>1800.6732871764245</v>
      </c>
      <c r="BE24" s="37">
        <f t="shared" si="26"/>
        <v>1039.4167007298379</v>
      </c>
    </row>
    <row r="25" spans="1:57" x14ac:dyDescent="0.25">
      <c r="A25" s="2">
        <f>'creep_res-40'!A25</f>
        <v>10000000</v>
      </c>
      <c r="B25" s="3">
        <f>'creep_res-40'!O25</f>
        <v>-7.0151668571428571E-4</v>
      </c>
      <c r="C25" s="2">
        <f>IF('Modell einstellen'!$B$2="Ja",creep_res0!O25,creep_res0!C25)</f>
        <v>-9.1991182857142863E-4</v>
      </c>
      <c r="D25" s="2">
        <f>IF('Modell einstellen'!$B$2="Ja",creep_res25!O25,creep_res25!C25)</f>
        <v>-1.0958064000000001E-3</v>
      </c>
      <c r="E25" s="2">
        <f>IF('Modell einstellen'!$B$2="Ja",creep_res50!O25,creep_res50!C25)</f>
        <v>-1.4984720571428571E-3</v>
      </c>
      <c r="F25" s="2">
        <f>IF('Modell einstellen'!$B$2="Ja",creep_res80!O25,creep_res80!C25)</f>
        <v>-1.2735464000000002E-2</v>
      </c>
      <c r="G25" s="2">
        <f>IF('Modell einstellen'!$B$2="Ja",creep_res125!O25,creep_res125!C25)</f>
        <v>-3.4756550857142854E-2</v>
      </c>
      <c r="H25" s="2">
        <f>IF('Modell einstellen'!$B$2="Ja",creep_res160!O25,creep_res160!C25)</f>
        <v>-3.5841918857142857E-2</v>
      </c>
      <c r="M25" s="9">
        <f t="shared" si="27"/>
        <v>-10</v>
      </c>
      <c r="N25" s="2">
        <f t="shared" si="4"/>
        <v>10000000</v>
      </c>
      <c r="O25" s="2">
        <f t="shared" si="5"/>
        <v>14254.828436215996</v>
      </c>
      <c r="P25" s="2">
        <f t="shared" si="6"/>
        <v>10870.607040165401</v>
      </c>
      <c r="Q25" s="2">
        <f t="shared" si="7"/>
        <v>9125.6995761295057</v>
      </c>
      <c r="R25" s="2">
        <f t="shared" si="8"/>
        <v>6673.464448224041</v>
      </c>
      <c r="S25" s="2">
        <f t="shared" si="9"/>
        <v>785.20892524999465</v>
      </c>
      <c r="T25" s="2">
        <f t="shared" si="10"/>
        <v>287.7155458003362</v>
      </c>
      <c r="U25" s="2">
        <f t="shared" si="11"/>
        <v>279.00291945466313</v>
      </c>
      <c r="Z25" s="2">
        <v>10000000</v>
      </c>
      <c r="AA25" s="3">
        <f>IF('Modell einstellen'!$B$2="Ja",'creep_res-40'!P25,'creep_res-40'!L25)</f>
        <v>0.38316552006257132</v>
      </c>
      <c r="AB25" s="2">
        <f>IF('Modell einstellen'!$B$2="Ja",creep_res0!P25,creep_res0!L25)</f>
        <v>0.38389689769646873</v>
      </c>
      <c r="AC25" s="2">
        <f>IF('Modell einstellen'!$B$2="Ja",creep_res25!P25,creep_res25!L25)</f>
        <v>0.38639847852164921</v>
      </c>
      <c r="AD25" s="2">
        <f>IF('Modell einstellen'!$B$2="Ja",creep_res50!P25,creep_res50!L25)</f>
        <v>0.39383500015501505</v>
      </c>
      <c r="AE25" s="2">
        <f>IF('Modell einstellen'!$B$2="Ja",creep_res80!P25,creep_res80!L25)</f>
        <v>0.4467621079889309</v>
      </c>
      <c r="AF25" s="2">
        <f>IF('Modell einstellen'!$B$2="Ja",creep_res125!P25,creep_res125!L25)</f>
        <v>0.44190769940610913</v>
      </c>
      <c r="AG25" s="2">
        <f>IF('Modell einstellen'!$B$2="Ja",creep_res160!P25,creep_res160!L25)</f>
        <v>0.43076528205010961</v>
      </c>
      <c r="AL25" s="2">
        <f t="shared" si="12"/>
        <v>10000000</v>
      </c>
      <c r="AM25" s="2">
        <f t="shared" si="13"/>
        <v>5152.9727387836929</v>
      </c>
      <c r="AN25" s="2">
        <f t="shared" si="14"/>
        <v>3927.5350129983676</v>
      </c>
      <c r="AO25" s="2">
        <f t="shared" si="15"/>
        <v>3291.1531992809396</v>
      </c>
      <c r="AP25" s="2">
        <f t="shared" si="16"/>
        <v>2393.9219661874804</v>
      </c>
      <c r="AQ25" s="2">
        <f t="shared" si="17"/>
        <v>271.36767023207187</v>
      </c>
      <c r="AR25" s="2">
        <f t="shared" si="18"/>
        <v>99.769058005183027</v>
      </c>
      <c r="AS25" s="2">
        <f t="shared" si="19"/>
        <v>97.501289329192588</v>
      </c>
      <c r="AX25" s="2">
        <f t="shared" si="28"/>
        <v>10000000</v>
      </c>
      <c r="AY25" s="37">
        <f t="shared" si="20"/>
        <v>20334.791070595831</v>
      </c>
      <c r="AZ25" s="37">
        <f t="shared" si="21"/>
        <v>15604.81851114552</v>
      </c>
      <c r="BA25" s="37">
        <f t="shared" si="22"/>
        <v>13388.464428663197</v>
      </c>
      <c r="BB25" s="37">
        <f t="shared" si="23"/>
        <v>10476.560790543319</v>
      </c>
      <c r="BC25" s="37">
        <f t="shared" si="24"/>
        <v>2458.1768598411568</v>
      </c>
      <c r="BD25" s="37">
        <f t="shared" si="25"/>
        <v>825.45518900942818</v>
      </c>
      <c r="BE25" s="37">
        <f t="shared" si="26"/>
        <v>671.63538687963717</v>
      </c>
    </row>
    <row r="26" spans="1:57" x14ac:dyDescent="0.25">
      <c r="A26" s="2">
        <f>'creep_res-40'!A26</f>
        <v>100000000</v>
      </c>
      <c r="B26" s="3">
        <f>'creep_res-40'!O26</f>
        <v>-8.3000274285714303E-4</v>
      </c>
      <c r="C26" s="2">
        <f>IF('Modell einstellen'!$B$2="Ja",creep_res0!O26,creep_res0!C26)</f>
        <v>-1.0417293142857143E-3</v>
      </c>
      <c r="D26" s="2">
        <f>IF('Modell einstellen'!$B$2="Ja",creep_res25!O26,creep_res25!C26)</f>
        <v>-1.2360097142857145E-3</v>
      </c>
      <c r="E26" s="2">
        <f>IF('Modell einstellen'!$B$2="Ja",creep_res50!O26,creep_res50!C26)</f>
        <v>-1.8695733714285717E-3</v>
      </c>
      <c r="F26" s="2">
        <f>IF('Modell einstellen'!$B$2="Ja",creep_res80!O26,creep_res80!C26)</f>
        <v>-2.2840043428571429E-2</v>
      </c>
      <c r="G26" s="2">
        <f>IF('Modell einstellen'!$B$2="Ja",creep_res125!O26,creep_res125!C26)</f>
        <v>-3.6507982285714287E-2</v>
      </c>
      <c r="H26" s="2">
        <f>IF('Modell einstellen'!$B$2="Ja",creep_res160!O26,creep_res160!C26)</f>
        <v>-3.7248799999999999E-2</v>
      </c>
      <c r="M26" s="9">
        <f t="shared" si="27"/>
        <v>-10</v>
      </c>
      <c r="N26" s="2">
        <f t="shared" si="4"/>
        <v>100000000</v>
      </c>
      <c r="O26" s="2">
        <f t="shared" si="5"/>
        <v>12048.152956189884</v>
      </c>
      <c r="P26" s="2">
        <f t="shared" si="6"/>
        <v>9599.4226742642168</v>
      </c>
      <c r="Q26" s="2">
        <f t="shared" si="7"/>
        <v>8090.5512994118853</v>
      </c>
      <c r="R26" s="2">
        <f t="shared" si="8"/>
        <v>5348.8138806549405</v>
      </c>
      <c r="S26" s="2">
        <f t="shared" si="9"/>
        <v>437.8275387817626</v>
      </c>
      <c r="T26" s="2">
        <f t="shared" si="10"/>
        <v>273.91270001555353</v>
      </c>
      <c r="U26" s="2">
        <f t="shared" si="11"/>
        <v>268.46502437662423</v>
      </c>
      <c r="Z26" s="2">
        <v>100000000</v>
      </c>
      <c r="AA26" s="3">
        <f>IF('Modell einstellen'!$B$2="Ja",'creep_res-40'!P26,'creep_res-40'!L26)</f>
        <v>0.38501778445069501</v>
      </c>
      <c r="AB26" s="2">
        <f>IF('Modell einstellen'!$B$2="Ja",creep_res0!P26,creep_res0!L26)</f>
        <v>0.38287226574844252</v>
      </c>
      <c r="AC26" s="2">
        <f>IF('Modell einstellen'!$B$2="Ja",creep_res25!P26,creep_res25!L26)</f>
        <v>0.38376154232722165</v>
      </c>
      <c r="AD26" s="2">
        <f>IF('Modell einstellen'!$B$2="Ja",creep_res50!P26,creep_res50!L26)</f>
        <v>0.39071492979880451</v>
      </c>
      <c r="AE26" s="2">
        <f>IF('Modell einstellen'!$B$2="Ja",creep_res80!P26,creep_res80!L26)</f>
        <v>0.43590995423676454</v>
      </c>
      <c r="AF26" s="2">
        <f>IF('Modell einstellen'!$B$2="Ja",creep_res125!P26,creep_res125!L26)</f>
        <v>0.42423484717682641</v>
      </c>
      <c r="AG26" s="2">
        <f>IF('Modell einstellen'!$B$2="Ja",creep_res160!P26,creep_res160!L26)</f>
        <v>0.41725697778950505</v>
      </c>
      <c r="AL26" s="2">
        <f t="shared" si="12"/>
        <v>100000000</v>
      </c>
      <c r="AM26" s="2">
        <f t="shared" si="13"/>
        <v>4349.4578522571974</v>
      </c>
      <c r="AN26" s="2">
        <f t="shared" si="14"/>
        <v>3470.8276794707381</v>
      </c>
      <c r="AO26" s="2">
        <f t="shared" si="15"/>
        <v>2923.3907186801598</v>
      </c>
      <c r="AP26" s="2">
        <f t="shared" si="16"/>
        <v>1923.0446750969861</v>
      </c>
      <c r="AQ26" s="2">
        <f t="shared" si="17"/>
        <v>152.45647454769647</v>
      </c>
      <c r="AR26" s="2">
        <f t="shared" si="18"/>
        <v>96.16135307969536</v>
      </c>
      <c r="AS26" s="2">
        <f t="shared" si="19"/>
        <v>94.712895608864457</v>
      </c>
      <c r="AX26" s="2">
        <f t="shared" si="28"/>
        <v>100000000</v>
      </c>
      <c r="AY26" s="37">
        <f t="shared" si="20"/>
        <v>17463.791970831018</v>
      </c>
      <c r="AZ26" s="37">
        <f t="shared" si="21"/>
        <v>13659.478596315132</v>
      </c>
      <c r="BA26" s="37">
        <f t="shared" si="22"/>
        <v>11600.508502655679</v>
      </c>
      <c r="BB26" s="37">
        <f t="shared" si="23"/>
        <v>8157.2805733477471</v>
      </c>
      <c r="BC26" s="37">
        <f t="shared" si="24"/>
        <v>1138.5739484911751</v>
      </c>
      <c r="BD26" s="37">
        <f t="shared" si="25"/>
        <v>602.54767486320873</v>
      </c>
      <c r="BE26" s="37">
        <f t="shared" si="26"/>
        <v>540.76065309301828</v>
      </c>
    </row>
    <row r="27" spans="1:57" x14ac:dyDescent="0.25">
      <c r="A27" s="2">
        <f>'creep_res-40'!A27</f>
        <v>1000000000</v>
      </c>
      <c r="B27" s="3">
        <f>'creep_res-40'!O27</f>
        <v>-9.6008531428571427E-4</v>
      </c>
      <c r="C27" s="2">
        <f>IF('Modell einstellen'!$B$2="Ja",creep_res0!O27,creep_res0!C27)</f>
        <v>-1.1608348571428573E-3</v>
      </c>
      <c r="D27" s="2">
        <f>IF('Modell einstellen'!$B$2="Ja",creep_res25!O27,creep_res25!C27)</f>
        <v>-1.3967930285714288E-3</v>
      </c>
      <c r="E27" s="2">
        <f>IF('Modell einstellen'!$B$2="Ja",creep_res50!O27,creep_res50!C27)</f>
        <v>-2.5137643428571428E-3</v>
      </c>
      <c r="F27" s="2">
        <f>IF('Modell einstellen'!$B$2="Ja",creep_res80!O27,creep_res80!C27)</f>
        <v>-3.0692317142857143E-2</v>
      </c>
      <c r="G27" s="2">
        <f>IF('Modell einstellen'!$B$2="Ja",creep_res125!O27,creep_res125!C27)</f>
        <v>-3.7692596571428573E-2</v>
      </c>
      <c r="H27" s="2">
        <f>IF('Modell einstellen'!$B$2="Ja",creep_res160!O27,creep_res160!C27)</f>
        <v>-3.8186862285714288E-2</v>
      </c>
      <c r="M27" s="9">
        <f t="shared" si="27"/>
        <v>-10</v>
      </c>
      <c r="N27" s="2">
        <f t="shared" si="4"/>
        <v>1000000000</v>
      </c>
      <c r="O27" s="2">
        <f t="shared" si="5"/>
        <v>10415.741029681112</v>
      </c>
      <c r="P27" s="2">
        <f t="shared" si="6"/>
        <v>8614.4897686935656</v>
      </c>
      <c r="Q27" s="2">
        <f t="shared" si="7"/>
        <v>7159.2568085964094</v>
      </c>
      <c r="R27" s="2">
        <f t="shared" si="8"/>
        <v>3978.0976400651807</v>
      </c>
      <c r="S27" s="2">
        <f t="shared" si="9"/>
        <v>325.81443601846939</v>
      </c>
      <c r="T27" s="2">
        <f t="shared" si="10"/>
        <v>265.30408912131344</v>
      </c>
      <c r="U27" s="2">
        <f t="shared" si="11"/>
        <v>261.87016689614222</v>
      </c>
      <c r="Z27" s="2">
        <v>1000000000</v>
      </c>
      <c r="AA27" s="3">
        <f>IF('Modell einstellen'!$B$2="Ja",'creep_res-40'!P27,'creep_res-40'!L27)</f>
        <v>0.38494618305647005</v>
      </c>
      <c r="AB27" s="2">
        <f>IF('Modell einstellen'!$B$2="Ja",creep_res0!P27,creep_res0!L27)</f>
        <v>0.380916911523283</v>
      </c>
      <c r="AC27" s="2">
        <f>IF('Modell einstellen'!$B$2="Ja",creep_res25!P27,creep_res25!L27)</f>
        <v>0.38110589489932811</v>
      </c>
      <c r="AD27" s="2">
        <f>IF('Modell einstellen'!$B$2="Ja",creep_res50!P27,creep_res50!L27)</f>
        <v>0.38800589013048981</v>
      </c>
      <c r="AE27" s="2">
        <f>IF('Modell einstellen'!$B$2="Ja",creep_res80!P27,creep_res80!L27)</f>
        <v>0.42295336636595238</v>
      </c>
      <c r="AF27" s="2">
        <f>IF('Modell einstellen'!$B$2="Ja",creep_res125!P27,creep_res125!L27)</f>
        <v>0.41325452255542594</v>
      </c>
      <c r="AG27" s="2">
        <f>IF('Modell einstellen'!$B$2="Ja",creep_res160!P27,creep_res160!L27)</f>
        <v>0.40897283013220004</v>
      </c>
      <c r="AL27" s="2">
        <f t="shared" si="12"/>
        <v>1000000000</v>
      </c>
      <c r="AM27" s="2">
        <f t="shared" si="13"/>
        <v>3760.3414331574859</v>
      </c>
      <c r="AN27" s="2">
        <f t="shared" si="14"/>
        <v>3119.1195128427248</v>
      </c>
      <c r="AO27" s="2">
        <f t="shared" si="15"/>
        <v>2591.8565821190209</v>
      </c>
      <c r="AP27" s="2">
        <f t="shared" si="16"/>
        <v>1433.0262098856042</v>
      </c>
      <c r="AQ27" s="2">
        <f t="shared" si="17"/>
        <v>114.48528241321054</v>
      </c>
      <c r="AR27" s="2">
        <f t="shared" si="18"/>
        <v>93.862812708921865</v>
      </c>
      <c r="AS27" s="2">
        <f t="shared" si="19"/>
        <v>92.92945942455529</v>
      </c>
      <c r="AX27" s="2">
        <f t="shared" si="28"/>
        <v>1000000000</v>
      </c>
      <c r="AY27" s="37">
        <f t="shared" si="20"/>
        <v>15088.2159705507</v>
      </c>
      <c r="AZ27" s="37">
        <f t="shared" si="21"/>
        <v>12056.693466284903</v>
      </c>
      <c r="BA27" s="37">
        <f t="shared" si="22"/>
        <v>10035.900998532001</v>
      </c>
      <c r="BB27" s="37">
        <f t="shared" si="23"/>
        <v>5920.0994955601627</v>
      </c>
      <c r="BC27" s="37">
        <f t="shared" si="24"/>
        <v>704.79920331109042</v>
      </c>
      <c r="BD27" s="37">
        <f t="shared" si="25"/>
        <v>509.73663975898</v>
      </c>
      <c r="BE27" s="37">
        <f t="shared" si="26"/>
        <v>479.47253418303558</v>
      </c>
    </row>
    <row r="28" spans="1:57" x14ac:dyDescent="0.25">
      <c r="A28" s="2">
        <f>'creep_res-40'!A28</f>
        <v>10000000000</v>
      </c>
      <c r="B28" s="3">
        <f>'creep_res-40'!O28</f>
        <v>-1.0833461714285714E-3</v>
      </c>
      <c r="C28" s="2">
        <f>IF('Modell einstellen'!$B$2="Ja",creep_res0!O28,creep_res0!C28)</f>
        <v>-1.286381542857143E-3</v>
      </c>
      <c r="D28" s="2">
        <f>IF('Modell einstellen'!$B$2="Ja",creep_res25!O28,creep_res25!C28)</f>
        <v>-1.6280200571428573E-3</v>
      </c>
      <c r="E28" s="2">
        <f>IF('Modell einstellen'!$B$2="Ja",creep_res50!O28,creep_res50!C28)</f>
        <v>-3.8843041714285717E-3</v>
      </c>
      <c r="F28" s="2">
        <f>IF('Modell einstellen'!$B$2="Ja",creep_res80!O28,creep_res80!C28)</f>
        <v>-3.5013912000000001E-2</v>
      </c>
      <c r="G28" s="2">
        <f>IF('Modell einstellen'!$B$2="Ja",creep_res125!O28,creep_res125!C28)</f>
        <v>-3.8479935999999999E-2</v>
      </c>
      <c r="H28" s="2">
        <f>IF('Modell einstellen'!$B$2="Ja",creep_res160!O28,creep_res160!C28)</f>
        <v>-3.8684196571428568E-2</v>
      </c>
      <c r="M28" s="9">
        <f t="shared" si="27"/>
        <v>-10</v>
      </c>
      <c r="N28" s="2">
        <f t="shared" si="4"/>
        <v>10000000000</v>
      </c>
      <c r="O28" s="2">
        <f t="shared" si="5"/>
        <v>9230.6598423783071</v>
      </c>
      <c r="P28" s="2">
        <f t="shared" si="6"/>
        <v>7773.7433777145961</v>
      </c>
      <c r="Q28" s="2">
        <f t="shared" si="7"/>
        <v>6142.4304670728689</v>
      </c>
      <c r="R28" s="2">
        <f t="shared" si="8"/>
        <v>2574.4636770611592</v>
      </c>
      <c r="S28" s="2">
        <f t="shared" si="9"/>
        <v>285.60076349080902</v>
      </c>
      <c r="T28" s="2">
        <f t="shared" si="10"/>
        <v>259.87569210094318</v>
      </c>
      <c r="U28" s="2">
        <f t="shared" si="11"/>
        <v>258.5034946127281</v>
      </c>
      <c r="Z28" s="2">
        <v>10000000000</v>
      </c>
      <c r="AA28" s="3">
        <f>IF('Modell einstellen'!$B$2="Ja",'creep_res-40'!P28,'creep_res-40'!L28)</f>
        <v>0.38331255995313573</v>
      </c>
      <c r="AB28" s="2">
        <f>IF('Modell einstellen'!$B$2="Ja",creep_res0!P28,creep_res0!L28)</f>
        <v>0.37858573574949567</v>
      </c>
      <c r="AC28" s="2">
        <f>IF('Modell einstellen'!$B$2="Ja",creep_res25!P28,creep_res25!L28)</f>
        <v>0.37899585722899659</v>
      </c>
      <c r="AD28" s="2">
        <f>IF('Modell einstellen'!$B$2="Ja",creep_res50!P28,creep_res50!L28)</f>
        <v>0.38654671784347389</v>
      </c>
      <c r="AE28" s="2">
        <f>IF('Modell einstellen'!$B$2="Ja",creep_res80!P28,creep_res80!L28)</f>
        <v>0.4129533589799555</v>
      </c>
      <c r="AF28" s="2">
        <f>IF('Modell einstellen'!$B$2="Ja",creep_res125!P28,creep_res125!L28)</f>
        <v>0.40654060784894686</v>
      </c>
      <c r="AG28" s="2">
        <f>IF('Modell einstellen'!$B$2="Ja",creep_res160!P28,creep_res160!L28)</f>
        <v>0.40481580784026033</v>
      </c>
      <c r="AL28" s="2">
        <f t="shared" si="12"/>
        <v>10000000000</v>
      </c>
      <c r="AM28" s="2">
        <f t="shared" si="13"/>
        <v>3336.4331784463179</v>
      </c>
      <c r="AN28" s="2">
        <f t="shared" si="14"/>
        <v>2819.4631556550398</v>
      </c>
      <c r="AO28" s="2">
        <f t="shared" si="15"/>
        <v>2227.1388397843657</v>
      </c>
      <c r="AP28" s="2">
        <f t="shared" si="16"/>
        <v>928.3724969127901</v>
      </c>
      <c r="AQ28" s="2">
        <f t="shared" si="17"/>
        <v>101.06517730245214</v>
      </c>
      <c r="AR28" s="2">
        <f t="shared" si="18"/>
        <v>92.381155101656375</v>
      </c>
      <c r="AS28" s="2">
        <f t="shared" si="19"/>
        <v>92.006187989209394</v>
      </c>
      <c r="AX28" s="2">
        <f t="shared" si="28"/>
        <v>10000000000</v>
      </c>
      <c r="AY28" s="37">
        <f t="shared" si="20"/>
        <v>13184.309351933493</v>
      </c>
      <c r="AZ28" s="37">
        <f t="shared" si="21"/>
        <v>10671.101161660947</v>
      </c>
      <c r="BA28" s="37">
        <f t="shared" si="22"/>
        <v>8460.358362409168</v>
      </c>
      <c r="BB28" s="37">
        <f t="shared" si="23"/>
        <v>3781.973261189708</v>
      </c>
      <c r="BC28" s="37">
        <f t="shared" si="24"/>
        <v>546.83473929231957</v>
      </c>
      <c r="BD28" s="37">
        <f t="shared" si="25"/>
        <v>463.43780280695023</v>
      </c>
      <c r="BE28" s="37">
        <f t="shared" si="26"/>
        <v>452.63730028284408</v>
      </c>
    </row>
    <row r="29" spans="1:57" x14ac:dyDescent="0.25">
      <c r="A29" s="2">
        <f>'creep_res-40'!A29</f>
        <v>100000000000</v>
      </c>
      <c r="B29" s="3">
        <f>'creep_res-40'!O29</f>
        <v>-1.2086622857142857E-3</v>
      </c>
      <c r="C29" s="2">
        <f>IF('Modell einstellen'!$B$2="Ja",creep_res0!O29,creep_res0!C29)</f>
        <v>-1.4380592571428571E-3</v>
      </c>
      <c r="D29" s="2">
        <f>IF('Modell einstellen'!$B$2="Ja",creep_res25!O29,creep_res25!C29)</f>
        <v>-1.9967447428571429E-3</v>
      </c>
      <c r="E29" s="2">
        <f>IF('Modell einstellen'!$B$2="Ja",creep_res50!O29,creep_res50!C29)</f>
        <v>-6.6688354285714289E-3</v>
      </c>
      <c r="F29" s="2">
        <f>IF('Modell einstellen'!$B$2="Ja",creep_res80!O29,creep_res80!C29)</f>
        <v>-3.8170907428571432E-2</v>
      </c>
      <c r="G29" s="2">
        <f>IF('Modell einstellen'!$B$2="Ja",creep_res125!O29,creep_res125!C29)</f>
        <v>-3.8618251999999999E-2</v>
      </c>
      <c r="H29" s="2">
        <f>IF('Modell einstellen'!$B$2="Ja",creep_res160!O29,creep_res160!C29)</f>
        <v>-3.8816426857142858E-2</v>
      </c>
      <c r="M29" s="9">
        <f t="shared" si="27"/>
        <v>-10</v>
      </c>
      <c r="N29" s="2">
        <f t="shared" si="4"/>
        <v>100000000000</v>
      </c>
      <c r="O29" s="2">
        <f t="shared" si="5"/>
        <v>8273.6096908081145</v>
      </c>
      <c r="P29" s="2">
        <f t="shared" si="6"/>
        <v>6953.8163676704444</v>
      </c>
      <c r="Q29" s="2">
        <f t="shared" si="7"/>
        <v>5008.1514103254858</v>
      </c>
      <c r="R29" s="2">
        <f t="shared" si="8"/>
        <v>1499.5121872638804</v>
      </c>
      <c r="S29" s="2">
        <f t="shared" si="9"/>
        <v>261.97962463200093</v>
      </c>
      <c r="T29" s="2">
        <f t="shared" si="10"/>
        <v>258.94491547675437</v>
      </c>
      <c r="U29" s="2">
        <f t="shared" si="11"/>
        <v>257.62288828910681</v>
      </c>
      <c r="Z29" s="2">
        <v>100000000000</v>
      </c>
      <c r="AA29" s="3">
        <f>IF('Modell einstellen'!$B$2="Ja",'creep_res-40'!P29,'creep_res-40'!L29)</f>
        <v>0.38109942562237648</v>
      </c>
      <c r="AB29" s="2">
        <f>IF('Modell einstellen'!$B$2="Ja",creep_res0!P29,creep_res0!L29)</f>
        <v>0.37649410592537874</v>
      </c>
      <c r="AC29" s="2">
        <f>IF('Modell einstellen'!$B$2="Ja",creep_res25!P29,creep_res25!L29)</f>
        <v>0.37730016166598934</v>
      </c>
      <c r="AD29" s="2">
        <f>IF('Modell einstellen'!$B$2="Ja",creep_res50!P29,creep_res50!L29)</f>
        <v>0.38644081099788508</v>
      </c>
      <c r="AE29" s="2">
        <f>IF('Modell einstellen'!$B$2="Ja",creep_res80!P29,creep_res80!L29)</f>
        <v>0.40758632812471929</v>
      </c>
      <c r="AF29" s="2">
        <f>IF('Modell einstellen'!$B$2="Ja",creep_res125!P29,creep_res125!L29)</f>
        <v>0.40537634158805835</v>
      </c>
      <c r="AG29" s="2">
        <f>IF('Modell einstellen'!$B$2="Ja",creep_res160!P29,creep_res160!L29)</f>
        <v>0.4037364622668515</v>
      </c>
      <c r="AL29" s="2">
        <f t="shared" si="12"/>
        <v>100000000000</v>
      </c>
      <c r="AM29" s="2">
        <f t="shared" si="13"/>
        <v>2995.2983606085086</v>
      </c>
      <c r="AN29" s="2">
        <f t="shared" si="14"/>
        <v>2525.9157804368465</v>
      </c>
      <c r="AO29" s="2">
        <f t="shared" si="15"/>
        <v>1818.1045605438685</v>
      </c>
      <c r="AP29" s="2">
        <f t="shared" si="16"/>
        <v>540.77757065756475</v>
      </c>
      <c r="AQ29" s="2">
        <f t="shared" si="17"/>
        <v>93.059878245985715</v>
      </c>
      <c r="AR29" s="2">
        <f t="shared" si="18"/>
        <v>92.126538569786135</v>
      </c>
      <c r="AS29" s="2">
        <f t="shared" si="19"/>
        <v>91.763267256404887</v>
      </c>
      <c r="AX29" s="2">
        <f t="shared" si="28"/>
        <v>100000000000</v>
      </c>
      <c r="AY29" s="37">
        <f t="shared" si="20"/>
        <v>11597.378361592906</v>
      </c>
      <c r="AZ29" s="37">
        <f t="shared" si="21"/>
        <v>9383.9197173173034</v>
      </c>
      <c r="BA29" s="37">
        <f t="shared" si="22"/>
        <v>6802.7139485606767</v>
      </c>
      <c r="BB29" s="37">
        <f t="shared" si="23"/>
        <v>2200.7791714033719</v>
      </c>
      <c r="BC29" s="37">
        <f t="shared" si="24"/>
        <v>472.47631098271978</v>
      </c>
      <c r="BD29" s="37">
        <f t="shared" si="25"/>
        <v>456.09614590156087</v>
      </c>
      <c r="BE29" s="37">
        <f t="shared" si="26"/>
        <v>446.0375034959784</v>
      </c>
    </row>
    <row r="30" spans="1:57" x14ac:dyDescent="0.25">
      <c r="A30" s="2">
        <f>'creep_res-40'!A30</f>
        <v>1000000000000</v>
      </c>
      <c r="B30" s="3">
        <f>'creep_res-40'!O30</f>
        <v>-1.3428904000000001E-3</v>
      </c>
      <c r="C30" s="2">
        <f>IF('Modell einstellen'!$B$2="Ja",creep_res0!O30,creep_res0!C30)</f>
        <v>-1.6660458857142859E-3</v>
      </c>
      <c r="D30" s="2">
        <f>IF('Modell einstellen'!$B$2="Ja",creep_res25!O30,creep_res25!C30)</f>
        <v>-2.665770742857143E-3</v>
      </c>
      <c r="E30" s="2">
        <f>IF('Modell einstellen'!$B$2="Ja",creep_res50!O30,creep_res50!C30)</f>
        <v>-1.1922857142857143E-2</v>
      </c>
      <c r="F30" s="2">
        <f>IF('Modell einstellen'!$B$2="Ja",creep_res80!O30,creep_res80!C30)</f>
        <v>-3.838269542857143E-2</v>
      </c>
      <c r="G30" s="2">
        <f>IF('Modell einstellen'!$B$2="Ja",creep_res125!O30,creep_res125!C30)</f>
        <v>-3.918260914285715E-2</v>
      </c>
      <c r="H30" s="2">
        <f>IF('Modell einstellen'!$B$2="Ja",creep_res160!O30,creep_res160!C30)</f>
        <v>-3.9329979428571429E-2</v>
      </c>
      <c r="M30" s="9">
        <f t="shared" si="27"/>
        <v>-10</v>
      </c>
      <c r="N30" s="2">
        <f t="shared" si="4"/>
        <v>1000000000000</v>
      </c>
      <c r="O30" s="2">
        <f t="shared" si="5"/>
        <v>7446.6240878630142</v>
      </c>
      <c r="P30" s="2">
        <f t="shared" si="6"/>
        <v>6002.2356441357479</v>
      </c>
      <c r="Q30" s="2">
        <f t="shared" si="7"/>
        <v>3751.2603162874061</v>
      </c>
      <c r="R30" s="2">
        <f t="shared" si="8"/>
        <v>838.72513779055839</v>
      </c>
      <c r="S30" s="2">
        <f t="shared" si="9"/>
        <v>260.53407371062764</v>
      </c>
      <c r="T30" s="2">
        <f t="shared" si="10"/>
        <v>255.21526561798564</v>
      </c>
      <c r="U30" s="2">
        <f t="shared" si="11"/>
        <v>254.25896848385986</v>
      </c>
      <c r="Z30" s="2">
        <v>1000000000000</v>
      </c>
      <c r="AA30" s="3">
        <f>IF('Modell einstellen'!$B$2="Ja",'creep_res-40'!P30,'creep_res-40'!L30)</f>
        <v>0.37857148814442121</v>
      </c>
      <c r="AB30" s="2">
        <f>IF('Modell einstellen'!$B$2="Ja",creep_res0!P30,creep_res0!L30)</f>
        <v>0.37497807897796537</v>
      </c>
      <c r="AC30" s="2">
        <f>IF('Modell einstellen'!$B$2="Ja",creep_res25!P30,creep_res25!L30)</f>
        <v>0.37638611212264145</v>
      </c>
      <c r="AD30" s="2">
        <f>IF('Modell einstellen'!$B$2="Ja",creep_res50!P30,creep_res50!L30)</f>
        <v>0.38812045530793199</v>
      </c>
      <c r="AE30" s="2">
        <f>IF('Modell einstellen'!$B$2="Ja",creep_res80!P30,creep_res80!L30)</f>
        <v>0.40628596068076334</v>
      </c>
      <c r="AF30" s="2">
        <f>IF('Modell einstellen'!$B$2="Ja",creep_res125!P30,creep_res125!L30)</f>
        <v>0.40095356590123371</v>
      </c>
      <c r="AG30" s="2">
        <f>IF('Modell einstellen'!$B$2="Ja",creep_res160!P30,creep_res160!L30)</f>
        <v>0.39995691254874655</v>
      </c>
      <c r="AL30" s="2">
        <f t="shared" si="12"/>
        <v>1000000000000</v>
      </c>
      <c r="AM30" s="2">
        <f t="shared" si="13"/>
        <v>2700.8479980556854</v>
      </c>
      <c r="AN30" s="2">
        <f t="shared" si="14"/>
        <v>2182.665940608038</v>
      </c>
      <c r="AO30" s="2">
        <f t="shared" si="15"/>
        <v>1362.7209266527218</v>
      </c>
      <c r="AP30" s="2">
        <f t="shared" si="16"/>
        <v>302.10819766520217</v>
      </c>
      <c r="AQ30" s="2">
        <f t="shared" si="17"/>
        <v>92.631968530961771</v>
      </c>
      <c r="AR30" s="2">
        <f t="shared" si="18"/>
        <v>91.086268606556416</v>
      </c>
      <c r="AS30" s="2">
        <f t="shared" si="19"/>
        <v>90.809569282014081</v>
      </c>
      <c r="AX30" s="2">
        <f t="shared" si="28"/>
        <v>1000000000000</v>
      </c>
      <c r="AY30" s="37">
        <f t="shared" si="20"/>
        <v>10220.861605550637</v>
      </c>
      <c r="AZ30" s="37">
        <f t="shared" si="21"/>
        <v>8001.5776367701637</v>
      </c>
      <c r="BA30" s="37">
        <f t="shared" si="22"/>
        <v>5057.7654618780325</v>
      </c>
      <c r="BB30" s="37">
        <f t="shared" si="23"/>
        <v>1249.4466557746339</v>
      </c>
      <c r="BC30" s="37">
        <f t="shared" si="24"/>
        <v>463.3494184422018</v>
      </c>
      <c r="BD30" s="37">
        <f t="shared" si="25"/>
        <v>429.45390200097501</v>
      </c>
      <c r="BE30" s="37">
        <f t="shared" si="26"/>
        <v>423.58243659721273</v>
      </c>
    </row>
    <row r="31" spans="1:57" x14ac:dyDescent="0.25">
      <c r="A31" s="2">
        <f>'creep_res-40'!A31</f>
        <v>10000000000000</v>
      </c>
      <c r="B31" s="3">
        <f>'creep_res-40'!O31</f>
        <v>-1.5254830857142857E-3</v>
      </c>
      <c r="C31" s="2">
        <f>IF('Modell einstellen'!$B$2="Ja",creep_res0!O31,creep_res0!C31)</f>
        <v>-2.0377010285714285E-3</v>
      </c>
      <c r="D31" s="2">
        <f>IF('Modell einstellen'!$B$2="Ja",creep_res25!O31,creep_res25!C31)</f>
        <v>-4.1149062285714289E-3</v>
      </c>
      <c r="E31" s="2">
        <f>IF('Modell einstellen'!$B$2="Ja",creep_res50!O31,creep_res50!C31)</f>
        <v>-2.1379386285714286E-2</v>
      </c>
      <c r="F31" s="2">
        <f>IF('Modell einstellen'!$B$2="Ja",creep_res80!O31,creep_res80!C31)</f>
        <v>-3.9121936000000003E-2</v>
      </c>
      <c r="G31" s="2">
        <f>IF('Modell einstellen'!$B$2="Ja",creep_res125!O31,creep_res125!C31)</f>
        <v>-3.9291900571428576E-2</v>
      </c>
      <c r="H31" s="2">
        <f>IF('Modell einstellen'!$B$2="Ja",creep_res160!O31,creep_res160!C31)</f>
        <v>-3.9338258857142858E-2</v>
      </c>
      <c r="M31" s="9">
        <f t="shared" si="27"/>
        <v>-10</v>
      </c>
      <c r="N31" s="2">
        <f t="shared" si="4"/>
        <v>10000000000000</v>
      </c>
      <c r="O31" s="2">
        <f t="shared" si="5"/>
        <v>6555.3004773682187</v>
      </c>
      <c r="P31" s="2">
        <f t="shared" si="6"/>
        <v>4907.4912657872592</v>
      </c>
      <c r="Q31" s="2">
        <f t="shared" si="7"/>
        <v>2430.1890357952816</v>
      </c>
      <c r="R31" s="2">
        <f t="shared" si="8"/>
        <v>467.74027403592981</v>
      </c>
      <c r="S31" s="2">
        <f t="shared" si="9"/>
        <v>255.61107200829733</v>
      </c>
      <c r="T31" s="2">
        <f t="shared" si="10"/>
        <v>254.50537781497852</v>
      </c>
      <c r="U31" s="2">
        <f t="shared" si="11"/>
        <v>254.20545521130117</v>
      </c>
      <c r="Z31" s="2">
        <v>10000000000000</v>
      </c>
      <c r="AA31" s="3">
        <f>IF('Modell einstellen'!$B$2="Ja",'creep_res-40'!P31,'creep_res-40'!L31)</f>
        <v>0.37664235561688492</v>
      </c>
      <c r="AB31" s="2">
        <f>IF('Modell einstellen'!$B$2="Ja",creep_res0!P31,creep_res0!L31)</f>
        <v>0.37395481653161627</v>
      </c>
      <c r="AC31" s="2">
        <f>IF('Modell einstellen'!$B$2="Ja",creep_res25!P31,creep_res25!L31)</f>
        <v>0.37671337874194777</v>
      </c>
      <c r="AD31" s="2">
        <f>IF('Modell einstellen'!$B$2="Ja",creep_res50!P31,creep_res50!L31)</f>
        <v>0.39244820230841321</v>
      </c>
      <c r="AE31" s="2">
        <f>IF('Modell einstellen'!$B$2="Ja",creep_res80!P31,creep_res80!L31)</f>
        <v>0.40089600882737497</v>
      </c>
      <c r="AF31" s="2">
        <f>IF('Modell einstellen'!$B$2="Ja",creep_res125!P31,creep_res125!L31)</f>
        <v>0.40012483270634358</v>
      </c>
      <c r="AG31" s="2">
        <f>IF('Modell einstellen'!$B$2="Ja",creep_res160!P31,creep_res160!L31)</f>
        <v>0.39989554044174197</v>
      </c>
      <c r="AL31" s="2">
        <f t="shared" si="12"/>
        <v>10000000000000</v>
      </c>
      <c r="AM31" s="2">
        <f t="shared" si="13"/>
        <v>2380.901782740345</v>
      </c>
      <c r="AN31" s="2">
        <f t="shared" si="14"/>
        <v>1785.8998006119411</v>
      </c>
      <c r="AO31" s="2">
        <f t="shared" si="15"/>
        <v>882.60529508909428</v>
      </c>
      <c r="AP31" s="2">
        <f t="shared" si="16"/>
        <v>167.95607666429018</v>
      </c>
      <c r="AQ31" s="2">
        <f t="shared" si="17"/>
        <v>91.23127997996707</v>
      </c>
      <c r="AR31" s="2">
        <f t="shared" si="18"/>
        <v>90.886673770022838</v>
      </c>
      <c r="AS31" s="2">
        <f t="shared" si="19"/>
        <v>90.794437108888047</v>
      </c>
      <c r="AX31" s="2">
        <f t="shared" si="28"/>
        <v>10000000000000</v>
      </c>
      <c r="AY31" s="37">
        <f t="shared" si="20"/>
        <v>8856.7683423672406</v>
      </c>
      <c r="AZ31" s="37">
        <f t="shared" si="21"/>
        <v>6489.0635917849504</v>
      </c>
      <c r="BA31" s="37">
        <f t="shared" si="22"/>
        <v>3285.2835273837663</v>
      </c>
      <c r="BB31" s="37">
        <f t="shared" si="23"/>
        <v>724.82946833551421</v>
      </c>
      <c r="BC31" s="37">
        <f t="shared" si="24"/>
        <v>429.87012763703814</v>
      </c>
      <c r="BD31" s="37">
        <f t="shared" si="25"/>
        <v>424.70580143756354</v>
      </c>
      <c r="BE31" s="37">
        <f t="shared" si="26"/>
        <v>423.23365068359851</v>
      </c>
    </row>
    <row r="32" spans="1:57" x14ac:dyDescent="0.25">
      <c r="A32" s="2">
        <f>'creep_res-40'!A32</f>
        <v>100000000000000</v>
      </c>
      <c r="B32" s="3">
        <f>'creep_res-40'!O32</f>
        <v>-1.8067370285714287E-3</v>
      </c>
      <c r="C32" s="2">
        <f>IF('Modell einstellen'!$B$2="Ja",creep_res0!O32,creep_res0!C32)</f>
        <v>-2.7212866285714287E-3</v>
      </c>
      <c r="D32" s="2">
        <f>IF('Modell einstellen'!$B$2="Ja",creep_res25!O32,creep_res25!C32)</f>
        <v>-7.0580468571428577E-3</v>
      </c>
      <c r="E32" s="2">
        <f>IF('Modell einstellen'!$B$2="Ja",creep_res50!O32,creep_res50!C32)</f>
        <v>-3.0989681714285715E-2</v>
      </c>
      <c r="F32" s="2">
        <f>IF('Modell einstellen'!$B$2="Ja",creep_res80!O32,creep_res80!C32)</f>
        <v>-3.9133293142857142E-2</v>
      </c>
      <c r="G32" s="2">
        <f>IF('Modell einstellen'!$B$2="Ja",creep_res125!O32,creep_res125!C32)</f>
        <v>-3.9614430857142863E-2</v>
      </c>
      <c r="H32" s="2">
        <f>IF('Modell einstellen'!$B$2="Ja",creep_res160!O32,creep_res160!C32)</f>
        <v>-3.9678557142857146E-2</v>
      </c>
      <c r="M32" s="9">
        <f t="shared" si="27"/>
        <v>-10</v>
      </c>
      <c r="N32" s="2">
        <f t="shared" si="4"/>
        <v>100000000000000</v>
      </c>
      <c r="O32" s="2">
        <f t="shared" si="5"/>
        <v>5534.8397923226894</v>
      </c>
      <c r="P32" s="2">
        <f t="shared" si="6"/>
        <v>3674.7323471947598</v>
      </c>
      <c r="Q32" s="2">
        <f t="shared" si="7"/>
        <v>1416.8225576286502</v>
      </c>
      <c r="R32" s="2">
        <f t="shared" si="8"/>
        <v>322.68805120996677</v>
      </c>
      <c r="S32" s="2">
        <f t="shared" si="9"/>
        <v>255.53688935645488</v>
      </c>
      <c r="T32" s="2">
        <f t="shared" si="10"/>
        <v>252.43326191058742</v>
      </c>
      <c r="U32" s="2">
        <f t="shared" si="11"/>
        <v>252.02529325843139</v>
      </c>
      <c r="Z32" s="2">
        <v>100000000000000</v>
      </c>
      <c r="AA32" s="3">
        <f>IF('Modell einstellen'!$B$2="Ja",'creep_res-40'!P32,'creep_res-40'!L32)</f>
        <v>0.37516292196274398</v>
      </c>
      <c r="AB32" s="2">
        <f>IF('Modell einstellen'!$B$2="Ja",creep_res0!P32,creep_res0!L32)</f>
        <v>0.3735185684015519</v>
      </c>
      <c r="AC32" s="2">
        <f>IF('Modell einstellen'!$B$2="Ja",creep_res25!P32,creep_res25!L32)</f>
        <v>0.37829150144491613</v>
      </c>
      <c r="AD32" s="2">
        <f>IF('Modell einstellen'!$B$2="Ja",creep_res50!P32,creep_res50!L32)</f>
        <v>0.39624241381135833</v>
      </c>
      <c r="AE32" s="2">
        <f>IF('Modell einstellen'!$B$2="Ja",creep_res80!P32,creep_res80!L32)</f>
        <v>0.40081755450233147</v>
      </c>
      <c r="AF32" s="2">
        <f>IF('Modell einstellen'!$B$2="Ja",creep_res125!P32,creep_res125!L32)</f>
        <v>0.39789798678559474</v>
      </c>
      <c r="AG32" s="2">
        <f>IF('Modell einstellen'!$B$2="Ja",creep_res160!P32,creep_res160!L32)</f>
        <v>0.39769419898981057</v>
      </c>
      <c r="AL32" s="2">
        <f t="shared" si="12"/>
        <v>100000000000000</v>
      </c>
      <c r="AM32" s="2">
        <f t="shared" si="13"/>
        <v>2012.430565108212</v>
      </c>
      <c r="AN32" s="2">
        <f t="shared" si="14"/>
        <v>1337.7075606161161</v>
      </c>
      <c r="AO32" s="2">
        <f t="shared" si="15"/>
        <v>513.97783275284667</v>
      </c>
      <c r="AP32" s="2">
        <f t="shared" si="16"/>
        <v>115.55588342611547</v>
      </c>
      <c r="AQ32" s="2">
        <f t="shared" si="17"/>
        <v>91.209911146223277</v>
      </c>
      <c r="AR32" s="2">
        <f t="shared" si="18"/>
        <v>90.290301687552557</v>
      </c>
      <c r="AS32" s="2">
        <f t="shared" si="19"/>
        <v>90.157522811707935</v>
      </c>
      <c r="AX32" s="2">
        <f t="shared" si="28"/>
        <v>100000000000000</v>
      </c>
      <c r="AY32" s="37">
        <f t="shared" si="20"/>
        <v>7389.4175770851343</v>
      </c>
      <c r="AZ32" s="37">
        <f t="shared" si="21"/>
        <v>4842.2553687053723</v>
      </c>
      <c r="BA32" s="37">
        <f t="shared" si="22"/>
        <v>1940.1857367522732</v>
      </c>
      <c r="BB32" s="37">
        <f t="shared" si="23"/>
        <v>518.33647874718224</v>
      </c>
      <c r="BC32" s="37">
        <f t="shared" si="24"/>
        <v>429.40543909466612</v>
      </c>
      <c r="BD32" s="37">
        <f t="shared" si="25"/>
        <v>412.06053626076198</v>
      </c>
      <c r="BE32" s="37">
        <f t="shared" si="26"/>
        <v>410.57511038781047</v>
      </c>
    </row>
    <row r="33" spans="1:60" x14ac:dyDescent="0.25">
      <c r="A33" s="2">
        <f>'creep_res-40'!A33</f>
        <v>1000000000000000</v>
      </c>
      <c r="B33" s="3">
        <f>'creep_res-40'!O33</f>
        <v>-2.2795963428571429E-3</v>
      </c>
      <c r="C33" s="2">
        <f>IF('Modell einstellen'!$B$2="Ja",creep_res0!O33,creep_res0!C33)</f>
        <v>-4.2085354857142859E-3</v>
      </c>
      <c r="D33" s="2">
        <f>IF('Modell einstellen'!$B$2="Ja",creep_res25!O33,creep_res25!C33)</f>
        <v>-1.2567767428571429E-2</v>
      </c>
      <c r="E33" s="2">
        <f>IF('Modell einstellen'!$B$2="Ja",creep_res50!O33,creep_res50!C33)</f>
        <v>-3.5601946857142859E-2</v>
      </c>
      <c r="F33" s="2">
        <f>IF('Modell einstellen'!$B$2="Ja",creep_res80!O33,creep_res80!C33)</f>
        <v>-3.961332E-2</v>
      </c>
      <c r="G33" s="2">
        <f>IF('Modell einstellen'!$B$2="Ja",creep_res125!O33,creep_res125!C33)</f>
        <v>-3.9740222857142862E-2</v>
      </c>
      <c r="H33" s="2">
        <f>IF('Modell einstellen'!$B$2="Ja",creep_res160!O33,creep_res160!C33)</f>
        <v>-3.9819933714285716E-2</v>
      </c>
      <c r="M33" s="9">
        <f>M31</f>
        <v>-10</v>
      </c>
      <c r="N33" s="2">
        <f t="shared" si="4"/>
        <v>1000000000000000</v>
      </c>
      <c r="O33" s="2">
        <f t="shared" si="5"/>
        <v>4386.7415524392591</v>
      </c>
      <c r="P33" s="2">
        <f t="shared" si="6"/>
        <v>2376.123483797302</v>
      </c>
      <c r="Q33" s="2">
        <f t="shared" si="7"/>
        <v>795.68627099719447</v>
      </c>
      <c r="R33" s="2">
        <f t="shared" si="8"/>
        <v>280.88351572812059</v>
      </c>
      <c r="S33" s="2">
        <f t="shared" si="9"/>
        <v>252.44034077426483</v>
      </c>
      <c r="T33" s="2">
        <f t="shared" si="10"/>
        <v>251.63422047097583</v>
      </c>
      <c r="U33" s="2">
        <f t="shared" si="11"/>
        <v>251.13050342453033</v>
      </c>
      <c r="Z33" s="2">
        <v>1000000000000000</v>
      </c>
      <c r="AA33" s="3">
        <f>IF('Modell einstellen'!$B$2="Ja",'creep_res-40'!P33,'creep_res-40'!L33)</f>
        <v>0.37421321910224914</v>
      </c>
      <c r="AB33" s="2">
        <f>IF('Modell einstellen'!$B$2="Ja",creep_res0!P33,creep_res0!L33)</f>
        <v>0.3742432369178007</v>
      </c>
      <c r="AC33" s="2">
        <f>IF('Modell einstellen'!$B$2="Ja",creep_res25!P33,creep_res25!L33)</f>
        <v>0.38163167791638225</v>
      </c>
      <c r="AD33" s="2">
        <f>IF('Modell einstellen'!$B$2="Ja",creep_res50!P33,creep_res50!L33)</f>
        <v>0.3969918210090822</v>
      </c>
      <c r="AE33" s="2">
        <f>IF('Modell einstellen'!$B$2="Ja",creep_res80!P33,creep_res80!L33)</f>
        <v>0.39776288812522081</v>
      </c>
      <c r="AF33" s="2">
        <f>IF('Modell einstellen'!$B$2="Ja",creep_res125!P33,creep_res125!L33)</f>
        <v>0.39709348096257707</v>
      </c>
      <c r="AG33" s="2">
        <f>IF('Modell einstellen'!$B$2="Ja",creep_res160!P33,creep_res160!L33)</f>
        <v>0.39651267841674243</v>
      </c>
      <c r="AL33" s="2">
        <f t="shared" si="12"/>
        <v>1000000000000000</v>
      </c>
      <c r="AM33" s="2">
        <f t="shared" si="13"/>
        <v>1596.0920370512245</v>
      </c>
      <c r="AN33" s="2">
        <f t="shared" si="14"/>
        <v>864.52071218722244</v>
      </c>
      <c r="AO33" s="2">
        <f t="shared" si="15"/>
        <v>287.95166024173568</v>
      </c>
      <c r="AP33" s="2">
        <f t="shared" si="16"/>
        <v>100.53155340781859</v>
      </c>
      <c r="AQ33" s="2">
        <f t="shared" si="17"/>
        <v>90.301560772176387</v>
      </c>
      <c r="AR33" s="2">
        <f t="shared" si="18"/>
        <v>90.056329050223439</v>
      </c>
      <c r="AS33" s="2">
        <f t="shared" si="19"/>
        <v>89.913434838716469</v>
      </c>
      <c r="AX33" s="2">
        <f>AL33</f>
        <v>1000000000000000</v>
      </c>
      <c r="AY33" s="37">
        <f t="shared" si="20"/>
        <v>5812.4040289060513</v>
      </c>
      <c r="AZ33" s="37">
        <f t="shared" si="21"/>
        <v>3149.0996661072604</v>
      </c>
      <c r="BA33" s="37">
        <f t="shared" si="22"/>
        <v>1120.3536230398786</v>
      </c>
      <c r="BB33" s="37">
        <f t="shared" si="23"/>
        <v>454.46798250989048</v>
      </c>
      <c r="BC33" s="37">
        <f t="shared" si="24"/>
        <v>411.52756917249343</v>
      </c>
      <c r="BD33" s="37">
        <f t="shared" si="25"/>
        <v>407.54499459758341</v>
      </c>
      <c r="BE33" s="37">
        <f t="shared" si="26"/>
        <v>404.44648932589445</v>
      </c>
    </row>
    <row r="34" spans="1:60" x14ac:dyDescent="0.25">
      <c r="A34" s="126" t="s">
        <v>4</v>
      </c>
      <c r="B34" s="126"/>
      <c r="C34" s="126"/>
      <c r="D34" s="126"/>
      <c r="E34" s="126"/>
      <c r="F34" s="126"/>
      <c r="G34" s="126"/>
      <c r="H34" s="126"/>
      <c r="I34" s="126"/>
      <c r="J34" s="126"/>
      <c r="K34" s="126"/>
      <c r="M34" s="126" t="s">
        <v>2</v>
      </c>
      <c r="N34" s="126"/>
      <c r="O34" s="126"/>
      <c r="P34" s="126"/>
      <c r="Q34" s="126"/>
      <c r="R34" s="126"/>
      <c r="S34" s="126"/>
      <c r="T34" s="126"/>
      <c r="U34" s="126"/>
      <c r="V34" s="126"/>
      <c r="W34" s="126"/>
      <c r="X34" s="126"/>
      <c r="Z34" s="127" t="s">
        <v>5</v>
      </c>
      <c r="AA34" s="127"/>
      <c r="AB34" s="127"/>
      <c r="AC34" s="127"/>
      <c r="AD34" s="127"/>
      <c r="AE34" s="127"/>
      <c r="AF34" s="127"/>
      <c r="AG34" s="127"/>
      <c r="AH34" s="127"/>
      <c r="AI34" s="127"/>
      <c r="AJ34" s="127"/>
      <c r="AL34" s="126" t="s">
        <v>3</v>
      </c>
      <c r="AM34" s="126"/>
      <c r="AN34" s="126"/>
      <c r="AO34" s="126"/>
      <c r="AP34" s="126"/>
      <c r="AQ34" s="126"/>
      <c r="AR34" s="126"/>
      <c r="AS34" s="126"/>
      <c r="AT34" s="126"/>
      <c r="AU34" s="126"/>
      <c r="AV34" s="126"/>
      <c r="AX34" s="126" t="s">
        <v>1</v>
      </c>
      <c r="AY34" s="126"/>
      <c r="AZ34" s="126"/>
      <c r="BA34" s="126"/>
      <c r="BB34" s="126"/>
      <c r="BC34" s="126"/>
      <c r="BD34" s="126"/>
      <c r="BE34" s="126"/>
      <c r="BF34" s="126"/>
      <c r="BG34" s="126"/>
      <c r="BH34" s="126"/>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zoomScale="120" zoomScaleNormal="120" zoomScaleSheetLayoutView="110" workbookViewId="0">
      <selection activeCell="B51" sqref="B51"/>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109</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80</v>
      </c>
      <c r="D2" s="11">
        <f>1</f>
        <v>1</v>
      </c>
      <c r="E2" s="11">
        <f>D2+1</f>
        <v>2</v>
      </c>
      <c r="F2" s="11">
        <f t="shared" ref="F2:J2" si="0">E2+1</f>
        <v>3</v>
      </c>
      <c r="G2" s="11">
        <f t="shared" si="0"/>
        <v>4</v>
      </c>
      <c r="H2" s="11">
        <f t="shared" si="0"/>
        <v>5</v>
      </c>
      <c r="I2" s="11">
        <f t="shared" si="0"/>
        <v>6</v>
      </c>
      <c r="J2" s="11">
        <f t="shared" si="0"/>
        <v>7</v>
      </c>
    </row>
    <row r="3" spans="1:36" x14ac:dyDescent="0.25">
      <c r="A3" s="11" t="s">
        <v>110</v>
      </c>
      <c r="B3" s="35">
        <v>5</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30" t="s">
        <v>26</v>
      </c>
      <c r="B15" s="130"/>
      <c r="C15" s="130"/>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7233.2784973668249</v>
      </c>
      <c r="G16" s="26">
        <f>INDEX(Comparison!$AM$3:$AS$33,G14,$B$3)</f>
        <v>7233.3436741214491</v>
      </c>
      <c r="H16" s="26">
        <f>INDEX(Comparison!$AM$3:$AS$33,H14,$B$3)</f>
        <v>7233.2477630478616</v>
      </c>
      <c r="I16" s="26">
        <f>INDEX(Comparison!$AM$3:$AS$33,I14,$B$3)</f>
        <v>7232.6642193149437</v>
      </c>
      <c r="J16" s="26">
        <f>INDEX(Comparison!$AM$3:$AS$33,J14,$B$3)</f>
        <v>7227.030574444283</v>
      </c>
      <c r="K16" s="26">
        <f>INDEX(Comparison!$AM$3:$AS$33,K14,$B$3)</f>
        <v>7179.9574188317292</v>
      </c>
      <c r="L16" s="26">
        <f>INDEX(Comparison!$AM$3:$AS$33,L14,$B$3)</f>
        <v>7042.6684859234238</v>
      </c>
      <c r="M16" s="26">
        <f>INDEX(Comparison!$AM$3:$AS$33,M14,$B$3)</f>
        <v>6896.670224560311</v>
      </c>
      <c r="N16" s="26">
        <f>INDEX(Comparison!$AM$3:$AS$33,N14,$B$3)</f>
        <v>6728.3118442587265</v>
      </c>
      <c r="O16" s="26">
        <f>INDEX(Comparison!$AM$3:$AS$33,O14,$B$3)</f>
        <v>6522.7483495061197</v>
      </c>
      <c r="P16" s="26">
        <f>INDEX(Comparison!$AM$3:$AS$33,P14,$B$3)</f>
        <v>6323.7668304163335</v>
      </c>
      <c r="Q16" s="26">
        <f>INDEX(Comparison!$AM$3:$AS$33,Q14,$B$3)</f>
        <v>6060.8557573682765</v>
      </c>
      <c r="R16" s="26">
        <f>INDEX(Comparison!$AM$3:$AS$33,R14,$B$3)</f>
        <v>5776.7475493188331</v>
      </c>
      <c r="S16" s="26">
        <f>INDEX(Comparison!$AM$3:$AS$33,S14,$B$3)</f>
        <v>5495.7675366958674</v>
      </c>
      <c r="T16" s="26">
        <f>INDEX(Comparison!$AM$3:$AS$33,T14,$B$3)</f>
        <v>5188.5996988750203</v>
      </c>
      <c r="U16" s="26">
        <f>INDEX(Comparison!$AM$3:$AS$33,U14,$B$3)</f>
        <v>4846.1759775211867</v>
      </c>
      <c r="V16" s="26">
        <f>INDEX(Comparison!$AM$3:$AS$33,V14,$B$3)</f>
        <v>4307.5308640863095</v>
      </c>
      <c r="W16" s="26">
        <f>INDEX(Comparison!$AM$3:$AS$33,W14,$B$3)</f>
        <v>3424.2409160347711</v>
      </c>
      <c r="X16" s="26">
        <f>INDEX(Comparison!$AM$3:$AS$33,X14,$B$3)</f>
        <v>2457.6306581082695</v>
      </c>
      <c r="Y16" s="26">
        <f>INDEX(Comparison!$AM$3:$AS$33,Y14,$B$3)</f>
        <v>1610.938712030013</v>
      </c>
      <c r="Z16" s="26">
        <f>INDEX(Comparison!$AM$3:$AS$33,Z14,$B$3)</f>
        <v>942.69111378955085</v>
      </c>
      <c r="AA16" s="26">
        <f>INDEX(Comparison!$AM$3:$AS$33,AA14,$B$3)</f>
        <v>510.32470275306576</v>
      </c>
      <c r="AB16" s="26">
        <f>INDEX(Comparison!$AM$3:$AS$33,AB14,$B$3)</f>
        <v>271.36767023207187</v>
      </c>
      <c r="AC16" s="26">
        <f>INDEX(Comparison!$AM$3:$AS$33,AC14,$B$3)</f>
        <v>152.45647454769647</v>
      </c>
      <c r="AD16" s="26">
        <f>INDEX(Comparison!$AM$3:$AS$33,AD14,$B$3)</f>
        <v>114.48528241321054</v>
      </c>
      <c r="AE16" s="26">
        <f>INDEX(Comparison!$AM$3:$AS$33,AE14,$B$3)</f>
        <v>101.06517730245214</v>
      </c>
      <c r="AF16" s="26">
        <f>INDEX(Comparison!$AM$3:$AS$33,AF14,$B$3)</f>
        <v>93.059878245985715</v>
      </c>
      <c r="AG16" s="26">
        <f>INDEX(Comparison!$AM$3:$AS$33,AG14,$B$3)</f>
        <v>92.631968530961771</v>
      </c>
      <c r="AH16" s="26">
        <f>INDEX(Comparison!$AM$3:$AS$33,AH14,$B$3)</f>
        <v>91.23127997996707</v>
      </c>
      <c r="AI16" s="26">
        <f>INDEX(Comparison!$AM$3:$AS$33,AI14,$B$3)</f>
        <v>91.209911146223277</v>
      </c>
      <c r="AJ16" s="26">
        <f>INDEX(Comparison!$AM$3:$AS$33,AJ14,$B$3)</f>
        <v>90.301560772176387</v>
      </c>
    </row>
    <row r="17" spans="1:36" x14ac:dyDescent="0.25">
      <c r="A17" s="14" t="s">
        <v>20</v>
      </c>
      <c r="B17" s="105">
        <v>1.1081017132758084E-2</v>
      </c>
      <c r="C17" s="18">
        <f t="shared" ref="C17:C48" si="3">ABS(B17/$B$49)</f>
        <v>1.1664035980702061E-2</v>
      </c>
      <c r="D17" s="66"/>
      <c r="E17" s="65" t="s">
        <v>22</v>
      </c>
      <c r="F17" s="27">
        <f>($C$17+SUM(F18:F48))*$B$51</f>
        <v>7233.6489151349888</v>
      </c>
      <c r="G17" s="27">
        <f t="shared" ref="G17:M17" si="4">($C$17+SUM(G18:G48))*$B$51</f>
        <v>7233.6412378886307</v>
      </c>
      <c r="H17" s="27">
        <f t="shared" si="4"/>
        <v>7233.5645127407743</v>
      </c>
      <c r="I17" s="27">
        <f t="shared" si="4"/>
        <v>7232.8019645906397</v>
      </c>
      <c r="J17" s="27">
        <f t="shared" si="4"/>
        <v>7225.619847777838</v>
      </c>
      <c r="K17" s="27">
        <f t="shared" si="4"/>
        <v>7180.2833661938748</v>
      </c>
      <c r="L17" s="27">
        <f t="shared" si="4"/>
        <v>7042.6134220273079</v>
      </c>
      <c r="M17" s="27">
        <f t="shared" si="4"/>
        <v>6896.7237029183789</v>
      </c>
      <c r="N17" s="27">
        <f t="shared" ref="N17" si="5">($C$17+SUM(N18:N48))*$B$51</f>
        <v>6728.1953309620003</v>
      </c>
      <c r="O17" s="27">
        <f t="shared" ref="O17" si="6">($C$17+SUM(O18:O48))*$B$51</f>
        <v>6522.9858724732439</v>
      </c>
      <c r="P17" s="27">
        <f t="shared" ref="P17" si="7">($C$17+SUM(P18:P48))*$B$51</f>
        <v>6323.3549224651961</v>
      </c>
      <c r="Q17" s="27">
        <f t="shared" ref="Q17" si="8">($C$17+SUM(Q18:Q48))*$B$51</f>
        <v>6061.4531858005121</v>
      </c>
      <c r="R17" s="27">
        <f t="shared" ref="R17" si="9">($C$17+SUM(R18:R48))*$B$51</f>
        <v>5776.012764615436</v>
      </c>
      <c r="S17" s="27">
        <f t="shared" ref="S17:T17" si="10">($C$17+SUM(S18:S48))*$B$51</f>
        <v>5496.5428995775655</v>
      </c>
      <c r="T17" s="27">
        <f t="shared" si="10"/>
        <v>5187.9027907448963</v>
      </c>
      <c r="U17" s="27">
        <f t="shared" ref="U17" si="11">($C$17+SUM(U18:U48))*$B$51</f>
        <v>4846.7041769983107</v>
      </c>
      <c r="V17" s="27">
        <f t="shared" ref="V17" si="12">($C$17+SUM(V18:V48))*$B$51</f>
        <v>4307.1872824997363</v>
      </c>
      <c r="W17" s="27">
        <f t="shared" ref="W17" si="13">($C$17+SUM(W18:W48))*$B$51</f>
        <v>3424.4406657342906</v>
      </c>
      <c r="X17" s="27">
        <f t="shared" ref="X17" si="14">($C$17+SUM(X18:X48))*$B$51</f>
        <v>2457.5271460883973</v>
      </c>
      <c r="Y17" s="27">
        <f t="shared" ref="Y17" si="15">($C$17+SUM(Y18:Y48))*$B$51</f>
        <v>1610.9820944062296</v>
      </c>
      <c r="Z17" s="27">
        <f t="shared" ref="Z17:AA17" si="16">($C$17+SUM(Z18:Z48))*$B$51</f>
        <v>942.67726251154704</v>
      </c>
      <c r="AA17" s="27">
        <f t="shared" si="16"/>
        <v>510.3275144611062</v>
      </c>
      <c r="AB17" s="27">
        <f t="shared" ref="AB17" si="17">($C$17+SUM(AB18:AB48))*$B$51</f>
        <v>271.37619567222657</v>
      </c>
      <c r="AC17" s="27">
        <f t="shared" ref="AC17" si="18">($C$17+SUM(AC18:AC48))*$B$51</f>
        <v>152.43284869278892</v>
      </c>
      <c r="AD17" s="27">
        <f t="shared" ref="AD17" si="19">($C$17+SUM(AD18:AD48))*$B$51</f>
        <v>114.52070603066497</v>
      </c>
      <c r="AE17" s="27">
        <f t="shared" ref="AE17" si="20">($C$17+SUM(AE18:AE48))*$B$51</f>
        <v>101.0217963372644</v>
      </c>
      <c r="AF17" s="27">
        <f t="shared" ref="AF17" si="21">($C$17+SUM(AF18:AF48))*$B$51</f>
        <v>93.163179445820916</v>
      </c>
      <c r="AG17" s="27">
        <f t="shared" ref="AG17:AH17" si="22">($C$17+SUM(AG18:AG48))*$B$51</f>
        <v>92.44109428906431</v>
      </c>
      <c r="AH17" s="27">
        <f t="shared" si="22"/>
        <v>91.485697154802935</v>
      </c>
      <c r="AI17" s="27">
        <f t="shared" ref="AI17" si="23">($C$17+SUM(AI18:AI48))*$B$51</f>
        <v>91.046181066402454</v>
      </c>
      <c r="AJ17" s="27">
        <f t="shared" ref="AJ17" si="24">($C$17+SUM(AJ18:AJ48))*$B$51</f>
        <v>90.32215647813598</v>
      </c>
    </row>
    <row r="18" spans="1:36" x14ac:dyDescent="0.25">
      <c r="A18" s="3">
        <f>0.000000000000001/10^5</f>
        <v>1.0000000000000001E-20</v>
      </c>
      <c r="B18" s="106">
        <v>1.2613302935264126E-2</v>
      </c>
      <c r="C18" s="18">
        <f t="shared" si="3"/>
        <v>1.3276941774369114E-2</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0</v>
      </c>
      <c r="C19" s="18">
        <f t="shared" si="3"/>
        <v>0</v>
      </c>
      <c r="D19" s="17"/>
      <c r="F19" s="3">
        <f t="shared" si="25"/>
        <v>0</v>
      </c>
      <c r="G19" s="3">
        <f t="shared" si="25"/>
        <v>0</v>
      </c>
      <c r="H19" s="3">
        <f t="shared" si="25"/>
        <v>0</v>
      </c>
      <c r="I19" s="3">
        <f t="shared" si="25"/>
        <v>0</v>
      </c>
      <c r="J19" s="3">
        <f t="shared" si="25"/>
        <v>0</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0</v>
      </c>
      <c r="C20" s="18">
        <f t="shared" si="3"/>
        <v>0</v>
      </c>
      <c r="D20" s="17"/>
      <c r="F20" s="3">
        <f t="shared" si="25"/>
        <v>0</v>
      </c>
      <c r="G20" s="3">
        <f t="shared" si="25"/>
        <v>0</v>
      </c>
      <c r="H20" s="3">
        <f t="shared" si="25"/>
        <v>0</v>
      </c>
      <c r="I20" s="3">
        <f t="shared" si="25"/>
        <v>0</v>
      </c>
      <c r="J20" s="3">
        <f t="shared" si="25"/>
        <v>0</v>
      </c>
      <c r="K20" s="3">
        <f t="shared" si="25"/>
        <v>0</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0</v>
      </c>
      <c r="C21" s="18">
        <f t="shared" si="3"/>
        <v>0</v>
      </c>
      <c r="D21" s="17"/>
      <c r="F21" s="3">
        <f t="shared" si="25"/>
        <v>0</v>
      </c>
      <c r="G21" s="3">
        <f t="shared" si="25"/>
        <v>0</v>
      </c>
      <c r="H21" s="3">
        <f t="shared" si="25"/>
        <v>0</v>
      </c>
      <c r="I21" s="3">
        <f t="shared" si="25"/>
        <v>0</v>
      </c>
      <c r="J21" s="3">
        <f t="shared" si="25"/>
        <v>0</v>
      </c>
      <c r="K21" s="3">
        <f t="shared" si="25"/>
        <v>0</v>
      </c>
      <c r="L21" s="3">
        <f t="shared" si="25"/>
        <v>0</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3.7139024484136637E-3</v>
      </c>
      <c r="C22" s="18">
        <f t="shared" si="3"/>
        <v>3.9093064533808055E-3</v>
      </c>
      <c r="D22" s="17"/>
      <c r="F22" s="3">
        <f t="shared" si="25"/>
        <v>3.9092329449221148E-3</v>
      </c>
      <c r="G22" s="3">
        <f t="shared" si="25"/>
        <v>3.9085714309903541E-3</v>
      </c>
      <c r="H22" s="3">
        <f t="shared" si="25"/>
        <v>3.9019624452644439E-3</v>
      </c>
      <c r="I22" s="3">
        <f t="shared" si="25"/>
        <v>3.8364841114166661E-3</v>
      </c>
      <c r="J22" s="3">
        <f t="shared" si="25"/>
        <v>3.2391912566319993E-3</v>
      </c>
      <c r="K22" s="3">
        <f t="shared" si="25"/>
        <v>5.9630502223746392E-4</v>
      </c>
      <c r="L22" s="3">
        <f t="shared" si="25"/>
        <v>2.6655523925511762E-11</v>
      </c>
      <c r="M22" s="3">
        <f t="shared" si="25"/>
        <v>8.4913117137170115E-85</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2.2130639238165252E-2</v>
      </c>
      <c r="C23" s="18">
        <f t="shared" si="3"/>
        <v>2.3295025109815591E-2</v>
      </c>
      <c r="D23" s="17"/>
      <c r="F23" s="3">
        <f t="shared" si="25"/>
        <v>2.3294985595807095E-2</v>
      </c>
      <c r="G23" s="3">
        <f t="shared" si="25"/>
        <v>2.3294629972746766E-2</v>
      </c>
      <c r="H23" s="3">
        <f t="shared" si="25"/>
        <v>2.3291074040723093E-2</v>
      </c>
      <c r="I23" s="3">
        <f t="shared" si="25"/>
        <v>2.3255544561591551E-2</v>
      </c>
      <c r="J23" s="3">
        <f t="shared" si="25"/>
        <v>2.290321709368049E-2</v>
      </c>
      <c r="K23" s="3">
        <f t="shared" si="25"/>
        <v>1.9660576597897099E-2</v>
      </c>
      <c r="L23" s="3">
        <f t="shared" si="25"/>
        <v>4.271632271198797E-3</v>
      </c>
      <c r="M23" s="3">
        <f t="shared" si="25"/>
        <v>1.0013132020307777E-9</v>
      </c>
      <c r="N23" s="3">
        <f t="shared" si="25"/>
        <v>5.0156910358407281E-76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1.8398369302534641E-2</v>
      </c>
      <c r="C24" s="18">
        <f t="shared" si="3"/>
        <v>1.9366384778578011E-2</v>
      </c>
      <c r="D24" s="17"/>
      <c r="F24" s="3">
        <f t="shared" si="25"/>
        <v>1.9366381815225014E-2</v>
      </c>
      <c r="G24" s="3">
        <f t="shared" si="25"/>
        <v>1.9366355145068428E-2</v>
      </c>
      <c r="H24" s="3">
        <f t="shared" si="25"/>
        <v>1.936608844552264E-2</v>
      </c>
      <c r="I24" s="3">
        <f t="shared" si="25"/>
        <v>1.936342165206012E-2</v>
      </c>
      <c r="J24" s="3">
        <f t="shared" si="25"/>
        <v>1.9336773906682887E-2</v>
      </c>
      <c r="K24" s="3">
        <f t="shared" si="25"/>
        <v>1.9072305128242734E-2</v>
      </c>
      <c r="L24" s="3">
        <f t="shared" si="25"/>
        <v>1.6618616073960504E-2</v>
      </c>
      <c r="M24" s="3">
        <f t="shared" si="25"/>
        <v>4.1928713876468642E-3</v>
      </c>
      <c r="N24" s="3">
        <f t="shared" si="25"/>
        <v>4.3820608445736848E-9</v>
      </c>
      <c r="O24" s="3">
        <f t="shared" si="25"/>
        <v>6.8131355135764367E-69</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2.3225543327464581E-2</v>
      </c>
      <c r="C25" s="18">
        <f t="shared" si="3"/>
        <v>2.4447536701486281E-2</v>
      </c>
      <c r="D25" s="17"/>
      <c r="F25" s="3">
        <f t="shared" si="25"/>
        <v>2.4447536364030742E-2</v>
      </c>
      <c r="G25" s="3">
        <f t="shared" si="25"/>
        <v>2.4447533326931111E-2</v>
      </c>
      <c r="H25" s="3">
        <f t="shared" si="25"/>
        <v>2.4447502955955526E-2</v>
      </c>
      <c r="I25" s="3">
        <f t="shared" si="25"/>
        <v>2.4447199248274792E-2</v>
      </c>
      <c r="J25" s="3">
        <f t="shared" si="25"/>
        <v>2.4444162378970104E-2</v>
      </c>
      <c r="K25" s="3">
        <f t="shared" si="25"/>
        <v>2.4413814426648743E-2</v>
      </c>
      <c r="L25" s="3">
        <f t="shared" si="25"/>
        <v>2.4112399474148838E-2</v>
      </c>
      <c r="M25" s="3">
        <f t="shared" si="25"/>
        <v>2.1295524428818956E-2</v>
      </c>
      <c r="N25" s="3">
        <f t="shared" si="25"/>
        <v>6.1484753301285925E-3</v>
      </c>
      <c r="O25" s="3">
        <f t="shared" si="25"/>
        <v>2.4749041693972653E-8</v>
      </c>
      <c r="P25" s="3">
        <f t="shared" si="25"/>
        <v>2.7635537258682054E-62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3.0497936191168751E-2</v>
      </c>
      <c r="C26" s="18">
        <f t="shared" si="3"/>
        <v>3.2102560695383232E-2</v>
      </c>
      <c r="D26" s="17"/>
      <c r="F26" s="3">
        <f t="shared" si="25"/>
        <v>3.2102560655410138E-2</v>
      </c>
      <c r="G26" s="3">
        <f t="shared" si="25"/>
        <v>3.2102560295652331E-2</v>
      </c>
      <c r="H26" s="3">
        <f t="shared" si="25"/>
        <v>3.2102556698074471E-2</v>
      </c>
      <c r="I26" s="3">
        <f t="shared" si="25"/>
        <v>3.2102520722317986E-2</v>
      </c>
      <c r="J26" s="3">
        <f t="shared" si="25"/>
        <v>3.2102160966970543E-2</v>
      </c>
      <c r="K26" s="3">
        <f t="shared" si="25"/>
        <v>3.2098563635225653E-2</v>
      </c>
      <c r="L26" s="3">
        <f t="shared" si="25"/>
        <v>3.206261248153526E-2</v>
      </c>
      <c r="M26" s="3">
        <f t="shared" si="25"/>
        <v>3.1705308157965933E-2</v>
      </c>
      <c r="N26" s="3">
        <f t="shared" si="25"/>
        <v>2.8344102160555905E-2</v>
      </c>
      <c r="O26" s="3">
        <f t="shared" si="25"/>
        <v>9.2420851344690996E-3</v>
      </c>
      <c r="P26" s="3">
        <f t="shared" si="25"/>
        <v>1.255574728057491E-7</v>
      </c>
      <c r="Q26" s="3">
        <f t="shared" si="25"/>
        <v>2.6888623833737952E-56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2.2928101067643942E-2</v>
      </c>
      <c r="C27" s="18">
        <f t="shared" si="3"/>
        <v>2.4134444755217831E-2</v>
      </c>
      <c r="D27" s="17"/>
      <c r="F27" s="3">
        <f t="shared" si="25"/>
        <v>2.413444475250694E-2</v>
      </c>
      <c r="G27" s="3">
        <f t="shared" si="25"/>
        <v>2.4134444728108925E-2</v>
      </c>
      <c r="H27" s="3">
        <f t="shared" si="25"/>
        <v>2.4134444484128798E-2</v>
      </c>
      <c r="I27" s="3">
        <f t="shared" si="25"/>
        <v>2.4134442044327645E-2</v>
      </c>
      <c r="J27" s="3">
        <f t="shared" si="25"/>
        <v>2.4134417646329669E-2</v>
      </c>
      <c r="K27" s="3">
        <f t="shared" si="25"/>
        <v>2.4134173667706472E-2</v>
      </c>
      <c r="L27" s="3">
        <f t="shared" si="25"/>
        <v>2.4131734017123353E-2</v>
      </c>
      <c r="M27" s="3">
        <f t="shared" si="25"/>
        <v>2.4107351071108816E-2</v>
      </c>
      <c r="N27" s="3">
        <f t="shared" si="25"/>
        <v>2.3864872534389434E-2</v>
      </c>
      <c r="O27" s="3">
        <f t="shared" si="25"/>
        <v>2.1570260252702752E-2</v>
      </c>
      <c r="P27" s="3">
        <f t="shared" si="25"/>
        <v>7.8490671529681793E-3</v>
      </c>
      <c r="Q27" s="3">
        <f t="shared" si="25"/>
        <v>3.194807103875274E-7</v>
      </c>
      <c r="R27" s="3">
        <f t="shared" si="25"/>
        <v>3.9875910143932315E-51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4.3246747211930885E-2</v>
      </c>
      <c r="C28" s="18">
        <f t="shared" si="3"/>
        <v>4.5522140204717329E-2</v>
      </c>
      <c r="D28" s="17"/>
      <c r="F28" s="3">
        <f t="shared" si="25"/>
        <v>4.5522140204256073E-2</v>
      </c>
      <c r="G28" s="3">
        <f t="shared" si="25"/>
        <v>4.5522140200104748E-2</v>
      </c>
      <c r="H28" s="3">
        <f t="shared" si="25"/>
        <v>4.5522140158591531E-2</v>
      </c>
      <c r="I28" s="3">
        <f t="shared" si="25"/>
        <v>4.5522139743459346E-2</v>
      </c>
      <c r="J28" s="3">
        <f t="shared" si="25"/>
        <v>4.5522135592137677E-2</v>
      </c>
      <c r="K28" s="3">
        <f t="shared" si="25"/>
        <v>4.5522094078941824E-2</v>
      </c>
      <c r="L28" s="3">
        <f t="shared" si="25"/>
        <v>4.552167894906544E-2</v>
      </c>
      <c r="M28" s="3">
        <f t="shared" si="25"/>
        <v>4.5517527858509231E-2</v>
      </c>
      <c r="N28" s="3">
        <f t="shared" si="25"/>
        <v>4.5476037766682506E-2</v>
      </c>
      <c r="O28" s="3">
        <f t="shared" si="25"/>
        <v>4.5063211216171989E-2</v>
      </c>
      <c r="P28" s="3">
        <f t="shared" si="25"/>
        <v>4.1135550711049899E-2</v>
      </c>
      <c r="Q28" s="3">
        <f t="shared" si="25"/>
        <v>1.6526051831722396E-2</v>
      </c>
      <c r="R28" s="3">
        <f t="shared" si="25"/>
        <v>1.8100353506893744E-6</v>
      </c>
      <c r="S28" s="3">
        <f t="shared" si="25"/>
        <v>4.4964163725535189E-46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3.5561875706115305E-2</v>
      </c>
      <c r="C29" s="18">
        <f t="shared" si="3"/>
        <v>3.7432935335074267E-2</v>
      </c>
      <c r="D29" s="17"/>
      <c r="F29" s="3">
        <f t="shared" si="25"/>
        <v>3.7432935335040052E-2</v>
      </c>
      <c r="G29" s="3">
        <f t="shared" si="25"/>
        <v>3.7432935334732111E-2</v>
      </c>
      <c r="H29" s="3">
        <f t="shared" si="25"/>
        <v>3.7432935331652727E-2</v>
      </c>
      <c r="I29" s="3">
        <f t="shared" si="25"/>
        <v>3.7432935300858859E-2</v>
      </c>
      <c r="J29" s="3">
        <f t="shared" si="25"/>
        <v>3.7432934992920205E-2</v>
      </c>
      <c r="K29" s="3">
        <f t="shared" si="25"/>
        <v>3.7432931913533779E-2</v>
      </c>
      <c r="L29" s="3">
        <f t="shared" si="25"/>
        <v>3.743290111968342E-2</v>
      </c>
      <c r="M29" s="3">
        <f t="shared" si="25"/>
        <v>3.743259318257311E-2</v>
      </c>
      <c r="N29" s="3">
        <f t="shared" si="25"/>
        <v>3.7429513950792928E-2</v>
      </c>
      <c r="O29" s="3">
        <f t="shared" si="25"/>
        <v>3.7398735561042638E-2</v>
      </c>
      <c r="P29" s="3">
        <f t="shared" si="25"/>
        <v>3.709234023862247E-2</v>
      </c>
      <c r="Q29" s="3">
        <f t="shared" si="25"/>
        <v>3.4163109414130394E-2</v>
      </c>
      <c r="R29" s="3">
        <f t="shared" si="25"/>
        <v>1.500682999299398E-2</v>
      </c>
      <c r="S29" s="3">
        <f t="shared" si="25"/>
        <v>4.0142523459806161E-6</v>
      </c>
      <c r="T29" s="3">
        <f t="shared" si="25"/>
        <v>7.5294237982890001E-42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3.9035303229104625E-2</v>
      </c>
      <c r="C30" s="18">
        <f t="shared" si="3"/>
        <v>4.1089114467289377E-2</v>
      </c>
      <c r="D30" s="17"/>
      <c r="F30" s="3">
        <f t="shared" si="25"/>
        <v>4.1089114467285991E-2</v>
      </c>
      <c r="G30" s="3">
        <f t="shared" si="25"/>
        <v>4.1089114467255494E-2</v>
      </c>
      <c r="H30" s="3">
        <f t="shared" si="25"/>
        <v>4.1089114466950578E-2</v>
      </c>
      <c r="I30" s="3">
        <f t="shared" si="25"/>
        <v>4.1089114463901392E-2</v>
      </c>
      <c r="J30" s="3">
        <f t="shared" si="25"/>
        <v>4.1089114433409547E-2</v>
      </c>
      <c r="K30" s="3">
        <f t="shared" si="25"/>
        <v>4.1089114128491103E-2</v>
      </c>
      <c r="L30" s="3">
        <f t="shared" si="25"/>
        <v>4.1089111079306753E-2</v>
      </c>
      <c r="M30" s="3">
        <f t="shared" si="25"/>
        <v>4.1089080587475686E-2</v>
      </c>
      <c r="N30" s="3">
        <f t="shared" si="25"/>
        <v>4.1088775670409569E-2</v>
      </c>
      <c r="O30" s="3">
        <f t="shared" si="25"/>
        <v>4.1085726624197016E-2</v>
      </c>
      <c r="P30" s="3">
        <f t="shared" si="25"/>
        <v>4.105524860351651E-2</v>
      </c>
      <c r="Q30" s="3">
        <f t="shared" si="25"/>
        <v>4.0751709131889767E-2</v>
      </c>
      <c r="R30" s="3">
        <f t="shared" si="25"/>
        <v>3.7837047772339434E-2</v>
      </c>
      <c r="S30" s="3">
        <f t="shared" si="25"/>
        <v>1.8014881023627832E-2</v>
      </c>
      <c r="T30" s="3">
        <f t="shared" si="25"/>
        <v>1.0783827879487193E-5</v>
      </c>
      <c r="U30" s="3">
        <f t="shared" si="25"/>
        <v>6.3707188568904995E-38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4.3933565203873128E-2</v>
      </c>
      <c r="C31" s="18">
        <f t="shared" si="3"/>
        <v>4.624509457562298E-2</v>
      </c>
      <c r="D31" s="17"/>
      <c r="F31" s="3">
        <f t="shared" si="25"/>
        <v>4.6245094575622633E-2</v>
      </c>
      <c r="G31" s="3">
        <f t="shared" si="25"/>
        <v>4.6245094575619539E-2</v>
      </c>
      <c r="H31" s="3">
        <f t="shared" si="25"/>
        <v>4.6245094575588584E-2</v>
      </c>
      <c r="I31" s="3">
        <f t="shared" si="25"/>
        <v>4.6245094575279005E-2</v>
      </c>
      <c r="J31" s="3">
        <f t="shared" si="25"/>
        <v>4.6245094572183232E-2</v>
      </c>
      <c r="K31" s="3">
        <f t="shared" si="25"/>
        <v>4.6245094541225495E-2</v>
      </c>
      <c r="L31" s="3">
        <f t="shared" si="25"/>
        <v>4.6245094231648146E-2</v>
      </c>
      <c r="M31" s="3">
        <f t="shared" si="25"/>
        <v>4.6245091135874737E-2</v>
      </c>
      <c r="N31" s="3">
        <f t="shared" si="25"/>
        <v>4.624506017815206E-2</v>
      </c>
      <c r="O31" s="3">
        <f t="shared" si="25"/>
        <v>4.6244750602065107E-2</v>
      </c>
      <c r="P31" s="3">
        <f t="shared" si="25"/>
        <v>4.624165495517419E-2</v>
      </c>
      <c r="Q31" s="3">
        <f t="shared" si="25"/>
        <v>4.6210709881305372E-2</v>
      </c>
      <c r="R31" s="3">
        <f t="shared" si="25"/>
        <v>4.5902395829284369E-2</v>
      </c>
      <c r="S31" s="3">
        <f t="shared" si="25"/>
        <v>4.2930158241938854E-2</v>
      </c>
      <c r="T31" s="3">
        <f t="shared" si="25"/>
        <v>2.1980311631254169E-2</v>
      </c>
      <c r="U31" s="3">
        <f t="shared" si="25"/>
        <v>2.7211181986308148E-5</v>
      </c>
      <c r="V31" s="3">
        <f t="shared" si="26"/>
        <v>2.3008219983309746E-34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4.0045508382072166E-2</v>
      </c>
      <c r="C32" s="18">
        <f t="shared" si="3"/>
        <v>4.2152470755880481E-2</v>
      </c>
      <c r="D32" s="17"/>
      <c r="F32" s="3">
        <f t="shared" si="25"/>
        <v>4.2152470755880453E-2</v>
      </c>
      <c r="G32" s="3">
        <f t="shared" si="25"/>
        <v>4.2152470755880203E-2</v>
      </c>
      <c r="H32" s="3">
        <f t="shared" si="25"/>
        <v>4.2152470755877657E-2</v>
      </c>
      <c r="I32" s="3">
        <f t="shared" si="25"/>
        <v>4.2152470755852198E-2</v>
      </c>
      <c r="J32" s="3">
        <f t="shared" si="25"/>
        <v>4.2152470755597651E-2</v>
      </c>
      <c r="K32" s="3">
        <f t="shared" si="25"/>
        <v>4.2152470753052146E-2</v>
      </c>
      <c r="L32" s="3">
        <f t="shared" si="25"/>
        <v>4.2152470727597147E-2</v>
      </c>
      <c r="M32" s="3">
        <f t="shared" si="25"/>
        <v>4.2152470473047127E-2</v>
      </c>
      <c r="N32" s="3">
        <f t="shared" si="25"/>
        <v>4.2152467927547004E-2</v>
      </c>
      <c r="O32" s="3">
        <f t="shared" si="25"/>
        <v>4.2152442472554258E-2</v>
      </c>
      <c r="P32" s="3">
        <f t="shared" si="25"/>
        <v>4.2152187923472258E-2</v>
      </c>
      <c r="Q32" s="3">
        <f t="shared" si="25"/>
        <v>4.2149642517194726E-2</v>
      </c>
      <c r="R32" s="3">
        <f t="shared" si="25"/>
        <v>4.2124196906781958E-2</v>
      </c>
      <c r="S32" s="3">
        <f t="shared" si="25"/>
        <v>4.1870584153397096E-2</v>
      </c>
      <c r="T32" s="3">
        <f t="shared" si="25"/>
        <v>3.941693740130707E-2</v>
      </c>
      <c r="U32" s="3">
        <f t="shared" si="25"/>
        <v>2.1548718836117853E-2</v>
      </c>
      <c r="V32" s="3">
        <f t="shared" si="26"/>
        <v>5.1381552697321864E-5</v>
      </c>
      <c r="W32" s="3">
        <f t="shared" si="26"/>
        <v>3.0525649882225521E-31</v>
      </c>
      <c r="X32" s="3">
        <f t="shared" si="26"/>
        <v>1.6720215297582041E-293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0.10710411663281781</v>
      </c>
      <c r="C33" s="18">
        <f t="shared" si="3"/>
        <v>0.11273931401056794</v>
      </c>
      <c r="D33" s="17"/>
      <c r="F33" s="3">
        <f t="shared" si="25"/>
        <v>0.11273931401056793</v>
      </c>
      <c r="G33" s="3">
        <f t="shared" si="25"/>
        <v>0.11273931401056787</v>
      </c>
      <c r="H33" s="3">
        <f t="shared" si="25"/>
        <v>0.11273931401056725</v>
      </c>
      <c r="I33" s="3">
        <f t="shared" si="25"/>
        <v>0.11273931401056111</v>
      </c>
      <c r="J33" s="3">
        <f t="shared" si="25"/>
        <v>0.11273931401049971</v>
      </c>
      <c r="K33" s="3">
        <f t="shared" si="25"/>
        <v>0.11273931400988556</v>
      </c>
      <c r="L33" s="3">
        <f t="shared" si="25"/>
        <v>0.1127393140037441</v>
      </c>
      <c r="M33" s="3">
        <f t="shared" si="25"/>
        <v>0.11273931394232942</v>
      </c>
      <c r="N33" s="3">
        <f t="shared" si="25"/>
        <v>0.11273931332818278</v>
      </c>
      <c r="O33" s="3">
        <f t="shared" si="25"/>
        <v>0.11273930718671658</v>
      </c>
      <c r="P33" s="3">
        <f t="shared" si="25"/>
        <v>0.11273924577207292</v>
      </c>
      <c r="Q33" s="3">
        <f t="shared" si="25"/>
        <v>0.1127386316274763</v>
      </c>
      <c r="R33" s="3">
        <f t="shared" si="25"/>
        <v>0.11273249036551186</v>
      </c>
      <c r="S33" s="3">
        <f t="shared" si="25"/>
        <v>0.11267109614232521</v>
      </c>
      <c r="T33" s="3">
        <f t="shared" si="25"/>
        <v>0.11205898985368584</v>
      </c>
      <c r="U33" s="3">
        <f t="shared" ref="P33:AE48" si="27">$C33*EXP(-U$15/$A33)</f>
        <v>0.10611787411566737</v>
      </c>
      <c r="V33" s="3">
        <f t="shared" si="27"/>
        <v>6.1547004331824438E-2</v>
      </c>
      <c r="W33" s="3">
        <f t="shared" si="27"/>
        <v>2.6508838726783788E-4</v>
      </c>
      <c r="X33" s="3">
        <f t="shared" si="27"/>
        <v>5.8240961847293279E-28</v>
      </c>
      <c r="Y33" s="3">
        <f t="shared" si="27"/>
        <v>1.5261839988023647E-264</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0.13703730186218882</v>
      </c>
      <c r="C34" s="18">
        <f t="shared" si="3"/>
        <v>0.14424740982428688</v>
      </c>
      <c r="D34" s="17"/>
      <c r="F34" s="3">
        <f t="shared" ref="F34:O48" si="28">$C34*EXP(-F$15/$A34)</f>
        <v>0.14424740982428688</v>
      </c>
      <c r="G34" s="3">
        <f t="shared" si="28"/>
        <v>0.14424740982428688</v>
      </c>
      <c r="H34" s="3">
        <f t="shared" si="28"/>
        <v>0.1442474098242868</v>
      </c>
      <c r="I34" s="3">
        <f t="shared" si="28"/>
        <v>0.1442474098242861</v>
      </c>
      <c r="J34" s="3">
        <f t="shared" si="28"/>
        <v>0.144247409824279</v>
      </c>
      <c r="K34" s="3">
        <f t="shared" si="28"/>
        <v>0.14424740982420811</v>
      </c>
      <c r="L34" s="3">
        <f t="shared" si="28"/>
        <v>0.14424740982349929</v>
      </c>
      <c r="M34" s="3">
        <f t="shared" si="28"/>
        <v>0.14424740981641082</v>
      </c>
      <c r="N34" s="3">
        <f t="shared" si="28"/>
        <v>0.14424740974552633</v>
      </c>
      <c r="O34" s="3">
        <f t="shared" si="28"/>
        <v>0.14424740903668126</v>
      </c>
      <c r="P34" s="3">
        <f t="shared" si="27"/>
        <v>0.14424740194823105</v>
      </c>
      <c r="Q34" s="3">
        <f t="shared" si="27"/>
        <v>0.1442473310637479</v>
      </c>
      <c r="R34" s="3">
        <f t="shared" si="27"/>
        <v>0.14424662222083229</v>
      </c>
      <c r="S34" s="3">
        <f t="shared" si="27"/>
        <v>0.14423953398325554</v>
      </c>
      <c r="T34" s="3">
        <f t="shared" si="27"/>
        <v>0.14416867076193182</v>
      </c>
      <c r="U34" s="3">
        <f t="shared" si="27"/>
        <v>0.14346195051496299</v>
      </c>
      <c r="V34" s="3">
        <f t="shared" si="27"/>
        <v>0.13658251353032347</v>
      </c>
      <c r="W34" s="3">
        <f t="shared" si="27"/>
        <v>8.3556222244125414E-2</v>
      </c>
      <c r="X34" s="3">
        <f t="shared" si="27"/>
        <v>6.135016741693316E-4</v>
      </c>
      <c r="Y34" s="3">
        <f t="shared" si="27"/>
        <v>2.793735655075242E-25</v>
      </c>
      <c r="Z34" s="3">
        <f t="shared" si="27"/>
        <v>1.0712254788686362E-238</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0.12325780018539992</v>
      </c>
      <c r="C35" s="18">
        <f t="shared" si="3"/>
        <v>0.12974291069495422</v>
      </c>
      <c r="D35" s="17"/>
      <c r="F35" s="3">
        <f t="shared" si="28"/>
        <v>0.12974291069495422</v>
      </c>
      <c r="G35" s="3">
        <f t="shared" si="28"/>
        <v>0.12974291069495422</v>
      </c>
      <c r="H35" s="3">
        <f t="shared" si="28"/>
        <v>0.12974291069495422</v>
      </c>
      <c r="I35" s="3">
        <f t="shared" si="28"/>
        <v>0.12974291069495417</v>
      </c>
      <c r="J35" s="3">
        <f t="shared" si="28"/>
        <v>0.12974291069495358</v>
      </c>
      <c r="K35" s="3">
        <f t="shared" si="28"/>
        <v>0.12974291069494784</v>
      </c>
      <c r="L35" s="3">
        <f t="shared" si="28"/>
        <v>0.12974291069489033</v>
      </c>
      <c r="M35" s="3">
        <f t="shared" si="28"/>
        <v>0.12974291069431518</v>
      </c>
      <c r="N35" s="3">
        <f t="shared" si="28"/>
        <v>0.12974291068856378</v>
      </c>
      <c r="O35" s="3">
        <f t="shared" si="28"/>
        <v>0.12974291063104978</v>
      </c>
      <c r="P35" s="3">
        <f t="shared" si="27"/>
        <v>0.12974291005590988</v>
      </c>
      <c r="Q35" s="3">
        <f t="shared" si="27"/>
        <v>0.12974290430451083</v>
      </c>
      <c r="R35" s="3">
        <f t="shared" si="27"/>
        <v>0.12974284679053455</v>
      </c>
      <c r="S35" s="3">
        <f t="shared" si="27"/>
        <v>0.12974227165217392</v>
      </c>
      <c r="T35" s="3">
        <f t="shared" si="27"/>
        <v>0.12973652040879013</v>
      </c>
      <c r="U35" s="3">
        <f t="shared" si="27"/>
        <v>0.12967902199491743</v>
      </c>
      <c r="V35" s="3">
        <f t="shared" si="27"/>
        <v>0.12910543755589535</v>
      </c>
      <c r="W35" s="3">
        <f t="shared" si="27"/>
        <v>0.12350729434383816</v>
      </c>
      <c r="X35" s="3">
        <f t="shared" si="27"/>
        <v>7.9281771695384529E-2</v>
      </c>
      <c r="Y35" s="3">
        <f t="shared" si="27"/>
        <v>9.4184781715124359E-4</v>
      </c>
      <c r="Z35" s="3">
        <f t="shared" si="27"/>
        <v>5.2729617936000282E-23</v>
      </c>
      <c r="AA35" s="3">
        <f t="shared" si="27"/>
        <v>1.595120565773166E-215</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0.10178785423109732</v>
      </c>
      <c r="C36" s="18">
        <f t="shared" si="3"/>
        <v>0.10714334071735752</v>
      </c>
      <c r="D36" s="17"/>
      <c r="F36" s="3">
        <f t="shared" si="28"/>
        <v>0.10714334071735752</v>
      </c>
      <c r="G36" s="3">
        <f t="shared" si="28"/>
        <v>0.10714334071735752</v>
      </c>
      <c r="H36" s="3">
        <f t="shared" si="28"/>
        <v>0.10714334071735752</v>
      </c>
      <c r="I36" s="3">
        <f t="shared" si="28"/>
        <v>0.10714334071735752</v>
      </c>
      <c r="J36" s="3">
        <f t="shared" si="28"/>
        <v>0.10714334071735748</v>
      </c>
      <c r="K36" s="3">
        <f t="shared" si="28"/>
        <v>0.10714334071735705</v>
      </c>
      <c r="L36" s="3">
        <f t="shared" si="28"/>
        <v>0.10714334071735276</v>
      </c>
      <c r="M36" s="3">
        <f t="shared" si="28"/>
        <v>0.10714334071730992</v>
      </c>
      <c r="N36" s="3">
        <f t="shared" si="28"/>
        <v>0.10714334071688146</v>
      </c>
      <c r="O36" s="3">
        <f t="shared" si="28"/>
        <v>0.10714334071259696</v>
      </c>
      <c r="P36" s="3">
        <f t="shared" si="27"/>
        <v>0.10714334066975181</v>
      </c>
      <c r="Q36" s="3">
        <f t="shared" si="27"/>
        <v>0.10714334024130032</v>
      </c>
      <c r="R36" s="3">
        <f t="shared" si="27"/>
        <v>0.1071433359567856</v>
      </c>
      <c r="S36" s="3">
        <f t="shared" si="27"/>
        <v>0.10714329311164789</v>
      </c>
      <c r="T36" s="3">
        <f t="shared" si="27"/>
        <v>0.10714286466121298</v>
      </c>
      <c r="U36" s="3">
        <f t="shared" si="27"/>
        <v>0.10713858025109488</v>
      </c>
      <c r="V36" s="3">
        <f t="shared" si="27"/>
        <v>0.10709574557161682</v>
      </c>
      <c r="W36" s="3">
        <f t="shared" si="27"/>
        <v>0.10666833955461053</v>
      </c>
      <c r="X36" s="3">
        <f t="shared" si="27"/>
        <v>0.10248697997026368</v>
      </c>
      <c r="Y36" s="3">
        <f t="shared" si="27"/>
        <v>6.870689244155806E-2</v>
      </c>
      <c r="Z36" s="3">
        <f t="shared" si="27"/>
        <v>1.2598429509853449E-3</v>
      </c>
      <c r="AA36" s="3">
        <f t="shared" si="27"/>
        <v>5.4134914135472919E-21</v>
      </c>
      <c r="AB36" s="3">
        <f t="shared" si="27"/>
        <v>1.1616836346034095E-194</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7.094082526950117E-2</v>
      </c>
      <c r="C37" s="18">
        <f t="shared" si="3"/>
        <v>7.467332001482109E-2</v>
      </c>
      <c r="D37" s="17"/>
      <c r="F37" s="3">
        <f t="shared" si="28"/>
        <v>7.467332001482109E-2</v>
      </c>
      <c r="G37" s="3">
        <f t="shared" si="28"/>
        <v>7.467332001482109E-2</v>
      </c>
      <c r="H37" s="3">
        <f t="shared" si="28"/>
        <v>7.467332001482109E-2</v>
      </c>
      <c r="I37" s="3">
        <f t="shared" si="28"/>
        <v>7.467332001482109E-2</v>
      </c>
      <c r="J37" s="3">
        <f t="shared" si="28"/>
        <v>7.467332001482109E-2</v>
      </c>
      <c r="K37" s="3">
        <f t="shared" si="28"/>
        <v>7.4673320014821062E-2</v>
      </c>
      <c r="L37" s="3">
        <f t="shared" si="28"/>
        <v>7.4673320014820785E-2</v>
      </c>
      <c r="M37" s="3">
        <f t="shared" si="28"/>
        <v>7.4673320014818093E-2</v>
      </c>
      <c r="N37" s="3">
        <f t="shared" si="28"/>
        <v>7.4673320014791156E-2</v>
      </c>
      <c r="O37" s="3">
        <f t="shared" si="28"/>
        <v>7.4673320014521788E-2</v>
      </c>
      <c r="P37" s="3">
        <f t="shared" si="27"/>
        <v>7.4673320011828095E-2</v>
      </c>
      <c r="Q37" s="3">
        <f t="shared" si="27"/>
        <v>7.4673319984891143E-2</v>
      </c>
      <c r="R37" s="3">
        <f t="shared" si="27"/>
        <v>7.4673319715521588E-2</v>
      </c>
      <c r="S37" s="3">
        <f t="shared" si="27"/>
        <v>7.467331702182603E-2</v>
      </c>
      <c r="T37" s="3">
        <f t="shared" si="27"/>
        <v>7.4673290084875943E-2</v>
      </c>
      <c r="U37" s="3">
        <f t="shared" si="27"/>
        <v>7.4673020715909394E-2</v>
      </c>
      <c r="V37" s="3">
        <f t="shared" si="27"/>
        <v>7.4670327079686627E-2</v>
      </c>
      <c r="W37" s="3">
        <f t="shared" si="27"/>
        <v>7.4643396061008671E-2</v>
      </c>
      <c r="X37" s="3">
        <f t="shared" si="27"/>
        <v>7.4374619516689222E-2</v>
      </c>
      <c r="Y37" s="3">
        <f t="shared" si="27"/>
        <v>7.1739512885393986E-2</v>
      </c>
      <c r="Z37" s="3">
        <f t="shared" si="27"/>
        <v>5.0014402891820284E-2</v>
      </c>
      <c r="AA37" s="3">
        <f t="shared" si="27"/>
        <v>1.3566309976909103E-3</v>
      </c>
      <c r="AB37" s="3">
        <f t="shared" si="27"/>
        <v>2.9250157842761926E-19</v>
      </c>
      <c r="AC37" s="3">
        <f t="shared" si="27"/>
        <v>6.3502817368385556E-176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2.4434841937817392E-2</v>
      </c>
      <c r="C38" s="18">
        <f t="shared" si="3"/>
        <v>2.5720461590382049E-2</v>
      </c>
      <c r="D38" s="17"/>
      <c r="F38" s="3">
        <f t="shared" si="28"/>
        <v>2.5720461590382049E-2</v>
      </c>
      <c r="G38" s="3">
        <f t="shared" si="28"/>
        <v>2.5720461590382049E-2</v>
      </c>
      <c r="H38" s="3">
        <f t="shared" si="28"/>
        <v>2.5720461590382049E-2</v>
      </c>
      <c r="I38" s="3">
        <f t="shared" si="28"/>
        <v>2.5720461590382049E-2</v>
      </c>
      <c r="J38" s="3">
        <f t="shared" si="28"/>
        <v>2.5720461590382049E-2</v>
      </c>
      <c r="K38" s="3">
        <f t="shared" si="28"/>
        <v>2.5720461590382049E-2</v>
      </c>
      <c r="L38" s="3">
        <f t="shared" si="28"/>
        <v>2.5720461590382042E-2</v>
      </c>
      <c r="M38" s="3">
        <f t="shared" si="28"/>
        <v>2.5720461590381955E-2</v>
      </c>
      <c r="N38" s="3">
        <f t="shared" si="28"/>
        <v>2.5720461590381119E-2</v>
      </c>
      <c r="O38" s="3">
        <f t="shared" si="28"/>
        <v>2.5720461590372747E-2</v>
      </c>
      <c r="P38" s="3">
        <f t="shared" si="27"/>
        <v>2.5720461590289054E-2</v>
      </c>
      <c r="Q38" s="3">
        <f t="shared" si="27"/>
        <v>2.5720461589452088E-2</v>
      </c>
      <c r="R38" s="3">
        <f t="shared" si="27"/>
        <v>2.5720461581082411E-2</v>
      </c>
      <c r="S38" s="3">
        <f t="shared" si="27"/>
        <v>2.5720461497385699E-2</v>
      </c>
      <c r="T38" s="3">
        <f t="shared" si="27"/>
        <v>2.5720460660418581E-2</v>
      </c>
      <c r="U38" s="3">
        <f t="shared" si="27"/>
        <v>2.5720452290748874E-2</v>
      </c>
      <c r="V38" s="3">
        <f t="shared" si="27"/>
        <v>2.5720368594201615E-2</v>
      </c>
      <c r="W38" s="3">
        <f t="shared" si="27"/>
        <v>2.5719531643708427E-2</v>
      </c>
      <c r="X38" s="3">
        <f t="shared" si="27"/>
        <v>2.5711163636537995E-2</v>
      </c>
      <c r="Y38" s="3">
        <f t="shared" si="27"/>
        <v>2.5627633160801879E-2</v>
      </c>
      <c r="Z38" s="3">
        <f t="shared" si="27"/>
        <v>2.4807109441708539E-2</v>
      </c>
      <c r="AA38" s="3">
        <f t="shared" si="27"/>
        <v>1.7916484621672214E-2</v>
      </c>
      <c r="AB38" s="3">
        <f t="shared" si="27"/>
        <v>6.9186153505039591E-4</v>
      </c>
      <c r="AC38" s="3">
        <f t="shared" si="27"/>
        <v>5.1013255047719342E-18</v>
      </c>
      <c r="AD38" s="3">
        <f t="shared" si="27"/>
        <v>2.4228221367456613E-159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2.2934618274172043E-2</v>
      </c>
      <c r="C39" s="18">
        <f t="shared" si="3"/>
        <v>2.4141304859351478E-2</v>
      </c>
      <c r="D39" s="17"/>
      <c r="F39" s="3">
        <f t="shared" si="28"/>
        <v>2.4141304859351478E-2</v>
      </c>
      <c r="G39" s="3">
        <f t="shared" si="28"/>
        <v>2.4141304859351478E-2</v>
      </c>
      <c r="H39" s="3">
        <f t="shared" si="28"/>
        <v>2.4141304859351478E-2</v>
      </c>
      <c r="I39" s="3">
        <f t="shared" si="28"/>
        <v>2.4141304859351478E-2</v>
      </c>
      <c r="J39" s="3">
        <f t="shared" si="28"/>
        <v>2.4141304859351478E-2</v>
      </c>
      <c r="K39" s="3">
        <f t="shared" si="28"/>
        <v>2.4141304859351478E-2</v>
      </c>
      <c r="L39" s="3">
        <f t="shared" si="28"/>
        <v>2.4141304859351474E-2</v>
      </c>
      <c r="M39" s="3">
        <f t="shared" si="28"/>
        <v>2.4141304859351453E-2</v>
      </c>
      <c r="N39" s="3">
        <f t="shared" si="28"/>
        <v>2.4141304859351235E-2</v>
      </c>
      <c r="O39" s="3">
        <f t="shared" si="28"/>
        <v>2.4141304859349063E-2</v>
      </c>
      <c r="P39" s="3">
        <f t="shared" si="27"/>
        <v>2.4141304859327337E-2</v>
      </c>
      <c r="Q39" s="3">
        <f t="shared" si="27"/>
        <v>2.4141304859110063E-2</v>
      </c>
      <c r="R39" s="3">
        <f t="shared" si="27"/>
        <v>2.4141304856937346E-2</v>
      </c>
      <c r="S39" s="3">
        <f t="shared" si="27"/>
        <v>2.4141304835210174E-2</v>
      </c>
      <c r="T39" s="3">
        <f t="shared" si="27"/>
        <v>2.4141304617938432E-2</v>
      </c>
      <c r="U39" s="3">
        <f t="shared" si="27"/>
        <v>2.4141302445221113E-2</v>
      </c>
      <c r="V39" s="3">
        <f t="shared" si="27"/>
        <v>2.414128071805869E-2</v>
      </c>
      <c r="W39" s="3">
        <f t="shared" si="27"/>
        <v>2.4141063447509947E-2</v>
      </c>
      <c r="X39" s="3">
        <f t="shared" si="27"/>
        <v>2.4138890849568044E-2</v>
      </c>
      <c r="Y39" s="3">
        <f t="shared" si="27"/>
        <v>2.4117175621122013E-2</v>
      </c>
      <c r="Z39" s="3">
        <f t="shared" si="27"/>
        <v>2.3901094862488915E-2</v>
      </c>
      <c r="AA39" s="3">
        <f t="shared" si="27"/>
        <v>2.1843955956954555E-2</v>
      </c>
      <c r="AB39" s="3">
        <f t="shared" si="27"/>
        <v>8.8810897408076461E-3</v>
      </c>
      <c r="AC39" s="3">
        <f t="shared" si="27"/>
        <v>1.0960135449892915E-6</v>
      </c>
      <c r="AD39" s="3">
        <f t="shared" si="27"/>
        <v>8.9807488237068497E-46</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1.1603672295967073E-2</v>
      </c>
      <c r="C40" s="18">
        <f t="shared" si="3"/>
        <v>1.2214190227025473E-2</v>
      </c>
      <c r="D40" s="17"/>
      <c r="F40" s="3">
        <f t="shared" si="28"/>
        <v>1.2214190227025473E-2</v>
      </c>
      <c r="G40" s="3">
        <f t="shared" si="28"/>
        <v>1.2214190227025473E-2</v>
      </c>
      <c r="H40" s="3">
        <f t="shared" si="28"/>
        <v>1.2214190227025473E-2</v>
      </c>
      <c r="I40" s="3">
        <f t="shared" si="28"/>
        <v>1.2214190227025473E-2</v>
      </c>
      <c r="J40" s="3">
        <f t="shared" si="28"/>
        <v>1.2214190227025473E-2</v>
      </c>
      <c r="K40" s="3">
        <f t="shared" si="28"/>
        <v>1.2214190227025473E-2</v>
      </c>
      <c r="L40" s="3">
        <f t="shared" si="28"/>
        <v>1.2214190227025473E-2</v>
      </c>
      <c r="M40" s="3">
        <f t="shared" si="28"/>
        <v>1.2214190227025471E-2</v>
      </c>
      <c r="N40" s="3">
        <f t="shared" si="28"/>
        <v>1.2214190227025461E-2</v>
      </c>
      <c r="O40" s="3">
        <f t="shared" si="28"/>
        <v>1.2214190227025351E-2</v>
      </c>
      <c r="P40" s="3">
        <f t="shared" si="27"/>
        <v>1.2214190227024252E-2</v>
      </c>
      <c r="Q40" s="3">
        <f t="shared" si="27"/>
        <v>1.2214190227013259E-2</v>
      </c>
      <c r="R40" s="3">
        <f t="shared" si="27"/>
        <v>1.2214190226903331E-2</v>
      </c>
      <c r="S40" s="3">
        <f t="shared" si="27"/>
        <v>1.2214190225804054E-2</v>
      </c>
      <c r="T40" s="3">
        <f t="shared" si="27"/>
        <v>1.2214190214811283E-2</v>
      </c>
      <c r="U40" s="3">
        <f t="shared" si="27"/>
        <v>1.2214190104883572E-2</v>
      </c>
      <c r="V40" s="3">
        <f t="shared" si="27"/>
        <v>1.2214189005606512E-2</v>
      </c>
      <c r="W40" s="3">
        <f t="shared" si="27"/>
        <v>1.2214178012841354E-2</v>
      </c>
      <c r="X40" s="3">
        <f t="shared" si="27"/>
        <v>1.2214068085733909E-2</v>
      </c>
      <c r="Y40" s="3">
        <f t="shared" si="27"/>
        <v>1.2212968869071686E-2</v>
      </c>
      <c r="Z40" s="3">
        <f t="shared" si="27"/>
        <v>1.2201982141858372E-2</v>
      </c>
      <c r="AA40" s="3">
        <f t="shared" si="27"/>
        <v>1.2092657003647284E-2</v>
      </c>
      <c r="AB40" s="3">
        <f t="shared" si="27"/>
        <v>1.105185634842178E-2</v>
      </c>
      <c r="AC40" s="3">
        <f t="shared" si="27"/>
        <v>4.4933494750798234E-3</v>
      </c>
      <c r="AD40" s="3">
        <f t="shared" si="27"/>
        <v>5.5452337841258545E-7</v>
      </c>
      <c r="AE40" s="3">
        <f t="shared" si="27"/>
        <v>4.5437715630105944E-46</v>
      </c>
      <c r="AF40" s="3">
        <f t="shared" si="29"/>
        <v>0</v>
      </c>
      <c r="AG40" s="3">
        <f t="shared" si="29"/>
        <v>0</v>
      </c>
      <c r="AH40" s="3">
        <f t="shared" si="29"/>
        <v>0</v>
      </c>
      <c r="AI40" s="3">
        <f t="shared" si="29"/>
        <v>0</v>
      </c>
      <c r="AJ40" s="3">
        <f t="shared" si="29"/>
        <v>0</v>
      </c>
    </row>
    <row r="41" spans="1:36" x14ac:dyDescent="0.25">
      <c r="A41" s="3">
        <f t="shared" si="30"/>
        <v>1000000000</v>
      </c>
      <c r="B41" s="106">
        <v>7.6537892495760979E-4</v>
      </c>
      <c r="C41" s="18">
        <f t="shared" si="3"/>
        <v>8.0564872453676788E-4</v>
      </c>
      <c r="D41" s="17"/>
      <c r="F41" s="3">
        <f t="shared" si="28"/>
        <v>8.0564872453676788E-4</v>
      </c>
      <c r="G41" s="3">
        <f t="shared" si="28"/>
        <v>8.0564872453676788E-4</v>
      </c>
      <c r="H41" s="3">
        <f t="shared" si="28"/>
        <v>8.0564872453676788E-4</v>
      </c>
      <c r="I41" s="3">
        <f t="shared" si="28"/>
        <v>8.0564872453676788E-4</v>
      </c>
      <c r="J41" s="3">
        <f t="shared" si="28"/>
        <v>8.0564872453676788E-4</v>
      </c>
      <c r="K41" s="3">
        <f t="shared" si="28"/>
        <v>8.0564872453676788E-4</v>
      </c>
      <c r="L41" s="3">
        <f t="shared" si="28"/>
        <v>8.0564872453676788E-4</v>
      </c>
      <c r="M41" s="3">
        <f t="shared" si="28"/>
        <v>8.0564872453676788E-4</v>
      </c>
      <c r="N41" s="3">
        <f t="shared" si="28"/>
        <v>8.0564872453676778E-4</v>
      </c>
      <c r="O41" s="3">
        <f t="shared" si="28"/>
        <v>8.0564872453676713E-4</v>
      </c>
      <c r="P41" s="3">
        <f t="shared" si="27"/>
        <v>8.0564872453675986E-4</v>
      </c>
      <c r="Q41" s="3">
        <f t="shared" si="27"/>
        <v>8.0564872453668733E-4</v>
      </c>
      <c r="R41" s="3">
        <f t="shared" si="27"/>
        <v>8.0564872453596221E-4</v>
      </c>
      <c r="S41" s="3">
        <f t="shared" si="27"/>
        <v>8.056487245287114E-4</v>
      </c>
      <c r="T41" s="3">
        <f t="shared" si="27"/>
        <v>8.0564872445620299E-4</v>
      </c>
      <c r="U41" s="3">
        <f t="shared" si="27"/>
        <v>8.0564872373111915E-4</v>
      </c>
      <c r="V41" s="3">
        <f t="shared" si="27"/>
        <v>8.0564871648028066E-4</v>
      </c>
      <c r="W41" s="3">
        <f t="shared" si="27"/>
        <v>8.0564864397189952E-4</v>
      </c>
      <c r="X41" s="3">
        <f t="shared" si="27"/>
        <v>8.0564791888844617E-4</v>
      </c>
      <c r="Y41" s="3">
        <f t="shared" si="27"/>
        <v>8.0564066808980477E-4</v>
      </c>
      <c r="Z41" s="3">
        <f t="shared" si="27"/>
        <v>8.0556816369242354E-4</v>
      </c>
      <c r="AA41" s="3">
        <f t="shared" si="27"/>
        <v>8.0484347850235218E-4</v>
      </c>
      <c r="AB41" s="3">
        <f t="shared" si="27"/>
        <v>7.9763238578785635E-4</v>
      </c>
      <c r="AC41" s="3">
        <f t="shared" si="27"/>
        <v>7.2898111175381309E-4</v>
      </c>
      <c r="AD41" s="3">
        <f t="shared" si="27"/>
        <v>2.9638160256307145E-4</v>
      </c>
      <c r="AE41" s="3">
        <f t="shared" si="27"/>
        <v>3.6576395507204771E-8</v>
      </c>
      <c r="AF41" s="3">
        <f t="shared" si="29"/>
        <v>2.9970744652610588E-47</v>
      </c>
      <c r="AG41" s="3">
        <f t="shared" si="29"/>
        <v>0</v>
      </c>
      <c r="AH41" s="3">
        <f t="shared" si="29"/>
        <v>0</v>
      </c>
      <c r="AI41" s="3">
        <f t="shared" si="29"/>
        <v>0</v>
      </c>
      <c r="AJ41" s="3">
        <f t="shared" si="29"/>
        <v>0</v>
      </c>
    </row>
    <row r="42" spans="1:36" x14ac:dyDescent="0.25">
      <c r="A42" s="3">
        <f t="shared" si="30"/>
        <v>10000000000</v>
      </c>
      <c r="B42" s="106">
        <v>2.7297474214350117E-3</v>
      </c>
      <c r="C42" s="18">
        <f t="shared" si="3"/>
        <v>2.8733708973087426E-3</v>
      </c>
      <c r="D42" s="17"/>
      <c r="F42" s="3">
        <f t="shared" si="28"/>
        <v>2.8733708973087426E-3</v>
      </c>
      <c r="G42" s="3">
        <f t="shared" si="28"/>
        <v>2.8733708973087426E-3</v>
      </c>
      <c r="H42" s="3">
        <f t="shared" si="28"/>
        <v>2.8733708973087426E-3</v>
      </c>
      <c r="I42" s="3">
        <f t="shared" si="28"/>
        <v>2.8733708973087426E-3</v>
      </c>
      <c r="J42" s="3">
        <f t="shared" si="28"/>
        <v>2.8733708973087426E-3</v>
      </c>
      <c r="K42" s="3">
        <f t="shared" si="28"/>
        <v>2.8733708973087426E-3</v>
      </c>
      <c r="L42" s="3">
        <f t="shared" si="28"/>
        <v>2.8733708973087426E-3</v>
      </c>
      <c r="M42" s="3">
        <f t="shared" si="28"/>
        <v>2.8733708973087426E-3</v>
      </c>
      <c r="N42" s="3">
        <f t="shared" si="28"/>
        <v>2.8733708973087426E-3</v>
      </c>
      <c r="O42" s="3">
        <f t="shared" si="28"/>
        <v>2.8733708973087422E-3</v>
      </c>
      <c r="P42" s="3">
        <f t="shared" si="27"/>
        <v>2.8733708973087396E-3</v>
      </c>
      <c r="Q42" s="3">
        <f t="shared" si="27"/>
        <v>2.873370897308714E-3</v>
      </c>
      <c r="R42" s="3">
        <f t="shared" si="27"/>
        <v>2.8733708973084551E-3</v>
      </c>
      <c r="S42" s="3">
        <f t="shared" si="27"/>
        <v>2.8733708973058695E-3</v>
      </c>
      <c r="T42" s="3">
        <f t="shared" si="27"/>
        <v>2.8733708972800091E-3</v>
      </c>
      <c r="U42" s="3">
        <f t="shared" si="27"/>
        <v>2.8733708970214056E-3</v>
      </c>
      <c r="V42" s="3">
        <f t="shared" si="27"/>
        <v>2.8733708944353718E-3</v>
      </c>
      <c r="W42" s="3">
        <f t="shared" si="27"/>
        <v>2.8733708685750336E-3</v>
      </c>
      <c r="X42" s="3">
        <f t="shared" si="27"/>
        <v>2.8733706099716675E-3</v>
      </c>
      <c r="Y42" s="3">
        <f t="shared" si="27"/>
        <v>2.8733680239392818E-3</v>
      </c>
      <c r="Z42" s="3">
        <f t="shared" si="27"/>
        <v>2.8733421637434377E-3</v>
      </c>
      <c r="AA42" s="3">
        <f t="shared" si="27"/>
        <v>2.8730835745853873E-3</v>
      </c>
      <c r="AB42" s="3">
        <f t="shared" si="27"/>
        <v>2.8704989626181072E-3</v>
      </c>
      <c r="AC42" s="3">
        <f t="shared" si="27"/>
        <v>2.8447803791802188E-3</v>
      </c>
      <c r="AD42" s="3">
        <f t="shared" si="27"/>
        <v>2.5999335037805108E-3</v>
      </c>
      <c r="AE42" s="3">
        <f t="shared" si="27"/>
        <v>1.057054079980226E-3</v>
      </c>
      <c r="AF42" s="3">
        <f t="shared" si="29"/>
        <v>1.3045083691938499E-7</v>
      </c>
      <c r="AG42" s="3">
        <f t="shared" si="29"/>
        <v>1.0689158045275686E-46</v>
      </c>
      <c r="AH42" s="3">
        <f t="shared" si="29"/>
        <v>0</v>
      </c>
      <c r="AI42" s="3">
        <f t="shared" si="29"/>
        <v>0</v>
      </c>
      <c r="AJ42" s="3">
        <f t="shared" si="29"/>
        <v>0</v>
      </c>
    </row>
    <row r="43" spans="1:36" x14ac:dyDescent="0.25">
      <c r="A43" s="3">
        <f t="shared" si="30"/>
        <v>100000000000</v>
      </c>
      <c r="B43" s="106">
        <v>0</v>
      </c>
      <c r="C43" s="18">
        <f t="shared" si="3"/>
        <v>0</v>
      </c>
      <c r="D43" s="17"/>
      <c r="F43" s="3">
        <f t="shared" si="28"/>
        <v>0</v>
      </c>
      <c r="G43" s="3">
        <f t="shared" si="28"/>
        <v>0</v>
      </c>
      <c r="H43" s="3">
        <f t="shared" si="28"/>
        <v>0</v>
      </c>
      <c r="I43" s="3">
        <f t="shared" si="28"/>
        <v>0</v>
      </c>
      <c r="J43" s="3">
        <f t="shared" si="28"/>
        <v>0</v>
      </c>
      <c r="K43" s="3">
        <f t="shared" si="28"/>
        <v>0</v>
      </c>
      <c r="L43" s="3">
        <f t="shared" si="28"/>
        <v>0</v>
      </c>
      <c r="M43" s="3">
        <f t="shared" si="28"/>
        <v>0</v>
      </c>
      <c r="N43" s="3">
        <f t="shared" si="28"/>
        <v>0</v>
      </c>
      <c r="O43" s="3">
        <f t="shared" si="28"/>
        <v>0</v>
      </c>
      <c r="P43" s="3">
        <f t="shared" si="27"/>
        <v>0</v>
      </c>
      <c r="Q43" s="3">
        <f t="shared" si="27"/>
        <v>0</v>
      </c>
      <c r="R43" s="3">
        <f t="shared" si="27"/>
        <v>0</v>
      </c>
      <c r="S43" s="3">
        <f t="shared" si="27"/>
        <v>0</v>
      </c>
      <c r="T43" s="3">
        <f t="shared" si="27"/>
        <v>0</v>
      </c>
      <c r="U43" s="3">
        <f t="shared" si="27"/>
        <v>0</v>
      </c>
      <c r="V43" s="3">
        <f t="shared" si="27"/>
        <v>0</v>
      </c>
      <c r="W43" s="3">
        <f t="shared" si="27"/>
        <v>0</v>
      </c>
      <c r="X43" s="3">
        <f t="shared" si="27"/>
        <v>0</v>
      </c>
      <c r="Y43" s="3">
        <f t="shared" si="27"/>
        <v>0</v>
      </c>
      <c r="Z43" s="3">
        <f t="shared" si="27"/>
        <v>0</v>
      </c>
      <c r="AA43" s="3">
        <f t="shared" si="27"/>
        <v>0</v>
      </c>
      <c r="AB43" s="3">
        <f t="shared" si="27"/>
        <v>0</v>
      </c>
      <c r="AC43" s="3">
        <f t="shared" si="27"/>
        <v>0</v>
      </c>
      <c r="AD43" s="3">
        <f t="shared" si="27"/>
        <v>0</v>
      </c>
      <c r="AE43" s="3">
        <f t="shared" si="27"/>
        <v>0</v>
      </c>
      <c r="AF43" s="3">
        <f t="shared" si="29"/>
        <v>0</v>
      </c>
      <c r="AG43" s="3">
        <f t="shared" si="29"/>
        <v>0</v>
      </c>
      <c r="AH43" s="3">
        <f t="shared" si="29"/>
        <v>0</v>
      </c>
      <c r="AI43" s="3">
        <f t="shared" si="29"/>
        <v>0</v>
      </c>
      <c r="AJ43" s="3">
        <f t="shared" si="29"/>
        <v>0</v>
      </c>
    </row>
    <row r="44" spans="1:36" x14ac:dyDescent="0.25">
      <c r="A44" s="3">
        <f t="shared" si="30"/>
        <v>1000000000000</v>
      </c>
      <c r="B44" s="106">
        <v>1.5435900527486373E-4</v>
      </c>
      <c r="C44" s="18">
        <f t="shared" si="3"/>
        <v>1.6248048079890072E-4</v>
      </c>
      <c r="D44" s="17"/>
      <c r="F44" s="3">
        <f t="shared" si="28"/>
        <v>1.6248048079890072E-4</v>
      </c>
      <c r="G44" s="3">
        <f t="shared" si="28"/>
        <v>1.6248048079890072E-4</v>
      </c>
      <c r="H44" s="3">
        <f t="shared" si="28"/>
        <v>1.6248048079890072E-4</v>
      </c>
      <c r="I44" s="3">
        <f t="shared" si="28"/>
        <v>1.6248048079890072E-4</v>
      </c>
      <c r="J44" s="3">
        <f t="shared" si="28"/>
        <v>1.6248048079890072E-4</v>
      </c>
      <c r="K44" s="3">
        <f t="shared" si="28"/>
        <v>1.6248048079890072E-4</v>
      </c>
      <c r="L44" s="3">
        <f t="shared" si="28"/>
        <v>1.6248048079890072E-4</v>
      </c>
      <c r="M44" s="3">
        <f t="shared" si="28"/>
        <v>1.6248048079890072E-4</v>
      </c>
      <c r="N44" s="3">
        <f t="shared" si="28"/>
        <v>1.6248048079890072E-4</v>
      </c>
      <c r="O44" s="3">
        <f t="shared" si="28"/>
        <v>1.6248048079890072E-4</v>
      </c>
      <c r="P44" s="3">
        <f t="shared" si="27"/>
        <v>1.6248048079890072E-4</v>
      </c>
      <c r="Q44" s="3">
        <f t="shared" si="27"/>
        <v>1.624804807989007E-4</v>
      </c>
      <c r="R44" s="3">
        <f t="shared" si="27"/>
        <v>1.6248048079890056E-4</v>
      </c>
      <c r="S44" s="3">
        <f t="shared" si="27"/>
        <v>1.624804807988991E-4</v>
      </c>
      <c r="T44" s="3">
        <f t="shared" si="27"/>
        <v>1.6248048079888446E-4</v>
      </c>
      <c r="U44" s="3">
        <f t="shared" si="27"/>
        <v>1.6248048079873826E-4</v>
      </c>
      <c r="V44" s="3">
        <f t="shared" si="27"/>
        <v>1.6248048079727591E-4</v>
      </c>
      <c r="W44" s="3">
        <f t="shared" si="27"/>
        <v>1.6248048078265268E-4</v>
      </c>
      <c r="X44" s="3">
        <f t="shared" si="27"/>
        <v>1.6248048063642023E-4</v>
      </c>
      <c r="Y44" s="3">
        <f t="shared" si="27"/>
        <v>1.6248047917409591E-4</v>
      </c>
      <c r="Z44" s="3">
        <f t="shared" si="27"/>
        <v>1.6248046455085346E-4</v>
      </c>
      <c r="AA44" s="3">
        <f t="shared" si="27"/>
        <v>1.6248031831850117E-4</v>
      </c>
      <c r="AB44" s="3">
        <f t="shared" si="27"/>
        <v>1.6247885600221673E-4</v>
      </c>
      <c r="AC44" s="3">
        <f t="shared" si="27"/>
        <v>1.6246423356319615E-4</v>
      </c>
      <c r="AD44" s="3">
        <f t="shared" si="27"/>
        <v>1.6231808153126891E-4</v>
      </c>
      <c r="AE44" s="3">
        <f t="shared" si="27"/>
        <v>1.6086377300243655E-4</v>
      </c>
      <c r="AF44" s="3">
        <f t="shared" si="29"/>
        <v>1.4701841872731861E-4</v>
      </c>
      <c r="AG44" s="3">
        <f t="shared" si="29"/>
        <v>5.9773228477566861E-5</v>
      </c>
      <c r="AH44" s="3">
        <f t="shared" si="29"/>
        <v>7.3766024160448615E-9</v>
      </c>
      <c r="AI44" s="3">
        <f t="shared" si="29"/>
        <v>6.0443973319230529E-48</v>
      </c>
      <c r="AJ44" s="3">
        <f t="shared" si="29"/>
        <v>0</v>
      </c>
    </row>
    <row r="45" spans="1:36" x14ac:dyDescent="0.25">
      <c r="A45" s="3">
        <f t="shared" si="30"/>
        <v>10000000000000</v>
      </c>
      <c r="B45" s="106">
        <v>1.2256263724997528E-4</v>
      </c>
      <c r="C45" s="18">
        <f t="shared" si="3"/>
        <v>1.2901117231804357E-4</v>
      </c>
      <c r="D45" s="17"/>
      <c r="F45" s="3">
        <f t="shared" si="28"/>
        <v>1.2901117231804357E-4</v>
      </c>
      <c r="G45" s="3">
        <f t="shared" si="28"/>
        <v>1.2901117231804357E-4</v>
      </c>
      <c r="H45" s="3">
        <f t="shared" si="28"/>
        <v>1.2901117231804357E-4</v>
      </c>
      <c r="I45" s="3">
        <f t="shared" si="28"/>
        <v>1.2901117231804357E-4</v>
      </c>
      <c r="J45" s="3">
        <f t="shared" si="28"/>
        <v>1.2901117231804357E-4</v>
      </c>
      <c r="K45" s="3">
        <f t="shared" si="28"/>
        <v>1.2901117231804357E-4</v>
      </c>
      <c r="L45" s="3">
        <f t="shared" si="28"/>
        <v>1.2901117231804357E-4</v>
      </c>
      <c r="M45" s="3">
        <f t="shared" si="28"/>
        <v>1.2901117231804357E-4</v>
      </c>
      <c r="N45" s="3">
        <f t="shared" si="28"/>
        <v>1.2901117231804357E-4</v>
      </c>
      <c r="O45" s="3">
        <f t="shared" si="28"/>
        <v>1.2901117231804357E-4</v>
      </c>
      <c r="P45" s="3">
        <f t="shared" si="27"/>
        <v>1.2901117231804357E-4</v>
      </c>
      <c r="Q45" s="3">
        <f t="shared" si="27"/>
        <v>1.2901117231804357E-4</v>
      </c>
      <c r="R45" s="3">
        <f t="shared" si="27"/>
        <v>1.2901117231804354E-4</v>
      </c>
      <c r="S45" s="3">
        <f t="shared" si="27"/>
        <v>1.2901117231804344E-4</v>
      </c>
      <c r="T45" s="3">
        <f t="shared" si="27"/>
        <v>1.2901117231804227E-4</v>
      </c>
      <c r="U45" s="3">
        <f t="shared" si="27"/>
        <v>1.2901117231803067E-4</v>
      </c>
      <c r="V45" s="3">
        <f t="shared" si="27"/>
        <v>1.2901117231791455E-4</v>
      </c>
      <c r="W45" s="3">
        <f t="shared" si="27"/>
        <v>1.2901117231675345E-4</v>
      </c>
      <c r="X45" s="3">
        <f t="shared" si="27"/>
        <v>1.2901117230514246E-4</v>
      </c>
      <c r="Y45" s="3">
        <f t="shared" si="27"/>
        <v>1.290111721890324E-4</v>
      </c>
      <c r="Z45" s="3">
        <f t="shared" si="27"/>
        <v>1.2901117102793186E-4</v>
      </c>
      <c r="AA45" s="3">
        <f t="shared" si="27"/>
        <v>1.2901115941692698E-4</v>
      </c>
      <c r="AB45" s="3">
        <f t="shared" si="27"/>
        <v>1.2901104330693576E-4</v>
      </c>
      <c r="AC45" s="3">
        <f t="shared" si="27"/>
        <v>1.2900988221277093E-4</v>
      </c>
      <c r="AD45" s="3">
        <f t="shared" si="27"/>
        <v>1.2899827184584611E-4</v>
      </c>
      <c r="AE45" s="3">
        <f t="shared" si="27"/>
        <v>1.2888222562981521E-4</v>
      </c>
      <c r="AF45" s="3">
        <f t="shared" si="29"/>
        <v>1.2772748970526433E-4</v>
      </c>
      <c r="AG45" s="3">
        <f t="shared" si="29"/>
        <v>1.167341360580508E-4</v>
      </c>
      <c r="AH45" s="3">
        <f t="shared" si="29"/>
        <v>4.7460557977234522E-5</v>
      </c>
      <c r="AI45" s="3">
        <f t="shared" si="29"/>
        <v>5.8570981618150084E-9</v>
      </c>
      <c r="AJ45" s="3">
        <f t="shared" si="29"/>
        <v>4.799313627786382E-48</v>
      </c>
    </row>
    <row r="46" spans="1:36" x14ac:dyDescent="0.25">
      <c r="A46" s="3">
        <f t="shared" si="30"/>
        <v>100000000000000</v>
      </c>
      <c r="B46" s="106">
        <v>0</v>
      </c>
      <c r="C46" s="18">
        <f t="shared" si="3"/>
        <v>0</v>
      </c>
      <c r="D46" s="17"/>
      <c r="F46" s="3">
        <f t="shared" si="28"/>
        <v>0</v>
      </c>
      <c r="G46" s="3">
        <f t="shared" si="28"/>
        <v>0</v>
      </c>
      <c r="H46" s="3">
        <f t="shared" si="28"/>
        <v>0</v>
      </c>
      <c r="I46" s="3">
        <f t="shared" si="28"/>
        <v>0</v>
      </c>
      <c r="J46" s="3">
        <f t="shared" si="28"/>
        <v>0</v>
      </c>
      <c r="K46" s="3">
        <f t="shared" si="28"/>
        <v>0</v>
      </c>
      <c r="L46" s="3">
        <f t="shared" si="28"/>
        <v>0</v>
      </c>
      <c r="M46" s="3">
        <f t="shared" si="28"/>
        <v>0</v>
      </c>
      <c r="N46" s="3">
        <f t="shared" si="28"/>
        <v>0</v>
      </c>
      <c r="O46" s="3">
        <f t="shared" si="28"/>
        <v>0</v>
      </c>
      <c r="P46" s="3">
        <f t="shared" si="27"/>
        <v>0</v>
      </c>
      <c r="Q46" s="3">
        <f t="shared" si="27"/>
        <v>0</v>
      </c>
      <c r="R46" s="3">
        <f t="shared" si="27"/>
        <v>0</v>
      </c>
      <c r="S46" s="3">
        <f t="shared" si="27"/>
        <v>0</v>
      </c>
      <c r="T46" s="3">
        <f t="shared" si="27"/>
        <v>0</v>
      </c>
      <c r="U46" s="3">
        <f t="shared" si="27"/>
        <v>0</v>
      </c>
      <c r="V46" s="3">
        <f t="shared" si="27"/>
        <v>0</v>
      </c>
      <c r="W46" s="3">
        <f t="shared" si="27"/>
        <v>0</v>
      </c>
      <c r="X46" s="3">
        <f t="shared" si="27"/>
        <v>0</v>
      </c>
      <c r="Y46" s="3">
        <f t="shared" si="27"/>
        <v>0</v>
      </c>
      <c r="Z46" s="3">
        <f t="shared" si="27"/>
        <v>0</v>
      </c>
      <c r="AA46" s="3">
        <f t="shared" si="27"/>
        <v>0</v>
      </c>
      <c r="AB46" s="3">
        <f t="shared" si="27"/>
        <v>0</v>
      </c>
      <c r="AC46" s="3">
        <f t="shared" si="27"/>
        <v>0</v>
      </c>
      <c r="AD46" s="3">
        <f t="shared" si="27"/>
        <v>0</v>
      </c>
      <c r="AE46" s="3">
        <f t="shared" si="27"/>
        <v>0</v>
      </c>
      <c r="AF46" s="3">
        <f t="shared" si="29"/>
        <v>0</v>
      </c>
      <c r="AG46" s="3">
        <f t="shared" si="29"/>
        <v>0</v>
      </c>
      <c r="AH46" s="3">
        <f t="shared" si="29"/>
        <v>0</v>
      </c>
      <c r="AI46" s="3">
        <f t="shared" si="29"/>
        <v>0</v>
      </c>
      <c r="AJ46" s="3">
        <f t="shared" si="29"/>
        <v>0</v>
      </c>
    </row>
    <row r="47" spans="1:36" x14ac:dyDescent="0.25">
      <c r="A47" s="3">
        <f t="shared" si="30"/>
        <v>1000000000000000</v>
      </c>
      <c r="B47" s="106">
        <v>6.98343212194252E-5</v>
      </c>
      <c r="C47" s="18">
        <f t="shared" si="3"/>
        <v>7.3508598139721321E-5</v>
      </c>
      <c r="D47" s="17"/>
      <c r="F47" s="3">
        <f t="shared" si="28"/>
        <v>7.3508598139721321E-5</v>
      </c>
      <c r="G47" s="3">
        <f t="shared" si="28"/>
        <v>7.3508598139721321E-5</v>
      </c>
      <c r="H47" s="3">
        <f t="shared" si="28"/>
        <v>7.3508598139721321E-5</v>
      </c>
      <c r="I47" s="3">
        <f t="shared" si="28"/>
        <v>7.3508598139721321E-5</v>
      </c>
      <c r="J47" s="3">
        <f t="shared" si="28"/>
        <v>7.3508598139721321E-5</v>
      </c>
      <c r="K47" s="3">
        <f t="shared" si="28"/>
        <v>7.3508598139721321E-5</v>
      </c>
      <c r="L47" s="3">
        <f t="shared" si="28"/>
        <v>7.3508598139721321E-5</v>
      </c>
      <c r="M47" s="3">
        <f t="shared" si="28"/>
        <v>7.3508598139721321E-5</v>
      </c>
      <c r="N47" s="3">
        <f t="shared" si="28"/>
        <v>7.3508598139721321E-5</v>
      </c>
      <c r="O47" s="3">
        <f t="shared" si="28"/>
        <v>7.3508598139721321E-5</v>
      </c>
      <c r="P47" s="3">
        <f t="shared" si="27"/>
        <v>7.3508598139721321E-5</v>
      </c>
      <c r="Q47" s="3">
        <f t="shared" si="27"/>
        <v>7.3508598139721321E-5</v>
      </c>
      <c r="R47" s="3">
        <f t="shared" si="27"/>
        <v>7.3508598139721321E-5</v>
      </c>
      <c r="S47" s="3">
        <f t="shared" si="27"/>
        <v>7.3508598139721321E-5</v>
      </c>
      <c r="T47" s="3">
        <f t="shared" si="27"/>
        <v>7.3508598139721308E-5</v>
      </c>
      <c r="U47" s="3">
        <f t="shared" si="27"/>
        <v>7.3508598139721253E-5</v>
      </c>
      <c r="V47" s="3">
        <f t="shared" si="27"/>
        <v>7.3508598139720589E-5</v>
      </c>
      <c r="W47" s="3">
        <f t="shared" si="27"/>
        <v>7.3508598139713962E-5</v>
      </c>
      <c r="X47" s="3">
        <f t="shared" si="27"/>
        <v>7.3508598139647812E-5</v>
      </c>
      <c r="Y47" s="3">
        <f t="shared" si="27"/>
        <v>7.3508598138986232E-5</v>
      </c>
      <c r="Z47" s="3">
        <f t="shared" si="27"/>
        <v>7.3508598132370457E-5</v>
      </c>
      <c r="AA47" s="3">
        <f t="shared" si="27"/>
        <v>7.3508598066212725E-5</v>
      </c>
      <c r="AB47" s="3">
        <f t="shared" si="27"/>
        <v>7.3508597404635338E-5</v>
      </c>
      <c r="AC47" s="3">
        <f t="shared" si="27"/>
        <v>7.3508590788861884E-5</v>
      </c>
      <c r="AD47" s="3">
        <f t="shared" si="27"/>
        <v>7.3508524631159941E-5</v>
      </c>
      <c r="AE47" s="3">
        <f t="shared" si="27"/>
        <v>7.3507863057415342E-5</v>
      </c>
      <c r="AF47" s="3">
        <f t="shared" si="29"/>
        <v>7.3501247647438092E-5</v>
      </c>
      <c r="AG47" s="3">
        <f t="shared" si="29"/>
        <v>7.3435126283632305E-5</v>
      </c>
      <c r="AH47" s="3">
        <f t="shared" si="29"/>
        <v>7.2777175367365497E-5</v>
      </c>
      <c r="AI47" s="3">
        <f t="shared" si="29"/>
        <v>6.6513330144188373E-5</v>
      </c>
      <c r="AJ47" s="3">
        <f t="shared" si="29"/>
        <v>2.7042302004936805E-5</v>
      </c>
    </row>
    <row r="48" spans="1:36" x14ac:dyDescent="0.25">
      <c r="A48" s="3">
        <f t="shared" si="30"/>
        <v>1E+16</v>
      </c>
      <c r="B48" s="106">
        <v>6.6096068327144489E-4</v>
      </c>
      <c r="C48" s="18">
        <f t="shared" si="3"/>
        <v>6.9573660063357843E-4</v>
      </c>
      <c r="D48" s="17"/>
      <c r="F48" s="3">
        <f t="shared" si="28"/>
        <v>6.9573660063357843E-4</v>
      </c>
      <c r="G48" s="3">
        <f t="shared" si="28"/>
        <v>6.9573660063357843E-4</v>
      </c>
      <c r="H48" s="3">
        <f t="shared" si="28"/>
        <v>6.9573660063357843E-4</v>
      </c>
      <c r="I48" s="3">
        <f t="shared" si="28"/>
        <v>6.9573660063357843E-4</v>
      </c>
      <c r="J48" s="3">
        <f t="shared" si="28"/>
        <v>6.9573660063357843E-4</v>
      </c>
      <c r="K48" s="3">
        <f t="shared" si="28"/>
        <v>6.9573660063357843E-4</v>
      </c>
      <c r="L48" s="3">
        <f t="shared" si="28"/>
        <v>6.9573660063357843E-4</v>
      </c>
      <c r="M48" s="3">
        <f t="shared" si="28"/>
        <v>6.9573660063357843E-4</v>
      </c>
      <c r="N48" s="3">
        <f t="shared" si="28"/>
        <v>6.9573660063357843E-4</v>
      </c>
      <c r="O48" s="3">
        <f t="shared" si="28"/>
        <v>6.9573660063357843E-4</v>
      </c>
      <c r="P48" s="3">
        <f t="shared" si="27"/>
        <v>6.9573660063357843E-4</v>
      </c>
      <c r="Q48" s="3">
        <f t="shared" si="27"/>
        <v>6.9573660063357843E-4</v>
      </c>
      <c r="R48" s="3">
        <f t="shared" si="27"/>
        <v>6.9573660063357843E-4</v>
      </c>
      <c r="S48" s="3">
        <f t="shared" si="27"/>
        <v>6.9573660063357843E-4</v>
      </c>
      <c r="T48" s="3">
        <f t="shared" si="27"/>
        <v>6.9573660063357843E-4</v>
      </c>
      <c r="U48" s="3">
        <f t="shared" si="27"/>
        <v>6.9573660063357832E-4</v>
      </c>
      <c r="V48" s="3">
        <f t="shared" si="27"/>
        <v>6.9573660063357778E-4</v>
      </c>
      <c r="W48" s="3">
        <f t="shared" si="27"/>
        <v>6.9573660063357149E-4</v>
      </c>
      <c r="X48" s="3">
        <f t="shared" si="27"/>
        <v>6.9573660063350883E-4</v>
      </c>
      <c r="Y48" s="3">
        <f t="shared" si="27"/>
        <v>6.957366006328827E-4</v>
      </c>
      <c r="Z48" s="3">
        <f t="shared" si="27"/>
        <v>6.9573660062662111E-4</v>
      </c>
      <c r="AA48" s="3">
        <f t="shared" si="27"/>
        <v>6.9573660056400474E-4</v>
      </c>
      <c r="AB48" s="3">
        <f t="shared" si="27"/>
        <v>6.9573659993784189E-4</v>
      </c>
      <c r="AC48" s="3">
        <f t="shared" si="27"/>
        <v>6.9573659367621243E-4</v>
      </c>
      <c r="AD48" s="3">
        <f t="shared" si="27"/>
        <v>6.9573653105992192E-4</v>
      </c>
      <c r="AE48" s="3">
        <f t="shared" si="27"/>
        <v>6.9573590489732564E-4</v>
      </c>
      <c r="AF48" s="3">
        <f t="shared" si="29"/>
        <v>6.9572964330235883E-4</v>
      </c>
      <c r="AG48" s="3">
        <f t="shared" si="29"/>
        <v>6.9566703045208212E-4</v>
      </c>
      <c r="AH48" s="3">
        <f t="shared" si="29"/>
        <v>6.950412117853181E-4</v>
      </c>
      <c r="AI48" s="3">
        <f t="shared" si="29"/>
        <v>6.8881390579048573E-4</v>
      </c>
      <c r="AJ48" s="3">
        <f t="shared" si="29"/>
        <v>6.2952850935040264E-4</v>
      </c>
    </row>
    <row r="49" spans="1:36" x14ac:dyDescent="0.25">
      <c r="B49" s="16">
        <f>SUM(B17:B48)</f>
        <v>0.95001568505887923</v>
      </c>
      <c r="C49" s="18">
        <f>SUM(C17:C48)</f>
        <v>1</v>
      </c>
      <c r="F49" s="3">
        <f t="shared" ref="F49:AJ49" si="31">F16-F17</f>
        <v>-0.37041776816386118</v>
      </c>
      <c r="G49" s="3">
        <f t="shared" si="31"/>
        <v>-0.29756376718160027</v>
      </c>
      <c r="H49" s="3">
        <f t="shared" si="31"/>
        <v>-0.31674969291270827</v>
      </c>
      <c r="I49" s="3">
        <f t="shared" si="31"/>
        <v>-0.13774527569603379</v>
      </c>
      <c r="J49" s="3">
        <f t="shared" si="31"/>
        <v>1.4107266664450435</v>
      </c>
      <c r="K49" s="3">
        <f t="shared" si="31"/>
        <v>-0.32594736214559816</v>
      </c>
      <c r="L49" s="3">
        <f t="shared" si="31"/>
        <v>5.5063896115825628E-2</v>
      </c>
      <c r="M49" s="3">
        <f t="shared" si="31"/>
        <v>-5.3478358067877707E-2</v>
      </c>
      <c r="N49" s="3">
        <f t="shared" si="31"/>
        <v>0.11651329672622524</v>
      </c>
      <c r="O49" s="3">
        <f t="shared" si="31"/>
        <v>-0.23752296712427778</v>
      </c>
      <c r="P49" s="3">
        <f t="shared" si="31"/>
        <v>0.41190795113743661</v>
      </c>
      <c r="Q49" s="3">
        <f t="shared" si="31"/>
        <v>-0.59742843223557429</v>
      </c>
      <c r="R49" s="3">
        <f t="shared" si="31"/>
        <v>0.73478470339705382</v>
      </c>
      <c r="S49" s="3">
        <f t="shared" si="31"/>
        <v>-0.77536288169812906</v>
      </c>
      <c r="T49" s="3">
        <f t="shared" si="31"/>
        <v>0.69690813012402941</v>
      </c>
      <c r="U49" s="3">
        <f t="shared" si="31"/>
        <v>-0.52819947712396242</v>
      </c>
      <c r="V49" s="3">
        <f t="shared" si="31"/>
        <v>0.34358158657323656</v>
      </c>
      <c r="W49" s="3">
        <f t="shared" si="31"/>
        <v>-0.19974969951954336</v>
      </c>
      <c r="X49" s="3">
        <f t="shared" si="31"/>
        <v>0.10351201987214154</v>
      </c>
      <c r="Y49" s="3">
        <f t="shared" si="31"/>
        <v>-4.3382376216641205E-2</v>
      </c>
      <c r="Z49" s="3">
        <f t="shared" si="31"/>
        <v>1.3851278003812695E-2</v>
      </c>
      <c r="AA49" s="3">
        <f t="shared" si="31"/>
        <v>-2.811708040439953E-3</v>
      </c>
      <c r="AB49" s="3">
        <f t="shared" si="31"/>
        <v>-8.5254401546990266E-3</v>
      </c>
      <c r="AC49" s="3">
        <f t="shared" si="31"/>
        <v>2.3625854907550092E-2</v>
      </c>
      <c r="AD49" s="3">
        <f t="shared" si="31"/>
        <v>-3.5423617454426903E-2</v>
      </c>
      <c r="AE49" s="3">
        <f t="shared" si="31"/>
        <v>4.338096518773682E-2</v>
      </c>
      <c r="AF49" s="3">
        <f t="shared" si="31"/>
        <v>-0.10330119983520092</v>
      </c>
      <c r="AG49" s="3">
        <f t="shared" si="31"/>
        <v>0.19087424189746116</v>
      </c>
      <c r="AH49" s="3">
        <f t="shared" si="31"/>
        <v>-0.25441717483586501</v>
      </c>
      <c r="AI49" s="3">
        <f t="shared" si="31"/>
        <v>0.16373007982082299</v>
      </c>
      <c r="AJ49" s="3">
        <f t="shared" si="31"/>
        <v>-2.0595705959593147E-2</v>
      </c>
    </row>
    <row r="50" spans="1:36" x14ac:dyDescent="0.25">
      <c r="F50" s="57">
        <f t="shared" ref="F50:AJ50" si="32">F49/F17</f>
        <v>-5.1207595573077204E-5</v>
      </c>
      <c r="G50" s="57">
        <f t="shared" si="32"/>
        <v>-4.1136096938704934E-5</v>
      </c>
      <c r="H50" s="57">
        <f t="shared" si="32"/>
        <v>-4.3788880621000066E-5</v>
      </c>
      <c r="I50" s="57">
        <f t="shared" si="32"/>
        <v>-1.9044524704310755E-5</v>
      </c>
      <c r="J50" s="57">
        <f t="shared" si="32"/>
        <v>1.9523953600726688E-4</v>
      </c>
      <c r="K50" s="57">
        <f t="shared" si="32"/>
        <v>-4.5394776991701982E-5</v>
      </c>
      <c r="L50" s="57">
        <f t="shared" si="32"/>
        <v>7.8186736678746687E-6</v>
      </c>
      <c r="M50" s="57">
        <f t="shared" si="32"/>
        <v>-7.7541685547368105E-6</v>
      </c>
      <c r="N50" s="57">
        <f t="shared" si="32"/>
        <v>1.7317169165712394E-5</v>
      </c>
      <c r="O50" s="57">
        <f t="shared" si="32"/>
        <v>-3.6413227280870839E-5</v>
      </c>
      <c r="P50" s="57">
        <f t="shared" si="32"/>
        <v>6.5140729278699404E-5</v>
      </c>
      <c r="Q50" s="57">
        <f t="shared" si="32"/>
        <v>-9.8561914762470328E-5</v>
      </c>
      <c r="R50" s="57">
        <f t="shared" si="32"/>
        <v>1.2721313704471625E-4</v>
      </c>
      <c r="S50" s="57">
        <f t="shared" si="32"/>
        <v>-1.410637369459482E-4</v>
      </c>
      <c r="T50" s="57">
        <f t="shared" si="32"/>
        <v>1.3433330542879447E-4</v>
      </c>
      <c r="U50" s="57">
        <f t="shared" si="32"/>
        <v>-1.0898116696098626E-4</v>
      </c>
      <c r="V50" s="57">
        <f t="shared" si="32"/>
        <v>7.9769363168678888E-5</v>
      </c>
      <c r="W50" s="57">
        <f t="shared" si="32"/>
        <v>-5.8330606080660979E-5</v>
      </c>
      <c r="X50" s="57">
        <f t="shared" si="32"/>
        <v>4.2120397342059798E-5</v>
      </c>
      <c r="Y50" s="57">
        <f t="shared" si="32"/>
        <v>-2.6929148602753982E-5</v>
      </c>
      <c r="Z50" s="57">
        <f t="shared" si="32"/>
        <v>1.4693552666062132E-5</v>
      </c>
      <c r="AA50" s="57">
        <f t="shared" si="32"/>
        <v>-5.5096148272723451E-6</v>
      </c>
      <c r="AB50" s="57">
        <f t="shared" si="32"/>
        <v>-3.141557841350322E-5</v>
      </c>
      <c r="AC50" s="57">
        <f t="shared" si="32"/>
        <v>1.5499188731403504E-4</v>
      </c>
      <c r="AD50" s="57">
        <f t="shared" si="32"/>
        <v>-3.09320634514265E-4</v>
      </c>
      <c r="AE50" s="57">
        <f t="shared" si="32"/>
        <v>4.2942183529293143E-4</v>
      </c>
      <c r="AF50" s="57">
        <f t="shared" si="32"/>
        <v>-1.1088200343707224E-3</v>
      </c>
      <c r="AG50" s="57">
        <f t="shared" si="32"/>
        <v>2.0648202335272594E-3</v>
      </c>
      <c r="AH50" s="57">
        <f t="shared" si="32"/>
        <v>-2.7809502769090316E-3</v>
      </c>
      <c r="AI50" s="57">
        <f t="shared" si="32"/>
        <v>1.7983190278064512E-3</v>
      </c>
      <c r="AJ50" s="57">
        <f t="shared" si="32"/>
        <v>-2.2802495824575102E-4</v>
      </c>
    </row>
    <row r="51" spans="1:36" x14ac:dyDescent="0.25">
      <c r="A51" s="13" t="s">
        <v>21</v>
      </c>
      <c r="B51" s="3">
        <f>STUTT!D8</f>
        <v>7330.9827999999998</v>
      </c>
      <c r="E51" s="11" t="s">
        <v>24</v>
      </c>
      <c r="F51" s="20">
        <f t="shared" ref="F51:AJ51" si="33">(F16-F17)^2</f>
        <v>0.13720932297149602</v>
      </c>
      <c r="G51" s="20">
        <f t="shared" si="33"/>
        <v>8.8544195539305606E-2</v>
      </c>
      <c r="H51" s="20">
        <f t="shared" si="33"/>
        <v>0.10033036796029499</v>
      </c>
      <c r="I51" s="20">
        <f t="shared" si="33"/>
        <v>1.8973760976576357E-2</v>
      </c>
      <c r="J51" s="20">
        <f t="shared" si="33"/>
        <v>1.9901497274191451</v>
      </c>
      <c r="K51" s="20">
        <f t="shared" si="33"/>
        <v>0.10624168288967371</v>
      </c>
      <c r="L51" s="20">
        <f t="shared" si="33"/>
        <v>3.0320326554544369E-3</v>
      </c>
      <c r="M51" s="20">
        <f t="shared" si="33"/>
        <v>2.8599347816361405E-3</v>
      </c>
      <c r="N51" s="20">
        <f t="shared" si="33"/>
        <v>1.3575348314013408E-2</v>
      </c>
      <c r="O51" s="20">
        <f t="shared" si="33"/>
        <v>5.6417159911520742E-2</v>
      </c>
      <c r="P51" s="20">
        <f t="shared" si="33"/>
        <v>0.16966816021024086</v>
      </c>
      <c r="Q51" s="20">
        <f t="shared" si="33"/>
        <v>0.35692073164345617</v>
      </c>
      <c r="R51" s="20">
        <f t="shared" si="33"/>
        <v>0.53990856034629631</v>
      </c>
      <c r="S51" s="20">
        <f t="shared" si="33"/>
        <v>0.60118759831522683</v>
      </c>
      <c r="T51" s="20">
        <f t="shared" si="33"/>
        <v>0.48568094183297111</v>
      </c>
      <c r="U51" s="20">
        <f t="shared" si="33"/>
        <v>0.27899468763402729</v>
      </c>
      <c r="V51" s="20">
        <f t="shared" si="33"/>
        <v>0.11804830663218245</v>
      </c>
      <c r="W51" s="20">
        <f t="shared" si="33"/>
        <v>3.9899942458147861E-2</v>
      </c>
      <c r="X51" s="20">
        <f t="shared" si="33"/>
        <v>1.0714738258010625E-2</v>
      </c>
      <c r="Y51" s="20">
        <f t="shared" si="33"/>
        <v>1.8820305662021965E-3</v>
      </c>
      <c r="Z51" s="20">
        <f t="shared" si="33"/>
        <v>1.9185790233890539E-4</v>
      </c>
      <c r="AA51" s="20">
        <f t="shared" si="33"/>
        <v>7.9057021046746799E-6</v>
      </c>
      <c r="AB51" s="20">
        <f t="shared" si="33"/>
        <v>7.2683129831354565E-5</v>
      </c>
      <c r="AC51" s="20">
        <f t="shared" si="33"/>
        <v>5.5818102011260878E-4</v>
      </c>
      <c r="AD51" s="20">
        <f t="shared" si="33"/>
        <v>1.2548326735575784E-3</v>
      </c>
      <c r="AE51" s="20">
        <f t="shared" si="33"/>
        <v>1.8819081406196338E-3</v>
      </c>
      <c r="AF51" s="20">
        <f t="shared" si="33"/>
        <v>1.0671137887392114E-2</v>
      </c>
      <c r="AG51" s="20">
        <f t="shared" si="33"/>
        <v>3.6432976219930517E-2</v>
      </c>
      <c r="AH51" s="20">
        <f t="shared" si="33"/>
        <v>6.4728098851463106E-2</v>
      </c>
      <c r="AI51" s="20">
        <f t="shared" si="33"/>
        <v>2.6807539038133068E-2</v>
      </c>
      <c r="AJ51" s="20">
        <f t="shared" si="33"/>
        <v>4.2418310397402065E-4</v>
      </c>
    </row>
    <row r="52" spans="1:36" x14ac:dyDescent="0.25">
      <c r="A52" s="13"/>
    </row>
    <row r="53" spans="1:36" x14ac:dyDescent="0.25">
      <c r="E53" s="131" t="s">
        <v>25</v>
      </c>
      <c r="F53" s="131"/>
      <c r="G53" s="104">
        <f>SUM(F51:AJ51)</f>
        <v>5.2632705349853355</v>
      </c>
      <c r="I53" s="3">
        <f>G53+C123</f>
        <v>5.2632705349853355</v>
      </c>
      <c r="K53" s="3">
        <f>SUM(Z51:AJ51)</f>
        <v>0.14303130366945757</v>
      </c>
    </row>
    <row r="55" spans="1:36" x14ac:dyDescent="0.25">
      <c r="E55" s="30" t="s">
        <v>30</v>
      </c>
      <c r="F55" s="31">
        <f t="shared" ref="F55:AJ55" si="34">ABS(F17-F16)/F16</f>
        <v>5.1210217925205929E-5</v>
      </c>
      <c r="G55" s="31">
        <f t="shared" si="34"/>
        <v>4.1137789186788764E-5</v>
      </c>
      <c r="H55" s="31">
        <f t="shared" si="34"/>
        <v>4.3790798171033478E-5</v>
      </c>
      <c r="I55" s="31">
        <f t="shared" si="34"/>
        <v>1.9044887405139432E-5</v>
      </c>
      <c r="J55" s="31">
        <f t="shared" si="34"/>
        <v>1.9520142497162749E-4</v>
      </c>
      <c r="K55" s="31">
        <f t="shared" si="34"/>
        <v>4.5396837771028728E-5</v>
      </c>
      <c r="L55" s="31">
        <f t="shared" si="34"/>
        <v>7.8186125366947099E-6</v>
      </c>
      <c r="M55" s="31">
        <f t="shared" si="34"/>
        <v>7.7542286823330244E-6</v>
      </c>
      <c r="N55" s="31">
        <f t="shared" si="34"/>
        <v>1.7316869286557536E-5</v>
      </c>
      <c r="O55" s="31">
        <f t="shared" si="34"/>
        <v>3.6414553252274743E-5</v>
      </c>
      <c r="P55" s="31">
        <f t="shared" si="34"/>
        <v>6.5136486240483052E-5</v>
      </c>
      <c r="Q55" s="31">
        <f t="shared" si="34"/>
        <v>9.8571630171081254E-5</v>
      </c>
      <c r="R55" s="31">
        <f t="shared" si="34"/>
        <v>1.27196955920931E-4</v>
      </c>
      <c r="S55" s="31">
        <f t="shared" si="34"/>
        <v>1.4108363873124955E-4</v>
      </c>
      <c r="T55" s="31">
        <f t="shared" si="34"/>
        <v>1.3431526241562466E-4</v>
      </c>
      <c r="U55" s="31">
        <f t="shared" si="34"/>
        <v>1.0899304515023737E-4</v>
      </c>
      <c r="V55" s="31">
        <f t="shared" si="34"/>
        <v>7.9763000524922596E-5</v>
      </c>
      <c r="W55" s="31">
        <f t="shared" si="34"/>
        <v>5.8334008738745825E-5</v>
      </c>
      <c r="X55" s="31">
        <f t="shared" si="34"/>
        <v>4.2118623288911368E-5</v>
      </c>
      <c r="Y55" s="31">
        <f t="shared" si="34"/>
        <v>2.6929873801327433E-5</v>
      </c>
      <c r="Z55" s="31">
        <f t="shared" si="34"/>
        <v>1.4693336768744481E-5</v>
      </c>
      <c r="AA55" s="31">
        <f t="shared" si="34"/>
        <v>5.50964518329514E-6</v>
      </c>
      <c r="AB55" s="31">
        <f t="shared" si="34"/>
        <v>3.1416565383076496E-5</v>
      </c>
      <c r="AC55" s="31">
        <f t="shared" si="34"/>
        <v>1.5496786855161517E-4</v>
      </c>
      <c r="AD55" s="31">
        <f t="shared" si="34"/>
        <v>3.0941634337392654E-4</v>
      </c>
      <c r="AE55" s="31">
        <f t="shared" si="34"/>
        <v>4.2923751133303826E-4</v>
      </c>
      <c r="AF55" s="31">
        <f t="shared" si="34"/>
        <v>1.1100508810267756E-3</v>
      </c>
      <c r="AG55" s="31">
        <f t="shared" si="34"/>
        <v>2.0605655361157784E-3</v>
      </c>
      <c r="AH55" s="31">
        <f t="shared" si="34"/>
        <v>2.7887055283202311E-3</v>
      </c>
      <c r="AI55" s="31">
        <f t="shared" si="34"/>
        <v>1.7950908817172173E-3</v>
      </c>
      <c r="AJ55" s="31">
        <f t="shared" si="34"/>
        <v>2.2807696548628284E-4</v>
      </c>
    </row>
    <row r="56" spans="1:36" x14ac:dyDescent="0.25">
      <c r="E56" s="13" t="s">
        <v>31</v>
      </c>
      <c r="F56" s="32">
        <f>AVERAGE(F55:AJ55)</f>
        <v>3.3145999378813489E-4</v>
      </c>
    </row>
    <row r="57" spans="1:36" x14ac:dyDescent="0.25">
      <c r="A57" s="42"/>
      <c r="B57" s="15"/>
      <c r="C57" s="15"/>
      <c r="D57" s="15"/>
      <c r="F57" s="60">
        <f>AVERAGE(S55:X55)</f>
        <v>9.4101263141615227E-5</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111</v>
      </c>
      <c r="D60" s="11" t="s">
        <v>114</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112</v>
      </c>
      <c r="B63" s="15"/>
      <c r="C63" s="132"/>
      <c r="D63" s="132"/>
      <c r="E63" s="132"/>
      <c r="F63" s="132"/>
      <c r="G63" s="132"/>
      <c r="H63" s="132"/>
      <c r="I63" s="132"/>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33"/>
    </row>
    <row r="101" spans="1:9" x14ac:dyDescent="0.25">
      <c r="A101" s="133"/>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-21.601432961392756</v>
      </c>
    </row>
    <row r="119" spans="1:14" x14ac:dyDescent="0.25">
      <c r="L119" s="11">
        <f>L118+1</f>
        <v>2</v>
      </c>
      <c r="M119" s="11">
        <f t="shared" ref="M119:M124" si="35">INDEX($B$125:$K$126,1,L119)</f>
        <v>0</v>
      </c>
      <c r="N119" s="11">
        <f t="shared" ref="N119:N124" si="36">IF(L119=$B$3,0,INDEX($B$125:$K$126,2,L119))</f>
        <v>-17.60083092062002</v>
      </c>
    </row>
    <row r="120" spans="1:14" x14ac:dyDescent="0.25">
      <c r="L120" s="11">
        <f t="shared" ref="L120:L124" si="37">L119+1</f>
        <v>3</v>
      </c>
      <c r="M120" s="11">
        <f t="shared" si="35"/>
        <v>25</v>
      </c>
      <c r="N120" s="11">
        <f t="shared" si="36"/>
        <v>-13.983378315651946</v>
      </c>
    </row>
    <row r="121" spans="1:14" x14ac:dyDescent="0.25">
      <c r="A121" s="103">
        <f>(A165+A204+A243+A282+A321+A360+A399)*10^9</f>
        <v>2.930983218933022E+16</v>
      </c>
      <c r="L121" s="11">
        <f t="shared" si="37"/>
        <v>4</v>
      </c>
      <c r="M121" s="11">
        <f t="shared" si="35"/>
        <v>50</v>
      </c>
      <c r="N121" s="11">
        <f t="shared" si="36"/>
        <v>-8.5553694671339517</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0</v>
      </c>
    </row>
    <row r="123" spans="1:14" x14ac:dyDescent="0.25">
      <c r="A123" s="131"/>
      <c r="B123" s="131"/>
      <c r="C123" s="3"/>
      <c r="D123" s="3"/>
      <c r="E123" s="3"/>
      <c r="F123" s="3"/>
      <c r="G123" s="3"/>
      <c r="H123" s="3"/>
      <c r="I123" s="3"/>
      <c r="J123" s="3"/>
      <c r="K123" s="3"/>
      <c r="L123" s="11">
        <f t="shared" si="37"/>
        <v>6</v>
      </c>
      <c r="M123" s="11">
        <f t="shared" si="35"/>
        <v>125</v>
      </c>
      <c r="N123" s="11">
        <f t="shared" si="36"/>
        <v>18.564414953206096</v>
      </c>
    </row>
    <row r="124" spans="1:14" x14ac:dyDescent="0.25">
      <c r="B124" s="3"/>
      <c r="C124" s="3"/>
      <c r="D124" s="3"/>
      <c r="E124" s="3"/>
      <c r="F124" s="3"/>
      <c r="G124" s="3"/>
      <c r="H124" s="3"/>
      <c r="I124" s="3"/>
      <c r="J124" s="3"/>
      <c r="K124" s="3"/>
      <c r="L124" s="11">
        <f t="shared" si="37"/>
        <v>7</v>
      </c>
      <c r="M124" s="11">
        <f t="shared" si="35"/>
        <v>160</v>
      </c>
      <c r="N124" s="11">
        <f t="shared" si="36"/>
        <v>22.63634100105423</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-21.601432961392756</v>
      </c>
      <c r="C126" s="107">
        <v>-17.60083092062002</v>
      </c>
      <c r="D126" s="107">
        <v>-13.983378315651946</v>
      </c>
      <c r="E126" s="107">
        <v>-8.5553694671339517</v>
      </c>
      <c r="F126" s="107">
        <v>-5.9888404763308477E-6</v>
      </c>
      <c r="G126" s="107">
        <v>18.564414953206096</v>
      </c>
      <c r="H126" s="107">
        <v>22.63634100105423</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7439.7100142178388</v>
      </c>
      <c r="C130" s="26">
        <f>INDEX(Comparison!$AM$3:$AS$33,G14,$B$122)</f>
        <v>7439.7868081900597</v>
      </c>
      <c r="D130" s="26">
        <f>INDEX(Comparison!$AM$3:$AS$33,H14,$B$122)</f>
        <v>7439.7470193525078</v>
      </c>
      <c r="E130" s="26">
        <f>INDEX(Comparison!$AM$3:$AS$33,I14,$B$122)</f>
        <v>7439.7367084831149</v>
      </c>
      <c r="F130" s="26">
        <f>INDEX(Comparison!$AM$3:$AS$33,J14,$B$122)</f>
        <v>7439.7336721589263</v>
      </c>
      <c r="G130" s="26">
        <f>INDEX(Comparison!$AM$3:$AS$33,K14,$B$122)</f>
        <v>7439.732723308126</v>
      </c>
      <c r="H130" s="26">
        <f>INDEX(Comparison!$AM$3:$AS$33,L14,$B$122)</f>
        <v>7439.7324702812866</v>
      </c>
      <c r="I130" s="26">
        <f>INDEX(Comparison!$AM$3:$AS$33,M14,$B$122)</f>
        <v>7439.7324070245795</v>
      </c>
      <c r="J130" s="26">
        <f>INDEX(Comparison!$AM$3:$AS$33,N14,$B$122)</f>
        <v>7439.7323437678724</v>
      </c>
      <c r="K130" s="26">
        <f>INDEX(Comparison!$AM$3:$AS$33,O14,$B$122)</f>
        <v>7439.7323437678724</v>
      </c>
      <c r="L130" s="26">
        <f>INDEX(Comparison!$AM$3:$AS$33,P14,$B$122)</f>
        <v>7439.7323437678724</v>
      </c>
      <c r="M130" s="26">
        <f>INDEX(Comparison!$AM$3:$AS$33,Q14,$B$122)</f>
        <v>7439.7322172544646</v>
      </c>
      <c r="N130" s="26">
        <f>INDEX(Comparison!$AM$3:$AS$33,R14,$B$122)</f>
        <v>7439.7315214307937</v>
      </c>
      <c r="O130" s="26">
        <f>INDEX(Comparison!$AM$3:$AS$33,S14,$B$122)</f>
        <v>7439.7241836618095</v>
      </c>
      <c r="P130" s="26">
        <f>INDEX(Comparison!$AM$3:$AS$33,T14,$B$122)</f>
        <v>7439.6508067680606</v>
      </c>
      <c r="Q130" s="26">
        <f>INDEX(Comparison!$AM$3:$AS$33,U14,$B$122)</f>
        <v>7438.9188882303606</v>
      </c>
      <c r="R130" s="26">
        <f>INDEX(Comparison!$AM$3:$AS$33,V14,$B$122)</f>
        <v>7431.7642795214106</v>
      </c>
      <c r="S130" s="26">
        <f>INDEX(Comparison!$AM$3:$AS$33,W14,$B$122)</f>
        <v>7374.1954046997607</v>
      </c>
      <c r="T130" s="26">
        <f>INDEX(Comparison!$AM$3:$AS$33,X14,$B$122)</f>
        <v>7229.1163160436472</v>
      </c>
      <c r="U130" s="26">
        <f>INDEX(Comparison!$AM$3:$AS$33,Y14,$B$122)</f>
        <v>7065.0007195804155</v>
      </c>
      <c r="V130" s="26">
        <f>INDEX(Comparison!$AM$3:$AS$33,Z14,$B$122)</f>
        <v>6763.2909836921517</v>
      </c>
      <c r="W130" s="26">
        <f>INDEX(Comparison!$AM$3:$AS$33,AA14,$B$122)</f>
        <v>6076.274832146727</v>
      </c>
      <c r="X130" s="26">
        <f>INDEX(Comparison!$AM$3:$AS$33,AB14,$B$122)</f>
        <v>5152.9727387836929</v>
      </c>
      <c r="Y130" s="26">
        <f>INDEX(Comparison!$AM$3:$AS$33,AC14,$B$122)</f>
        <v>4349.4578522571974</v>
      </c>
      <c r="Z130" s="26">
        <f>INDEX(Comparison!$AM$3:$AS$33,AD14,$B$122)</f>
        <v>3760.3414331574859</v>
      </c>
      <c r="AA130" s="26">
        <f>INDEX(Comparison!$AM$3:$AS$33,AE14,$B$122)</f>
        <v>3336.4331784463179</v>
      </c>
      <c r="AB130" s="26">
        <f>INDEX(Comparison!$AM$3:$AS$33,AF14,$B$122)</f>
        <v>2995.2983606085086</v>
      </c>
      <c r="AC130" s="26">
        <f>INDEX(Comparison!$AM$3:$AS$33,AG14,$B$122)</f>
        <v>2700.8479980556854</v>
      </c>
      <c r="AD130" s="26">
        <f>INDEX(Comparison!$AM$3:$AS$33,AH14,$B$122)</f>
        <v>2380.901782740345</v>
      </c>
      <c r="AE130" s="26">
        <f>INDEX(Comparison!$AM$3:$AS$33,AI14,$B$122)</f>
        <v>2012.430565108212</v>
      </c>
      <c r="AF130" s="26">
        <f>INDEX(Comparison!$AM$3:$AS$33,AJ14,$B$122)</f>
        <v>1596.0920370512245</v>
      </c>
    </row>
    <row r="131" spans="1:33" x14ac:dyDescent="0.25">
      <c r="A131" s="68" t="s">
        <v>22</v>
      </c>
      <c r="B131" s="27">
        <f>($C$17+SUM(B132:B162))*$B$51</f>
        <v>7330.9787554697159</v>
      </c>
      <c r="C131" s="27">
        <f t="shared" ref="C131:AF131" si="40">($C$17+SUM(C132:C162))*$B$51</f>
        <v>7330.9423622592276</v>
      </c>
      <c r="D131" s="27">
        <f t="shared" si="40"/>
        <v>7330.5791777626964</v>
      </c>
      <c r="E131" s="27">
        <f t="shared" si="40"/>
        <v>7327.0210693880717</v>
      </c>
      <c r="F131" s="27">
        <f t="shared" si="40"/>
        <v>7297.8877441421964</v>
      </c>
      <c r="G131" s="27">
        <f t="shared" si="40"/>
        <v>7235.1758443900699</v>
      </c>
      <c r="H131" s="27">
        <f t="shared" si="40"/>
        <v>7233.6497678610021</v>
      </c>
      <c r="I131" s="27">
        <f t="shared" si="40"/>
        <v>7233.6497646705529</v>
      </c>
      <c r="J131" s="27">
        <f t="shared" si="40"/>
        <v>7233.64973276605</v>
      </c>
      <c r="K131" s="27">
        <f t="shared" si="40"/>
        <v>7233.6494137218442</v>
      </c>
      <c r="L131" s="27">
        <f t="shared" si="40"/>
        <v>7233.6462233615466</v>
      </c>
      <c r="M131" s="27">
        <f t="shared" si="40"/>
        <v>7233.614327932065</v>
      </c>
      <c r="N131" s="27">
        <f t="shared" si="40"/>
        <v>7233.2961889548387</v>
      </c>
      <c r="O131" s="27">
        <f t="shared" si="40"/>
        <v>7230.1943371271191</v>
      </c>
      <c r="P131" s="27">
        <f t="shared" si="40"/>
        <v>7205.47146406503</v>
      </c>
      <c r="Q131" s="27">
        <f t="shared" si="40"/>
        <v>7108.7170059531809</v>
      </c>
      <c r="R131" s="27">
        <f t="shared" si="40"/>
        <v>6956.2596414242234</v>
      </c>
      <c r="S131" s="27">
        <f t="shared" si="40"/>
        <v>6801.4118263567343</v>
      </c>
      <c r="T131" s="27">
        <f t="shared" si="40"/>
        <v>6608.9425932198828</v>
      </c>
      <c r="U131" s="27">
        <f t="shared" si="40"/>
        <v>6398.1012136017962</v>
      </c>
      <c r="V131" s="27">
        <f t="shared" si="40"/>
        <v>6176.3500430628492</v>
      </c>
      <c r="W131" s="27">
        <f t="shared" si="40"/>
        <v>5873.9493979675581</v>
      </c>
      <c r="X131" s="27">
        <f t="shared" si="40"/>
        <v>5599.9526704578766</v>
      </c>
      <c r="Y131" s="27">
        <f t="shared" si="40"/>
        <v>5300.1953861606635</v>
      </c>
      <c r="Z131" s="27">
        <f t="shared" si="40"/>
        <v>4969.4418443180384</v>
      </c>
      <c r="AA131" s="27">
        <f t="shared" si="40"/>
        <v>4552.7329512006309</v>
      </c>
      <c r="AB131" s="27">
        <f t="shared" si="40"/>
        <v>3748.1935764509171</v>
      </c>
      <c r="AC131" s="27">
        <f t="shared" si="40"/>
        <v>2777.379370414305</v>
      </c>
      <c r="AD131" s="27">
        <f t="shared" si="40"/>
        <v>1889.2475516315581</v>
      </c>
      <c r="AE131" s="27">
        <f t="shared" si="40"/>
        <v>1159.1484871720616</v>
      </c>
      <c r="AF131" s="27">
        <f t="shared" si="40"/>
        <v>644.96270146117797</v>
      </c>
    </row>
    <row r="132" spans="1:33" x14ac:dyDescent="0.25">
      <c r="B132" s="3">
        <f t="shared" ref="B132:Z133" si="41">$C18*EXP(-B$129/$A18/EXP(-$B$126))</f>
        <v>1.3276390070676245E-2</v>
      </c>
      <c r="C132" s="3">
        <f t="shared" ref="C132:AF132" si="42">$C18*EXP(-C$129/$A18/EXP(-$B$126))</f>
        <v>1.3271425768961535E-2</v>
      </c>
      <c r="D132" s="3">
        <f t="shared" si="42"/>
        <v>1.3221884731094244E-2</v>
      </c>
      <c r="E132" s="3">
        <f t="shared" si="42"/>
        <v>1.2736532565992272E-2</v>
      </c>
      <c r="F132" s="3">
        <f t="shared" si="42"/>
        <v>8.7625326211710711E-3</v>
      </c>
      <c r="G132" s="3">
        <f t="shared" si="42"/>
        <v>2.0816802489572427E-4</v>
      </c>
      <c r="H132" s="3">
        <f t="shared" si="42"/>
        <v>1.1919492377457205E-20</v>
      </c>
      <c r="I132" s="3">
        <f t="shared" si="42"/>
        <v>4.5153887470263621E-183</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0</v>
      </c>
      <c r="C133" s="3">
        <f t="shared" si="41"/>
        <v>0</v>
      </c>
      <c r="D133" s="3">
        <f t="shared" si="41"/>
        <v>0</v>
      </c>
      <c r="E133" s="3">
        <f t="shared" si="41"/>
        <v>0</v>
      </c>
      <c r="F133" s="3">
        <f t="shared" si="41"/>
        <v>0</v>
      </c>
      <c r="G133" s="3">
        <f t="shared" si="41"/>
        <v>0</v>
      </c>
      <c r="H133" s="3">
        <f t="shared" si="41"/>
        <v>0</v>
      </c>
      <c r="I133" s="3">
        <f t="shared" si="41"/>
        <v>0</v>
      </c>
      <c r="J133" s="3">
        <f t="shared" si="41"/>
        <v>0</v>
      </c>
      <c r="K133" s="3">
        <f t="shared" si="41"/>
        <v>0</v>
      </c>
      <c r="L133" s="3">
        <f t="shared" si="41"/>
        <v>0</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0</v>
      </c>
      <c r="C134" s="3">
        <f t="shared" si="44"/>
        <v>0</v>
      </c>
      <c r="D134" s="3">
        <f t="shared" si="44"/>
        <v>0</v>
      </c>
      <c r="E134" s="3">
        <f t="shared" si="44"/>
        <v>0</v>
      </c>
      <c r="F134" s="3">
        <f t="shared" si="44"/>
        <v>0</v>
      </c>
      <c r="G134" s="3">
        <f t="shared" si="44"/>
        <v>0</v>
      </c>
      <c r="H134" s="3">
        <f t="shared" si="44"/>
        <v>0</v>
      </c>
      <c r="I134" s="3">
        <f t="shared" si="44"/>
        <v>0</v>
      </c>
      <c r="J134" s="3">
        <f t="shared" si="44"/>
        <v>0</v>
      </c>
      <c r="K134" s="3">
        <f t="shared" si="44"/>
        <v>0</v>
      </c>
      <c r="L134" s="3">
        <f t="shared" si="44"/>
        <v>0</v>
      </c>
      <c r="M134" s="3">
        <f t="shared" si="44"/>
        <v>0</v>
      </c>
      <c r="N134" s="3">
        <f t="shared" si="44"/>
        <v>0</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0</v>
      </c>
      <c r="C135" s="3">
        <f t="shared" si="47"/>
        <v>0</v>
      </c>
      <c r="D135" s="3">
        <f t="shared" si="47"/>
        <v>0</v>
      </c>
      <c r="E135" s="3">
        <f t="shared" si="47"/>
        <v>0</v>
      </c>
      <c r="F135" s="3">
        <f t="shared" si="47"/>
        <v>0</v>
      </c>
      <c r="G135" s="3">
        <f t="shared" si="47"/>
        <v>0</v>
      </c>
      <c r="H135" s="3">
        <f t="shared" si="47"/>
        <v>0</v>
      </c>
      <c r="I135" s="3">
        <f t="shared" si="47"/>
        <v>0</v>
      </c>
      <c r="J135" s="3">
        <f t="shared" si="47"/>
        <v>0</v>
      </c>
      <c r="K135" s="3">
        <f t="shared" si="47"/>
        <v>0</v>
      </c>
      <c r="L135" s="3">
        <f t="shared" si="47"/>
        <v>0</v>
      </c>
      <c r="M135" s="3">
        <f t="shared" si="47"/>
        <v>0</v>
      </c>
      <c r="N135" s="3">
        <f t="shared" si="47"/>
        <v>0</v>
      </c>
      <c r="O135" s="3">
        <f t="shared" si="47"/>
        <v>0</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3.9093064533807752E-3</v>
      </c>
      <c r="C136" s="3">
        <f t="shared" si="49"/>
        <v>3.9093064533805002E-3</v>
      </c>
      <c r="D136" s="3">
        <f t="shared" si="49"/>
        <v>3.9093064533777507E-3</v>
      </c>
      <c r="E136" s="3">
        <f t="shared" si="49"/>
        <v>3.9093064533502588E-3</v>
      </c>
      <c r="F136" s="3">
        <f t="shared" si="49"/>
        <v>3.9093064530753433E-3</v>
      </c>
      <c r="G136" s="3">
        <f t="shared" si="49"/>
        <v>3.9093064503261778E-3</v>
      </c>
      <c r="H136" s="3">
        <f t="shared" si="49"/>
        <v>3.90930642283453E-3</v>
      </c>
      <c r="I136" s="3">
        <f t="shared" si="49"/>
        <v>3.9093061479180628E-3</v>
      </c>
      <c r="J136" s="3">
        <f t="shared" si="49"/>
        <v>3.9093033987544551E-3</v>
      </c>
      <c r="K136" s="3">
        <f t="shared" si="49"/>
        <v>3.9092759072247097E-3</v>
      </c>
      <c r="L136" s="3">
        <f t="shared" si="49"/>
        <v>3.9090010025601609E-3</v>
      </c>
      <c r="M136" s="3">
        <f t="shared" si="49"/>
        <v>3.9062530189286288E-3</v>
      </c>
      <c r="N136" s="3">
        <f t="shared" si="49"/>
        <v>3.8788792079353703E-3</v>
      </c>
      <c r="O136" s="3">
        <f t="shared" si="49"/>
        <v>3.6154728678590938E-3</v>
      </c>
      <c r="P136" s="3">
        <f t="shared" si="49"/>
        <v>1.7895903100453507E-3</v>
      </c>
      <c r="Q136" s="3">
        <f t="shared" si="49"/>
        <v>1.5799332816454158E-6</v>
      </c>
      <c r="R136" s="3">
        <f t="shared" si="49"/>
        <v>4.5445410338264604E-37</v>
      </c>
      <c r="S136" s="3">
        <f t="shared" si="49"/>
        <v>0</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2.3295025109815577E-2</v>
      </c>
      <c r="C137" s="3">
        <f t="shared" si="51"/>
        <v>2.3295025109815428E-2</v>
      </c>
      <c r="D137" s="3">
        <f t="shared" si="51"/>
        <v>2.329502510981395E-2</v>
      </c>
      <c r="E137" s="3">
        <f t="shared" si="51"/>
        <v>2.329502510979917E-2</v>
      </c>
      <c r="F137" s="3">
        <f t="shared" si="51"/>
        <v>2.3295025109651393E-2</v>
      </c>
      <c r="G137" s="3">
        <f t="shared" si="51"/>
        <v>2.3295025108173609E-2</v>
      </c>
      <c r="H137" s="3">
        <f t="shared" si="51"/>
        <v>2.3295025093395774E-2</v>
      </c>
      <c r="I137" s="3">
        <f t="shared" si="51"/>
        <v>2.3295024945617419E-2</v>
      </c>
      <c r="J137" s="3">
        <f t="shared" si="51"/>
        <v>2.3295023467833919E-2</v>
      </c>
      <c r="K137" s="3">
        <f t="shared" si="51"/>
        <v>2.3295008690004063E-2</v>
      </c>
      <c r="L137" s="3">
        <f t="shared" si="51"/>
        <v>2.3294860912221133E-2</v>
      </c>
      <c r="M137" s="3">
        <f t="shared" si="51"/>
        <v>2.3293383185951463E-2</v>
      </c>
      <c r="N137" s="3">
        <f t="shared" si="51"/>
        <v>2.3278611078008351E-2</v>
      </c>
      <c r="O137" s="3">
        <f t="shared" si="51"/>
        <v>2.3131404266063742E-2</v>
      </c>
      <c r="P137" s="3">
        <f t="shared" si="51"/>
        <v>2.1709576018029055E-2</v>
      </c>
      <c r="Q137" s="3">
        <f t="shared" si="51"/>
        <v>1.1511840737696944E-2</v>
      </c>
      <c r="R137" s="3">
        <f t="shared" si="51"/>
        <v>2.0233875822840559E-5</v>
      </c>
      <c r="S137" s="3">
        <f t="shared" si="51"/>
        <v>5.6940615506657626E-33</v>
      </c>
      <c r="T137" s="3">
        <f t="shared" si="51"/>
        <v>0</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1.9366384778578008E-2</v>
      </c>
      <c r="C138" s="3">
        <f t="shared" si="53"/>
        <v>1.9366384778577998E-2</v>
      </c>
      <c r="D138" s="3">
        <f t="shared" si="53"/>
        <v>1.936638477857789E-2</v>
      </c>
      <c r="E138" s="3">
        <f t="shared" si="53"/>
        <v>1.936638477857678E-2</v>
      </c>
      <c r="F138" s="3">
        <f t="shared" si="53"/>
        <v>1.9366384778565698E-2</v>
      </c>
      <c r="G138" s="3">
        <f t="shared" si="53"/>
        <v>1.936638477845487E-2</v>
      </c>
      <c r="H138" s="3">
        <f t="shared" si="53"/>
        <v>1.9366384777346608E-2</v>
      </c>
      <c r="I138" s="3">
        <f t="shared" si="53"/>
        <v>1.936638476626398E-2</v>
      </c>
      <c r="J138" s="3">
        <f t="shared" si="53"/>
        <v>1.9366384655437691E-2</v>
      </c>
      <c r="K138" s="3">
        <f t="shared" si="53"/>
        <v>1.9366383547174831E-2</v>
      </c>
      <c r="L138" s="3">
        <f t="shared" si="53"/>
        <v>1.9366372464549718E-2</v>
      </c>
      <c r="M138" s="3">
        <f t="shared" si="53"/>
        <v>1.9366261638647408E-2</v>
      </c>
      <c r="N138" s="3">
        <f t="shared" si="53"/>
        <v>1.9365153414505364E-2</v>
      </c>
      <c r="O138" s="3">
        <f t="shared" si="53"/>
        <v>1.9354074660451127E-2</v>
      </c>
      <c r="P138" s="3">
        <f t="shared" si="53"/>
        <v>1.9243635119254192E-2</v>
      </c>
      <c r="Q138" s="3">
        <f t="shared" si="53"/>
        <v>1.8173313942923253E-2</v>
      </c>
      <c r="R138" s="3">
        <f t="shared" si="53"/>
        <v>1.0254259026312947E-2</v>
      </c>
      <c r="S138" s="3">
        <f t="shared" si="53"/>
        <v>3.3543303355688063E-5</v>
      </c>
      <c r="T138" s="3">
        <f t="shared" si="53"/>
        <v>4.7056680911343139E-30</v>
      </c>
      <c r="U138" s="3">
        <f t="shared" si="53"/>
        <v>1.3892356121906752E-278</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2.4447536701486281E-2</v>
      </c>
      <c r="C139" s="3">
        <f t="shared" si="55"/>
        <v>2.4447536701486278E-2</v>
      </c>
      <c r="D139" s="3">
        <f t="shared" si="55"/>
        <v>2.4447536701486267E-2</v>
      </c>
      <c r="E139" s="3">
        <f t="shared" si="55"/>
        <v>2.4447536701486139E-2</v>
      </c>
      <c r="F139" s="3">
        <f t="shared" si="55"/>
        <v>2.4447536701484879E-2</v>
      </c>
      <c r="G139" s="3">
        <f t="shared" si="55"/>
        <v>2.4447536701472261E-2</v>
      </c>
      <c r="H139" s="3">
        <f t="shared" si="55"/>
        <v>2.4447536701346053E-2</v>
      </c>
      <c r="I139" s="3">
        <f t="shared" si="55"/>
        <v>2.4447536700084007E-2</v>
      </c>
      <c r="J139" s="3">
        <f t="shared" si="55"/>
        <v>2.4447536687463522E-2</v>
      </c>
      <c r="K139" s="3">
        <f t="shared" si="55"/>
        <v>2.4447536561258705E-2</v>
      </c>
      <c r="L139" s="3">
        <f t="shared" si="55"/>
        <v>2.4447535299210562E-2</v>
      </c>
      <c r="M139" s="3">
        <f t="shared" si="55"/>
        <v>2.4447522678732708E-2</v>
      </c>
      <c r="N139" s="3">
        <f t="shared" si="55"/>
        <v>2.4447396474312509E-2</v>
      </c>
      <c r="O139" s="3">
        <f t="shared" si="55"/>
        <v>2.4446134465942425E-2</v>
      </c>
      <c r="P139" s="3">
        <f t="shared" si="55"/>
        <v>2.4433517964750587E-2</v>
      </c>
      <c r="Q139" s="3">
        <f t="shared" si="55"/>
        <v>2.4307710520401857E-2</v>
      </c>
      <c r="R139" s="3">
        <f t="shared" si="55"/>
        <v>2.3084719193524582E-2</v>
      </c>
      <c r="S139" s="3">
        <f t="shared" si="55"/>
        <v>1.3776217786131273E-2</v>
      </c>
      <c r="T139" s="3">
        <f t="shared" si="55"/>
        <v>7.8919447755308221E-5</v>
      </c>
      <c r="U139" s="3">
        <f t="shared" si="55"/>
        <v>3.0041693769674226E-27</v>
      </c>
      <c r="V139" s="3">
        <f t="shared" si="55"/>
        <v>1.9192351421799937E-251</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3.2102560695383232E-2</v>
      </c>
      <c r="C140" s="3">
        <f t="shared" si="57"/>
        <v>3.2102560695383232E-2</v>
      </c>
      <c r="D140" s="3">
        <f t="shared" si="57"/>
        <v>3.2102560695383232E-2</v>
      </c>
      <c r="E140" s="3">
        <f t="shared" si="57"/>
        <v>3.2102560695383212E-2</v>
      </c>
      <c r="F140" s="3">
        <f t="shared" si="57"/>
        <v>3.2102560695383066E-2</v>
      </c>
      <c r="G140" s="3">
        <f t="shared" si="57"/>
        <v>3.2102560695381574E-2</v>
      </c>
      <c r="H140" s="3">
        <f t="shared" si="57"/>
        <v>3.2102560695366621E-2</v>
      </c>
      <c r="I140" s="3">
        <f t="shared" si="57"/>
        <v>3.2102560695217129E-2</v>
      </c>
      <c r="J140" s="3">
        <f t="shared" si="57"/>
        <v>3.2102560693722179E-2</v>
      </c>
      <c r="K140" s="3">
        <f t="shared" si="57"/>
        <v>3.2102560678772658E-2</v>
      </c>
      <c r="L140" s="3">
        <f t="shared" si="57"/>
        <v>3.2102560529277513E-2</v>
      </c>
      <c r="M140" s="3">
        <f t="shared" si="57"/>
        <v>3.2102559034326079E-2</v>
      </c>
      <c r="N140" s="3">
        <f t="shared" si="57"/>
        <v>3.2102544084815589E-2</v>
      </c>
      <c r="O140" s="3">
        <f t="shared" si="57"/>
        <v>3.210239459009355E-2</v>
      </c>
      <c r="P140" s="3">
        <f t="shared" si="57"/>
        <v>3.2100899681161692E-2</v>
      </c>
      <c r="Q140" s="3">
        <f t="shared" si="57"/>
        <v>3.2085954420038233E-2</v>
      </c>
      <c r="R140" s="3">
        <f t="shared" si="57"/>
        <v>3.1936883969531919E-2</v>
      </c>
      <c r="S140" s="3">
        <f t="shared" si="57"/>
        <v>3.0483745190106371E-2</v>
      </c>
      <c r="T140" s="3">
        <f t="shared" si="57"/>
        <v>1.913489774607317E-2</v>
      </c>
      <c r="U140" s="3">
        <f t="shared" si="57"/>
        <v>1.8172068944613887E-4</v>
      </c>
      <c r="V140" s="3">
        <f t="shared" si="57"/>
        <v>1.0843929283373269E-24</v>
      </c>
      <c r="W140" s="3">
        <f t="shared" si="57"/>
        <v>6.2088288109333587E-227</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2.4134444755217831E-2</v>
      </c>
      <c r="C141" s="3">
        <f t="shared" si="59"/>
        <v>2.4134444755217831E-2</v>
      </c>
      <c r="D141" s="3">
        <f t="shared" si="59"/>
        <v>2.4134444755217831E-2</v>
      </c>
      <c r="E141" s="3">
        <f t="shared" si="59"/>
        <v>2.4134444755217831E-2</v>
      </c>
      <c r="F141" s="3">
        <f t="shared" si="59"/>
        <v>2.413444475521782E-2</v>
      </c>
      <c r="G141" s="3">
        <f t="shared" si="59"/>
        <v>2.413444475521772E-2</v>
      </c>
      <c r="H141" s="3">
        <f t="shared" si="59"/>
        <v>2.4134444755216707E-2</v>
      </c>
      <c r="I141" s="3">
        <f t="shared" si="59"/>
        <v>2.4134444755206565E-2</v>
      </c>
      <c r="J141" s="3">
        <f t="shared" si="59"/>
        <v>2.4134444755105181E-2</v>
      </c>
      <c r="K141" s="3">
        <f t="shared" si="59"/>
        <v>2.4134444754091336E-2</v>
      </c>
      <c r="L141" s="3">
        <f t="shared" si="59"/>
        <v>2.413444474395289E-2</v>
      </c>
      <c r="M141" s="3">
        <f t="shared" si="59"/>
        <v>2.4134444642568448E-2</v>
      </c>
      <c r="N141" s="3">
        <f t="shared" si="59"/>
        <v>2.4134443628724037E-2</v>
      </c>
      <c r="O141" s="3">
        <f t="shared" si="59"/>
        <v>2.4134433490282263E-2</v>
      </c>
      <c r="P141" s="3">
        <f t="shared" si="59"/>
        <v>2.4134332106098749E-2</v>
      </c>
      <c r="Q141" s="3">
        <f t="shared" si="59"/>
        <v>2.413331828768759E-2</v>
      </c>
      <c r="R141" s="3">
        <f t="shared" si="59"/>
        <v>2.4123182445609091E-2</v>
      </c>
      <c r="S141" s="3">
        <f t="shared" si="59"/>
        <v>2.4022057864516808E-2</v>
      </c>
      <c r="T141" s="3">
        <f t="shared" si="59"/>
        <v>2.3033836612967006E-2</v>
      </c>
      <c r="U141" s="3">
        <f t="shared" si="59"/>
        <v>1.5133069037243249E-2</v>
      </c>
      <c r="V141" s="3">
        <f t="shared" si="59"/>
        <v>2.2674322929054497E-4</v>
      </c>
      <c r="W141" s="3">
        <f t="shared" si="59"/>
        <v>1.2930266325488393E-22</v>
      </c>
      <c r="X141" s="3">
        <f t="shared" si="59"/>
        <v>4.7026092726127807E-205</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4.5522140204717329E-2</v>
      </c>
      <c r="C142" s="3">
        <f t="shared" si="61"/>
        <v>4.5522140204717329E-2</v>
      </c>
      <c r="D142" s="3">
        <f t="shared" si="61"/>
        <v>4.5522140204717329E-2</v>
      </c>
      <c r="E142" s="3">
        <f t="shared" si="61"/>
        <v>4.5522140204717329E-2</v>
      </c>
      <c r="F142" s="3">
        <f t="shared" si="61"/>
        <v>4.5522140204717329E-2</v>
      </c>
      <c r="G142" s="3">
        <f t="shared" si="61"/>
        <v>4.5522140204717308E-2</v>
      </c>
      <c r="H142" s="3">
        <f t="shared" si="61"/>
        <v>4.5522140204717135E-2</v>
      </c>
      <c r="I142" s="3">
        <f t="shared" si="61"/>
        <v>4.5522140204715414E-2</v>
      </c>
      <c r="J142" s="3">
        <f t="shared" si="61"/>
        <v>4.5522140204698157E-2</v>
      </c>
      <c r="K142" s="3">
        <f t="shared" si="61"/>
        <v>4.5522140204525656E-2</v>
      </c>
      <c r="L142" s="3">
        <f t="shared" si="61"/>
        <v>4.5522140202800598E-2</v>
      </c>
      <c r="M142" s="3">
        <f t="shared" si="61"/>
        <v>4.5522140185550036E-2</v>
      </c>
      <c r="N142" s="3">
        <f t="shared" si="61"/>
        <v>4.5522140013044408E-2</v>
      </c>
      <c r="O142" s="3">
        <f t="shared" si="61"/>
        <v>4.5522138287988144E-2</v>
      </c>
      <c r="P142" s="3">
        <f t="shared" si="61"/>
        <v>4.5522121037429114E-2</v>
      </c>
      <c r="Q142" s="3">
        <f t="shared" si="61"/>
        <v>4.5521948532198382E-2</v>
      </c>
      <c r="R142" s="3">
        <f t="shared" si="61"/>
        <v>4.5520223515844463E-2</v>
      </c>
      <c r="S142" s="3">
        <f t="shared" si="61"/>
        <v>4.5502976947139784E-2</v>
      </c>
      <c r="T142" s="3">
        <f t="shared" si="61"/>
        <v>4.5330870240024301E-2</v>
      </c>
      <c r="U142" s="3">
        <f t="shared" si="61"/>
        <v>4.3645202893556487E-2</v>
      </c>
      <c r="V142" s="3">
        <f t="shared" si="61"/>
        <v>2.9878660184790028E-2</v>
      </c>
      <c r="W142" s="3">
        <f t="shared" si="61"/>
        <v>6.754716741082425E-4</v>
      </c>
      <c r="X142" s="3">
        <f t="shared" si="61"/>
        <v>2.355414627141418E-20</v>
      </c>
      <c r="Y142" s="3">
        <f t="shared" si="61"/>
        <v>6.2613737557281423E-185</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3.7432935335074267E-2</v>
      </c>
      <c r="C143" s="3">
        <f t="shared" si="63"/>
        <v>3.7432935335074267E-2</v>
      </c>
      <c r="D143" s="3">
        <f t="shared" si="63"/>
        <v>3.7432935335074267E-2</v>
      </c>
      <c r="E143" s="3">
        <f t="shared" si="63"/>
        <v>3.7432935335074267E-2</v>
      </c>
      <c r="F143" s="3">
        <f t="shared" si="63"/>
        <v>3.7432935335074267E-2</v>
      </c>
      <c r="G143" s="3">
        <f t="shared" si="63"/>
        <v>3.7432935335074267E-2</v>
      </c>
      <c r="H143" s="3">
        <f t="shared" si="63"/>
        <v>3.7432935335074254E-2</v>
      </c>
      <c r="I143" s="3">
        <f t="shared" si="63"/>
        <v>3.7432935335074129E-2</v>
      </c>
      <c r="J143" s="3">
        <f t="shared" si="63"/>
        <v>3.7432935335072845E-2</v>
      </c>
      <c r="K143" s="3">
        <f t="shared" si="63"/>
        <v>3.743293533506005E-2</v>
      </c>
      <c r="L143" s="3">
        <f t="shared" si="63"/>
        <v>3.743293533493209E-2</v>
      </c>
      <c r="M143" s="3">
        <f t="shared" si="63"/>
        <v>3.7432935333652467E-2</v>
      </c>
      <c r="N143" s="3">
        <f t="shared" si="63"/>
        <v>3.7432935320856266E-2</v>
      </c>
      <c r="O143" s="3">
        <f t="shared" si="63"/>
        <v>3.743293519289425E-2</v>
      </c>
      <c r="P143" s="3">
        <f t="shared" si="63"/>
        <v>3.7432933913274104E-2</v>
      </c>
      <c r="Q143" s="3">
        <f t="shared" si="63"/>
        <v>3.743292111707508E-2</v>
      </c>
      <c r="R143" s="3">
        <f t="shared" si="63"/>
        <v>3.7432793155325404E-2</v>
      </c>
      <c r="S143" s="3">
        <f t="shared" si="63"/>
        <v>3.7431513561886981E-2</v>
      </c>
      <c r="T143" s="3">
        <f t="shared" si="63"/>
        <v>3.7418720033028E-2</v>
      </c>
      <c r="U143" s="3">
        <f t="shared" si="63"/>
        <v>3.7291024992989467E-2</v>
      </c>
      <c r="V143" s="3">
        <f t="shared" si="63"/>
        <v>3.6037798334955976E-2</v>
      </c>
      <c r="W143" s="3">
        <f t="shared" si="63"/>
        <v>2.5603394655093318E-2</v>
      </c>
      <c r="X143" s="3">
        <f t="shared" si="63"/>
        <v>8.3886205383688016E-4</v>
      </c>
      <c r="Y143" s="3">
        <f t="shared" si="63"/>
        <v>1.1956953434510872E-18</v>
      </c>
      <c r="Z143" s="3">
        <f t="shared" si="63"/>
        <v>4.1392382348793456E-167</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4.1089114467289377E-2</v>
      </c>
      <c r="C144" s="3">
        <f t="shared" si="65"/>
        <v>4.1089114467289377E-2</v>
      </c>
      <c r="D144" s="3">
        <f t="shared" si="65"/>
        <v>4.1089114467289377E-2</v>
      </c>
      <c r="E144" s="3">
        <f t="shared" si="65"/>
        <v>4.1089114467289377E-2</v>
      </c>
      <c r="F144" s="3">
        <f t="shared" si="65"/>
        <v>4.1089114467289377E-2</v>
      </c>
      <c r="G144" s="3">
        <f t="shared" si="65"/>
        <v>4.1089114467289377E-2</v>
      </c>
      <c r="H144" s="3">
        <f t="shared" si="65"/>
        <v>4.1089114467289377E-2</v>
      </c>
      <c r="I144" s="3">
        <f t="shared" si="65"/>
        <v>4.1089114467289363E-2</v>
      </c>
      <c r="J144" s="3">
        <f t="shared" si="65"/>
        <v>4.1089114467289238E-2</v>
      </c>
      <c r="K144" s="3">
        <f t="shared" si="65"/>
        <v>4.1089114467287968E-2</v>
      </c>
      <c r="L144" s="3">
        <f t="shared" si="65"/>
        <v>4.1089114467275298E-2</v>
      </c>
      <c r="M144" s="3">
        <f t="shared" si="65"/>
        <v>4.1089114467148594E-2</v>
      </c>
      <c r="N144" s="3">
        <f t="shared" si="65"/>
        <v>4.1089114465881524E-2</v>
      </c>
      <c r="O144" s="3">
        <f t="shared" si="65"/>
        <v>4.1089114453210819E-2</v>
      </c>
      <c r="P144" s="3">
        <f t="shared" si="65"/>
        <v>4.1089114326503834E-2</v>
      </c>
      <c r="Q144" s="3">
        <f t="shared" si="65"/>
        <v>4.1089113059433982E-2</v>
      </c>
      <c r="R144" s="3">
        <f t="shared" si="65"/>
        <v>4.1089100388737622E-2</v>
      </c>
      <c r="S144" s="3">
        <f t="shared" si="65"/>
        <v>4.108897368198889E-2</v>
      </c>
      <c r="T144" s="3">
        <f t="shared" si="65"/>
        <v>4.1087706635991379E-2</v>
      </c>
      <c r="U144" s="3">
        <f t="shared" si="65"/>
        <v>4.1075038324746883E-2</v>
      </c>
      <c r="V144" s="3">
        <f t="shared" si="65"/>
        <v>4.0948569840406519E-2</v>
      </c>
      <c r="W144" s="3">
        <f t="shared" si="65"/>
        <v>3.9705104929318093E-2</v>
      </c>
      <c r="X144" s="3">
        <f t="shared" si="65"/>
        <v>2.9169060807750218E-2</v>
      </c>
      <c r="Y144" s="3">
        <f t="shared" si="65"/>
        <v>1.3356215675065562E-3</v>
      </c>
      <c r="Z144" s="3">
        <f t="shared" si="65"/>
        <v>5.4111951788455992E-17</v>
      </c>
      <c r="AA144" s="3">
        <f t="shared" ref="AA144" si="66">$C30*EXP(-AA$129/$A30/EXP(-$B$126))</f>
        <v>6.4474941218706278E-151</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4.624509457562298E-2</v>
      </c>
      <c r="C145" s="3">
        <f t="shared" si="68"/>
        <v>4.624509457562298E-2</v>
      </c>
      <c r="D145" s="3">
        <f t="shared" si="68"/>
        <v>4.624509457562298E-2</v>
      </c>
      <c r="E145" s="3">
        <f t="shared" si="68"/>
        <v>4.624509457562298E-2</v>
      </c>
      <c r="F145" s="3">
        <f t="shared" si="68"/>
        <v>4.624509457562298E-2</v>
      </c>
      <c r="G145" s="3">
        <f t="shared" si="68"/>
        <v>4.624509457562298E-2</v>
      </c>
      <c r="H145" s="3">
        <f t="shared" si="68"/>
        <v>4.624509457562298E-2</v>
      </c>
      <c r="I145" s="3">
        <f t="shared" si="68"/>
        <v>4.624509457562298E-2</v>
      </c>
      <c r="J145" s="3">
        <f t="shared" si="68"/>
        <v>4.6245094575622966E-2</v>
      </c>
      <c r="K145" s="3">
        <f t="shared" si="68"/>
        <v>4.6245094575622835E-2</v>
      </c>
      <c r="L145" s="3">
        <f t="shared" si="68"/>
        <v>4.6245094575621551E-2</v>
      </c>
      <c r="M145" s="3">
        <f t="shared" si="68"/>
        <v>4.6245094575608686E-2</v>
      </c>
      <c r="N145" s="3">
        <f t="shared" si="68"/>
        <v>4.6245094575480046E-2</v>
      </c>
      <c r="O145" s="3">
        <f t="shared" si="68"/>
        <v>4.6245094574193617E-2</v>
      </c>
      <c r="P145" s="3">
        <f t="shared" si="68"/>
        <v>4.6245094561329317E-2</v>
      </c>
      <c r="Q145" s="3">
        <f t="shared" si="68"/>
        <v>4.6245094432686353E-2</v>
      </c>
      <c r="R145" s="3">
        <f t="shared" si="68"/>
        <v>4.6245093146256709E-2</v>
      </c>
      <c r="S145" s="3">
        <f t="shared" si="68"/>
        <v>4.6245080281962232E-2</v>
      </c>
      <c r="T145" s="3">
        <f t="shared" si="68"/>
        <v>4.6244951639214285E-2</v>
      </c>
      <c r="U145" s="3">
        <f t="shared" si="68"/>
        <v>4.6243665231416563E-2</v>
      </c>
      <c r="V145" s="3">
        <f t="shared" si="68"/>
        <v>4.6230803121413783E-2</v>
      </c>
      <c r="W145" s="3">
        <f t="shared" si="68"/>
        <v>4.6102378616422704E-2</v>
      </c>
      <c r="X145" s="3">
        <f t="shared" si="68"/>
        <v>4.4837592220973235E-2</v>
      </c>
      <c r="Y145" s="3">
        <f t="shared" si="68"/>
        <v>3.3949374865679456E-2</v>
      </c>
      <c r="Z145" s="3">
        <f t="shared" si="68"/>
        <v>2.1024552923566784E-3</v>
      </c>
      <c r="AA145" s="3">
        <f t="shared" ref="AA145" si="69">$C31*EXP(-AA$129/$A31/EXP(-$B$126))</f>
        <v>1.7445227908976132E-15</v>
      </c>
      <c r="AB145" s="3">
        <f t="shared" si="67"/>
        <v>2.6988293714970489E-136</v>
      </c>
      <c r="AC145" s="3">
        <f t="shared" si="67"/>
        <v>0</v>
      </c>
      <c r="AD145" s="3">
        <f t="shared" si="67"/>
        <v>0</v>
      </c>
      <c r="AE145" s="3">
        <f t="shared" si="67"/>
        <v>0</v>
      </c>
      <c r="AF145" s="3">
        <f t="shared" si="67"/>
        <v>0</v>
      </c>
    </row>
    <row r="146" spans="1:32" x14ac:dyDescent="0.25">
      <c r="B146" s="3">
        <f t="shared" ref="B146:Z146" si="70">$C32*EXP(-B$129/$A32/EXP(-$B$126))</f>
        <v>4.2152470755880481E-2</v>
      </c>
      <c r="C146" s="3">
        <f t="shared" si="70"/>
        <v>4.2152470755880481E-2</v>
      </c>
      <c r="D146" s="3">
        <f t="shared" si="70"/>
        <v>4.2152470755880481E-2</v>
      </c>
      <c r="E146" s="3">
        <f t="shared" si="70"/>
        <v>4.2152470755880481E-2</v>
      </c>
      <c r="F146" s="3">
        <f t="shared" si="70"/>
        <v>4.2152470755880481E-2</v>
      </c>
      <c r="G146" s="3">
        <f t="shared" si="70"/>
        <v>4.2152470755880481E-2</v>
      </c>
      <c r="H146" s="3">
        <f t="shared" si="70"/>
        <v>4.2152470755880481E-2</v>
      </c>
      <c r="I146" s="3">
        <f t="shared" si="70"/>
        <v>4.2152470755880481E-2</v>
      </c>
      <c r="J146" s="3">
        <f t="shared" si="70"/>
        <v>4.2152470755880481E-2</v>
      </c>
      <c r="K146" s="3">
        <f t="shared" si="70"/>
        <v>4.2152470755880467E-2</v>
      </c>
      <c r="L146" s="3">
        <f t="shared" si="70"/>
        <v>4.2152470755880363E-2</v>
      </c>
      <c r="M146" s="3">
        <f t="shared" si="70"/>
        <v>4.2152470755879308E-2</v>
      </c>
      <c r="N146" s="3">
        <f t="shared" si="70"/>
        <v>4.2152470755868726E-2</v>
      </c>
      <c r="O146" s="3">
        <f t="shared" si="70"/>
        <v>4.215247075576295E-2</v>
      </c>
      <c r="P146" s="3">
        <f t="shared" si="70"/>
        <v>4.2152470754705185E-2</v>
      </c>
      <c r="Q146" s="3">
        <f t="shared" si="70"/>
        <v>4.2152470744127514E-2</v>
      </c>
      <c r="R146" s="3">
        <f t="shared" si="70"/>
        <v>4.2152470638350814E-2</v>
      </c>
      <c r="S146" s="3">
        <f t="shared" si="70"/>
        <v>4.2152469580583864E-2</v>
      </c>
      <c r="T146" s="3">
        <f t="shared" si="70"/>
        <v>4.2152459002915789E-2</v>
      </c>
      <c r="U146" s="3">
        <f t="shared" si="70"/>
        <v>4.2152353226381001E-2</v>
      </c>
      <c r="V146" s="3">
        <f t="shared" si="70"/>
        <v>4.2151295475631879E-2</v>
      </c>
      <c r="W146" s="3">
        <f t="shared" si="70"/>
        <v>4.2140719427878476E-2</v>
      </c>
      <c r="X146" s="3">
        <f t="shared" si="70"/>
        <v>4.2035104788682845E-2</v>
      </c>
      <c r="Y146" s="3">
        <f t="shared" si="70"/>
        <v>4.0993407727874048E-2</v>
      </c>
      <c r="Z146" s="3">
        <f t="shared" si="70"/>
        <v>3.189575594343512E-2</v>
      </c>
      <c r="AA146" s="3">
        <f t="shared" ref="AA146" si="71">$C32*EXP(-AA$129/$A32/EXP(-$B$126))</f>
        <v>2.5937115376807409E-3</v>
      </c>
      <c r="AB146" s="3">
        <f t="shared" si="67"/>
        <v>3.2795134574234082E-14</v>
      </c>
      <c r="AC146" s="3">
        <f t="shared" si="67"/>
        <v>3.425207227474228E-123</v>
      </c>
      <c r="AD146" s="3">
        <f t="shared" si="67"/>
        <v>0</v>
      </c>
      <c r="AE146" s="3">
        <f t="shared" si="67"/>
        <v>0</v>
      </c>
      <c r="AF146" s="3">
        <f t="shared" si="67"/>
        <v>0</v>
      </c>
    </row>
    <row r="147" spans="1:32" x14ac:dyDescent="0.25">
      <c r="B147" s="3">
        <f t="shared" ref="B147:Z147" si="72">$C33*EXP(-B$129/$A33/EXP(-$B$126))</f>
        <v>0.11273931401056794</v>
      </c>
      <c r="C147" s="3">
        <f t="shared" si="72"/>
        <v>0.11273931401056794</v>
      </c>
      <c r="D147" s="3">
        <f t="shared" si="72"/>
        <v>0.11273931401056794</v>
      </c>
      <c r="E147" s="3">
        <f t="shared" si="72"/>
        <v>0.11273931401056794</v>
      </c>
      <c r="F147" s="3">
        <f t="shared" si="72"/>
        <v>0.11273931401056794</v>
      </c>
      <c r="G147" s="3">
        <f t="shared" si="72"/>
        <v>0.11273931401056794</v>
      </c>
      <c r="H147" s="3">
        <f t="shared" si="72"/>
        <v>0.11273931401056794</v>
      </c>
      <c r="I147" s="3">
        <f t="shared" si="72"/>
        <v>0.11273931401056794</v>
      </c>
      <c r="J147" s="3">
        <f t="shared" si="72"/>
        <v>0.11273931401056794</v>
      </c>
      <c r="K147" s="3">
        <f t="shared" si="72"/>
        <v>0.11273931401056794</v>
      </c>
      <c r="L147" s="3">
        <f t="shared" si="72"/>
        <v>0.11273931401056791</v>
      </c>
      <c r="M147" s="3">
        <f t="shared" si="72"/>
        <v>0.11273931401056765</v>
      </c>
      <c r="N147" s="3">
        <f t="shared" si="72"/>
        <v>0.1127393140105651</v>
      </c>
      <c r="O147" s="3">
        <f t="shared" si="72"/>
        <v>0.11273931401053959</v>
      </c>
      <c r="P147" s="3">
        <f t="shared" si="72"/>
        <v>0.11273931401028438</v>
      </c>
      <c r="Q147" s="3">
        <f t="shared" si="72"/>
        <v>0.11273931400773234</v>
      </c>
      <c r="R147" s="3">
        <f t="shared" si="72"/>
        <v>0.11273931398221185</v>
      </c>
      <c r="S147" s="3">
        <f t="shared" si="72"/>
        <v>0.11273931372700699</v>
      </c>
      <c r="T147" s="3">
        <f t="shared" si="72"/>
        <v>0.1127393111749584</v>
      </c>
      <c r="U147" s="3">
        <f t="shared" si="72"/>
        <v>0.11273928565447569</v>
      </c>
      <c r="V147" s="3">
        <f t="shared" si="72"/>
        <v>0.11273903044996639</v>
      </c>
      <c r="W147" s="3">
        <f t="shared" si="72"/>
        <v>0.11273647843664654</v>
      </c>
      <c r="X147" s="3">
        <f t="shared" si="72"/>
        <v>0.11271096148050347</v>
      </c>
      <c r="Y147" s="3">
        <f t="shared" si="72"/>
        <v>0.11245610935866725</v>
      </c>
      <c r="Z147" s="3">
        <f t="shared" si="72"/>
        <v>0.10993906782766412</v>
      </c>
      <c r="AA147" s="3">
        <f t="shared" ref="AA147" si="73">$C33*EXP(-AA$129/$A33/EXP(-$B$126))</f>
        <v>8.7668184179435102E-2</v>
      </c>
      <c r="AB147" s="3">
        <f t="shared" si="67"/>
        <v>9.1146841196572681E-3</v>
      </c>
      <c r="AC147" s="3">
        <f t="shared" si="67"/>
        <v>1.345047839526228E-12</v>
      </c>
      <c r="AD147" s="3">
        <f t="shared" si="67"/>
        <v>6.5871692305744736E-111</v>
      </c>
      <c r="AE147" s="3">
        <f t="shared" si="67"/>
        <v>0</v>
      </c>
      <c r="AF147" s="3">
        <f t="shared" si="67"/>
        <v>0</v>
      </c>
    </row>
    <row r="148" spans="1:32" x14ac:dyDescent="0.25">
      <c r="B148" s="3">
        <f t="shared" ref="B148:Z148" si="74">$C34*EXP(-B$129/$A34/EXP(-$B$126))</f>
        <v>0.14424740982428688</v>
      </c>
      <c r="C148" s="3">
        <f t="shared" si="74"/>
        <v>0.14424740982428688</v>
      </c>
      <c r="D148" s="3">
        <f t="shared" si="74"/>
        <v>0.14424740982428688</v>
      </c>
      <c r="E148" s="3">
        <f t="shared" si="74"/>
        <v>0.14424740982428688</v>
      </c>
      <c r="F148" s="3">
        <f t="shared" si="74"/>
        <v>0.14424740982428688</v>
      </c>
      <c r="G148" s="3">
        <f t="shared" si="74"/>
        <v>0.14424740982428688</v>
      </c>
      <c r="H148" s="3">
        <f t="shared" si="74"/>
        <v>0.14424740982428688</v>
      </c>
      <c r="I148" s="3">
        <f t="shared" si="74"/>
        <v>0.14424740982428688</v>
      </c>
      <c r="J148" s="3">
        <f t="shared" si="74"/>
        <v>0.14424740982428688</v>
      </c>
      <c r="K148" s="3">
        <f t="shared" si="74"/>
        <v>0.14424740982428688</v>
      </c>
      <c r="L148" s="3">
        <f t="shared" si="74"/>
        <v>0.14424740982428688</v>
      </c>
      <c r="M148" s="3">
        <f t="shared" si="74"/>
        <v>0.14424740982428685</v>
      </c>
      <c r="N148" s="3">
        <f t="shared" si="74"/>
        <v>0.14424740982428655</v>
      </c>
      <c r="O148" s="3">
        <f t="shared" si="74"/>
        <v>0.14424740982428361</v>
      </c>
      <c r="P148" s="3">
        <f t="shared" si="74"/>
        <v>0.14424740982425416</v>
      </c>
      <c r="Q148" s="3">
        <f t="shared" si="74"/>
        <v>0.14424740982395959</v>
      </c>
      <c r="R148" s="3">
        <f t="shared" si="74"/>
        <v>0.14424740982101406</v>
      </c>
      <c r="S148" s="3">
        <f t="shared" si="74"/>
        <v>0.14424740979155842</v>
      </c>
      <c r="T148" s="3">
        <f t="shared" si="74"/>
        <v>0.14424740949700221</v>
      </c>
      <c r="U148" s="3">
        <f t="shared" si="74"/>
        <v>0.14424740655144022</v>
      </c>
      <c r="V148" s="3">
        <f t="shared" si="74"/>
        <v>0.14424737709582375</v>
      </c>
      <c r="W148" s="3">
        <f t="shared" si="74"/>
        <v>0.14424708253998952</v>
      </c>
      <c r="X148" s="3">
        <f t="shared" si="74"/>
        <v>0.14424413701472896</v>
      </c>
      <c r="Y148" s="3">
        <f t="shared" si="74"/>
        <v>0.14421468507004004</v>
      </c>
      <c r="Z148" s="3">
        <f t="shared" si="74"/>
        <v>0.14392049616501715</v>
      </c>
      <c r="AA148" s="3">
        <f>$C34*EXP(-AA$129/$A34/EXP(-$B$126))</f>
        <v>0.14101141291954325</v>
      </c>
      <c r="AB148" s="3">
        <f t="shared" si="67"/>
        <v>0.11496626716305497</v>
      </c>
      <c r="AC148" s="3">
        <f t="shared" si="67"/>
        <v>1.4918738220738643E-2</v>
      </c>
      <c r="AD148" s="3">
        <f t="shared" si="67"/>
        <v>2.0199876908676057E-11</v>
      </c>
      <c r="AE148" s="3">
        <f t="shared" si="67"/>
        <v>4.183261547989865E-100</v>
      </c>
      <c r="AF148" s="3">
        <f t="shared" si="67"/>
        <v>0</v>
      </c>
    </row>
    <row r="149" spans="1:32" x14ac:dyDescent="0.25">
      <c r="B149" s="3">
        <f t="shared" ref="B149:Z149" si="75">$C35*EXP(-B$129/$A35/EXP(-$B$126))</f>
        <v>0.12974291069495422</v>
      </c>
      <c r="C149" s="3">
        <f t="shared" si="75"/>
        <v>0.12974291069495422</v>
      </c>
      <c r="D149" s="3">
        <f t="shared" si="75"/>
        <v>0.12974291069495422</v>
      </c>
      <c r="E149" s="3">
        <f t="shared" si="75"/>
        <v>0.12974291069495422</v>
      </c>
      <c r="F149" s="3">
        <f t="shared" si="75"/>
        <v>0.12974291069495422</v>
      </c>
      <c r="G149" s="3">
        <f t="shared" si="75"/>
        <v>0.12974291069495422</v>
      </c>
      <c r="H149" s="3">
        <f t="shared" si="75"/>
        <v>0.12974291069495422</v>
      </c>
      <c r="I149" s="3">
        <f t="shared" si="75"/>
        <v>0.12974291069495422</v>
      </c>
      <c r="J149" s="3">
        <f t="shared" si="75"/>
        <v>0.12974291069495422</v>
      </c>
      <c r="K149" s="3">
        <f t="shared" si="75"/>
        <v>0.12974291069495422</v>
      </c>
      <c r="L149" s="3">
        <f t="shared" si="75"/>
        <v>0.12974291069495422</v>
      </c>
      <c r="M149" s="3">
        <f t="shared" si="75"/>
        <v>0.12974291069495422</v>
      </c>
      <c r="N149" s="3">
        <f t="shared" si="75"/>
        <v>0.12974291069495419</v>
      </c>
      <c r="O149" s="3">
        <f t="shared" si="75"/>
        <v>0.12974291069495397</v>
      </c>
      <c r="P149" s="3">
        <f t="shared" si="75"/>
        <v>0.12974291069495159</v>
      </c>
      <c r="Q149" s="3">
        <f t="shared" si="75"/>
        <v>0.12974291069492766</v>
      </c>
      <c r="R149" s="3">
        <f t="shared" si="75"/>
        <v>0.12974291069468868</v>
      </c>
      <c r="S149" s="3">
        <f t="shared" si="75"/>
        <v>0.12974291069229871</v>
      </c>
      <c r="T149" s="3">
        <f t="shared" si="75"/>
        <v>0.12974291066839913</v>
      </c>
      <c r="U149" s="3">
        <f t="shared" si="75"/>
        <v>0.12974291042940328</v>
      </c>
      <c r="V149" s="3">
        <f t="shared" si="75"/>
        <v>0.12974290803944472</v>
      </c>
      <c r="W149" s="3">
        <f t="shared" si="75"/>
        <v>0.12974288413986154</v>
      </c>
      <c r="X149" s="3">
        <f t="shared" si="75"/>
        <v>0.12974264514427203</v>
      </c>
      <c r="Y149" s="3">
        <f t="shared" si="75"/>
        <v>0.12974025521259017</v>
      </c>
      <c r="Z149" s="3">
        <f t="shared" si="75"/>
        <v>0.12971635831695086</v>
      </c>
      <c r="AA149" s="3">
        <f t="shared" ref="AA149" si="76">$C35*EXP(-AA$129/$A35/EXP(-$B$126))</f>
        <v>0.12947763131352863</v>
      </c>
      <c r="AB149" s="3">
        <f t="shared" si="67"/>
        <v>0.12711439247867362</v>
      </c>
      <c r="AC149" s="3">
        <f t="shared" si="67"/>
        <v>0.10572909878541664</v>
      </c>
      <c r="AD149" s="3">
        <f t="shared" si="67"/>
        <v>1.6756857348732897E-2</v>
      </c>
      <c r="AE149" s="3">
        <f t="shared" si="67"/>
        <v>1.6756101944736682E-10</v>
      </c>
      <c r="AF149" s="3">
        <f t="shared" si="67"/>
        <v>1.6748549777481955E-90</v>
      </c>
    </row>
    <row r="150" spans="1:32" x14ac:dyDescent="0.25">
      <c r="B150" s="3">
        <f t="shared" ref="B150:Z150" si="77">$C36*EXP(-B$129/$A36/EXP(-$B$126))</f>
        <v>0.10714334071735752</v>
      </c>
      <c r="C150" s="3">
        <f t="shared" si="77"/>
        <v>0.10714334071735752</v>
      </c>
      <c r="D150" s="3">
        <f t="shared" si="77"/>
        <v>0.10714334071735752</v>
      </c>
      <c r="E150" s="3">
        <f t="shared" si="77"/>
        <v>0.10714334071735752</v>
      </c>
      <c r="F150" s="3">
        <f t="shared" si="77"/>
        <v>0.10714334071735752</v>
      </c>
      <c r="G150" s="3">
        <f t="shared" si="77"/>
        <v>0.10714334071735752</v>
      </c>
      <c r="H150" s="3">
        <f t="shared" si="77"/>
        <v>0.10714334071735752</v>
      </c>
      <c r="I150" s="3">
        <f t="shared" si="77"/>
        <v>0.10714334071735752</v>
      </c>
      <c r="J150" s="3">
        <f t="shared" si="77"/>
        <v>0.10714334071735752</v>
      </c>
      <c r="K150" s="3">
        <f t="shared" si="77"/>
        <v>0.10714334071735752</v>
      </c>
      <c r="L150" s="3">
        <f t="shared" si="77"/>
        <v>0.10714334071735752</v>
      </c>
      <c r="M150" s="3">
        <f t="shared" si="77"/>
        <v>0.10714334071735752</v>
      </c>
      <c r="N150" s="3">
        <f t="shared" si="77"/>
        <v>0.10714334071735752</v>
      </c>
      <c r="O150" s="3">
        <f t="shared" si="77"/>
        <v>0.1071433407173575</v>
      </c>
      <c r="P150" s="3">
        <f t="shared" si="77"/>
        <v>0.10714334071735732</v>
      </c>
      <c r="Q150" s="3">
        <f t="shared" si="77"/>
        <v>0.10714334071735555</v>
      </c>
      <c r="R150" s="3">
        <f t="shared" si="77"/>
        <v>0.10714334071733775</v>
      </c>
      <c r="S150" s="3">
        <f t="shared" si="77"/>
        <v>0.10714334071715971</v>
      </c>
      <c r="T150" s="3">
        <f t="shared" si="77"/>
        <v>0.1071433407153793</v>
      </c>
      <c r="U150" s="3">
        <f t="shared" si="77"/>
        <v>0.10714334069757527</v>
      </c>
      <c r="V150" s="3">
        <f t="shared" si="77"/>
        <v>0.10714334051953489</v>
      </c>
      <c r="W150" s="3">
        <f t="shared" si="77"/>
        <v>0.10714333873913109</v>
      </c>
      <c r="X150" s="3">
        <f t="shared" si="77"/>
        <v>0.10714332093509489</v>
      </c>
      <c r="Y150" s="3">
        <f t="shared" si="77"/>
        <v>0.10714314289489552</v>
      </c>
      <c r="Z150" s="3">
        <f t="shared" si="77"/>
        <v>0.10714136250917336</v>
      </c>
      <c r="AA150" s="3">
        <f t="shared" ref="AA150" si="78">$C36*EXP(-AA$129/$A36/EXP(-$B$126))</f>
        <v>0.10712356027901677</v>
      </c>
      <c r="AB150" s="3">
        <f t="shared" si="67"/>
        <v>0.1069457005839438</v>
      </c>
      <c r="AC150" s="3">
        <f t="shared" si="67"/>
        <v>0.10518326474997736</v>
      </c>
      <c r="AD150" s="3">
        <f t="shared" si="67"/>
        <v>8.9079919242328304E-2</v>
      </c>
      <c r="AE150" s="3">
        <f t="shared" si="67"/>
        <v>1.6908749683431559E-2</v>
      </c>
      <c r="AF150" s="3">
        <f t="shared" si="67"/>
        <v>1.0266639143783953E-9</v>
      </c>
    </row>
    <row r="151" spans="1:32" x14ac:dyDescent="0.25">
      <c r="B151" s="3">
        <f t="shared" ref="B151:Z151" si="79">$C37*EXP(-B$129/$A37/EXP(-$B$126))</f>
        <v>7.467332001482109E-2</v>
      </c>
      <c r="C151" s="3">
        <f t="shared" si="79"/>
        <v>7.467332001482109E-2</v>
      </c>
      <c r="D151" s="3">
        <f t="shared" si="79"/>
        <v>7.467332001482109E-2</v>
      </c>
      <c r="E151" s="3">
        <f t="shared" si="79"/>
        <v>7.467332001482109E-2</v>
      </c>
      <c r="F151" s="3">
        <f t="shared" si="79"/>
        <v>7.467332001482109E-2</v>
      </c>
      <c r="G151" s="3">
        <f t="shared" si="79"/>
        <v>7.467332001482109E-2</v>
      </c>
      <c r="H151" s="3">
        <f t="shared" si="79"/>
        <v>7.467332001482109E-2</v>
      </c>
      <c r="I151" s="3">
        <f t="shared" si="79"/>
        <v>7.467332001482109E-2</v>
      </c>
      <c r="J151" s="3">
        <f t="shared" si="79"/>
        <v>7.467332001482109E-2</v>
      </c>
      <c r="K151" s="3">
        <f t="shared" si="79"/>
        <v>7.467332001482109E-2</v>
      </c>
      <c r="L151" s="3">
        <f t="shared" si="79"/>
        <v>7.467332001482109E-2</v>
      </c>
      <c r="M151" s="3">
        <f t="shared" si="79"/>
        <v>7.467332001482109E-2</v>
      </c>
      <c r="N151" s="3">
        <f t="shared" si="79"/>
        <v>7.467332001482109E-2</v>
      </c>
      <c r="O151" s="3">
        <f t="shared" si="79"/>
        <v>7.467332001482109E-2</v>
      </c>
      <c r="P151" s="3">
        <f t="shared" si="79"/>
        <v>7.4673320014821076E-2</v>
      </c>
      <c r="Q151" s="3">
        <f t="shared" si="79"/>
        <v>7.4673320014820965E-2</v>
      </c>
      <c r="R151" s="3">
        <f t="shared" si="79"/>
        <v>7.4673320014819841E-2</v>
      </c>
      <c r="S151" s="3">
        <f t="shared" si="79"/>
        <v>7.4673320014808656E-2</v>
      </c>
      <c r="T151" s="3">
        <f t="shared" si="79"/>
        <v>7.4673320014696717E-2</v>
      </c>
      <c r="U151" s="3">
        <f t="shared" si="79"/>
        <v>7.4673320013577377E-2</v>
      </c>
      <c r="V151" s="3">
        <f t="shared" si="79"/>
        <v>7.4673320002383886E-2</v>
      </c>
      <c r="W151" s="3">
        <f t="shared" si="79"/>
        <v>7.4673319890449008E-2</v>
      </c>
      <c r="X151" s="3">
        <f t="shared" si="79"/>
        <v>7.4673318771100367E-2</v>
      </c>
      <c r="Y151" s="3">
        <f t="shared" si="79"/>
        <v>7.4673307577614867E-2</v>
      </c>
      <c r="Z151" s="3">
        <f t="shared" si="79"/>
        <v>7.4673195642852075E-2</v>
      </c>
      <c r="AA151" s="3">
        <f t="shared" ref="AA151" si="80">$C37*EXP(-AA$129/$A37/EXP(-$B$126))</f>
        <v>7.4672076304452453E-2</v>
      </c>
      <c r="AB151" s="3">
        <f t="shared" si="67"/>
        <v>7.4660883843242834E-2</v>
      </c>
      <c r="AC151" s="3">
        <f t="shared" si="67"/>
        <v>7.454905145863594E-2</v>
      </c>
      <c r="AD151" s="3">
        <f t="shared" si="67"/>
        <v>7.3439899414015297E-2</v>
      </c>
      <c r="AE151" s="3">
        <f t="shared" si="67"/>
        <v>6.3216665925220253E-2</v>
      </c>
      <c r="AF151" s="3">
        <f t="shared" si="67"/>
        <v>1.4119740847995834E-2</v>
      </c>
    </row>
    <row r="152" spans="1:32" x14ac:dyDescent="0.25">
      <c r="B152" s="3">
        <f t="shared" ref="B152:Z152" si="81">$C38*EXP(-B$129/$A38/EXP(-$B$126))</f>
        <v>2.5720461590382049E-2</v>
      </c>
      <c r="C152" s="3">
        <f t="shared" si="81"/>
        <v>2.5720461590382049E-2</v>
      </c>
      <c r="D152" s="3">
        <f t="shared" si="81"/>
        <v>2.5720461590382049E-2</v>
      </c>
      <c r="E152" s="3">
        <f t="shared" si="81"/>
        <v>2.5720461590382049E-2</v>
      </c>
      <c r="F152" s="3">
        <f t="shared" si="81"/>
        <v>2.5720461590382049E-2</v>
      </c>
      <c r="G152" s="3">
        <f t="shared" si="81"/>
        <v>2.5720461590382049E-2</v>
      </c>
      <c r="H152" s="3">
        <f t="shared" si="81"/>
        <v>2.5720461590382049E-2</v>
      </c>
      <c r="I152" s="3">
        <f t="shared" si="81"/>
        <v>2.5720461590382049E-2</v>
      </c>
      <c r="J152" s="3">
        <f t="shared" si="81"/>
        <v>2.5720461590382049E-2</v>
      </c>
      <c r="K152" s="3">
        <f t="shared" si="81"/>
        <v>2.5720461590382049E-2</v>
      </c>
      <c r="L152" s="3">
        <f t="shared" si="81"/>
        <v>2.5720461590382049E-2</v>
      </c>
      <c r="M152" s="3">
        <f t="shared" si="81"/>
        <v>2.5720461590382049E-2</v>
      </c>
      <c r="N152" s="3">
        <f t="shared" si="81"/>
        <v>2.5720461590382049E-2</v>
      </c>
      <c r="O152" s="3">
        <f t="shared" si="81"/>
        <v>2.5720461590382049E-2</v>
      </c>
      <c r="P152" s="3">
        <f t="shared" si="81"/>
        <v>2.5720461590382049E-2</v>
      </c>
      <c r="Q152" s="3">
        <f t="shared" si="81"/>
        <v>2.5720461590382045E-2</v>
      </c>
      <c r="R152" s="3">
        <f t="shared" si="81"/>
        <v>2.5720461590382007E-2</v>
      </c>
      <c r="S152" s="3">
        <f t="shared" si="81"/>
        <v>2.5720461590381664E-2</v>
      </c>
      <c r="T152" s="3">
        <f t="shared" si="81"/>
        <v>2.5720461590378184E-2</v>
      </c>
      <c r="U152" s="3">
        <f t="shared" si="81"/>
        <v>2.5720461590343406E-2</v>
      </c>
      <c r="V152" s="3">
        <f t="shared" si="81"/>
        <v>2.5720461589995608E-2</v>
      </c>
      <c r="W152" s="3">
        <f t="shared" si="81"/>
        <v>2.5720461586517643E-2</v>
      </c>
      <c r="X152" s="3">
        <f t="shared" si="81"/>
        <v>2.5720461551737989E-2</v>
      </c>
      <c r="Y152" s="3">
        <f t="shared" si="81"/>
        <v>2.5720461203941444E-2</v>
      </c>
      <c r="Z152" s="3">
        <f t="shared" si="81"/>
        <v>2.5720457725976229E-2</v>
      </c>
      <c r="AA152" s="3">
        <f t="shared" ref="AA152" si="82">$C38*EXP(-AA$129/$A38/EXP(-$B$126))</f>
        <v>2.5720422946349967E-2</v>
      </c>
      <c r="AB152" s="3">
        <f t="shared" si="67"/>
        <v>2.5720075152673966E-2</v>
      </c>
      <c r="AC152" s="3">
        <f t="shared" si="67"/>
        <v>2.5716597474562682E-2</v>
      </c>
      <c r="AD152" s="3">
        <f t="shared" si="67"/>
        <v>2.5681846545385446E-2</v>
      </c>
      <c r="AE152" s="3">
        <f t="shared" si="67"/>
        <v>2.5336909559574093E-2</v>
      </c>
      <c r="AF152" s="3">
        <f t="shared" si="67"/>
        <v>2.2132352923064948E-2</v>
      </c>
    </row>
    <row r="153" spans="1:32" x14ac:dyDescent="0.25">
      <c r="B153" s="3">
        <f t="shared" ref="B153:Z153" si="83">$C39*EXP(-B$129/$A39/EXP(-$B$126))</f>
        <v>2.4141304859351478E-2</v>
      </c>
      <c r="C153" s="3">
        <f t="shared" si="83"/>
        <v>2.4141304859351478E-2</v>
      </c>
      <c r="D153" s="3">
        <f t="shared" si="83"/>
        <v>2.4141304859351478E-2</v>
      </c>
      <c r="E153" s="3">
        <f t="shared" si="83"/>
        <v>2.4141304859351478E-2</v>
      </c>
      <c r="F153" s="3">
        <f t="shared" si="83"/>
        <v>2.4141304859351478E-2</v>
      </c>
      <c r="G153" s="3">
        <f t="shared" si="83"/>
        <v>2.4141304859351478E-2</v>
      </c>
      <c r="H153" s="3">
        <f t="shared" si="83"/>
        <v>2.4141304859351478E-2</v>
      </c>
      <c r="I153" s="3">
        <f t="shared" si="83"/>
        <v>2.4141304859351478E-2</v>
      </c>
      <c r="J153" s="3">
        <f t="shared" si="83"/>
        <v>2.4141304859351478E-2</v>
      </c>
      <c r="K153" s="3">
        <f t="shared" si="83"/>
        <v>2.4141304859351478E-2</v>
      </c>
      <c r="L153" s="3">
        <f t="shared" si="83"/>
        <v>2.4141304859351478E-2</v>
      </c>
      <c r="M153" s="3">
        <f t="shared" si="83"/>
        <v>2.4141304859351478E-2</v>
      </c>
      <c r="N153" s="3">
        <f t="shared" si="83"/>
        <v>2.4141304859351478E-2</v>
      </c>
      <c r="O153" s="3">
        <f t="shared" si="83"/>
        <v>2.4141304859351478E-2</v>
      </c>
      <c r="P153" s="3">
        <f t="shared" si="83"/>
        <v>2.4141304859351478E-2</v>
      </c>
      <c r="Q153" s="3">
        <f t="shared" si="83"/>
        <v>2.4141304859351478E-2</v>
      </c>
      <c r="R153" s="3">
        <f t="shared" si="83"/>
        <v>2.4141304859351467E-2</v>
      </c>
      <c r="S153" s="3">
        <f t="shared" si="83"/>
        <v>2.4141304859351377E-2</v>
      </c>
      <c r="T153" s="3">
        <f t="shared" si="83"/>
        <v>2.4141304859350475E-2</v>
      </c>
      <c r="U153" s="3">
        <f t="shared" si="83"/>
        <v>2.4141304859341444E-2</v>
      </c>
      <c r="V153" s="3">
        <f t="shared" si="83"/>
        <v>2.4141304859251159E-2</v>
      </c>
      <c r="W153" s="3">
        <f t="shared" si="83"/>
        <v>2.4141304858348301E-2</v>
      </c>
      <c r="X153" s="3">
        <f t="shared" si="83"/>
        <v>2.4141304849319707E-2</v>
      </c>
      <c r="Y153" s="3">
        <f t="shared" si="83"/>
        <v>2.4141304759033769E-2</v>
      </c>
      <c r="Z153" s="3">
        <f t="shared" si="83"/>
        <v>2.4141303856174412E-2</v>
      </c>
      <c r="AA153" s="3">
        <f t="shared" ref="AA153" si="84">$C39*EXP(-AA$129/$A39/EXP(-$B$126))</f>
        <v>2.4141294827582694E-2</v>
      </c>
      <c r="AB153" s="3">
        <f t="shared" si="67"/>
        <v>2.4141204541851223E-2</v>
      </c>
      <c r="AC153" s="3">
        <f t="shared" si="67"/>
        <v>2.4140301703107523E-2</v>
      </c>
      <c r="AD153" s="3">
        <f t="shared" si="67"/>
        <v>2.4131275172514465E-2</v>
      </c>
      <c r="AE153" s="3">
        <f t="shared" si="67"/>
        <v>2.4041195294291922E-2</v>
      </c>
      <c r="AF153" s="3">
        <f t="shared" si="67"/>
        <v>2.3158685241826939E-2</v>
      </c>
    </row>
    <row r="154" spans="1:32" x14ac:dyDescent="0.25">
      <c r="B154" s="3">
        <f t="shared" ref="B154:Z154" si="85">$C40*EXP(-B$129/$A40/EXP(-$B$126))</f>
        <v>1.2214190227025473E-2</v>
      </c>
      <c r="C154" s="3">
        <f t="shared" si="85"/>
        <v>1.2214190227025473E-2</v>
      </c>
      <c r="D154" s="3">
        <f t="shared" si="85"/>
        <v>1.2214190227025473E-2</v>
      </c>
      <c r="E154" s="3">
        <f t="shared" si="85"/>
        <v>1.2214190227025473E-2</v>
      </c>
      <c r="F154" s="3">
        <f t="shared" si="85"/>
        <v>1.2214190227025473E-2</v>
      </c>
      <c r="G154" s="3">
        <f t="shared" si="85"/>
        <v>1.2214190227025473E-2</v>
      </c>
      <c r="H154" s="3">
        <f t="shared" si="85"/>
        <v>1.2214190227025473E-2</v>
      </c>
      <c r="I154" s="3">
        <f t="shared" si="85"/>
        <v>1.2214190227025473E-2</v>
      </c>
      <c r="J154" s="3">
        <f t="shared" si="85"/>
        <v>1.2214190227025473E-2</v>
      </c>
      <c r="K154" s="3">
        <f t="shared" si="85"/>
        <v>1.2214190227025473E-2</v>
      </c>
      <c r="L154" s="3">
        <f t="shared" si="85"/>
        <v>1.2214190227025473E-2</v>
      </c>
      <c r="M154" s="3">
        <f t="shared" si="85"/>
        <v>1.2214190227025473E-2</v>
      </c>
      <c r="N154" s="3">
        <f t="shared" si="85"/>
        <v>1.2214190227025473E-2</v>
      </c>
      <c r="O154" s="3">
        <f t="shared" si="85"/>
        <v>1.2214190227025473E-2</v>
      </c>
      <c r="P154" s="3">
        <f t="shared" si="85"/>
        <v>1.2214190227025473E-2</v>
      </c>
      <c r="Q154" s="3">
        <f t="shared" si="85"/>
        <v>1.2214190227025473E-2</v>
      </c>
      <c r="R154" s="3">
        <f t="shared" si="85"/>
        <v>1.2214190227025473E-2</v>
      </c>
      <c r="S154" s="3">
        <f t="shared" si="85"/>
        <v>1.2214190227025468E-2</v>
      </c>
      <c r="T154" s="3">
        <f t="shared" si="85"/>
        <v>1.2214190227025423E-2</v>
      </c>
      <c r="U154" s="3">
        <f t="shared" si="85"/>
        <v>1.2214190227024966E-2</v>
      </c>
      <c r="V154" s="3">
        <f t="shared" si="85"/>
        <v>1.2214190227020397E-2</v>
      </c>
      <c r="W154" s="3">
        <f t="shared" si="85"/>
        <v>1.2214190226974717E-2</v>
      </c>
      <c r="X154" s="3">
        <f t="shared" si="85"/>
        <v>1.2214190226517919E-2</v>
      </c>
      <c r="Y154" s="3">
        <f t="shared" si="85"/>
        <v>1.2214190221949941E-2</v>
      </c>
      <c r="Z154" s="3">
        <f t="shared" si="85"/>
        <v>1.2214190176270156E-2</v>
      </c>
      <c r="AA154" s="3">
        <f t="shared" ref="AA154:AF154" si="86">$C40*EXP(-AA$129/$A40/EXP(-$B$126))</f>
        <v>1.2214189719472315E-2</v>
      </c>
      <c r="AB154" s="3">
        <f t="shared" si="86"/>
        <v>1.2214185151494843E-2</v>
      </c>
      <c r="AC154" s="3">
        <f t="shared" si="86"/>
        <v>1.2214139471814088E-2</v>
      </c>
      <c r="AD154" s="3">
        <f t="shared" si="86"/>
        <v>1.2213682684402467E-2</v>
      </c>
      <c r="AE154" s="3">
        <f t="shared" si="86"/>
        <v>1.220911574974852E-2</v>
      </c>
      <c r="AF154" s="3">
        <f t="shared" si="86"/>
        <v>1.2163540219567051E-2</v>
      </c>
    </row>
    <row r="155" spans="1:32" x14ac:dyDescent="0.25">
      <c r="B155" s="3">
        <f t="shared" ref="B155:Z155" si="87">$C41*EXP(-B$129/$A41/EXP(-$B$126))</f>
        <v>8.0564872453676788E-4</v>
      </c>
      <c r="C155" s="3">
        <f t="shared" si="87"/>
        <v>8.0564872453676788E-4</v>
      </c>
      <c r="D155" s="3">
        <f t="shared" si="87"/>
        <v>8.0564872453676788E-4</v>
      </c>
      <c r="E155" s="3">
        <f t="shared" si="87"/>
        <v>8.0564872453676788E-4</v>
      </c>
      <c r="F155" s="3">
        <f t="shared" si="87"/>
        <v>8.0564872453676788E-4</v>
      </c>
      <c r="G155" s="3">
        <f t="shared" si="87"/>
        <v>8.0564872453676788E-4</v>
      </c>
      <c r="H155" s="3">
        <f t="shared" si="87"/>
        <v>8.0564872453676788E-4</v>
      </c>
      <c r="I155" s="3">
        <f t="shared" si="87"/>
        <v>8.0564872453676788E-4</v>
      </c>
      <c r="J155" s="3">
        <f t="shared" si="87"/>
        <v>8.0564872453676788E-4</v>
      </c>
      <c r="K155" s="3">
        <f t="shared" si="87"/>
        <v>8.0564872453676788E-4</v>
      </c>
      <c r="L155" s="3">
        <f t="shared" si="87"/>
        <v>8.0564872453676788E-4</v>
      </c>
      <c r="M155" s="3">
        <f t="shared" si="87"/>
        <v>8.0564872453676788E-4</v>
      </c>
      <c r="N155" s="3">
        <f t="shared" si="87"/>
        <v>8.0564872453676788E-4</v>
      </c>
      <c r="O155" s="3">
        <f t="shared" si="87"/>
        <v>8.0564872453676788E-4</v>
      </c>
      <c r="P155" s="3">
        <f t="shared" si="87"/>
        <v>8.0564872453676788E-4</v>
      </c>
      <c r="Q155" s="3">
        <f t="shared" si="87"/>
        <v>8.0564872453676788E-4</v>
      </c>
      <c r="R155" s="3">
        <f t="shared" si="87"/>
        <v>8.0564872453676788E-4</v>
      </c>
      <c r="S155" s="3">
        <f t="shared" si="87"/>
        <v>8.0564872453676788E-4</v>
      </c>
      <c r="T155" s="3">
        <f t="shared" si="87"/>
        <v>8.0564872453676756E-4</v>
      </c>
      <c r="U155" s="3">
        <f t="shared" si="87"/>
        <v>8.0564872453676452E-4</v>
      </c>
      <c r="V155" s="3">
        <f t="shared" si="87"/>
        <v>8.0564872453673438E-4</v>
      </c>
      <c r="W155" s="3">
        <f t="shared" si="87"/>
        <v>8.0564872453643308E-4</v>
      </c>
      <c r="X155" s="3">
        <f t="shared" si="87"/>
        <v>8.0564872453342009E-4</v>
      </c>
      <c r="Y155" s="3">
        <f t="shared" si="87"/>
        <v>8.0564872450328956E-4</v>
      </c>
      <c r="Z155" s="3">
        <f t="shared" si="87"/>
        <v>8.0564872420198555E-4</v>
      </c>
      <c r="AA155" s="3">
        <f t="shared" ref="AA155:AF155" si="88">$C41*EXP(-AA$129/$A41/EXP(-$B$126))</f>
        <v>8.0564872118894413E-4</v>
      </c>
      <c r="AB155" s="3">
        <f t="shared" si="88"/>
        <v>8.0564869105853088E-4</v>
      </c>
      <c r="AC155" s="3">
        <f t="shared" si="88"/>
        <v>8.056483897544613E-4</v>
      </c>
      <c r="AD155" s="3">
        <f t="shared" si="88"/>
        <v>8.0564537671996177E-4</v>
      </c>
      <c r="AE155" s="3">
        <f t="shared" si="88"/>
        <v>8.0561524699472272E-4</v>
      </c>
      <c r="AF155" s="3">
        <f t="shared" si="88"/>
        <v>8.0531401170932048E-4</v>
      </c>
    </row>
    <row r="156" spans="1:32" x14ac:dyDescent="0.25">
      <c r="B156" s="3">
        <f t="shared" ref="B156:Z156" si="89">$C42*EXP(-B$129/$A42/EXP(-$B$126))</f>
        <v>2.8733708973087426E-3</v>
      </c>
      <c r="C156" s="3">
        <f t="shared" si="89"/>
        <v>2.8733708973087426E-3</v>
      </c>
      <c r="D156" s="3">
        <f t="shared" si="89"/>
        <v>2.8733708973087426E-3</v>
      </c>
      <c r="E156" s="3">
        <f t="shared" si="89"/>
        <v>2.8733708973087426E-3</v>
      </c>
      <c r="F156" s="3">
        <f t="shared" si="89"/>
        <v>2.8733708973087426E-3</v>
      </c>
      <c r="G156" s="3">
        <f t="shared" si="89"/>
        <v>2.8733708973087426E-3</v>
      </c>
      <c r="H156" s="3">
        <f t="shared" si="89"/>
        <v>2.8733708973087426E-3</v>
      </c>
      <c r="I156" s="3">
        <f t="shared" si="89"/>
        <v>2.8733708973087426E-3</v>
      </c>
      <c r="J156" s="3">
        <f t="shared" si="89"/>
        <v>2.8733708973087426E-3</v>
      </c>
      <c r="K156" s="3">
        <f t="shared" si="89"/>
        <v>2.8733708973087426E-3</v>
      </c>
      <c r="L156" s="3">
        <f t="shared" si="89"/>
        <v>2.8733708973087426E-3</v>
      </c>
      <c r="M156" s="3">
        <f t="shared" si="89"/>
        <v>2.8733708973087426E-3</v>
      </c>
      <c r="N156" s="3">
        <f t="shared" si="89"/>
        <v>2.8733708973087426E-3</v>
      </c>
      <c r="O156" s="3">
        <f t="shared" si="89"/>
        <v>2.8733708973087426E-3</v>
      </c>
      <c r="P156" s="3">
        <f t="shared" si="89"/>
        <v>2.8733708973087426E-3</v>
      </c>
      <c r="Q156" s="3">
        <f t="shared" si="89"/>
        <v>2.8733708973087426E-3</v>
      </c>
      <c r="R156" s="3">
        <f t="shared" si="89"/>
        <v>2.8733708973087426E-3</v>
      </c>
      <c r="S156" s="3">
        <f t="shared" si="89"/>
        <v>2.8733708973087426E-3</v>
      </c>
      <c r="T156" s="3">
        <f t="shared" si="89"/>
        <v>2.8733708973087426E-3</v>
      </c>
      <c r="U156" s="3">
        <f t="shared" si="89"/>
        <v>2.8733708973087413E-3</v>
      </c>
      <c r="V156" s="3">
        <f t="shared" si="89"/>
        <v>2.8733708973087309E-3</v>
      </c>
      <c r="W156" s="3">
        <f t="shared" si="89"/>
        <v>2.8733708973086233E-3</v>
      </c>
      <c r="X156" s="3">
        <f t="shared" si="89"/>
        <v>2.8733708973075487E-3</v>
      </c>
      <c r="Y156" s="3">
        <f t="shared" si="89"/>
        <v>2.8733708972968025E-3</v>
      </c>
      <c r="Z156" s="3">
        <f t="shared" si="89"/>
        <v>2.8733708971893411E-3</v>
      </c>
      <c r="AA156" s="3">
        <f t="shared" ref="AA156:AF156" si="90">$C42*EXP(-AA$129/$A42/EXP(-$B$126))</f>
        <v>2.8733708961147311E-3</v>
      </c>
      <c r="AB156" s="3">
        <f t="shared" si="90"/>
        <v>2.8733708853686266E-3</v>
      </c>
      <c r="AC156" s="3">
        <f t="shared" si="90"/>
        <v>2.8733707779075831E-3</v>
      </c>
      <c r="AD156" s="3">
        <f t="shared" si="90"/>
        <v>2.8733697032973732E-3</v>
      </c>
      <c r="AE156" s="3">
        <f t="shared" si="90"/>
        <v>2.873358957217376E-3</v>
      </c>
      <c r="AF156" s="3">
        <f t="shared" si="90"/>
        <v>2.8732514986277834E-3</v>
      </c>
    </row>
    <row r="157" spans="1:32" x14ac:dyDescent="0.25">
      <c r="B157" s="3">
        <f t="shared" ref="B157:Z157" si="91">$C43*EXP(-B$129/$A43/EXP(-$B$126))</f>
        <v>0</v>
      </c>
      <c r="C157" s="3">
        <f t="shared" si="91"/>
        <v>0</v>
      </c>
      <c r="D157" s="3">
        <f t="shared" si="91"/>
        <v>0</v>
      </c>
      <c r="E157" s="3">
        <f t="shared" si="91"/>
        <v>0</v>
      </c>
      <c r="F157" s="3">
        <f t="shared" si="91"/>
        <v>0</v>
      </c>
      <c r="G157" s="3">
        <f t="shared" si="91"/>
        <v>0</v>
      </c>
      <c r="H157" s="3">
        <f t="shared" si="91"/>
        <v>0</v>
      </c>
      <c r="I157" s="3">
        <f t="shared" si="91"/>
        <v>0</v>
      </c>
      <c r="J157" s="3">
        <f t="shared" si="91"/>
        <v>0</v>
      </c>
      <c r="K157" s="3">
        <f t="shared" si="91"/>
        <v>0</v>
      </c>
      <c r="L157" s="3">
        <f t="shared" si="91"/>
        <v>0</v>
      </c>
      <c r="M157" s="3">
        <f t="shared" si="91"/>
        <v>0</v>
      </c>
      <c r="N157" s="3">
        <f t="shared" si="91"/>
        <v>0</v>
      </c>
      <c r="O157" s="3">
        <f t="shared" si="91"/>
        <v>0</v>
      </c>
      <c r="P157" s="3">
        <f t="shared" si="91"/>
        <v>0</v>
      </c>
      <c r="Q157" s="3">
        <f t="shared" si="91"/>
        <v>0</v>
      </c>
      <c r="R157" s="3">
        <f t="shared" si="91"/>
        <v>0</v>
      </c>
      <c r="S157" s="3">
        <f t="shared" si="91"/>
        <v>0</v>
      </c>
      <c r="T157" s="3">
        <f t="shared" si="91"/>
        <v>0</v>
      </c>
      <c r="U157" s="3">
        <f t="shared" si="91"/>
        <v>0</v>
      </c>
      <c r="V157" s="3">
        <f t="shared" si="91"/>
        <v>0</v>
      </c>
      <c r="W157" s="3">
        <f t="shared" si="91"/>
        <v>0</v>
      </c>
      <c r="X157" s="3">
        <f t="shared" si="91"/>
        <v>0</v>
      </c>
      <c r="Y157" s="3">
        <f t="shared" si="91"/>
        <v>0</v>
      </c>
      <c r="Z157" s="3">
        <f t="shared" si="91"/>
        <v>0</v>
      </c>
      <c r="AA157" s="3">
        <f t="shared" ref="AA157:AF157" si="92">$C43*EXP(-AA$129/$A43/EXP(-$B$126))</f>
        <v>0</v>
      </c>
      <c r="AB157" s="3">
        <f t="shared" si="92"/>
        <v>0</v>
      </c>
      <c r="AC157" s="3">
        <f t="shared" si="92"/>
        <v>0</v>
      </c>
      <c r="AD157" s="3">
        <f t="shared" si="92"/>
        <v>0</v>
      </c>
      <c r="AE157" s="3">
        <f t="shared" si="92"/>
        <v>0</v>
      </c>
      <c r="AF157" s="3">
        <f t="shared" si="92"/>
        <v>0</v>
      </c>
    </row>
    <row r="158" spans="1:32" x14ac:dyDescent="0.25">
      <c r="B158" s="3">
        <f t="shared" ref="B158:Z158" si="93">$C44*EXP(-B$129/$A44/EXP(-$B$126))</f>
        <v>1.6248048079890072E-4</v>
      </c>
      <c r="C158" s="3">
        <f t="shared" si="93"/>
        <v>1.6248048079890072E-4</v>
      </c>
      <c r="D158" s="3">
        <f t="shared" si="93"/>
        <v>1.6248048079890072E-4</v>
      </c>
      <c r="E158" s="3">
        <f t="shared" si="93"/>
        <v>1.6248048079890072E-4</v>
      </c>
      <c r="F158" s="3">
        <f t="shared" si="93"/>
        <v>1.6248048079890072E-4</v>
      </c>
      <c r="G158" s="3">
        <f t="shared" si="93"/>
        <v>1.6248048079890072E-4</v>
      </c>
      <c r="H158" s="3">
        <f t="shared" si="93"/>
        <v>1.6248048079890072E-4</v>
      </c>
      <c r="I158" s="3">
        <f t="shared" si="93"/>
        <v>1.6248048079890072E-4</v>
      </c>
      <c r="J158" s="3">
        <f t="shared" si="93"/>
        <v>1.6248048079890072E-4</v>
      </c>
      <c r="K158" s="3">
        <f t="shared" si="93"/>
        <v>1.6248048079890072E-4</v>
      </c>
      <c r="L158" s="3">
        <f t="shared" si="93"/>
        <v>1.6248048079890072E-4</v>
      </c>
      <c r="M158" s="3">
        <f t="shared" si="93"/>
        <v>1.6248048079890072E-4</v>
      </c>
      <c r="N158" s="3">
        <f t="shared" si="93"/>
        <v>1.6248048079890072E-4</v>
      </c>
      <c r="O158" s="3">
        <f t="shared" si="93"/>
        <v>1.6248048079890072E-4</v>
      </c>
      <c r="P158" s="3">
        <f t="shared" si="93"/>
        <v>1.6248048079890072E-4</v>
      </c>
      <c r="Q158" s="3">
        <f t="shared" si="93"/>
        <v>1.6248048079890072E-4</v>
      </c>
      <c r="R158" s="3">
        <f t="shared" si="93"/>
        <v>1.6248048079890072E-4</v>
      </c>
      <c r="S158" s="3">
        <f t="shared" si="93"/>
        <v>1.6248048079890072E-4</v>
      </c>
      <c r="T158" s="3">
        <f t="shared" si="93"/>
        <v>1.6248048079890072E-4</v>
      </c>
      <c r="U158" s="3">
        <f t="shared" si="93"/>
        <v>1.6248048079890072E-4</v>
      </c>
      <c r="V158" s="3">
        <f t="shared" si="93"/>
        <v>1.6248048079890072E-4</v>
      </c>
      <c r="W158" s="3">
        <f t="shared" si="93"/>
        <v>1.6248048079890064E-4</v>
      </c>
      <c r="X158" s="3">
        <f t="shared" si="93"/>
        <v>1.6248048079890005E-4</v>
      </c>
      <c r="Y158" s="3">
        <f t="shared" si="93"/>
        <v>1.6248048079889397E-4</v>
      </c>
      <c r="Z158" s="3">
        <f t="shared" si="93"/>
        <v>1.624804807988332E-4</v>
      </c>
      <c r="AA158" s="3">
        <f t="shared" ref="AA158:AF158" si="94">$C44*EXP(-AA$129/$A44/EXP(-$B$126))</f>
        <v>1.6248048079822554E-4</v>
      </c>
      <c r="AB158" s="3">
        <f t="shared" si="94"/>
        <v>1.6248048079214894E-4</v>
      </c>
      <c r="AC158" s="3">
        <f t="shared" si="94"/>
        <v>1.6248048073138295E-4</v>
      </c>
      <c r="AD158" s="3">
        <f t="shared" si="94"/>
        <v>1.6248048012372306E-4</v>
      </c>
      <c r="AE158" s="3">
        <f t="shared" si="94"/>
        <v>1.6248047404712434E-4</v>
      </c>
      <c r="AF158" s="3">
        <f t="shared" si="94"/>
        <v>1.6248041328114951E-4</v>
      </c>
    </row>
    <row r="159" spans="1:32" x14ac:dyDescent="0.25">
      <c r="A159" s="11" t="s">
        <v>75</v>
      </c>
      <c r="B159" s="3">
        <f t="shared" ref="B159:Z159" si="95">$C45*EXP(-B$129/$A45/EXP(-$B$126))</f>
        <v>1.2901117231804357E-4</v>
      </c>
      <c r="C159" s="3">
        <f t="shared" si="95"/>
        <v>1.2901117231804357E-4</v>
      </c>
      <c r="D159" s="3">
        <f t="shared" si="95"/>
        <v>1.2901117231804357E-4</v>
      </c>
      <c r="E159" s="3">
        <f t="shared" si="95"/>
        <v>1.2901117231804357E-4</v>
      </c>
      <c r="F159" s="3">
        <f t="shared" si="95"/>
        <v>1.2901117231804357E-4</v>
      </c>
      <c r="G159" s="3">
        <f t="shared" si="95"/>
        <v>1.2901117231804357E-4</v>
      </c>
      <c r="H159" s="3">
        <f t="shared" si="95"/>
        <v>1.2901117231804357E-4</v>
      </c>
      <c r="I159" s="3">
        <f t="shared" si="95"/>
        <v>1.2901117231804357E-4</v>
      </c>
      <c r="J159" s="3">
        <f t="shared" si="95"/>
        <v>1.2901117231804357E-4</v>
      </c>
      <c r="K159" s="3">
        <f t="shared" si="95"/>
        <v>1.2901117231804357E-4</v>
      </c>
      <c r="L159" s="3">
        <f t="shared" si="95"/>
        <v>1.2901117231804357E-4</v>
      </c>
      <c r="M159" s="3">
        <f t="shared" si="95"/>
        <v>1.2901117231804357E-4</v>
      </c>
      <c r="N159" s="3">
        <f t="shared" si="95"/>
        <v>1.2901117231804357E-4</v>
      </c>
      <c r="O159" s="3">
        <f t="shared" si="95"/>
        <v>1.2901117231804357E-4</v>
      </c>
      <c r="P159" s="3">
        <f t="shared" si="95"/>
        <v>1.2901117231804357E-4</v>
      </c>
      <c r="Q159" s="3">
        <f t="shared" si="95"/>
        <v>1.2901117231804357E-4</v>
      </c>
      <c r="R159" s="3">
        <f t="shared" si="95"/>
        <v>1.2901117231804357E-4</v>
      </c>
      <c r="S159" s="3">
        <f t="shared" si="95"/>
        <v>1.2901117231804357E-4</v>
      </c>
      <c r="T159" s="3">
        <f t="shared" si="95"/>
        <v>1.2901117231804357E-4</v>
      </c>
      <c r="U159" s="3">
        <f t="shared" si="95"/>
        <v>1.2901117231804357E-4</v>
      </c>
      <c r="V159" s="3">
        <f t="shared" si="95"/>
        <v>1.2901117231804357E-4</v>
      </c>
      <c r="W159" s="3">
        <f t="shared" si="95"/>
        <v>1.2901117231804357E-4</v>
      </c>
      <c r="X159" s="3">
        <f t="shared" si="95"/>
        <v>1.2901117231804352E-4</v>
      </c>
      <c r="Y159" s="3">
        <f t="shared" si="95"/>
        <v>1.2901117231804303E-4</v>
      </c>
      <c r="Z159" s="3">
        <f t="shared" si="95"/>
        <v>1.290111723180382E-4</v>
      </c>
      <c r="AA159" s="3">
        <f t="shared" ref="AA159:AF159" si="96">$C45*EXP(-AA$129/$A45/EXP(-$B$126))</f>
        <v>1.2901117231798996E-4</v>
      </c>
      <c r="AB159" s="3">
        <f t="shared" si="96"/>
        <v>1.2901117231750746E-4</v>
      </c>
      <c r="AC159" s="3">
        <f t="shared" si="96"/>
        <v>1.290111723126826E-4</v>
      </c>
      <c r="AD159" s="3">
        <f t="shared" si="96"/>
        <v>1.2901117226443379E-4</v>
      </c>
      <c r="AE159" s="3">
        <f t="shared" si="96"/>
        <v>1.2901117178194558E-4</v>
      </c>
      <c r="AF159" s="3">
        <f t="shared" si="96"/>
        <v>1.2901116695706371E-4</v>
      </c>
    </row>
    <row r="160" spans="1:32" x14ac:dyDescent="0.25">
      <c r="B160" s="3">
        <f t="shared" ref="B160:Z160" si="97">$C46*EXP(-B$129/$A46/EXP(-$B$126))</f>
        <v>0</v>
      </c>
      <c r="C160" s="3">
        <f t="shared" si="97"/>
        <v>0</v>
      </c>
      <c r="D160" s="3">
        <f t="shared" si="97"/>
        <v>0</v>
      </c>
      <c r="E160" s="3">
        <f t="shared" si="97"/>
        <v>0</v>
      </c>
      <c r="F160" s="3">
        <f t="shared" si="97"/>
        <v>0</v>
      </c>
      <c r="G160" s="3">
        <f t="shared" si="97"/>
        <v>0</v>
      </c>
      <c r="H160" s="3">
        <f t="shared" si="97"/>
        <v>0</v>
      </c>
      <c r="I160" s="3">
        <f t="shared" si="97"/>
        <v>0</v>
      </c>
      <c r="J160" s="3">
        <f t="shared" si="97"/>
        <v>0</v>
      </c>
      <c r="K160" s="3">
        <f t="shared" si="97"/>
        <v>0</v>
      </c>
      <c r="L160" s="3">
        <f t="shared" si="97"/>
        <v>0</v>
      </c>
      <c r="M160" s="3">
        <f t="shared" si="97"/>
        <v>0</v>
      </c>
      <c r="N160" s="3">
        <f t="shared" si="97"/>
        <v>0</v>
      </c>
      <c r="O160" s="3">
        <f t="shared" si="97"/>
        <v>0</v>
      </c>
      <c r="P160" s="3">
        <f t="shared" si="97"/>
        <v>0</v>
      </c>
      <c r="Q160" s="3">
        <f t="shared" si="97"/>
        <v>0</v>
      </c>
      <c r="R160" s="3">
        <f t="shared" si="97"/>
        <v>0</v>
      </c>
      <c r="S160" s="3">
        <f t="shared" si="97"/>
        <v>0</v>
      </c>
      <c r="T160" s="3">
        <f t="shared" si="97"/>
        <v>0</v>
      </c>
      <c r="U160" s="3">
        <f t="shared" si="97"/>
        <v>0</v>
      </c>
      <c r="V160" s="3">
        <f t="shared" si="97"/>
        <v>0</v>
      </c>
      <c r="W160" s="3">
        <f t="shared" si="97"/>
        <v>0</v>
      </c>
      <c r="X160" s="3">
        <f t="shared" si="97"/>
        <v>0</v>
      </c>
      <c r="Y160" s="3">
        <f t="shared" si="97"/>
        <v>0</v>
      </c>
      <c r="Z160" s="3">
        <f t="shared" si="97"/>
        <v>0</v>
      </c>
      <c r="AA160" s="3">
        <f t="shared" ref="AA160:AF160" si="98">$C46*EXP(-AA$129/$A46/EXP(-$B$126))</f>
        <v>0</v>
      </c>
      <c r="AB160" s="3">
        <f t="shared" si="98"/>
        <v>0</v>
      </c>
      <c r="AC160" s="3">
        <f t="shared" si="98"/>
        <v>0</v>
      </c>
      <c r="AD160" s="3">
        <f t="shared" si="98"/>
        <v>0</v>
      </c>
      <c r="AE160" s="3">
        <f t="shared" si="98"/>
        <v>0</v>
      </c>
      <c r="AF160" s="3">
        <f t="shared" si="98"/>
        <v>0</v>
      </c>
    </row>
    <row r="161" spans="1:34" x14ac:dyDescent="0.25">
      <c r="A161" s="11" t="s">
        <v>75</v>
      </c>
      <c r="B161" s="3">
        <f t="shared" ref="B161:Z161" si="99">$C47*EXP(-B$129/$A47/EXP(-$B$126))</f>
        <v>7.3508598139721321E-5</v>
      </c>
      <c r="C161" s="3">
        <f t="shared" si="99"/>
        <v>7.3508598139721321E-5</v>
      </c>
      <c r="D161" s="3">
        <f t="shared" si="99"/>
        <v>7.3508598139721321E-5</v>
      </c>
      <c r="E161" s="3">
        <f t="shared" si="99"/>
        <v>7.3508598139721321E-5</v>
      </c>
      <c r="F161" s="3">
        <f t="shared" si="99"/>
        <v>7.3508598139721321E-5</v>
      </c>
      <c r="G161" s="3">
        <f t="shared" si="99"/>
        <v>7.3508598139721321E-5</v>
      </c>
      <c r="H161" s="3">
        <f t="shared" si="99"/>
        <v>7.3508598139721321E-5</v>
      </c>
      <c r="I161" s="3">
        <f t="shared" si="99"/>
        <v>7.3508598139721321E-5</v>
      </c>
      <c r="J161" s="3">
        <f t="shared" si="99"/>
        <v>7.3508598139721321E-5</v>
      </c>
      <c r="K161" s="3">
        <f t="shared" si="99"/>
        <v>7.3508598139721321E-5</v>
      </c>
      <c r="L161" s="3">
        <f t="shared" si="99"/>
        <v>7.3508598139721321E-5</v>
      </c>
      <c r="M161" s="3">
        <f t="shared" si="99"/>
        <v>7.3508598139721321E-5</v>
      </c>
      <c r="N161" s="3">
        <f t="shared" si="99"/>
        <v>7.3508598139721321E-5</v>
      </c>
      <c r="O161" s="3">
        <f t="shared" si="99"/>
        <v>7.3508598139721321E-5</v>
      </c>
      <c r="P161" s="3">
        <f t="shared" si="99"/>
        <v>7.3508598139721321E-5</v>
      </c>
      <c r="Q161" s="3">
        <f t="shared" si="99"/>
        <v>7.3508598139721321E-5</v>
      </c>
      <c r="R161" s="3">
        <f t="shared" si="99"/>
        <v>7.3508598139721321E-5</v>
      </c>
      <c r="S161" s="3">
        <f t="shared" si="99"/>
        <v>7.3508598139721321E-5</v>
      </c>
      <c r="T161" s="3">
        <f t="shared" si="99"/>
        <v>7.3508598139721321E-5</v>
      </c>
      <c r="U161" s="3">
        <f t="shared" si="99"/>
        <v>7.3508598139721321E-5</v>
      </c>
      <c r="V161" s="3">
        <f t="shared" si="99"/>
        <v>7.3508598139721321E-5</v>
      </c>
      <c r="W161" s="3">
        <f t="shared" si="99"/>
        <v>7.3508598139721321E-5</v>
      </c>
      <c r="X161" s="3">
        <f t="shared" si="99"/>
        <v>7.3508598139721321E-5</v>
      </c>
      <c r="Y161" s="3">
        <f t="shared" si="99"/>
        <v>7.3508598139721321E-5</v>
      </c>
      <c r="Z161" s="3">
        <f t="shared" si="99"/>
        <v>7.3508598139721294E-5</v>
      </c>
      <c r="AA161" s="3">
        <f t="shared" ref="AA161:AF161" si="100">$C47*EXP(-AA$129/$A47/EXP(-$B$126))</f>
        <v>7.3508598139721023E-5</v>
      </c>
      <c r="AB161" s="3">
        <f t="shared" si="100"/>
        <v>7.3508598139718272E-5</v>
      </c>
      <c r="AC161" s="3">
        <f t="shared" si="100"/>
        <v>7.3508598139690774E-5</v>
      </c>
      <c r="AD161" s="3">
        <f t="shared" si="100"/>
        <v>7.3508598139415861E-5</v>
      </c>
      <c r="AE161" s="3">
        <f t="shared" si="100"/>
        <v>7.3508598136666717E-5</v>
      </c>
      <c r="AF161" s="3">
        <f t="shared" si="100"/>
        <v>7.350859810917528E-5</v>
      </c>
    </row>
    <row r="162" spans="1:34" x14ac:dyDescent="0.25">
      <c r="B162" s="3">
        <f t="shared" ref="B162:Z162" si="101">$C48*EXP(-B$129/$A48/EXP(-$B$126))</f>
        <v>6.9573660063357843E-4</v>
      </c>
      <c r="C162" s="3">
        <f t="shared" si="101"/>
        <v>6.9573660063357843E-4</v>
      </c>
      <c r="D162" s="3">
        <f t="shared" si="101"/>
        <v>6.9573660063357843E-4</v>
      </c>
      <c r="E162" s="3">
        <f t="shared" si="101"/>
        <v>6.9573660063357843E-4</v>
      </c>
      <c r="F162" s="3">
        <f t="shared" si="101"/>
        <v>6.9573660063357843E-4</v>
      </c>
      <c r="G162" s="3">
        <f t="shared" si="101"/>
        <v>6.9573660063357843E-4</v>
      </c>
      <c r="H162" s="3">
        <f t="shared" si="101"/>
        <v>6.9573660063357843E-4</v>
      </c>
      <c r="I162" s="3">
        <f t="shared" si="101"/>
        <v>6.9573660063357843E-4</v>
      </c>
      <c r="J162" s="3">
        <f t="shared" si="101"/>
        <v>6.9573660063357843E-4</v>
      </c>
      <c r="K162" s="3">
        <f t="shared" si="101"/>
        <v>6.9573660063357843E-4</v>
      </c>
      <c r="L162" s="3">
        <f t="shared" si="101"/>
        <v>6.9573660063357843E-4</v>
      </c>
      <c r="M162" s="3">
        <f t="shared" si="101"/>
        <v>6.9573660063357843E-4</v>
      </c>
      <c r="N162" s="3">
        <f t="shared" si="101"/>
        <v>6.9573660063357843E-4</v>
      </c>
      <c r="O162" s="3">
        <f t="shared" si="101"/>
        <v>6.9573660063357843E-4</v>
      </c>
      <c r="P162" s="3">
        <f t="shared" si="101"/>
        <v>6.9573660063357843E-4</v>
      </c>
      <c r="Q162" s="3">
        <f t="shared" si="101"/>
        <v>6.9573660063357843E-4</v>
      </c>
      <c r="R162" s="3">
        <f t="shared" si="101"/>
        <v>6.9573660063357843E-4</v>
      </c>
      <c r="S162" s="3">
        <f t="shared" si="101"/>
        <v>6.9573660063357843E-4</v>
      </c>
      <c r="T162" s="3">
        <f t="shared" si="101"/>
        <v>6.9573660063357843E-4</v>
      </c>
      <c r="U162" s="3">
        <f t="shared" si="101"/>
        <v>6.9573660063357843E-4</v>
      </c>
      <c r="V162" s="3">
        <f t="shared" si="101"/>
        <v>6.9573660063357843E-4</v>
      </c>
      <c r="W162" s="3">
        <f t="shared" si="101"/>
        <v>6.9573660063357843E-4</v>
      </c>
      <c r="X162" s="3">
        <f t="shared" si="101"/>
        <v>6.9573660063357843E-4</v>
      </c>
      <c r="Y162" s="3">
        <f t="shared" si="101"/>
        <v>6.9573660063357843E-4</v>
      </c>
      <c r="Z162" s="3">
        <f t="shared" si="101"/>
        <v>6.9573660063357843E-4</v>
      </c>
      <c r="AA162" s="3">
        <f t="shared" ref="AA162:AF162" si="102">$C48*EXP(-AA$129/$A48/EXP(-$B$126))</f>
        <v>6.9573660063357811E-4</v>
      </c>
      <c r="AB162" s="3">
        <f t="shared" si="102"/>
        <v>6.9573660063357561E-4</v>
      </c>
      <c r="AC162" s="3">
        <f t="shared" si="102"/>
        <v>6.9573660063354959E-4</v>
      </c>
      <c r="AD162" s="3">
        <f t="shared" si="102"/>
        <v>6.9573660063328927E-4</v>
      </c>
      <c r="AE162" s="3">
        <f t="shared" si="102"/>
        <v>6.957366006306873E-4</v>
      </c>
      <c r="AF162" s="3">
        <f t="shared" si="102"/>
        <v>6.9573660060466753E-4</v>
      </c>
    </row>
    <row r="163" spans="1:34" x14ac:dyDescent="0.25">
      <c r="A163" s="79">
        <f>AVERAGE(B163:AF163)</f>
        <v>0.10784087252767589</v>
      </c>
      <c r="B163" s="80">
        <f>IF($A$64&lt;=B129,IF($B$64&gt;=B129,ABS((B131-B130)/B130),0),0)</f>
        <v>1.4614986140633082E-2</v>
      </c>
      <c r="C163" s="80">
        <f t="shared" ref="C163:AF163" si="103">IF($A$64&lt;=C129,IF($B$64&gt;=C129,ABS((C131-C130)/C130),0),0)</f>
        <v>1.4630049050735044E-2</v>
      </c>
      <c r="D163" s="80">
        <f t="shared" si="103"/>
        <v>1.4673595930861693E-2</v>
      </c>
      <c r="E163" s="80">
        <f t="shared" si="103"/>
        <v>1.5150487646494236E-2</v>
      </c>
      <c r="F163" s="80">
        <f t="shared" si="103"/>
        <v>1.9065995406199507E-2</v>
      </c>
      <c r="G163" s="80">
        <f t="shared" si="103"/>
        <v>2.7495191900805079E-2</v>
      </c>
      <c r="H163" s="80">
        <f t="shared" si="103"/>
        <v>2.7700284014714409E-2</v>
      </c>
      <c r="I163" s="80">
        <f t="shared" si="103"/>
        <v>2.7700276176525353E-2</v>
      </c>
      <c r="J163" s="80">
        <f t="shared" si="103"/>
        <v>2.7700272197890837E-2</v>
      </c>
      <c r="K163" s="80">
        <f t="shared" si="103"/>
        <v>2.7700315081719315E-2</v>
      </c>
      <c r="L163" s="80">
        <f t="shared" si="103"/>
        <v>2.7700743909014464E-2</v>
      </c>
      <c r="M163" s="80">
        <f t="shared" si="103"/>
        <v>2.7705014549363003E-2</v>
      </c>
      <c r="N163" s="80">
        <f t="shared" si="103"/>
        <v>2.7747685770823857E-2</v>
      </c>
      <c r="O163" s="80">
        <f t="shared" si="103"/>
        <v>2.8163657867160411E-2</v>
      </c>
      <c r="P163" s="80">
        <f t="shared" si="103"/>
        <v>3.1477195474012183E-2</v>
      </c>
      <c r="Q163" s="80">
        <f t="shared" si="103"/>
        <v>4.4388423538212721E-2</v>
      </c>
      <c r="R163" s="80">
        <f t="shared" si="103"/>
        <v>6.3982739523569573E-2</v>
      </c>
      <c r="S163" s="80">
        <f t="shared" si="103"/>
        <v>7.76740440018686E-2</v>
      </c>
      <c r="T163" s="80">
        <f t="shared" si="103"/>
        <v>8.5788317093115088E-2</v>
      </c>
      <c r="U163" s="80">
        <f t="shared" si="103"/>
        <v>9.4394824919172254E-2</v>
      </c>
      <c r="V163" s="80">
        <f t="shared" si="103"/>
        <v>8.6783334037312893E-2</v>
      </c>
      <c r="W163" s="80">
        <f t="shared" si="103"/>
        <v>3.3297610751370187E-2</v>
      </c>
      <c r="X163" s="80">
        <f t="shared" si="103"/>
        <v>8.6742149499453552E-2</v>
      </c>
      <c r="Y163" s="80">
        <f t="shared" si="103"/>
        <v>0.21858759555747179</v>
      </c>
      <c r="Z163" s="80">
        <f t="shared" si="103"/>
        <v>0.32154006029853899</v>
      </c>
      <c r="AA163" s="80">
        <f t="shared" si="103"/>
        <v>0.36455091641329052</v>
      </c>
      <c r="AB163" s="80">
        <f t="shared" si="103"/>
        <v>0.25135900508070069</v>
      </c>
      <c r="AC163" s="80">
        <f t="shared" si="103"/>
        <v>2.8336053126171407E-2</v>
      </c>
      <c r="AD163" s="80">
        <f t="shared" si="103"/>
        <v>0.20649916543088476</v>
      </c>
      <c r="AE163" s="80">
        <f t="shared" si="103"/>
        <v>0.42400572359139654</v>
      </c>
      <c r="AF163" s="80">
        <f t="shared" si="103"/>
        <v>0.59591133437847055</v>
      </c>
    </row>
    <row r="164" spans="1:34" x14ac:dyDescent="0.25">
      <c r="B164" s="21">
        <f>(B131-B130)^2</f>
        <v>11822.486628951243</v>
      </c>
      <c r="C164" s="21">
        <f t="shared" ref="C164:AF164" si="104">(C131-C130)^2</f>
        <v>11847.113409989828</v>
      </c>
      <c r="D164" s="21">
        <f t="shared" si="104"/>
        <v>11917.617637378147</v>
      </c>
      <c r="E164" s="21">
        <f t="shared" si="104"/>
        <v>12704.815296604012</v>
      </c>
      <c r="F164" s="21">
        <f t="shared" si="104"/>
        <v>20120.267294927315</v>
      </c>
      <c r="G164" s="21">
        <f t="shared" si="104"/>
        <v>41843.516712696262</v>
      </c>
      <c r="H164" s="21">
        <f t="shared" si="104"/>
        <v>42470.080236847527</v>
      </c>
      <c r="I164" s="21">
        <f t="shared" si="104"/>
        <v>42470.055479617629</v>
      </c>
      <c r="J164" s="21">
        <f t="shared" si="104"/>
        <v>42470.042557328467</v>
      </c>
      <c r="K164" s="21">
        <f t="shared" si="104"/>
        <v>42470.174056356154</v>
      </c>
      <c r="L164" s="21">
        <f t="shared" si="104"/>
        <v>42471.489024130613</v>
      </c>
      <c r="M164" s="21">
        <f t="shared" si="104"/>
        <v>42484.584298720976</v>
      </c>
      <c r="N164" s="21">
        <f t="shared" si="104"/>
        <v>42615.546494458067</v>
      </c>
      <c r="O164" s="21">
        <f t="shared" si="104"/>
        <v>43902.756588850942</v>
      </c>
      <c r="P164" s="21">
        <f t="shared" si="104"/>
        <v>54839.964548823482</v>
      </c>
      <c r="Q164" s="21">
        <f t="shared" si="104"/>
        <v>109033.28305939246</v>
      </c>
      <c r="R164" s="21">
        <f t="shared" si="104"/>
        <v>226104.6608519369</v>
      </c>
      <c r="S164" s="21">
        <f t="shared" si="104"/>
        <v>328081.02761944191</v>
      </c>
      <c r="T164" s="21">
        <f t="shared" si="104"/>
        <v>384615.4464810873</v>
      </c>
      <c r="U164" s="21">
        <f t="shared" si="104"/>
        <v>444754.95107452653</v>
      </c>
      <c r="V164" s="21">
        <f t="shared" si="104"/>
        <v>344499.66778681043</v>
      </c>
      <c r="W164" s="21">
        <f t="shared" si="104"/>
        <v>40935.581315789226</v>
      </c>
      <c r="X164" s="21">
        <f t="shared" si="104"/>
        <v>199791.05931945794</v>
      </c>
      <c r="Y164" s="21">
        <f t="shared" si="104"/>
        <v>903901.85837284441</v>
      </c>
      <c r="Z164" s="21">
        <f t="shared" si="104"/>
        <v>1461923.8042686172</v>
      </c>
      <c r="AA164" s="21">
        <f t="shared" si="104"/>
        <v>1479385.1372021933</v>
      </c>
      <c r="AB164" s="21">
        <f t="shared" si="104"/>
        <v>566851.20603838703</v>
      </c>
      <c r="AC164" s="21">
        <f t="shared" si="104"/>
        <v>5857.0509550936831</v>
      </c>
      <c r="AD164" s="21">
        <f t="shared" si="104"/>
        <v>241723.88296717245</v>
      </c>
      <c r="AE164" s="21">
        <f t="shared" si="104"/>
        <v>728090.30452703475</v>
      </c>
      <c r="AF164" s="21">
        <f t="shared" si="104"/>
        <v>904647.01301996328</v>
      </c>
    </row>
    <row r="165" spans="1:34" x14ac:dyDescent="0.25">
      <c r="A165" s="71">
        <f>SUM(B165:AF165)</f>
        <v>8876646.445125429</v>
      </c>
      <c r="B165" s="60">
        <f>IF($A$64&lt;=B129,IF($B$64&gt;=B129,ABS(B164),0),0)</f>
        <v>11822.486628951243</v>
      </c>
      <c r="C165" s="60">
        <f t="shared" ref="C165:AF165" si="105">IF($A$64&lt;=C129,IF($B$64&gt;=C129,ABS(C164),0),0)</f>
        <v>11847.113409989828</v>
      </c>
      <c r="D165" s="60">
        <f t="shared" si="105"/>
        <v>11917.617637378147</v>
      </c>
      <c r="E165" s="60">
        <f t="shared" si="105"/>
        <v>12704.815296604012</v>
      </c>
      <c r="F165" s="60">
        <f t="shared" si="105"/>
        <v>20120.267294927315</v>
      </c>
      <c r="G165" s="60">
        <f t="shared" si="105"/>
        <v>41843.516712696262</v>
      </c>
      <c r="H165" s="60">
        <f t="shared" si="105"/>
        <v>42470.080236847527</v>
      </c>
      <c r="I165" s="60">
        <f t="shared" si="105"/>
        <v>42470.055479617629</v>
      </c>
      <c r="J165" s="60">
        <f t="shared" si="105"/>
        <v>42470.042557328467</v>
      </c>
      <c r="K165" s="60">
        <f t="shared" si="105"/>
        <v>42470.174056356154</v>
      </c>
      <c r="L165" s="60">
        <f t="shared" si="105"/>
        <v>42471.489024130613</v>
      </c>
      <c r="M165" s="60">
        <f t="shared" si="105"/>
        <v>42484.584298720976</v>
      </c>
      <c r="N165" s="60">
        <f t="shared" si="105"/>
        <v>42615.546494458067</v>
      </c>
      <c r="O165" s="60">
        <f t="shared" si="105"/>
        <v>43902.756588850942</v>
      </c>
      <c r="P165" s="60">
        <f t="shared" si="105"/>
        <v>54839.964548823482</v>
      </c>
      <c r="Q165" s="60">
        <f t="shared" si="105"/>
        <v>109033.28305939246</v>
      </c>
      <c r="R165" s="60">
        <f t="shared" si="105"/>
        <v>226104.6608519369</v>
      </c>
      <c r="S165" s="60">
        <f t="shared" si="105"/>
        <v>328081.02761944191</v>
      </c>
      <c r="T165" s="60">
        <f t="shared" si="105"/>
        <v>384615.4464810873</v>
      </c>
      <c r="U165" s="60">
        <f t="shared" si="105"/>
        <v>444754.95107452653</v>
      </c>
      <c r="V165" s="60">
        <f t="shared" si="105"/>
        <v>344499.66778681043</v>
      </c>
      <c r="W165" s="60">
        <f t="shared" si="105"/>
        <v>40935.581315789226</v>
      </c>
      <c r="X165" s="60">
        <f t="shared" si="105"/>
        <v>199791.05931945794</v>
      </c>
      <c r="Y165" s="60">
        <f t="shared" si="105"/>
        <v>903901.85837284441</v>
      </c>
      <c r="Z165" s="60">
        <f t="shared" si="105"/>
        <v>1461923.8042686172</v>
      </c>
      <c r="AA165" s="60">
        <f t="shared" si="105"/>
        <v>1479385.1372021933</v>
      </c>
      <c r="AB165" s="60">
        <f t="shared" si="105"/>
        <v>566851.20603838703</v>
      </c>
      <c r="AC165" s="60">
        <f t="shared" si="105"/>
        <v>5857.0509550936831</v>
      </c>
      <c r="AD165" s="60">
        <f t="shared" si="105"/>
        <v>241723.88296717245</v>
      </c>
      <c r="AE165" s="60">
        <f t="shared" si="105"/>
        <v>728090.30452703475</v>
      </c>
      <c r="AF165" s="60">
        <f t="shared" si="105"/>
        <v>904647.01301996328</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7373.6169222469052</v>
      </c>
      <c r="C169" s="26">
        <f>INDEX(Comparison!$AM$3:$AS$33,G$14,$C$122)</f>
        <v>7373.6918607149901</v>
      </c>
      <c r="D169" s="26">
        <f>INDEX(Comparison!$AM$3:$AS$33,H$14,$C$122)</f>
        <v>7373.6524650120191</v>
      </c>
      <c r="E169" s="26">
        <f>INDEX(Comparison!$AM$3:$AS$33,I$14,$C$122)</f>
        <v>7373.6422743939765</v>
      </c>
      <c r="F169" s="26">
        <f>INDEX(Comparison!$AM$3:$AS$33,J$14,$C$122)</f>
        <v>7373.6393539171686</v>
      </c>
      <c r="G169" s="26">
        <f>INDEX(Comparison!$AM$3:$AS$33,K$14,$C$122)</f>
        <v>7373.6384218505882</v>
      </c>
      <c r="H169" s="26">
        <f>INDEX(Comparison!$AM$3:$AS$33,L$14,$C$122)</f>
        <v>7373.6381732995414</v>
      </c>
      <c r="I169" s="26">
        <f>INDEX(Comparison!$AM$3:$AS$33,M$14,$C$122)</f>
        <v>7373.6380490240244</v>
      </c>
      <c r="J169" s="26">
        <f>INDEX(Comparison!$AM$3:$AS$33,N$14,$C$122)</f>
        <v>7373.6380490240244</v>
      </c>
      <c r="K169" s="26">
        <f>INDEX(Comparison!$AM$3:$AS$33,O$14,$C$122)</f>
        <v>7373.6379247485102</v>
      </c>
      <c r="L169" s="26">
        <f>INDEX(Comparison!$AM$3:$AS$33,P$14,$C$122)</f>
        <v>7373.6377383352474</v>
      </c>
      <c r="M169" s="26">
        <f>INDEX(Comparison!$AM$3:$AS$33,Q$14,$C$122)</f>
        <v>7373.6350664128558</v>
      </c>
      <c r="N169" s="26">
        <f>INDEX(Comparison!$AM$3:$AS$33,R$14,$C$122)</f>
        <v>7373.6085958444728</v>
      </c>
      <c r="O169" s="26">
        <f>INDEX(Comparison!$AM$3:$AS$33,S$14,$C$122)</f>
        <v>7373.3444598084343</v>
      </c>
      <c r="P169" s="26">
        <f>INDEX(Comparison!$AM$3:$AS$33,T$14,$C$122)</f>
        <v>7370.7250016112393</v>
      </c>
      <c r="Q169" s="26">
        <f>INDEX(Comparison!$AM$3:$AS$33,U$14,$C$122)</f>
        <v>7346.5860708392247</v>
      </c>
      <c r="R169" s="26">
        <f>INDEX(Comparison!$AM$3:$AS$33,V$14,$C$122)</f>
        <v>7225.4468313347925</v>
      </c>
      <c r="S169" s="26">
        <f>INDEX(Comparison!$AM$3:$AS$33,W$14,$C$122)</f>
        <v>7074.5614632967963</v>
      </c>
      <c r="T169" s="26">
        <f>INDEX(Comparison!$AM$3:$AS$33,X$14,$C$122)</f>
        <v>6837.385209483964</v>
      </c>
      <c r="U169" s="26">
        <f>INDEX(Comparison!$AM$3:$AS$33,Y$14,$C$122)</f>
        <v>6289.6718355453368</v>
      </c>
      <c r="V169" s="26">
        <f>INDEX(Comparison!$AM$3:$AS$33,Z$14,$C$122)</f>
        <v>5393.096219252795</v>
      </c>
      <c r="W169" s="26">
        <f>INDEX(Comparison!$AM$3:$AS$33,AA$14,$C$122)</f>
        <v>4558.7271908643725</v>
      </c>
      <c r="X169" s="26">
        <f>INDEX(Comparison!$AM$3:$AS$33,AB$14,$C$122)</f>
        <v>3927.5350129983676</v>
      </c>
      <c r="Y169" s="26">
        <f>INDEX(Comparison!$AM$3:$AS$33,AC$14,$C$122)</f>
        <v>3470.8276794707381</v>
      </c>
      <c r="Z169" s="26">
        <f>INDEX(Comparison!$AM$3:$AS$33,AD$14,$C$122)</f>
        <v>3119.1195128427248</v>
      </c>
      <c r="AA169" s="26">
        <f>INDEX(Comparison!$AM$3:$AS$33,AE$14,$C$122)</f>
        <v>2819.4631556550398</v>
      </c>
      <c r="AB169" s="26">
        <f>INDEX(Comparison!$AM$3:$AS$33,AF$14,$C$122)</f>
        <v>2525.9157804368465</v>
      </c>
      <c r="AC169" s="26">
        <f>INDEX(Comparison!$AM$3:$AS$33,AG$14,$C$122)</f>
        <v>2182.665940608038</v>
      </c>
      <c r="AD169" s="26">
        <f>INDEX(Comparison!$AM$3:$AS$33,AH$14,$C$122)</f>
        <v>1785.8998006119411</v>
      </c>
      <c r="AE169" s="26">
        <f>INDEX(Comparison!$AM$3:$AS$33,AI$14,$C$122)</f>
        <v>1337.7075606161161</v>
      </c>
      <c r="AF169" s="26">
        <f>INDEX(Comparison!$AM$3:$AS$33,AJ$14,$C$122)</f>
        <v>864.52071218722244</v>
      </c>
      <c r="AG169" s="26"/>
      <c r="AH169" s="26"/>
    </row>
    <row r="170" spans="1:34" x14ac:dyDescent="0.25">
      <c r="A170" s="70" t="s">
        <v>22</v>
      </c>
      <c r="B170" s="27">
        <f>($C$17+SUM(B171:B201))*$B$51</f>
        <v>7330.7620891719844</v>
      </c>
      <c r="C170" s="27">
        <f t="shared" ref="C170:AF170" si="106">($C$17+SUM(C171:C201))*$B$51</f>
        <v>7328.7980776887052</v>
      </c>
      <c r="D170" s="27">
        <f t="shared" si="106"/>
        <v>7311.21525162118</v>
      </c>
      <c r="E170" s="27">
        <f t="shared" si="106"/>
        <v>7243.703858312404</v>
      </c>
      <c r="F170" s="27">
        <f t="shared" si="106"/>
        <v>7233.649768035295</v>
      </c>
      <c r="G170" s="27">
        <f t="shared" si="106"/>
        <v>7233.649766278857</v>
      </c>
      <c r="H170" s="27">
        <f t="shared" si="106"/>
        <v>7233.6497488490968</v>
      </c>
      <c r="I170" s="27">
        <f t="shared" si="106"/>
        <v>7233.6495745517359</v>
      </c>
      <c r="J170" s="27">
        <f t="shared" si="106"/>
        <v>7233.6478316025214</v>
      </c>
      <c r="K170" s="27">
        <f t="shared" si="106"/>
        <v>7233.6304045501083</v>
      </c>
      <c r="L170" s="27">
        <f t="shared" si="106"/>
        <v>7233.4563776671002</v>
      </c>
      <c r="M170" s="27">
        <f t="shared" si="106"/>
        <v>7231.7401446814411</v>
      </c>
      <c r="N170" s="27">
        <f t="shared" si="106"/>
        <v>7216.685312655206</v>
      </c>
      <c r="O170" s="27">
        <f t="shared" si="106"/>
        <v>7145.3324392014347</v>
      </c>
      <c r="P170" s="27">
        <f t="shared" si="106"/>
        <v>6989.9366520592357</v>
      </c>
      <c r="Q170" s="27">
        <f t="shared" si="106"/>
        <v>6841.3359534949223</v>
      </c>
      <c r="R170" s="27">
        <f t="shared" si="106"/>
        <v>6657.5896424698076</v>
      </c>
      <c r="S170" s="27">
        <f t="shared" si="106"/>
        <v>6443.563123425638</v>
      </c>
      <c r="T170" s="27">
        <f t="shared" si="106"/>
        <v>6239.7215336439704</v>
      </c>
      <c r="U170" s="27">
        <f t="shared" si="106"/>
        <v>5942.8302381012099</v>
      </c>
      <c r="V170" s="27">
        <f t="shared" si="106"/>
        <v>5669.3592156521672</v>
      </c>
      <c r="W170" s="27">
        <f t="shared" si="106"/>
        <v>5379.0952170660121</v>
      </c>
      <c r="X170" s="27">
        <f t="shared" si="106"/>
        <v>5058.637430752894</v>
      </c>
      <c r="Y170" s="27">
        <f t="shared" si="106"/>
        <v>4690.4222946657601</v>
      </c>
      <c r="Z170" s="27">
        <f t="shared" si="106"/>
        <v>3991.3109453409056</v>
      </c>
      <c r="AA170" s="27">
        <f t="shared" si="106"/>
        <v>3056.5099197962054</v>
      </c>
      <c r="AB170" s="27">
        <f t="shared" si="106"/>
        <v>2138.6249452621605</v>
      </c>
      <c r="AC170" s="27">
        <f t="shared" si="106"/>
        <v>1359.6622671816051</v>
      </c>
      <c r="AD170" s="27">
        <f t="shared" si="106"/>
        <v>776.70426224653602</v>
      </c>
      <c r="AE170" s="27">
        <f t="shared" si="106"/>
        <v>431.84628259209859</v>
      </c>
      <c r="AF170" s="27">
        <f t="shared" si="106"/>
        <v>209.76491860797671</v>
      </c>
      <c r="AG170" s="27"/>
      <c r="AH170" s="27"/>
    </row>
    <row r="171" spans="1:34" x14ac:dyDescent="0.25">
      <c r="B171" s="3">
        <f t="shared" ref="B171:AF171" si="107">$C18*EXP(-B$168/$A18/EXP(-$C$126))</f>
        <v>1.3246835193298499E-2</v>
      </c>
      <c r="C171" s="3">
        <f t="shared" si="107"/>
        <v>1.2978929574544952E-2</v>
      </c>
      <c r="D171" s="3">
        <f t="shared" si="107"/>
        <v>1.0580502713444901E-2</v>
      </c>
      <c r="E171" s="3">
        <f t="shared" si="107"/>
        <v>1.371451876312136E-3</v>
      </c>
      <c r="F171" s="3">
        <f t="shared" si="107"/>
        <v>1.8362139135329056E-12</v>
      </c>
      <c r="G171" s="3">
        <f t="shared" si="107"/>
        <v>3.3989930954878959E-101</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0</v>
      </c>
      <c r="C172" s="3">
        <f t="shared" si="108"/>
        <v>0</v>
      </c>
      <c r="D172" s="3">
        <f t="shared" si="108"/>
        <v>0</v>
      </c>
      <c r="E172" s="3">
        <f t="shared" si="108"/>
        <v>0</v>
      </c>
      <c r="F172" s="3">
        <f t="shared" si="108"/>
        <v>0</v>
      </c>
      <c r="G172" s="3">
        <f t="shared" si="108"/>
        <v>0</v>
      </c>
      <c r="H172" s="3">
        <f t="shared" si="108"/>
        <v>0</v>
      </c>
      <c r="I172" s="3">
        <f t="shared" si="108"/>
        <v>0</v>
      </c>
      <c r="J172" s="3">
        <f t="shared" si="108"/>
        <v>0</v>
      </c>
      <c r="K172" s="3">
        <f t="shared" si="108"/>
        <v>0</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0</v>
      </c>
      <c r="C173" s="3">
        <f t="shared" si="109"/>
        <v>0</v>
      </c>
      <c r="D173" s="3">
        <f t="shared" si="109"/>
        <v>0</v>
      </c>
      <c r="E173" s="3">
        <f t="shared" si="109"/>
        <v>0</v>
      </c>
      <c r="F173" s="3">
        <f t="shared" si="109"/>
        <v>0</v>
      </c>
      <c r="G173" s="3">
        <f t="shared" si="109"/>
        <v>0</v>
      </c>
      <c r="H173" s="3">
        <f t="shared" si="109"/>
        <v>0</v>
      </c>
      <c r="I173" s="3">
        <f t="shared" si="109"/>
        <v>0</v>
      </c>
      <c r="J173" s="3">
        <f t="shared" si="109"/>
        <v>0</v>
      </c>
      <c r="K173" s="3">
        <f t="shared" si="109"/>
        <v>0</v>
      </c>
      <c r="L173" s="3">
        <f t="shared" si="109"/>
        <v>0</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0</v>
      </c>
      <c r="C174" s="3">
        <f t="shared" si="110"/>
        <v>0</v>
      </c>
      <c r="D174" s="3">
        <f t="shared" si="110"/>
        <v>0</v>
      </c>
      <c r="E174" s="3">
        <f t="shared" si="110"/>
        <v>0</v>
      </c>
      <c r="F174" s="3">
        <f t="shared" si="110"/>
        <v>0</v>
      </c>
      <c r="G174" s="3">
        <f t="shared" si="110"/>
        <v>0</v>
      </c>
      <c r="H174" s="3">
        <f t="shared" si="110"/>
        <v>0</v>
      </c>
      <c r="I174" s="3">
        <f t="shared" si="110"/>
        <v>0</v>
      </c>
      <c r="J174" s="3">
        <f t="shared" si="110"/>
        <v>0</v>
      </c>
      <c r="K174" s="3">
        <f t="shared" si="110"/>
        <v>0</v>
      </c>
      <c r="L174" s="3">
        <f t="shared" si="110"/>
        <v>0</v>
      </c>
      <c r="M174" s="3">
        <f t="shared" si="110"/>
        <v>0</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3.9093064533791367E-3</v>
      </c>
      <c r="C175" s="3">
        <f t="shared" si="111"/>
        <v>3.9093064533641175E-3</v>
      </c>
      <c r="D175" s="3">
        <f t="shared" si="111"/>
        <v>3.9093064532139286E-3</v>
      </c>
      <c r="E175" s="3">
        <f t="shared" si="111"/>
        <v>3.909306451712031E-3</v>
      </c>
      <c r="F175" s="3">
        <f t="shared" si="111"/>
        <v>3.9093064366930606E-3</v>
      </c>
      <c r="G175" s="3">
        <f t="shared" si="111"/>
        <v>3.9093062865033596E-3</v>
      </c>
      <c r="H175" s="3">
        <f t="shared" si="111"/>
        <v>3.909304784606665E-3</v>
      </c>
      <c r="I175" s="3">
        <f t="shared" si="111"/>
        <v>3.9092897656714523E-3</v>
      </c>
      <c r="J175" s="3">
        <f t="shared" si="111"/>
        <v>3.9091395794928121E-3</v>
      </c>
      <c r="K175" s="3">
        <f t="shared" si="111"/>
        <v>3.9076380350097995E-3</v>
      </c>
      <c r="L175" s="3">
        <f t="shared" si="111"/>
        <v>3.8926542754605283E-3</v>
      </c>
      <c r="M175" s="3">
        <f t="shared" si="111"/>
        <v>3.7459406270175266E-3</v>
      </c>
      <c r="N175" s="3">
        <f t="shared" si="111"/>
        <v>2.5510058093432915E-3</v>
      </c>
      <c r="O175" s="3">
        <f t="shared" si="111"/>
        <v>5.4728938943177923E-5</v>
      </c>
      <c r="P175" s="3">
        <f t="shared" si="111"/>
        <v>1.1305059061464074E-21</v>
      </c>
      <c r="Q175" s="3">
        <f t="shared" si="111"/>
        <v>1.5989353641271959E-188</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2.3295025109814693E-2</v>
      </c>
      <c r="C176" s="3">
        <f t="shared" si="112"/>
        <v>2.3295025109806623E-2</v>
      </c>
      <c r="D176" s="3">
        <f t="shared" si="112"/>
        <v>2.3295025109725889E-2</v>
      </c>
      <c r="E176" s="3">
        <f t="shared" si="112"/>
        <v>2.3295025108918559E-2</v>
      </c>
      <c r="F176" s="3">
        <f t="shared" si="112"/>
        <v>2.3295025100845277E-2</v>
      </c>
      <c r="G176" s="3">
        <f t="shared" si="112"/>
        <v>2.3295025020112436E-2</v>
      </c>
      <c r="H176" s="3">
        <f t="shared" si="112"/>
        <v>2.3295024212784073E-2</v>
      </c>
      <c r="I176" s="3">
        <f t="shared" si="112"/>
        <v>2.3295016139501957E-2</v>
      </c>
      <c r="J176" s="3">
        <f t="shared" si="112"/>
        <v>2.3294935406834676E-2</v>
      </c>
      <c r="K176" s="3">
        <f t="shared" si="112"/>
        <v>2.3294128095550287E-2</v>
      </c>
      <c r="L176" s="3">
        <f t="shared" si="112"/>
        <v>2.328605652135015E-2</v>
      </c>
      <c r="M176" s="3">
        <f t="shared" si="112"/>
        <v>2.3205494446605163E-2</v>
      </c>
      <c r="N176" s="3">
        <f t="shared" si="112"/>
        <v>2.2415045190992522E-2</v>
      </c>
      <c r="O176" s="3">
        <f t="shared" si="112"/>
        <v>1.5849937047319154E-2</v>
      </c>
      <c r="P176" s="3">
        <f t="shared" si="112"/>
        <v>4.9534384401252391E-4</v>
      </c>
      <c r="Q176" s="3">
        <f t="shared" si="112"/>
        <v>4.4024968567733744E-19</v>
      </c>
      <c r="R176" s="3">
        <f t="shared" si="112"/>
        <v>1.3540100861836901E-169</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1.9366384778577946E-2</v>
      </c>
      <c r="C177" s="3">
        <f t="shared" si="113"/>
        <v>1.9366384778577338E-2</v>
      </c>
      <c r="D177" s="3">
        <f t="shared" si="113"/>
        <v>1.9366384778571284E-2</v>
      </c>
      <c r="E177" s="3">
        <f t="shared" si="113"/>
        <v>1.9366384778510739E-2</v>
      </c>
      <c r="F177" s="3">
        <f t="shared" si="113"/>
        <v>1.9366384777905282E-2</v>
      </c>
      <c r="G177" s="3">
        <f t="shared" si="113"/>
        <v>1.936638477185073E-2</v>
      </c>
      <c r="H177" s="3">
        <f t="shared" si="113"/>
        <v>1.9366384711305185E-2</v>
      </c>
      <c r="I177" s="3">
        <f t="shared" si="113"/>
        <v>1.9366384105849756E-2</v>
      </c>
      <c r="J177" s="3">
        <f t="shared" si="113"/>
        <v>1.9366378051296519E-2</v>
      </c>
      <c r="K177" s="3">
        <f t="shared" si="113"/>
        <v>1.9366317505868251E-2</v>
      </c>
      <c r="L177" s="3">
        <f t="shared" si="113"/>
        <v>1.9365712061996089E-2</v>
      </c>
      <c r="M177" s="3">
        <f t="shared" si="113"/>
        <v>1.9359658664207278E-2</v>
      </c>
      <c r="N177" s="3">
        <f t="shared" si="113"/>
        <v>1.9299228659289396E-2</v>
      </c>
      <c r="O177" s="3">
        <f t="shared" si="113"/>
        <v>1.8705206636678681E-2</v>
      </c>
      <c r="P177" s="3">
        <f t="shared" si="113"/>
        <v>1.3683213244452265E-2</v>
      </c>
      <c r="Q177" s="3">
        <f t="shared" si="113"/>
        <v>6.0040450926615607E-4</v>
      </c>
      <c r="R177" s="3">
        <f t="shared" si="113"/>
        <v>1.5885556956889866E-17</v>
      </c>
      <c r="S177" s="3">
        <f t="shared" si="113"/>
        <v>2.6704684630420914E-153</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2.4447536701486274E-2</v>
      </c>
      <c r="C178" s="3">
        <f t="shared" si="114"/>
        <v>2.4447536701486205E-2</v>
      </c>
      <c r="D178" s="3">
        <f t="shared" si="114"/>
        <v>2.4447536701485514E-2</v>
      </c>
      <c r="E178" s="3">
        <f t="shared" si="114"/>
        <v>2.4447536701478621E-2</v>
      </c>
      <c r="F178" s="3">
        <f t="shared" si="114"/>
        <v>2.4447536701409672E-2</v>
      </c>
      <c r="G178" s="3">
        <f t="shared" si="114"/>
        <v>2.4447536700720203E-2</v>
      </c>
      <c r="H178" s="3">
        <f t="shared" si="114"/>
        <v>2.4447536693825503E-2</v>
      </c>
      <c r="I178" s="3">
        <f t="shared" si="114"/>
        <v>2.4447536624878512E-2</v>
      </c>
      <c r="J178" s="3">
        <f t="shared" si="114"/>
        <v>2.4447535935408597E-2</v>
      </c>
      <c r="K178" s="3">
        <f t="shared" si="114"/>
        <v>2.4447529040710542E-2</v>
      </c>
      <c r="L178" s="3">
        <f t="shared" si="114"/>
        <v>2.4447460093836894E-2</v>
      </c>
      <c r="M178" s="3">
        <f t="shared" si="114"/>
        <v>2.4446770635794726E-2</v>
      </c>
      <c r="N178" s="3">
        <f t="shared" si="114"/>
        <v>2.4439877124693567E-2</v>
      </c>
      <c r="O178" s="3">
        <f t="shared" si="114"/>
        <v>2.4371048834233102E-2</v>
      </c>
      <c r="P178" s="3">
        <f t="shared" si="114"/>
        <v>2.3693337356048311E-2</v>
      </c>
      <c r="Q178" s="3">
        <f t="shared" si="114"/>
        <v>1.7870899828585106E-2</v>
      </c>
      <c r="R178" s="3">
        <f t="shared" si="114"/>
        <v>1.0649966552374554E-3</v>
      </c>
      <c r="S178" s="3">
        <f t="shared" si="114"/>
        <v>6.0168124895448549E-16</v>
      </c>
      <c r="T178" s="3">
        <f t="shared" si="114"/>
        <v>1.9931905097014947E-138</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3.2102560695383232E-2</v>
      </c>
      <c r="C179" s="3">
        <f t="shared" si="115"/>
        <v>3.2102560695383218E-2</v>
      </c>
      <c r="D179" s="3">
        <f t="shared" si="115"/>
        <v>3.2102560695383142E-2</v>
      </c>
      <c r="E179" s="3">
        <f t="shared" si="115"/>
        <v>3.2102560695382323E-2</v>
      </c>
      <c r="F179" s="3">
        <f t="shared" si="115"/>
        <v>3.2102560695374156E-2</v>
      </c>
      <c r="G179" s="3">
        <f t="shared" si="115"/>
        <v>3.2102560695292486E-2</v>
      </c>
      <c r="H179" s="3">
        <f t="shared" si="115"/>
        <v>3.2102560694475778E-2</v>
      </c>
      <c r="I179" s="3">
        <f t="shared" si="115"/>
        <v>3.2102560686308707E-2</v>
      </c>
      <c r="J179" s="3">
        <f t="shared" si="115"/>
        <v>3.2102560604637967E-2</v>
      </c>
      <c r="K179" s="3">
        <f t="shared" si="115"/>
        <v>3.2102559787930585E-2</v>
      </c>
      <c r="L179" s="3">
        <f t="shared" si="115"/>
        <v>3.2102551620857935E-2</v>
      </c>
      <c r="M179" s="3">
        <f t="shared" si="115"/>
        <v>3.2102469950245675E-2</v>
      </c>
      <c r="N179" s="3">
        <f t="shared" si="115"/>
        <v>3.2101653255550637E-2</v>
      </c>
      <c r="O179" s="3">
        <f t="shared" si="115"/>
        <v>3.2093487451243213E-2</v>
      </c>
      <c r="P179" s="3">
        <f t="shared" si="115"/>
        <v>3.2011943564985525E-2</v>
      </c>
      <c r="Q179" s="3">
        <f t="shared" si="115"/>
        <v>3.1207813655453949E-2</v>
      </c>
      <c r="R179" s="3">
        <f t="shared" si="115"/>
        <v>2.4197826541490292E-2</v>
      </c>
      <c r="S179" s="3">
        <f t="shared" si="115"/>
        <v>1.9006690834680374E-3</v>
      </c>
      <c r="T179" s="3">
        <f t="shared" si="115"/>
        <v>1.6990572902952618E-14</v>
      </c>
      <c r="U179" s="3">
        <f t="shared" si="115"/>
        <v>5.5363450383558424E-125</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2.4134444755217831E-2</v>
      </c>
      <c r="C180" s="3">
        <f t="shared" si="116"/>
        <v>2.4134444755217831E-2</v>
      </c>
      <c r="D180" s="3">
        <f t="shared" si="116"/>
        <v>2.4134444755217824E-2</v>
      </c>
      <c r="E180" s="3">
        <f t="shared" si="116"/>
        <v>2.4134444755217768E-2</v>
      </c>
      <c r="F180" s="3">
        <f t="shared" si="116"/>
        <v>2.4134444755217213E-2</v>
      </c>
      <c r="G180" s="3">
        <f t="shared" si="116"/>
        <v>2.4134444755211676E-2</v>
      </c>
      <c r="H180" s="3">
        <f t="shared" si="116"/>
        <v>2.413444475515629E-2</v>
      </c>
      <c r="I180" s="3">
        <f t="shared" si="116"/>
        <v>2.4134444754602413E-2</v>
      </c>
      <c r="J180" s="3">
        <f t="shared" si="116"/>
        <v>2.4134444749063677E-2</v>
      </c>
      <c r="K180" s="3">
        <f t="shared" si="116"/>
        <v>2.4134444693676312E-2</v>
      </c>
      <c r="L180" s="3">
        <f t="shared" si="116"/>
        <v>2.413444413980266E-2</v>
      </c>
      <c r="M180" s="3">
        <f t="shared" si="116"/>
        <v>2.4134438601066822E-2</v>
      </c>
      <c r="N180" s="3">
        <f t="shared" si="116"/>
        <v>2.4134383213778355E-2</v>
      </c>
      <c r="O180" s="3">
        <f t="shared" si="116"/>
        <v>2.4133829347884758E-2</v>
      </c>
      <c r="P180" s="3">
        <f t="shared" si="116"/>
        <v>2.4128291387994924E-2</v>
      </c>
      <c r="Q180" s="3">
        <f t="shared" si="116"/>
        <v>2.4072981634386932E-2</v>
      </c>
      <c r="R180" s="3">
        <f t="shared" si="116"/>
        <v>2.3526809681796521E-2</v>
      </c>
      <c r="S180" s="3">
        <f t="shared" si="116"/>
        <v>1.8702281403799481E-2</v>
      </c>
      <c r="T180" s="3">
        <f t="shared" si="116"/>
        <v>1.8845604274475561E-3</v>
      </c>
      <c r="U180" s="3">
        <f t="shared" si="116"/>
        <v>2.0340651947852241E-13</v>
      </c>
      <c r="V180" s="3">
        <f t="shared" si="116"/>
        <v>4.364282755305331E-113</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4.5522140204717329E-2</v>
      </c>
      <c r="C181" s="3">
        <f t="shared" si="117"/>
        <v>4.5522140204717329E-2</v>
      </c>
      <c r="D181" s="3">
        <f t="shared" si="117"/>
        <v>4.5522140204717329E-2</v>
      </c>
      <c r="E181" s="3">
        <f t="shared" si="117"/>
        <v>4.5522140204717322E-2</v>
      </c>
      <c r="F181" s="3">
        <f t="shared" si="117"/>
        <v>4.5522140204717225E-2</v>
      </c>
      <c r="G181" s="3">
        <f t="shared" si="117"/>
        <v>4.5522140204716281E-2</v>
      </c>
      <c r="H181" s="3">
        <f t="shared" si="117"/>
        <v>4.5522140204706858E-2</v>
      </c>
      <c r="I181" s="3">
        <f t="shared" si="117"/>
        <v>4.5522140204612614E-2</v>
      </c>
      <c r="J181" s="3">
        <f t="shared" si="117"/>
        <v>4.5522140203670201E-2</v>
      </c>
      <c r="K181" s="3">
        <f t="shared" si="117"/>
        <v>4.5522140194246039E-2</v>
      </c>
      <c r="L181" s="3">
        <f t="shared" si="117"/>
        <v>4.5522140100004438E-2</v>
      </c>
      <c r="M181" s="3">
        <f t="shared" si="117"/>
        <v>4.5522139157588418E-2</v>
      </c>
      <c r="N181" s="3">
        <f t="shared" si="117"/>
        <v>4.5522129733429312E-2</v>
      </c>
      <c r="O181" s="3">
        <f t="shared" si="117"/>
        <v>4.5522035491945528E-2</v>
      </c>
      <c r="P181" s="3">
        <f t="shared" si="117"/>
        <v>4.5521093087838214E-2</v>
      </c>
      <c r="Q181" s="3">
        <f t="shared" si="117"/>
        <v>4.5511670119737106E-2</v>
      </c>
      <c r="R181" s="3">
        <f t="shared" si="117"/>
        <v>4.5417547653782163E-2</v>
      </c>
      <c r="S181" s="3">
        <f t="shared" si="117"/>
        <v>4.4486962827246027E-2</v>
      </c>
      <c r="T181" s="3">
        <f t="shared" si="117"/>
        <v>3.6167919024786221E-2</v>
      </c>
      <c r="U181" s="3">
        <f t="shared" si="117"/>
        <v>4.5627972234459522E-3</v>
      </c>
      <c r="V181" s="3">
        <f t="shared" si="117"/>
        <v>4.6591601373177943E-12</v>
      </c>
      <c r="W181" s="3">
        <f t="shared" si="117"/>
        <v>5.7421208367647809E-102</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3.7432935335074267E-2</v>
      </c>
      <c r="C182" s="3">
        <f t="shared" si="118"/>
        <v>3.7432935335074267E-2</v>
      </c>
      <c r="D182" s="3">
        <f t="shared" si="118"/>
        <v>3.7432935335074267E-2</v>
      </c>
      <c r="E182" s="3">
        <f t="shared" si="118"/>
        <v>3.7432935335074267E-2</v>
      </c>
      <c r="F182" s="3">
        <f t="shared" si="118"/>
        <v>3.7432935335074261E-2</v>
      </c>
      <c r="G182" s="3">
        <f t="shared" si="118"/>
        <v>3.7432935335074191E-2</v>
      </c>
      <c r="H182" s="3">
        <f t="shared" si="118"/>
        <v>3.743293533507349E-2</v>
      </c>
      <c r="I182" s="3">
        <f t="shared" si="118"/>
        <v>3.7432935335066503E-2</v>
      </c>
      <c r="J182" s="3">
        <f t="shared" si="118"/>
        <v>3.7432935334996593E-2</v>
      </c>
      <c r="K182" s="3">
        <f t="shared" si="118"/>
        <v>3.7432935334297521E-2</v>
      </c>
      <c r="L182" s="3">
        <f t="shared" si="118"/>
        <v>3.7432935327306828E-2</v>
      </c>
      <c r="M182" s="3">
        <f t="shared" si="118"/>
        <v>3.7432935257399859E-2</v>
      </c>
      <c r="N182" s="3">
        <f t="shared" si="118"/>
        <v>3.7432934558330182E-2</v>
      </c>
      <c r="O182" s="3">
        <f t="shared" si="118"/>
        <v>3.743292756763416E-2</v>
      </c>
      <c r="P182" s="3">
        <f t="shared" si="118"/>
        <v>3.7432857660745743E-2</v>
      </c>
      <c r="Q182" s="3">
        <f t="shared" si="118"/>
        <v>3.7432158599041927E-2</v>
      </c>
      <c r="R182" s="3">
        <f t="shared" si="118"/>
        <v>3.7425168699990456E-2</v>
      </c>
      <c r="S182" s="3">
        <f t="shared" si="118"/>
        <v>3.7355341458558448E-2</v>
      </c>
      <c r="T182" s="3">
        <f t="shared" si="118"/>
        <v>3.666419462169275E-2</v>
      </c>
      <c r="U182" s="3">
        <f t="shared" si="118"/>
        <v>3.0418412121079708E-2</v>
      </c>
      <c r="V182" s="3">
        <f t="shared" si="118"/>
        <v>4.6998115023368361E-3</v>
      </c>
      <c r="W182" s="3">
        <f t="shared" si="118"/>
        <v>3.6435056059049769E-11</v>
      </c>
      <c r="X182" s="3">
        <f t="shared" si="118"/>
        <v>2.8569948960621956E-92</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4.1089114467289377E-2</v>
      </c>
      <c r="C183" s="3">
        <f t="shared" si="119"/>
        <v>4.1089114467289377E-2</v>
      </c>
      <c r="D183" s="3">
        <f t="shared" si="119"/>
        <v>4.1089114467289377E-2</v>
      </c>
      <c r="E183" s="3">
        <f t="shared" si="119"/>
        <v>4.1089114467289377E-2</v>
      </c>
      <c r="F183" s="3">
        <f t="shared" si="119"/>
        <v>4.1089114467289377E-2</v>
      </c>
      <c r="G183" s="3">
        <f t="shared" si="119"/>
        <v>4.108911446728937E-2</v>
      </c>
      <c r="H183" s="3">
        <f t="shared" si="119"/>
        <v>4.1089114467289301E-2</v>
      </c>
      <c r="I183" s="3">
        <f t="shared" si="119"/>
        <v>4.1089114467288607E-2</v>
      </c>
      <c r="J183" s="3">
        <f t="shared" si="119"/>
        <v>4.1089114467281689E-2</v>
      </c>
      <c r="K183" s="3">
        <f t="shared" si="119"/>
        <v>4.1089114467212466E-2</v>
      </c>
      <c r="L183" s="3">
        <f t="shared" si="119"/>
        <v>4.1089114466520249E-2</v>
      </c>
      <c r="M183" s="3">
        <f t="shared" si="119"/>
        <v>4.1089114459598119E-2</v>
      </c>
      <c r="N183" s="3">
        <f t="shared" si="119"/>
        <v>4.1089114390376789E-2</v>
      </c>
      <c r="O183" s="3">
        <f t="shared" si="119"/>
        <v>4.1089113698163461E-2</v>
      </c>
      <c r="P183" s="3">
        <f t="shared" si="119"/>
        <v>4.1089106776030913E-2</v>
      </c>
      <c r="Q183" s="3">
        <f t="shared" si="119"/>
        <v>4.1089037554769517E-2</v>
      </c>
      <c r="R183" s="3">
        <f t="shared" si="119"/>
        <v>4.108834534856929E-2</v>
      </c>
      <c r="S183" s="3">
        <f t="shared" si="119"/>
        <v>4.1081423927903232E-2</v>
      </c>
      <c r="T183" s="3">
        <f t="shared" si="119"/>
        <v>4.1012273814902751E-2</v>
      </c>
      <c r="U183" s="3">
        <f t="shared" si="119"/>
        <v>4.0327142279086847E-2</v>
      </c>
      <c r="V183" s="3">
        <f t="shared" si="119"/>
        <v>3.407480976846531E-2</v>
      </c>
      <c r="W183" s="3">
        <f t="shared" si="119"/>
        <v>6.3211102415635673E-3</v>
      </c>
      <c r="X183" s="3">
        <f t="shared" si="119"/>
        <v>3.0506515937393968E-10</v>
      </c>
      <c r="Y183" s="3">
        <f t="shared" si="119"/>
        <v>2.0911494615067152E-83</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4.624509457562298E-2</v>
      </c>
      <c r="C184" s="3">
        <f t="shared" si="120"/>
        <v>4.624509457562298E-2</v>
      </c>
      <c r="D184" s="3">
        <f t="shared" si="120"/>
        <v>4.624509457562298E-2</v>
      </c>
      <c r="E184" s="3">
        <f t="shared" si="120"/>
        <v>4.624509457562298E-2</v>
      </c>
      <c r="F184" s="3">
        <f t="shared" si="120"/>
        <v>4.624509457562298E-2</v>
      </c>
      <c r="G184" s="3">
        <f t="shared" si="120"/>
        <v>4.624509457562298E-2</v>
      </c>
      <c r="H184" s="3">
        <f t="shared" si="120"/>
        <v>4.6245094575622973E-2</v>
      </c>
      <c r="I184" s="3">
        <f t="shared" si="120"/>
        <v>4.6245094575622904E-2</v>
      </c>
      <c r="J184" s="3">
        <f t="shared" si="120"/>
        <v>4.6245094575622203E-2</v>
      </c>
      <c r="K184" s="3">
        <f t="shared" si="120"/>
        <v>4.6245094575615174E-2</v>
      </c>
      <c r="L184" s="3">
        <f t="shared" si="120"/>
        <v>4.6245094575544897E-2</v>
      </c>
      <c r="M184" s="3">
        <f t="shared" si="120"/>
        <v>4.6245094574842105E-2</v>
      </c>
      <c r="N184" s="3">
        <f t="shared" si="120"/>
        <v>4.6245094567814206E-2</v>
      </c>
      <c r="O184" s="3">
        <f t="shared" si="120"/>
        <v>4.6245094497535229E-2</v>
      </c>
      <c r="P184" s="3">
        <f t="shared" si="120"/>
        <v>4.6245093794745458E-2</v>
      </c>
      <c r="Q184" s="3">
        <f t="shared" si="120"/>
        <v>4.6245086766848305E-2</v>
      </c>
      <c r="R184" s="3">
        <f t="shared" si="120"/>
        <v>4.6245016487935567E-2</v>
      </c>
      <c r="S184" s="3">
        <f t="shared" si="120"/>
        <v>4.6244313704682322E-2</v>
      </c>
      <c r="T184" s="3">
        <f t="shared" si="120"/>
        <v>4.6237286459532068E-2</v>
      </c>
      <c r="U184" s="3">
        <f t="shared" si="120"/>
        <v>4.616707271323197E-2</v>
      </c>
      <c r="V184" s="3">
        <f t="shared" si="120"/>
        <v>4.5470772894794259E-2</v>
      </c>
      <c r="W184" s="3">
        <f t="shared" si="120"/>
        <v>3.9060006820105408E-2</v>
      </c>
      <c r="X184" s="3">
        <f t="shared" si="120"/>
        <v>8.5453941732299161E-3</v>
      </c>
      <c r="Y184" s="3">
        <f t="shared" si="120"/>
        <v>2.1464953624243009E-9</v>
      </c>
      <c r="Z184" s="3">
        <f t="shared" si="120"/>
        <v>2.1463893139118215E-75</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4.2152470755880481E-2</v>
      </c>
      <c r="C185" s="3">
        <f t="shared" si="121"/>
        <v>4.2152470755880481E-2</v>
      </c>
      <c r="D185" s="3">
        <f t="shared" si="121"/>
        <v>4.2152470755880481E-2</v>
      </c>
      <c r="E185" s="3">
        <f t="shared" si="121"/>
        <v>4.2152470755880481E-2</v>
      </c>
      <c r="F185" s="3">
        <f t="shared" si="121"/>
        <v>4.2152470755880481E-2</v>
      </c>
      <c r="G185" s="3">
        <f t="shared" si="121"/>
        <v>4.2152470755880481E-2</v>
      </c>
      <c r="H185" s="3">
        <f t="shared" si="121"/>
        <v>4.2152470755880481E-2</v>
      </c>
      <c r="I185" s="3">
        <f t="shared" si="121"/>
        <v>4.2152470755880474E-2</v>
      </c>
      <c r="J185" s="3">
        <f t="shared" si="121"/>
        <v>4.2152470755880418E-2</v>
      </c>
      <c r="K185" s="3">
        <f t="shared" si="121"/>
        <v>4.2152470755879842E-2</v>
      </c>
      <c r="L185" s="3">
        <f t="shared" si="121"/>
        <v>4.2152470755874062E-2</v>
      </c>
      <c r="M185" s="3">
        <f t="shared" si="121"/>
        <v>4.2152470755816275E-2</v>
      </c>
      <c r="N185" s="3">
        <f t="shared" si="121"/>
        <v>4.2152470755238404E-2</v>
      </c>
      <c r="O185" s="3">
        <f t="shared" si="121"/>
        <v>4.2152470749459714E-2</v>
      </c>
      <c r="P185" s="3">
        <f t="shared" si="121"/>
        <v>4.2152470691672814E-2</v>
      </c>
      <c r="Q185" s="3">
        <f t="shared" si="121"/>
        <v>4.2152470113803825E-2</v>
      </c>
      <c r="R185" s="3">
        <f t="shared" si="121"/>
        <v>4.2152464335114381E-2</v>
      </c>
      <c r="S185" s="3">
        <f t="shared" si="121"/>
        <v>4.2152406548263466E-2</v>
      </c>
      <c r="T185" s="3">
        <f t="shared" si="121"/>
        <v>4.2151828684111423E-2</v>
      </c>
      <c r="U185" s="3">
        <f t="shared" si="121"/>
        <v>4.2146050478277408E-2</v>
      </c>
      <c r="V185" s="3">
        <f t="shared" si="121"/>
        <v>4.2088311966481599E-2</v>
      </c>
      <c r="W185" s="3">
        <f t="shared" si="121"/>
        <v>4.1515259495456341E-2</v>
      </c>
      <c r="X185" s="3">
        <f t="shared" si="121"/>
        <v>3.6196805724198311E-2</v>
      </c>
      <c r="Y185" s="3">
        <f t="shared" si="121"/>
        <v>9.189569075230667E-3</v>
      </c>
      <c r="Z185" s="3">
        <f t="shared" si="121"/>
        <v>1.0222194588139977E-8</v>
      </c>
      <c r="AA185" s="3">
        <f t="shared" si="121"/>
        <v>2.965064306117502E-68</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0.11273931401056794</v>
      </c>
      <c r="C186" s="3">
        <f t="shared" si="122"/>
        <v>0.11273931401056794</v>
      </c>
      <c r="D186" s="3">
        <f t="shared" si="122"/>
        <v>0.11273931401056794</v>
      </c>
      <c r="E186" s="3">
        <f t="shared" si="122"/>
        <v>0.11273931401056794</v>
      </c>
      <c r="F186" s="3">
        <f t="shared" si="122"/>
        <v>0.11273931401056794</v>
      </c>
      <c r="G186" s="3">
        <f t="shared" si="122"/>
        <v>0.11273931401056794</v>
      </c>
      <c r="H186" s="3">
        <f t="shared" si="122"/>
        <v>0.11273931401056794</v>
      </c>
      <c r="I186" s="3">
        <f t="shared" si="122"/>
        <v>0.11273931401056794</v>
      </c>
      <c r="J186" s="3">
        <f t="shared" si="122"/>
        <v>0.11273931401056793</v>
      </c>
      <c r="K186" s="3">
        <f t="shared" si="122"/>
        <v>0.11273931401056779</v>
      </c>
      <c r="L186" s="3">
        <f t="shared" si="122"/>
        <v>0.11273931401056639</v>
      </c>
      <c r="M186" s="3">
        <f t="shared" si="122"/>
        <v>0.11273931401055244</v>
      </c>
      <c r="N186" s="3">
        <f t="shared" si="122"/>
        <v>0.11273931401041302</v>
      </c>
      <c r="O186" s="3">
        <f t="shared" si="122"/>
        <v>0.11273931400901882</v>
      </c>
      <c r="P186" s="3">
        <f t="shared" si="122"/>
        <v>0.11273931399507671</v>
      </c>
      <c r="Q186" s="3">
        <f t="shared" si="122"/>
        <v>0.11273931385565568</v>
      </c>
      <c r="R186" s="3">
        <f t="shared" si="122"/>
        <v>0.11273931246144522</v>
      </c>
      <c r="S186" s="3">
        <f t="shared" si="122"/>
        <v>0.11273929851934172</v>
      </c>
      <c r="T186" s="3">
        <f t="shared" si="122"/>
        <v>0.11273915909840157</v>
      </c>
      <c r="U186" s="3">
        <f t="shared" si="122"/>
        <v>0.11273776489848288</v>
      </c>
      <c r="V186" s="3">
        <f t="shared" si="122"/>
        <v>0.11272382384754386</v>
      </c>
      <c r="W186" s="3">
        <f t="shared" si="122"/>
        <v>0.11258450811956991</v>
      </c>
      <c r="X186" s="3">
        <f t="shared" si="122"/>
        <v>0.11120078575570018</v>
      </c>
      <c r="Y186" s="3">
        <f t="shared" si="122"/>
        <v>9.826527388076324E-2</v>
      </c>
      <c r="Z186" s="3">
        <f t="shared" si="122"/>
        <v>2.853134189784522E-2</v>
      </c>
      <c r="AA186" s="3">
        <f t="shared" si="122"/>
        <v>1.2149082724677481E-7</v>
      </c>
      <c r="AB186" s="3">
        <f t="shared" si="122"/>
        <v>2.3809835838102815E-61</v>
      </c>
      <c r="AC186" s="3">
        <f t="shared" si="122"/>
        <v>0</v>
      </c>
      <c r="AD186" s="3">
        <f t="shared" si="122"/>
        <v>0</v>
      </c>
      <c r="AE186" s="3">
        <f t="shared" si="122"/>
        <v>0</v>
      </c>
      <c r="AF186" s="3">
        <f t="shared" si="122"/>
        <v>0</v>
      </c>
      <c r="AG186" s="3"/>
      <c r="AH186" s="3"/>
    </row>
    <row r="187" spans="2:34" x14ac:dyDescent="0.25">
      <c r="B187" s="3">
        <f t="shared" ref="B187:AF187" si="123">$C34*EXP(-B$168/$A34/EXP(-$C$126))</f>
        <v>0.14424740982428688</v>
      </c>
      <c r="C187" s="3">
        <f t="shared" si="123"/>
        <v>0.14424740982428688</v>
      </c>
      <c r="D187" s="3">
        <f t="shared" si="123"/>
        <v>0.14424740982428688</v>
      </c>
      <c r="E187" s="3">
        <f t="shared" si="123"/>
        <v>0.14424740982428688</v>
      </c>
      <c r="F187" s="3">
        <f t="shared" si="123"/>
        <v>0.14424740982428688</v>
      </c>
      <c r="G187" s="3">
        <f t="shared" si="123"/>
        <v>0.14424740982428688</v>
      </c>
      <c r="H187" s="3">
        <f t="shared" si="123"/>
        <v>0.14424740982428688</v>
      </c>
      <c r="I187" s="3">
        <f t="shared" si="123"/>
        <v>0.14424740982428688</v>
      </c>
      <c r="J187" s="3">
        <f t="shared" si="123"/>
        <v>0.14424740982428688</v>
      </c>
      <c r="K187" s="3">
        <f t="shared" si="123"/>
        <v>0.14424740982428685</v>
      </c>
      <c r="L187" s="3">
        <f t="shared" si="123"/>
        <v>0.14424740982428672</v>
      </c>
      <c r="M187" s="3">
        <f t="shared" si="123"/>
        <v>0.14424740982428508</v>
      </c>
      <c r="N187" s="3">
        <f t="shared" si="123"/>
        <v>0.14424740982426901</v>
      </c>
      <c r="O187" s="3">
        <f t="shared" si="123"/>
        <v>0.14424740982410808</v>
      </c>
      <c r="P187" s="3">
        <f t="shared" si="123"/>
        <v>0.1442474098224989</v>
      </c>
      <c r="Q187" s="3">
        <f t="shared" si="123"/>
        <v>0.14424740980640699</v>
      </c>
      <c r="R187" s="3">
        <f t="shared" si="123"/>
        <v>0.14424740964548791</v>
      </c>
      <c r="S187" s="3">
        <f t="shared" si="123"/>
        <v>0.14424740803629701</v>
      </c>
      <c r="T187" s="3">
        <f t="shared" si="123"/>
        <v>0.14424739194438937</v>
      </c>
      <c r="U187" s="3">
        <f t="shared" si="123"/>
        <v>0.14424723102541137</v>
      </c>
      <c r="V187" s="3">
        <f t="shared" si="123"/>
        <v>0.14424562184550502</v>
      </c>
      <c r="W187" s="3">
        <f t="shared" si="123"/>
        <v>0.14422953103374295</v>
      </c>
      <c r="X187" s="3">
        <f t="shared" si="123"/>
        <v>0.1440687216055494</v>
      </c>
      <c r="Y187" s="3">
        <f t="shared" si="123"/>
        <v>0.14247045565219255</v>
      </c>
      <c r="Z187" s="3">
        <f t="shared" si="123"/>
        <v>0.12743124355922264</v>
      </c>
      <c r="AA187" s="3">
        <f t="shared" si="123"/>
        <v>4.1762549283587587E-2</v>
      </c>
      <c r="AB187" s="3">
        <f t="shared" si="123"/>
        <v>5.9689480633870069E-7</v>
      </c>
      <c r="AC187" s="3">
        <f t="shared" si="123"/>
        <v>2.1232727646212253E-55</v>
      </c>
      <c r="AD187" s="3">
        <f t="shared" si="123"/>
        <v>0</v>
      </c>
      <c r="AE187" s="3">
        <f t="shared" si="123"/>
        <v>0</v>
      </c>
      <c r="AF187" s="3">
        <f t="shared" si="123"/>
        <v>0</v>
      </c>
      <c r="AG187" s="3"/>
      <c r="AH187" s="3"/>
    </row>
    <row r="188" spans="2:34" x14ac:dyDescent="0.25">
      <c r="B188" s="3">
        <f t="shared" ref="B188:AF188" si="124">$C35*EXP(-B$168/$A35/EXP(-$C$126))</f>
        <v>0.12974291069495422</v>
      </c>
      <c r="C188" s="3">
        <f t="shared" si="124"/>
        <v>0.12974291069495422</v>
      </c>
      <c r="D188" s="3">
        <f t="shared" si="124"/>
        <v>0.12974291069495422</v>
      </c>
      <c r="E188" s="3">
        <f t="shared" si="124"/>
        <v>0.12974291069495422</v>
      </c>
      <c r="F188" s="3">
        <f t="shared" si="124"/>
        <v>0.12974291069495422</v>
      </c>
      <c r="G188" s="3">
        <f t="shared" si="124"/>
        <v>0.12974291069495422</v>
      </c>
      <c r="H188" s="3">
        <f t="shared" si="124"/>
        <v>0.12974291069495422</v>
      </c>
      <c r="I188" s="3">
        <f t="shared" si="124"/>
        <v>0.12974291069495422</v>
      </c>
      <c r="J188" s="3">
        <f t="shared" si="124"/>
        <v>0.12974291069495422</v>
      </c>
      <c r="K188" s="3">
        <f t="shared" si="124"/>
        <v>0.12974291069495422</v>
      </c>
      <c r="L188" s="3">
        <f t="shared" si="124"/>
        <v>0.12974291069495419</v>
      </c>
      <c r="M188" s="3">
        <f t="shared" si="124"/>
        <v>0.12974291069495408</v>
      </c>
      <c r="N188" s="3">
        <f t="shared" si="124"/>
        <v>0.12974291069495278</v>
      </c>
      <c r="O188" s="3">
        <f t="shared" si="124"/>
        <v>0.12974291069493971</v>
      </c>
      <c r="P188" s="3">
        <f t="shared" si="124"/>
        <v>0.12974291069480914</v>
      </c>
      <c r="Q188" s="3">
        <f t="shared" si="124"/>
        <v>0.12974291069350349</v>
      </c>
      <c r="R188" s="3">
        <f t="shared" si="124"/>
        <v>0.12974291068044691</v>
      </c>
      <c r="S188" s="3">
        <f t="shared" si="124"/>
        <v>0.12974291054988099</v>
      </c>
      <c r="T188" s="3">
        <f t="shared" si="124"/>
        <v>0.12974290924422199</v>
      </c>
      <c r="U188" s="3">
        <f t="shared" si="124"/>
        <v>0.12974289618763282</v>
      </c>
      <c r="V188" s="3">
        <f t="shared" si="124"/>
        <v>0.12974276562181336</v>
      </c>
      <c r="W188" s="3">
        <f t="shared" si="124"/>
        <v>0.12974145997084524</v>
      </c>
      <c r="X188" s="3">
        <f t="shared" si="124"/>
        <v>0.12972840418380185</v>
      </c>
      <c r="Y188" s="3">
        <f t="shared" si="124"/>
        <v>0.12959791855023822</v>
      </c>
      <c r="Z188" s="3">
        <f t="shared" si="124"/>
        <v>0.12830025907671225</v>
      </c>
      <c r="AA188" s="3">
        <f t="shared" si="124"/>
        <v>0.11601725939881076</v>
      </c>
      <c r="AB188" s="3">
        <f t="shared" si="124"/>
        <v>4.2410490043163863E-2</v>
      </c>
      <c r="AC188" s="3">
        <f t="shared" si="124"/>
        <v>1.8070916339531482E-6</v>
      </c>
      <c r="AD188" s="3">
        <f t="shared" si="124"/>
        <v>3.5649137082227337E-50</v>
      </c>
      <c r="AE188" s="3">
        <f t="shared" si="124"/>
        <v>0</v>
      </c>
      <c r="AF188" s="3">
        <f t="shared" si="124"/>
        <v>0</v>
      </c>
      <c r="AG188" s="3"/>
      <c r="AH188" s="3"/>
    </row>
    <row r="189" spans="2:34" x14ac:dyDescent="0.25">
      <c r="B189" s="3">
        <f t="shared" ref="B189:AF189" si="125">$C36*EXP(-B$168/$A36/EXP(-$C$126))</f>
        <v>0.10714334071735752</v>
      </c>
      <c r="C189" s="3">
        <f t="shared" si="125"/>
        <v>0.10714334071735752</v>
      </c>
      <c r="D189" s="3">
        <f t="shared" si="125"/>
        <v>0.10714334071735752</v>
      </c>
      <c r="E189" s="3">
        <f t="shared" si="125"/>
        <v>0.10714334071735752</v>
      </c>
      <c r="F189" s="3">
        <f t="shared" si="125"/>
        <v>0.10714334071735752</v>
      </c>
      <c r="G189" s="3">
        <f t="shared" si="125"/>
        <v>0.10714334071735752</v>
      </c>
      <c r="H189" s="3">
        <f t="shared" si="125"/>
        <v>0.10714334071735752</v>
      </c>
      <c r="I189" s="3">
        <f t="shared" si="125"/>
        <v>0.10714334071735752</v>
      </c>
      <c r="J189" s="3">
        <f t="shared" si="125"/>
        <v>0.10714334071735752</v>
      </c>
      <c r="K189" s="3">
        <f t="shared" si="125"/>
        <v>0.10714334071735752</v>
      </c>
      <c r="L189" s="3">
        <f t="shared" si="125"/>
        <v>0.10714334071735752</v>
      </c>
      <c r="M189" s="3">
        <f t="shared" si="125"/>
        <v>0.10714334071735751</v>
      </c>
      <c r="N189" s="3">
        <f t="shared" si="125"/>
        <v>0.10714334071735741</v>
      </c>
      <c r="O189" s="3">
        <f t="shared" si="125"/>
        <v>0.10714334071735644</v>
      </c>
      <c r="P189" s="3">
        <f t="shared" si="125"/>
        <v>0.10714334071734671</v>
      </c>
      <c r="Q189" s="3">
        <f t="shared" si="125"/>
        <v>0.10714334071724946</v>
      </c>
      <c r="R189" s="3">
        <f t="shared" si="125"/>
        <v>0.10714334071627681</v>
      </c>
      <c r="S189" s="3">
        <f t="shared" si="125"/>
        <v>0.10714334070655028</v>
      </c>
      <c r="T189" s="3">
        <f t="shared" si="125"/>
        <v>0.10714334060928497</v>
      </c>
      <c r="U189" s="3">
        <f t="shared" si="125"/>
        <v>0.10714333963663204</v>
      </c>
      <c r="V189" s="3">
        <f t="shared" si="125"/>
        <v>0.10714332991010318</v>
      </c>
      <c r="W189" s="3">
        <f t="shared" si="125"/>
        <v>0.10714323264486321</v>
      </c>
      <c r="X189" s="3">
        <f t="shared" si="125"/>
        <v>0.1071422599973198</v>
      </c>
      <c r="Y189" s="3">
        <f t="shared" si="125"/>
        <v>0.10713253400750633</v>
      </c>
      <c r="Z189" s="3">
        <f t="shared" si="125"/>
        <v>0.10703532265512453</v>
      </c>
      <c r="AA189" s="3">
        <f t="shared" si="125"/>
        <v>0.10606804744019002</v>
      </c>
      <c r="AB189" s="3">
        <f t="shared" si="125"/>
        <v>9.6863261996620154E-2</v>
      </c>
      <c r="AC189" s="3">
        <f t="shared" si="125"/>
        <v>3.9075473775848461E-2</v>
      </c>
      <c r="AD189" s="3">
        <f t="shared" si="125"/>
        <v>4.4602158052942742E-6</v>
      </c>
      <c r="AE189" s="3">
        <f t="shared" si="125"/>
        <v>1.6744495685387593E-45</v>
      </c>
      <c r="AF189" s="3">
        <f t="shared" si="125"/>
        <v>0</v>
      </c>
      <c r="AG189" s="3"/>
      <c r="AH189" s="3"/>
    </row>
    <row r="190" spans="2:34" x14ac:dyDescent="0.25">
      <c r="B190" s="3">
        <f t="shared" ref="B190:AF190" si="126">$C37*EXP(-B$168/$A37/EXP(-$C$126))</f>
        <v>7.467332001482109E-2</v>
      </c>
      <c r="C190" s="3">
        <f t="shared" si="126"/>
        <v>7.467332001482109E-2</v>
      </c>
      <c r="D190" s="3">
        <f t="shared" si="126"/>
        <v>7.467332001482109E-2</v>
      </c>
      <c r="E190" s="3">
        <f t="shared" si="126"/>
        <v>7.467332001482109E-2</v>
      </c>
      <c r="F190" s="3">
        <f t="shared" si="126"/>
        <v>7.467332001482109E-2</v>
      </c>
      <c r="G190" s="3">
        <f t="shared" si="126"/>
        <v>7.467332001482109E-2</v>
      </c>
      <c r="H190" s="3">
        <f t="shared" si="126"/>
        <v>7.467332001482109E-2</v>
      </c>
      <c r="I190" s="3">
        <f t="shared" si="126"/>
        <v>7.467332001482109E-2</v>
      </c>
      <c r="J190" s="3">
        <f t="shared" si="126"/>
        <v>7.467332001482109E-2</v>
      </c>
      <c r="K190" s="3">
        <f t="shared" si="126"/>
        <v>7.467332001482109E-2</v>
      </c>
      <c r="L190" s="3">
        <f t="shared" si="126"/>
        <v>7.467332001482109E-2</v>
      </c>
      <c r="M190" s="3">
        <f t="shared" si="126"/>
        <v>7.467332001482109E-2</v>
      </c>
      <c r="N190" s="3">
        <f t="shared" si="126"/>
        <v>7.4673320014821076E-2</v>
      </c>
      <c r="O190" s="3">
        <f t="shared" si="126"/>
        <v>7.4673320014821021E-2</v>
      </c>
      <c r="P190" s="3">
        <f t="shared" si="126"/>
        <v>7.467332001482041E-2</v>
      </c>
      <c r="Q190" s="3">
        <f t="shared" si="126"/>
        <v>7.467332001481429E-2</v>
      </c>
      <c r="R190" s="3">
        <f t="shared" si="126"/>
        <v>7.4673320014753145E-2</v>
      </c>
      <c r="S190" s="3">
        <f t="shared" si="126"/>
        <v>7.4673320014141634E-2</v>
      </c>
      <c r="T190" s="3">
        <f t="shared" si="126"/>
        <v>7.4673320008026511E-2</v>
      </c>
      <c r="U190" s="3">
        <f t="shared" si="126"/>
        <v>7.4673319946875344E-2</v>
      </c>
      <c r="V190" s="3">
        <f t="shared" si="126"/>
        <v>7.4673319335363642E-2</v>
      </c>
      <c r="W190" s="3">
        <f t="shared" si="126"/>
        <v>7.4673313220246937E-2</v>
      </c>
      <c r="X190" s="3">
        <f t="shared" si="126"/>
        <v>7.467325206910741E-2</v>
      </c>
      <c r="Y190" s="3">
        <f t="shared" si="126"/>
        <v>7.4672640560466366E-2</v>
      </c>
      <c r="Z190" s="3">
        <f t="shared" si="126"/>
        <v>7.4666525749473814E-2</v>
      </c>
      <c r="AA190" s="3">
        <f t="shared" si="126"/>
        <v>7.460540517299423E-2</v>
      </c>
      <c r="AB190" s="3">
        <f t="shared" si="126"/>
        <v>7.3996944428435338E-2</v>
      </c>
      <c r="AC190" s="3">
        <f t="shared" si="126"/>
        <v>6.817870068596063E-2</v>
      </c>
      <c r="AD190" s="3">
        <f t="shared" si="126"/>
        <v>3.006062858491047E-2</v>
      </c>
      <c r="AE190" s="3">
        <f t="shared" si="126"/>
        <v>8.3462507921537655E-6</v>
      </c>
      <c r="AF190" s="3">
        <f t="shared" si="126"/>
        <v>2.2720880532481882E-41</v>
      </c>
      <c r="AG190" s="3"/>
      <c r="AH190" s="3"/>
    </row>
    <row r="191" spans="2:34" x14ac:dyDescent="0.25">
      <c r="B191" s="3">
        <f t="shared" ref="B191:AF191" si="127">$C38*EXP(-B$168/$A38/EXP(-$C$126))</f>
        <v>2.5720461590382049E-2</v>
      </c>
      <c r="C191" s="3">
        <f t="shared" si="127"/>
        <v>2.5720461590382049E-2</v>
      </c>
      <c r="D191" s="3">
        <f t="shared" si="127"/>
        <v>2.5720461590382049E-2</v>
      </c>
      <c r="E191" s="3">
        <f t="shared" si="127"/>
        <v>2.5720461590382049E-2</v>
      </c>
      <c r="F191" s="3">
        <f t="shared" si="127"/>
        <v>2.5720461590382049E-2</v>
      </c>
      <c r="G191" s="3">
        <f t="shared" si="127"/>
        <v>2.5720461590382049E-2</v>
      </c>
      <c r="H191" s="3">
        <f t="shared" si="127"/>
        <v>2.5720461590382049E-2</v>
      </c>
      <c r="I191" s="3">
        <f t="shared" si="127"/>
        <v>2.5720461590382049E-2</v>
      </c>
      <c r="J191" s="3">
        <f t="shared" si="127"/>
        <v>2.5720461590382049E-2</v>
      </c>
      <c r="K191" s="3">
        <f t="shared" si="127"/>
        <v>2.5720461590382049E-2</v>
      </c>
      <c r="L191" s="3">
        <f t="shared" si="127"/>
        <v>2.5720461590382049E-2</v>
      </c>
      <c r="M191" s="3">
        <f t="shared" si="127"/>
        <v>2.5720461590382049E-2</v>
      </c>
      <c r="N191" s="3">
        <f t="shared" si="127"/>
        <v>2.5720461590382049E-2</v>
      </c>
      <c r="O191" s="3">
        <f t="shared" si="127"/>
        <v>2.5720461590382045E-2</v>
      </c>
      <c r="P191" s="3">
        <f t="shared" si="127"/>
        <v>2.5720461590382028E-2</v>
      </c>
      <c r="Q191" s="3">
        <f t="shared" si="127"/>
        <v>2.5720461590381837E-2</v>
      </c>
      <c r="R191" s="3">
        <f t="shared" si="127"/>
        <v>2.5720461590379939E-2</v>
      </c>
      <c r="S191" s="3">
        <f t="shared" si="127"/>
        <v>2.5720461590360937E-2</v>
      </c>
      <c r="T191" s="3">
        <f t="shared" si="127"/>
        <v>2.5720461590170933E-2</v>
      </c>
      <c r="U191" s="3">
        <f t="shared" si="127"/>
        <v>2.5720461588270883E-2</v>
      </c>
      <c r="V191" s="3">
        <f t="shared" si="127"/>
        <v>2.5720461569270402E-2</v>
      </c>
      <c r="W191" s="3">
        <f t="shared" si="127"/>
        <v>2.5720461379265563E-2</v>
      </c>
      <c r="X191" s="3">
        <f t="shared" si="127"/>
        <v>2.5720459479217264E-2</v>
      </c>
      <c r="Y191" s="3">
        <f t="shared" si="127"/>
        <v>2.5720440478741998E-2</v>
      </c>
      <c r="Z191" s="3">
        <f t="shared" si="127"/>
        <v>2.5720250474761341E-2</v>
      </c>
      <c r="AA191" s="3">
        <f t="shared" si="127"/>
        <v>2.5718350512151725E-2</v>
      </c>
      <c r="AB191" s="3">
        <f t="shared" si="127"/>
        <v>2.5699358603639522E-2</v>
      </c>
      <c r="AC191" s="3">
        <f t="shared" si="127"/>
        <v>2.5510209171628013E-2</v>
      </c>
      <c r="AD191" s="3">
        <f t="shared" si="127"/>
        <v>2.3693617392069131E-2</v>
      </c>
      <c r="AE191" s="3">
        <f t="shared" si="127"/>
        <v>1.1318917280255178E-2</v>
      </c>
      <c r="AF191" s="3">
        <f t="shared" si="127"/>
        <v>7.0071277512366608E-6</v>
      </c>
      <c r="AG191" s="3"/>
      <c r="AH191" s="3"/>
    </row>
    <row r="192" spans="2:34" x14ac:dyDescent="0.25">
      <c r="B192" s="3">
        <f t="shared" ref="B192:AF192" si="128">$C39*EXP(-B$168/$A39/EXP(-$C$126))</f>
        <v>2.4141304859351478E-2</v>
      </c>
      <c r="C192" s="3">
        <f t="shared" si="128"/>
        <v>2.4141304859351478E-2</v>
      </c>
      <c r="D192" s="3">
        <f t="shared" si="128"/>
        <v>2.4141304859351478E-2</v>
      </c>
      <c r="E192" s="3">
        <f t="shared" si="128"/>
        <v>2.4141304859351478E-2</v>
      </c>
      <c r="F192" s="3">
        <f t="shared" si="128"/>
        <v>2.4141304859351478E-2</v>
      </c>
      <c r="G192" s="3">
        <f t="shared" si="128"/>
        <v>2.4141304859351478E-2</v>
      </c>
      <c r="H192" s="3">
        <f t="shared" si="128"/>
        <v>2.4141304859351478E-2</v>
      </c>
      <c r="I192" s="3">
        <f t="shared" si="128"/>
        <v>2.4141304859351478E-2</v>
      </c>
      <c r="J192" s="3">
        <f t="shared" si="128"/>
        <v>2.4141304859351478E-2</v>
      </c>
      <c r="K192" s="3">
        <f t="shared" si="128"/>
        <v>2.4141304859351478E-2</v>
      </c>
      <c r="L192" s="3">
        <f t="shared" si="128"/>
        <v>2.4141304859351478E-2</v>
      </c>
      <c r="M192" s="3">
        <f t="shared" si="128"/>
        <v>2.4141304859351478E-2</v>
      </c>
      <c r="N192" s="3">
        <f t="shared" si="128"/>
        <v>2.4141304859351478E-2</v>
      </c>
      <c r="O192" s="3">
        <f t="shared" si="128"/>
        <v>2.4141304859351478E-2</v>
      </c>
      <c r="P192" s="3">
        <f t="shared" si="128"/>
        <v>2.4141304859351471E-2</v>
      </c>
      <c r="Q192" s="3">
        <f t="shared" si="128"/>
        <v>2.4141304859351426E-2</v>
      </c>
      <c r="R192" s="3">
        <f t="shared" si="128"/>
        <v>2.414130485935093E-2</v>
      </c>
      <c r="S192" s="3">
        <f t="shared" si="128"/>
        <v>2.4141304859345996E-2</v>
      </c>
      <c r="T192" s="3">
        <f t="shared" si="128"/>
        <v>2.4141304859296671E-2</v>
      </c>
      <c r="U192" s="3">
        <f t="shared" si="128"/>
        <v>2.414130485880343E-2</v>
      </c>
      <c r="V192" s="3">
        <f t="shared" si="128"/>
        <v>2.4141304853871018E-2</v>
      </c>
      <c r="W192" s="3">
        <f t="shared" si="128"/>
        <v>2.4141304804546883E-2</v>
      </c>
      <c r="X192" s="3">
        <f t="shared" si="128"/>
        <v>2.4141304311305508E-2</v>
      </c>
      <c r="Y192" s="3">
        <f t="shared" si="128"/>
        <v>2.4141299378892325E-2</v>
      </c>
      <c r="Z192" s="3">
        <f t="shared" si="128"/>
        <v>2.4141250054815912E-2</v>
      </c>
      <c r="AA192" s="3">
        <f t="shared" si="128"/>
        <v>2.4140756819594478E-2</v>
      </c>
      <c r="AB192" s="3">
        <f t="shared" si="128"/>
        <v>2.4135825021603021E-2</v>
      </c>
      <c r="AC192" s="3">
        <f t="shared" si="128"/>
        <v>2.4086562422105755E-2</v>
      </c>
      <c r="AD192" s="3">
        <f t="shared" si="128"/>
        <v>2.3599432831137138E-2</v>
      </c>
      <c r="AE192" s="3">
        <f t="shared" si="128"/>
        <v>1.9238401878327593E-2</v>
      </c>
      <c r="AF192" s="3">
        <f t="shared" si="128"/>
        <v>2.4936945878527884E-3</v>
      </c>
      <c r="AG192" s="3"/>
      <c r="AH192" s="3"/>
    </row>
    <row r="193" spans="1:34" x14ac:dyDescent="0.25">
      <c r="B193" s="3">
        <f t="shared" ref="B193:AF193" si="129">$C40*EXP(-B$168/$A40/EXP(-$C$126))</f>
        <v>1.2214190227025473E-2</v>
      </c>
      <c r="C193" s="3">
        <f t="shared" si="129"/>
        <v>1.2214190227025473E-2</v>
      </c>
      <c r="D193" s="3">
        <f t="shared" si="129"/>
        <v>1.2214190227025473E-2</v>
      </c>
      <c r="E193" s="3">
        <f t="shared" si="129"/>
        <v>1.2214190227025473E-2</v>
      </c>
      <c r="F193" s="3">
        <f t="shared" si="129"/>
        <v>1.2214190227025473E-2</v>
      </c>
      <c r="G193" s="3">
        <f t="shared" si="129"/>
        <v>1.2214190227025473E-2</v>
      </c>
      <c r="H193" s="3">
        <f t="shared" si="129"/>
        <v>1.2214190227025473E-2</v>
      </c>
      <c r="I193" s="3">
        <f t="shared" si="129"/>
        <v>1.2214190227025473E-2</v>
      </c>
      <c r="J193" s="3">
        <f t="shared" si="129"/>
        <v>1.2214190227025473E-2</v>
      </c>
      <c r="K193" s="3">
        <f t="shared" si="129"/>
        <v>1.2214190227025473E-2</v>
      </c>
      <c r="L193" s="3">
        <f t="shared" si="129"/>
        <v>1.2214190227025473E-2</v>
      </c>
      <c r="M193" s="3">
        <f t="shared" si="129"/>
        <v>1.2214190227025473E-2</v>
      </c>
      <c r="N193" s="3">
        <f t="shared" si="129"/>
        <v>1.2214190227025473E-2</v>
      </c>
      <c r="O193" s="3">
        <f t="shared" si="129"/>
        <v>1.2214190227025473E-2</v>
      </c>
      <c r="P193" s="3">
        <f t="shared" si="129"/>
        <v>1.2214190227025473E-2</v>
      </c>
      <c r="Q193" s="3">
        <f t="shared" si="129"/>
        <v>1.2214190227025469E-2</v>
      </c>
      <c r="R193" s="3">
        <f t="shared" si="129"/>
        <v>1.2214190227025445E-2</v>
      </c>
      <c r="S193" s="3">
        <f t="shared" si="129"/>
        <v>1.2214190227025197E-2</v>
      </c>
      <c r="T193" s="3">
        <f t="shared" si="129"/>
        <v>1.2214190227022699E-2</v>
      </c>
      <c r="U193" s="3">
        <f t="shared" si="129"/>
        <v>1.2214190226997745E-2</v>
      </c>
      <c r="V193" s="3">
        <f t="shared" si="129"/>
        <v>1.2214190226748191E-2</v>
      </c>
      <c r="W193" s="3">
        <f t="shared" si="129"/>
        <v>1.2214190224252658E-2</v>
      </c>
      <c r="X193" s="3">
        <f t="shared" si="129"/>
        <v>1.2214190199297321E-2</v>
      </c>
      <c r="Y193" s="3">
        <f t="shared" si="129"/>
        <v>1.221418994974395E-2</v>
      </c>
      <c r="Z193" s="3">
        <f t="shared" si="129"/>
        <v>1.2214187454210539E-2</v>
      </c>
      <c r="AA193" s="3">
        <f t="shared" si="129"/>
        <v>1.2214162498904455E-2</v>
      </c>
      <c r="AB193" s="3">
        <f t="shared" si="129"/>
        <v>1.2213912948647897E-2</v>
      </c>
      <c r="AC193" s="3">
        <f t="shared" si="129"/>
        <v>1.2211417726489034E-2</v>
      </c>
      <c r="AD193" s="3">
        <f t="shared" si="129"/>
        <v>1.2186493524386334E-2</v>
      </c>
      <c r="AE193" s="3">
        <f t="shared" si="129"/>
        <v>1.1940032385522126E-2</v>
      </c>
      <c r="AF193" s="3">
        <f t="shared" si="129"/>
        <v>9.7335873754493419E-3</v>
      </c>
      <c r="AG193" s="3"/>
      <c r="AH193" s="3"/>
    </row>
    <row r="194" spans="1:34" x14ac:dyDescent="0.25">
      <c r="B194" s="3">
        <f t="shared" ref="B194:AF194" si="130">$C41*EXP(-B$168/$A41/EXP(-$C$126))</f>
        <v>8.0564872453676788E-4</v>
      </c>
      <c r="C194" s="3">
        <f t="shared" si="130"/>
        <v>8.0564872453676788E-4</v>
      </c>
      <c r="D194" s="3">
        <f t="shared" si="130"/>
        <v>8.0564872453676788E-4</v>
      </c>
      <c r="E194" s="3">
        <f t="shared" si="130"/>
        <v>8.0564872453676788E-4</v>
      </c>
      <c r="F194" s="3">
        <f t="shared" si="130"/>
        <v>8.0564872453676788E-4</v>
      </c>
      <c r="G194" s="3">
        <f t="shared" si="130"/>
        <v>8.0564872453676788E-4</v>
      </c>
      <c r="H194" s="3">
        <f t="shared" si="130"/>
        <v>8.0564872453676788E-4</v>
      </c>
      <c r="I194" s="3">
        <f t="shared" si="130"/>
        <v>8.0564872453676788E-4</v>
      </c>
      <c r="J194" s="3">
        <f t="shared" si="130"/>
        <v>8.0564872453676788E-4</v>
      </c>
      <c r="K194" s="3">
        <f t="shared" si="130"/>
        <v>8.0564872453676788E-4</v>
      </c>
      <c r="L194" s="3">
        <f t="shared" si="130"/>
        <v>8.0564872453676788E-4</v>
      </c>
      <c r="M194" s="3">
        <f t="shared" si="130"/>
        <v>8.0564872453676788E-4</v>
      </c>
      <c r="N194" s="3">
        <f t="shared" si="130"/>
        <v>8.0564872453676788E-4</v>
      </c>
      <c r="O194" s="3">
        <f t="shared" si="130"/>
        <v>8.0564872453676788E-4</v>
      </c>
      <c r="P194" s="3">
        <f t="shared" si="130"/>
        <v>8.0564872453676788E-4</v>
      </c>
      <c r="Q194" s="3">
        <f t="shared" si="130"/>
        <v>8.0564872453676788E-4</v>
      </c>
      <c r="R194" s="3">
        <f t="shared" si="130"/>
        <v>8.0564872453676767E-4</v>
      </c>
      <c r="S194" s="3">
        <f t="shared" si="130"/>
        <v>8.0564872453676615E-4</v>
      </c>
      <c r="T194" s="3">
        <f t="shared" si="130"/>
        <v>8.0564872453674967E-4</v>
      </c>
      <c r="U194" s="3">
        <f t="shared" si="130"/>
        <v>8.0564872453658498E-4</v>
      </c>
      <c r="V194" s="3">
        <f t="shared" si="130"/>
        <v>8.0564872453493894E-4</v>
      </c>
      <c r="W194" s="3">
        <f t="shared" si="130"/>
        <v>8.0564872451847837E-4</v>
      </c>
      <c r="X194" s="3">
        <f t="shared" si="130"/>
        <v>8.0564872435387284E-4</v>
      </c>
      <c r="Y194" s="3">
        <f t="shared" si="130"/>
        <v>8.0564872270781727E-4</v>
      </c>
      <c r="Z194" s="3">
        <f t="shared" si="130"/>
        <v>8.0564870624726202E-4</v>
      </c>
      <c r="AA194" s="3">
        <f t="shared" si="130"/>
        <v>8.0564854164172752E-4</v>
      </c>
      <c r="AB194" s="3">
        <f t="shared" si="130"/>
        <v>8.0564689558823197E-4</v>
      </c>
      <c r="AC194" s="3">
        <f t="shared" si="130"/>
        <v>8.0563043523824843E-4</v>
      </c>
      <c r="AD194" s="3">
        <f t="shared" si="130"/>
        <v>8.054658502340559E-4</v>
      </c>
      <c r="AE194" s="3">
        <f t="shared" si="130"/>
        <v>8.0382184835911313E-4</v>
      </c>
      <c r="AF194" s="3">
        <f t="shared" si="130"/>
        <v>7.8756525676497815E-4</v>
      </c>
      <c r="AG194" s="3"/>
      <c r="AH194" s="3"/>
    </row>
    <row r="195" spans="1:34" x14ac:dyDescent="0.25">
      <c r="B195" s="3">
        <f t="shared" ref="B195:AF195" si="131">$C42*EXP(-B$168/$A42/EXP(-$C$126))</f>
        <v>2.8733708973087426E-3</v>
      </c>
      <c r="C195" s="3">
        <f t="shared" si="131"/>
        <v>2.8733708973087426E-3</v>
      </c>
      <c r="D195" s="3">
        <f t="shared" si="131"/>
        <v>2.8733708973087426E-3</v>
      </c>
      <c r="E195" s="3">
        <f t="shared" si="131"/>
        <v>2.8733708973087426E-3</v>
      </c>
      <c r="F195" s="3">
        <f t="shared" si="131"/>
        <v>2.8733708973087426E-3</v>
      </c>
      <c r="G195" s="3">
        <f t="shared" si="131"/>
        <v>2.8733708973087426E-3</v>
      </c>
      <c r="H195" s="3">
        <f t="shared" si="131"/>
        <v>2.8733708973087426E-3</v>
      </c>
      <c r="I195" s="3">
        <f t="shared" si="131"/>
        <v>2.8733708973087426E-3</v>
      </c>
      <c r="J195" s="3">
        <f t="shared" si="131"/>
        <v>2.8733708973087426E-3</v>
      </c>
      <c r="K195" s="3">
        <f t="shared" si="131"/>
        <v>2.8733708973087426E-3</v>
      </c>
      <c r="L195" s="3">
        <f t="shared" si="131"/>
        <v>2.8733708973087426E-3</v>
      </c>
      <c r="M195" s="3">
        <f t="shared" si="131"/>
        <v>2.8733708973087426E-3</v>
      </c>
      <c r="N195" s="3">
        <f t="shared" si="131"/>
        <v>2.8733708973087426E-3</v>
      </c>
      <c r="O195" s="3">
        <f t="shared" si="131"/>
        <v>2.8733708973087426E-3</v>
      </c>
      <c r="P195" s="3">
        <f t="shared" si="131"/>
        <v>2.8733708973087426E-3</v>
      </c>
      <c r="Q195" s="3">
        <f t="shared" si="131"/>
        <v>2.8733708973087426E-3</v>
      </c>
      <c r="R195" s="3">
        <f t="shared" si="131"/>
        <v>2.8733708973087426E-3</v>
      </c>
      <c r="S195" s="3">
        <f t="shared" si="131"/>
        <v>2.8733708973087422E-3</v>
      </c>
      <c r="T195" s="3">
        <f t="shared" si="131"/>
        <v>2.8733708973087361E-3</v>
      </c>
      <c r="U195" s="3">
        <f t="shared" si="131"/>
        <v>2.8733708973086775E-3</v>
      </c>
      <c r="V195" s="3">
        <f t="shared" si="131"/>
        <v>2.8733708973080903E-3</v>
      </c>
      <c r="W195" s="3">
        <f t="shared" si="131"/>
        <v>2.8733708973022196E-3</v>
      </c>
      <c r="X195" s="3">
        <f t="shared" si="131"/>
        <v>2.8733708972435122E-3</v>
      </c>
      <c r="Y195" s="3">
        <f t="shared" si="131"/>
        <v>2.8733708966564419E-3</v>
      </c>
      <c r="Z195" s="3">
        <f t="shared" si="131"/>
        <v>2.8733708907857343E-3</v>
      </c>
      <c r="AA195" s="3">
        <f t="shared" si="131"/>
        <v>2.8733708320786587E-3</v>
      </c>
      <c r="AB195" s="3">
        <f t="shared" si="131"/>
        <v>2.8733702450079689E-3</v>
      </c>
      <c r="AC195" s="3">
        <f t="shared" si="131"/>
        <v>2.8733643743076684E-3</v>
      </c>
      <c r="AD195" s="3">
        <f t="shared" si="131"/>
        <v>2.8733056679643675E-3</v>
      </c>
      <c r="AE195" s="3">
        <f t="shared" si="131"/>
        <v>2.8727186704966411E-3</v>
      </c>
      <c r="AF195" s="3">
        <f t="shared" si="131"/>
        <v>2.8668552873636292E-3</v>
      </c>
      <c r="AG195" s="3"/>
      <c r="AH195" s="3"/>
    </row>
    <row r="196" spans="1:34" x14ac:dyDescent="0.25">
      <c r="B196" s="3">
        <f t="shared" ref="B196:AF196" si="132">$C43*EXP(-B$168/$A43/EXP(-$C$126))</f>
        <v>0</v>
      </c>
      <c r="C196" s="3">
        <f t="shared" si="132"/>
        <v>0</v>
      </c>
      <c r="D196" s="3">
        <f t="shared" si="132"/>
        <v>0</v>
      </c>
      <c r="E196" s="3">
        <f t="shared" si="132"/>
        <v>0</v>
      </c>
      <c r="F196" s="3">
        <f t="shared" si="132"/>
        <v>0</v>
      </c>
      <c r="G196" s="3">
        <f t="shared" si="132"/>
        <v>0</v>
      </c>
      <c r="H196" s="3">
        <f t="shared" si="132"/>
        <v>0</v>
      </c>
      <c r="I196" s="3">
        <f t="shared" si="132"/>
        <v>0</v>
      </c>
      <c r="J196" s="3">
        <f t="shared" si="132"/>
        <v>0</v>
      </c>
      <c r="K196" s="3">
        <f t="shared" si="132"/>
        <v>0</v>
      </c>
      <c r="L196" s="3">
        <f t="shared" si="132"/>
        <v>0</v>
      </c>
      <c r="M196" s="3">
        <f t="shared" si="132"/>
        <v>0</v>
      </c>
      <c r="N196" s="3">
        <f t="shared" si="132"/>
        <v>0</v>
      </c>
      <c r="O196" s="3">
        <f t="shared" si="132"/>
        <v>0</v>
      </c>
      <c r="P196" s="3">
        <f t="shared" si="132"/>
        <v>0</v>
      </c>
      <c r="Q196" s="3">
        <f t="shared" si="132"/>
        <v>0</v>
      </c>
      <c r="R196" s="3">
        <f t="shared" si="132"/>
        <v>0</v>
      </c>
      <c r="S196" s="3">
        <f t="shared" si="132"/>
        <v>0</v>
      </c>
      <c r="T196" s="3">
        <f t="shared" si="132"/>
        <v>0</v>
      </c>
      <c r="U196" s="3">
        <f t="shared" si="132"/>
        <v>0</v>
      </c>
      <c r="V196" s="3">
        <f t="shared" si="132"/>
        <v>0</v>
      </c>
      <c r="W196" s="3">
        <f t="shared" si="132"/>
        <v>0</v>
      </c>
      <c r="X196" s="3">
        <f t="shared" si="132"/>
        <v>0</v>
      </c>
      <c r="Y196" s="3">
        <f t="shared" si="132"/>
        <v>0</v>
      </c>
      <c r="Z196" s="3">
        <f t="shared" si="132"/>
        <v>0</v>
      </c>
      <c r="AA196" s="3">
        <f t="shared" si="132"/>
        <v>0</v>
      </c>
      <c r="AB196" s="3">
        <f t="shared" si="132"/>
        <v>0</v>
      </c>
      <c r="AC196" s="3">
        <f t="shared" si="132"/>
        <v>0</v>
      </c>
      <c r="AD196" s="3">
        <f t="shared" si="132"/>
        <v>0</v>
      </c>
      <c r="AE196" s="3">
        <f t="shared" si="132"/>
        <v>0</v>
      </c>
      <c r="AF196" s="3">
        <f t="shared" si="132"/>
        <v>0</v>
      </c>
      <c r="AG196" s="3"/>
      <c r="AH196" s="3"/>
    </row>
    <row r="197" spans="1:34" x14ac:dyDescent="0.25">
      <c r="B197" s="3">
        <f t="shared" ref="B197:AF197" si="133">$C44*EXP(-B$168/$A44/EXP(-$C$126))</f>
        <v>1.6248048079890072E-4</v>
      </c>
      <c r="C197" s="3">
        <f t="shared" si="133"/>
        <v>1.6248048079890072E-4</v>
      </c>
      <c r="D197" s="3">
        <f t="shared" si="133"/>
        <v>1.6248048079890072E-4</v>
      </c>
      <c r="E197" s="3">
        <f t="shared" si="133"/>
        <v>1.6248048079890072E-4</v>
      </c>
      <c r="F197" s="3">
        <f t="shared" si="133"/>
        <v>1.6248048079890072E-4</v>
      </c>
      <c r="G197" s="3">
        <f t="shared" si="133"/>
        <v>1.6248048079890072E-4</v>
      </c>
      <c r="H197" s="3">
        <f t="shared" si="133"/>
        <v>1.6248048079890072E-4</v>
      </c>
      <c r="I197" s="3">
        <f t="shared" si="133"/>
        <v>1.6248048079890072E-4</v>
      </c>
      <c r="J197" s="3">
        <f t="shared" si="133"/>
        <v>1.6248048079890072E-4</v>
      </c>
      <c r="K197" s="3">
        <f t="shared" si="133"/>
        <v>1.6248048079890072E-4</v>
      </c>
      <c r="L197" s="3">
        <f t="shared" si="133"/>
        <v>1.6248048079890072E-4</v>
      </c>
      <c r="M197" s="3">
        <f t="shared" si="133"/>
        <v>1.6248048079890072E-4</v>
      </c>
      <c r="N197" s="3">
        <f t="shared" si="133"/>
        <v>1.6248048079890072E-4</v>
      </c>
      <c r="O197" s="3">
        <f t="shared" si="133"/>
        <v>1.6248048079890072E-4</v>
      </c>
      <c r="P197" s="3">
        <f t="shared" si="133"/>
        <v>1.6248048079890072E-4</v>
      </c>
      <c r="Q197" s="3">
        <f t="shared" si="133"/>
        <v>1.6248048079890072E-4</v>
      </c>
      <c r="R197" s="3">
        <f t="shared" si="133"/>
        <v>1.6248048079890072E-4</v>
      </c>
      <c r="S197" s="3">
        <f t="shared" si="133"/>
        <v>1.6248048079890072E-4</v>
      </c>
      <c r="T197" s="3">
        <f t="shared" si="133"/>
        <v>1.6248048079890072E-4</v>
      </c>
      <c r="U197" s="3">
        <f t="shared" si="133"/>
        <v>1.624804807989007E-4</v>
      </c>
      <c r="V197" s="3">
        <f t="shared" si="133"/>
        <v>1.6248048079890037E-4</v>
      </c>
      <c r="W197" s="3">
        <f t="shared" si="133"/>
        <v>1.6248048079889704E-4</v>
      </c>
      <c r="X197" s="3">
        <f t="shared" si="133"/>
        <v>1.6248048079886383E-4</v>
      </c>
      <c r="Y197" s="3">
        <f t="shared" si="133"/>
        <v>1.6248048079853185E-4</v>
      </c>
      <c r="Z197" s="3">
        <f t="shared" si="133"/>
        <v>1.6248048079521216E-4</v>
      </c>
      <c r="AA197" s="3">
        <f t="shared" si="133"/>
        <v>1.6248048076201508E-4</v>
      </c>
      <c r="AB197" s="3">
        <f t="shared" si="133"/>
        <v>1.6248048043004422E-4</v>
      </c>
      <c r="AC197" s="3">
        <f t="shared" si="133"/>
        <v>1.624804771103357E-4</v>
      </c>
      <c r="AD197" s="3">
        <f t="shared" si="133"/>
        <v>1.6248044391325417E-4</v>
      </c>
      <c r="AE197" s="3">
        <f t="shared" si="133"/>
        <v>1.6248011194281193E-4</v>
      </c>
      <c r="AF197" s="3">
        <f t="shared" si="133"/>
        <v>1.6247679227569399E-4</v>
      </c>
      <c r="AG197" s="3"/>
      <c r="AH197" s="3"/>
    </row>
    <row r="198" spans="1:34" x14ac:dyDescent="0.25">
      <c r="B198" s="3">
        <f t="shared" ref="B198:AF198" si="134">$C45*EXP(-B$168/$A45/EXP(-$C$126))</f>
        <v>1.2901117231804357E-4</v>
      </c>
      <c r="C198" s="3">
        <f t="shared" si="134"/>
        <v>1.2901117231804357E-4</v>
      </c>
      <c r="D198" s="3">
        <f t="shared" si="134"/>
        <v>1.2901117231804357E-4</v>
      </c>
      <c r="E198" s="3">
        <f t="shared" si="134"/>
        <v>1.2901117231804357E-4</v>
      </c>
      <c r="F198" s="3">
        <f t="shared" si="134"/>
        <v>1.2901117231804357E-4</v>
      </c>
      <c r="G198" s="3">
        <f t="shared" si="134"/>
        <v>1.2901117231804357E-4</v>
      </c>
      <c r="H198" s="3">
        <f t="shared" si="134"/>
        <v>1.2901117231804357E-4</v>
      </c>
      <c r="I198" s="3">
        <f t="shared" si="134"/>
        <v>1.2901117231804357E-4</v>
      </c>
      <c r="J198" s="3">
        <f t="shared" si="134"/>
        <v>1.2901117231804357E-4</v>
      </c>
      <c r="K198" s="3">
        <f t="shared" si="134"/>
        <v>1.2901117231804357E-4</v>
      </c>
      <c r="L198" s="3">
        <f t="shared" si="134"/>
        <v>1.2901117231804357E-4</v>
      </c>
      <c r="M198" s="3">
        <f t="shared" si="134"/>
        <v>1.2901117231804357E-4</v>
      </c>
      <c r="N198" s="3">
        <f t="shared" si="134"/>
        <v>1.2901117231804357E-4</v>
      </c>
      <c r="O198" s="3">
        <f t="shared" si="134"/>
        <v>1.2901117231804357E-4</v>
      </c>
      <c r="P198" s="3">
        <f t="shared" si="134"/>
        <v>1.2901117231804357E-4</v>
      </c>
      <c r="Q198" s="3">
        <f t="shared" si="134"/>
        <v>1.2901117231804357E-4</v>
      </c>
      <c r="R198" s="3">
        <f t="shared" si="134"/>
        <v>1.2901117231804357E-4</v>
      </c>
      <c r="S198" s="3">
        <f t="shared" si="134"/>
        <v>1.2901117231804357E-4</v>
      </c>
      <c r="T198" s="3">
        <f t="shared" si="134"/>
        <v>1.2901117231804357E-4</v>
      </c>
      <c r="U198" s="3">
        <f t="shared" si="134"/>
        <v>1.2901117231804357E-4</v>
      </c>
      <c r="V198" s="3">
        <f t="shared" si="134"/>
        <v>1.2901117231804354E-4</v>
      </c>
      <c r="W198" s="3">
        <f t="shared" si="134"/>
        <v>1.2901117231804327E-4</v>
      </c>
      <c r="X198" s="3">
        <f t="shared" si="134"/>
        <v>1.2901117231804064E-4</v>
      </c>
      <c r="Y198" s="3">
        <f t="shared" si="134"/>
        <v>1.2901117231801427E-4</v>
      </c>
      <c r="Z198" s="3">
        <f t="shared" si="134"/>
        <v>1.290111723177507E-4</v>
      </c>
      <c r="AA198" s="3">
        <f t="shared" si="134"/>
        <v>1.2901117231511482E-4</v>
      </c>
      <c r="AB198" s="3">
        <f t="shared" si="134"/>
        <v>1.2901117228875599E-4</v>
      </c>
      <c r="AC198" s="3">
        <f t="shared" si="134"/>
        <v>1.2901117202516771E-4</v>
      </c>
      <c r="AD198" s="3">
        <f t="shared" si="134"/>
        <v>1.2901116938928502E-4</v>
      </c>
      <c r="AE198" s="3">
        <f t="shared" si="134"/>
        <v>1.2901114303046096E-4</v>
      </c>
      <c r="AF198" s="3">
        <f t="shared" si="134"/>
        <v>1.2901087944251663E-4</v>
      </c>
      <c r="AG198" s="3"/>
      <c r="AH198" s="3"/>
    </row>
    <row r="199" spans="1:34" x14ac:dyDescent="0.25">
      <c r="B199" s="3">
        <f t="shared" ref="B199:AF199" si="135">$C46*EXP(-B$168/$A46/EXP(-$C$126))</f>
        <v>0</v>
      </c>
      <c r="C199" s="3">
        <f t="shared" si="135"/>
        <v>0</v>
      </c>
      <c r="D199" s="3">
        <f t="shared" si="135"/>
        <v>0</v>
      </c>
      <c r="E199" s="3">
        <f t="shared" si="135"/>
        <v>0</v>
      </c>
      <c r="F199" s="3">
        <f t="shared" si="135"/>
        <v>0</v>
      </c>
      <c r="G199" s="3">
        <f t="shared" si="135"/>
        <v>0</v>
      </c>
      <c r="H199" s="3">
        <f t="shared" si="135"/>
        <v>0</v>
      </c>
      <c r="I199" s="3">
        <f t="shared" si="135"/>
        <v>0</v>
      </c>
      <c r="J199" s="3">
        <f t="shared" si="135"/>
        <v>0</v>
      </c>
      <c r="K199" s="3">
        <f t="shared" si="135"/>
        <v>0</v>
      </c>
      <c r="L199" s="3">
        <f t="shared" si="135"/>
        <v>0</v>
      </c>
      <c r="M199" s="3">
        <f t="shared" si="135"/>
        <v>0</v>
      </c>
      <c r="N199" s="3">
        <f t="shared" si="135"/>
        <v>0</v>
      </c>
      <c r="O199" s="3">
        <f t="shared" si="135"/>
        <v>0</v>
      </c>
      <c r="P199" s="3">
        <f t="shared" si="135"/>
        <v>0</v>
      </c>
      <c r="Q199" s="3">
        <f t="shared" si="135"/>
        <v>0</v>
      </c>
      <c r="R199" s="3">
        <f t="shared" si="135"/>
        <v>0</v>
      </c>
      <c r="S199" s="3">
        <f t="shared" si="135"/>
        <v>0</v>
      </c>
      <c r="T199" s="3">
        <f t="shared" si="135"/>
        <v>0</v>
      </c>
      <c r="U199" s="3">
        <f t="shared" si="135"/>
        <v>0</v>
      </c>
      <c r="V199" s="3">
        <f t="shared" si="135"/>
        <v>0</v>
      </c>
      <c r="W199" s="3">
        <f t="shared" si="135"/>
        <v>0</v>
      </c>
      <c r="X199" s="3">
        <f t="shared" si="135"/>
        <v>0</v>
      </c>
      <c r="Y199" s="3">
        <f t="shared" si="135"/>
        <v>0</v>
      </c>
      <c r="Z199" s="3">
        <f t="shared" si="135"/>
        <v>0</v>
      </c>
      <c r="AA199" s="3">
        <f t="shared" si="135"/>
        <v>0</v>
      </c>
      <c r="AB199" s="3">
        <f t="shared" si="135"/>
        <v>0</v>
      </c>
      <c r="AC199" s="3">
        <f t="shared" si="135"/>
        <v>0</v>
      </c>
      <c r="AD199" s="3">
        <f t="shared" si="135"/>
        <v>0</v>
      </c>
      <c r="AE199" s="3">
        <f t="shared" si="135"/>
        <v>0</v>
      </c>
      <c r="AF199" s="3">
        <f t="shared" si="135"/>
        <v>0</v>
      </c>
      <c r="AG199" s="3"/>
      <c r="AH199" s="3"/>
    </row>
    <row r="200" spans="1:34" x14ac:dyDescent="0.25">
      <c r="B200" s="3">
        <f t="shared" ref="B200:AF200" si="136">$C47*EXP(-B$168/$A47/EXP(-$C$126))</f>
        <v>7.3508598139721321E-5</v>
      </c>
      <c r="C200" s="3">
        <f t="shared" si="136"/>
        <v>7.3508598139721321E-5</v>
      </c>
      <c r="D200" s="3">
        <f t="shared" si="136"/>
        <v>7.3508598139721321E-5</v>
      </c>
      <c r="E200" s="3">
        <f t="shared" si="136"/>
        <v>7.3508598139721321E-5</v>
      </c>
      <c r="F200" s="3">
        <f t="shared" si="136"/>
        <v>7.3508598139721321E-5</v>
      </c>
      <c r="G200" s="3">
        <f t="shared" si="136"/>
        <v>7.3508598139721321E-5</v>
      </c>
      <c r="H200" s="3">
        <f t="shared" si="136"/>
        <v>7.3508598139721321E-5</v>
      </c>
      <c r="I200" s="3">
        <f t="shared" si="136"/>
        <v>7.3508598139721321E-5</v>
      </c>
      <c r="J200" s="3">
        <f t="shared" si="136"/>
        <v>7.3508598139721321E-5</v>
      </c>
      <c r="K200" s="3">
        <f t="shared" si="136"/>
        <v>7.3508598139721321E-5</v>
      </c>
      <c r="L200" s="3">
        <f t="shared" si="136"/>
        <v>7.3508598139721321E-5</v>
      </c>
      <c r="M200" s="3">
        <f t="shared" si="136"/>
        <v>7.3508598139721321E-5</v>
      </c>
      <c r="N200" s="3">
        <f t="shared" si="136"/>
        <v>7.3508598139721321E-5</v>
      </c>
      <c r="O200" s="3">
        <f t="shared" si="136"/>
        <v>7.3508598139721321E-5</v>
      </c>
      <c r="P200" s="3">
        <f t="shared" si="136"/>
        <v>7.3508598139721321E-5</v>
      </c>
      <c r="Q200" s="3">
        <f t="shared" si="136"/>
        <v>7.3508598139721321E-5</v>
      </c>
      <c r="R200" s="3">
        <f t="shared" si="136"/>
        <v>7.3508598139721321E-5</v>
      </c>
      <c r="S200" s="3">
        <f t="shared" si="136"/>
        <v>7.3508598139721321E-5</v>
      </c>
      <c r="T200" s="3">
        <f t="shared" si="136"/>
        <v>7.3508598139721321E-5</v>
      </c>
      <c r="U200" s="3">
        <f t="shared" si="136"/>
        <v>7.3508598139721321E-5</v>
      </c>
      <c r="V200" s="3">
        <f t="shared" si="136"/>
        <v>7.3508598139721321E-5</v>
      </c>
      <c r="W200" s="3">
        <f t="shared" si="136"/>
        <v>7.3508598139721321E-5</v>
      </c>
      <c r="X200" s="3">
        <f t="shared" si="136"/>
        <v>7.3508598139721308E-5</v>
      </c>
      <c r="Y200" s="3">
        <f t="shared" si="136"/>
        <v>7.3508598139721158E-5</v>
      </c>
      <c r="Z200" s="3">
        <f t="shared" si="136"/>
        <v>7.3508598139719654E-5</v>
      </c>
      <c r="AA200" s="3">
        <f t="shared" si="136"/>
        <v>7.3508598139704638E-5</v>
      </c>
      <c r="AB200" s="3">
        <f t="shared" si="136"/>
        <v>7.3508598139554449E-5</v>
      </c>
      <c r="AC200" s="3">
        <f t="shared" si="136"/>
        <v>7.3508598138052558E-5</v>
      </c>
      <c r="AD200" s="3">
        <f t="shared" si="136"/>
        <v>7.3508598123033701E-5</v>
      </c>
      <c r="AE200" s="3">
        <f t="shared" si="136"/>
        <v>7.3508597972845124E-5</v>
      </c>
      <c r="AF200" s="3">
        <f t="shared" si="136"/>
        <v>7.3508596470959364E-5</v>
      </c>
      <c r="AG200" s="3"/>
      <c r="AH200" s="3"/>
    </row>
    <row r="201" spans="1:34" x14ac:dyDescent="0.25">
      <c r="B201" s="3">
        <f t="shared" ref="B201:AF201" si="137">$C48*EXP(-B$168/$A48/EXP(-$C$126))</f>
        <v>6.9573660063357843E-4</v>
      </c>
      <c r="C201" s="3">
        <f t="shared" si="137"/>
        <v>6.9573660063357843E-4</v>
      </c>
      <c r="D201" s="3">
        <f t="shared" si="137"/>
        <v>6.9573660063357843E-4</v>
      </c>
      <c r="E201" s="3">
        <f t="shared" si="137"/>
        <v>6.9573660063357843E-4</v>
      </c>
      <c r="F201" s="3">
        <f t="shared" si="137"/>
        <v>6.9573660063357843E-4</v>
      </c>
      <c r="G201" s="3">
        <f t="shared" si="137"/>
        <v>6.9573660063357843E-4</v>
      </c>
      <c r="H201" s="3">
        <f t="shared" si="137"/>
        <v>6.9573660063357843E-4</v>
      </c>
      <c r="I201" s="3">
        <f t="shared" si="137"/>
        <v>6.9573660063357843E-4</v>
      </c>
      <c r="J201" s="3">
        <f t="shared" si="137"/>
        <v>6.9573660063357843E-4</v>
      </c>
      <c r="K201" s="3">
        <f t="shared" si="137"/>
        <v>6.9573660063357843E-4</v>
      </c>
      <c r="L201" s="3">
        <f t="shared" si="137"/>
        <v>6.9573660063357843E-4</v>
      </c>
      <c r="M201" s="3">
        <f t="shared" si="137"/>
        <v>6.9573660063357843E-4</v>
      </c>
      <c r="N201" s="3">
        <f t="shared" si="137"/>
        <v>6.9573660063357843E-4</v>
      </c>
      <c r="O201" s="3">
        <f t="shared" si="137"/>
        <v>6.9573660063357843E-4</v>
      </c>
      <c r="P201" s="3">
        <f t="shared" si="137"/>
        <v>6.9573660063357843E-4</v>
      </c>
      <c r="Q201" s="3">
        <f t="shared" si="137"/>
        <v>6.9573660063357843E-4</v>
      </c>
      <c r="R201" s="3">
        <f t="shared" si="137"/>
        <v>6.9573660063357843E-4</v>
      </c>
      <c r="S201" s="3">
        <f t="shared" si="137"/>
        <v>6.9573660063357843E-4</v>
      </c>
      <c r="T201" s="3">
        <f t="shared" si="137"/>
        <v>6.9573660063357843E-4</v>
      </c>
      <c r="U201" s="3">
        <f t="shared" si="137"/>
        <v>6.9573660063357843E-4</v>
      </c>
      <c r="V201" s="3">
        <f t="shared" si="137"/>
        <v>6.9573660063357843E-4</v>
      </c>
      <c r="W201" s="3">
        <f t="shared" si="137"/>
        <v>6.9573660063357843E-4</v>
      </c>
      <c r="X201" s="3">
        <f t="shared" si="137"/>
        <v>6.9573660063357843E-4</v>
      </c>
      <c r="Y201" s="3">
        <f t="shared" si="137"/>
        <v>6.9573660063357832E-4</v>
      </c>
      <c r="Z201" s="3">
        <f t="shared" si="137"/>
        <v>6.9573660063357691E-4</v>
      </c>
      <c r="AA201" s="3">
        <f t="shared" si="137"/>
        <v>6.9573660063356271E-4</v>
      </c>
      <c r="AB201" s="3">
        <f t="shared" si="137"/>
        <v>6.9573660063342046E-4</v>
      </c>
      <c r="AC201" s="3">
        <f t="shared" si="137"/>
        <v>6.9573660063199897E-4</v>
      </c>
      <c r="AD201" s="3">
        <f t="shared" si="137"/>
        <v>6.957366006177841E-4</v>
      </c>
      <c r="AE201" s="3">
        <f t="shared" si="137"/>
        <v>6.9573660047563522E-4</v>
      </c>
      <c r="AF201" s="3">
        <f t="shared" si="137"/>
        <v>6.9573659905414588E-4</v>
      </c>
      <c r="AG201" s="3"/>
      <c r="AH201" s="3"/>
    </row>
    <row r="202" spans="1:34" x14ac:dyDescent="0.25">
      <c r="A202" s="79">
        <f>AVERAGE(B202:AF202)</f>
        <v>0.14314250170490952</v>
      </c>
      <c r="B202" s="80">
        <f>IF($A$64&lt;=B168,IF($B$64&gt;=B168,ABS((B170-B169)/B169),0),0)</f>
        <v>5.8119147667712086E-3</v>
      </c>
      <c r="C202" s="80">
        <f t="shared" ref="C202:AF202" si="138">IF($A$64&lt;=C168,IF($B$64&gt;=C168,ABS((C170-C169)/C169),0),0)</f>
        <v>6.0883725377061946E-3</v>
      </c>
      <c r="D202" s="80">
        <f t="shared" si="138"/>
        <v>8.4676100056388214E-3</v>
      </c>
      <c r="E202" s="80">
        <f t="shared" si="138"/>
        <v>1.7622012466322404E-2</v>
      </c>
      <c r="F202" s="80">
        <f t="shared" si="138"/>
        <v>1.8985141415616646E-2</v>
      </c>
      <c r="G202" s="80">
        <f t="shared" si="138"/>
        <v>1.8985017648396944E-2</v>
      </c>
      <c r="H202" s="80">
        <f t="shared" si="138"/>
        <v>1.898498694407769E-2</v>
      </c>
      <c r="I202" s="80">
        <f t="shared" si="138"/>
        <v>1.8984994047926917E-2</v>
      </c>
      <c r="J202" s="80">
        <f t="shared" si="138"/>
        <v>1.8985230423675625E-2</v>
      </c>
      <c r="K202" s="80">
        <f t="shared" si="138"/>
        <v>1.8987577316277978E-2</v>
      </c>
      <c r="L202" s="80">
        <f t="shared" si="138"/>
        <v>1.9011153740215614E-2</v>
      </c>
      <c r="M202" s="80">
        <f t="shared" si="138"/>
        <v>1.9243550901745968E-2</v>
      </c>
      <c r="N202" s="80">
        <f t="shared" si="138"/>
        <v>2.1281748434233916E-2</v>
      </c>
      <c r="O202" s="80">
        <f t="shared" si="138"/>
        <v>3.0923825931349957E-2</v>
      </c>
      <c r="P202" s="80">
        <f t="shared" si="138"/>
        <v>5.1662265173203908E-2</v>
      </c>
      <c r="Q202" s="80">
        <f t="shared" si="138"/>
        <v>6.877345646977305E-2</v>
      </c>
      <c r="R202" s="80">
        <f t="shared" si="138"/>
        <v>7.8591290216453211E-2</v>
      </c>
      <c r="S202" s="80">
        <f t="shared" si="138"/>
        <v>8.9192573015982907E-2</v>
      </c>
      <c r="T202" s="80">
        <f t="shared" si="138"/>
        <v>8.7411145858944661E-2</v>
      </c>
      <c r="U202" s="80">
        <f t="shared" si="138"/>
        <v>5.5144625429262073E-2</v>
      </c>
      <c r="V202" s="80">
        <f t="shared" si="138"/>
        <v>5.122530456867095E-2</v>
      </c>
      <c r="W202" s="80">
        <f t="shared" si="138"/>
        <v>0.17995549894840079</v>
      </c>
      <c r="X202" s="80">
        <f t="shared" si="138"/>
        <v>0.28799295588991264</v>
      </c>
      <c r="Y202" s="80">
        <f t="shared" si="138"/>
        <v>0.35138437508974701</v>
      </c>
      <c r="Z202" s="80">
        <f t="shared" si="138"/>
        <v>0.27962744899866854</v>
      </c>
      <c r="AA202" s="80">
        <f t="shared" si="138"/>
        <v>8.4075141633157116E-2</v>
      </c>
      <c r="AB202" s="80">
        <f t="shared" si="138"/>
        <v>0.15332689956420703</v>
      </c>
      <c r="AC202" s="80">
        <f t="shared" si="138"/>
        <v>0.37706350665698479</v>
      </c>
      <c r="AD202" s="80">
        <f t="shared" si="138"/>
        <v>0.56509079513845228</v>
      </c>
      <c r="AE202" s="80">
        <f t="shared" si="138"/>
        <v>0.67717437255628543</v>
      </c>
      <c r="AF202" s="80">
        <f t="shared" si="138"/>
        <v>0.75736276106413336</v>
      </c>
    </row>
    <row r="203" spans="1:34" x14ac:dyDescent="0.25">
      <c r="B203" s="21">
        <f>(B170-B169)^2</f>
        <v>1836.536717879331</v>
      </c>
      <c r="C203" s="21">
        <f t="shared" ref="C203:AF203" si="139">(C170-C169)^2</f>
        <v>2015.4517544111404</v>
      </c>
      <c r="D203" s="21">
        <f t="shared" si="139"/>
        <v>3898.4056160131818</v>
      </c>
      <c r="E203" s="21">
        <f t="shared" si="139"/>
        <v>16883.99197378787</v>
      </c>
      <c r="F203" s="21">
        <f t="shared" si="139"/>
        <v>19597.084155378467</v>
      </c>
      <c r="G203" s="21">
        <f t="shared" si="139"/>
        <v>19596.823688780794</v>
      </c>
      <c r="H203" s="21">
        <f t="shared" si="139"/>
        <v>19596.758980117851</v>
      </c>
      <c r="I203" s="21">
        <f t="shared" si="139"/>
        <v>19596.77298507858</v>
      </c>
      <c r="J203" s="21">
        <f t="shared" si="139"/>
        <v>19597.260973719702</v>
      </c>
      <c r="K203" s="21">
        <f t="shared" si="139"/>
        <v>19602.105712105898</v>
      </c>
      <c r="L203" s="21">
        <f t="shared" si="139"/>
        <v>19650.813878773148</v>
      </c>
      <c r="M203" s="21">
        <f t="shared" si="139"/>
        <v>20134.168813164331</v>
      </c>
      <c r="N203" s="21">
        <f t="shared" si="139"/>
        <v>24624.916806898837</v>
      </c>
      <c r="O203" s="21">
        <f t="shared" si="139"/>
        <v>51989.481541286819</v>
      </c>
      <c r="P203" s="21">
        <f t="shared" si="139"/>
        <v>144999.76715453892</v>
      </c>
      <c r="Q203" s="21">
        <f t="shared" si="139"/>
        <v>255277.68107643139</v>
      </c>
      <c r="R203" s="21">
        <f t="shared" si="139"/>
        <v>322461.78694564314</v>
      </c>
      <c r="S203" s="21">
        <f t="shared" si="139"/>
        <v>398158.90492015786</v>
      </c>
      <c r="T203" s="21">
        <f t="shared" si="139"/>
        <v>357201.86941857298</v>
      </c>
      <c r="U203" s="21">
        <f t="shared" si="139"/>
        <v>120299.09371759371</v>
      </c>
      <c r="V203" s="21">
        <f t="shared" si="139"/>
        <v>76321.243179559562</v>
      </c>
      <c r="W203" s="21">
        <f t="shared" si="139"/>
        <v>673003.69841397402</v>
      </c>
      <c r="X203" s="21">
        <f t="shared" si="139"/>
        <v>1279392.6794501352</v>
      </c>
      <c r="Y203" s="21">
        <f t="shared" si="139"/>
        <v>1487411.0254126939</v>
      </c>
      <c r="Z203" s="21">
        <f t="shared" si="139"/>
        <v>760717.89492322865</v>
      </c>
      <c r="AA203" s="21">
        <f t="shared" si="139"/>
        <v>56191.168389797378</v>
      </c>
      <c r="AB203" s="21">
        <f t="shared" si="139"/>
        <v>149994.19101030577</v>
      </c>
      <c r="AC203" s="21">
        <f t="shared" si="139"/>
        <v>677335.04647340265</v>
      </c>
      <c r="AD203" s="21">
        <f t="shared" si="139"/>
        <v>1018475.6346566399</v>
      </c>
      <c r="AE203" s="21">
        <f t="shared" si="139"/>
        <v>820584.65502330649</v>
      </c>
      <c r="AF203" s="21">
        <f t="shared" si="139"/>
        <v>428705.14922558784</v>
      </c>
      <c r="AG203" s="3"/>
      <c r="AH203" s="3"/>
    </row>
    <row r="204" spans="1:34" x14ac:dyDescent="0.25">
      <c r="A204" s="71">
        <f>SUM(B204:AF204)</f>
        <v>9285152.062988963</v>
      </c>
      <c r="B204" s="60">
        <f>IF($A$64&lt;=B168,IF($B$64&gt;=B168,ABS(B203),0),0)</f>
        <v>1836.536717879331</v>
      </c>
      <c r="C204" s="60">
        <f t="shared" ref="C204" si="140">IF($A$64&lt;=C168,IF($B$64&gt;=C168,ABS(C203),0),0)</f>
        <v>2015.4517544111404</v>
      </c>
      <c r="D204" s="60">
        <f t="shared" ref="D204" si="141">IF($A$64&lt;=D168,IF($B$64&gt;=D168,ABS(D203),0),0)</f>
        <v>3898.4056160131818</v>
      </c>
      <c r="E204" s="60">
        <f t="shared" ref="E204" si="142">IF($A$64&lt;=E168,IF($B$64&gt;=E168,ABS(E203),0),0)</f>
        <v>16883.99197378787</v>
      </c>
      <c r="F204" s="60">
        <f t="shared" ref="F204" si="143">IF($A$64&lt;=F168,IF($B$64&gt;=F168,ABS(F203),0),0)</f>
        <v>19597.084155378467</v>
      </c>
      <c r="G204" s="60">
        <f t="shared" ref="G204" si="144">IF($A$64&lt;=G168,IF($B$64&gt;=G168,ABS(G203),0),0)</f>
        <v>19596.823688780794</v>
      </c>
      <c r="H204" s="60">
        <f t="shared" ref="H204" si="145">IF($A$64&lt;=H168,IF($B$64&gt;=H168,ABS(H203),0),0)</f>
        <v>19596.758980117851</v>
      </c>
      <c r="I204" s="60">
        <f t="shared" ref="I204" si="146">IF($A$64&lt;=I168,IF($B$64&gt;=I168,ABS(I203),0),0)</f>
        <v>19596.77298507858</v>
      </c>
      <c r="J204" s="60">
        <f t="shared" ref="J204" si="147">IF($A$64&lt;=J168,IF($B$64&gt;=J168,ABS(J203),0),0)</f>
        <v>19597.260973719702</v>
      </c>
      <c r="K204" s="60">
        <f t="shared" ref="K204" si="148">IF($A$64&lt;=K168,IF($B$64&gt;=K168,ABS(K203),0),0)</f>
        <v>19602.105712105898</v>
      </c>
      <c r="L204" s="60">
        <f t="shared" ref="L204" si="149">IF($A$64&lt;=L168,IF($B$64&gt;=L168,ABS(L203),0),0)</f>
        <v>19650.813878773148</v>
      </c>
      <c r="M204" s="60">
        <f t="shared" ref="M204" si="150">IF($A$64&lt;=M168,IF($B$64&gt;=M168,ABS(M203),0),0)</f>
        <v>20134.168813164331</v>
      </c>
      <c r="N204" s="60">
        <f t="shared" ref="N204" si="151">IF($A$64&lt;=N168,IF($B$64&gt;=N168,ABS(N203),0),0)</f>
        <v>24624.916806898837</v>
      </c>
      <c r="O204" s="60">
        <f t="shared" ref="O204" si="152">IF($A$64&lt;=O168,IF($B$64&gt;=O168,ABS(O203),0),0)</f>
        <v>51989.481541286819</v>
      </c>
      <c r="P204" s="60">
        <f t="shared" ref="P204" si="153">IF($A$64&lt;=P168,IF($B$64&gt;=P168,ABS(P203),0),0)</f>
        <v>144999.76715453892</v>
      </c>
      <c r="Q204" s="60">
        <f t="shared" ref="Q204" si="154">IF($A$64&lt;=Q168,IF($B$64&gt;=Q168,ABS(Q203),0),0)</f>
        <v>255277.68107643139</v>
      </c>
      <c r="R204" s="60">
        <f t="shared" ref="R204" si="155">IF($A$64&lt;=R168,IF($B$64&gt;=R168,ABS(R203),0),0)</f>
        <v>322461.78694564314</v>
      </c>
      <c r="S204" s="60">
        <f t="shared" ref="S204" si="156">IF($A$64&lt;=S168,IF($B$64&gt;=S168,ABS(S203),0),0)</f>
        <v>398158.90492015786</v>
      </c>
      <c r="T204" s="60">
        <f t="shared" ref="T204" si="157">IF($A$64&lt;=T168,IF($B$64&gt;=T168,ABS(T203),0),0)</f>
        <v>357201.86941857298</v>
      </c>
      <c r="U204" s="60">
        <f t="shared" ref="U204" si="158">IF($A$64&lt;=U168,IF($B$64&gt;=U168,ABS(U203),0),0)</f>
        <v>120299.09371759371</v>
      </c>
      <c r="V204" s="60">
        <f t="shared" ref="V204" si="159">IF($A$64&lt;=V168,IF($B$64&gt;=V168,ABS(V203),0),0)</f>
        <v>76321.243179559562</v>
      </c>
      <c r="W204" s="60">
        <f t="shared" ref="W204" si="160">IF($A$64&lt;=W168,IF($B$64&gt;=W168,ABS(W203),0),0)</f>
        <v>673003.69841397402</v>
      </c>
      <c r="X204" s="60">
        <f t="shared" ref="X204" si="161">IF($A$64&lt;=X168,IF($B$64&gt;=X168,ABS(X203),0),0)</f>
        <v>1279392.6794501352</v>
      </c>
      <c r="Y204" s="60">
        <f t="shared" ref="Y204" si="162">IF($A$64&lt;=Y168,IF($B$64&gt;=Y168,ABS(Y203),0),0)</f>
        <v>1487411.0254126939</v>
      </c>
      <c r="Z204" s="60">
        <f t="shared" ref="Z204" si="163">IF($A$64&lt;=Z168,IF($B$64&gt;=Z168,ABS(Z203),0),0)</f>
        <v>760717.89492322865</v>
      </c>
      <c r="AA204" s="60">
        <f t="shared" ref="AA204" si="164">IF($A$64&lt;=AA168,IF($B$64&gt;=AA168,ABS(AA203),0),0)</f>
        <v>56191.168389797378</v>
      </c>
      <c r="AB204" s="60">
        <f t="shared" ref="AB204" si="165">IF($A$64&lt;=AB168,IF($B$64&gt;=AB168,ABS(AB203),0),0)</f>
        <v>149994.19101030577</v>
      </c>
      <c r="AC204" s="60">
        <f t="shared" ref="AC204" si="166">IF($A$64&lt;=AC168,IF($B$64&gt;=AC168,ABS(AC203),0),0)</f>
        <v>677335.04647340265</v>
      </c>
      <c r="AD204" s="60">
        <f t="shared" ref="AD204" si="167">IF($A$64&lt;=AD168,IF($B$64&gt;=AD168,ABS(AD203),0),0)</f>
        <v>1018475.6346566399</v>
      </c>
      <c r="AE204" s="60">
        <f t="shared" ref="AE204" si="168">IF($A$64&lt;=AE168,IF($B$64&gt;=AE168,ABS(AE203),0),0)</f>
        <v>820584.65502330649</v>
      </c>
      <c r="AF204" s="60">
        <f t="shared" ref="AF204" si="169">IF($A$64&lt;=AF168,IF($B$64&gt;=AF168,ABS(AF203),0),0)</f>
        <v>428705.14922558784</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7330.9698900812818</v>
      </c>
      <c r="C208" s="26">
        <f>INDEX(Comparison!$AM$3:$AS$33,G$14,$D$122)</f>
        <v>7331.0435342500059</v>
      </c>
      <c r="D208" s="26">
        <f>INDEX(Comparison!$AM$3:$AS$33,H$14,$D$122)</f>
        <v>7331.0044701030138</v>
      </c>
      <c r="E208" s="26">
        <f>INDEX(Comparison!$AM$3:$AS$33,I$14,$D$122)</f>
        <v>7330.9943970257091</v>
      </c>
      <c r="F208" s="26">
        <f>INDEX(Comparison!$AM$3:$AS$33,J$14,$D$122)</f>
        <v>7330.991448813199</v>
      </c>
      <c r="G208" s="26">
        <f>INDEX(Comparison!$AM$3:$AS$33,K$14,$D$122)</f>
        <v>7330.990588918331</v>
      </c>
      <c r="H208" s="26">
        <f>INDEX(Comparison!$AM$3:$AS$33,L$14,$D$122)</f>
        <v>7330.9902818130686</v>
      </c>
      <c r="I208" s="26">
        <f>INDEX(Comparison!$AM$3:$AS$33,M$14,$D$122)</f>
        <v>7330.9901589709716</v>
      </c>
      <c r="J208" s="26">
        <f>INDEX(Comparison!$AM$3:$AS$33,N$14,$D$122)</f>
        <v>7330.9898518657455</v>
      </c>
      <c r="K208" s="26">
        <f>INDEX(Comparison!$AM$3:$AS$33,O$14,$D$122)</f>
        <v>7330.9873950248675</v>
      </c>
      <c r="L208" s="26">
        <f>INDEX(Comparison!$AM$3:$AS$33,P$14,$D$122)</f>
        <v>7330.962888127252</v>
      </c>
      <c r="M208" s="26">
        <f>INDEX(Comparison!$AM$3:$AS$33,Q$14,$D$122)</f>
        <v>7330.7179509954649</v>
      </c>
      <c r="N208" s="26">
        <f>INDEX(Comparison!$AM$3:$AS$33,R$14,$D$122)</f>
        <v>7328.2878922672335</v>
      </c>
      <c r="O208" s="26">
        <f>INDEX(Comparison!$AM$3:$AS$33,S$14,$D$122)</f>
        <v>7305.7841813741479</v>
      </c>
      <c r="P208" s="26">
        <f>INDEX(Comparison!$AM$3:$AS$33,T$14,$D$122)</f>
        <v>7188.9840707641179</v>
      </c>
      <c r="Q208" s="26">
        <f>INDEX(Comparison!$AM$3:$AS$33,U$14,$D$122)</f>
        <v>7045.3278356909095</v>
      </c>
      <c r="R208" s="26">
        <f>INDEX(Comparison!$AM$3:$AS$33,V$14,$D$122)</f>
        <v>6881.2247214769232</v>
      </c>
      <c r="S208" s="26">
        <f>INDEX(Comparison!$AM$3:$AS$33,W$14,$D$122)</f>
        <v>6633.2763958157147</v>
      </c>
      <c r="T208" s="26">
        <f>INDEX(Comparison!$AM$3:$AS$33,X$14,$D$122)</f>
        <v>6142.0459094556854</v>
      </c>
      <c r="U208" s="26">
        <f>INDEX(Comparison!$AM$3:$AS$33,Y$14,$D$122)</f>
        <v>5263.2654078154883</v>
      </c>
      <c r="V208" s="26">
        <f>INDEX(Comparison!$AM$3:$AS$33,Z$14,$D$122)</f>
        <v>4399.1328288595505</v>
      </c>
      <c r="W208" s="26">
        <f>INDEX(Comparison!$AM$3:$AS$33,AA$14,$D$122)</f>
        <v>3757.2475587809995</v>
      </c>
      <c r="X208" s="26">
        <f>INDEX(Comparison!$AM$3:$AS$33,AB$14,$D$122)</f>
        <v>3291.1531992809396</v>
      </c>
      <c r="Y208" s="26">
        <f>INDEX(Comparison!$AM$3:$AS$33,AC$14,$D$122)</f>
        <v>2923.3907186801598</v>
      </c>
      <c r="Z208" s="26">
        <f>INDEX(Comparison!$AM$3:$AS$33,AD$14,$D$122)</f>
        <v>2591.8565821190209</v>
      </c>
      <c r="AA208" s="26">
        <f>INDEX(Comparison!$AM$3:$AS$33,AE$14,$D$122)</f>
        <v>2227.1388397843657</v>
      </c>
      <c r="AB208" s="26">
        <f>INDEX(Comparison!$AM$3:$AS$33,AF$14,$D$122)</f>
        <v>1818.1045605438685</v>
      </c>
      <c r="AC208" s="26">
        <f>INDEX(Comparison!$AM$3:$AS$33,AG$14,$D$122)</f>
        <v>1362.7209266527218</v>
      </c>
      <c r="AD208" s="26">
        <f>INDEX(Comparison!$AM$3:$AS$33,AH$14,$D$122)</f>
        <v>882.60529508909428</v>
      </c>
      <c r="AE208" s="26">
        <f>INDEX(Comparison!$AM$3:$AS$33,AI$14,$D$122)</f>
        <v>513.97783275284667</v>
      </c>
      <c r="AF208" s="26">
        <f>INDEX(Comparison!$AM$3:$AS$33,AJ$14,$D$122)</f>
        <v>287.95166024173568</v>
      </c>
      <c r="AG208" s="26"/>
      <c r="AH208" s="26"/>
    </row>
    <row r="209" spans="1:34" x14ac:dyDescent="0.25">
      <c r="A209" s="70" t="s">
        <v>22</v>
      </c>
      <c r="B209" s="27">
        <f>($C$17+SUM(B210:B240))*$B$51</f>
        <v>7323.0919007332441</v>
      </c>
      <c r="C209" s="27">
        <f t="shared" ref="C209:AF209" si="170">($C$17+SUM(C210:C240))*$B$51</f>
        <v>7275.4404245424603</v>
      </c>
      <c r="D209" s="27">
        <f t="shared" si="170"/>
        <v>7233.6704910017033</v>
      </c>
      <c r="E209" s="27">
        <f t="shared" si="170"/>
        <v>7233.649767494243</v>
      </c>
      <c r="F209" s="27">
        <f t="shared" si="170"/>
        <v>7233.6497610029501</v>
      </c>
      <c r="G209" s="27">
        <f t="shared" si="170"/>
        <v>7233.6496960900613</v>
      </c>
      <c r="H209" s="27">
        <f t="shared" si="170"/>
        <v>7233.6490469645505</v>
      </c>
      <c r="I209" s="27">
        <f t="shared" si="170"/>
        <v>7233.6425560478683</v>
      </c>
      <c r="J209" s="27">
        <f t="shared" si="170"/>
        <v>7233.5776807063721</v>
      </c>
      <c r="K209" s="27">
        <f t="shared" si="170"/>
        <v>7232.9322927419862</v>
      </c>
      <c r="L209" s="27">
        <f t="shared" si="170"/>
        <v>7226.7985313045338</v>
      </c>
      <c r="M209" s="27">
        <f t="shared" si="170"/>
        <v>7185.9595726432299</v>
      </c>
      <c r="N209" s="27">
        <f t="shared" si="170"/>
        <v>7055.3398722931979</v>
      </c>
      <c r="O209" s="27">
        <f t="shared" si="170"/>
        <v>6908.7732637267954</v>
      </c>
      <c r="P209" s="27">
        <f t="shared" si="170"/>
        <v>6743.3102647847891</v>
      </c>
      <c r="Q209" s="27">
        <f t="shared" si="170"/>
        <v>6540.6927398204716</v>
      </c>
      <c r="R209" s="27">
        <f t="shared" si="170"/>
        <v>6339.4537973221895</v>
      </c>
      <c r="S209" s="27">
        <f t="shared" si="170"/>
        <v>6085.9871256527395</v>
      </c>
      <c r="T209" s="27">
        <f t="shared" si="170"/>
        <v>5796.7386036169155</v>
      </c>
      <c r="U209" s="27">
        <f t="shared" si="170"/>
        <v>5518.625274840716</v>
      </c>
      <c r="V209" s="27">
        <f t="shared" si="170"/>
        <v>5211.612241430109</v>
      </c>
      <c r="W209" s="27">
        <f t="shared" si="170"/>
        <v>4872.6704453826187</v>
      </c>
      <c r="X209" s="27">
        <f t="shared" si="170"/>
        <v>4361.3757008434031</v>
      </c>
      <c r="Y209" s="27">
        <f t="shared" si="170"/>
        <v>3488.8680564689662</v>
      </c>
      <c r="Z209" s="27">
        <f t="shared" si="170"/>
        <v>2514.9812396026946</v>
      </c>
      <c r="AA209" s="27">
        <f t="shared" si="170"/>
        <v>1658.0593866598554</v>
      </c>
      <c r="AB209" s="27">
        <f t="shared" si="170"/>
        <v>976.52533618536006</v>
      </c>
      <c r="AC209" s="27">
        <f t="shared" si="170"/>
        <v>529.03866651073781</v>
      </c>
      <c r="AD209" s="27">
        <f t="shared" si="170"/>
        <v>287.32688221600165</v>
      </c>
      <c r="AE209" s="27">
        <f t="shared" si="170"/>
        <v>158.08285331306359</v>
      </c>
      <c r="AF209" s="27">
        <f t="shared" si="170"/>
        <v>115.19583564506559</v>
      </c>
      <c r="AG209" s="27"/>
      <c r="AH209" s="27"/>
    </row>
    <row r="210" spans="1:34" x14ac:dyDescent="0.25">
      <c r="B210" s="3">
        <f t="shared" ref="B210:AF210" si="171">$C18*EXP(-B$207/$A18/EXP(-$D$126))</f>
        <v>1.220056504817716E-2</v>
      </c>
      <c r="C210" s="3">
        <f t="shared" si="171"/>
        <v>5.7005530464722233E-3</v>
      </c>
      <c r="D210" s="3">
        <f t="shared" si="171"/>
        <v>2.8267503685408599E-6</v>
      </c>
      <c r="E210" s="3">
        <f t="shared" si="171"/>
        <v>2.5409265931975789E-39</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0</v>
      </c>
      <c r="C211" s="3">
        <f t="shared" si="172"/>
        <v>0</v>
      </c>
      <c r="D211" s="3">
        <f t="shared" si="172"/>
        <v>0</v>
      </c>
      <c r="E211" s="3">
        <f t="shared" si="172"/>
        <v>0</v>
      </c>
      <c r="F211" s="3">
        <f t="shared" si="172"/>
        <v>0</v>
      </c>
      <c r="G211" s="3">
        <f t="shared" si="172"/>
        <v>0</v>
      </c>
      <c r="H211" s="3">
        <f t="shared" si="172"/>
        <v>0</v>
      </c>
      <c r="I211" s="3">
        <f t="shared" si="172"/>
        <v>0</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0</v>
      </c>
      <c r="C212" s="3">
        <f t="shared" si="173"/>
        <v>0</v>
      </c>
      <c r="D212" s="3">
        <f t="shared" si="173"/>
        <v>0</v>
      </c>
      <c r="E212" s="3">
        <f t="shared" si="173"/>
        <v>0</v>
      </c>
      <c r="F212" s="3">
        <f t="shared" si="173"/>
        <v>0</v>
      </c>
      <c r="G212" s="3">
        <f t="shared" si="173"/>
        <v>0</v>
      </c>
      <c r="H212" s="3">
        <f t="shared" si="173"/>
        <v>0</v>
      </c>
      <c r="I212" s="3">
        <f t="shared" si="173"/>
        <v>0</v>
      </c>
      <c r="J212" s="3">
        <f t="shared" si="173"/>
        <v>0</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0</v>
      </c>
      <c r="C213" s="3">
        <f t="shared" si="174"/>
        <v>0</v>
      </c>
      <c r="D213" s="3">
        <f t="shared" si="174"/>
        <v>0</v>
      </c>
      <c r="E213" s="3">
        <f t="shared" si="174"/>
        <v>0</v>
      </c>
      <c r="F213" s="3">
        <f t="shared" si="174"/>
        <v>0</v>
      </c>
      <c r="G213" s="3">
        <f t="shared" si="174"/>
        <v>0</v>
      </c>
      <c r="H213" s="3">
        <f t="shared" si="174"/>
        <v>0</v>
      </c>
      <c r="I213" s="3">
        <f t="shared" si="174"/>
        <v>0</v>
      </c>
      <c r="J213" s="3">
        <f t="shared" si="174"/>
        <v>0</v>
      </c>
      <c r="K213" s="3">
        <f t="shared" si="174"/>
        <v>0</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3.9093064533186556E-3</v>
      </c>
      <c r="C214" s="3">
        <f t="shared" si="175"/>
        <v>3.9093064527593105E-3</v>
      </c>
      <c r="D214" s="3">
        <f t="shared" si="175"/>
        <v>3.9093064471658594E-3</v>
      </c>
      <c r="E214" s="3">
        <f t="shared" si="175"/>
        <v>3.9093063912313463E-3</v>
      </c>
      <c r="F214" s="3">
        <f t="shared" si="175"/>
        <v>3.9093058318862553E-3</v>
      </c>
      <c r="G214" s="3">
        <f t="shared" si="175"/>
        <v>3.9093002384397542E-3</v>
      </c>
      <c r="H214" s="3">
        <f t="shared" si="175"/>
        <v>3.9092443044149057E-3</v>
      </c>
      <c r="I214" s="3">
        <f t="shared" si="175"/>
        <v>3.9086850081810637E-3</v>
      </c>
      <c r="J214" s="3">
        <f t="shared" si="175"/>
        <v>3.9030964449775114E-3</v>
      </c>
      <c r="K214" s="3">
        <f t="shared" si="175"/>
        <v>3.847648406424372E-3</v>
      </c>
      <c r="L214" s="3">
        <f t="shared" si="175"/>
        <v>3.3346967845627566E-3</v>
      </c>
      <c r="M214" s="3">
        <f t="shared" si="175"/>
        <v>7.9738132443500122E-4</v>
      </c>
      <c r="N214" s="3">
        <f t="shared" si="175"/>
        <v>4.872626804700315E-10</v>
      </c>
      <c r="O214" s="3">
        <f t="shared" si="175"/>
        <v>3.5378063070006696E-72</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2.3295025109782184E-2</v>
      </c>
      <c r="C215" s="3">
        <f t="shared" si="176"/>
        <v>2.3295025109481511E-2</v>
      </c>
      <c r="D215" s="3">
        <f t="shared" si="176"/>
        <v>2.3295025106474816E-2</v>
      </c>
      <c r="E215" s="3">
        <f t="shared" si="176"/>
        <v>2.3295025076407828E-2</v>
      </c>
      <c r="F215" s="3">
        <f t="shared" si="176"/>
        <v>2.3295024775737947E-2</v>
      </c>
      <c r="G215" s="3">
        <f t="shared" si="176"/>
        <v>2.3295021769039376E-2</v>
      </c>
      <c r="H215" s="3">
        <f t="shared" si="176"/>
        <v>2.3294991702074982E-2</v>
      </c>
      <c r="I215" s="3">
        <f t="shared" si="176"/>
        <v>2.3294691034565478E-2</v>
      </c>
      <c r="J215" s="3">
        <f t="shared" si="176"/>
        <v>2.3291684572900838E-2</v>
      </c>
      <c r="K215" s="3">
        <f t="shared" si="176"/>
        <v>2.3261641289107102E-2</v>
      </c>
      <c r="L215" s="3">
        <f t="shared" si="176"/>
        <v>2.2963331583784607E-2</v>
      </c>
      <c r="M215" s="3">
        <f t="shared" si="176"/>
        <v>2.0182749187380476E-2</v>
      </c>
      <c r="N215" s="3">
        <f t="shared" si="176"/>
        <v>5.5518098882909404E-3</v>
      </c>
      <c r="O215" s="3">
        <f t="shared" si="176"/>
        <v>1.3771372147169284E-8</v>
      </c>
      <c r="P215" s="3">
        <f t="shared" si="176"/>
        <v>1.2145167219869465E-64</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1.9366384778575507E-2</v>
      </c>
      <c r="C216" s="3">
        <f t="shared" si="177"/>
        <v>1.9366384778552955E-2</v>
      </c>
      <c r="D216" s="3">
        <f t="shared" si="177"/>
        <v>1.9366384778327472E-2</v>
      </c>
      <c r="E216" s="3">
        <f t="shared" si="177"/>
        <v>1.9366384776072599E-2</v>
      </c>
      <c r="F216" s="3">
        <f t="shared" si="177"/>
        <v>1.9366384753523879E-2</v>
      </c>
      <c r="G216" s="3">
        <f t="shared" si="177"/>
        <v>1.9366384528036681E-2</v>
      </c>
      <c r="H216" s="3">
        <f t="shared" si="177"/>
        <v>1.936638227316486E-2</v>
      </c>
      <c r="I216" s="3">
        <f t="shared" si="177"/>
        <v>1.9366359724461091E-2</v>
      </c>
      <c r="J216" s="3">
        <f t="shared" si="177"/>
        <v>1.9366134238867374E-2</v>
      </c>
      <c r="K216" s="3">
        <f t="shared" si="177"/>
        <v>1.9363879527320191E-2</v>
      </c>
      <c r="L216" s="3">
        <f t="shared" si="177"/>
        <v>1.9341346844630288E-2</v>
      </c>
      <c r="M216" s="3">
        <f t="shared" si="177"/>
        <v>1.9117457097607645E-2</v>
      </c>
      <c r="N216" s="3">
        <f t="shared" si="177"/>
        <v>1.7016264807908032E-2</v>
      </c>
      <c r="O216" s="3">
        <f t="shared" si="177"/>
        <v>5.3113552188334464E-3</v>
      </c>
      <c r="P216" s="3">
        <f t="shared" si="177"/>
        <v>4.6624744973746978E-8</v>
      </c>
      <c r="Q216" s="3">
        <f t="shared" si="177"/>
        <v>1.2668572653040351E-58</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2.4447536701485997E-2</v>
      </c>
      <c r="C217" s="3">
        <f t="shared" si="178"/>
        <v>2.4447536701483429E-2</v>
      </c>
      <c r="D217" s="3">
        <f t="shared" si="178"/>
        <v>2.4447536701457748E-2</v>
      </c>
      <c r="E217" s="3">
        <f t="shared" si="178"/>
        <v>2.4447536701200975E-2</v>
      </c>
      <c r="F217" s="3">
        <f t="shared" si="178"/>
        <v>2.4447536698633209E-2</v>
      </c>
      <c r="G217" s="3">
        <f t="shared" si="178"/>
        <v>2.4447536672955576E-2</v>
      </c>
      <c r="H217" s="3">
        <f t="shared" si="178"/>
        <v>2.4447536416179222E-2</v>
      </c>
      <c r="I217" s="3">
        <f t="shared" si="178"/>
        <v>2.4447533848415824E-2</v>
      </c>
      <c r="J217" s="3">
        <f t="shared" si="178"/>
        <v>2.4447508170796696E-2</v>
      </c>
      <c r="K217" s="3">
        <f t="shared" si="178"/>
        <v>2.4447251396088724E-2</v>
      </c>
      <c r="L217" s="3">
        <f t="shared" si="178"/>
        <v>2.4444683797335581E-2</v>
      </c>
      <c r="M217" s="3">
        <f t="shared" si="178"/>
        <v>2.4419022636696451E-2</v>
      </c>
      <c r="N217" s="3">
        <f t="shared" si="178"/>
        <v>2.4163887973709875E-2</v>
      </c>
      <c r="O217" s="3">
        <f t="shared" si="178"/>
        <v>2.1754653743721923E-2</v>
      </c>
      <c r="P217" s="3">
        <f t="shared" si="178"/>
        <v>7.6103703491041987E-3</v>
      </c>
      <c r="Q217" s="3">
        <f t="shared" si="178"/>
        <v>2.0890169114549503E-7</v>
      </c>
      <c r="R217" s="3">
        <f t="shared" si="178"/>
        <v>5.0734524790171022E-53</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3.2102560695383198E-2</v>
      </c>
      <c r="C218" s="3">
        <f t="shared" si="179"/>
        <v>3.2102560695382892E-2</v>
      </c>
      <c r="D218" s="3">
        <f t="shared" si="179"/>
        <v>3.2102560695379853E-2</v>
      </c>
      <c r="E218" s="3">
        <f t="shared" si="179"/>
        <v>3.210256069534944E-2</v>
      </c>
      <c r="F218" s="3">
        <f t="shared" si="179"/>
        <v>3.2102560695045274E-2</v>
      </c>
      <c r="G218" s="3">
        <f t="shared" si="179"/>
        <v>3.2102560692003644E-2</v>
      </c>
      <c r="H218" s="3">
        <f t="shared" si="179"/>
        <v>3.2102560661587357E-2</v>
      </c>
      <c r="I218" s="3">
        <f t="shared" si="179"/>
        <v>3.2102560357424495E-2</v>
      </c>
      <c r="J218" s="3">
        <f t="shared" si="179"/>
        <v>3.2102557315796011E-2</v>
      </c>
      <c r="K218" s="3">
        <f t="shared" si="179"/>
        <v>3.2102526899527042E-2</v>
      </c>
      <c r="L218" s="3">
        <f t="shared" si="179"/>
        <v>3.2102222738422379E-2</v>
      </c>
      <c r="M218" s="3">
        <f t="shared" si="179"/>
        <v>3.209918128587174E-2</v>
      </c>
      <c r="N218" s="3">
        <f t="shared" si="179"/>
        <v>3.2068782604416826E-2</v>
      </c>
      <c r="O218" s="3">
        <f t="shared" si="179"/>
        <v>3.1766374654695111E-2</v>
      </c>
      <c r="P218" s="3">
        <f t="shared" si="179"/>
        <v>2.8894784188163439E-2</v>
      </c>
      <c r="Q218" s="3">
        <f t="shared" si="179"/>
        <v>1.1203080829697013E-2</v>
      </c>
      <c r="R218" s="3">
        <f t="shared" si="179"/>
        <v>8.6003794378183377E-7</v>
      </c>
      <c r="S218" s="3">
        <f t="shared" si="179"/>
        <v>6.1139099815710539E-48</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2.4134444755217827E-2</v>
      </c>
      <c r="C219" s="3">
        <f t="shared" si="180"/>
        <v>2.4134444755217806E-2</v>
      </c>
      <c r="D219" s="3">
        <f t="shared" si="180"/>
        <v>2.4134444755217602E-2</v>
      </c>
      <c r="E219" s="3">
        <f t="shared" si="180"/>
        <v>2.4134444755215541E-2</v>
      </c>
      <c r="F219" s="3">
        <f t="shared" si="180"/>
        <v>2.4134444755194912E-2</v>
      </c>
      <c r="G219" s="3">
        <f t="shared" si="180"/>
        <v>2.4134444754988636E-2</v>
      </c>
      <c r="H219" s="3">
        <f t="shared" si="180"/>
        <v>2.4134444752925865E-2</v>
      </c>
      <c r="I219" s="3">
        <f t="shared" si="180"/>
        <v>2.4134444732298185E-2</v>
      </c>
      <c r="J219" s="3">
        <f t="shared" si="180"/>
        <v>2.413444452602137E-2</v>
      </c>
      <c r="K219" s="3">
        <f t="shared" si="180"/>
        <v>2.4134442463253324E-2</v>
      </c>
      <c r="L219" s="3">
        <f t="shared" si="180"/>
        <v>2.4134421835582537E-2</v>
      </c>
      <c r="M219" s="3">
        <f t="shared" si="180"/>
        <v>2.4134215559844352E-2</v>
      </c>
      <c r="N219" s="3">
        <f t="shared" si="180"/>
        <v>2.413215289942661E-2</v>
      </c>
      <c r="O219" s="3">
        <f t="shared" si="180"/>
        <v>2.4111535988593145E-2</v>
      </c>
      <c r="P219" s="3">
        <f t="shared" si="180"/>
        <v>2.3906333156240859E-2</v>
      </c>
      <c r="Q219" s="3">
        <f t="shared" si="180"/>
        <v>2.1947945301602902E-2</v>
      </c>
      <c r="R219" s="3">
        <f t="shared" si="180"/>
        <v>9.3369038398087995E-3</v>
      </c>
      <c r="S219" s="3">
        <f t="shared" si="180"/>
        <v>1.8125627677826451E-6</v>
      </c>
      <c r="T219" s="3">
        <f t="shared" si="180"/>
        <v>1.3778271632318991E-43</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4.5522140204717329E-2</v>
      </c>
      <c r="C220" s="3">
        <f t="shared" si="181"/>
        <v>4.5522140204717322E-2</v>
      </c>
      <c r="D220" s="3">
        <f t="shared" si="181"/>
        <v>4.5522140204717287E-2</v>
      </c>
      <c r="E220" s="3">
        <f t="shared" si="181"/>
        <v>4.552214020471694E-2</v>
      </c>
      <c r="F220" s="3">
        <f t="shared" si="181"/>
        <v>4.5522140204713429E-2</v>
      </c>
      <c r="G220" s="3">
        <f t="shared" si="181"/>
        <v>4.5522140204678332E-2</v>
      </c>
      <c r="H220" s="3">
        <f t="shared" si="181"/>
        <v>4.5522140204327349E-2</v>
      </c>
      <c r="I220" s="3">
        <f t="shared" si="181"/>
        <v>4.5522140200817553E-2</v>
      </c>
      <c r="J220" s="3">
        <f t="shared" si="181"/>
        <v>4.5522140165719552E-2</v>
      </c>
      <c r="K220" s="3">
        <f t="shared" si="181"/>
        <v>4.5522139814739557E-2</v>
      </c>
      <c r="L220" s="3">
        <f t="shared" si="181"/>
        <v>4.5522136304939724E-2</v>
      </c>
      <c r="M220" s="3">
        <f t="shared" si="181"/>
        <v>4.552210120695626E-2</v>
      </c>
      <c r="N220" s="3">
        <f t="shared" si="181"/>
        <v>4.5521750228610026E-2</v>
      </c>
      <c r="O220" s="3">
        <f t="shared" si="181"/>
        <v>4.5518240593977848E-2</v>
      </c>
      <c r="P220" s="3">
        <f t="shared" si="181"/>
        <v>4.5483159126428668E-2</v>
      </c>
      <c r="Q220" s="3">
        <f t="shared" si="181"/>
        <v>4.5133828092416207E-2</v>
      </c>
      <c r="R220" s="3">
        <f t="shared" si="181"/>
        <v>4.1784735338520188E-2</v>
      </c>
      <c r="S220" s="3">
        <f t="shared" si="181"/>
        <v>1.9327358786774607E-2</v>
      </c>
      <c r="T220" s="3">
        <f t="shared" si="181"/>
        <v>8.6640517949443833E-6</v>
      </c>
      <c r="U220" s="3">
        <f t="shared" si="181"/>
        <v>2.8392677571876527E-39</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3.7432935335074267E-2</v>
      </c>
      <c r="C221" s="3">
        <f t="shared" si="182"/>
        <v>3.7432935335074267E-2</v>
      </c>
      <c r="D221" s="3">
        <f t="shared" si="182"/>
        <v>3.7432935335074261E-2</v>
      </c>
      <c r="E221" s="3">
        <f t="shared" si="182"/>
        <v>3.743293533507424E-2</v>
      </c>
      <c r="F221" s="3">
        <f t="shared" si="182"/>
        <v>3.7432935335073976E-2</v>
      </c>
      <c r="G221" s="3">
        <f t="shared" si="182"/>
        <v>3.7432935335071374E-2</v>
      </c>
      <c r="H221" s="3">
        <f t="shared" si="182"/>
        <v>3.7432935335045339E-2</v>
      </c>
      <c r="I221" s="3">
        <f t="shared" si="182"/>
        <v>3.7432935334784985E-2</v>
      </c>
      <c r="J221" s="3">
        <f t="shared" si="182"/>
        <v>3.743293533218147E-2</v>
      </c>
      <c r="K221" s="3">
        <f t="shared" si="182"/>
        <v>3.7432935306146317E-2</v>
      </c>
      <c r="L221" s="3">
        <f t="shared" si="182"/>
        <v>3.7432935045794764E-2</v>
      </c>
      <c r="M221" s="3">
        <f t="shared" si="182"/>
        <v>3.7432932442279347E-2</v>
      </c>
      <c r="N221" s="3">
        <f t="shared" si="182"/>
        <v>3.7432906407135119E-2</v>
      </c>
      <c r="O221" s="3">
        <f t="shared" si="182"/>
        <v>3.7432646056688772E-2</v>
      </c>
      <c r="P221" s="3">
        <f t="shared" si="182"/>
        <v>3.743004265181555E-2</v>
      </c>
      <c r="Q221" s="3">
        <f t="shared" si="182"/>
        <v>3.7404018559543901E-2</v>
      </c>
      <c r="R221" s="3">
        <f t="shared" si="182"/>
        <v>3.714477072544279E-2</v>
      </c>
      <c r="S221" s="3">
        <f t="shared" si="182"/>
        <v>3.4649092477317511E-2</v>
      </c>
      <c r="T221" s="3">
        <f t="shared" si="182"/>
        <v>1.728357924464784E-2</v>
      </c>
      <c r="U221" s="3">
        <f t="shared" si="182"/>
        <v>1.6483593500159559E-5</v>
      </c>
      <c r="V221" s="3">
        <f t="shared" si="182"/>
        <v>1.0262047082545248E-35</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4.1089114467289377E-2</v>
      </c>
      <c r="C222" s="3">
        <f t="shared" si="183"/>
        <v>4.1089114467289377E-2</v>
      </c>
      <c r="D222" s="3">
        <f t="shared" si="183"/>
        <v>4.1089114467289377E-2</v>
      </c>
      <c r="E222" s="3">
        <f t="shared" si="183"/>
        <v>4.108911446728937E-2</v>
      </c>
      <c r="F222" s="3">
        <f t="shared" si="183"/>
        <v>4.1089114467289349E-2</v>
      </c>
      <c r="G222" s="3">
        <f t="shared" si="183"/>
        <v>4.1089114467289092E-2</v>
      </c>
      <c r="H222" s="3">
        <f t="shared" si="183"/>
        <v>4.1089114467286511E-2</v>
      </c>
      <c r="I222" s="3">
        <f t="shared" si="183"/>
        <v>4.1089114467260733E-2</v>
      </c>
      <c r="J222" s="3">
        <f t="shared" si="183"/>
        <v>4.1089114467002939E-2</v>
      </c>
      <c r="K222" s="3">
        <f t="shared" si="183"/>
        <v>4.1089114464424953E-2</v>
      </c>
      <c r="L222" s="3">
        <f t="shared" si="183"/>
        <v>4.1089114438645144E-2</v>
      </c>
      <c r="M222" s="3">
        <f t="shared" si="183"/>
        <v>4.1089114180847076E-2</v>
      </c>
      <c r="N222" s="3">
        <f t="shared" si="183"/>
        <v>4.1089111602866484E-2</v>
      </c>
      <c r="O222" s="3">
        <f t="shared" si="183"/>
        <v>4.1089085823069402E-2</v>
      </c>
      <c r="P222" s="3">
        <f t="shared" si="183"/>
        <v>4.1088828025988233E-2</v>
      </c>
      <c r="Q222" s="3">
        <f t="shared" si="183"/>
        <v>4.1086250144134293E-2</v>
      </c>
      <c r="R222" s="3">
        <f t="shared" si="183"/>
        <v>4.1060480219310039E-2</v>
      </c>
      <c r="S222" s="3">
        <f t="shared" si="183"/>
        <v>4.0803668281432587E-2</v>
      </c>
      <c r="T222" s="3">
        <f t="shared" si="183"/>
        <v>3.8322254227502205E-2</v>
      </c>
      <c r="U222" s="3">
        <f t="shared" si="183"/>
        <v>2.0463006463085593E-2</v>
      </c>
      <c r="V222" s="3">
        <f t="shared" si="183"/>
        <v>3.8561452064606749E-5</v>
      </c>
      <c r="W222" s="3">
        <f t="shared" si="183"/>
        <v>2.1776734575496872E-32</v>
      </c>
      <c r="X222" s="3">
        <f t="shared" si="183"/>
        <v>7.1843344696728839E-305</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4.624509457562298E-2</v>
      </c>
      <c r="C223" s="3">
        <f t="shared" si="184"/>
        <v>4.624509457562298E-2</v>
      </c>
      <c r="D223" s="3">
        <f t="shared" si="184"/>
        <v>4.624509457562298E-2</v>
      </c>
      <c r="E223" s="3">
        <f t="shared" si="184"/>
        <v>4.624509457562298E-2</v>
      </c>
      <c r="F223" s="3">
        <f t="shared" si="184"/>
        <v>4.6245094575622973E-2</v>
      </c>
      <c r="G223" s="3">
        <f t="shared" si="184"/>
        <v>4.6245094575622953E-2</v>
      </c>
      <c r="H223" s="3">
        <f t="shared" si="184"/>
        <v>4.6245094575622689E-2</v>
      </c>
      <c r="I223" s="3">
        <f t="shared" si="184"/>
        <v>4.6245094575620073E-2</v>
      </c>
      <c r="J223" s="3">
        <f t="shared" si="184"/>
        <v>4.6245094575593899E-2</v>
      </c>
      <c r="K223" s="3">
        <f t="shared" si="184"/>
        <v>4.6245094575332164E-2</v>
      </c>
      <c r="L223" s="3">
        <f t="shared" si="184"/>
        <v>4.6245094572714793E-2</v>
      </c>
      <c r="M223" s="3">
        <f t="shared" si="184"/>
        <v>4.6245094546541091E-2</v>
      </c>
      <c r="N223" s="3">
        <f t="shared" si="184"/>
        <v>4.6245094284804077E-2</v>
      </c>
      <c r="O223" s="3">
        <f t="shared" si="184"/>
        <v>4.6245091667434034E-2</v>
      </c>
      <c r="P223" s="3">
        <f t="shared" si="184"/>
        <v>4.6245065493741765E-2</v>
      </c>
      <c r="Q223" s="3">
        <f t="shared" si="184"/>
        <v>4.6244803757633783E-2</v>
      </c>
      <c r="R223" s="3">
        <f t="shared" si="184"/>
        <v>4.624218647802765E-2</v>
      </c>
      <c r="S223" s="3">
        <f t="shared" si="184"/>
        <v>4.6216021827625867E-2</v>
      </c>
      <c r="T223" s="3">
        <f t="shared" si="184"/>
        <v>4.5955188186345301E-2</v>
      </c>
      <c r="U223" s="3">
        <f t="shared" si="184"/>
        <v>4.3426461279860031E-2</v>
      </c>
      <c r="V223" s="3">
        <f t="shared" si="184"/>
        <v>2.4657745403025136E-2</v>
      </c>
      <c r="W223" s="3">
        <f t="shared" si="184"/>
        <v>8.5889998104859264E-5</v>
      </c>
      <c r="X223" s="3">
        <f t="shared" si="184"/>
        <v>2.2585769102656077E-29</v>
      </c>
      <c r="Y223" s="3">
        <f t="shared" si="184"/>
        <v>3.5707364115114655E-275</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4.2152470755880481E-2</v>
      </c>
      <c r="C224" s="3">
        <f t="shared" si="185"/>
        <v>4.2152470755880481E-2</v>
      </c>
      <c r="D224" s="3">
        <f t="shared" si="185"/>
        <v>4.2152470755880481E-2</v>
      </c>
      <c r="E224" s="3">
        <f t="shared" si="185"/>
        <v>4.2152470755880481E-2</v>
      </c>
      <c r="F224" s="3">
        <f t="shared" si="185"/>
        <v>4.2152470755880481E-2</v>
      </c>
      <c r="G224" s="3">
        <f t="shared" si="185"/>
        <v>4.2152470755880474E-2</v>
      </c>
      <c r="H224" s="3">
        <f t="shared" si="185"/>
        <v>4.215247075588046E-2</v>
      </c>
      <c r="I224" s="3">
        <f t="shared" si="185"/>
        <v>4.2152470755880245E-2</v>
      </c>
      <c r="J224" s="3">
        <f t="shared" si="185"/>
        <v>4.2152470755878087E-2</v>
      </c>
      <c r="K224" s="3">
        <f t="shared" si="185"/>
        <v>4.2152470755856569E-2</v>
      </c>
      <c r="L224" s="3">
        <f t="shared" si="185"/>
        <v>4.2152470755641352E-2</v>
      </c>
      <c r="M224" s="3">
        <f t="shared" si="185"/>
        <v>4.215247075348922E-2</v>
      </c>
      <c r="N224" s="3">
        <f t="shared" si="185"/>
        <v>4.2152470731967893E-2</v>
      </c>
      <c r="O224" s="3">
        <f t="shared" si="185"/>
        <v>4.2152470516754595E-2</v>
      </c>
      <c r="P224" s="3">
        <f t="shared" si="185"/>
        <v>4.2152468364621713E-2</v>
      </c>
      <c r="Q224" s="3">
        <f t="shared" si="185"/>
        <v>4.2152446843298913E-2</v>
      </c>
      <c r="R224" s="3">
        <f t="shared" si="185"/>
        <v>4.2152231630675281E-2</v>
      </c>
      <c r="S224" s="3">
        <f t="shared" si="185"/>
        <v>4.2150079564871143E-2</v>
      </c>
      <c r="T224" s="3">
        <f t="shared" si="185"/>
        <v>4.21285649489129E-2</v>
      </c>
      <c r="U224" s="3">
        <f t="shared" si="185"/>
        <v>4.1914021857806898E-2</v>
      </c>
      <c r="V224" s="3">
        <f t="shared" si="185"/>
        <v>3.9827773947509248E-2</v>
      </c>
      <c r="W224" s="3">
        <f t="shared" si="185"/>
        <v>2.3903033123459698E-2</v>
      </c>
      <c r="X224" s="3">
        <f t="shared" si="185"/>
        <v>1.4491815996517217E-4</v>
      </c>
      <c r="Y224" s="3">
        <f t="shared" si="185"/>
        <v>9.7234590488652966E-27</v>
      </c>
      <c r="Z224" s="3">
        <f t="shared" si="185"/>
        <v>1.7980450669420524E-248</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0.11273931401056794</v>
      </c>
      <c r="C225" s="3">
        <f t="shared" si="186"/>
        <v>0.11273931401056794</v>
      </c>
      <c r="D225" s="3">
        <f t="shared" si="186"/>
        <v>0.11273931401056794</v>
      </c>
      <c r="E225" s="3">
        <f t="shared" si="186"/>
        <v>0.11273931401056794</v>
      </c>
      <c r="F225" s="3">
        <f t="shared" si="186"/>
        <v>0.11273931401056794</v>
      </c>
      <c r="G225" s="3">
        <f t="shared" si="186"/>
        <v>0.11273931401056794</v>
      </c>
      <c r="H225" s="3">
        <f t="shared" si="186"/>
        <v>0.11273931401056794</v>
      </c>
      <c r="I225" s="3">
        <f t="shared" si="186"/>
        <v>0.11273931401056787</v>
      </c>
      <c r="J225" s="3">
        <f t="shared" si="186"/>
        <v>0.11273931401056737</v>
      </c>
      <c r="K225" s="3">
        <f t="shared" si="186"/>
        <v>0.11273931401056217</v>
      </c>
      <c r="L225" s="3">
        <f t="shared" si="186"/>
        <v>0.11273931401051025</v>
      </c>
      <c r="M225" s="3">
        <f t="shared" si="186"/>
        <v>0.112739314009991</v>
      </c>
      <c r="N225" s="3">
        <f t="shared" si="186"/>
        <v>0.11273931400479861</v>
      </c>
      <c r="O225" s="3">
        <f t="shared" si="186"/>
        <v>0.11273931395287463</v>
      </c>
      <c r="P225" s="3">
        <f t="shared" si="186"/>
        <v>0.11273931343363475</v>
      </c>
      <c r="Q225" s="3">
        <f t="shared" si="186"/>
        <v>0.1127393082412361</v>
      </c>
      <c r="R225" s="3">
        <f t="shared" si="186"/>
        <v>0.11273925631726281</v>
      </c>
      <c r="S225" s="3">
        <f t="shared" si="186"/>
        <v>0.11273873707884517</v>
      </c>
      <c r="T225" s="3">
        <f t="shared" si="186"/>
        <v>0.11273354482619596</v>
      </c>
      <c r="U225" s="3">
        <f t="shared" si="186"/>
        <v>0.11268163545017008</v>
      </c>
      <c r="V225" s="3">
        <f t="shared" si="186"/>
        <v>0.11216385449833458</v>
      </c>
      <c r="W225" s="3">
        <f t="shared" si="186"/>
        <v>0.10711511596231157</v>
      </c>
      <c r="X225" s="3">
        <f t="shared" si="186"/>
        <v>6.7581703035948973E-2</v>
      </c>
      <c r="Y225" s="3">
        <f t="shared" si="186"/>
        <v>6.754805140204382E-4</v>
      </c>
      <c r="Z225" s="3">
        <f t="shared" si="186"/>
        <v>6.7212455294868203E-24</v>
      </c>
      <c r="AA225" s="3">
        <f t="shared" si="186"/>
        <v>6.3946843929282826E-224</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0.14424740982428688</v>
      </c>
      <c r="C226" s="3">
        <f t="shared" si="187"/>
        <v>0.14424740982428688</v>
      </c>
      <c r="D226" s="3">
        <f t="shared" si="187"/>
        <v>0.14424740982428688</v>
      </c>
      <c r="E226" s="3">
        <f t="shared" si="187"/>
        <v>0.14424740982428688</v>
      </c>
      <c r="F226" s="3">
        <f t="shared" si="187"/>
        <v>0.14424740982428688</v>
      </c>
      <c r="G226" s="3">
        <f t="shared" si="187"/>
        <v>0.14424740982428688</v>
      </c>
      <c r="H226" s="3">
        <f t="shared" si="187"/>
        <v>0.14424740982428688</v>
      </c>
      <c r="I226" s="3">
        <f t="shared" si="187"/>
        <v>0.14424740982428688</v>
      </c>
      <c r="J226" s="3">
        <f t="shared" si="187"/>
        <v>0.14424740982428683</v>
      </c>
      <c r="K226" s="3">
        <f t="shared" si="187"/>
        <v>0.14424740982428622</v>
      </c>
      <c r="L226" s="3">
        <f t="shared" si="187"/>
        <v>0.14424740982428022</v>
      </c>
      <c r="M226" s="3">
        <f t="shared" si="187"/>
        <v>0.1442474098242203</v>
      </c>
      <c r="N226" s="3">
        <f t="shared" si="187"/>
        <v>0.144247409823621</v>
      </c>
      <c r="O226" s="3">
        <f t="shared" si="187"/>
        <v>0.14424740981762796</v>
      </c>
      <c r="P226" s="3">
        <f t="shared" si="187"/>
        <v>0.14424740975769754</v>
      </c>
      <c r="Q226" s="3">
        <f t="shared" si="187"/>
        <v>0.1442474091583934</v>
      </c>
      <c r="R226" s="3">
        <f t="shared" si="187"/>
        <v>0.14424740316535231</v>
      </c>
      <c r="S226" s="3">
        <f t="shared" si="187"/>
        <v>0.14424734323495508</v>
      </c>
      <c r="T226" s="3">
        <f t="shared" si="187"/>
        <v>0.14424674393235218</v>
      </c>
      <c r="U226" s="3">
        <f t="shared" si="187"/>
        <v>0.14424075104326681</v>
      </c>
      <c r="V226" s="3">
        <f t="shared" si="187"/>
        <v>0.14418083584466929</v>
      </c>
      <c r="W226" s="3">
        <f t="shared" si="187"/>
        <v>0.14358305098184368</v>
      </c>
      <c r="X226" s="3">
        <f t="shared" si="187"/>
        <v>0.13773983622657829</v>
      </c>
      <c r="Y226" s="3">
        <f t="shared" si="187"/>
        <v>9.0912460363173783E-2</v>
      </c>
      <c r="Z226" s="3">
        <f t="shared" si="187"/>
        <v>1.4264675640711067E-3</v>
      </c>
      <c r="AA226" s="3">
        <f t="shared" si="187"/>
        <v>1.2901695775394517E-21</v>
      </c>
      <c r="AB226" s="3">
        <f t="shared" si="187"/>
        <v>4.7260222047206932E-202</v>
      </c>
      <c r="AC226" s="3">
        <f t="shared" si="187"/>
        <v>0</v>
      </c>
      <c r="AD226" s="3">
        <f t="shared" si="187"/>
        <v>0</v>
      </c>
      <c r="AE226" s="3">
        <f t="shared" si="187"/>
        <v>0</v>
      </c>
      <c r="AF226" s="3">
        <f t="shared" si="187"/>
        <v>0</v>
      </c>
      <c r="AG226" s="3"/>
      <c r="AH226" s="3"/>
    </row>
    <row r="227" spans="2:34" x14ac:dyDescent="0.25">
      <c r="B227" s="3">
        <f t="shared" ref="B227:AF227" si="188">$C35*EXP(-B$207/$A35/EXP(-$D$126))</f>
        <v>0.12974291069495422</v>
      </c>
      <c r="C227" s="3">
        <f t="shared" si="188"/>
        <v>0.12974291069495422</v>
      </c>
      <c r="D227" s="3">
        <f t="shared" si="188"/>
        <v>0.12974291069495422</v>
      </c>
      <c r="E227" s="3">
        <f t="shared" si="188"/>
        <v>0.12974291069495422</v>
      </c>
      <c r="F227" s="3">
        <f t="shared" si="188"/>
        <v>0.12974291069495422</v>
      </c>
      <c r="G227" s="3">
        <f t="shared" si="188"/>
        <v>0.12974291069495422</v>
      </c>
      <c r="H227" s="3">
        <f t="shared" si="188"/>
        <v>0.12974291069495422</v>
      </c>
      <c r="I227" s="3">
        <f t="shared" si="188"/>
        <v>0.12974291069495422</v>
      </c>
      <c r="J227" s="3">
        <f t="shared" si="188"/>
        <v>0.12974291069495422</v>
      </c>
      <c r="K227" s="3">
        <f t="shared" si="188"/>
        <v>0.12974291069495417</v>
      </c>
      <c r="L227" s="3">
        <f t="shared" si="188"/>
        <v>0.12974291069495367</v>
      </c>
      <c r="M227" s="3">
        <f t="shared" si="188"/>
        <v>0.12974291069494881</v>
      </c>
      <c r="N227" s="3">
        <f t="shared" si="188"/>
        <v>0.12974291069490018</v>
      </c>
      <c r="O227" s="3">
        <f t="shared" si="188"/>
        <v>0.12974291069441393</v>
      </c>
      <c r="P227" s="3">
        <f t="shared" si="188"/>
        <v>0.12974291068955132</v>
      </c>
      <c r="Q227" s="3">
        <f t="shared" si="188"/>
        <v>0.12974291064092522</v>
      </c>
      <c r="R227" s="3">
        <f t="shared" si="188"/>
        <v>0.12974291015466419</v>
      </c>
      <c r="S227" s="3">
        <f t="shared" si="188"/>
        <v>0.12974290529205393</v>
      </c>
      <c r="T227" s="3">
        <f t="shared" si="188"/>
        <v>0.1297428566659615</v>
      </c>
      <c r="U227" s="3">
        <f t="shared" si="188"/>
        <v>0.12974237040603945</v>
      </c>
      <c r="V227" s="3">
        <f t="shared" si="188"/>
        <v>0.12973750790705191</v>
      </c>
      <c r="W227" s="3">
        <f t="shared" si="188"/>
        <v>0.12968889293909999</v>
      </c>
      <c r="X227" s="3">
        <f t="shared" si="188"/>
        <v>0.12920374406356014</v>
      </c>
      <c r="Y227" s="3">
        <f t="shared" si="188"/>
        <v>0.12445096167826993</v>
      </c>
      <c r="Z227" s="3">
        <f t="shared" si="188"/>
        <v>8.5551935204868257E-2</v>
      </c>
      <c r="AA227" s="3">
        <f t="shared" si="188"/>
        <v>2.016255880512581E-3</v>
      </c>
      <c r="AB227" s="3">
        <f t="shared" si="188"/>
        <v>1.0658687738910979E-19</v>
      </c>
      <c r="AC227" s="3">
        <f t="shared" si="188"/>
        <v>1.816706039907433E-182</v>
      </c>
      <c r="AD227" s="3">
        <f t="shared" si="188"/>
        <v>0</v>
      </c>
      <c r="AE227" s="3">
        <f t="shared" si="188"/>
        <v>0</v>
      </c>
      <c r="AF227" s="3">
        <f t="shared" si="188"/>
        <v>0</v>
      </c>
      <c r="AG227" s="3"/>
      <c r="AH227" s="3"/>
    </row>
    <row r="228" spans="2:34" x14ac:dyDescent="0.25">
      <c r="B228" s="3">
        <f t="shared" ref="B228:AF228" si="189">$C36*EXP(-B$207/$A36/EXP(-$D$126))</f>
        <v>0.10714334071735752</v>
      </c>
      <c r="C228" s="3">
        <f t="shared" si="189"/>
        <v>0.10714334071735752</v>
      </c>
      <c r="D228" s="3">
        <f t="shared" si="189"/>
        <v>0.10714334071735752</v>
      </c>
      <c r="E228" s="3">
        <f t="shared" si="189"/>
        <v>0.10714334071735752</v>
      </c>
      <c r="F228" s="3">
        <f t="shared" si="189"/>
        <v>0.10714334071735752</v>
      </c>
      <c r="G228" s="3">
        <f t="shared" si="189"/>
        <v>0.10714334071735752</v>
      </c>
      <c r="H228" s="3">
        <f t="shared" si="189"/>
        <v>0.10714334071735752</v>
      </c>
      <c r="I228" s="3">
        <f t="shared" si="189"/>
        <v>0.10714334071735752</v>
      </c>
      <c r="J228" s="3">
        <f t="shared" si="189"/>
        <v>0.10714334071735752</v>
      </c>
      <c r="K228" s="3">
        <f t="shared" si="189"/>
        <v>0.10714334071735752</v>
      </c>
      <c r="L228" s="3">
        <f t="shared" si="189"/>
        <v>0.10714334071735748</v>
      </c>
      <c r="M228" s="3">
        <f t="shared" si="189"/>
        <v>0.10714334071735712</v>
      </c>
      <c r="N228" s="3">
        <f t="shared" si="189"/>
        <v>0.1071433407173535</v>
      </c>
      <c r="O228" s="3">
        <f t="shared" si="189"/>
        <v>0.10714334071731726</v>
      </c>
      <c r="P228" s="3">
        <f t="shared" si="189"/>
        <v>0.10714334071695504</v>
      </c>
      <c r="Q228" s="3">
        <f t="shared" si="189"/>
        <v>0.10714334071333262</v>
      </c>
      <c r="R228" s="3">
        <f t="shared" si="189"/>
        <v>0.10714334067710853</v>
      </c>
      <c r="S228" s="3">
        <f t="shared" si="189"/>
        <v>0.10714334031486752</v>
      </c>
      <c r="T228" s="3">
        <f t="shared" si="189"/>
        <v>0.10714333669245756</v>
      </c>
      <c r="U228" s="3">
        <f t="shared" si="189"/>
        <v>0.10714330046836468</v>
      </c>
      <c r="V228" s="3">
        <f t="shared" si="189"/>
        <v>0.10714293822810946</v>
      </c>
      <c r="W228" s="3">
        <f t="shared" si="189"/>
        <v>0.10713931589291485</v>
      </c>
      <c r="X228" s="3">
        <f t="shared" si="189"/>
        <v>0.10710309927588747</v>
      </c>
      <c r="Y228" s="3">
        <f t="shared" si="189"/>
        <v>0.10674160575575672</v>
      </c>
      <c r="Z228" s="3">
        <f t="shared" si="189"/>
        <v>0.10319310168358835</v>
      </c>
      <c r="AA228" s="3">
        <f t="shared" si="189"/>
        <v>7.3590204745319784E-2</v>
      </c>
      <c r="AB228" s="3">
        <f t="shared" si="189"/>
        <v>2.503303236524593E-3</v>
      </c>
      <c r="AC228" s="3">
        <f t="shared" si="189"/>
        <v>5.1933543617988397E-18</v>
      </c>
      <c r="AD228" s="3">
        <f t="shared" si="189"/>
        <v>7.6699568336619717E-165</v>
      </c>
      <c r="AE228" s="3">
        <f t="shared" si="189"/>
        <v>0</v>
      </c>
      <c r="AF228" s="3">
        <f t="shared" si="189"/>
        <v>0</v>
      </c>
      <c r="AG228" s="3"/>
      <c r="AH228" s="3"/>
    </row>
    <row r="229" spans="2:34" x14ac:dyDescent="0.25">
      <c r="B229" s="3">
        <f t="shared" ref="B229:AF229" si="190">$C37*EXP(-B$207/$A37/EXP(-$D$126))</f>
        <v>7.467332001482109E-2</v>
      </c>
      <c r="C229" s="3">
        <f t="shared" si="190"/>
        <v>7.467332001482109E-2</v>
      </c>
      <c r="D229" s="3">
        <f t="shared" si="190"/>
        <v>7.467332001482109E-2</v>
      </c>
      <c r="E229" s="3">
        <f t="shared" si="190"/>
        <v>7.467332001482109E-2</v>
      </c>
      <c r="F229" s="3">
        <f t="shared" si="190"/>
        <v>7.467332001482109E-2</v>
      </c>
      <c r="G229" s="3">
        <f t="shared" si="190"/>
        <v>7.467332001482109E-2</v>
      </c>
      <c r="H229" s="3">
        <f t="shared" si="190"/>
        <v>7.467332001482109E-2</v>
      </c>
      <c r="I229" s="3">
        <f t="shared" si="190"/>
        <v>7.467332001482109E-2</v>
      </c>
      <c r="J229" s="3">
        <f t="shared" si="190"/>
        <v>7.467332001482109E-2</v>
      </c>
      <c r="K229" s="3">
        <f t="shared" si="190"/>
        <v>7.467332001482109E-2</v>
      </c>
      <c r="L229" s="3">
        <f t="shared" si="190"/>
        <v>7.467332001482109E-2</v>
      </c>
      <c r="M229" s="3">
        <f t="shared" si="190"/>
        <v>7.4673320014821062E-2</v>
      </c>
      <c r="N229" s="3">
        <f t="shared" si="190"/>
        <v>7.4673320014820826E-2</v>
      </c>
      <c r="O229" s="3">
        <f t="shared" si="190"/>
        <v>7.4673320014818564E-2</v>
      </c>
      <c r="P229" s="3">
        <f t="shared" si="190"/>
        <v>7.4673320014795791E-2</v>
      </c>
      <c r="Q229" s="3">
        <f t="shared" si="190"/>
        <v>7.4673320014568043E-2</v>
      </c>
      <c r="R229" s="3">
        <f t="shared" si="190"/>
        <v>7.4673320012290614E-2</v>
      </c>
      <c r="S229" s="3">
        <f t="shared" si="190"/>
        <v>7.4673319989516346E-2</v>
      </c>
      <c r="T229" s="3">
        <f t="shared" si="190"/>
        <v>7.4673319761773632E-2</v>
      </c>
      <c r="U229" s="3">
        <f t="shared" si="190"/>
        <v>7.4673317484346621E-2</v>
      </c>
      <c r="V229" s="3">
        <f t="shared" si="190"/>
        <v>7.467329471008026E-2</v>
      </c>
      <c r="W229" s="3">
        <f t="shared" si="190"/>
        <v>7.4673066967798712E-2</v>
      </c>
      <c r="X229" s="3">
        <f t="shared" si="190"/>
        <v>7.4670789583184655E-2</v>
      </c>
      <c r="Y229" s="3">
        <f t="shared" si="190"/>
        <v>7.4648019556765893E-2</v>
      </c>
      <c r="Z229" s="3">
        <f t="shared" si="190"/>
        <v>7.4420700834072012E-2</v>
      </c>
      <c r="AA229" s="3">
        <f t="shared" si="190"/>
        <v>7.218524069739321E-2</v>
      </c>
      <c r="AB229" s="3">
        <f t="shared" si="190"/>
        <v>5.3210206329857422E-2</v>
      </c>
      <c r="AC229" s="3">
        <f t="shared" si="190"/>
        <v>2.5203466800267074E-3</v>
      </c>
      <c r="AD229" s="3">
        <f t="shared" si="190"/>
        <v>1.4325628527373125E-16</v>
      </c>
      <c r="AE229" s="3">
        <f t="shared" si="190"/>
        <v>5.0425209114861695E-149</v>
      </c>
      <c r="AF229" s="3">
        <f t="shared" si="190"/>
        <v>0</v>
      </c>
      <c r="AG229" s="3"/>
      <c r="AH229" s="3"/>
    </row>
    <row r="230" spans="2:34" x14ac:dyDescent="0.25">
      <c r="B230" s="3">
        <f t="shared" ref="B230:AF230" si="191">$C38*EXP(-B$207/$A38/EXP(-$D$126))</f>
        <v>2.5720461590382049E-2</v>
      </c>
      <c r="C230" s="3">
        <f t="shared" si="191"/>
        <v>2.5720461590382049E-2</v>
      </c>
      <c r="D230" s="3">
        <f t="shared" si="191"/>
        <v>2.5720461590382049E-2</v>
      </c>
      <c r="E230" s="3">
        <f t="shared" si="191"/>
        <v>2.5720461590382049E-2</v>
      </c>
      <c r="F230" s="3">
        <f t="shared" si="191"/>
        <v>2.5720461590382049E-2</v>
      </c>
      <c r="G230" s="3">
        <f t="shared" si="191"/>
        <v>2.5720461590382049E-2</v>
      </c>
      <c r="H230" s="3">
        <f t="shared" si="191"/>
        <v>2.5720461590382049E-2</v>
      </c>
      <c r="I230" s="3">
        <f t="shared" si="191"/>
        <v>2.5720461590382049E-2</v>
      </c>
      <c r="J230" s="3">
        <f t="shared" si="191"/>
        <v>2.5720461590382049E-2</v>
      </c>
      <c r="K230" s="3">
        <f t="shared" si="191"/>
        <v>2.5720461590382049E-2</v>
      </c>
      <c r="L230" s="3">
        <f t="shared" si="191"/>
        <v>2.5720461590382049E-2</v>
      </c>
      <c r="M230" s="3">
        <f t="shared" si="191"/>
        <v>2.5720461590382049E-2</v>
      </c>
      <c r="N230" s="3">
        <f t="shared" si="191"/>
        <v>2.5720461590382042E-2</v>
      </c>
      <c r="O230" s="3">
        <f t="shared" si="191"/>
        <v>2.5720461590381969E-2</v>
      </c>
      <c r="P230" s="3">
        <f t="shared" si="191"/>
        <v>2.5720461590381265E-2</v>
      </c>
      <c r="Q230" s="3">
        <f t="shared" si="191"/>
        <v>2.5720461590374187E-2</v>
      </c>
      <c r="R230" s="3">
        <f t="shared" si="191"/>
        <v>2.5720461590303424E-2</v>
      </c>
      <c r="S230" s="3">
        <f t="shared" si="191"/>
        <v>2.5720461589595796E-2</v>
      </c>
      <c r="T230" s="3">
        <f t="shared" si="191"/>
        <v>2.5720461582519526E-2</v>
      </c>
      <c r="U230" s="3">
        <f t="shared" si="191"/>
        <v>2.5720461511756831E-2</v>
      </c>
      <c r="V230" s="3">
        <f t="shared" si="191"/>
        <v>2.5720460804129895E-2</v>
      </c>
      <c r="W230" s="3">
        <f t="shared" si="191"/>
        <v>2.5720453727861574E-2</v>
      </c>
      <c r="X230" s="3">
        <f t="shared" si="191"/>
        <v>2.572038296528547E-2</v>
      </c>
      <c r="Y230" s="3">
        <f t="shared" si="191"/>
        <v>2.5719675350231883E-2</v>
      </c>
      <c r="Z230" s="3">
        <f t="shared" si="191"/>
        <v>2.5712600270336235E-2</v>
      </c>
      <c r="AA230" s="3">
        <f t="shared" si="191"/>
        <v>2.5641956426492675E-2</v>
      </c>
      <c r="AB230" s="3">
        <f t="shared" si="191"/>
        <v>2.4946105420756298E-2</v>
      </c>
      <c r="AC230" s="3">
        <f t="shared" si="191"/>
        <v>1.8946051257717117E-2</v>
      </c>
      <c r="AD230" s="3">
        <f t="shared" si="191"/>
        <v>1.2097015974528796E-3</v>
      </c>
      <c r="AE230" s="3">
        <f t="shared" si="191"/>
        <v>1.3623030102980136E-15</v>
      </c>
      <c r="AF230" s="3">
        <f t="shared" si="191"/>
        <v>4.4691850535463415E-135</v>
      </c>
      <c r="AG230" s="3"/>
      <c r="AH230" s="3"/>
    </row>
    <row r="231" spans="2:34" x14ac:dyDescent="0.25">
      <c r="B231" s="3">
        <f t="shared" ref="B231:AF231" si="192">$C39*EXP(-B$207/$A39/EXP(-$D$126))</f>
        <v>2.4141304859351478E-2</v>
      </c>
      <c r="C231" s="3">
        <f t="shared" si="192"/>
        <v>2.4141304859351478E-2</v>
      </c>
      <c r="D231" s="3">
        <f t="shared" si="192"/>
        <v>2.4141304859351478E-2</v>
      </c>
      <c r="E231" s="3">
        <f t="shared" si="192"/>
        <v>2.4141304859351478E-2</v>
      </c>
      <c r="F231" s="3">
        <f t="shared" si="192"/>
        <v>2.4141304859351478E-2</v>
      </c>
      <c r="G231" s="3">
        <f t="shared" si="192"/>
        <v>2.4141304859351478E-2</v>
      </c>
      <c r="H231" s="3">
        <f t="shared" si="192"/>
        <v>2.4141304859351478E-2</v>
      </c>
      <c r="I231" s="3">
        <f t="shared" si="192"/>
        <v>2.4141304859351478E-2</v>
      </c>
      <c r="J231" s="3">
        <f t="shared" si="192"/>
        <v>2.4141304859351478E-2</v>
      </c>
      <c r="K231" s="3">
        <f t="shared" si="192"/>
        <v>2.4141304859351478E-2</v>
      </c>
      <c r="L231" s="3">
        <f t="shared" si="192"/>
        <v>2.4141304859351478E-2</v>
      </c>
      <c r="M231" s="3">
        <f t="shared" si="192"/>
        <v>2.4141304859351478E-2</v>
      </c>
      <c r="N231" s="3">
        <f t="shared" si="192"/>
        <v>2.4141304859351474E-2</v>
      </c>
      <c r="O231" s="3">
        <f t="shared" si="192"/>
        <v>2.4141304859351457E-2</v>
      </c>
      <c r="P231" s="3">
        <f t="shared" si="192"/>
        <v>2.4141304859351273E-2</v>
      </c>
      <c r="Q231" s="3">
        <f t="shared" si="192"/>
        <v>2.4141304859349434E-2</v>
      </c>
      <c r="R231" s="3">
        <f t="shared" si="192"/>
        <v>2.4141304859331067E-2</v>
      </c>
      <c r="S231" s="3">
        <f t="shared" si="192"/>
        <v>2.414130485914737E-2</v>
      </c>
      <c r="T231" s="3">
        <f t="shared" si="192"/>
        <v>2.4141304857310412E-2</v>
      </c>
      <c r="U231" s="3">
        <f t="shared" si="192"/>
        <v>2.4141304838940836E-2</v>
      </c>
      <c r="V231" s="3">
        <f t="shared" si="192"/>
        <v>2.4141304655245041E-2</v>
      </c>
      <c r="W231" s="3">
        <f t="shared" si="192"/>
        <v>2.4141302818287205E-2</v>
      </c>
      <c r="X231" s="3">
        <f t="shared" si="192"/>
        <v>2.4141284448716497E-2</v>
      </c>
      <c r="Y231" s="3">
        <f t="shared" si="192"/>
        <v>2.4141100753778205E-2</v>
      </c>
      <c r="Z231" s="3">
        <f t="shared" si="192"/>
        <v>2.4139263881270596E-2</v>
      </c>
      <c r="AA231" s="3">
        <f t="shared" si="192"/>
        <v>2.4120902841559839E-2</v>
      </c>
      <c r="AB231" s="3">
        <f t="shared" si="192"/>
        <v>2.3938058821645861E-2</v>
      </c>
      <c r="AC231" s="3">
        <f t="shared" si="192"/>
        <v>2.2184141897269766E-2</v>
      </c>
      <c r="AD231" s="3">
        <f t="shared" si="192"/>
        <v>1.0365247607507117E-2</v>
      </c>
      <c r="AE231" s="3">
        <f t="shared" si="192"/>
        <v>5.13984647729403E-6</v>
      </c>
      <c r="AF231" s="3">
        <f t="shared" si="192"/>
        <v>4.620136515928196E-39</v>
      </c>
      <c r="AG231" s="3"/>
      <c r="AH231" s="3"/>
    </row>
    <row r="232" spans="2:34" x14ac:dyDescent="0.25">
      <c r="B232" s="3">
        <f t="shared" ref="B232:AF232" si="193">$C40*EXP(-B$207/$A40/EXP(-$D$126))</f>
        <v>1.2214190227025473E-2</v>
      </c>
      <c r="C232" s="3">
        <f t="shared" si="193"/>
        <v>1.2214190227025473E-2</v>
      </c>
      <c r="D232" s="3">
        <f t="shared" si="193"/>
        <v>1.2214190227025473E-2</v>
      </c>
      <c r="E232" s="3">
        <f t="shared" si="193"/>
        <v>1.2214190227025473E-2</v>
      </c>
      <c r="F232" s="3">
        <f t="shared" si="193"/>
        <v>1.2214190227025473E-2</v>
      </c>
      <c r="G232" s="3">
        <f t="shared" si="193"/>
        <v>1.2214190227025473E-2</v>
      </c>
      <c r="H232" s="3">
        <f t="shared" si="193"/>
        <v>1.2214190227025473E-2</v>
      </c>
      <c r="I232" s="3">
        <f t="shared" si="193"/>
        <v>1.2214190227025473E-2</v>
      </c>
      <c r="J232" s="3">
        <f t="shared" si="193"/>
        <v>1.2214190227025473E-2</v>
      </c>
      <c r="K232" s="3">
        <f t="shared" si="193"/>
        <v>1.2214190227025473E-2</v>
      </c>
      <c r="L232" s="3">
        <f t="shared" si="193"/>
        <v>1.2214190227025473E-2</v>
      </c>
      <c r="M232" s="3">
        <f t="shared" si="193"/>
        <v>1.2214190227025473E-2</v>
      </c>
      <c r="N232" s="3">
        <f t="shared" si="193"/>
        <v>1.2214190227025473E-2</v>
      </c>
      <c r="O232" s="3">
        <f t="shared" si="193"/>
        <v>1.2214190227025471E-2</v>
      </c>
      <c r="P232" s="3">
        <f t="shared" si="193"/>
        <v>1.2214190227025462E-2</v>
      </c>
      <c r="Q232" s="3">
        <f t="shared" si="193"/>
        <v>1.221419022702537E-2</v>
      </c>
      <c r="R232" s="3">
        <f t="shared" si="193"/>
        <v>1.2214190227024439E-2</v>
      </c>
      <c r="S232" s="3">
        <f t="shared" si="193"/>
        <v>1.2214190227015146E-2</v>
      </c>
      <c r="T232" s="3">
        <f t="shared" si="193"/>
        <v>1.2214190226922206E-2</v>
      </c>
      <c r="U232" s="3">
        <f t="shared" si="193"/>
        <v>1.2214190225992804E-2</v>
      </c>
      <c r="V232" s="3">
        <f t="shared" si="193"/>
        <v>1.2214190216698796E-2</v>
      </c>
      <c r="W232" s="3">
        <f t="shared" si="193"/>
        <v>1.2214190123758692E-2</v>
      </c>
      <c r="X232" s="3">
        <f t="shared" si="193"/>
        <v>1.2214189194357709E-2</v>
      </c>
      <c r="Y232" s="3">
        <f t="shared" si="193"/>
        <v>1.2214179900351759E-2</v>
      </c>
      <c r="Z232" s="3">
        <f t="shared" si="193"/>
        <v>1.2214086960681219E-2</v>
      </c>
      <c r="AA232" s="3">
        <f t="shared" si="193"/>
        <v>1.2213157602870551E-2</v>
      </c>
      <c r="AB232" s="3">
        <f t="shared" si="193"/>
        <v>1.2203867913141694E-2</v>
      </c>
      <c r="AC232" s="3">
        <f t="shared" si="193"/>
        <v>1.2111358761125486E-2</v>
      </c>
      <c r="AD232" s="3">
        <f t="shared" si="193"/>
        <v>1.1223971973976295E-2</v>
      </c>
      <c r="AE232" s="3">
        <f t="shared" si="193"/>
        <v>5.2442528175634662E-3</v>
      </c>
      <c r="AF232" s="3">
        <f t="shared" si="193"/>
        <v>2.6004834029117396E-6</v>
      </c>
      <c r="AG232" s="3"/>
      <c r="AH232" s="3"/>
    </row>
    <row r="233" spans="2:34" x14ac:dyDescent="0.25">
      <c r="B233" s="3">
        <f t="shared" ref="B233:AF233" si="194">$C41*EXP(-B$207/$A41/EXP(-$D$126))</f>
        <v>8.0564872453676788E-4</v>
      </c>
      <c r="C233" s="3">
        <f t="shared" si="194"/>
        <v>8.0564872453676788E-4</v>
      </c>
      <c r="D233" s="3">
        <f t="shared" si="194"/>
        <v>8.0564872453676788E-4</v>
      </c>
      <c r="E233" s="3">
        <f t="shared" si="194"/>
        <v>8.0564872453676788E-4</v>
      </c>
      <c r="F233" s="3">
        <f t="shared" si="194"/>
        <v>8.0564872453676788E-4</v>
      </c>
      <c r="G233" s="3">
        <f t="shared" si="194"/>
        <v>8.0564872453676788E-4</v>
      </c>
      <c r="H233" s="3">
        <f t="shared" si="194"/>
        <v>8.0564872453676788E-4</v>
      </c>
      <c r="I233" s="3">
        <f t="shared" si="194"/>
        <v>8.0564872453676788E-4</v>
      </c>
      <c r="J233" s="3">
        <f t="shared" si="194"/>
        <v>8.0564872453676788E-4</v>
      </c>
      <c r="K233" s="3">
        <f t="shared" si="194"/>
        <v>8.0564872453676788E-4</v>
      </c>
      <c r="L233" s="3">
        <f t="shared" si="194"/>
        <v>8.0564872453676788E-4</v>
      </c>
      <c r="M233" s="3">
        <f t="shared" si="194"/>
        <v>8.0564872453676788E-4</v>
      </c>
      <c r="N233" s="3">
        <f t="shared" si="194"/>
        <v>8.0564872453676788E-4</v>
      </c>
      <c r="O233" s="3">
        <f t="shared" si="194"/>
        <v>8.0564872453676788E-4</v>
      </c>
      <c r="P233" s="3">
        <f t="shared" si="194"/>
        <v>8.0564872453676778E-4</v>
      </c>
      <c r="Q233" s="3">
        <f t="shared" si="194"/>
        <v>8.0564872453676713E-4</v>
      </c>
      <c r="R233" s="3">
        <f t="shared" si="194"/>
        <v>8.0564872453676105E-4</v>
      </c>
      <c r="S233" s="3">
        <f t="shared" si="194"/>
        <v>8.0564872453669969E-4</v>
      </c>
      <c r="T233" s="3">
        <f t="shared" si="194"/>
        <v>8.0564872453608679E-4</v>
      </c>
      <c r="U233" s="3">
        <f t="shared" si="194"/>
        <v>8.0564872452995638E-4</v>
      </c>
      <c r="V233" s="3">
        <f t="shared" si="194"/>
        <v>8.0564872446865299E-4</v>
      </c>
      <c r="W233" s="3">
        <f t="shared" si="194"/>
        <v>8.056487238556196E-4</v>
      </c>
      <c r="X233" s="3">
        <f t="shared" si="194"/>
        <v>8.0564871772528487E-4</v>
      </c>
      <c r="Y233" s="3">
        <f t="shared" si="194"/>
        <v>8.0564865642193987E-4</v>
      </c>
      <c r="Z233" s="3">
        <f t="shared" si="194"/>
        <v>8.0564804338874643E-4</v>
      </c>
      <c r="AA233" s="3">
        <f t="shared" si="194"/>
        <v>8.0564191308246853E-4</v>
      </c>
      <c r="AB233" s="3">
        <f t="shared" si="194"/>
        <v>8.0558061258518741E-4</v>
      </c>
      <c r="AC233" s="3">
        <f t="shared" si="194"/>
        <v>8.0496786409001196E-4</v>
      </c>
      <c r="AD233" s="3">
        <f t="shared" si="194"/>
        <v>7.9886595483982445E-4</v>
      </c>
      <c r="AE233" s="3">
        <f t="shared" si="194"/>
        <v>7.4033386880307118E-4</v>
      </c>
      <c r="AF233" s="3">
        <f t="shared" si="194"/>
        <v>3.4591123235250943E-4</v>
      </c>
      <c r="AG233" s="3"/>
      <c r="AH233" s="3"/>
    </row>
    <row r="234" spans="2:34" x14ac:dyDescent="0.25">
      <c r="B234" s="3">
        <f t="shared" ref="B234:AF234" si="195">$C42*EXP(-B$207/$A42/EXP(-$D$126))</f>
        <v>2.8733708973087426E-3</v>
      </c>
      <c r="C234" s="3">
        <f t="shared" si="195"/>
        <v>2.8733708973087426E-3</v>
      </c>
      <c r="D234" s="3">
        <f t="shared" si="195"/>
        <v>2.8733708973087426E-3</v>
      </c>
      <c r="E234" s="3">
        <f t="shared" si="195"/>
        <v>2.8733708973087426E-3</v>
      </c>
      <c r="F234" s="3">
        <f t="shared" si="195"/>
        <v>2.8733708973087426E-3</v>
      </c>
      <c r="G234" s="3">
        <f t="shared" si="195"/>
        <v>2.8733708973087426E-3</v>
      </c>
      <c r="H234" s="3">
        <f t="shared" si="195"/>
        <v>2.8733708973087426E-3</v>
      </c>
      <c r="I234" s="3">
        <f t="shared" si="195"/>
        <v>2.8733708973087426E-3</v>
      </c>
      <c r="J234" s="3">
        <f t="shared" si="195"/>
        <v>2.8733708973087426E-3</v>
      </c>
      <c r="K234" s="3">
        <f t="shared" si="195"/>
        <v>2.8733708973087426E-3</v>
      </c>
      <c r="L234" s="3">
        <f t="shared" si="195"/>
        <v>2.8733708973087426E-3</v>
      </c>
      <c r="M234" s="3">
        <f t="shared" si="195"/>
        <v>2.8733708973087426E-3</v>
      </c>
      <c r="N234" s="3">
        <f t="shared" si="195"/>
        <v>2.8733708973087426E-3</v>
      </c>
      <c r="O234" s="3">
        <f t="shared" si="195"/>
        <v>2.8733708973087426E-3</v>
      </c>
      <c r="P234" s="3">
        <f t="shared" si="195"/>
        <v>2.8733708973087426E-3</v>
      </c>
      <c r="Q234" s="3">
        <f t="shared" si="195"/>
        <v>2.8733708973087422E-3</v>
      </c>
      <c r="R234" s="3">
        <f t="shared" si="195"/>
        <v>2.87337089730874E-3</v>
      </c>
      <c r="S234" s="3">
        <f t="shared" si="195"/>
        <v>2.8733708973087183E-3</v>
      </c>
      <c r="T234" s="3">
        <f t="shared" si="195"/>
        <v>2.8733708973084993E-3</v>
      </c>
      <c r="U234" s="3">
        <f t="shared" si="195"/>
        <v>2.8733708973063135E-3</v>
      </c>
      <c r="V234" s="3">
        <f t="shared" si="195"/>
        <v>2.8733708972844491E-3</v>
      </c>
      <c r="W234" s="3">
        <f t="shared" si="195"/>
        <v>2.8733708970658089E-3</v>
      </c>
      <c r="X234" s="3">
        <f t="shared" si="195"/>
        <v>2.8733708948794063E-3</v>
      </c>
      <c r="Y234" s="3">
        <f t="shared" si="195"/>
        <v>2.8733708730153793E-3</v>
      </c>
      <c r="Z234" s="3">
        <f t="shared" si="195"/>
        <v>2.8733706543751184E-3</v>
      </c>
      <c r="AA234" s="3">
        <f t="shared" si="195"/>
        <v>2.8733684679734233E-3</v>
      </c>
      <c r="AB234" s="3">
        <f t="shared" si="195"/>
        <v>2.873346604047975E-3</v>
      </c>
      <c r="AC234" s="3">
        <f t="shared" si="195"/>
        <v>2.8731279739434225E-3</v>
      </c>
      <c r="AD234" s="3">
        <f t="shared" si="195"/>
        <v>2.8709425876332546E-3</v>
      </c>
      <c r="AE234" s="3">
        <f t="shared" si="195"/>
        <v>2.8491799410560025E-3</v>
      </c>
      <c r="AF234" s="3">
        <f t="shared" si="195"/>
        <v>2.6404234601548737E-3</v>
      </c>
      <c r="AG234" s="3"/>
      <c r="AH234" s="3"/>
    </row>
    <row r="235" spans="2:34" x14ac:dyDescent="0.25">
      <c r="B235" s="3">
        <f t="shared" ref="B235:AF235" si="196">$C43*EXP(-B$207/$A43/EXP(-$D$126))</f>
        <v>0</v>
      </c>
      <c r="C235" s="3">
        <f t="shared" si="196"/>
        <v>0</v>
      </c>
      <c r="D235" s="3">
        <f t="shared" si="196"/>
        <v>0</v>
      </c>
      <c r="E235" s="3">
        <f t="shared" si="196"/>
        <v>0</v>
      </c>
      <c r="F235" s="3">
        <f t="shared" si="196"/>
        <v>0</v>
      </c>
      <c r="G235" s="3">
        <f t="shared" si="196"/>
        <v>0</v>
      </c>
      <c r="H235" s="3">
        <f t="shared" si="196"/>
        <v>0</v>
      </c>
      <c r="I235" s="3">
        <f t="shared" si="196"/>
        <v>0</v>
      </c>
      <c r="J235" s="3">
        <f t="shared" si="196"/>
        <v>0</v>
      </c>
      <c r="K235" s="3">
        <f t="shared" si="196"/>
        <v>0</v>
      </c>
      <c r="L235" s="3">
        <f t="shared" si="196"/>
        <v>0</v>
      </c>
      <c r="M235" s="3">
        <f t="shared" si="196"/>
        <v>0</v>
      </c>
      <c r="N235" s="3">
        <f t="shared" si="196"/>
        <v>0</v>
      </c>
      <c r="O235" s="3">
        <f t="shared" si="196"/>
        <v>0</v>
      </c>
      <c r="P235" s="3">
        <f t="shared" si="196"/>
        <v>0</v>
      </c>
      <c r="Q235" s="3">
        <f t="shared" si="196"/>
        <v>0</v>
      </c>
      <c r="R235" s="3">
        <f t="shared" si="196"/>
        <v>0</v>
      </c>
      <c r="S235" s="3">
        <f t="shared" si="196"/>
        <v>0</v>
      </c>
      <c r="T235" s="3">
        <f t="shared" si="196"/>
        <v>0</v>
      </c>
      <c r="U235" s="3">
        <f t="shared" si="196"/>
        <v>0</v>
      </c>
      <c r="V235" s="3">
        <f t="shared" si="196"/>
        <v>0</v>
      </c>
      <c r="W235" s="3">
        <f t="shared" si="196"/>
        <v>0</v>
      </c>
      <c r="X235" s="3">
        <f t="shared" si="196"/>
        <v>0</v>
      </c>
      <c r="Y235" s="3">
        <f t="shared" si="196"/>
        <v>0</v>
      </c>
      <c r="Z235" s="3">
        <f t="shared" si="196"/>
        <v>0</v>
      </c>
      <c r="AA235" s="3">
        <f t="shared" si="196"/>
        <v>0</v>
      </c>
      <c r="AB235" s="3">
        <f t="shared" si="196"/>
        <v>0</v>
      </c>
      <c r="AC235" s="3">
        <f t="shared" si="196"/>
        <v>0</v>
      </c>
      <c r="AD235" s="3">
        <f t="shared" si="196"/>
        <v>0</v>
      </c>
      <c r="AE235" s="3">
        <f t="shared" si="196"/>
        <v>0</v>
      </c>
      <c r="AF235" s="3">
        <f t="shared" si="196"/>
        <v>0</v>
      </c>
      <c r="AG235" s="3"/>
      <c r="AH235" s="3"/>
    </row>
    <row r="236" spans="2:34" x14ac:dyDescent="0.25">
      <c r="B236" s="3">
        <f t="shared" ref="B236:AF236" si="197">$C44*EXP(-B$207/$A44/EXP(-$D$126))</f>
        <v>1.6248048079890072E-4</v>
      </c>
      <c r="C236" s="3">
        <f t="shared" si="197"/>
        <v>1.6248048079890072E-4</v>
      </c>
      <c r="D236" s="3">
        <f t="shared" si="197"/>
        <v>1.6248048079890072E-4</v>
      </c>
      <c r="E236" s="3">
        <f t="shared" si="197"/>
        <v>1.6248048079890072E-4</v>
      </c>
      <c r="F236" s="3">
        <f t="shared" si="197"/>
        <v>1.6248048079890072E-4</v>
      </c>
      <c r="G236" s="3">
        <f t="shared" si="197"/>
        <v>1.6248048079890072E-4</v>
      </c>
      <c r="H236" s="3">
        <f t="shared" si="197"/>
        <v>1.6248048079890072E-4</v>
      </c>
      <c r="I236" s="3">
        <f t="shared" si="197"/>
        <v>1.6248048079890072E-4</v>
      </c>
      <c r="J236" s="3">
        <f t="shared" si="197"/>
        <v>1.6248048079890072E-4</v>
      </c>
      <c r="K236" s="3">
        <f t="shared" si="197"/>
        <v>1.6248048079890072E-4</v>
      </c>
      <c r="L236" s="3">
        <f t="shared" si="197"/>
        <v>1.6248048079890072E-4</v>
      </c>
      <c r="M236" s="3">
        <f t="shared" si="197"/>
        <v>1.6248048079890072E-4</v>
      </c>
      <c r="N236" s="3">
        <f t="shared" si="197"/>
        <v>1.6248048079890072E-4</v>
      </c>
      <c r="O236" s="3">
        <f t="shared" si="197"/>
        <v>1.6248048079890072E-4</v>
      </c>
      <c r="P236" s="3">
        <f t="shared" si="197"/>
        <v>1.6248048079890072E-4</v>
      </c>
      <c r="Q236" s="3">
        <f t="shared" si="197"/>
        <v>1.6248048079890072E-4</v>
      </c>
      <c r="R236" s="3">
        <f t="shared" si="197"/>
        <v>1.6248048079890072E-4</v>
      </c>
      <c r="S236" s="3">
        <f t="shared" si="197"/>
        <v>1.624804807989007E-4</v>
      </c>
      <c r="T236" s="3">
        <f t="shared" si="197"/>
        <v>1.6248048079890059E-4</v>
      </c>
      <c r="U236" s="3">
        <f t="shared" si="197"/>
        <v>1.6248048079889934E-4</v>
      </c>
      <c r="V236" s="3">
        <f t="shared" si="197"/>
        <v>1.6248048079888698E-4</v>
      </c>
      <c r="W236" s="3">
        <f t="shared" si="197"/>
        <v>1.6248048079876335E-4</v>
      </c>
      <c r="X236" s="3">
        <f t="shared" si="197"/>
        <v>1.6248048079752701E-4</v>
      </c>
      <c r="Y236" s="3">
        <f t="shared" si="197"/>
        <v>1.6248048078516356E-4</v>
      </c>
      <c r="Z236" s="3">
        <f t="shared" si="197"/>
        <v>1.6248048066152905E-4</v>
      </c>
      <c r="AA236" s="3">
        <f t="shared" si="197"/>
        <v>1.624804794251841E-4</v>
      </c>
      <c r="AB236" s="3">
        <f t="shared" si="197"/>
        <v>1.6248046706173505E-4</v>
      </c>
      <c r="AC236" s="3">
        <f t="shared" si="197"/>
        <v>1.6248034342729615E-4</v>
      </c>
      <c r="AD236" s="3">
        <f t="shared" si="197"/>
        <v>1.6247910708808136E-4</v>
      </c>
      <c r="AE236" s="3">
        <f t="shared" si="197"/>
        <v>1.6246674421333446E-4</v>
      </c>
      <c r="AF236" s="3">
        <f t="shared" si="197"/>
        <v>1.6234316719139833E-4</v>
      </c>
      <c r="AG236" s="3"/>
      <c r="AH236" s="3"/>
    </row>
    <row r="237" spans="2:34" x14ac:dyDescent="0.25">
      <c r="B237" s="3">
        <f t="shared" ref="B237:AF237" si="198">$C45*EXP(-B$207/$A45/EXP(-$D$126))</f>
        <v>1.2901117231804357E-4</v>
      </c>
      <c r="C237" s="3">
        <f t="shared" si="198"/>
        <v>1.2901117231804357E-4</v>
      </c>
      <c r="D237" s="3">
        <f t="shared" si="198"/>
        <v>1.2901117231804357E-4</v>
      </c>
      <c r="E237" s="3">
        <f t="shared" si="198"/>
        <v>1.2901117231804357E-4</v>
      </c>
      <c r="F237" s="3">
        <f t="shared" si="198"/>
        <v>1.2901117231804357E-4</v>
      </c>
      <c r="G237" s="3">
        <f t="shared" si="198"/>
        <v>1.2901117231804357E-4</v>
      </c>
      <c r="H237" s="3">
        <f t="shared" si="198"/>
        <v>1.2901117231804357E-4</v>
      </c>
      <c r="I237" s="3">
        <f t="shared" si="198"/>
        <v>1.2901117231804357E-4</v>
      </c>
      <c r="J237" s="3">
        <f t="shared" si="198"/>
        <v>1.2901117231804357E-4</v>
      </c>
      <c r="K237" s="3">
        <f t="shared" si="198"/>
        <v>1.2901117231804357E-4</v>
      </c>
      <c r="L237" s="3">
        <f t="shared" si="198"/>
        <v>1.2901117231804357E-4</v>
      </c>
      <c r="M237" s="3">
        <f t="shared" si="198"/>
        <v>1.2901117231804357E-4</v>
      </c>
      <c r="N237" s="3">
        <f t="shared" si="198"/>
        <v>1.2901117231804357E-4</v>
      </c>
      <c r="O237" s="3">
        <f t="shared" si="198"/>
        <v>1.2901117231804357E-4</v>
      </c>
      <c r="P237" s="3">
        <f t="shared" si="198"/>
        <v>1.2901117231804357E-4</v>
      </c>
      <c r="Q237" s="3">
        <f t="shared" si="198"/>
        <v>1.2901117231804357E-4</v>
      </c>
      <c r="R237" s="3">
        <f t="shared" si="198"/>
        <v>1.2901117231804357E-4</v>
      </c>
      <c r="S237" s="3">
        <f t="shared" si="198"/>
        <v>1.2901117231804357E-4</v>
      </c>
      <c r="T237" s="3">
        <f t="shared" si="198"/>
        <v>1.2901117231804354E-4</v>
      </c>
      <c r="U237" s="3">
        <f t="shared" si="198"/>
        <v>1.2901117231804346E-4</v>
      </c>
      <c r="V237" s="3">
        <f t="shared" si="198"/>
        <v>1.2901117231804249E-4</v>
      </c>
      <c r="W237" s="3">
        <f t="shared" si="198"/>
        <v>1.2901117231803265E-4</v>
      </c>
      <c r="X237" s="3">
        <f t="shared" si="198"/>
        <v>1.290111723179345E-4</v>
      </c>
      <c r="Y237" s="3">
        <f t="shared" si="198"/>
        <v>1.2901117231695281E-4</v>
      </c>
      <c r="Z237" s="3">
        <f t="shared" si="198"/>
        <v>1.2901117230713612E-4</v>
      </c>
      <c r="AA237" s="3">
        <f t="shared" si="198"/>
        <v>1.2901117220896906E-4</v>
      </c>
      <c r="AB237" s="3">
        <f t="shared" si="198"/>
        <v>1.2901117122729846E-4</v>
      </c>
      <c r="AC237" s="3">
        <f t="shared" si="198"/>
        <v>1.2901116141059279E-4</v>
      </c>
      <c r="AD237" s="3">
        <f t="shared" si="198"/>
        <v>1.2901106324357713E-4</v>
      </c>
      <c r="AE237" s="3">
        <f t="shared" si="198"/>
        <v>1.2901008157752901E-4</v>
      </c>
      <c r="AF237" s="3">
        <f t="shared" si="198"/>
        <v>1.290002653278695E-4</v>
      </c>
      <c r="AG237" s="3"/>
      <c r="AH237" s="3"/>
    </row>
    <row r="238" spans="2:34" x14ac:dyDescent="0.25">
      <c r="B238" s="3">
        <f t="shared" ref="B238:AF238" si="199">$C46*EXP(-B$207/$A46/EXP(-$D$126))</f>
        <v>0</v>
      </c>
      <c r="C238" s="3">
        <f t="shared" si="199"/>
        <v>0</v>
      </c>
      <c r="D238" s="3">
        <f t="shared" si="199"/>
        <v>0</v>
      </c>
      <c r="E238" s="3">
        <f t="shared" si="199"/>
        <v>0</v>
      </c>
      <c r="F238" s="3">
        <f t="shared" si="199"/>
        <v>0</v>
      </c>
      <c r="G238" s="3">
        <f t="shared" si="199"/>
        <v>0</v>
      </c>
      <c r="H238" s="3">
        <f t="shared" si="199"/>
        <v>0</v>
      </c>
      <c r="I238" s="3">
        <f t="shared" si="199"/>
        <v>0</v>
      </c>
      <c r="J238" s="3">
        <f t="shared" si="199"/>
        <v>0</v>
      </c>
      <c r="K238" s="3">
        <f t="shared" si="199"/>
        <v>0</v>
      </c>
      <c r="L238" s="3">
        <f t="shared" si="199"/>
        <v>0</v>
      </c>
      <c r="M238" s="3">
        <f t="shared" si="199"/>
        <v>0</v>
      </c>
      <c r="N238" s="3">
        <f t="shared" si="199"/>
        <v>0</v>
      </c>
      <c r="O238" s="3">
        <f t="shared" si="199"/>
        <v>0</v>
      </c>
      <c r="P238" s="3">
        <f t="shared" si="199"/>
        <v>0</v>
      </c>
      <c r="Q238" s="3">
        <f t="shared" si="199"/>
        <v>0</v>
      </c>
      <c r="R238" s="3">
        <f t="shared" si="199"/>
        <v>0</v>
      </c>
      <c r="S238" s="3">
        <f t="shared" si="199"/>
        <v>0</v>
      </c>
      <c r="T238" s="3">
        <f t="shared" si="199"/>
        <v>0</v>
      </c>
      <c r="U238" s="3">
        <f t="shared" si="199"/>
        <v>0</v>
      </c>
      <c r="V238" s="3">
        <f t="shared" si="199"/>
        <v>0</v>
      </c>
      <c r="W238" s="3">
        <f t="shared" si="199"/>
        <v>0</v>
      </c>
      <c r="X238" s="3">
        <f t="shared" si="199"/>
        <v>0</v>
      </c>
      <c r="Y238" s="3">
        <f t="shared" si="199"/>
        <v>0</v>
      </c>
      <c r="Z238" s="3">
        <f t="shared" si="199"/>
        <v>0</v>
      </c>
      <c r="AA238" s="3">
        <f t="shared" si="199"/>
        <v>0</v>
      </c>
      <c r="AB238" s="3">
        <f t="shared" si="199"/>
        <v>0</v>
      </c>
      <c r="AC238" s="3">
        <f t="shared" si="199"/>
        <v>0</v>
      </c>
      <c r="AD238" s="3">
        <f t="shared" si="199"/>
        <v>0</v>
      </c>
      <c r="AE238" s="3">
        <f t="shared" si="199"/>
        <v>0</v>
      </c>
      <c r="AF238" s="3">
        <f t="shared" si="199"/>
        <v>0</v>
      </c>
      <c r="AG238" s="3"/>
      <c r="AH238" s="3"/>
    </row>
    <row r="239" spans="2:34" x14ac:dyDescent="0.25">
      <c r="B239" s="3">
        <f t="shared" ref="B239:AF239" si="200">$C47*EXP(-B$207/$A47/EXP(-$D$126))</f>
        <v>7.3508598139721321E-5</v>
      </c>
      <c r="C239" s="3">
        <f t="shared" si="200"/>
        <v>7.3508598139721321E-5</v>
      </c>
      <c r="D239" s="3">
        <f t="shared" si="200"/>
        <v>7.3508598139721321E-5</v>
      </c>
      <c r="E239" s="3">
        <f t="shared" si="200"/>
        <v>7.3508598139721321E-5</v>
      </c>
      <c r="F239" s="3">
        <f t="shared" si="200"/>
        <v>7.3508598139721321E-5</v>
      </c>
      <c r="G239" s="3">
        <f t="shared" si="200"/>
        <v>7.3508598139721321E-5</v>
      </c>
      <c r="H239" s="3">
        <f t="shared" si="200"/>
        <v>7.3508598139721321E-5</v>
      </c>
      <c r="I239" s="3">
        <f t="shared" si="200"/>
        <v>7.3508598139721321E-5</v>
      </c>
      <c r="J239" s="3">
        <f t="shared" si="200"/>
        <v>7.3508598139721321E-5</v>
      </c>
      <c r="K239" s="3">
        <f t="shared" si="200"/>
        <v>7.3508598139721321E-5</v>
      </c>
      <c r="L239" s="3">
        <f t="shared" si="200"/>
        <v>7.3508598139721321E-5</v>
      </c>
      <c r="M239" s="3">
        <f t="shared" si="200"/>
        <v>7.3508598139721321E-5</v>
      </c>
      <c r="N239" s="3">
        <f t="shared" si="200"/>
        <v>7.3508598139721321E-5</v>
      </c>
      <c r="O239" s="3">
        <f t="shared" si="200"/>
        <v>7.3508598139721321E-5</v>
      </c>
      <c r="P239" s="3">
        <f t="shared" si="200"/>
        <v>7.3508598139721321E-5</v>
      </c>
      <c r="Q239" s="3">
        <f t="shared" si="200"/>
        <v>7.3508598139721321E-5</v>
      </c>
      <c r="R239" s="3">
        <f t="shared" si="200"/>
        <v>7.3508598139721321E-5</v>
      </c>
      <c r="S239" s="3">
        <f t="shared" si="200"/>
        <v>7.3508598139721321E-5</v>
      </c>
      <c r="T239" s="3">
        <f t="shared" si="200"/>
        <v>7.3508598139721321E-5</v>
      </c>
      <c r="U239" s="3">
        <f t="shared" si="200"/>
        <v>7.3508598139721321E-5</v>
      </c>
      <c r="V239" s="3">
        <f t="shared" si="200"/>
        <v>7.3508598139721308E-5</v>
      </c>
      <c r="W239" s="3">
        <f t="shared" si="200"/>
        <v>7.3508598139721253E-5</v>
      </c>
      <c r="X239" s="3">
        <f t="shared" si="200"/>
        <v>7.3508598139720698E-5</v>
      </c>
      <c r="Y239" s="3">
        <f t="shared" si="200"/>
        <v>7.35085981397151E-5</v>
      </c>
      <c r="Z239" s="3">
        <f t="shared" si="200"/>
        <v>7.3508598139659169E-5</v>
      </c>
      <c r="AA239" s="3">
        <f t="shared" si="200"/>
        <v>7.3508598139099829E-5</v>
      </c>
      <c r="AB239" s="3">
        <f t="shared" si="200"/>
        <v>7.3508598133506417E-5</v>
      </c>
      <c r="AC239" s="3">
        <f t="shared" si="200"/>
        <v>7.3508598077572332E-5</v>
      </c>
      <c r="AD239" s="3">
        <f t="shared" si="200"/>
        <v>7.3508597518231387E-5</v>
      </c>
      <c r="AE239" s="3">
        <f t="shared" si="200"/>
        <v>7.3508591924822242E-5</v>
      </c>
      <c r="AF239" s="3">
        <f t="shared" si="200"/>
        <v>7.3508535990754088E-5</v>
      </c>
      <c r="AG239" s="3"/>
      <c r="AH239" s="3"/>
    </row>
    <row r="240" spans="2:34" x14ac:dyDescent="0.25">
      <c r="B240" s="3">
        <f t="shared" ref="B240:AF240" si="201">$C48*EXP(-B$207/$A48/EXP(-$D$126))</f>
        <v>6.9573660063357843E-4</v>
      </c>
      <c r="C240" s="3">
        <f t="shared" si="201"/>
        <v>6.9573660063357843E-4</v>
      </c>
      <c r="D240" s="3">
        <f t="shared" si="201"/>
        <v>6.9573660063357843E-4</v>
      </c>
      <c r="E240" s="3">
        <f t="shared" si="201"/>
        <v>6.9573660063357843E-4</v>
      </c>
      <c r="F240" s="3">
        <f t="shared" si="201"/>
        <v>6.9573660063357843E-4</v>
      </c>
      <c r="G240" s="3">
        <f t="shared" si="201"/>
        <v>6.9573660063357843E-4</v>
      </c>
      <c r="H240" s="3">
        <f t="shared" si="201"/>
        <v>6.9573660063357843E-4</v>
      </c>
      <c r="I240" s="3">
        <f t="shared" si="201"/>
        <v>6.9573660063357843E-4</v>
      </c>
      <c r="J240" s="3">
        <f t="shared" si="201"/>
        <v>6.9573660063357843E-4</v>
      </c>
      <c r="K240" s="3">
        <f t="shared" si="201"/>
        <v>6.9573660063357843E-4</v>
      </c>
      <c r="L240" s="3">
        <f t="shared" si="201"/>
        <v>6.9573660063357843E-4</v>
      </c>
      <c r="M240" s="3">
        <f t="shared" si="201"/>
        <v>6.9573660063357843E-4</v>
      </c>
      <c r="N240" s="3">
        <f t="shared" si="201"/>
        <v>6.9573660063357843E-4</v>
      </c>
      <c r="O240" s="3">
        <f t="shared" si="201"/>
        <v>6.9573660063357843E-4</v>
      </c>
      <c r="P240" s="3">
        <f t="shared" si="201"/>
        <v>6.9573660063357843E-4</v>
      </c>
      <c r="Q240" s="3">
        <f t="shared" si="201"/>
        <v>6.9573660063357843E-4</v>
      </c>
      <c r="R240" s="3">
        <f t="shared" si="201"/>
        <v>6.9573660063357843E-4</v>
      </c>
      <c r="S240" s="3">
        <f t="shared" si="201"/>
        <v>6.9573660063357843E-4</v>
      </c>
      <c r="T240" s="3">
        <f t="shared" si="201"/>
        <v>6.9573660063357843E-4</v>
      </c>
      <c r="U240" s="3">
        <f t="shared" si="201"/>
        <v>6.9573660063357843E-4</v>
      </c>
      <c r="V240" s="3">
        <f t="shared" si="201"/>
        <v>6.9573660063357843E-4</v>
      </c>
      <c r="W240" s="3">
        <f t="shared" si="201"/>
        <v>6.9573660063357832E-4</v>
      </c>
      <c r="X240" s="3">
        <f t="shared" si="201"/>
        <v>6.9573660063357778E-4</v>
      </c>
      <c r="Y240" s="3">
        <f t="shared" si="201"/>
        <v>6.9573660063357258E-4</v>
      </c>
      <c r="Z240" s="3">
        <f t="shared" si="201"/>
        <v>6.9573660063351956E-4</v>
      </c>
      <c r="AA240" s="3">
        <f t="shared" si="201"/>
        <v>6.9573660063299025E-4</v>
      </c>
      <c r="AB240" s="3">
        <f t="shared" si="201"/>
        <v>6.957366006276962E-4</v>
      </c>
      <c r="AC240" s="3">
        <f t="shared" si="201"/>
        <v>6.9573660057475623E-4</v>
      </c>
      <c r="AD240" s="3">
        <f t="shared" si="201"/>
        <v>6.9573660004535712E-4</v>
      </c>
      <c r="AE240" s="3">
        <f t="shared" si="201"/>
        <v>6.9573659475136455E-4</v>
      </c>
      <c r="AF240" s="3">
        <f t="shared" si="201"/>
        <v>6.9573654181144236E-4</v>
      </c>
      <c r="AG240" s="3"/>
      <c r="AH240" s="3"/>
    </row>
    <row r="241" spans="1:34" x14ac:dyDescent="0.25">
      <c r="A241" s="79">
        <f>AVERAGE(B241:AF241)</f>
        <v>0.16022550495922008</v>
      </c>
      <c r="B241" s="80">
        <f>IF($A$64&lt;=B207,IF($B$64&gt;=B207,ABS((B209-B208)/B208),0),0)</f>
        <v>1.0746176107879807E-3</v>
      </c>
      <c r="C241" s="80">
        <f t="shared" ref="C241:AF241" si="202">IF($A$64&lt;=C207,IF($B$64&gt;=C207,ABS((C209-C208)/C208),0),0)</f>
        <v>7.5846104920496886E-3</v>
      </c>
      <c r="D241" s="80">
        <f t="shared" si="202"/>
        <v>1.327703174895796E-2</v>
      </c>
      <c r="E241" s="80">
        <f t="shared" si="202"/>
        <v>1.327850278687435E-2</v>
      </c>
      <c r="F241" s="80">
        <f t="shared" si="202"/>
        <v>1.3278106854974899E-2</v>
      </c>
      <c r="G241" s="80">
        <f t="shared" si="202"/>
        <v>1.3277999971165168E-2</v>
      </c>
      <c r="H241" s="80">
        <f t="shared" si="202"/>
        <v>1.3278047181429909E-2</v>
      </c>
      <c r="I241" s="80">
        <f t="shared" si="202"/>
        <v>1.3278916055286E-2</v>
      </c>
      <c r="J241" s="80">
        <f t="shared" si="202"/>
        <v>1.328772418564758E-2</v>
      </c>
      <c r="K241" s="80">
        <f t="shared" si="202"/>
        <v>1.3375429120151787E-2</v>
      </c>
      <c r="L241" s="80">
        <f t="shared" si="202"/>
        <v>1.4208823371813272E-2</v>
      </c>
      <c r="M241" s="80">
        <f t="shared" si="202"/>
        <v>1.9746821432759906E-2</v>
      </c>
      <c r="N241" s="80">
        <f t="shared" si="202"/>
        <v>3.7245810206507954E-2</v>
      </c>
      <c r="O241" s="80">
        <f t="shared" si="202"/>
        <v>5.4341999132621312E-2</v>
      </c>
      <c r="P241" s="80">
        <f t="shared" si="202"/>
        <v>6.1993989914621982E-2</v>
      </c>
      <c r="Q241" s="80">
        <f t="shared" si="202"/>
        <v>7.1626914692884583E-2</v>
      </c>
      <c r="R241" s="80">
        <f t="shared" si="202"/>
        <v>7.8731758674268792E-2</v>
      </c>
      <c r="S241" s="80">
        <f t="shared" si="202"/>
        <v>8.2506628324459166E-2</v>
      </c>
      <c r="T241" s="80">
        <f t="shared" si="202"/>
        <v>5.6220241745046064E-2</v>
      </c>
      <c r="U241" s="80">
        <f t="shared" si="202"/>
        <v>4.8517383646669354E-2</v>
      </c>
      <c r="V241" s="80">
        <f t="shared" si="202"/>
        <v>0.18469081161643147</v>
      </c>
      <c r="W241" s="80">
        <f t="shared" si="202"/>
        <v>0.29687234315843342</v>
      </c>
      <c r="X241" s="80">
        <f t="shared" si="202"/>
        <v>0.32518161166009796</v>
      </c>
      <c r="Y241" s="80">
        <f t="shared" si="202"/>
        <v>0.19343200830989357</v>
      </c>
      <c r="Z241" s="80">
        <f t="shared" si="202"/>
        <v>2.9660338093813604E-2</v>
      </c>
      <c r="AA241" s="80">
        <f t="shared" si="202"/>
        <v>0.25552042062164804</v>
      </c>
      <c r="AB241" s="80">
        <f t="shared" si="202"/>
        <v>0.46288824230590903</v>
      </c>
      <c r="AC241" s="80">
        <f t="shared" si="202"/>
        <v>0.61177768964755985</v>
      </c>
      <c r="AD241" s="80">
        <f t="shared" si="202"/>
        <v>0.67445597277206737</v>
      </c>
      <c r="AE241" s="80">
        <f t="shared" si="202"/>
        <v>0.69243254623185291</v>
      </c>
      <c r="AF241" s="80">
        <f t="shared" si="202"/>
        <v>0.59994731216913777</v>
      </c>
    </row>
    <row r="242" spans="1:34" x14ac:dyDescent="0.25">
      <c r="B242" s="21">
        <f>(B209-B208)^2</f>
        <v>62.062716167796601</v>
      </c>
      <c r="C242" s="21">
        <f t="shared" ref="C242:AF242" si="203">(C209-C208)^2</f>
        <v>3091.705809149355</v>
      </c>
      <c r="D242" s="21">
        <f t="shared" si="203"/>
        <v>9473.9034876943369</v>
      </c>
      <c r="E242" s="21">
        <f t="shared" si="203"/>
        <v>9475.9768986183863</v>
      </c>
      <c r="F242" s="21">
        <f t="shared" si="203"/>
        <v>9475.4041857479624</v>
      </c>
      <c r="G242" s="21">
        <f t="shared" si="203"/>
        <v>9475.2494166046909</v>
      </c>
      <c r="H242" s="21">
        <f t="shared" si="203"/>
        <v>9475.3160018343478</v>
      </c>
      <c r="I242" s="21">
        <f t="shared" si="203"/>
        <v>9476.5557948741898</v>
      </c>
      <c r="J242" s="21">
        <f t="shared" si="203"/>
        <v>9489.1310899830642</v>
      </c>
      <c r="K242" s="21">
        <f t="shared" si="203"/>
        <v>9614.8030837063143</v>
      </c>
      <c r="L242" s="21">
        <f t="shared" si="203"/>
        <v>10850.213232290564</v>
      </c>
      <c r="M242" s="21">
        <f t="shared" si="203"/>
        <v>20954.988103168824</v>
      </c>
      <c r="N242" s="21">
        <f t="shared" si="203"/>
        <v>74500.621607746521</v>
      </c>
      <c r="O242" s="21">
        <f t="shared" si="203"/>
        <v>157617.66873119288</v>
      </c>
      <c r="P242" s="21">
        <f t="shared" si="203"/>
        <v>198625.14133610041</v>
      </c>
      <c r="Q242" s="21">
        <f t="shared" si="203"/>
        <v>254656.57998416605</v>
      </c>
      <c r="R242" s="21">
        <f t="shared" si="203"/>
        <v>293515.73425947415</v>
      </c>
      <c r="S242" s="21">
        <f t="shared" si="203"/>
        <v>299525.54523552215</v>
      </c>
      <c r="T242" s="21">
        <f t="shared" si="203"/>
        <v>119237.13546562979</v>
      </c>
      <c r="U242" s="21">
        <f t="shared" si="203"/>
        <v>65208.661687141968</v>
      </c>
      <c r="V242" s="21">
        <f t="shared" si="203"/>
        <v>660122.79585099977</v>
      </c>
      <c r="W242" s="21">
        <f t="shared" si="203"/>
        <v>1244168.2159546886</v>
      </c>
      <c r="X242" s="21">
        <f t="shared" si="203"/>
        <v>1145376.2028506172</v>
      </c>
      <c r="Y242" s="21">
        <f t="shared" si="203"/>
        <v>319764.61955271586</v>
      </c>
      <c r="Z242" s="21">
        <f t="shared" si="203"/>
        <v>5909.8182870024903</v>
      </c>
      <c r="AA242" s="21">
        <f t="shared" si="203"/>
        <v>323851.42396849178</v>
      </c>
      <c r="AB242" s="21">
        <f t="shared" si="203"/>
        <v>708255.59087186866</v>
      </c>
      <c r="AC242" s="21">
        <f t="shared" si="203"/>
        <v>695026.1108754467</v>
      </c>
      <c r="AD242" s="21">
        <f t="shared" si="203"/>
        <v>354356.38883270812</v>
      </c>
      <c r="AE242" s="21">
        <f t="shared" si="203"/>
        <v>126661.23639044362</v>
      </c>
      <c r="AF242" s="21">
        <f t="shared" si="203"/>
        <v>29844.574932075444</v>
      </c>
      <c r="AG242" s="3"/>
      <c r="AH242" s="3"/>
    </row>
    <row r="243" spans="1:34" x14ac:dyDescent="0.25">
      <c r="A243" s="71">
        <f>SUM(B243:AF243)</f>
        <v>7187139.3764938721</v>
      </c>
      <c r="B243" s="60">
        <f>IF($A$64&lt;=B207,IF($B$64&gt;=B207,ABS(B242),0),0)</f>
        <v>62.062716167796601</v>
      </c>
      <c r="C243" s="60">
        <f t="shared" ref="C243" si="204">IF($A$64&lt;=C207,IF($B$64&gt;=C207,ABS(C242),0),0)</f>
        <v>3091.705809149355</v>
      </c>
      <c r="D243" s="60">
        <f t="shared" ref="D243" si="205">IF($A$64&lt;=D207,IF($B$64&gt;=D207,ABS(D242),0),0)</f>
        <v>9473.9034876943369</v>
      </c>
      <c r="E243" s="60">
        <f t="shared" ref="E243" si="206">IF($A$64&lt;=E207,IF($B$64&gt;=E207,ABS(E242),0),0)</f>
        <v>9475.9768986183863</v>
      </c>
      <c r="F243" s="60">
        <f t="shared" ref="F243" si="207">IF($A$64&lt;=F207,IF($B$64&gt;=F207,ABS(F242),0),0)</f>
        <v>9475.4041857479624</v>
      </c>
      <c r="G243" s="60">
        <f t="shared" ref="G243" si="208">IF($A$64&lt;=G207,IF($B$64&gt;=G207,ABS(G242),0),0)</f>
        <v>9475.2494166046909</v>
      </c>
      <c r="H243" s="60">
        <f t="shared" ref="H243" si="209">IF($A$64&lt;=H207,IF($B$64&gt;=H207,ABS(H242),0),0)</f>
        <v>9475.3160018343478</v>
      </c>
      <c r="I243" s="60">
        <f t="shared" ref="I243" si="210">IF($A$64&lt;=I207,IF($B$64&gt;=I207,ABS(I242),0),0)</f>
        <v>9476.5557948741898</v>
      </c>
      <c r="J243" s="60">
        <f t="shared" ref="J243" si="211">IF($A$64&lt;=J207,IF($B$64&gt;=J207,ABS(J242),0),0)</f>
        <v>9489.1310899830642</v>
      </c>
      <c r="K243" s="60">
        <f t="shared" ref="K243" si="212">IF($A$64&lt;=K207,IF($B$64&gt;=K207,ABS(K242),0),0)</f>
        <v>9614.8030837063143</v>
      </c>
      <c r="L243" s="60">
        <f t="shared" ref="L243" si="213">IF($A$64&lt;=L207,IF($B$64&gt;=L207,ABS(L242),0),0)</f>
        <v>10850.213232290564</v>
      </c>
      <c r="M243" s="60">
        <f t="shared" ref="M243" si="214">IF($A$64&lt;=M207,IF($B$64&gt;=M207,ABS(M242),0),0)</f>
        <v>20954.988103168824</v>
      </c>
      <c r="N243" s="60">
        <f t="shared" ref="N243" si="215">IF($A$64&lt;=N207,IF($B$64&gt;=N207,ABS(N242),0),0)</f>
        <v>74500.621607746521</v>
      </c>
      <c r="O243" s="60">
        <f t="shared" ref="O243" si="216">IF($A$64&lt;=O207,IF($B$64&gt;=O207,ABS(O242),0),0)</f>
        <v>157617.66873119288</v>
      </c>
      <c r="P243" s="60">
        <f t="shared" ref="P243" si="217">IF($A$64&lt;=P207,IF($B$64&gt;=P207,ABS(P242),0),0)</f>
        <v>198625.14133610041</v>
      </c>
      <c r="Q243" s="60">
        <f t="shared" ref="Q243" si="218">IF($A$64&lt;=Q207,IF($B$64&gt;=Q207,ABS(Q242),0),0)</f>
        <v>254656.57998416605</v>
      </c>
      <c r="R243" s="60">
        <f t="shared" ref="R243" si="219">IF($A$64&lt;=R207,IF($B$64&gt;=R207,ABS(R242),0),0)</f>
        <v>293515.73425947415</v>
      </c>
      <c r="S243" s="60">
        <f t="shared" ref="S243" si="220">IF($A$64&lt;=S207,IF($B$64&gt;=S207,ABS(S242),0),0)</f>
        <v>299525.54523552215</v>
      </c>
      <c r="T243" s="60">
        <f t="shared" ref="T243" si="221">IF($A$64&lt;=T207,IF($B$64&gt;=T207,ABS(T242),0),0)</f>
        <v>119237.13546562979</v>
      </c>
      <c r="U243" s="60">
        <f t="shared" ref="U243" si="222">IF($A$64&lt;=U207,IF($B$64&gt;=U207,ABS(U242),0),0)</f>
        <v>65208.661687141968</v>
      </c>
      <c r="V243" s="60">
        <f t="shared" ref="V243" si="223">IF($A$64&lt;=V207,IF($B$64&gt;=V207,ABS(V242),0),0)</f>
        <v>660122.79585099977</v>
      </c>
      <c r="W243" s="60">
        <f t="shared" ref="W243" si="224">IF($A$64&lt;=W207,IF($B$64&gt;=W207,ABS(W242),0),0)</f>
        <v>1244168.2159546886</v>
      </c>
      <c r="X243" s="60">
        <f t="shared" ref="X243" si="225">IF($A$64&lt;=X207,IF($B$64&gt;=X207,ABS(X242),0),0)</f>
        <v>1145376.2028506172</v>
      </c>
      <c r="Y243" s="60">
        <f t="shared" ref="Y243" si="226">IF($A$64&lt;=Y207,IF($B$64&gt;=Y207,ABS(Y242),0),0)</f>
        <v>319764.61955271586</v>
      </c>
      <c r="Z243" s="60">
        <f t="shared" ref="Z243" si="227">IF($A$64&lt;=Z207,IF($B$64&gt;=Z207,ABS(Z242),0),0)</f>
        <v>5909.8182870024903</v>
      </c>
      <c r="AA243" s="60">
        <f t="shared" ref="AA243" si="228">IF($A$64&lt;=AA207,IF($B$64&gt;=AA207,ABS(AA242),0),0)</f>
        <v>323851.42396849178</v>
      </c>
      <c r="AB243" s="60">
        <f t="shared" ref="AB243" si="229">IF($A$64&lt;=AB207,IF($B$64&gt;=AB207,ABS(AB242),0),0)</f>
        <v>708255.59087186866</v>
      </c>
      <c r="AC243" s="60">
        <f t="shared" ref="AC243" si="230">IF($A$64&lt;=AC207,IF($B$64&gt;=AC207,ABS(AC242),0),0)</f>
        <v>695026.1108754467</v>
      </c>
      <c r="AD243" s="60">
        <f t="shared" ref="AD243" si="231">IF($A$64&lt;=AD207,IF($B$64&gt;=AD207,ABS(AD242),0),0)</f>
        <v>354356.38883270812</v>
      </c>
      <c r="AE243" s="60">
        <f t="shared" ref="AE243" si="232">IF($A$64&lt;=AE207,IF($B$64&gt;=AE207,ABS(AE242),0),0)</f>
        <v>126661.23639044362</v>
      </c>
      <c r="AF243" s="60">
        <f t="shared" ref="AF243" si="233">IF($A$64&lt;=AF207,IF($B$64&gt;=AF207,ABS(AF242),0),0)</f>
        <v>29844.574932075444</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7287.2421568641066</v>
      </c>
      <c r="C247" s="26">
        <f>INDEX(Comparison!$AM$3:$AS$33,G$14,$E$122)</f>
        <v>7287.3146216469959</v>
      </c>
      <c r="D247" s="26">
        <f>INDEX(Comparison!$AM$3:$AS$33,H$14,$E$122)</f>
        <v>7287.2757793731034</v>
      </c>
      <c r="E247" s="26">
        <f>INDEX(Comparison!$AM$3:$AS$33,I$14,$E$122)</f>
        <v>7287.2657654165014</v>
      </c>
      <c r="F247" s="26">
        <f>INDEX(Comparison!$AM$3:$AS$33,J$14,$E$122)</f>
        <v>7287.2629129611732</v>
      </c>
      <c r="G247" s="26">
        <f>INDEX(Comparison!$AM$3:$AS$33,K$14,$E$122)</f>
        <v>7287.2618205320641</v>
      </c>
      <c r="H247" s="26">
        <f>INDEX(Comparison!$AM$3:$AS$33,L$14,$E$122)</f>
        <v>7287.2593322225375</v>
      </c>
      <c r="I247" s="26">
        <f>INDEX(Comparison!$AM$3:$AS$33,M$14,$E$122)</f>
        <v>7287.2374230339683</v>
      </c>
      <c r="J247" s="26">
        <f>INDEX(Comparison!$AM$3:$AS$33,N$14,$E$122)</f>
        <v>7287.0191880040384</v>
      </c>
      <c r="K247" s="26">
        <f>INDEX(Comparison!$AM$3:$AS$33,O$14,$E$122)</f>
        <v>7284.8522944162632</v>
      </c>
      <c r="L247" s="26">
        <f>INDEX(Comparison!$AM$3:$AS$33,P$14,$E$122)</f>
        <v>7264.6309792458533</v>
      </c>
      <c r="M247" s="26">
        <f>INDEX(Comparison!$AM$3:$AS$33,Q$14,$E$122)</f>
        <v>7153.647880511483</v>
      </c>
      <c r="N247" s="26">
        <f>INDEX(Comparison!$AM$3:$AS$33,R$14,$E$122)</f>
        <v>7011.9974153857656</v>
      </c>
      <c r="O247" s="26">
        <f>INDEX(Comparison!$AM$3:$AS$33,S$14,$E$122)</f>
        <v>6854.7708758756735</v>
      </c>
      <c r="P247" s="26">
        <f>INDEX(Comparison!$AM$3:$AS$33,T$14,$E$122)</f>
        <v>6667.3368038637464</v>
      </c>
      <c r="Q247" s="26">
        <f>INDEX(Comparison!$AM$3:$AS$33,U$14,$E$122)</f>
        <v>6457.8733144157241</v>
      </c>
      <c r="R247" s="26">
        <f>INDEX(Comparison!$AM$3:$AS$33,V$14,$E$122)</f>
        <v>6197.1395066404111</v>
      </c>
      <c r="S247" s="26">
        <f>INDEX(Comparison!$AM$3:$AS$33,W$14,$E$122)</f>
        <v>5728.6851502202007</v>
      </c>
      <c r="T247" s="26">
        <f>INDEX(Comparison!$AM$3:$AS$33,X$14,$E$122)</f>
        <v>4909.4106843846976</v>
      </c>
      <c r="U247" s="26">
        <f>INDEX(Comparison!$AM$3:$AS$33,Y$14,$E$122)</f>
        <v>4054.6855956010618</v>
      </c>
      <c r="V247" s="26">
        <f>INDEX(Comparison!$AM$3:$AS$33,Z$14,$E$122)</f>
        <v>3384.7376862720757</v>
      </c>
      <c r="W247" s="26">
        <f>INDEX(Comparison!$AM$3:$AS$33,AA$14,$E$122)</f>
        <v>2867.8130883318549</v>
      </c>
      <c r="X247" s="26">
        <f>INDEX(Comparison!$AM$3:$AS$33,AB$14,$E$122)</f>
        <v>2393.9219661874804</v>
      </c>
      <c r="Y247" s="26">
        <f>INDEX(Comparison!$AM$3:$AS$33,AC$14,$E$122)</f>
        <v>1923.0446750969861</v>
      </c>
      <c r="Z247" s="26">
        <f>INDEX(Comparison!$AM$3:$AS$33,AD$14,$E$122)</f>
        <v>1433.0262098856042</v>
      </c>
      <c r="AA247" s="26">
        <f>INDEX(Comparison!$AM$3:$AS$33,AE$14,$E$122)</f>
        <v>928.3724969127901</v>
      </c>
      <c r="AB247" s="26">
        <f>INDEX(Comparison!$AM$3:$AS$33,AF$14,$E$122)</f>
        <v>540.77757065756475</v>
      </c>
      <c r="AC247" s="26">
        <f>INDEX(Comparison!$AM$3:$AS$33,AG$14,$E$122)</f>
        <v>302.10819766520217</v>
      </c>
      <c r="AD247" s="26">
        <f>INDEX(Comparison!$AM$3:$AS$33,AH$14,$E$122)</f>
        <v>167.95607666429018</v>
      </c>
      <c r="AE247" s="26">
        <f>INDEX(Comparison!$AM$3:$AS$33,AI$14,$E$122)</f>
        <v>115.55588342611547</v>
      </c>
      <c r="AF247" s="26">
        <f>INDEX(Comparison!$AM$3:$AS$33,AJ$14,$E$122)</f>
        <v>100.53155340781859</v>
      </c>
      <c r="AG247" s="26"/>
      <c r="AH247" s="26"/>
    </row>
    <row r="248" spans="1:34" x14ac:dyDescent="0.25">
      <c r="A248" s="70" t="s">
        <v>22</v>
      </c>
      <c r="B248" s="27">
        <f>($C$17+SUM(B249:B279))*$B$51</f>
        <v>7233.6497684756123</v>
      </c>
      <c r="C248" s="27">
        <f t="shared" ref="C248:AF248" si="234">($C$17+SUM(C249:C279))*$B$51</f>
        <v>7233.649766573234</v>
      </c>
      <c r="D248" s="27">
        <f t="shared" si="234"/>
        <v>7233.6497517928592</v>
      </c>
      <c r="E248" s="27">
        <f t="shared" si="234"/>
        <v>7233.6496039892945</v>
      </c>
      <c r="F248" s="27">
        <f t="shared" si="234"/>
        <v>7233.6481259711845</v>
      </c>
      <c r="G248" s="27">
        <f t="shared" si="234"/>
        <v>7233.6333475445363</v>
      </c>
      <c r="H248" s="27">
        <f t="shared" si="234"/>
        <v>7233.485738520114</v>
      </c>
      <c r="I248" s="27">
        <f t="shared" si="234"/>
        <v>7232.0269719497819</v>
      </c>
      <c r="J248" s="27">
        <f t="shared" si="234"/>
        <v>7218.988012405769</v>
      </c>
      <c r="K248" s="27">
        <f t="shared" si="234"/>
        <v>7153.5251338567477</v>
      </c>
      <c r="L248" s="27">
        <f t="shared" si="234"/>
        <v>6999.2028664963409</v>
      </c>
      <c r="M248" s="27">
        <f t="shared" si="234"/>
        <v>6851.8549124824594</v>
      </c>
      <c r="N248" s="27">
        <f t="shared" si="234"/>
        <v>6670.9372959702705</v>
      </c>
      <c r="O248" s="27">
        <f t="shared" si="234"/>
        <v>6457.6989626787254</v>
      </c>
      <c r="P248" s="27">
        <f t="shared" si="234"/>
        <v>6256.6415181919974</v>
      </c>
      <c r="Q248" s="27">
        <f t="shared" si="234"/>
        <v>5964.9152982642245</v>
      </c>
      <c r="R248" s="27">
        <f t="shared" si="234"/>
        <v>5690.2928678729477</v>
      </c>
      <c r="S248" s="27">
        <f t="shared" si="234"/>
        <v>5402.6916133348459</v>
      </c>
      <c r="T248" s="27">
        <f t="shared" si="234"/>
        <v>5085.105290705741</v>
      </c>
      <c r="U248" s="27">
        <f t="shared" si="234"/>
        <v>4725.322780663605</v>
      </c>
      <c r="V248" s="27">
        <f t="shared" si="234"/>
        <v>4059.3920273344756</v>
      </c>
      <c r="W248" s="27">
        <f t="shared" si="234"/>
        <v>3135.8442452440686</v>
      </c>
      <c r="X248" s="27">
        <f t="shared" si="234"/>
        <v>2208.0014800076497</v>
      </c>
      <c r="Y248" s="27">
        <f t="shared" si="234"/>
        <v>1414.4467296069063</v>
      </c>
      <c r="Z248" s="27">
        <f t="shared" si="234"/>
        <v>812.32109734925734</v>
      </c>
      <c r="AA248" s="27">
        <f t="shared" si="234"/>
        <v>448.31263750908118</v>
      </c>
      <c r="AB248" s="27">
        <f t="shared" si="234"/>
        <v>219.95849598901316</v>
      </c>
      <c r="AC248" s="27">
        <f t="shared" si="234"/>
        <v>131.8806683586819</v>
      </c>
      <c r="AD248" s="27">
        <f t="shared" si="234"/>
        <v>111.52005811980061</v>
      </c>
      <c r="AE248" s="27">
        <f t="shared" si="234"/>
        <v>96.333093870179937</v>
      </c>
      <c r="AF248" s="27">
        <f t="shared" si="234"/>
        <v>93.058271853913283</v>
      </c>
      <c r="AG248" s="27"/>
      <c r="AH248" s="27"/>
    </row>
    <row r="249" spans="1:34" x14ac:dyDescent="0.25">
      <c r="B249" s="3">
        <f t="shared" ref="B249:AF249" si="235">$C18*EXP(-B$246/$A18/EXP(-$E$126))</f>
        <v>5.7883340118329189E-11</v>
      </c>
      <c r="C249" s="3">
        <f t="shared" si="235"/>
        <v>3.2934675007842205E-86</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0</v>
      </c>
      <c r="C250" s="3">
        <f t="shared" si="236"/>
        <v>0</v>
      </c>
      <c r="D250" s="3">
        <f t="shared" si="236"/>
        <v>0</v>
      </c>
      <c r="E250" s="3">
        <f t="shared" si="236"/>
        <v>0</v>
      </c>
      <c r="F250" s="3">
        <f t="shared" si="236"/>
        <v>0</v>
      </c>
      <c r="G250" s="3">
        <f t="shared" si="236"/>
        <v>0</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0</v>
      </c>
      <c r="C251" s="3">
        <f t="shared" si="237"/>
        <v>0</v>
      </c>
      <c r="D251" s="3">
        <f t="shared" si="237"/>
        <v>0</v>
      </c>
      <c r="E251" s="3">
        <f t="shared" si="237"/>
        <v>0</v>
      </c>
      <c r="F251" s="3">
        <f t="shared" si="237"/>
        <v>0</v>
      </c>
      <c r="G251" s="3">
        <f t="shared" si="237"/>
        <v>0</v>
      </c>
      <c r="H251" s="3">
        <f t="shared" si="237"/>
        <v>0</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0</v>
      </c>
      <c r="C252" s="3">
        <f t="shared" si="238"/>
        <v>0</v>
      </c>
      <c r="D252" s="3">
        <f t="shared" si="238"/>
        <v>0</v>
      </c>
      <c r="E252" s="3">
        <f t="shared" si="238"/>
        <v>0</v>
      </c>
      <c r="F252" s="3">
        <f t="shared" si="238"/>
        <v>0</v>
      </c>
      <c r="G252" s="3">
        <f t="shared" si="238"/>
        <v>0</v>
      </c>
      <c r="H252" s="3">
        <f t="shared" si="238"/>
        <v>0</v>
      </c>
      <c r="I252" s="3">
        <f t="shared" si="238"/>
        <v>0</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3.9093064392296583E-3</v>
      </c>
      <c r="C253" s="3">
        <f t="shared" si="239"/>
        <v>3.9093063118693355E-3</v>
      </c>
      <c r="D253" s="3">
        <f t="shared" si="239"/>
        <v>3.9093050382663381E-3</v>
      </c>
      <c r="E253" s="3">
        <f t="shared" si="239"/>
        <v>3.9092923022591829E-3</v>
      </c>
      <c r="F253" s="3">
        <f t="shared" si="239"/>
        <v>3.9091649444696844E-3</v>
      </c>
      <c r="G253" s="3">
        <f t="shared" si="239"/>
        <v>3.9078915947523638E-3</v>
      </c>
      <c r="H253" s="3">
        <f t="shared" si="239"/>
        <v>3.8951808878644302E-3</v>
      </c>
      <c r="I253" s="3">
        <f t="shared" si="239"/>
        <v>3.7703256135429601E-3</v>
      </c>
      <c r="J253" s="3">
        <f t="shared" si="239"/>
        <v>2.7220189015401118E-3</v>
      </c>
      <c r="K253" s="3">
        <f t="shared" si="239"/>
        <v>1.0471621065193995E-4</v>
      </c>
      <c r="L253" s="3">
        <f t="shared" si="239"/>
        <v>7.4343282550011176E-19</v>
      </c>
      <c r="M253" s="3">
        <f t="shared" si="239"/>
        <v>2.4183540486192946E-160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2.3295025102208797E-2</v>
      </c>
      <c r="C254" s="3">
        <f t="shared" si="240"/>
        <v>2.3295025033747641E-2</v>
      </c>
      <c r="D254" s="3">
        <f t="shared" si="240"/>
        <v>2.3295024349136113E-2</v>
      </c>
      <c r="E254" s="3">
        <f t="shared" si="240"/>
        <v>2.3295017503021927E-2</v>
      </c>
      <c r="F254" s="3">
        <f t="shared" si="240"/>
        <v>2.3294949041990726E-2</v>
      </c>
      <c r="G254" s="3">
        <f t="shared" si="240"/>
        <v>2.3294264442744513E-2</v>
      </c>
      <c r="H254" s="3">
        <f t="shared" si="240"/>
        <v>2.3287419556741754E-2</v>
      </c>
      <c r="I254" s="3">
        <f t="shared" si="240"/>
        <v>2.3219081222430635E-2</v>
      </c>
      <c r="J254" s="3">
        <f t="shared" si="240"/>
        <v>2.2546631206044786E-2</v>
      </c>
      <c r="K254" s="3">
        <f t="shared" si="240"/>
        <v>1.6805365617109609E-2</v>
      </c>
      <c r="L254" s="3">
        <f t="shared" si="240"/>
        <v>8.8942843121432851E-4</v>
      </c>
      <c r="M254" s="3">
        <f t="shared" si="240"/>
        <v>1.5337035840617093E-16</v>
      </c>
      <c r="N254" s="3">
        <f t="shared" si="240"/>
        <v>3.5648862638703158E-144</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1.9366384778007541E-2</v>
      </c>
      <c r="C255" s="3">
        <f t="shared" si="241"/>
        <v>1.93663847728733E-2</v>
      </c>
      <c r="D255" s="3">
        <f t="shared" si="241"/>
        <v>1.9366384721530898E-2</v>
      </c>
      <c r="E255" s="3">
        <f t="shared" si="241"/>
        <v>1.936638420810689E-2</v>
      </c>
      <c r="F255" s="3">
        <f t="shared" si="241"/>
        <v>1.9366379073867544E-2</v>
      </c>
      <c r="G255" s="3">
        <f t="shared" si="241"/>
        <v>1.9366327731548966E-2</v>
      </c>
      <c r="H255" s="3">
        <f t="shared" si="241"/>
        <v>1.936581431584939E-2</v>
      </c>
      <c r="I255" s="3">
        <f t="shared" si="241"/>
        <v>1.9360680907400778E-2</v>
      </c>
      <c r="J255" s="3">
        <f t="shared" si="241"/>
        <v>1.9309421604256045E-2</v>
      </c>
      <c r="K255" s="3">
        <f t="shared" si="241"/>
        <v>1.8804233870424403E-2</v>
      </c>
      <c r="L255" s="3">
        <f t="shared" si="241"/>
        <v>1.4425119919900135E-2</v>
      </c>
      <c r="M255" s="3">
        <f t="shared" si="241"/>
        <v>1.0180223565433842E-3</v>
      </c>
      <c r="N255" s="3">
        <f t="shared" si="241"/>
        <v>3.1198674887450765E-15</v>
      </c>
      <c r="O255" s="3">
        <f t="shared" si="241"/>
        <v>2.2799455628644173E-130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2.4447536701421319E-2</v>
      </c>
      <c r="C256" s="3">
        <f t="shared" si="242"/>
        <v>2.4447536700836651E-2</v>
      </c>
      <c r="D256" s="3">
        <f t="shared" si="242"/>
        <v>2.4447536694989971E-2</v>
      </c>
      <c r="E256" s="3">
        <f t="shared" si="242"/>
        <v>2.444753663652317E-2</v>
      </c>
      <c r="F256" s="3">
        <f t="shared" si="242"/>
        <v>2.4447536051855182E-2</v>
      </c>
      <c r="G256" s="3">
        <f t="shared" si="242"/>
        <v>2.4447530205176073E-2</v>
      </c>
      <c r="H256" s="3">
        <f t="shared" si="242"/>
        <v>2.4447471738461863E-2</v>
      </c>
      <c r="I256" s="3">
        <f t="shared" si="242"/>
        <v>2.4446887079010066E-2</v>
      </c>
      <c r="J256" s="3">
        <f t="shared" si="242"/>
        <v>2.4441041253451711E-2</v>
      </c>
      <c r="K256" s="3">
        <f t="shared" si="242"/>
        <v>2.4382659825830287E-2</v>
      </c>
      <c r="L256" s="3">
        <f t="shared" si="242"/>
        <v>2.3806460796314363E-2</v>
      </c>
      <c r="M256" s="3">
        <f t="shared" si="242"/>
        <v>1.8742710373153962E-2</v>
      </c>
      <c r="N256" s="3">
        <f t="shared" si="242"/>
        <v>1.7147783071157876E-3</v>
      </c>
      <c r="O256" s="3">
        <f t="shared" si="242"/>
        <v>7.046344091350586E-14</v>
      </c>
      <c r="P256" s="3">
        <f t="shared" si="242"/>
        <v>9.6721385705797554E-118</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3.2102560695375537E-2</v>
      </c>
      <c r="C257" s="3">
        <f t="shared" si="243"/>
        <v>3.210256069530628E-2</v>
      </c>
      <c r="D257" s="3">
        <f t="shared" si="243"/>
        <v>3.2102560694613716E-2</v>
      </c>
      <c r="E257" s="3">
        <f t="shared" si="243"/>
        <v>3.2102560687688068E-2</v>
      </c>
      <c r="F257" s="3">
        <f t="shared" si="243"/>
        <v>3.2102560618431572E-2</v>
      </c>
      <c r="G257" s="3">
        <f t="shared" si="243"/>
        <v>3.2102559925866678E-2</v>
      </c>
      <c r="H257" s="3">
        <f t="shared" si="243"/>
        <v>3.2102553000218512E-2</v>
      </c>
      <c r="I257" s="3">
        <f t="shared" si="243"/>
        <v>3.2102483743819049E-2</v>
      </c>
      <c r="J257" s="3">
        <f t="shared" si="243"/>
        <v>3.2101791188041892E-2</v>
      </c>
      <c r="K257" s="3">
        <f t="shared" si="243"/>
        <v>3.2094866451955528E-2</v>
      </c>
      <c r="L257" s="3">
        <f t="shared" si="243"/>
        <v>3.2025701194060376E-2</v>
      </c>
      <c r="M257" s="3">
        <f t="shared" si="243"/>
        <v>3.1342193752206392E-2</v>
      </c>
      <c r="N257" s="3">
        <f t="shared" si="243"/>
        <v>2.526020253658089E-2</v>
      </c>
      <c r="O257" s="3">
        <f t="shared" si="243"/>
        <v>2.9208631008555259E-3</v>
      </c>
      <c r="P257" s="3">
        <f t="shared" si="243"/>
        <v>1.2481159736970217E-12</v>
      </c>
      <c r="Q257" s="3">
        <f t="shared" si="243"/>
        <v>2.5333333040700546E-106</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2.4134444755217307E-2</v>
      </c>
      <c r="C258" s="3">
        <f t="shared" si="244"/>
        <v>2.4134444755212613E-2</v>
      </c>
      <c r="D258" s="3">
        <f t="shared" si="244"/>
        <v>2.4134444755165643E-2</v>
      </c>
      <c r="E258" s="3">
        <f t="shared" si="244"/>
        <v>2.413444475469596E-2</v>
      </c>
      <c r="F258" s="3">
        <f t="shared" si="244"/>
        <v>2.413444474999913E-2</v>
      </c>
      <c r="G258" s="3">
        <f t="shared" si="244"/>
        <v>2.4134444703030847E-2</v>
      </c>
      <c r="H258" s="3">
        <f t="shared" si="244"/>
        <v>2.4134444233347995E-2</v>
      </c>
      <c r="I258" s="3">
        <f t="shared" si="244"/>
        <v>2.4134439536519985E-2</v>
      </c>
      <c r="J258" s="3">
        <f t="shared" si="244"/>
        <v>2.4134392568290159E-2</v>
      </c>
      <c r="K258" s="3">
        <f t="shared" si="244"/>
        <v>2.4133922891019143E-2</v>
      </c>
      <c r="L258" s="3">
        <f t="shared" si="244"/>
        <v>2.4129226620998773E-2</v>
      </c>
      <c r="M258" s="3">
        <f t="shared" si="244"/>
        <v>2.4082314153594468E-2</v>
      </c>
      <c r="N258" s="3">
        <f t="shared" si="244"/>
        <v>2.3618176776346068E-2</v>
      </c>
      <c r="O258" s="3">
        <f t="shared" si="244"/>
        <v>1.9441415538529731E-2</v>
      </c>
      <c r="P258" s="3">
        <f t="shared" si="244"/>
        <v>2.7767899158545736E-3</v>
      </c>
      <c r="Q258" s="3">
        <f t="shared" si="244"/>
        <v>9.8105742524720033E-12</v>
      </c>
      <c r="R258" s="3">
        <f t="shared" si="244"/>
        <v>2.9730929394850184E-96</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4.5522140204717239E-2</v>
      </c>
      <c r="C259" s="3">
        <f t="shared" si="245"/>
        <v>4.5522140204716441E-2</v>
      </c>
      <c r="D259" s="3">
        <f t="shared" si="245"/>
        <v>4.5522140204708447E-2</v>
      </c>
      <c r="E259" s="3">
        <f t="shared" si="245"/>
        <v>4.5522140204628532E-2</v>
      </c>
      <c r="F259" s="3">
        <f t="shared" si="245"/>
        <v>4.5522140203829366E-2</v>
      </c>
      <c r="G259" s="3">
        <f t="shared" si="245"/>
        <v>4.5522140195837717E-2</v>
      </c>
      <c r="H259" s="3">
        <f t="shared" si="245"/>
        <v>4.5522140115921171E-2</v>
      </c>
      <c r="I259" s="3">
        <f t="shared" si="245"/>
        <v>4.5522139316755812E-2</v>
      </c>
      <c r="J259" s="3">
        <f t="shared" si="245"/>
        <v>4.5522131325102896E-2</v>
      </c>
      <c r="K259" s="3">
        <f t="shared" si="245"/>
        <v>4.5522051408650947E-2</v>
      </c>
      <c r="L259" s="3">
        <f t="shared" si="245"/>
        <v>4.5521252251847756E-2</v>
      </c>
      <c r="M259" s="3">
        <f t="shared" si="245"/>
        <v>4.5513261455397705E-2</v>
      </c>
      <c r="N259" s="3">
        <f t="shared" si="245"/>
        <v>4.5433430598985643E-2</v>
      </c>
      <c r="O259" s="3">
        <f t="shared" si="245"/>
        <v>4.4642782992121023E-2</v>
      </c>
      <c r="P259" s="3">
        <f t="shared" si="245"/>
        <v>3.7454892482625589E-2</v>
      </c>
      <c r="Q259" s="3">
        <f t="shared" si="245"/>
        <v>6.4726406874995018E-3</v>
      </c>
      <c r="R259" s="3">
        <f t="shared" si="245"/>
        <v>1.5374851887748045E-10</v>
      </c>
      <c r="S259" s="3">
        <f t="shared" si="245"/>
        <v>8.7923579168826774E-87</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3.7432935335074261E-2</v>
      </c>
      <c r="C260" s="3">
        <f t="shared" si="246"/>
        <v>3.7432935335074198E-2</v>
      </c>
      <c r="D260" s="3">
        <f t="shared" si="246"/>
        <v>3.7432935335073608E-2</v>
      </c>
      <c r="E260" s="3">
        <f t="shared" si="246"/>
        <v>3.7432935335067682E-2</v>
      </c>
      <c r="F260" s="3">
        <f t="shared" si="246"/>
        <v>3.7432935335008403E-2</v>
      </c>
      <c r="G260" s="3">
        <f t="shared" si="246"/>
        <v>3.7432935334415593E-2</v>
      </c>
      <c r="H260" s="3">
        <f t="shared" si="246"/>
        <v>3.7432935328487502E-2</v>
      </c>
      <c r="I260" s="3">
        <f t="shared" si="246"/>
        <v>3.7432935269206651E-2</v>
      </c>
      <c r="J260" s="3">
        <f t="shared" si="246"/>
        <v>3.7432934676398098E-2</v>
      </c>
      <c r="K260" s="3">
        <f t="shared" si="246"/>
        <v>3.743292874831311E-2</v>
      </c>
      <c r="L260" s="3">
        <f t="shared" si="246"/>
        <v>3.7432869467514895E-2</v>
      </c>
      <c r="M260" s="3">
        <f t="shared" si="246"/>
        <v>3.7432276664696097E-2</v>
      </c>
      <c r="N260" s="3">
        <f t="shared" si="246"/>
        <v>3.7426349152816854E-2</v>
      </c>
      <c r="O260" s="3">
        <f t="shared" si="246"/>
        <v>3.73671256346556E-2</v>
      </c>
      <c r="P260" s="3">
        <f t="shared" si="246"/>
        <v>3.6780020408308009E-2</v>
      </c>
      <c r="Q260" s="3">
        <f t="shared" si="246"/>
        <v>3.1393136085989023E-2</v>
      </c>
      <c r="R260" s="3">
        <f t="shared" si="246"/>
        <v>6.4426133843915861E-3</v>
      </c>
      <c r="S260" s="3">
        <f t="shared" si="246"/>
        <v>8.5375989235176525E-10</v>
      </c>
      <c r="T260" s="3">
        <f t="shared" si="246"/>
        <v>1.4258457054734522E-78</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4.1089114467289377E-2</v>
      </c>
      <c r="C261" s="3">
        <f t="shared" si="247"/>
        <v>4.108911446728937E-2</v>
      </c>
      <c r="D261" s="3">
        <f t="shared" si="247"/>
        <v>4.1089114467289314E-2</v>
      </c>
      <c r="E261" s="3">
        <f t="shared" si="247"/>
        <v>4.1089114467288725E-2</v>
      </c>
      <c r="F261" s="3">
        <f t="shared" si="247"/>
        <v>4.1089114467282854E-2</v>
      </c>
      <c r="G261" s="3">
        <f t="shared" si="247"/>
        <v>4.1089114467224158E-2</v>
      </c>
      <c r="H261" s="3">
        <f t="shared" si="247"/>
        <v>4.1089114466637162E-2</v>
      </c>
      <c r="I261" s="3">
        <f t="shared" si="247"/>
        <v>4.1089114460767219E-2</v>
      </c>
      <c r="J261" s="3">
        <f t="shared" si="247"/>
        <v>4.1089114402067778E-2</v>
      </c>
      <c r="K261" s="3">
        <f t="shared" si="247"/>
        <v>4.1089113815073387E-2</v>
      </c>
      <c r="L261" s="3">
        <f t="shared" si="247"/>
        <v>4.1089107945129988E-2</v>
      </c>
      <c r="M261" s="3">
        <f t="shared" si="247"/>
        <v>4.1089049245742096E-2</v>
      </c>
      <c r="N261" s="3">
        <f t="shared" si="247"/>
        <v>4.1088462256475285E-2</v>
      </c>
      <c r="O261" s="3">
        <f t="shared" si="247"/>
        <v>4.1082592824995497E-2</v>
      </c>
      <c r="P261" s="3">
        <f t="shared" si="247"/>
        <v>4.1023944604662056E-2</v>
      </c>
      <c r="Q261" s="3">
        <f t="shared" si="247"/>
        <v>4.0442047576090059E-2</v>
      </c>
      <c r="R261" s="3">
        <f t="shared" si="247"/>
        <v>3.5058257181339161E-2</v>
      </c>
      <c r="S261" s="3">
        <f t="shared" si="247"/>
        <v>8.401603681130413E-3</v>
      </c>
      <c r="T261" s="3">
        <f t="shared" si="247"/>
        <v>5.2490520266028635E-9</v>
      </c>
      <c r="U261" s="3">
        <f t="shared" si="247"/>
        <v>4.7562835611801483E-71</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4.624509457562298E-2</v>
      </c>
      <c r="C262" s="3">
        <f t="shared" si="248"/>
        <v>4.624509457562298E-2</v>
      </c>
      <c r="D262" s="3">
        <f t="shared" si="248"/>
        <v>4.6245094575622973E-2</v>
      </c>
      <c r="E262" s="3">
        <f t="shared" si="248"/>
        <v>4.6245094575622911E-2</v>
      </c>
      <c r="F262" s="3">
        <f t="shared" si="248"/>
        <v>4.6245094575622321E-2</v>
      </c>
      <c r="G262" s="3">
        <f t="shared" si="248"/>
        <v>4.6245094575616361E-2</v>
      </c>
      <c r="H262" s="3">
        <f t="shared" si="248"/>
        <v>4.6245094575556762E-2</v>
      </c>
      <c r="I262" s="3">
        <f t="shared" si="248"/>
        <v>4.6245094574960795E-2</v>
      </c>
      <c r="J262" s="3">
        <f t="shared" si="248"/>
        <v>4.6245094569001166E-2</v>
      </c>
      <c r="K262" s="3">
        <f t="shared" si="248"/>
        <v>4.6245094509404845E-2</v>
      </c>
      <c r="L262" s="3">
        <f t="shared" si="248"/>
        <v>4.6245093913441671E-2</v>
      </c>
      <c r="M262" s="3">
        <f t="shared" si="248"/>
        <v>4.6245087953810278E-2</v>
      </c>
      <c r="N262" s="3">
        <f t="shared" si="248"/>
        <v>4.6245028357538659E-2</v>
      </c>
      <c r="O262" s="3">
        <f t="shared" si="248"/>
        <v>4.6244432399046513E-2</v>
      </c>
      <c r="P262" s="3">
        <f t="shared" si="248"/>
        <v>4.6238473236514359E-2</v>
      </c>
      <c r="Q262" s="3">
        <f t="shared" si="248"/>
        <v>4.6178923829986097E-2</v>
      </c>
      <c r="R262" s="3">
        <f t="shared" si="248"/>
        <v>4.5587631582424439E-2</v>
      </c>
      <c r="S262" s="3">
        <f t="shared" si="248"/>
        <v>4.0075527814698537E-2</v>
      </c>
      <c r="T262" s="3">
        <f t="shared" si="248"/>
        <v>1.1045909018916956E-2</v>
      </c>
      <c r="U262" s="3">
        <f t="shared" si="248"/>
        <v>2.7952687556488035E-8</v>
      </c>
      <c r="V262" s="3">
        <f t="shared" si="248"/>
        <v>3.0105417486868398E-64</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4.2152470755880481E-2</v>
      </c>
      <c r="C263" s="3">
        <f t="shared" si="249"/>
        <v>4.2152470755880481E-2</v>
      </c>
      <c r="D263" s="3">
        <f t="shared" si="249"/>
        <v>4.2152470755880481E-2</v>
      </c>
      <c r="E263" s="3">
        <f t="shared" si="249"/>
        <v>4.2152470755880474E-2</v>
      </c>
      <c r="F263" s="3">
        <f t="shared" si="249"/>
        <v>4.2152470755880425E-2</v>
      </c>
      <c r="G263" s="3">
        <f t="shared" si="249"/>
        <v>4.2152470755879939E-2</v>
      </c>
      <c r="H263" s="3">
        <f t="shared" si="249"/>
        <v>4.2152470755875041E-2</v>
      </c>
      <c r="I263" s="3">
        <f t="shared" si="249"/>
        <v>4.2152470755826038E-2</v>
      </c>
      <c r="J263" s="3">
        <f t="shared" si="249"/>
        <v>4.2152470755336E-2</v>
      </c>
      <c r="K263" s="3">
        <f t="shared" si="249"/>
        <v>4.215247075043569E-2</v>
      </c>
      <c r="L263" s="3">
        <f t="shared" si="249"/>
        <v>4.2152470701432611E-2</v>
      </c>
      <c r="M263" s="3">
        <f t="shared" si="249"/>
        <v>4.215247021140181E-2</v>
      </c>
      <c r="N263" s="3">
        <f t="shared" si="249"/>
        <v>4.2152465311094039E-2</v>
      </c>
      <c r="O263" s="3">
        <f t="shared" si="249"/>
        <v>4.2152416308047731E-2</v>
      </c>
      <c r="P263" s="3">
        <f t="shared" si="249"/>
        <v>4.2151926280717796E-2</v>
      </c>
      <c r="Q263" s="3">
        <f t="shared" si="249"/>
        <v>4.2147026320722258E-2</v>
      </c>
      <c r="R263" s="3">
        <f t="shared" si="249"/>
        <v>4.2098058037675648E-2</v>
      </c>
      <c r="S263" s="3">
        <f t="shared" si="249"/>
        <v>4.1611493469456605E-2</v>
      </c>
      <c r="T263" s="3">
        <f t="shared" si="249"/>
        <v>3.7044668313095504E-2</v>
      </c>
      <c r="U263" s="3">
        <f t="shared" si="249"/>
        <v>1.1583766217846254E-2</v>
      </c>
      <c r="V263" s="3">
        <f t="shared" si="249"/>
        <v>1.0353579409192453E-7</v>
      </c>
      <c r="W263" s="3">
        <f t="shared" si="249"/>
        <v>3.3689756019583522E-58</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0.11273931401056794</v>
      </c>
      <c r="C264" s="3">
        <f t="shared" si="250"/>
        <v>0.11273931401056794</v>
      </c>
      <c r="D264" s="3">
        <f t="shared" si="250"/>
        <v>0.11273931401056794</v>
      </c>
      <c r="E264" s="3">
        <f t="shared" si="250"/>
        <v>0.11273931401056794</v>
      </c>
      <c r="F264" s="3">
        <f t="shared" si="250"/>
        <v>0.11273931401056793</v>
      </c>
      <c r="G264" s="3">
        <f t="shared" si="250"/>
        <v>0.11273931401056782</v>
      </c>
      <c r="H264" s="3">
        <f t="shared" si="250"/>
        <v>0.11273931401056662</v>
      </c>
      <c r="I264" s="3">
        <f t="shared" si="250"/>
        <v>0.1127393140105548</v>
      </c>
      <c r="J264" s="3">
        <f t="shared" si="250"/>
        <v>0.11273931401043658</v>
      </c>
      <c r="K264" s="3">
        <f t="shared" si="250"/>
        <v>0.11273931400925429</v>
      </c>
      <c r="L264" s="3">
        <f t="shared" si="250"/>
        <v>0.11273931399743144</v>
      </c>
      <c r="M264" s="3">
        <f t="shared" si="250"/>
        <v>0.1127393138792029</v>
      </c>
      <c r="N264" s="3">
        <f t="shared" si="250"/>
        <v>0.1127393126969175</v>
      </c>
      <c r="O264" s="3">
        <f t="shared" si="250"/>
        <v>0.11273930087406413</v>
      </c>
      <c r="P264" s="3">
        <f t="shared" si="250"/>
        <v>0.11273918264559876</v>
      </c>
      <c r="Q264" s="3">
        <f t="shared" si="250"/>
        <v>0.11273800036776416</v>
      </c>
      <c r="R264" s="3">
        <f t="shared" si="250"/>
        <v>0.11272617827130649</v>
      </c>
      <c r="S264" s="3">
        <f t="shared" si="250"/>
        <v>0.11260802546910897</v>
      </c>
      <c r="T264" s="3">
        <f t="shared" si="250"/>
        <v>0.1114332873110504</v>
      </c>
      <c r="U264" s="3">
        <f t="shared" si="250"/>
        <v>0.10033926923728793</v>
      </c>
      <c r="V264" s="3">
        <f t="shared" si="250"/>
        <v>3.5158541151825276E-2</v>
      </c>
      <c r="W264" s="3">
        <f t="shared" si="250"/>
        <v>9.8091183126434293E-7</v>
      </c>
      <c r="X264" s="3">
        <f t="shared" si="250"/>
        <v>2.8029879888600244E-52</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0.14424740982428688</v>
      </c>
      <c r="C265" s="3">
        <f t="shared" si="251"/>
        <v>0.14424740982428688</v>
      </c>
      <c r="D265" s="3">
        <f t="shared" si="251"/>
        <v>0.14424740982428688</v>
      </c>
      <c r="E265" s="3">
        <f t="shared" si="251"/>
        <v>0.14424740982428688</v>
      </c>
      <c r="F265" s="3">
        <f t="shared" si="251"/>
        <v>0.14424740982428688</v>
      </c>
      <c r="G265" s="3">
        <f t="shared" si="251"/>
        <v>0.14424740982428685</v>
      </c>
      <c r="H265" s="3">
        <f t="shared" si="251"/>
        <v>0.14424740982428674</v>
      </c>
      <c r="I265" s="3">
        <f t="shared" si="251"/>
        <v>0.14424740982428536</v>
      </c>
      <c r="J265" s="3">
        <f t="shared" si="251"/>
        <v>0.14424740982427173</v>
      </c>
      <c r="K265" s="3">
        <f t="shared" si="251"/>
        <v>0.14424740982413525</v>
      </c>
      <c r="L265" s="3">
        <f t="shared" si="251"/>
        <v>0.14424740982277068</v>
      </c>
      <c r="M265" s="3">
        <f t="shared" si="251"/>
        <v>0.14424740980912479</v>
      </c>
      <c r="N265" s="3">
        <f t="shared" si="251"/>
        <v>0.144247409672666</v>
      </c>
      <c r="O265" s="3">
        <f t="shared" si="251"/>
        <v>0.14424740830807797</v>
      </c>
      <c r="P265" s="3">
        <f t="shared" si="251"/>
        <v>0.14424739466219846</v>
      </c>
      <c r="Q265" s="3">
        <f t="shared" si="251"/>
        <v>0.14424725820347439</v>
      </c>
      <c r="R265" s="3">
        <f t="shared" si="251"/>
        <v>0.1442458936233337</v>
      </c>
      <c r="S265" s="3">
        <f t="shared" si="251"/>
        <v>0.14423224853189837</v>
      </c>
      <c r="T265" s="3">
        <f t="shared" si="251"/>
        <v>0.14409586858984647</v>
      </c>
      <c r="U265" s="3">
        <f t="shared" si="251"/>
        <v>0.14273914162036461</v>
      </c>
      <c r="V265" s="3">
        <f t="shared" si="251"/>
        <v>0.12985497589901787</v>
      </c>
      <c r="W265" s="3">
        <f t="shared" si="251"/>
        <v>5.0421266262813715E-2</v>
      </c>
      <c r="X265" s="3">
        <f t="shared" si="251"/>
        <v>3.9279438467742696E-6</v>
      </c>
      <c r="Y265" s="3">
        <f t="shared" si="251"/>
        <v>3.233556800190074E-47</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0.12974291069495422</v>
      </c>
      <c r="C266" s="3">
        <f t="shared" si="252"/>
        <v>0.12974291069495422</v>
      </c>
      <c r="D266" s="3">
        <f t="shared" si="252"/>
        <v>0.12974291069495422</v>
      </c>
      <c r="E266" s="3">
        <f t="shared" si="252"/>
        <v>0.12974291069495422</v>
      </c>
      <c r="F266" s="3">
        <f t="shared" si="252"/>
        <v>0.12974291069495422</v>
      </c>
      <c r="G266" s="3">
        <f t="shared" si="252"/>
        <v>0.12974291069495422</v>
      </c>
      <c r="H266" s="3">
        <f t="shared" si="252"/>
        <v>0.12974291069495419</v>
      </c>
      <c r="I266" s="3">
        <f t="shared" si="252"/>
        <v>0.12974291069495408</v>
      </c>
      <c r="J266" s="3">
        <f t="shared" si="252"/>
        <v>0.129742910694953</v>
      </c>
      <c r="K266" s="3">
        <f t="shared" si="252"/>
        <v>0.12974291069494193</v>
      </c>
      <c r="L266" s="3">
        <f t="shared" si="252"/>
        <v>0.12974291069483118</v>
      </c>
      <c r="M266" s="3">
        <f t="shared" si="252"/>
        <v>0.12974291069372401</v>
      </c>
      <c r="N266" s="3">
        <f t="shared" si="252"/>
        <v>0.12974291068265206</v>
      </c>
      <c r="O266" s="3">
        <f t="shared" si="252"/>
        <v>0.12974291057193266</v>
      </c>
      <c r="P266" s="3">
        <f t="shared" si="252"/>
        <v>0.12974290946473857</v>
      </c>
      <c r="Q266" s="3">
        <f t="shared" si="252"/>
        <v>0.12974289839279818</v>
      </c>
      <c r="R266" s="3">
        <f t="shared" si="252"/>
        <v>0.12974278767344627</v>
      </c>
      <c r="S266" s="3">
        <f t="shared" si="252"/>
        <v>0.12974168048512388</v>
      </c>
      <c r="T266" s="3">
        <f t="shared" si="252"/>
        <v>0.12973060912155046</v>
      </c>
      <c r="U266" s="3">
        <f t="shared" si="252"/>
        <v>0.12961994743446079</v>
      </c>
      <c r="V266" s="3">
        <f t="shared" si="252"/>
        <v>0.12851850906267395</v>
      </c>
      <c r="W266" s="3">
        <f t="shared" si="252"/>
        <v>0.11800599076023274</v>
      </c>
      <c r="X266" s="3">
        <f t="shared" si="252"/>
        <v>5.0267562181947723E-2</v>
      </c>
      <c r="Y266" s="3">
        <f t="shared" si="252"/>
        <v>9.8883881844725736E-6</v>
      </c>
      <c r="Z266" s="3">
        <f t="shared" si="252"/>
        <v>8.580297353592096E-43</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0.10714334071735752</v>
      </c>
      <c r="C267" s="3">
        <f t="shared" si="253"/>
        <v>0.10714334071735752</v>
      </c>
      <c r="D267" s="3">
        <f t="shared" si="253"/>
        <v>0.10714334071735752</v>
      </c>
      <c r="E267" s="3">
        <f t="shared" si="253"/>
        <v>0.10714334071735752</v>
      </c>
      <c r="F267" s="3">
        <f t="shared" si="253"/>
        <v>0.10714334071735752</v>
      </c>
      <c r="G267" s="3">
        <f t="shared" si="253"/>
        <v>0.10714334071735752</v>
      </c>
      <c r="H267" s="3">
        <f t="shared" si="253"/>
        <v>0.10714334071735752</v>
      </c>
      <c r="I267" s="3">
        <f t="shared" si="253"/>
        <v>0.10714334071735751</v>
      </c>
      <c r="J267" s="3">
        <f t="shared" si="253"/>
        <v>0.10714334071735743</v>
      </c>
      <c r="K267" s="3">
        <f t="shared" si="253"/>
        <v>0.10714334071735661</v>
      </c>
      <c r="L267" s="3">
        <f t="shared" si="253"/>
        <v>0.10714334071734836</v>
      </c>
      <c r="M267" s="3">
        <f t="shared" si="253"/>
        <v>0.10714334071726589</v>
      </c>
      <c r="N267" s="3">
        <f t="shared" si="253"/>
        <v>0.10714334071644108</v>
      </c>
      <c r="O267" s="3">
        <f t="shared" si="253"/>
        <v>0.10714334070819302</v>
      </c>
      <c r="P267" s="3">
        <f t="shared" si="253"/>
        <v>0.10714334062571239</v>
      </c>
      <c r="Q267" s="3">
        <f t="shared" si="253"/>
        <v>0.10714333980090623</v>
      </c>
      <c r="R267" s="3">
        <f t="shared" si="253"/>
        <v>0.10714333155284496</v>
      </c>
      <c r="S267" s="3">
        <f t="shared" si="253"/>
        <v>0.10714324907226713</v>
      </c>
      <c r="T267" s="3">
        <f t="shared" si="253"/>
        <v>0.10714242426998107</v>
      </c>
      <c r="U267" s="3">
        <f t="shared" si="253"/>
        <v>0.10713417659633119</v>
      </c>
      <c r="V267" s="3">
        <f t="shared" si="253"/>
        <v>0.10705173477095929</v>
      </c>
      <c r="W267" s="3">
        <f t="shared" si="253"/>
        <v>0.10623079770656739</v>
      </c>
      <c r="X267" s="3">
        <f t="shared" si="253"/>
        <v>9.8359831337112555E-2</v>
      </c>
      <c r="Y267" s="3">
        <f t="shared" si="253"/>
        <v>4.5550285362972232E-2</v>
      </c>
      <c r="Z267" s="3">
        <f t="shared" si="253"/>
        <v>2.0664474676186416E-5</v>
      </c>
      <c r="AA267" s="3">
        <f t="shared" si="253"/>
        <v>7.6305710672727332E-39</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7.467332001482109E-2</v>
      </c>
      <c r="C268" s="3">
        <f t="shared" si="254"/>
        <v>7.467332001482109E-2</v>
      </c>
      <c r="D268" s="3">
        <f t="shared" si="254"/>
        <v>7.467332001482109E-2</v>
      </c>
      <c r="E268" s="3">
        <f t="shared" si="254"/>
        <v>7.467332001482109E-2</v>
      </c>
      <c r="F268" s="3">
        <f t="shared" si="254"/>
        <v>7.467332001482109E-2</v>
      </c>
      <c r="G268" s="3">
        <f t="shared" si="254"/>
        <v>7.467332001482109E-2</v>
      </c>
      <c r="H268" s="3">
        <f t="shared" si="254"/>
        <v>7.467332001482109E-2</v>
      </c>
      <c r="I268" s="3">
        <f t="shared" si="254"/>
        <v>7.467332001482109E-2</v>
      </c>
      <c r="J268" s="3">
        <f t="shared" si="254"/>
        <v>7.4673320014821076E-2</v>
      </c>
      <c r="K268" s="3">
        <f t="shared" si="254"/>
        <v>7.4673320014821035E-2</v>
      </c>
      <c r="L268" s="3">
        <f t="shared" si="254"/>
        <v>7.4673320014820521E-2</v>
      </c>
      <c r="M268" s="3">
        <f t="shared" si="254"/>
        <v>7.4673320014815331E-2</v>
      </c>
      <c r="N268" s="3">
        <f t="shared" si="254"/>
        <v>7.467332001476347E-2</v>
      </c>
      <c r="O268" s="3">
        <f t="shared" si="254"/>
        <v>7.4673320014244912E-2</v>
      </c>
      <c r="P268" s="3">
        <f t="shared" si="254"/>
        <v>7.4673320009059324E-2</v>
      </c>
      <c r="Q268" s="3">
        <f t="shared" si="254"/>
        <v>7.4673319957203346E-2</v>
      </c>
      <c r="R268" s="3">
        <f t="shared" si="254"/>
        <v>7.4673319438643637E-2</v>
      </c>
      <c r="S268" s="3">
        <f t="shared" si="254"/>
        <v>7.467331425304681E-2</v>
      </c>
      <c r="T268" s="3">
        <f t="shared" si="254"/>
        <v>7.4673262397098247E-2</v>
      </c>
      <c r="U268" s="3">
        <f t="shared" si="254"/>
        <v>7.4672743839593159E-2</v>
      </c>
      <c r="V268" s="3">
        <f t="shared" si="254"/>
        <v>7.466755846259579E-2</v>
      </c>
      <c r="W268" s="3">
        <f t="shared" si="254"/>
        <v>7.4615724492877011E-2</v>
      </c>
      <c r="X268" s="3">
        <f t="shared" si="254"/>
        <v>7.4099359743105553E-2</v>
      </c>
      <c r="Y268" s="3">
        <f t="shared" si="254"/>
        <v>6.9128225402074736E-2</v>
      </c>
      <c r="Z268" s="3">
        <f t="shared" si="254"/>
        <v>3.4519534900551221E-2</v>
      </c>
      <c r="AA268" s="3">
        <f t="shared" si="254"/>
        <v>3.3278229282187666E-5</v>
      </c>
      <c r="AB268" s="3">
        <f t="shared" si="254"/>
        <v>2.3073471984672153E-35</v>
      </c>
      <c r="AC268" s="3">
        <f t="shared" si="254"/>
        <v>0</v>
      </c>
      <c r="AD268" s="3">
        <f t="shared" si="254"/>
        <v>0</v>
      </c>
      <c r="AE268" s="3">
        <f t="shared" si="254"/>
        <v>0</v>
      </c>
      <c r="AF268" s="3">
        <f t="shared" si="254"/>
        <v>0</v>
      </c>
      <c r="AG268" s="3"/>
      <c r="AH268" s="3"/>
    </row>
    <row r="269" spans="2:34" x14ac:dyDescent="0.25">
      <c r="B269" s="3">
        <f t="shared" ref="B269:AF269" si="255">$C38*EXP(-B$246/$A38/EXP(-$E$126))</f>
        <v>2.5720461590382049E-2</v>
      </c>
      <c r="C269" s="3">
        <f t="shared" si="255"/>
        <v>2.5720461590382049E-2</v>
      </c>
      <c r="D269" s="3">
        <f t="shared" si="255"/>
        <v>2.5720461590382049E-2</v>
      </c>
      <c r="E269" s="3">
        <f t="shared" si="255"/>
        <v>2.5720461590382049E-2</v>
      </c>
      <c r="F269" s="3">
        <f t="shared" si="255"/>
        <v>2.5720461590382049E-2</v>
      </c>
      <c r="G269" s="3">
        <f t="shared" si="255"/>
        <v>2.5720461590382049E-2</v>
      </c>
      <c r="H269" s="3">
        <f t="shared" si="255"/>
        <v>2.5720461590382049E-2</v>
      </c>
      <c r="I269" s="3">
        <f t="shared" si="255"/>
        <v>2.5720461590382049E-2</v>
      </c>
      <c r="J269" s="3">
        <f t="shared" si="255"/>
        <v>2.5720461590382049E-2</v>
      </c>
      <c r="K269" s="3">
        <f t="shared" si="255"/>
        <v>2.5720461590382045E-2</v>
      </c>
      <c r="L269" s="3">
        <f t="shared" si="255"/>
        <v>2.5720461590382031E-2</v>
      </c>
      <c r="M269" s="3">
        <f t="shared" si="255"/>
        <v>2.5720461590381868E-2</v>
      </c>
      <c r="N269" s="3">
        <f t="shared" si="255"/>
        <v>2.5720461590380259E-2</v>
      </c>
      <c r="O269" s="3">
        <f t="shared" si="255"/>
        <v>2.5720461590364146E-2</v>
      </c>
      <c r="P269" s="3">
        <f t="shared" si="255"/>
        <v>2.5720461590203022E-2</v>
      </c>
      <c r="Q269" s="3">
        <f t="shared" si="255"/>
        <v>2.5720461588591786E-2</v>
      </c>
      <c r="R269" s="3">
        <f t="shared" si="255"/>
        <v>2.5720461572479446E-2</v>
      </c>
      <c r="S269" s="3">
        <f t="shared" si="255"/>
        <v>2.5720461411356033E-2</v>
      </c>
      <c r="T269" s="3">
        <f t="shared" si="255"/>
        <v>2.5720459800121952E-2</v>
      </c>
      <c r="U269" s="3">
        <f t="shared" si="255"/>
        <v>2.5720443687786709E-2</v>
      </c>
      <c r="V269" s="3">
        <f t="shared" si="255"/>
        <v>2.57202825649894E-2</v>
      </c>
      <c r="W269" s="3">
        <f t="shared" si="255"/>
        <v>2.5718671392528692E-2</v>
      </c>
      <c r="X269" s="3">
        <f t="shared" si="255"/>
        <v>2.570256521787587E-2</v>
      </c>
      <c r="Y269" s="3">
        <f t="shared" si="255"/>
        <v>2.5542057182537853E-2</v>
      </c>
      <c r="Z269" s="3">
        <f t="shared" si="255"/>
        <v>2.3991085761573459E-2</v>
      </c>
      <c r="AA269" s="3">
        <f t="shared" si="255"/>
        <v>1.2823016675249691E-2</v>
      </c>
      <c r="AB269" s="3">
        <f t="shared" si="255"/>
        <v>2.4400192077571744E-5</v>
      </c>
      <c r="AC269" s="3">
        <f t="shared" si="255"/>
        <v>1.5185308727622017E-32</v>
      </c>
      <c r="AD269" s="3">
        <f t="shared" si="255"/>
        <v>1.3235106284323085E-304</v>
      </c>
      <c r="AE269" s="3">
        <f t="shared" si="255"/>
        <v>0</v>
      </c>
      <c r="AF269" s="3">
        <f t="shared" si="255"/>
        <v>0</v>
      </c>
      <c r="AG269" s="3"/>
      <c r="AH269" s="3"/>
    </row>
    <row r="270" spans="2:34" x14ac:dyDescent="0.25">
      <c r="B270" s="3">
        <f t="shared" ref="B270:AF270" si="256">$C39*EXP(-B$246/$A39/EXP(-$E$126))</f>
        <v>2.4141304859351478E-2</v>
      </c>
      <c r="C270" s="3">
        <f t="shared" si="256"/>
        <v>2.4141304859351478E-2</v>
      </c>
      <c r="D270" s="3">
        <f t="shared" si="256"/>
        <v>2.4141304859351478E-2</v>
      </c>
      <c r="E270" s="3">
        <f t="shared" si="256"/>
        <v>2.4141304859351478E-2</v>
      </c>
      <c r="F270" s="3">
        <f t="shared" si="256"/>
        <v>2.4141304859351478E-2</v>
      </c>
      <c r="G270" s="3">
        <f t="shared" si="256"/>
        <v>2.4141304859351478E-2</v>
      </c>
      <c r="H270" s="3">
        <f t="shared" si="256"/>
        <v>2.4141304859351478E-2</v>
      </c>
      <c r="I270" s="3">
        <f t="shared" si="256"/>
        <v>2.4141304859351478E-2</v>
      </c>
      <c r="J270" s="3">
        <f t="shared" si="256"/>
        <v>2.4141304859351478E-2</v>
      </c>
      <c r="K270" s="3">
        <f t="shared" si="256"/>
        <v>2.4141304859351478E-2</v>
      </c>
      <c r="L270" s="3">
        <f t="shared" si="256"/>
        <v>2.4141304859351471E-2</v>
      </c>
      <c r="M270" s="3">
        <f t="shared" si="256"/>
        <v>2.4141304859351433E-2</v>
      </c>
      <c r="N270" s="3">
        <f t="shared" si="256"/>
        <v>2.4141304859351013E-2</v>
      </c>
      <c r="O270" s="3">
        <f t="shared" si="256"/>
        <v>2.4141304859346829E-2</v>
      </c>
      <c r="P270" s="3">
        <f t="shared" si="256"/>
        <v>2.4141304859305001E-2</v>
      </c>
      <c r="Q270" s="3">
        <f t="shared" si="256"/>
        <v>2.4141304858886738E-2</v>
      </c>
      <c r="R270" s="3">
        <f t="shared" si="256"/>
        <v>2.4141304854704067E-2</v>
      </c>
      <c r="S270" s="3">
        <f t="shared" si="256"/>
        <v>2.4141304812877375E-2</v>
      </c>
      <c r="T270" s="3">
        <f t="shared" si="256"/>
        <v>2.4141304394610479E-2</v>
      </c>
      <c r="U270" s="3">
        <f t="shared" si="256"/>
        <v>2.4141300211941902E-2</v>
      </c>
      <c r="V270" s="3">
        <f t="shared" si="256"/>
        <v>2.4141258385295992E-2</v>
      </c>
      <c r="W270" s="3">
        <f t="shared" si="256"/>
        <v>2.4140840122822596E-2</v>
      </c>
      <c r="X270" s="3">
        <f t="shared" si="256"/>
        <v>2.4136657896634217E-2</v>
      </c>
      <c r="Y270" s="3">
        <f t="shared" si="256"/>
        <v>2.409487546377298E-2</v>
      </c>
      <c r="Z270" s="3">
        <f t="shared" si="256"/>
        <v>2.3681008622766314E-2</v>
      </c>
      <c r="AA270" s="3">
        <f t="shared" si="256"/>
        <v>1.9913852945245673E-2</v>
      </c>
      <c r="AB270" s="3">
        <f t="shared" si="256"/>
        <v>3.5213264892817587E-3</v>
      </c>
      <c r="AC270" s="3">
        <f t="shared" si="256"/>
        <v>1.0524858689760388E-10</v>
      </c>
      <c r="AD270" s="3">
        <f t="shared" si="256"/>
        <v>5.9884726717929761E-86</v>
      </c>
      <c r="AE270" s="3">
        <f t="shared" si="256"/>
        <v>0</v>
      </c>
      <c r="AF270" s="3">
        <f t="shared" si="256"/>
        <v>0</v>
      </c>
      <c r="AG270" s="3"/>
      <c r="AH270" s="3"/>
    </row>
    <row r="271" spans="2:34" x14ac:dyDescent="0.25">
      <c r="B271" s="3">
        <f t="shared" ref="B271:AF271" si="257">$C40*EXP(-B$246/$A40/EXP(-$E$126))</f>
        <v>1.2214190227025473E-2</v>
      </c>
      <c r="C271" s="3">
        <f t="shared" si="257"/>
        <v>1.2214190227025473E-2</v>
      </c>
      <c r="D271" s="3">
        <f t="shared" si="257"/>
        <v>1.2214190227025473E-2</v>
      </c>
      <c r="E271" s="3">
        <f t="shared" si="257"/>
        <v>1.2214190227025473E-2</v>
      </c>
      <c r="F271" s="3">
        <f t="shared" si="257"/>
        <v>1.2214190227025473E-2</v>
      </c>
      <c r="G271" s="3">
        <f t="shared" si="257"/>
        <v>1.2214190227025473E-2</v>
      </c>
      <c r="H271" s="3">
        <f t="shared" si="257"/>
        <v>1.2214190227025473E-2</v>
      </c>
      <c r="I271" s="3">
        <f t="shared" si="257"/>
        <v>1.2214190227025473E-2</v>
      </c>
      <c r="J271" s="3">
        <f t="shared" si="257"/>
        <v>1.2214190227025473E-2</v>
      </c>
      <c r="K271" s="3">
        <f t="shared" si="257"/>
        <v>1.2214190227025473E-2</v>
      </c>
      <c r="L271" s="3">
        <f t="shared" si="257"/>
        <v>1.2214190227025473E-2</v>
      </c>
      <c r="M271" s="3">
        <f t="shared" si="257"/>
        <v>1.2214190227025469E-2</v>
      </c>
      <c r="N271" s="3">
        <f t="shared" si="257"/>
        <v>1.221419022702545E-2</v>
      </c>
      <c r="O271" s="3">
        <f t="shared" si="257"/>
        <v>1.2214190227025239E-2</v>
      </c>
      <c r="P271" s="3">
        <f t="shared" si="257"/>
        <v>1.2214190227023122E-2</v>
      </c>
      <c r="Q271" s="3">
        <f t="shared" si="257"/>
        <v>1.2214190227001959E-2</v>
      </c>
      <c r="R271" s="3">
        <f t="shared" si="257"/>
        <v>1.221419022679034E-2</v>
      </c>
      <c r="S271" s="3">
        <f t="shared" si="257"/>
        <v>1.2214190224674135E-2</v>
      </c>
      <c r="T271" s="3">
        <f t="shared" si="257"/>
        <v>1.2214190203512099E-2</v>
      </c>
      <c r="U271" s="3">
        <f t="shared" si="257"/>
        <v>1.2214189991891746E-2</v>
      </c>
      <c r="V271" s="3">
        <f t="shared" si="257"/>
        <v>1.2214187875688421E-2</v>
      </c>
      <c r="W271" s="3">
        <f t="shared" si="257"/>
        <v>1.2214166713675319E-2</v>
      </c>
      <c r="X271" s="3">
        <f t="shared" si="257"/>
        <v>1.2213955095560862E-2</v>
      </c>
      <c r="Y271" s="3">
        <f t="shared" si="257"/>
        <v>1.221183911605872E-2</v>
      </c>
      <c r="Z271" s="3">
        <f t="shared" si="257"/>
        <v>1.2190699472361401E-2</v>
      </c>
      <c r="AA271" s="3">
        <f t="shared" si="257"/>
        <v>1.1981305309362984E-2</v>
      </c>
      <c r="AB271" s="3">
        <f t="shared" si="257"/>
        <v>1.0075328961848675E-2</v>
      </c>
      <c r="AC271" s="3">
        <f t="shared" si="257"/>
        <v>1.7816001182260279E-3</v>
      </c>
      <c r="AD271" s="3">
        <f t="shared" si="257"/>
        <v>5.3250073638624702E-11</v>
      </c>
      <c r="AE271" s="3">
        <f t="shared" si="257"/>
        <v>3.0298422064907311E-86</v>
      </c>
      <c r="AF271" s="3">
        <f t="shared" si="257"/>
        <v>0</v>
      </c>
      <c r="AG271" s="3"/>
      <c r="AH271" s="3"/>
    </row>
    <row r="272" spans="2:34" x14ac:dyDescent="0.25">
      <c r="B272" s="3">
        <f t="shared" ref="B272:AF272" si="258">$C41*EXP(-B$246/$A41/EXP(-$E$126))</f>
        <v>8.0564872453676788E-4</v>
      </c>
      <c r="C272" s="3">
        <f t="shared" si="258"/>
        <v>8.0564872453676788E-4</v>
      </c>
      <c r="D272" s="3">
        <f t="shared" si="258"/>
        <v>8.0564872453676788E-4</v>
      </c>
      <c r="E272" s="3">
        <f t="shared" si="258"/>
        <v>8.0564872453676788E-4</v>
      </c>
      <c r="F272" s="3">
        <f t="shared" si="258"/>
        <v>8.0564872453676788E-4</v>
      </c>
      <c r="G272" s="3">
        <f t="shared" si="258"/>
        <v>8.0564872453676788E-4</v>
      </c>
      <c r="H272" s="3">
        <f t="shared" si="258"/>
        <v>8.0564872453676788E-4</v>
      </c>
      <c r="I272" s="3">
        <f t="shared" si="258"/>
        <v>8.0564872453676788E-4</v>
      </c>
      <c r="J272" s="3">
        <f t="shared" si="258"/>
        <v>8.0564872453676788E-4</v>
      </c>
      <c r="K272" s="3">
        <f t="shared" si="258"/>
        <v>8.0564872453676788E-4</v>
      </c>
      <c r="L272" s="3">
        <f t="shared" si="258"/>
        <v>8.0564872453676788E-4</v>
      </c>
      <c r="M272" s="3">
        <f t="shared" si="258"/>
        <v>8.0564872453676788E-4</v>
      </c>
      <c r="N272" s="3">
        <f t="shared" si="258"/>
        <v>8.0564872453676767E-4</v>
      </c>
      <c r="O272" s="3">
        <f t="shared" si="258"/>
        <v>8.0564872453676637E-4</v>
      </c>
      <c r="P272" s="3">
        <f t="shared" si="258"/>
        <v>8.0564872453675238E-4</v>
      </c>
      <c r="Q272" s="3">
        <f t="shared" si="258"/>
        <v>8.0564872453661274E-4</v>
      </c>
      <c r="R272" s="3">
        <f t="shared" si="258"/>
        <v>8.0564872453521693E-4</v>
      </c>
      <c r="S272" s="3">
        <f t="shared" si="258"/>
        <v>8.0564872452125848E-4</v>
      </c>
      <c r="T272" s="3">
        <f t="shared" si="258"/>
        <v>8.0564872438167352E-4</v>
      </c>
      <c r="U272" s="3">
        <f t="shared" si="258"/>
        <v>8.0564872298582437E-4</v>
      </c>
      <c r="V272" s="3">
        <f t="shared" si="258"/>
        <v>8.0564870902733311E-4</v>
      </c>
      <c r="W272" s="3">
        <f t="shared" si="258"/>
        <v>8.0564856944243402E-4</v>
      </c>
      <c r="X272" s="3">
        <f t="shared" si="258"/>
        <v>8.0564717359477261E-4</v>
      </c>
      <c r="Y272" s="3">
        <f t="shared" si="258"/>
        <v>8.0563321525117121E-4</v>
      </c>
      <c r="Z272" s="3">
        <f t="shared" si="258"/>
        <v>8.0549364511550454E-4</v>
      </c>
      <c r="AA272" s="3">
        <f t="shared" si="258"/>
        <v>8.0409927294138983E-4</v>
      </c>
      <c r="AB272" s="3">
        <f t="shared" si="258"/>
        <v>7.9028762131246304E-4</v>
      </c>
      <c r="AC272" s="3">
        <f t="shared" si="258"/>
        <v>6.6456930639916217E-4</v>
      </c>
      <c r="AD272" s="3">
        <f t="shared" si="258"/>
        <v>1.1751445132297601E-4</v>
      </c>
      <c r="AE272" s="3">
        <f t="shared" si="258"/>
        <v>3.5123780710016518E-12</v>
      </c>
      <c r="AF272" s="3">
        <f t="shared" si="258"/>
        <v>1.998485747999832E-87</v>
      </c>
      <c r="AG272" s="3"/>
      <c r="AH272" s="3"/>
    </row>
    <row r="273" spans="1:34" x14ac:dyDescent="0.25">
      <c r="B273" s="3">
        <f t="shared" ref="B273:AF273" si="259">$C42*EXP(-B$246/$A42/EXP(-$E$126))</f>
        <v>2.8733708973087426E-3</v>
      </c>
      <c r="C273" s="3">
        <f t="shared" si="259"/>
        <v>2.8733708973087426E-3</v>
      </c>
      <c r="D273" s="3">
        <f t="shared" si="259"/>
        <v>2.8733708973087426E-3</v>
      </c>
      <c r="E273" s="3">
        <f t="shared" si="259"/>
        <v>2.8733708973087426E-3</v>
      </c>
      <c r="F273" s="3">
        <f t="shared" si="259"/>
        <v>2.8733708973087426E-3</v>
      </c>
      <c r="G273" s="3">
        <f t="shared" si="259"/>
        <v>2.8733708973087426E-3</v>
      </c>
      <c r="H273" s="3">
        <f t="shared" si="259"/>
        <v>2.8733708973087426E-3</v>
      </c>
      <c r="I273" s="3">
        <f t="shared" si="259"/>
        <v>2.8733708973087426E-3</v>
      </c>
      <c r="J273" s="3">
        <f t="shared" si="259"/>
        <v>2.8733708973087426E-3</v>
      </c>
      <c r="K273" s="3">
        <f t="shared" si="259"/>
        <v>2.8733708973087426E-3</v>
      </c>
      <c r="L273" s="3">
        <f t="shared" si="259"/>
        <v>2.8733708973087426E-3</v>
      </c>
      <c r="M273" s="3">
        <f t="shared" si="259"/>
        <v>2.8733708973087426E-3</v>
      </c>
      <c r="N273" s="3">
        <f t="shared" si="259"/>
        <v>2.8733708973087426E-3</v>
      </c>
      <c r="O273" s="3">
        <f t="shared" si="259"/>
        <v>2.8733708973087422E-3</v>
      </c>
      <c r="P273" s="3">
        <f t="shared" si="259"/>
        <v>2.873370897308737E-3</v>
      </c>
      <c r="Q273" s="3">
        <f t="shared" si="259"/>
        <v>2.8733708973086875E-3</v>
      </c>
      <c r="R273" s="3">
        <f t="shared" si="259"/>
        <v>2.8733708973081892E-3</v>
      </c>
      <c r="S273" s="3">
        <f t="shared" si="259"/>
        <v>2.873370897303211E-3</v>
      </c>
      <c r="T273" s="3">
        <f t="shared" si="259"/>
        <v>2.8733708972534279E-3</v>
      </c>
      <c r="U273" s="3">
        <f t="shared" si="259"/>
        <v>2.8733708967555939E-3</v>
      </c>
      <c r="V273" s="3">
        <f t="shared" si="259"/>
        <v>2.873370891777255E-3</v>
      </c>
      <c r="W273" s="3">
        <f t="shared" si="259"/>
        <v>2.8733708419938675E-3</v>
      </c>
      <c r="X273" s="3">
        <f t="shared" si="259"/>
        <v>2.8733703441600417E-3</v>
      </c>
      <c r="Y273" s="3">
        <f t="shared" si="259"/>
        <v>2.8733653658265259E-3</v>
      </c>
      <c r="Z273" s="3">
        <f t="shared" si="259"/>
        <v>2.8733155829657612E-3</v>
      </c>
      <c r="AA273" s="3">
        <f t="shared" si="259"/>
        <v>2.8728178017942106E-3</v>
      </c>
      <c r="AB273" s="3">
        <f t="shared" si="259"/>
        <v>2.8678447306490639E-3</v>
      </c>
      <c r="AC273" s="3">
        <f t="shared" si="259"/>
        <v>2.8185850513053846E-3</v>
      </c>
      <c r="AD273" s="3">
        <f t="shared" si="259"/>
        <v>2.3702068235135171E-3</v>
      </c>
      <c r="AE273" s="3">
        <f t="shared" si="259"/>
        <v>4.1911889656226226E-4</v>
      </c>
      <c r="AF273" s="3">
        <f t="shared" si="259"/>
        <v>1.2527004167187726E-11</v>
      </c>
      <c r="AG273" s="3"/>
      <c r="AH273" s="3"/>
    </row>
    <row r="274" spans="1:34" x14ac:dyDescent="0.25">
      <c r="B274" s="3">
        <f t="shared" ref="B274:AF274" si="260">$C43*EXP(-B$246/$A43/EXP(-$E$126))</f>
        <v>0</v>
      </c>
      <c r="C274" s="3">
        <f t="shared" si="260"/>
        <v>0</v>
      </c>
      <c r="D274" s="3">
        <f t="shared" si="260"/>
        <v>0</v>
      </c>
      <c r="E274" s="3">
        <f t="shared" si="260"/>
        <v>0</v>
      </c>
      <c r="F274" s="3">
        <f t="shared" si="260"/>
        <v>0</v>
      </c>
      <c r="G274" s="3">
        <f t="shared" si="260"/>
        <v>0</v>
      </c>
      <c r="H274" s="3">
        <f t="shared" si="260"/>
        <v>0</v>
      </c>
      <c r="I274" s="3">
        <f t="shared" si="260"/>
        <v>0</v>
      </c>
      <c r="J274" s="3">
        <f t="shared" si="260"/>
        <v>0</v>
      </c>
      <c r="K274" s="3">
        <f t="shared" si="260"/>
        <v>0</v>
      </c>
      <c r="L274" s="3">
        <f t="shared" si="260"/>
        <v>0</v>
      </c>
      <c r="M274" s="3">
        <f t="shared" si="260"/>
        <v>0</v>
      </c>
      <c r="N274" s="3">
        <f t="shared" si="260"/>
        <v>0</v>
      </c>
      <c r="O274" s="3">
        <f t="shared" si="260"/>
        <v>0</v>
      </c>
      <c r="P274" s="3">
        <f t="shared" si="260"/>
        <v>0</v>
      </c>
      <c r="Q274" s="3">
        <f t="shared" si="260"/>
        <v>0</v>
      </c>
      <c r="R274" s="3">
        <f t="shared" si="260"/>
        <v>0</v>
      </c>
      <c r="S274" s="3">
        <f t="shared" si="260"/>
        <v>0</v>
      </c>
      <c r="T274" s="3">
        <f t="shared" si="260"/>
        <v>0</v>
      </c>
      <c r="U274" s="3">
        <f t="shared" si="260"/>
        <v>0</v>
      </c>
      <c r="V274" s="3">
        <f t="shared" si="260"/>
        <v>0</v>
      </c>
      <c r="W274" s="3">
        <f t="shared" si="260"/>
        <v>0</v>
      </c>
      <c r="X274" s="3">
        <f t="shared" si="260"/>
        <v>0</v>
      </c>
      <c r="Y274" s="3">
        <f t="shared" si="260"/>
        <v>0</v>
      </c>
      <c r="Z274" s="3">
        <f t="shared" si="260"/>
        <v>0</v>
      </c>
      <c r="AA274" s="3">
        <f t="shared" si="260"/>
        <v>0</v>
      </c>
      <c r="AB274" s="3">
        <f t="shared" si="260"/>
        <v>0</v>
      </c>
      <c r="AC274" s="3">
        <f t="shared" si="260"/>
        <v>0</v>
      </c>
      <c r="AD274" s="3">
        <f t="shared" si="260"/>
        <v>0</v>
      </c>
      <c r="AE274" s="3">
        <f t="shared" si="260"/>
        <v>0</v>
      </c>
      <c r="AF274" s="3">
        <f t="shared" si="260"/>
        <v>0</v>
      </c>
      <c r="AG274" s="3"/>
      <c r="AH274" s="3"/>
    </row>
    <row r="275" spans="1:34" x14ac:dyDescent="0.25">
      <c r="B275" s="3">
        <f t="shared" ref="B275:AF275" si="261">$C44*EXP(-B$246/$A44/EXP(-$E$126))</f>
        <v>1.6248048079890072E-4</v>
      </c>
      <c r="C275" s="3">
        <f t="shared" si="261"/>
        <v>1.6248048079890072E-4</v>
      </c>
      <c r="D275" s="3">
        <f t="shared" si="261"/>
        <v>1.6248048079890072E-4</v>
      </c>
      <c r="E275" s="3">
        <f t="shared" si="261"/>
        <v>1.6248048079890072E-4</v>
      </c>
      <c r="F275" s="3">
        <f t="shared" si="261"/>
        <v>1.6248048079890072E-4</v>
      </c>
      <c r="G275" s="3">
        <f t="shared" si="261"/>
        <v>1.6248048079890072E-4</v>
      </c>
      <c r="H275" s="3">
        <f t="shared" si="261"/>
        <v>1.6248048079890072E-4</v>
      </c>
      <c r="I275" s="3">
        <f t="shared" si="261"/>
        <v>1.6248048079890072E-4</v>
      </c>
      <c r="J275" s="3">
        <f t="shared" si="261"/>
        <v>1.6248048079890072E-4</v>
      </c>
      <c r="K275" s="3">
        <f t="shared" si="261"/>
        <v>1.6248048079890072E-4</v>
      </c>
      <c r="L275" s="3">
        <f t="shared" si="261"/>
        <v>1.6248048079890072E-4</v>
      </c>
      <c r="M275" s="3">
        <f t="shared" si="261"/>
        <v>1.6248048079890072E-4</v>
      </c>
      <c r="N275" s="3">
        <f t="shared" si="261"/>
        <v>1.6248048079890072E-4</v>
      </c>
      <c r="O275" s="3">
        <f t="shared" si="261"/>
        <v>1.6248048079890072E-4</v>
      </c>
      <c r="P275" s="3">
        <f t="shared" si="261"/>
        <v>1.6248048079890072E-4</v>
      </c>
      <c r="Q275" s="3">
        <f t="shared" si="261"/>
        <v>1.624804807989007E-4</v>
      </c>
      <c r="R275" s="3">
        <f t="shared" si="261"/>
        <v>1.6248048079890042E-4</v>
      </c>
      <c r="S275" s="3">
        <f t="shared" si="261"/>
        <v>1.6248048079889761E-4</v>
      </c>
      <c r="T275" s="3">
        <f t="shared" si="261"/>
        <v>1.6248048079886944E-4</v>
      </c>
      <c r="U275" s="3">
        <f t="shared" si="261"/>
        <v>1.6248048079858793E-4</v>
      </c>
      <c r="V275" s="3">
        <f t="shared" si="261"/>
        <v>1.6248048079577283E-4</v>
      </c>
      <c r="W275" s="3">
        <f t="shared" si="261"/>
        <v>1.6248048076762182E-4</v>
      </c>
      <c r="X275" s="3">
        <f t="shared" si="261"/>
        <v>1.6248048048611173E-4</v>
      </c>
      <c r="Y275" s="3">
        <f t="shared" si="261"/>
        <v>1.6248047767101093E-4</v>
      </c>
      <c r="Z275" s="3">
        <f t="shared" si="261"/>
        <v>1.6248044952000564E-4</v>
      </c>
      <c r="AA275" s="3">
        <f t="shared" si="261"/>
        <v>1.6248016801022073E-4</v>
      </c>
      <c r="AB275" s="3">
        <f t="shared" si="261"/>
        <v>1.624773529391973E-4</v>
      </c>
      <c r="AC275" s="3">
        <f t="shared" si="261"/>
        <v>1.624492049113315E-4</v>
      </c>
      <c r="AD275" s="3">
        <f t="shared" si="261"/>
        <v>1.6216799269766727E-4</v>
      </c>
      <c r="AE275" s="3">
        <f t="shared" si="261"/>
        <v>1.5938250600979934E-4</v>
      </c>
      <c r="AF275" s="3">
        <f t="shared" si="261"/>
        <v>1.3402806600359721E-4</v>
      </c>
      <c r="AG275" s="3"/>
      <c r="AH275" s="3"/>
    </row>
    <row r="276" spans="1:34" x14ac:dyDescent="0.25">
      <c r="B276" s="3">
        <f t="shared" ref="B276:AF276" si="262">$C45*EXP(-B$246/$A45/EXP(-$E$126))</f>
        <v>1.2901117231804357E-4</v>
      </c>
      <c r="C276" s="3">
        <f t="shared" si="262"/>
        <v>1.2901117231804357E-4</v>
      </c>
      <c r="D276" s="3">
        <f t="shared" si="262"/>
        <v>1.2901117231804357E-4</v>
      </c>
      <c r="E276" s="3">
        <f t="shared" si="262"/>
        <v>1.2901117231804357E-4</v>
      </c>
      <c r="F276" s="3">
        <f t="shared" si="262"/>
        <v>1.2901117231804357E-4</v>
      </c>
      <c r="G276" s="3">
        <f t="shared" si="262"/>
        <v>1.2901117231804357E-4</v>
      </c>
      <c r="H276" s="3">
        <f t="shared" si="262"/>
        <v>1.2901117231804357E-4</v>
      </c>
      <c r="I276" s="3">
        <f t="shared" si="262"/>
        <v>1.2901117231804357E-4</v>
      </c>
      <c r="J276" s="3">
        <f t="shared" si="262"/>
        <v>1.2901117231804357E-4</v>
      </c>
      <c r="K276" s="3">
        <f t="shared" si="262"/>
        <v>1.2901117231804357E-4</v>
      </c>
      <c r="L276" s="3">
        <f t="shared" si="262"/>
        <v>1.2901117231804357E-4</v>
      </c>
      <c r="M276" s="3">
        <f t="shared" si="262"/>
        <v>1.2901117231804357E-4</v>
      </c>
      <c r="N276" s="3">
        <f t="shared" si="262"/>
        <v>1.2901117231804357E-4</v>
      </c>
      <c r="O276" s="3">
        <f t="shared" si="262"/>
        <v>1.2901117231804357E-4</v>
      </c>
      <c r="P276" s="3">
        <f t="shared" si="262"/>
        <v>1.2901117231804357E-4</v>
      </c>
      <c r="Q276" s="3">
        <f t="shared" si="262"/>
        <v>1.2901117231804357E-4</v>
      </c>
      <c r="R276" s="3">
        <f t="shared" si="262"/>
        <v>1.2901117231804354E-4</v>
      </c>
      <c r="S276" s="3">
        <f t="shared" si="262"/>
        <v>1.2901117231804333E-4</v>
      </c>
      <c r="T276" s="3">
        <f t="shared" si="262"/>
        <v>1.290111723180411E-4</v>
      </c>
      <c r="U276" s="3">
        <f t="shared" si="262"/>
        <v>1.2901117231801874E-4</v>
      </c>
      <c r="V276" s="3">
        <f t="shared" si="262"/>
        <v>1.2901117231779521E-4</v>
      </c>
      <c r="W276" s="3">
        <f t="shared" si="262"/>
        <v>1.2901117231555999E-4</v>
      </c>
      <c r="X276" s="3">
        <f t="shared" si="262"/>
        <v>1.2901117229320781E-4</v>
      </c>
      <c r="Y276" s="3">
        <f t="shared" si="262"/>
        <v>1.2901117206968589E-4</v>
      </c>
      <c r="Z276" s="3">
        <f t="shared" si="262"/>
        <v>1.2901116983446691E-4</v>
      </c>
      <c r="AA276" s="3">
        <f t="shared" si="262"/>
        <v>1.2901114748227927E-4</v>
      </c>
      <c r="AB276" s="3">
        <f t="shared" si="262"/>
        <v>1.2901092396061569E-4</v>
      </c>
      <c r="AC276" s="3">
        <f t="shared" si="262"/>
        <v>1.2900868876527957E-4</v>
      </c>
      <c r="AD276" s="3">
        <f t="shared" si="262"/>
        <v>1.2898633894174659E-4</v>
      </c>
      <c r="AE276" s="3">
        <f t="shared" si="262"/>
        <v>1.2876305355277807E-4</v>
      </c>
      <c r="AF276" s="3">
        <f t="shared" si="262"/>
        <v>1.265513484832755E-4</v>
      </c>
      <c r="AG276" s="3"/>
      <c r="AH276" s="3"/>
    </row>
    <row r="277" spans="1:34" x14ac:dyDescent="0.25">
      <c r="B277" s="3">
        <f t="shared" ref="B277:AF277" si="263">$C46*EXP(-B$246/$A46/EXP(-$E$126))</f>
        <v>0</v>
      </c>
      <c r="C277" s="3">
        <f t="shared" si="263"/>
        <v>0</v>
      </c>
      <c r="D277" s="3">
        <f t="shared" si="263"/>
        <v>0</v>
      </c>
      <c r="E277" s="3">
        <f t="shared" si="263"/>
        <v>0</v>
      </c>
      <c r="F277" s="3">
        <f t="shared" si="263"/>
        <v>0</v>
      </c>
      <c r="G277" s="3">
        <f t="shared" si="263"/>
        <v>0</v>
      </c>
      <c r="H277" s="3">
        <f t="shared" si="263"/>
        <v>0</v>
      </c>
      <c r="I277" s="3">
        <f t="shared" si="263"/>
        <v>0</v>
      </c>
      <c r="J277" s="3">
        <f t="shared" si="263"/>
        <v>0</v>
      </c>
      <c r="K277" s="3">
        <f t="shared" si="263"/>
        <v>0</v>
      </c>
      <c r="L277" s="3">
        <f t="shared" si="263"/>
        <v>0</v>
      </c>
      <c r="M277" s="3">
        <f t="shared" si="263"/>
        <v>0</v>
      </c>
      <c r="N277" s="3">
        <f t="shared" si="263"/>
        <v>0</v>
      </c>
      <c r="O277" s="3">
        <f t="shared" si="263"/>
        <v>0</v>
      </c>
      <c r="P277" s="3">
        <f t="shared" si="263"/>
        <v>0</v>
      </c>
      <c r="Q277" s="3">
        <f t="shared" si="263"/>
        <v>0</v>
      </c>
      <c r="R277" s="3">
        <f t="shared" si="263"/>
        <v>0</v>
      </c>
      <c r="S277" s="3">
        <f t="shared" si="263"/>
        <v>0</v>
      </c>
      <c r="T277" s="3">
        <f t="shared" si="263"/>
        <v>0</v>
      </c>
      <c r="U277" s="3">
        <f t="shared" si="263"/>
        <v>0</v>
      </c>
      <c r="V277" s="3">
        <f t="shared" si="263"/>
        <v>0</v>
      </c>
      <c r="W277" s="3">
        <f t="shared" si="263"/>
        <v>0</v>
      </c>
      <c r="X277" s="3">
        <f t="shared" si="263"/>
        <v>0</v>
      </c>
      <c r="Y277" s="3">
        <f t="shared" si="263"/>
        <v>0</v>
      </c>
      <c r="Z277" s="3">
        <f t="shared" si="263"/>
        <v>0</v>
      </c>
      <c r="AA277" s="3">
        <f t="shared" si="263"/>
        <v>0</v>
      </c>
      <c r="AB277" s="3">
        <f t="shared" si="263"/>
        <v>0</v>
      </c>
      <c r="AC277" s="3">
        <f t="shared" si="263"/>
        <v>0</v>
      </c>
      <c r="AD277" s="3">
        <f t="shared" si="263"/>
        <v>0</v>
      </c>
      <c r="AE277" s="3">
        <f t="shared" si="263"/>
        <v>0</v>
      </c>
      <c r="AF277" s="3">
        <f t="shared" si="263"/>
        <v>0</v>
      </c>
      <c r="AG277" s="3"/>
      <c r="AH277" s="3"/>
    </row>
    <row r="278" spans="1:34" x14ac:dyDescent="0.25">
      <c r="B278" s="3">
        <f t="shared" ref="B278:AF278" si="264">$C47*EXP(-B$246/$A47/EXP(-$E$126))</f>
        <v>7.3508598139721321E-5</v>
      </c>
      <c r="C278" s="3">
        <f t="shared" si="264"/>
        <v>7.3508598139721321E-5</v>
      </c>
      <c r="D278" s="3">
        <f t="shared" si="264"/>
        <v>7.3508598139721321E-5</v>
      </c>
      <c r="E278" s="3">
        <f t="shared" si="264"/>
        <v>7.3508598139721321E-5</v>
      </c>
      <c r="F278" s="3">
        <f t="shared" si="264"/>
        <v>7.3508598139721321E-5</v>
      </c>
      <c r="G278" s="3">
        <f t="shared" si="264"/>
        <v>7.3508598139721321E-5</v>
      </c>
      <c r="H278" s="3">
        <f t="shared" si="264"/>
        <v>7.3508598139721321E-5</v>
      </c>
      <c r="I278" s="3">
        <f t="shared" si="264"/>
        <v>7.3508598139721321E-5</v>
      </c>
      <c r="J278" s="3">
        <f t="shared" si="264"/>
        <v>7.3508598139721321E-5</v>
      </c>
      <c r="K278" s="3">
        <f t="shared" si="264"/>
        <v>7.3508598139721321E-5</v>
      </c>
      <c r="L278" s="3">
        <f t="shared" si="264"/>
        <v>7.3508598139721321E-5</v>
      </c>
      <c r="M278" s="3">
        <f t="shared" si="264"/>
        <v>7.3508598139721321E-5</v>
      </c>
      <c r="N278" s="3">
        <f t="shared" si="264"/>
        <v>7.3508598139721321E-5</v>
      </c>
      <c r="O278" s="3">
        <f t="shared" si="264"/>
        <v>7.3508598139721321E-5</v>
      </c>
      <c r="P278" s="3">
        <f t="shared" si="264"/>
        <v>7.3508598139721321E-5</v>
      </c>
      <c r="Q278" s="3">
        <f t="shared" si="264"/>
        <v>7.3508598139721321E-5</v>
      </c>
      <c r="R278" s="3">
        <f t="shared" si="264"/>
        <v>7.3508598139721321E-5</v>
      </c>
      <c r="S278" s="3">
        <f t="shared" si="264"/>
        <v>7.3508598139721321E-5</v>
      </c>
      <c r="T278" s="3">
        <f t="shared" si="264"/>
        <v>7.3508598139721308E-5</v>
      </c>
      <c r="U278" s="3">
        <f t="shared" si="264"/>
        <v>7.3508598139721186E-5</v>
      </c>
      <c r="V278" s="3">
        <f t="shared" si="264"/>
        <v>7.3508598139719912E-5</v>
      </c>
      <c r="W278" s="3">
        <f t="shared" si="264"/>
        <v>7.3508598139707172E-5</v>
      </c>
      <c r="X278" s="3">
        <f t="shared" si="264"/>
        <v>7.3508598139579806E-5</v>
      </c>
      <c r="Y278" s="3">
        <f t="shared" si="264"/>
        <v>7.350859813830622E-5</v>
      </c>
      <c r="Z278" s="3">
        <f t="shared" si="264"/>
        <v>7.3508598125570274E-5</v>
      </c>
      <c r="AA278" s="3">
        <f t="shared" si="264"/>
        <v>7.3508597998210915E-5</v>
      </c>
      <c r="AB278" s="3">
        <f t="shared" si="264"/>
        <v>7.350859672461723E-5</v>
      </c>
      <c r="AC278" s="3">
        <f t="shared" si="264"/>
        <v>7.3508583988681647E-5</v>
      </c>
      <c r="AD278" s="3">
        <f t="shared" si="264"/>
        <v>7.3508456629447187E-5</v>
      </c>
      <c r="AE278" s="3">
        <f t="shared" si="264"/>
        <v>7.3507183049238784E-5</v>
      </c>
      <c r="AF278" s="3">
        <f t="shared" si="264"/>
        <v>7.3494448460698439E-5</v>
      </c>
      <c r="AG278" s="3"/>
      <c r="AH278" s="3"/>
    </row>
    <row r="279" spans="1:34" x14ac:dyDescent="0.25">
      <c r="B279" s="3">
        <f t="shared" ref="B279:AF279" si="265">$C48*EXP(-B$246/$A48/EXP(-$E$126))</f>
        <v>6.9573660063357843E-4</v>
      </c>
      <c r="C279" s="3">
        <f t="shared" si="265"/>
        <v>6.9573660063357843E-4</v>
      </c>
      <c r="D279" s="3">
        <f t="shared" si="265"/>
        <v>6.9573660063357843E-4</v>
      </c>
      <c r="E279" s="3">
        <f t="shared" si="265"/>
        <v>6.9573660063357843E-4</v>
      </c>
      <c r="F279" s="3">
        <f t="shared" si="265"/>
        <v>6.9573660063357843E-4</v>
      </c>
      <c r="G279" s="3">
        <f t="shared" si="265"/>
        <v>6.9573660063357843E-4</v>
      </c>
      <c r="H279" s="3">
        <f t="shared" si="265"/>
        <v>6.9573660063357843E-4</v>
      </c>
      <c r="I279" s="3">
        <f t="shared" si="265"/>
        <v>6.9573660063357843E-4</v>
      </c>
      <c r="J279" s="3">
        <f t="shared" si="265"/>
        <v>6.9573660063357843E-4</v>
      </c>
      <c r="K279" s="3">
        <f t="shared" si="265"/>
        <v>6.9573660063357843E-4</v>
      </c>
      <c r="L279" s="3">
        <f t="shared" si="265"/>
        <v>6.9573660063357843E-4</v>
      </c>
      <c r="M279" s="3">
        <f t="shared" si="265"/>
        <v>6.9573660063357843E-4</v>
      </c>
      <c r="N279" s="3">
        <f t="shared" si="265"/>
        <v>6.9573660063357843E-4</v>
      </c>
      <c r="O279" s="3">
        <f t="shared" si="265"/>
        <v>6.9573660063357843E-4</v>
      </c>
      <c r="P279" s="3">
        <f t="shared" si="265"/>
        <v>6.9573660063357843E-4</v>
      </c>
      <c r="Q279" s="3">
        <f t="shared" si="265"/>
        <v>6.9573660063357843E-4</v>
      </c>
      <c r="R279" s="3">
        <f t="shared" si="265"/>
        <v>6.9573660063357843E-4</v>
      </c>
      <c r="S279" s="3">
        <f t="shared" si="265"/>
        <v>6.9573660063357843E-4</v>
      </c>
      <c r="T279" s="3">
        <f t="shared" si="265"/>
        <v>6.9573660063357843E-4</v>
      </c>
      <c r="U279" s="3">
        <f t="shared" si="265"/>
        <v>6.9573660063357832E-4</v>
      </c>
      <c r="V279" s="3">
        <f t="shared" si="265"/>
        <v>6.9573660063357713E-4</v>
      </c>
      <c r="W279" s="3">
        <f t="shared" si="265"/>
        <v>6.957366006335651E-4</v>
      </c>
      <c r="X279" s="3">
        <f t="shared" si="265"/>
        <v>6.9573660063344453E-4</v>
      </c>
      <c r="Y279" s="3">
        <f t="shared" si="265"/>
        <v>6.9573660063223901E-4</v>
      </c>
      <c r="Z279" s="3">
        <f t="shared" si="265"/>
        <v>6.9573660062018496E-4</v>
      </c>
      <c r="AA279" s="3">
        <f t="shared" si="265"/>
        <v>6.9573660049964314E-4</v>
      </c>
      <c r="AB279" s="3">
        <f t="shared" si="265"/>
        <v>6.9573659929422532E-4</v>
      </c>
      <c r="AC279" s="3">
        <f t="shared" si="265"/>
        <v>6.9573658724004714E-4</v>
      </c>
      <c r="AD279" s="3">
        <f t="shared" si="265"/>
        <v>6.9573646669827721E-4</v>
      </c>
      <c r="AE279" s="3">
        <f t="shared" si="265"/>
        <v>6.9573526128172613E-4</v>
      </c>
      <c r="AF279" s="3">
        <f t="shared" si="265"/>
        <v>6.9572320723108102E-4</v>
      </c>
      <c r="AG279" s="3"/>
      <c r="AH279" s="3"/>
    </row>
    <row r="280" spans="1:34" x14ac:dyDescent="0.25">
      <c r="A280" s="79">
        <f>AVERAGE(B280:AF280)</f>
        <v>4.4661102614877782E-2</v>
      </c>
      <c r="B280" s="80">
        <f>IF($D$61&lt;=B246,IF($E$61&gt;=B246,ABS((B248-B247)/B247),0),0)</f>
        <v>7.3542757650799069E-3</v>
      </c>
      <c r="C280" s="80">
        <f t="shared" ref="C280:AF280" si="266">IF($D$61&lt;=C246,IF($E$61&gt;=C246,ABS((C248-C247)/C247),0),0)</f>
        <v>7.3641468579317502E-3</v>
      </c>
      <c r="D280" s="80">
        <f t="shared" si="266"/>
        <v>7.3588579880611389E-3</v>
      </c>
      <c r="E280" s="80">
        <f t="shared" si="266"/>
        <v>7.3575142108382331E-3</v>
      </c>
      <c r="F280" s="80">
        <f t="shared" si="266"/>
        <v>7.3573284826363413E-3</v>
      </c>
      <c r="G280" s="80">
        <f t="shared" si="266"/>
        <v>7.3592076569045642E-3</v>
      </c>
      <c r="H280" s="80">
        <f t="shared" si="266"/>
        <v>7.3791244761455725E-3</v>
      </c>
      <c r="I280" s="80">
        <f t="shared" si="266"/>
        <v>7.5763211597406786E-3</v>
      </c>
      <c r="J280" s="80">
        <f t="shared" si="266"/>
        <v>9.3359402305764356E-3</v>
      </c>
      <c r="K280" s="80">
        <f t="shared" si="266"/>
        <v>1.8027429418188193E-2</v>
      </c>
      <c r="L280" s="80">
        <f t="shared" si="266"/>
        <v>3.6537040010402103E-2</v>
      </c>
      <c r="M280" s="80">
        <f t="shared" si="266"/>
        <v>4.2187283057528051E-2</v>
      </c>
      <c r="N280" s="80">
        <f t="shared" si="266"/>
        <v>4.8639510144019599E-2</v>
      </c>
      <c r="O280" s="80">
        <f t="shared" si="266"/>
        <v>5.7926358209051523E-2</v>
      </c>
      <c r="P280" s="80">
        <f t="shared" si="266"/>
        <v>6.1598100973952526E-2</v>
      </c>
      <c r="Q280" s="80">
        <f t="shared" si="266"/>
        <v>7.6334420350285231E-2</v>
      </c>
      <c r="R280" s="80">
        <f t="shared" si="266"/>
        <v>8.1787192014051463E-2</v>
      </c>
      <c r="S280" s="80">
        <f t="shared" si="266"/>
        <v>5.6905472780752177E-2</v>
      </c>
      <c r="T280" s="80">
        <f t="shared" si="266"/>
        <v>3.5787310863984782E-2</v>
      </c>
      <c r="U280" s="80">
        <f t="shared" si="266"/>
        <v>0.16539807322918432</v>
      </c>
      <c r="V280" s="80">
        <f t="shared" si="266"/>
        <v>0.19932248924301696</v>
      </c>
      <c r="W280" s="80">
        <f t="shared" si="266"/>
        <v>9.3461864025497415E-2</v>
      </c>
      <c r="X280" s="80">
        <f t="shared" si="266"/>
        <v>7.7663553284455858E-2</v>
      </c>
      <c r="Y280" s="80">
        <f t="shared" si="266"/>
        <v>0.26447536662892629</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2872.1440931832217</v>
      </c>
      <c r="C281" s="21">
        <f t="shared" ref="C281:AF281" si="267">(C248-C247)^2</f>
        <v>2879.9166700878604</v>
      </c>
      <c r="D281" s="21">
        <f t="shared" si="267"/>
        <v>2875.7508340371146</v>
      </c>
      <c r="E281" s="21">
        <f t="shared" si="267"/>
        <v>2874.6927661883051</v>
      </c>
      <c r="F281" s="21">
        <f t="shared" si="267"/>
        <v>2874.5453839818633</v>
      </c>
      <c r="G281" s="21">
        <f t="shared" si="267"/>
        <v>2876.013114974005</v>
      </c>
      <c r="H281" s="21">
        <f t="shared" si="267"/>
        <v>2891.5993796733278</v>
      </c>
      <c r="I281" s="21">
        <f t="shared" si="267"/>
        <v>3048.1939089193379</v>
      </c>
      <c r="J281" s="21">
        <f t="shared" si="267"/>
        <v>4628.2408532825557</v>
      </c>
      <c r="K281" s="21">
        <f t="shared" si="267"/>
        <v>17246.823100624766</v>
      </c>
      <c r="L281" s="21">
        <f t="shared" si="267"/>
        <v>70452.08303776785</v>
      </c>
      <c r="M281" s="21">
        <f t="shared" si="267"/>
        <v>91078.995551767221</v>
      </c>
      <c r="N281" s="21">
        <f t="shared" si="267"/>
        <v>116322.00505571181</v>
      </c>
      <c r="O281" s="21">
        <f t="shared" si="267"/>
        <v>157666.10424988469</v>
      </c>
      <c r="P281" s="21">
        <f t="shared" si="267"/>
        <v>168670.61767299948</v>
      </c>
      <c r="Q281" s="21">
        <f t="shared" si="267"/>
        <v>243007.60568802213</v>
      </c>
      <c r="R281" s="21">
        <f t="shared" si="267"/>
        <v>256893.51522987557</v>
      </c>
      <c r="S281" s="21">
        <f t="shared" si="267"/>
        <v>106271.78609102321</v>
      </c>
      <c r="T281" s="21">
        <f t="shared" si="267"/>
        <v>30868.594690306447</v>
      </c>
      <c r="U281" s="21">
        <f t="shared" si="267"/>
        <v>449754.2339886119</v>
      </c>
      <c r="V281" s="21">
        <f t="shared" si="267"/>
        <v>455158.47991434101</v>
      </c>
      <c r="W281" s="21">
        <f t="shared" si="267"/>
        <v>71840.70107569969</v>
      </c>
      <c r="X281" s="21">
        <f t="shared" si="267"/>
        <v>34566.427181344632</v>
      </c>
      <c r="Y281" s="21">
        <f t="shared" si="267"/>
        <v>258671.87015673023</v>
      </c>
      <c r="Z281" s="21">
        <f t="shared" si="267"/>
        <v>385274.83672875899</v>
      </c>
      <c r="AA281" s="21">
        <f t="shared" si="267"/>
        <v>230457.46861070878</v>
      </c>
      <c r="AB281" s="21">
        <f t="shared" si="267"/>
        <v>102924.87867118568</v>
      </c>
      <c r="AC281" s="21">
        <f t="shared" si="267"/>
        <v>28977.411733802215</v>
      </c>
      <c r="AD281" s="21">
        <f t="shared" si="267"/>
        <v>3185.0241891539708</v>
      </c>
      <c r="AE281" s="21">
        <f t="shared" si="267"/>
        <v>369.51563831178424</v>
      </c>
      <c r="AF281" s="21">
        <f t="shared" si="267"/>
        <v>55.849937183941357</v>
      </c>
      <c r="AG281" s="3"/>
      <c r="AH281" s="3"/>
    </row>
    <row r="282" spans="1:34" s="3" customFormat="1" x14ac:dyDescent="0.25">
      <c r="A282" s="71">
        <f>SUM(B282:AF282)</f>
        <v>2556290.9396890379</v>
      </c>
      <c r="B282" s="21">
        <f>IF($D$61&lt;=B246,IF($E$61&gt;=B246,ABS(B281),0),0)</f>
        <v>2872.1440931832217</v>
      </c>
      <c r="C282" s="21">
        <f t="shared" ref="C282:AF282" si="268">IF($D$61&lt;=C246,IF($E$61&gt;=C246,ABS(C281),0),0)</f>
        <v>2879.9166700878604</v>
      </c>
      <c r="D282" s="21">
        <f t="shared" si="268"/>
        <v>2875.7508340371146</v>
      </c>
      <c r="E282" s="21">
        <f t="shared" si="268"/>
        <v>2874.6927661883051</v>
      </c>
      <c r="F282" s="21">
        <f t="shared" si="268"/>
        <v>2874.5453839818633</v>
      </c>
      <c r="G282" s="21">
        <f t="shared" si="268"/>
        <v>2876.013114974005</v>
      </c>
      <c r="H282" s="21">
        <f t="shared" si="268"/>
        <v>2891.5993796733278</v>
      </c>
      <c r="I282" s="21">
        <f t="shared" si="268"/>
        <v>3048.1939089193379</v>
      </c>
      <c r="J282" s="21">
        <f t="shared" si="268"/>
        <v>4628.2408532825557</v>
      </c>
      <c r="K282" s="21">
        <f t="shared" si="268"/>
        <v>17246.823100624766</v>
      </c>
      <c r="L282" s="21">
        <f t="shared" si="268"/>
        <v>70452.08303776785</v>
      </c>
      <c r="M282" s="21">
        <f t="shared" si="268"/>
        <v>91078.995551767221</v>
      </c>
      <c r="N282" s="21">
        <f t="shared" si="268"/>
        <v>116322.00505571181</v>
      </c>
      <c r="O282" s="21">
        <f t="shared" si="268"/>
        <v>157666.10424988469</v>
      </c>
      <c r="P282" s="21">
        <f t="shared" si="268"/>
        <v>168670.61767299948</v>
      </c>
      <c r="Q282" s="21">
        <f t="shared" si="268"/>
        <v>243007.60568802213</v>
      </c>
      <c r="R282" s="21">
        <f t="shared" si="268"/>
        <v>256893.51522987557</v>
      </c>
      <c r="S282" s="21">
        <f t="shared" si="268"/>
        <v>106271.78609102321</v>
      </c>
      <c r="T282" s="21">
        <f t="shared" si="268"/>
        <v>30868.594690306447</v>
      </c>
      <c r="U282" s="21">
        <f t="shared" si="268"/>
        <v>449754.2339886119</v>
      </c>
      <c r="V282" s="21">
        <f t="shared" si="268"/>
        <v>455158.47991434101</v>
      </c>
      <c r="W282" s="21">
        <f t="shared" si="268"/>
        <v>71840.70107569969</v>
      </c>
      <c r="X282" s="21">
        <f t="shared" si="268"/>
        <v>34566.427181344632</v>
      </c>
      <c r="Y282" s="21">
        <f t="shared" si="268"/>
        <v>258671.87015673023</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7233.2784973668249</v>
      </c>
      <c r="C286" s="26">
        <f>INDEX(Comparison!$AM$3:$AS$33,G$14,$F$122)</f>
        <v>7233.3436741214491</v>
      </c>
      <c r="D286" s="26">
        <f>INDEX(Comparison!$AM$3:$AS$33,H$14,$F$122)</f>
        <v>7233.2477630478616</v>
      </c>
      <c r="E286" s="26">
        <f>INDEX(Comparison!$AM$3:$AS$33,I$14,$F$122)</f>
        <v>7232.6642193149437</v>
      </c>
      <c r="F286" s="26">
        <f>INDEX(Comparison!$AM$3:$AS$33,J$14,$F$122)</f>
        <v>7227.030574444283</v>
      </c>
      <c r="G286" s="26">
        <f>INDEX(Comparison!$AM$3:$AS$33,K$14,$F$122)</f>
        <v>7179.9574188317292</v>
      </c>
      <c r="H286" s="26">
        <f>INDEX(Comparison!$AM$3:$AS$33,L$14,$F$122)</f>
        <v>7042.6684859234238</v>
      </c>
      <c r="I286" s="26">
        <f>INDEX(Comparison!$AM$3:$AS$33,M$14,$F$122)</f>
        <v>6896.670224560311</v>
      </c>
      <c r="J286" s="26">
        <f>INDEX(Comparison!$AM$3:$AS$33,N$14,$F$122)</f>
        <v>6728.3118442587265</v>
      </c>
      <c r="K286" s="26">
        <f>INDEX(Comparison!$AM$3:$AS$33,O$14,$F$122)</f>
        <v>6522.7483495061197</v>
      </c>
      <c r="L286" s="26">
        <f>INDEX(Comparison!$AM$3:$AS$33,P$14,$F$122)</f>
        <v>6323.7668304163335</v>
      </c>
      <c r="M286" s="26">
        <f>INDEX(Comparison!$AM$3:$AS$33,Q$14,$F$122)</f>
        <v>6060.8557573682765</v>
      </c>
      <c r="N286" s="26">
        <f>INDEX(Comparison!$AM$3:$AS$33,R$14,$F$122)</f>
        <v>5776.7475493188331</v>
      </c>
      <c r="O286" s="26">
        <f>INDEX(Comparison!$AM$3:$AS$33,S$14,$F$122)</f>
        <v>5495.7675366958674</v>
      </c>
      <c r="P286" s="26">
        <f>INDEX(Comparison!$AM$3:$AS$33,T$14,$F$122)</f>
        <v>5188.5996988750203</v>
      </c>
      <c r="Q286" s="26">
        <f>INDEX(Comparison!$AM$3:$AS$33,U$14,$F$122)</f>
        <v>4846.1759775211867</v>
      </c>
      <c r="R286" s="26">
        <f>INDEX(Comparison!$AM$3:$AS$33,V$14,$F$122)</f>
        <v>4307.5308640863095</v>
      </c>
      <c r="S286" s="26">
        <f>INDEX(Comparison!$AM$3:$AS$33,W$14,$F$122)</f>
        <v>3424.2409160347711</v>
      </c>
      <c r="T286" s="26">
        <f>INDEX(Comparison!$AM$3:$AS$33,X$14,$F$122)</f>
        <v>2457.6306581082695</v>
      </c>
      <c r="U286" s="26">
        <f>INDEX(Comparison!$AM$3:$AS$33,Y$14,$F$122)</f>
        <v>1610.938712030013</v>
      </c>
      <c r="V286" s="26">
        <f>INDEX(Comparison!$AM$3:$AS$33,Z$14,$F$122)</f>
        <v>942.69111378955085</v>
      </c>
      <c r="W286" s="26">
        <f>INDEX(Comparison!$AM$3:$AS$33,AA$14,$F$122)</f>
        <v>510.32470275306576</v>
      </c>
      <c r="X286" s="26">
        <f>INDEX(Comparison!$AM$3:$AS$33,AB$14,$F$122)</f>
        <v>271.36767023207187</v>
      </c>
      <c r="Y286" s="26">
        <f>INDEX(Comparison!$AM$3:$AS$33,AC$14,$F$122)</f>
        <v>152.45647454769647</v>
      </c>
      <c r="Z286" s="26">
        <f>INDEX(Comparison!$AM$3:$AS$33,AD$14,$F$122)</f>
        <v>114.48528241321054</v>
      </c>
      <c r="AA286" s="26">
        <f>INDEX(Comparison!$AM$3:$AS$33,AE$14,$F$122)</f>
        <v>101.06517730245214</v>
      </c>
      <c r="AB286" s="26">
        <f>INDEX(Comparison!$AM$3:$AS$33,AF$14,$F$122)</f>
        <v>93.059878245985715</v>
      </c>
      <c r="AC286" s="26">
        <f>INDEX(Comparison!$AM$3:$AS$33,AG$14,$F$122)</f>
        <v>92.631968530961771</v>
      </c>
      <c r="AD286" s="26">
        <f>INDEX(Comparison!$AM$3:$AS$33,AH$14,$F$122)</f>
        <v>91.23127997996707</v>
      </c>
      <c r="AE286" s="26">
        <f>INDEX(Comparison!$AM$3:$AS$33,AI$14,$F$122)</f>
        <v>91.209911146223277</v>
      </c>
      <c r="AF286" s="26">
        <f>INDEX(Comparison!$AM$3:$AS$33,AJ$14,$F$122)</f>
        <v>90.301560772176387</v>
      </c>
      <c r="AG286" s="26"/>
      <c r="AH286" s="26"/>
    </row>
    <row r="287" spans="1:34" x14ac:dyDescent="0.25">
      <c r="A287" s="70" t="s">
        <v>22</v>
      </c>
      <c r="B287" s="27">
        <f>($C$17+SUM(B288:B318))*$B$51</f>
        <v>7233.6489151400983</v>
      </c>
      <c r="C287" s="27">
        <f t="shared" ref="C287:AF287" si="269">($C$17+SUM(C288:C318))*$B$51</f>
        <v>7233.6412379397152</v>
      </c>
      <c r="D287" s="27">
        <f t="shared" si="269"/>
        <v>7233.5645132510354</v>
      </c>
      <c r="E287" s="27">
        <f t="shared" si="269"/>
        <v>7232.8019696365391</v>
      </c>
      <c r="F287" s="27">
        <f t="shared" si="269"/>
        <v>7225.6198930416922</v>
      </c>
      <c r="G287" s="27">
        <f t="shared" si="269"/>
        <v>7180.2835763201047</v>
      </c>
      <c r="H287" s="27">
        <f t="shared" si="269"/>
        <v>7042.6138682949222</v>
      </c>
      <c r="I287" s="27">
        <f t="shared" si="269"/>
        <v>6896.7241323918061</v>
      </c>
      <c r="J287" s="27">
        <f t="shared" si="269"/>
        <v>6728.1958724845999</v>
      </c>
      <c r="K287" s="27">
        <f t="shared" si="269"/>
        <v>6522.9865058214136</v>
      </c>
      <c r="L287" s="27">
        <f t="shared" si="269"/>
        <v>6323.3555091457847</v>
      </c>
      <c r="M287" s="27">
        <f t="shared" si="269"/>
        <v>6061.4540746575221</v>
      </c>
      <c r="N287" s="27">
        <f t="shared" si="269"/>
        <v>5776.0135211907909</v>
      </c>
      <c r="O287" s="27">
        <f t="shared" si="269"/>
        <v>5496.543709241022</v>
      </c>
      <c r="P287" s="27">
        <f t="shared" si="269"/>
        <v>5187.9036620962415</v>
      </c>
      <c r="Q287" s="27">
        <f t="shared" si="269"/>
        <v>4846.7051400956452</v>
      </c>
      <c r="R287" s="27">
        <f t="shared" si="269"/>
        <v>4307.1892907529736</v>
      </c>
      <c r="S287" s="27">
        <f t="shared" si="269"/>
        <v>3424.4430284490713</v>
      </c>
      <c r="T287" s="27">
        <f t="shared" si="269"/>
        <v>2457.5292211422175</v>
      </c>
      <c r="U287" s="27">
        <f t="shared" si="269"/>
        <v>1610.9837697932915</v>
      </c>
      <c r="V287" s="27">
        <f t="shared" si="269"/>
        <v>942.67843880542739</v>
      </c>
      <c r="W287" s="27">
        <f t="shared" si="269"/>
        <v>510.32813886360162</v>
      </c>
      <c r="X287" s="27">
        <f t="shared" si="269"/>
        <v>271.37674441509307</v>
      </c>
      <c r="Y287" s="27">
        <f t="shared" si="269"/>
        <v>152.4330509006588</v>
      </c>
      <c r="Z287" s="27">
        <f t="shared" si="269"/>
        <v>114.52073070893231</v>
      </c>
      <c r="AA287" s="27">
        <f t="shared" si="269"/>
        <v>101.02184283866399</v>
      </c>
      <c r="AB287" s="27">
        <f t="shared" si="269"/>
        <v>93.163180205270478</v>
      </c>
      <c r="AC287" s="27">
        <f t="shared" si="269"/>
        <v>92.441097432140822</v>
      </c>
      <c r="AD287" s="27">
        <f t="shared" si="269"/>
        <v>91.485699304221228</v>
      </c>
      <c r="AE287" s="27">
        <f t="shared" si="269"/>
        <v>91.046181663410508</v>
      </c>
      <c r="AF287" s="27">
        <f t="shared" si="269"/>
        <v>90.322160429283514</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0</v>
      </c>
      <c r="C289" s="3">
        <f t="shared" si="271"/>
        <v>0</v>
      </c>
      <c r="D289" s="3">
        <f t="shared" si="271"/>
        <v>0</v>
      </c>
      <c r="E289" s="3">
        <f t="shared" si="271"/>
        <v>0</v>
      </c>
      <c r="F289" s="3">
        <f t="shared" si="271"/>
        <v>0</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0</v>
      </c>
      <c r="C290" s="3">
        <f t="shared" si="272"/>
        <v>0</v>
      </c>
      <c r="D290" s="3">
        <f t="shared" si="272"/>
        <v>0</v>
      </c>
      <c r="E290" s="3">
        <f t="shared" si="272"/>
        <v>0</v>
      </c>
      <c r="F290" s="3">
        <f t="shared" si="272"/>
        <v>0</v>
      </c>
      <c r="G290" s="3">
        <f t="shared" si="272"/>
        <v>0</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0</v>
      </c>
      <c r="C291" s="3">
        <f t="shared" si="273"/>
        <v>0</v>
      </c>
      <c r="D291" s="3">
        <f t="shared" si="273"/>
        <v>0</v>
      </c>
      <c r="E291" s="3">
        <f t="shared" si="273"/>
        <v>0</v>
      </c>
      <c r="F291" s="3">
        <f t="shared" si="273"/>
        <v>0</v>
      </c>
      <c r="G291" s="3">
        <f t="shared" si="273"/>
        <v>0</v>
      </c>
      <c r="H291" s="3">
        <f t="shared" si="273"/>
        <v>0</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3.90923294536234E-3</v>
      </c>
      <c r="C292" s="3">
        <f t="shared" si="274"/>
        <v>3.9085714353918584E-3</v>
      </c>
      <c r="D292" s="3">
        <f t="shared" si="274"/>
        <v>3.9019624892050677E-3</v>
      </c>
      <c r="E292" s="3">
        <f t="shared" si="274"/>
        <v>3.8364845434493036E-3</v>
      </c>
      <c r="F292" s="3">
        <f t="shared" si="274"/>
        <v>3.2391949043391452E-3</v>
      </c>
      <c r="G292" s="3">
        <f t="shared" si="274"/>
        <v>5.9631173736152099E-4</v>
      </c>
      <c r="H292" s="3">
        <f t="shared" si="274"/>
        <v>2.6658525815722901E-11</v>
      </c>
      <c r="I292" s="3">
        <f t="shared" si="274"/>
        <v>8.5008793017705329E-85</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2.3294985596043739E-2</v>
      </c>
      <c r="C293" s="3">
        <f t="shared" si="275"/>
        <v>2.3294629975113151E-2</v>
      </c>
      <c r="D293" s="3">
        <f t="shared" si="275"/>
        <v>2.3291074064383337E-2</v>
      </c>
      <c r="E293" s="3">
        <f t="shared" si="275"/>
        <v>2.3255544797833073E-2</v>
      </c>
      <c r="F293" s="3">
        <f t="shared" si="275"/>
        <v>2.2903219420304634E-2</v>
      </c>
      <c r="G293" s="3">
        <f t="shared" si="275"/>
        <v>1.9660596570110139E-2</v>
      </c>
      <c r="H293" s="3">
        <f t="shared" si="275"/>
        <v>4.2716756648090107E-3</v>
      </c>
      <c r="I293" s="3">
        <f t="shared" si="275"/>
        <v>1.0014149256304811E-9</v>
      </c>
      <c r="J293" s="3">
        <f t="shared" si="275"/>
        <v>5.0207888160030591E-76</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1.9366381815242761E-2</v>
      </c>
      <c r="C294" s="3">
        <f t="shared" si="276"/>
        <v>1.9366355145245897E-2</v>
      </c>
      <c r="D294" s="3">
        <f t="shared" si="276"/>
        <v>1.9366088447297314E-2</v>
      </c>
      <c r="E294" s="3">
        <f t="shared" si="276"/>
        <v>1.9363421669804402E-2</v>
      </c>
      <c r="F294" s="3">
        <f t="shared" si="276"/>
        <v>1.9336774083881503E-2</v>
      </c>
      <c r="G294" s="3">
        <f t="shared" si="276"/>
        <v>1.907230687599356E-2</v>
      </c>
      <c r="H294" s="3">
        <f t="shared" si="276"/>
        <v>1.661863130295969E-2</v>
      </c>
      <c r="I294" s="3">
        <f t="shared" si="276"/>
        <v>4.1929098105203426E-3</v>
      </c>
      <c r="J294" s="3">
        <f t="shared" si="276"/>
        <v>4.382462426919522E-9</v>
      </c>
      <c r="K294" s="3">
        <f t="shared" si="276"/>
        <v>6.8193818064280083E-69</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2.4447536364032765E-2</v>
      </c>
      <c r="C295" s="3">
        <f t="shared" si="277"/>
        <v>2.4447533326951321E-2</v>
      </c>
      <c r="D295" s="3">
        <f t="shared" si="277"/>
        <v>2.4447502956157621E-2</v>
      </c>
      <c r="E295" s="3">
        <f t="shared" si="277"/>
        <v>2.4447199250295728E-2</v>
      </c>
      <c r="F295" s="3">
        <f t="shared" si="277"/>
        <v>2.4444162399176926E-2</v>
      </c>
      <c r="G295" s="3">
        <f t="shared" si="277"/>
        <v>2.4413814628466111E-2</v>
      </c>
      <c r="H295" s="3">
        <f t="shared" si="277"/>
        <v>2.4112401467406074E-2</v>
      </c>
      <c r="I295" s="3">
        <f t="shared" si="277"/>
        <v>2.1295542032821382E-2</v>
      </c>
      <c r="J295" s="3">
        <f t="shared" si="277"/>
        <v>6.1485261568540121E-3</v>
      </c>
      <c r="K295" s="3">
        <f t="shared" si="277"/>
        <v>2.4751087663865671E-8</v>
      </c>
      <c r="L295" s="3">
        <f t="shared" si="277"/>
        <v>2.7658391685322317E-62</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3.2102560655410381E-2</v>
      </c>
      <c r="C296" s="3">
        <f t="shared" si="278"/>
        <v>3.2102560295654725E-2</v>
      </c>
      <c r="D296" s="3">
        <f t="shared" si="278"/>
        <v>3.2102556698098403E-2</v>
      </c>
      <c r="E296" s="3">
        <f t="shared" si="278"/>
        <v>3.2102520722557377E-2</v>
      </c>
      <c r="F296" s="3">
        <f t="shared" si="278"/>
        <v>3.2102160969364434E-2</v>
      </c>
      <c r="G296" s="3">
        <f t="shared" si="278"/>
        <v>3.2098563659161847E-2</v>
      </c>
      <c r="H296" s="3">
        <f t="shared" si="278"/>
        <v>3.2062612720629109E-2</v>
      </c>
      <c r="I296" s="3">
        <f t="shared" si="278"/>
        <v>3.1705310522259965E-2</v>
      </c>
      <c r="J296" s="3">
        <f t="shared" si="278"/>
        <v>2.834412329702107E-2</v>
      </c>
      <c r="K296" s="3">
        <f t="shared" si="278"/>
        <v>9.2421540538036844E-3</v>
      </c>
      <c r="L296" s="3">
        <f t="shared" si="278"/>
        <v>1.2556683609091471E-7</v>
      </c>
      <c r="M296" s="3">
        <f t="shared" si="278"/>
        <v>2.6908682405469371E-56</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2.4134444752506957E-2</v>
      </c>
      <c r="C297" s="3">
        <f t="shared" si="279"/>
        <v>2.4134444728109092E-2</v>
      </c>
      <c r="D297" s="3">
        <f t="shared" si="279"/>
        <v>2.4134444484130421E-2</v>
      </c>
      <c r="E297" s="3">
        <f t="shared" si="279"/>
        <v>2.4134442044343878E-2</v>
      </c>
      <c r="F297" s="3">
        <f t="shared" si="279"/>
        <v>2.4134417646492021E-2</v>
      </c>
      <c r="G297" s="3">
        <f t="shared" si="279"/>
        <v>2.4134173669329954E-2</v>
      </c>
      <c r="H297" s="3">
        <f t="shared" si="279"/>
        <v>2.4131734033356573E-2</v>
      </c>
      <c r="I297" s="3">
        <f t="shared" si="279"/>
        <v>2.410735123327697E-2</v>
      </c>
      <c r="J297" s="3">
        <f t="shared" si="279"/>
        <v>2.3864874139759708E-2</v>
      </c>
      <c r="K297" s="3">
        <f t="shared" si="279"/>
        <v>2.1570274762843119E-2</v>
      </c>
      <c r="L297" s="3">
        <f t="shared" si="279"/>
        <v>7.8491199531706638E-3</v>
      </c>
      <c r="M297" s="3">
        <f t="shared" si="279"/>
        <v>3.1950220231327288E-7</v>
      </c>
      <c r="N297" s="3">
        <f t="shared" si="279"/>
        <v>3.9902743362773218E-51</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4.5522140204256073E-2</v>
      </c>
      <c r="C298" s="3">
        <f t="shared" si="280"/>
        <v>4.5522140200104776E-2</v>
      </c>
      <c r="D298" s="3">
        <f t="shared" si="280"/>
        <v>4.5522140158591809E-2</v>
      </c>
      <c r="E298" s="3">
        <f t="shared" si="280"/>
        <v>4.5522139743462101E-2</v>
      </c>
      <c r="F298" s="3">
        <f t="shared" si="280"/>
        <v>4.5522135592165301E-2</v>
      </c>
      <c r="G298" s="3">
        <f t="shared" si="280"/>
        <v>4.5522094079218062E-2</v>
      </c>
      <c r="H298" s="3">
        <f t="shared" si="280"/>
        <v>4.5521678951827807E-2</v>
      </c>
      <c r="I298" s="3">
        <f t="shared" si="280"/>
        <v>4.5517527886130352E-2</v>
      </c>
      <c r="J298" s="3">
        <f t="shared" si="280"/>
        <v>4.547603804264197E-2</v>
      </c>
      <c r="K298" s="3">
        <f t="shared" si="280"/>
        <v>4.50632139507154E-2</v>
      </c>
      <c r="L298" s="3">
        <f t="shared" si="280"/>
        <v>4.1135575673092561E-2</v>
      </c>
      <c r="M298" s="3">
        <f t="shared" si="280"/>
        <v>1.652615211605803E-2</v>
      </c>
      <c r="N298" s="3">
        <f t="shared" si="280"/>
        <v>1.8101451912921359E-6</v>
      </c>
      <c r="O298" s="3">
        <f t="shared" si="280"/>
        <v>4.4991457334857359E-46</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3.7432935335040052E-2</v>
      </c>
      <c r="C299" s="3">
        <f t="shared" si="281"/>
        <v>3.7432935334732118E-2</v>
      </c>
      <c r="D299" s="3">
        <f t="shared" si="281"/>
        <v>3.7432935331652747E-2</v>
      </c>
      <c r="E299" s="3">
        <f t="shared" si="281"/>
        <v>3.7432935300859067E-2</v>
      </c>
      <c r="F299" s="3">
        <f t="shared" si="281"/>
        <v>3.7432934992922252E-2</v>
      </c>
      <c r="G299" s="3">
        <f t="shared" si="281"/>
        <v>3.7432931913554263E-2</v>
      </c>
      <c r="H299" s="3">
        <f t="shared" si="281"/>
        <v>3.7432901119888326E-2</v>
      </c>
      <c r="I299" s="3">
        <f t="shared" si="281"/>
        <v>3.7432593184622193E-2</v>
      </c>
      <c r="J299" s="3">
        <f t="shared" si="281"/>
        <v>3.7429513971282052E-2</v>
      </c>
      <c r="K299" s="3">
        <f t="shared" si="281"/>
        <v>3.7398735765765426E-2</v>
      </c>
      <c r="L299" s="3">
        <f t="shared" si="281"/>
        <v>3.7092342269078135E-2</v>
      </c>
      <c r="M299" s="3">
        <f t="shared" si="281"/>
        <v>3.4163128115214145E-2</v>
      </c>
      <c r="N299" s="3">
        <f t="shared" si="281"/>
        <v>1.5006912141451971E-2</v>
      </c>
      <c r="O299" s="3">
        <f t="shared" si="281"/>
        <v>4.0144720944309408E-6</v>
      </c>
      <c r="P299" s="3">
        <f t="shared" si="281"/>
        <v>7.5335465756238654E-42</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4.1089114467285991E-2</v>
      </c>
      <c r="C300" s="3">
        <f t="shared" si="282"/>
        <v>4.1089114467255494E-2</v>
      </c>
      <c r="D300" s="3">
        <f t="shared" si="282"/>
        <v>4.1089114466950578E-2</v>
      </c>
      <c r="E300" s="3">
        <f t="shared" si="282"/>
        <v>4.1089114463901413E-2</v>
      </c>
      <c r="F300" s="3">
        <f t="shared" si="282"/>
        <v>4.1089114433409756E-2</v>
      </c>
      <c r="G300" s="3">
        <f t="shared" si="282"/>
        <v>4.1089114128493129E-2</v>
      </c>
      <c r="H300" s="3">
        <f t="shared" si="282"/>
        <v>4.1089111079327043E-2</v>
      </c>
      <c r="I300" s="3">
        <f t="shared" si="282"/>
        <v>4.1089080587678586E-2</v>
      </c>
      <c r="J300" s="3">
        <f t="shared" si="282"/>
        <v>4.1088775672438557E-2</v>
      </c>
      <c r="K300" s="3">
        <f t="shared" si="282"/>
        <v>4.1085726644485378E-2</v>
      </c>
      <c r="L300" s="3">
        <f t="shared" si="282"/>
        <v>4.1055248806249549E-2</v>
      </c>
      <c r="M300" s="3">
        <f t="shared" si="282"/>
        <v>4.0751711144231317E-2</v>
      </c>
      <c r="N300" s="3">
        <f t="shared" si="282"/>
        <v>3.7837066456483437E-2</v>
      </c>
      <c r="O300" s="3">
        <f t="shared" si="282"/>
        <v>1.8014969982306971E-2</v>
      </c>
      <c r="P300" s="3">
        <f t="shared" si="282"/>
        <v>1.0784360403904368E-5</v>
      </c>
      <c r="Q300" s="3">
        <f t="shared" si="282"/>
        <v>6.3738655292704688E-38</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4.6245094575622633E-2</v>
      </c>
      <c r="C301" s="3">
        <f t="shared" si="283"/>
        <v>4.6245094575619539E-2</v>
      </c>
      <c r="D301" s="3">
        <f t="shared" si="283"/>
        <v>4.6245094575588584E-2</v>
      </c>
      <c r="E301" s="3">
        <f t="shared" si="283"/>
        <v>4.6245094575279005E-2</v>
      </c>
      <c r="F301" s="3">
        <f t="shared" si="283"/>
        <v>4.6245094572183253E-2</v>
      </c>
      <c r="G301" s="3">
        <f t="shared" si="283"/>
        <v>4.6245094541225704E-2</v>
      </c>
      <c r="H301" s="3">
        <f t="shared" si="283"/>
        <v>4.6245094231650206E-2</v>
      </c>
      <c r="I301" s="3">
        <f t="shared" si="283"/>
        <v>4.6245091135895339E-2</v>
      </c>
      <c r="J301" s="3">
        <f t="shared" si="283"/>
        <v>4.6245060178358062E-2</v>
      </c>
      <c r="K301" s="3">
        <f t="shared" si="283"/>
        <v>4.6244750604125098E-2</v>
      </c>
      <c r="L301" s="3">
        <f t="shared" si="283"/>
        <v>4.6241654975772699E-2</v>
      </c>
      <c r="M301" s="3">
        <f t="shared" si="283"/>
        <v>4.6210710087152627E-2</v>
      </c>
      <c r="N301" s="3">
        <f t="shared" si="283"/>
        <v>4.5902397874023039E-2</v>
      </c>
      <c r="O301" s="3">
        <f t="shared" si="283"/>
        <v>4.293017736533547E-2</v>
      </c>
      <c r="P301" s="3">
        <f t="shared" si="283"/>
        <v>2.1980409543555651E-2</v>
      </c>
      <c r="Q301" s="3">
        <f t="shared" si="283"/>
        <v>2.7212394145128718E-5</v>
      </c>
      <c r="R301" s="3">
        <f t="shared" si="283"/>
        <v>2.3018471360184796E-34</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4.2152470755880453E-2</v>
      </c>
      <c r="C302" s="3">
        <f t="shared" si="284"/>
        <v>4.2152470755880203E-2</v>
      </c>
      <c r="D302" s="3">
        <f t="shared" si="284"/>
        <v>4.2152470755877657E-2</v>
      </c>
      <c r="E302" s="3">
        <f t="shared" si="284"/>
        <v>4.2152470755852198E-2</v>
      </c>
      <c r="F302" s="3">
        <f t="shared" si="284"/>
        <v>4.2152470755597651E-2</v>
      </c>
      <c r="G302" s="3">
        <f t="shared" si="284"/>
        <v>4.215247075305216E-2</v>
      </c>
      <c r="H302" s="3">
        <f t="shared" si="284"/>
        <v>4.2152470727597313E-2</v>
      </c>
      <c r="I302" s="3">
        <f t="shared" si="284"/>
        <v>4.2152470473048813E-2</v>
      </c>
      <c r="J302" s="3">
        <f t="shared" si="284"/>
        <v>4.2152467927563941E-2</v>
      </c>
      <c r="K302" s="3">
        <f t="shared" si="284"/>
        <v>4.2152442472723643E-2</v>
      </c>
      <c r="L302" s="3">
        <f t="shared" si="284"/>
        <v>4.2152187925166083E-2</v>
      </c>
      <c r="M302" s="3">
        <f t="shared" si="284"/>
        <v>4.2149642534131976E-2</v>
      </c>
      <c r="N302" s="3">
        <f t="shared" si="284"/>
        <v>4.2124197076052222E-2</v>
      </c>
      <c r="O302" s="3">
        <f t="shared" si="284"/>
        <v>4.1870585835908684E-2</v>
      </c>
      <c r="P302" s="3">
        <f t="shared" si="284"/>
        <v>3.9416953240461822E-2</v>
      </c>
      <c r="Q302" s="3">
        <f t="shared" si="284"/>
        <v>2.1548805426840557E-2</v>
      </c>
      <c r="R302" s="3">
        <f t="shared" si="284"/>
        <v>5.1383617435494584E-5</v>
      </c>
      <c r="S302" s="3">
        <f t="shared" si="284"/>
        <v>3.0537918657637076E-31</v>
      </c>
      <c r="T302" s="3">
        <f t="shared" si="284"/>
        <v>1.6787538345706016E-293</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0.11273931401056793</v>
      </c>
      <c r="C303" s="3">
        <f t="shared" si="285"/>
        <v>0.11273931401056787</v>
      </c>
      <c r="D303" s="3">
        <f t="shared" si="285"/>
        <v>0.11273931401056725</v>
      </c>
      <c r="E303" s="3">
        <f t="shared" si="285"/>
        <v>0.11273931401056111</v>
      </c>
      <c r="F303" s="3">
        <f t="shared" si="285"/>
        <v>0.11273931401049971</v>
      </c>
      <c r="G303" s="3">
        <f t="shared" si="285"/>
        <v>0.11273931400988556</v>
      </c>
      <c r="H303" s="3">
        <f t="shared" si="285"/>
        <v>0.11273931400374412</v>
      </c>
      <c r="I303" s="3">
        <f t="shared" si="285"/>
        <v>0.11273931394232983</v>
      </c>
      <c r="J303" s="3">
        <f t="shared" si="285"/>
        <v>0.11273931332818687</v>
      </c>
      <c r="K303" s="3">
        <f t="shared" si="285"/>
        <v>0.11273930718675745</v>
      </c>
      <c r="L303" s="3">
        <f t="shared" si="285"/>
        <v>0.11273924577248158</v>
      </c>
      <c r="M303" s="3">
        <f t="shared" si="285"/>
        <v>0.11273863163156296</v>
      </c>
      <c r="N303" s="3">
        <f t="shared" si="285"/>
        <v>0.11273249040637623</v>
      </c>
      <c r="O303" s="3">
        <f t="shared" si="285"/>
        <v>0.11267109655074628</v>
      </c>
      <c r="P303" s="3">
        <f t="shared" si="285"/>
        <v>0.11205899391570848</v>
      </c>
      <c r="Q303" s="3">
        <f t="shared" si="285"/>
        <v>0.10611791258230692</v>
      </c>
      <c r="R303" s="3">
        <f t="shared" si="285"/>
        <v>6.1547227433758255E-2</v>
      </c>
      <c r="S303" s="3">
        <f t="shared" si="285"/>
        <v>2.6509799662205534E-4</v>
      </c>
      <c r="T303" s="3">
        <f t="shared" si="285"/>
        <v>5.8262077420865665E-28</v>
      </c>
      <c r="U303" s="3">
        <f t="shared" si="285"/>
        <v>1.5317262971183594E-264</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0.14424740982428688</v>
      </c>
      <c r="C304" s="3">
        <f t="shared" si="286"/>
        <v>0.14424740982428688</v>
      </c>
      <c r="D304" s="3">
        <f t="shared" si="286"/>
        <v>0.1442474098242868</v>
      </c>
      <c r="E304" s="3">
        <f t="shared" si="286"/>
        <v>0.1442474098242861</v>
      </c>
      <c r="F304" s="3">
        <f t="shared" si="286"/>
        <v>0.144247409824279</v>
      </c>
      <c r="G304" s="3">
        <f t="shared" si="286"/>
        <v>0.14424740982420811</v>
      </c>
      <c r="H304" s="3">
        <f t="shared" si="286"/>
        <v>0.14424740982349929</v>
      </c>
      <c r="I304" s="3">
        <f t="shared" si="286"/>
        <v>0.14424740981641088</v>
      </c>
      <c r="J304" s="3">
        <f t="shared" si="286"/>
        <v>0.1442474097455268</v>
      </c>
      <c r="K304" s="3">
        <f t="shared" si="286"/>
        <v>0.14424740903668601</v>
      </c>
      <c r="L304" s="3">
        <f t="shared" si="286"/>
        <v>0.14424740194827823</v>
      </c>
      <c r="M304" s="3">
        <f t="shared" si="286"/>
        <v>0.14424733106421961</v>
      </c>
      <c r="N304" s="3">
        <f t="shared" si="286"/>
        <v>0.1442466222255491</v>
      </c>
      <c r="O304" s="3">
        <f t="shared" si="286"/>
        <v>0.14423953403042128</v>
      </c>
      <c r="P304" s="3">
        <f t="shared" si="286"/>
        <v>0.14416867123335736</v>
      </c>
      <c r="Q304" s="3">
        <f t="shared" si="286"/>
        <v>0.14346195520610908</v>
      </c>
      <c r="R304" s="3">
        <f t="shared" si="286"/>
        <v>0.13658255819224363</v>
      </c>
      <c r="S304" s="3">
        <f t="shared" si="286"/>
        <v>8.3556495469937528E-2</v>
      </c>
      <c r="T304" s="3">
        <f t="shared" si="286"/>
        <v>6.135217357464642E-4</v>
      </c>
      <c r="U304" s="3">
        <f t="shared" si="286"/>
        <v>2.7946493443725977E-25</v>
      </c>
      <c r="V304" s="3">
        <f t="shared" si="286"/>
        <v>1.0747340749073322E-238</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0.12974291069495422</v>
      </c>
      <c r="C305" s="3">
        <f t="shared" si="287"/>
        <v>0.12974291069495422</v>
      </c>
      <c r="D305" s="3">
        <f t="shared" si="287"/>
        <v>0.12974291069495422</v>
      </c>
      <c r="E305" s="3">
        <f t="shared" si="287"/>
        <v>0.12974291069495417</v>
      </c>
      <c r="F305" s="3">
        <f t="shared" si="287"/>
        <v>0.12974291069495358</v>
      </c>
      <c r="G305" s="3">
        <f t="shared" si="287"/>
        <v>0.12974291069494784</v>
      </c>
      <c r="H305" s="3">
        <f t="shared" si="287"/>
        <v>0.12974291069489033</v>
      </c>
      <c r="I305" s="3">
        <f t="shared" si="287"/>
        <v>0.12974291069431518</v>
      </c>
      <c r="J305" s="3">
        <f t="shared" si="287"/>
        <v>0.12974291068856381</v>
      </c>
      <c r="K305" s="3">
        <f t="shared" si="287"/>
        <v>0.12974291063105017</v>
      </c>
      <c r="L305" s="3">
        <f t="shared" si="287"/>
        <v>0.12974291005591371</v>
      </c>
      <c r="M305" s="3">
        <f t="shared" si="287"/>
        <v>0.1297429043045491</v>
      </c>
      <c r="N305" s="3">
        <f t="shared" si="287"/>
        <v>0.12974284679091727</v>
      </c>
      <c r="O305" s="3">
        <f t="shared" si="287"/>
        <v>0.12974227165600102</v>
      </c>
      <c r="P305" s="3">
        <f t="shared" si="287"/>
        <v>0.12973652044705947</v>
      </c>
      <c r="Q305" s="3">
        <f t="shared" si="287"/>
        <v>0.12967902237744128</v>
      </c>
      <c r="R305" s="3">
        <f t="shared" si="287"/>
        <v>0.12910544136421462</v>
      </c>
      <c r="S305" s="3">
        <f t="shared" si="287"/>
        <v>0.12350733077570968</v>
      </c>
      <c r="T305" s="3">
        <f t="shared" si="287"/>
        <v>7.9282005559074165E-2</v>
      </c>
      <c r="U305" s="3">
        <f t="shared" si="287"/>
        <v>9.4187559994730094E-4</v>
      </c>
      <c r="V305" s="3">
        <f t="shared" si="287"/>
        <v>5.2745174278261813E-23</v>
      </c>
      <c r="W305" s="3">
        <f t="shared" si="287"/>
        <v>1.5998327582028696E-215</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0.10714334071735752</v>
      </c>
      <c r="C306" s="3">
        <f t="shared" si="288"/>
        <v>0.10714334071735752</v>
      </c>
      <c r="D306" s="3">
        <f t="shared" si="288"/>
        <v>0.10714334071735752</v>
      </c>
      <c r="E306" s="3">
        <f t="shared" si="288"/>
        <v>0.10714334071735752</v>
      </c>
      <c r="F306" s="3">
        <f t="shared" si="288"/>
        <v>0.10714334071735748</v>
      </c>
      <c r="G306" s="3">
        <f t="shared" si="288"/>
        <v>0.10714334071735705</v>
      </c>
      <c r="H306" s="3">
        <f t="shared" si="288"/>
        <v>0.10714334071735276</v>
      </c>
      <c r="I306" s="3">
        <f t="shared" si="288"/>
        <v>0.10714334071730992</v>
      </c>
      <c r="J306" s="3">
        <f t="shared" si="288"/>
        <v>0.10714334071688147</v>
      </c>
      <c r="K306" s="3">
        <f t="shared" si="288"/>
        <v>0.10714334071259697</v>
      </c>
      <c r="L306" s="3">
        <f t="shared" si="288"/>
        <v>0.10714334066975209</v>
      </c>
      <c r="M306" s="3">
        <f t="shared" si="288"/>
        <v>0.10714334024130318</v>
      </c>
      <c r="N306" s="3">
        <f t="shared" si="288"/>
        <v>0.10714333595681412</v>
      </c>
      <c r="O306" s="3">
        <f t="shared" si="288"/>
        <v>0.10714329311193299</v>
      </c>
      <c r="P306" s="3">
        <f t="shared" si="288"/>
        <v>0.10714286466406399</v>
      </c>
      <c r="Q306" s="3">
        <f t="shared" si="288"/>
        <v>0.10713858027960382</v>
      </c>
      <c r="R306" s="3">
        <f t="shared" si="288"/>
        <v>0.10709574585659239</v>
      </c>
      <c r="S306" s="3">
        <f t="shared" si="288"/>
        <v>0.10666834239299315</v>
      </c>
      <c r="T306" s="3">
        <f t="shared" si="288"/>
        <v>0.10248700724145778</v>
      </c>
      <c r="U306" s="3">
        <f t="shared" si="288"/>
        <v>6.870707526685392E-2</v>
      </c>
      <c r="V306" s="3">
        <f t="shared" si="288"/>
        <v>1.2598764751210088E-3</v>
      </c>
      <c r="W306" s="3">
        <f t="shared" si="288"/>
        <v>5.4149321038604674E-21</v>
      </c>
      <c r="X306" s="3">
        <f t="shared" si="288"/>
        <v>1.1647789236899071E-194</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7.467332001482109E-2</v>
      </c>
      <c r="C307" s="3">
        <f t="shared" si="289"/>
        <v>7.467332001482109E-2</v>
      </c>
      <c r="D307" s="3">
        <f t="shared" si="289"/>
        <v>7.467332001482109E-2</v>
      </c>
      <c r="E307" s="3">
        <f t="shared" si="289"/>
        <v>7.467332001482109E-2</v>
      </c>
      <c r="F307" s="3">
        <f t="shared" si="289"/>
        <v>7.467332001482109E-2</v>
      </c>
      <c r="G307" s="3">
        <f t="shared" si="289"/>
        <v>7.4673320014821062E-2</v>
      </c>
      <c r="H307" s="3">
        <f t="shared" si="289"/>
        <v>7.4673320014820785E-2</v>
      </c>
      <c r="I307" s="3">
        <f t="shared" si="289"/>
        <v>7.4673320014818093E-2</v>
      </c>
      <c r="J307" s="3">
        <f t="shared" si="289"/>
        <v>7.4673320014791156E-2</v>
      </c>
      <c r="K307" s="3">
        <f t="shared" si="289"/>
        <v>7.4673320014521788E-2</v>
      </c>
      <c r="L307" s="3">
        <f t="shared" si="289"/>
        <v>7.4673320011828109E-2</v>
      </c>
      <c r="M307" s="3">
        <f t="shared" si="289"/>
        <v>7.4673319984891309E-2</v>
      </c>
      <c r="N307" s="3">
        <f t="shared" si="289"/>
        <v>7.4673319715523379E-2</v>
      </c>
      <c r="O307" s="3">
        <f t="shared" si="289"/>
        <v>7.467331702184396E-2</v>
      </c>
      <c r="P307" s="3">
        <f t="shared" si="289"/>
        <v>7.4673290085055188E-2</v>
      </c>
      <c r="Q307" s="3">
        <f t="shared" si="289"/>
        <v>7.4673020717701849E-2</v>
      </c>
      <c r="R307" s="3">
        <f t="shared" si="289"/>
        <v>7.4670327097610428E-2</v>
      </c>
      <c r="S307" s="3">
        <f t="shared" si="289"/>
        <v>7.4643396240182014E-2</v>
      </c>
      <c r="T307" s="3">
        <f t="shared" si="289"/>
        <v>7.4374621301970922E-2</v>
      </c>
      <c r="U307" s="3">
        <f t="shared" si="289"/>
        <v>7.1739530105684249E-2</v>
      </c>
      <c r="V307" s="3">
        <f t="shared" si="289"/>
        <v>5.001452294608752E-2</v>
      </c>
      <c r="W307" s="3">
        <f t="shared" si="289"/>
        <v>1.356663562530279E-3</v>
      </c>
      <c r="X307" s="3">
        <f t="shared" si="289"/>
        <v>2.9257179867105718E-19</v>
      </c>
      <c r="Y307" s="3">
        <f t="shared" si="289"/>
        <v>6.3655432054588011E-176</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2.5720461590382049E-2</v>
      </c>
      <c r="C308" s="3">
        <f t="shared" si="290"/>
        <v>2.5720461590382049E-2</v>
      </c>
      <c r="D308" s="3">
        <f t="shared" si="290"/>
        <v>2.5720461590382049E-2</v>
      </c>
      <c r="E308" s="3">
        <f t="shared" si="290"/>
        <v>2.5720461590382049E-2</v>
      </c>
      <c r="F308" s="3">
        <f t="shared" si="290"/>
        <v>2.5720461590382049E-2</v>
      </c>
      <c r="G308" s="3">
        <f t="shared" si="290"/>
        <v>2.5720461590382049E-2</v>
      </c>
      <c r="H308" s="3">
        <f t="shared" si="290"/>
        <v>2.5720461590382042E-2</v>
      </c>
      <c r="I308" s="3">
        <f t="shared" si="290"/>
        <v>2.5720461590381955E-2</v>
      </c>
      <c r="J308" s="3">
        <f t="shared" si="290"/>
        <v>2.5720461590381119E-2</v>
      </c>
      <c r="K308" s="3">
        <f t="shared" si="290"/>
        <v>2.5720461590372747E-2</v>
      </c>
      <c r="L308" s="3">
        <f t="shared" si="290"/>
        <v>2.5720461590289054E-2</v>
      </c>
      <c r="M308" s="3">
        <f t="shared" si="290"/>
        <v>2.5720461589452091E-2</v>
      </c>
      <c r="N308" s="3">
        <f t="shared" si="290"/>
        <v>2.572046158108247E-2</v>
      </c>
      <c r="O308" s="3">
        <f t="shared" si="290"/>
        <v>2.5720461497386257E-2</v>
      </c>
      <c r="P308" s="3">
        <f t="shared" si="290"/>
        <v>2.5720460660424146E-2</v>
      </c>
      <c r="Q308" s="3">
        <f t="shared" si="290"/>
        <v>2.5720452290804569E-2</v>
      </c>
      <c r="R308" s="3">
        <f t="shared" si="290"/>
        <v>2.5720368594758552E-2</v>
      </c>
      <c r="S308" s="3">
        <f t="shared" si="290"/>
        <v>2.5719531649277615E-2</v>
      </c>
      <c r="T308" s="3">
        <f t="shared" si="290"/>
        <v>2.5711163692211724E-2</v>
      </c>
      <c r="U308" s="3">
        <f t="shared" si="290"/>
        <v>2.5627633715730447E-2</v>
      </c>
      <c r="V308" s="3">
        <f t="shared" si="290"/>
        <v>2.4807114813322484E-2</v>
      </c>
      <c r="W308" s="3">
        <f t="shared" si="290"/>
        <v>1.7916523417216935E-2</v>
      </c>
      <c r="X308" s="3">
        <f t="shared" si="290"/>
        <v>6.9187651645285066E-4</v>
      </c>
      <c r="Y308" s="3">
        <f t="shared" si="290"/>
        <v>5.1024302411099984E-18</v>
      </c>
      <c r="Z308" s="3">
        <f t="shared" si="290"/>
        <v>2.428074084546357E-159</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2.4141304859351478E-2</v>
      </c>
      <c r="C309" s="3">
        <f t="shared" si="291"/>
        <v>2.4141304859351478E-2</v>
      </c>
      <c r="D309" s="3">
        <f t="shared" si="291"/>
        <v>2.4141304859351478E-2</v>
      </c>
      <c r="E309" s="3">
        <f t="shared" si="291"/>
        <v>2.4141304859351478E-2</v>
      </c>
      <c r="F309" s="3">
        <f t="shared" si="291"/>
        <v>2.4141304859351478E-2</v>
      </c>
      <c r="G309" s="3">
        <f t="shared" si="291"/>
        <v>2.4141304859351478E-2</v>
      </c>
      <c r="H309" s="3">
        <f t="shared" si="291"/>
        <v>2.4141304859351474E-2</v>
      </c>
      <c r="I309" s="3">
        <f t="shared" si="291"/>
        <v>2.4141304859351453E-2</v>
      </c>
      <c r="J309" s="3">
        <f t="shared" si="291"/>
        <v>2.4141304859351235E-2</v>
      </c>
      <c r="K309" s="3">
        <f t="shared" si="291"/>
        <v>2.4141304859349063E-2</v>
      </c>
      <c r="L309" s="3">
        <f t="shared" si="291"/>
        <v>2.4141304859327337E-2</v>
      </c>
      <c r="M309" s="3">
        <f t="shared" si="291"/>
        <v>2.4141304859110067E-2</v>
      </c>
      <c r="N309" s="3">
        <f t="shared" si="291"/>
        <v>2.414130485693736E-2</v>
      </c>
      <c r="O309" s="3">
        <f t="shared" si="291"/>
        <v>2.414130483521032E-2</v>
      </c>
      <c r="P309" s="3">
        <f t="shared" si="291"/>
        <v>2.4141304617939875E-2</v>
      </c>
      <c r="Q309" s="3">
        <f t="shared" si="291"/>
        <v>2.4141302445235571E-2</v>
      </c>
      <c r="R309" s="3">
        <f t="shared" si="291"/>
        <v>2.4141280718203265E-2</v>
      </c>
      <c r="S309" s="3">
        <f t="shared" si="291"/>
        <v>2.414106344895571E-2</v>
      </c>
      <c r="T309" s="3">
        <f t="shared" si="291"/>
        <v>2.4138890864024397E-2</v>
      </c>
      <c r="U309" s="3">
        <f t="shared" si="291"/>
        <v>2.4117175765555495E-2</v>
      </c>
      <c r="V309" s="3">
        <f t="shared" si="291"/>
        <v>2.3901096293883112E-2</v>
      </c>
      <c r="W309" s="3">
        <f t="shared" si="291"/>
        <v>2.1843969038916059E-2</v>
      </c>
      <c r="X309" s="3">
        <f t="shared" si="291"/>
        <v>8.8811429282373584E-3</v>
      </c>
      <c r="Y309" s="3">
        <f t="shared" si="291"/>
        <v>1.0960791852610695E-6</v>
      </c>
      <c r="Z309" s="3">
        <f t="shared" si="291"/>
        <v>8.9861288456469343E-46</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1.2214190227025473E-2</v>
      </c>
      <c r="C310" s="3">
        <f t="shared" si="292"/>
        <v>1.2214190227025473E-2</v>
      </c>
      <c r="D310" s="3">
        <f t="shared" si="292"/>
        <v>1.2214190227025473E-2</v>
      </c>
      <c r="E310" s="3">
        <f t="shared" si="292"/>
        <v>1.2214190227025473E-2</v>
      </c>
      <c r="F310" s="3">
        <f t="shared" si="292"/>
        <v>1.2214190227025473E-2</v>
      </c>
      <c r="G310" s="3">
        <f t="shared" si="292"/>
        <v>1.2214190227025473E-2</v>
      </c>
      <c r="H310" s="3">
        <f t="shared" si="292"/>
        <v>1.2214190227025473E-2</v>
      </c>
      <c r="I310" s="3">
        <f t="shared" si="292"/>
        <v>1.2214190227025471E-2</v>
      </c>
      <c r="J310" s="3">
        <f t="shared" si="292"/>
        <v>1.2214190227025461E-2</v>
      </c>
      <c r="K310" s="3">
        <f t="shared" si="292"/>
        <v>1.2214190227025351E-2</v>
      </c>
      <c r="L310" s="3">
        <f t="shared" si="292"/>
        <v>1.2214190227024252E-2</v>
      </c>
      <c r="M310" s="3">
        <f t="shared" si="292"/>
        <v>1.2214190227013259E-2</v>
      </c>
      <c r="N310" s="3">
        <f t="shared" si="292"/>
        <v>1.2214190226903333E-2</v>
      </c>
      <c r="O310" s="3">
        <f t="shared" si="292"/>
        <v>1.2214190225804061E-2</v>
      </c>
      <c r="P310" s="3">
        <f t="shared" si="292"/>
        <v>1.2214190214811356E-2</v>
      </c>
      <c r="Q310" s="3">
        <f t="shared" si="292"/>
        <v>1.2214190104884302E-2</v>
      </c>
      <c r="R310" s="3">
        <f t="shared" si="292"/>
        <v>1.2214189005613826E-2</v>
      </c>
      <c r="S310" s="3">
        <f t="shared" si="292"/>
        <v>1.22141780129145E-2</v>
      </c>
      <c r="T310" s="3">
        <f t="shared" si="292"/>
        <v>1.2214068086465388E-2</v>
      </c>
      <c r="U310" s="3">
        <f t="shared" si="292"/>
        <v>1.2212968876385816E-2</v>
      </c>
      <c r="V310" s="3">
        <f t="shared" si="292"/>
        <v>1.2201982214933876E-2</v>
      </c>
      <c r="W310" s="3">
        <f t="shared" si="292"/>
        <v>1.2092657727855073E-2</v>
      </c>
      <c r="X310" s="3">
        <f t="shared" si="292"/>
        <v>1.1051862967184406E-2</v>
      </c>
      <c r="Y310" s="3">
        <f t="shared" si="292"/>
        <v>4.4933763850330335E-3</v>
      </c>
      <c r="Z310" s="3">
        <f t="shared" si="292"/>
        <v>5.5455658882812518E-7</v>
      </c>
      <c r="AA310" s="3">
        <f t="shared" si="292"/>
        <v>4.5464935621645176E-46</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8.0564872453676788E-4</v>
      </c>
      <c r="C311" s="3">
        <f t="shared" si="293"/>
        <v>8.0564872453676788E-4</v>
      </c>
      <c r="D311" s="3">
        <f t="shared" si="293"/>
        <v>8.0564872453676788E-4</v>
      </c>
      <c r="E311" s="3">
        <f t="shared" si="293"/>
        <v>8.0564872453676788E-4</v>
      </c>
      <c r="F311" s="3">
        <f t="shared" si="293"/>
        <v>8.0564872453676788E-4</v>
      </c>
      <c r="G311" s="3">
        <f t="shared" si="293"/>
        <v>8.0564872453676788E-4</v>
      </c>
      <c r="H311" s="3">
        <f t="shared" si="293"/>
        <v>8.0564872453676788E-4</v>
      </c>
      <c r="I311" s="3">
        <f t="shared" si="293"/>
        <v>8.0564872453676788E-4</v>
      </c>
      <c r="J311" s="3">
        <f t="shared" si="293"/>
        <v>8.0564872453676778E-4</v>
      </c>
      <c r="K311" s="3">
        <f t="shared" si="293"/>
        <v>8.0564872453676713E-4</v>
      </c>
      <c r="L311" s="3">
        <f t="shared" si="293"/>
        <v>8.0564872453675986E-4</v>
      </c>
      <c r="M311" s="3">
        <f t="shared" si="293"/>
        <v>8.0564872453668733E-4</v>
      </c>
      <c r="N311" s="3">
        <f t="shared" si="293"/>
        <v>8.0564872453596221E-4</v>
      </c>
      <c r="O311" s="3">
        <f t="shared" si="293"/>
        <v>8.056487245287115E-4</v>
      </c>
      <c r="P311" s="3">
        <f t="shared" si="293"/>
        <v>8.0564872445620342E-4</v>
      </c>
      <c r="Q311" s="3">
        <f t="shared" si="293"/>
        <v>8.0564872373112403E-4</v>
      </c>
      <c r="R311" s="3">
        <f t="shared" si="293"/>
        <v>8.0564871648032891E-4</v>
      </c>
      <c r="S311" s="3">
        <f t="shared" si="293"/>
        <v>8.0564864397238199E-4</v>
      </c>
      <c r="T311" s="3">
        <f t="shared" si="293"/>
        <v>8.0564791889327098E-4</v>
      </c>
      <c r="U311" s="3">
        <f t="shared" si="293"/>
        <v>8.0564066813805318E-4</v>
      </c>
      <c r="V311" s="3">
        <f t="shared" si="293"/>
        <v>8.0556816417486402E-4</v>
      </c>
      <c r="W311" s="3">
        <f t="shared" si="293"/>
        <v>8.0484348332241688E-4</v>
      </c>
      <c r="X311" s="3">
        <f t="shared" si="293"/>
        <v>7.9763243355664593E-4</v>
      </c>
      <c r="Y311" s="3">
        <f t="shared" si="293"/>
        <v>7.2898154832779535E-4</v>
      </c>
      <c r="Z311" s="3">
        <f t="shared" si="293"/>
        <v>2.9638337754520929E-4</v>
      </c>
      <c r="AA311" s="3">
        <f t="shared" si="293"/>
        <v>3.6578586068218114E-8</v>
      </c>
      <c r="AB311" s="3">
        <f t="shared" si="293"/>
        <v>2.9988698975457926E-47</v>
      </c>
      <c r="AC311" s="3">
        <f t="shared" si="293"/>
        <v>0</v>
      </c>
      <c r="AD311" s="3">
        <f t="shared" si="293"/>
        <v>0</v>
      </c>
      <c r="AE311" s="3">
        <f t="shared" si="293"/>
        <v>0</v>
      </c>
      <c r="AF311" s="3">
        <f t="shared" si="293"/>
        <v>0</v>
      </c>
      <c r="AG311" s="3"/>
      <c r="AH311" s="3"/>
    </row>
    <row r="312" spans="1:34" x14ac:dyDescent="0.25">
      <c r="B312" s="3">
        <f t="shared" ref="B312:AF312" si="294">$C42*EXP(-B$285/$A42/EXP(-$F$126))</f>
        <v>2.8733708973087426E-3</v>
      </c>
      <c r="C312" s="3">
        <f t="shared" si="294"/>
        <v>2.8733708973087426E-3</v>
      </c>
      <c r="D312" s="3">
        <f t="shared" si="294"/>
        <v>2.8733708973087426E-3</v>
      </c>
      <c r="E312" s="3">
        <f t="shared" si="294"/>
        <v>2.8733708973087426E-3</v>
      </c>
      <c r="F312" s="3">
        <f t="shared" si="294"/>
        <v>2.8733708973087426E-3</v>
      </c>
      <c r="G312" s="3">
        <f t="shared" si="294"/>
        <v>2.8733708973087426E-3</v>
      </c>
      <c r="H312" s="3">
        <f t="shared" si="294"/>
        <v>2.8733708973087426E-3</v>
      </c>
      <c r="I312" s="3">
        <f t="shared" si="294"/>
        <v>2.8733708973087426E-3</v>
      </c>
      <c r="J312" s="3">
        <f t="shared" si="294"/>
        <v>2.8733708973087426E-3</v>
      </c>
      <c r="K312" s="3">
        <f t="shared" si="294"/>
        <v>2.8733708973087422E-3</v>
      </c>
      <c r="L312" s="3">
        <f t="shared" si="294"/>
        <v>2.8733708973087396E-3</v>
      </c>
      <c r="M312" s="3">
        <f t="shared" si="294"/>
        <v>2.873370897308714E-3</v>
      </c>
      <c r="N312" s="3">
        <f t="shared" si="294"/>
        <v>2.8733708973084551E-3</v>
      </c>
      <c r="O312" s="3">
        <f t="shared" si="294"/>
        <v>2.8733708973058695E-3</v>
      </c>
      <c r="P312" s="3">
        <f t="shared" si="294"/>
        <v>2.8733708972800091E-3</v>
      </c>
      <c r="Q312" s="3">
        <f t="shared" si="294"/>
        <v>2.8733708970214069E-3</v>
      </c>
      <c r="R312" s="3">
        <f t="shared" si="294"/>
        <v>2.8733708944353891E-3</v>
      </c>
      <c r="S312" s="3">
        <f t="shared" si="294"/>
        <v>2.8733708685752058E-3</v>
      </c>
      <c r="T312" s="3">
        <f t="shared" si="294"/>
        <v>2.8733706099733883E-3</v>
      </c>
      <c r="U312" s="3">
        <f t="shared" si="294"/>
        <v>2.8733680239564898E-3</v>
      </c>
      <c r="V312" s="3">
        <f t="shared" si="294"/>
        <v>2.8733421639155171E-3</v>
      </c>
      <c r="W312" s="3">
        <f t="shared" si="294"/>
        <v>2.8730835763060261E-3</v>
      </c>
      <c r="X312" s="3">
        <f t="shared" si="294"/>
        <v>2.870498979809016E-3</v>
      </c>
      <c r="Y312" s="3">
        <f t="shared" si="294"/>
        <v>2.8447805495490724E-3</v>
      </c>
      <c r="Z312" s="3">
        <f t="shared" si="294"/>
        <v>2.5999350608350148E-3</v>
      </c>
      <c r="AA312" s="3">
        <f t="shared" si="294"/>
        <v>1.0570604105084858E-3</v>
      </c>
      <c r="AB312" s="3">
        <f t="shared" si="294"/>
        <v>1.3045864962245623E-7</v>
      </c>
      <c r="AC312" s="3">
        <f t="shared" si="294"/>
        <v>1.0695561509611844E-46</v>
      </c>
      <c r="AD312" s="3">
        <f t="shared" si="294"/>
        <v>0</v>
      </c>
      <c r="AE312" s="3">
        <f t="shared" si="294"/>
        <v>0</v>
      </c>
      <c r="AF312" s="3">
        <f t="shared" si="294"/>
        <v>0</v>
      </c>
      <c r="AG312" s="3"/>
      <c r="AH312" s="3"/>
    </row>
    <row r="313" spans="1:34" x14ac:dyDescent="0.25">
      <c r="B313" s="3">
        <f t="shared" ref="B313:AF313" si="295">$C43*EXP(-B$285/$A43/EXP(-$F$126))</f>
        <v>0</v>
      </c>
      <c r="C313" s="3">
        <f t="shared" si="295"/>
        <v>0</v>
      </c>
      <c r="D313" s="3">
        <f t="shared" si="295"/>
        <v>0</v>
      </c>
      <c r="E313" s="3">
        <f t="shared" si="295"/>
        <v>0</v>
      </c>
      <c r="F313" s="3">
        <f t="shared" si="295"/>
        <v>0</v>
      </c>
      <c r="G313" s="3">
        <f t="shared" si="295"/>
        <v>0</v>
      </c>
      <c r="H313" s="3">
        <f t="shared" si="295"/>
        <v>0</v>
      </c>
      <c r="I313" s="3">
        <f t="shared" si="295"/>
        <v>0</v>
      </c>
      <c r="J313" s="3">
        <f t="shared" si="295"/>
        <v>0</v>
      </c>
      <c r="K313" s="3">
        <f t="shared" si="295"/>
        <v>0</v>
      </c>
      <c r="L313" s="3">
        <f t="shared" si="295"/>
        <v>0</v>
      </c>
      <c r="M313" s="3">
        <f t="shared" si="295"/>
        <v>0</v>
      </c>
      <c r="N313" s="3">
        <f t="shared" si="295"/>
        <v>0</v>
      </c>
      <c r="O313" s="3">
        <f t="shared" si="295"/>
        <v>0</v>
      </c>
      <c r="P313" s="3">
        <f t="shared" si="295"/>
        <v>0</v>
      </c>
      <c r="Q313" s="3">
        <f t="shared" si="295"/>
        <v>0</v>
      </c>
      <c r="R313" s="3">
        <f t="shared" si="295"/>
        <v>0</v>
      </c>
      <c r="S313" s="3">
        <f t="shared" si="295"/>
        <v>0</v>
      </c>
      <c r="T313" s="3">
        <f t="shared" si="295"/>
        <v>0</v>
      </c>
      <c r="U313" s="3">
        <f t="shared" si="295"/>
        <v>0</v>
      </c>
      <c r="V313" s="3">
        <f t="shared" si="295"/>
        <v>0</v>
      </c>
      <c r="W313" s="3">
        <f t="shared" si="295"/>
        <v>0</v>
      </c>
      <c r="X313" s="3">
        <f t="shared" si="295"/>
        <v>0</v>
      </c>
      <c r="Y313" s="3">
        <f t="shared" si="295"/>
        <v>0</v>
      </c>
      <c r="Z313" s="3">
        <f t="shared" si="295"/>
        <v>0</v>
      </c>
      <c r="AA313" s="3">
        <f t="shared" si="295"/>
        <v>0</v>
      </c>
      <c r="AB313" s="3">
        <f t="shared" si="295"/>
        <v>0</v>
      </c>
      <c r="AC313" s="3">
        <f t="shared" si="295"/>
        <v>0</v>
      </c>
      <c r="AD313" s="3">
        <f t="shared" si="295"/>
        <v>0</v>
      </c>
      <c r="AE313" s="3">
        <f t="shared" si="295"/>
        <v>0</v>
      </c>
      <c r="AF313" s="3">
        <f t="shared" si="295"/>
        <v>0</v>
      </c>
      <c r="AG313" s="3"/>
      <c r="AH313" s="3"/>
    </row>
    <row r="314" spans="1:34" x14ac:dyDescent="0.25">
      <c r="B314" s="3">
        <f t="shared" ref="B314:AF314" si="296">$C44*EXP(-B$285/$A44/EXP(-$F$126))</f>
        <v>1.6248048079890072E-4</v>
      </c>
      <c r="C314" s="3">
        <f t="shared" si="296"/>
        <v>1.6248048079890072E-4</v>
      </c>
      <c r="D314" s="3">
        <f t="shared" si="296"/>
        <v>1.6248048079890072E-4</v>
      </c>
      <c r="E314" s="3">
        <f t="shared" si="296"/>
        <v>1.6248048079890072E-4</v>
      </c>
      <c r="F314" s="3">
        <f t="shared" si="296"/>
        <v>1.6248048079890072E-4</v>
      </c>
      <c r="G314" s="3">
        <f t="shared" si="296"/>
        <v>1.6248048079890072E-4</v>
      </c>
      <c r="H314" s="3">
        <f t="shared" si="296"/>
        <v>1.6248048079890072E-4</v>
      </c>
      <c r="I314" s="3">
        <f t="shared" si="296"/>
        <v>1.6248048079890072E-4</v>
      </c>
      <c r="J314" s="3">
        <f t="shared" si="296"/>
        <v>1.6248048079890072E-4</v>
      </c>
      <c r="K314" s="3">
        <f t="shared" si="296"/>
        <v>1.6248048079890072E-4</v>
      </c>
      <c r="L314" s="3">
        <f t="shared" si="296"/>
        <v>1.6248048079890072E-4</v>
      </c>
      <c r="M314" s="3">
        <f t="shared" si="296"/>
        <v>1.624804807989007E-4</v>
      </c>
      <c r="N314" s="3">
        <f t="shared" si="296"/>
        <v>1.6248048079890056E-4</v>
      </c>
      <c r="O314" s="3">
        <f t="shared" si="296"/>
        <v>1.624804807988991E-4</v>
      </c>
      <c r="P314" s="3">
        <f t="shared" si="296"/>
        <v>1.6248048079888446E-4</v>
      </c>
      <c r="Q314" s="3">
        <f t="shared" si="296"/>
        <v>1.6248048079873826E-4</v>
      </c>
      <c r="R314" s="3">
        <f t="shared" si="296"/>
        <v>1.6248048079727594E-4</v>
      </c>
      <c r="S314" s="3">
        <f t="shared" si="296"/>
        <v>1.6248048078265276E-4</v>
      </c>
      <c r="T314" s="3">
        <f t="shared" si="296"/>
        <v>1.6248048063642121E-4</v>
      </c>
      <c r="U314" s="3">
        <f t="shared" si="296"/>
        <v>1.6248047917410564E-4</v>
      </c>
      <c r="V314" s="3">
        <f t="shared" si="296"/>
        <v>1.6248046455095077E-4</v>
      </c>
      <c r="W314" s="3">
        <f t="shared" si="296"/>
        <v>1.6248031831947422E-4</v>
      </c>
      <c r="X314" s="3">
        <f t="shared" si="296"/>
        <v>1.624788560119473E-4</v>
      </c>
      <c r="Y314" s="3">
        <f t="shared" si="296"/>
        <v>1.624642336604931E-4</v>
      </c>
      <c r="Z314" s="3">
        <f t="shared" si="296"/>
        <v>1.6231808250336308E-4</v>
      </c>
      <c r="AA314" s="3">
        <f t="shared" si="296"/>
        <v>1.6086378263628273E-4</v>
      </c>
      <c r="AB314" s="3">
        <f t="shared" si="296"/>
        <v>1.4701850677406703E-4</v>
      </c>
      <c r="AC314" s="3">
        <f t="shared" si="296"/>
        <v>5.9773586449896957E-5</v>
      </c>
      <c r="AD314" s="3">
        <f t="shared" si="296"/>
        <v>7.3770442009019938E-9</v>
      </c>
      <c r="AE314" s="3">
        <f t="shared" si="296"/>
        <v>6.0480182983812715E-48</v>
      </c>
      <c r="AF314" s="3">
        <f t="shared" si="296"/>
        <v>0</v>
      </c>
      <c r="AG314" s="3"/>
      <c r="AH314" s="3"/>
    </row>
    <row r="315" spans="1:34" x14ac:dyDescent="0.25">
      <c r="B315" s="3">
        <f t="shared" ref="B315:AF315" si="297">$C45*EXP(-B$285/$A45/EXP(-$F$126))</f>
        <v>1.2901117231804357E-4</v>
      </c>
      <c r="C315" s="3">
        <f t="shared" si="297"/>
        <v>1.2901117231804357E-4</v>
      </c>
      <c r="D315" s="3">
        <f t="shared" si="297"/>
        <v>1.2901117231804357E-4</v>
      </c>
      <c r="E315" s="3">
        <f t="shared" si="297"/>
        <v>1.2901117231804357E-4</v>
      </c>
      <c r="F315" s="3">
        <f t="shared" si="297"/>
        <v>1.2901117231804357E-4</v>
      </c>
      <c r="G315" s="3">
        <f t="shared" si="297"/>
        <v>1.2901117231804357E-4</v>
      </c>
      <c r="H315" s="3">
        <f t="shared" si="297"/>
        <v>1.2901117231804357E-4</v>
      </c>
      <c r="I315" s="3">
        <f t="shared" si="297"/>
        <v>1.2901117231804357E-4</v>
      </c>
      <c r="J315" s="3">
        <f t="shared" si="297"/>
        <v>1.2901117231804357E-4</v>
      </c>
      <c r="K315" s="3">
        <f t="shared" si="297"/>
        <v>1.2901117231804357E-4</v>
      </c>
      <c r="L315" s="3">
        <f t="shared" si="297"/>
        <v>1.2901117231804357E-4</v>
      </c>
      <c r="M315" s="3">
        <f t="shared" si="297"/>
        <v>1.2901117231804357E-4</v>
      </c>
      <c r="N315" s="3">
        <f t="shared" si="297"/>
        <v>1.2901117231804354E-4</v>
      </c>
      <c r="O315" s="3">
        <f t="shared" si="297"/>
        <v>1.2901117231804344E-4</v>
      </c>
      <c r="P315" s="3">
        <f t="shared" si="297"/>
        <v>1.2901117231804227E-4</v>
      </c>
      <c r="Q315" s="3">
        <f t="shared" si="297"/>
        <v>1.2901117231803067E-4</v>
      </c>
      <c r="R315" s="3">
        <f t="shared" si="297"/>
        <v>1.2901117231791455E-4</v>
      </c>
      <c r="S315" s="3">
        <f t="shared" si="297"/>
        <v>1.2901117231675348E-4</v>
      </c>
      <c r="T315" s="3">
        <f t="shared" si="297"/>
        <v>1.2901117230514251E-4</v>
      </c>
      <c r="U315" s="3">
        <f t="shared" si="297"/>
        <v>1.2901117218903319E-4</v>
      </c>
      <c r="V315" s="3">
        <f t="shared" si="297"/>
        <v>1.2901117102793959E-4</v>
      </c>
      <c r="W315" s="3">
        <f t="shared" si="297"/>
        <v>1.2901115941700426E-4</v>
      </c>
      <c r="X315" s="3">
        <f t="shared" si="297"/>
        <v>1.2901104330770839E-4</v>
      </c>
      <c r="Y315" s="3">
        <f t="shared" si="297"/>
        <v>1.2900988222049709E-4</v>
      </c>
      <c r="Z315" s="3">
        <f t="shared" si="297"/>
        <v>1.2899827192310089E-4</v>
      </c>
      <c r="AA315" s="3">
        <f t="shared" si="297"/>
        <v>1.2888222640166798E-4</v>
      </c>
      <c r="AB315" s="3">
        <f t="shared" si="297"/>
        <v>1.2772749735463724E-4</v>
      </c>
      <c r="AC315" s="3">
        <f t="shared" si="297"/>
        <v>1.167342059680743E-4</v>
      </c>
      <c r="AD315" s="3">
        <f t="shared" si="297"/>
        <v>4.7460842210945153E-5</v>
      </c>
      <c r="AE315" s="3">
        <f t="shared" si="297"/>
        <v>5.8574489435338381E-9</v>
      </c>
      <c r="AF315" s="3">
        <f t="shared" si="297"/>
        <v>4.8021887123836345E-48</v>
      </c>
      <c r="AG315" s="3"/>
      <c r="AH315" s="3"/>
    </row>
    <row r="316" spans="1:34" x14ac:dyDescent="0.25">
      <c r="B316" s="3">
        <f t="shared" ref="B316:AF316" si="298">$C46*EXP(-B$285/$A46/EXP(-$F$126))</f>
        <v>0</v>
      </c>
      <c r="C316" s="3">
        <f t="shared" si="298"/>
        <v>0</v>
      </c>
      <c r="D316" s="3">
        <f t="shared" si="298"/>
        <v>0</v>
      </c>
      <c r="E316" s="3">
        <f t="shared" si="298"/>
        <v>0</v>
      </c>
      <c r="F316" s="3">
        <f t="shared" si="298"/>
        <v>0</v>
      </c>
      <c r="G316" s="3">
        <f t="shared" si="298"/>
        <v>0</v>
      </c>
      <c r="H316" s="3">
        <f t="shared" si="298"/>
        <v>0</v>
      </c>
      <c r="I316" s="3">
        <f t="shared" si="298"/>
        <v>0</v>
      </c>
      <c r="J316" s="3">
        <f t="shared" si="298"/>
        <v>0</v>
      </c>
      <c r="K316" s="3">
        <f t="shared" si="298"/>
        <v>0</v>
      </c>
      <c r="L316" s="3">
        <f t="shared" si="298"/>
        <v>0</v>
      </c>
      <c r="M316" s="3">
        <f t="shared" si="298"/>
        <v>0</v>
      </c>
      <c r="N316" s="3">
        <f t="shared" si="298"/>
        <v>0</v>
      </c>
      <c r="O316" s="3">
        <f t="shared" si="298"/>
        <v>0</v>
      </c>
      <c r="P316" s="3">
        <f t="shared" si="298"/>
        <v>0</v>
      </c>
      <c r="Q316" s="3">
        <f t="shared" si="298"/>
        <v>0</v>
      </c>
      <c r="R316" s="3">
        <f t="shared" si="298"/>
        <v>0</v>
      </c>
      <c r="S316" s="3">
        <f t="shared" si="298"/>
        <v>0</v>
      </c>
      <c r="T316" s="3">
        <f t="shared" si="298"/>
        <v>0</v>
      </c>
      <c r="U316" s="3">
        <f t="shared" si="298"/>
        <v>0</v>
      </c>
      <c r="V316" s="3">
        <f t="shared" si="298"/>
        <v>0</v>
      </c>
      <c r="W316" s="3">
        <f t="shared" si="298"/>
        <v>0</v>
      </c>
      <c r="X316" s="3">
        <f t="shared" si="298"/>
        <v>0</v>
      </c>
      <c r="Y316" s="3">
        <f t="shared" si="298"/>
        <v>0</v>
      </c>
      <c r="Z316" s="3">
        <f t="shared" si="298"/>
        <v>0</v>
      </c>
      <c r="AA316" s="3">
        <f t="shared" si="298"/>
        <v>0</v>
      </c>
      <c r="AB316" s="3">
        <f t="shared" si="298"/>
        <v>0</v>
      </c>
      <c r="AC316" s="3">
        <f t="shared" si="298"/>
        <v>0</v>
      </c>
      <c r="AD316" s="3">
        <f t="shared" si="298"/>
        <v>0</v>
      </c>
      <c r="AE316" s="3">
        <f t="shared" si="298"/>
        <v>0</v>
      </c>
      <c r="AF316" s="3">
        <f t="shared" si="298"/>
        <v>0</v>
      </c>
      <c r="AG316" s="3"/>
      <c r="AH316" s="3"/>
    </row>
    <row r="317" spans="1:34" x14ac:dyDescent="0.25">
      <c r="B317" s="3">
        <f t="shared" ref="B317:AF317" si="299">$C47*EXP(-B$285/$A47/EXP(-$F$126))</f>
        <v>7.3508598139721321E-5</v>
      </c>
      <c r="C317" s="3">
        <f t="shared" si="299"/>
        <v>7.3508598139721321E-5</v>
      </c>
      <c r="D317" s="3">
        <f t="shared" si="299"/>
        <v>7.3508598139721321E-5</v>
      </c>
      <c r="E317" s="3">
        <f t="shared" si="299"/>
        <v>7.3508598139721321E-5</v>
      </c>
      <c r="F317" s="3">
        <f t="shared" si="299"/>
        <v>7.3508598139721321E-5</v>
      </c>
      <c r="G317" s="3">
        <f t="shared" si="299"/>
        <v>7.3508598139721321E-5</v>
      </c>
      <c r="H317" s="3">
        <f t="shared" si="299"/>
        <v>7.3508598139721321E-5</v>
      </c>
      <c r="I317" s="3">
        <f t="shared" si="299"/>
        <v>7.3508598139721321E-5</v>
      </c>
      <c r="J317" s="3">
        <f t="shared" si="299"/>
        <v>7.3508598139721321E-5</v>
      </c>
      <c r="K317" s="3">
        <f t="shared" si="299"/>
        <v>7.3508598139721321E-5</v>
      </c>
      <c r="L317" s="3">
        <f t="shared" si="299"/>
        <v>7.3508598139721321E-5</v>
      </c>
      <c r="M317" s="3">
        <f t="shared" si="299"/>
        <v>7.3508598139721321E-5</v>
      </c>
      <c r="N317" s="3">
        <f t="shared" si="299"/>
        <v>7.3508598139721321E-5</v>
      </c>
      <c r="O317" s="3">
        <f t="shared" si="299"/>
        <v>7.3508598139721321E-5</v>
      </c>
      <c r="P317" s="3">
        <f t="shared" si="299"/>
        <v>7.3508598139721308E-5</v>
      </c>
      <c r="Q317" s="3">
        <f t="shared" si="299"/>
        <v>7.3508598139721253E-5</v>
      </c>
      <c r="R317" s="3">
        <f t="shared" si="299"/>
        <v>7.3508598139720589E-5</v>
      </c>
      <c r="S317" s="3">
        <f t="shared" si="299"/>
        <v>7.3508598139713962E-5</v>
      </c>
      <c r="T317" s="3">
        <f t="shared" si="299"/>
        <v>7.3508598139647812E-5</v>
      </c>
      <c r="U317" s="3">
        <f t="shared" si="299"/>
        <v>7.3508598138986246E-5</v>
      </c>
      <c r="V317" s="3">
        <f t="shared" si="299"/>
        <v>7.3508598132370498E-5</v>
      </c>
      <c r="W317" s="3">
        <f t="shared" si="299"/>
        <v>7.3508598066213159E-5</v>
      </c>
      <c r="X317" s="3">
        <f t="shared" si="299"/>
        <v>7.3508597404639743E-5</v>
      </c>
      <c r="Y317" s="3">
        <f t="shared" si="299"/>
        <v>7.3508590788905903E-5</v>
      </c>
      <c r="Z317" s="3">
        <f t="shared" si="299"/>
        <v>7.3508524631600168E-5</v>
      </c>
      <c r="AA317" s="3">
        <f t="shared" si="299"/>
        <v>7.3507863061817596E-5</v>
      </c>
      <c r="AB317" s="3">
        <f t="shared" si="299"/>
        <v>7.3501247691456673E-5</v>
      </c>
      <c r="AC317" s="3">
        <f t="shared" si="299"/>
        <v>7.3435126723422233E-5</v>
      </c>
      <c r="AD317" s="3">
        <f t="shared" si="299"/>
        <v>7.2777179725861511E-5</v>
      </c>
      <c r="AE317" s="3">
        <f t="shared" si="299"/>
        <v>6.6513369977853399E-5</v>
      </c>
      <c r="AF317" s="3">
        <f t="shared" si="299"/>
        <v>2.7042463956969621E-5</v>
      </c>
      <c r="AG317" s="3"/>
      <c r="AH317" s="3"/>
    </row>
    <row r="318" spans="1:34" x14ac:dyDescent="0.25">
      <c r="B318" s="3">
        <f t="shared" ref="B318:AF318" si="300">$C48*EXP(-B$285/$A48/EXP(-$F$126))</f>
        <v>6.9573660063357843E-4</v>
      </c>
      <c r="C318" s="3">
        <f t="shared" si="300"/>
        <v>6.9573660063357843E-4</v>
      </c>
      <c r="D318" s="3">
        <f t="shared" si="300"/>
        <v>6.9573660063357843E-4</v>
      </c>
      <c r="E318" s="3">
        <f t="shared" si="300"/>
        <v>6.9573660063357843E-4</v>
      </c>
      <c r="F318" s="3">
        <f t="shared" si="300"/>
        <v>6.9573660063357843E-4</v>
      </c>
      <c r="G318" s="3">
        <f t="shared" si="300"/>
        <v>6.9573660063357843E-4</v>
      </c>
      <c r="H318" s="3">
        <f t="shared" si="300"/>
        <v>6.9573660063357843E-4</v>
      </c>
      <c r="I318" s="3">
        <f t="shared" si="300"/>
        <v>6.9573660063357843E-4</v>
      </c>
      <c r="J318" s="3">
        <f t="shared" si="300"/>
        <v>6.9573660063357843E-4</v>
      </c>
      <c r="K318" s="3">
        <f t="shared" si="300"/>
        <v>6.9573660063357843E-4</v>
      </c>
      <c r="L318" s="3">
        <f t="shared" si="300"/>
        <v>6.9573660063357843E-4</v>
      </c>
      <c r="M318" s="3">
        <f t="shared" si="300"/>
        <v>6.9573660063357843E-4</v>
      </c>
      <c r="N318" s="3">
        <f t="shared" si="300"/>
        <v>6.9573660063357843E-4</v>
      </c>
      <c r="O318" s="3">
        <f t="shared" si="300"/>
        <v>6.9573660063357843E-4</v>
      </c>
      <c r="P318" s="3">
        <f t="shared" si="300"/>
        <v>6.9573660063357843E-4</v>
      </c>
      <c r="Q318" s="3">
        <f t="shared" si="300"/>
        <v>6.9573660063357832E-4</v>
      </c>
      <c r="R318" s="3">
        <f t="shared" si="300"/>
        <v>6.9573660063357778E-4</v>
      </c>
      <c r="S318" s="3">
        <f t="shared" si="300"/>
        <v>6.9573660063357149E-4</v>
      </c>
      <c r="T318" s="3">
        <f t="shared" si="300"/>
        <v>6.9573660063350883E-4</v>
      </c>
      <c r="U318" s="3">
        <f t="shared" si="300"/>
        <v>6.957366006328827E-4</v>
      </c>
      <c r="V318" s="3">
        <f t="shared" si="300"/>
        <v>6.9573660062662111E-4</v>
      </c>
      <c r="W318" s="3">
        <f t="shared" si="300"/>
        <v>6.9573660056400518E-4</v>
      </c>
      <c r="X318" s="3">
        <f t="shared" si="300"/>
        <v>6.9573659993784601E-4</v>
      </c>
      <c r="Y318" s="3">
        <f t="shared" si="300"/>
        <v>6.9573659367625407E-4</v>
      </c>
      <c r="Z318" s="3">
        <f t="shared" si="300"/>
        <v>6.9573653106033858E-4</v>
      </c>
      <c r="AA318" s="3">
        <f t="shared" si="300"/>
        <v>6.9573590490149223E-4</v>
      </c>
      <c r="AB318" s="3">
        <f t="shared" si="300"/>
        <v>6.9572964334402483E-4</v>
      </c>
      <c r="AC318" s="3">
        <f t="shared" si="300"/>
        <v>6.9566703086870469E-4</v>
      </c>
      <c r="AD318" s="3">
        <f t="shared" si="300"/>
        <v>6.9504121594779651E-4</v>
      </c>
      <c r="AE318" s="3">
        <f t="shared" si="300"/>
        <v>6.8881394704232936E-4</v>
      </c>
      <c r="AF318" s="3">
        <f t="shared" si="300"/>
        <v>6.2952888636396841E-4</v>
      </c>
      <c r="AG318" s="3"/>
      <c r="AH318" s="3"/>
    </row>
    <row r="319" spans="1:34" x14ac:dyDescent="0.25">
      <c r="A319" s="79">
        <f>AVERAGE(B319:AF319)</f>
        <v>3.3149295424211877E-4</v>
      </c>
      <c r="B319" s="80">
        <f>IF($A$64&lt;=B285,IF($B$64&gt;=B285,ABS((B287-B286)/B286),0),0)</f>
        <v>5.1210218631599471E-5</v>
      </c>
      <c r="C319" s="80">
        <f t="shared" ref="C319:AF319" si="301">IF($A$64&lt;=C285,IF($B$64&gt;=C285,ABS((C287-C286)/C286),0),0)</f>
        <v>4.1137796249151719E-5</v>
      </c>
      <c r="D319" s="80">
        <f t="shared" si="301"/>
        <v>4.3790868714875635E-5</v>
      </c>
      <c r="E319" s="80">
        <f t="shared" si="301"/>
        <v>1.9045585059446309E-5</v>
      </c>
      <c r="F319" s="80">
        <f t="shared" si="301"/>
        <v>1.9519516183855729E-4</v>
      </c>
      <c r="G319" s="80">
        <f t="shared" si="301"/>
        <v>4.5426103436209408E-5</v>
      </c>
      <c r="H319" s="80">
        <f t="shared" si="301"/>
        <v>7.7552462693244178E-6</v>
      </c>
      <c r="I319" s="80">
        <f t="shared" si="301"/>
        <v>7.8165012592710692E-6</v>
      </c>
      <c r="J319" s="80">
        <f t="shared" si="301"/>
        <v>1.723638511576288E-5</v>
      </c>
      <c r="K319" s="80">
        <f t="shared" si="301"/>
        <v>3.6511651612620595E-5</v>
      </c>
      <c r="L319" s="80">
        <f t="shared" si="301"/>
        <v>6.5043712328292293E-5</v>
      </c>
      <c r="M319" s="80">
        <f t="shared" si="301"/>
        <v>9.8718285535546473E-5</v>
      </c>
      <c r="N319" s="80">
        <f t="shared" si="301"/>
        <v>1.2706598683349216E-4</v>
      </c>
      <c r="O319" s="80">
        <f t="shared" si="301"/>
        <v>1.4123096364102557E-4</v>
      </c>
      <c r="P319" s="80">
        <f t="shared" si="301"/>
        <v>1.3414732667268103E-4</v>
      </c>
      <c r="Q319" s="80">
        <f t="shared" si="301"/>
        <v>1.0919177861328145E-4</v>
      </c>
      <c r="R319" s="80">
        <f t="shared" si="301"/>
        <v>7.9296781407583883E-5</v>
      </c>
      <c r="S319" s="80">
        <f t="shared" si="301"/>
        <v>5.9024005394541275E-5</v>
      </c>
      <c r="T319" s="80">
        <f t="shared" si="301"/>
        <v>4.1274292260858213E-5</v>
      </c>
      <c r="U319" s="80">
        <f t="shared" si="301"/>
        <v>2.7969880506307476E-5</v>
      </c>
      <c r="V319" s="80">
        <f t="shared" si="301"/>
        <v>1.3445532622569866E-5</v>
      </c>
      <c r="W319" s="80">
        <f t="shared" si="301"/>
        <v>6.7331848082633672E-6</v>
      </c>
      <c r="X319" s="80">
        <f t="shared" si="301"/>
        <v>3.3438703340888176E-5</v>
      </c>
      <c r="Y319" s="80">
        <f t="shared" si="301"/>
        <v>1.5364153675445343E-4</v>
      </c>
      <c r="Z319" s="80">
        <f t="shared" si="301"/>
        <v>3.0963190180045104E-4</v>
      </c>
      <c r="AA319" s="80">
        <f t="shared" si="301"/>
        <v>4.2877739835622553E-4</v>
      </c>
      <c r="AB319" s="80">
        <f t="shared" si="301"/>
        <v>1.1100590418967136E-3</v>
      </c>
      <c r="AC319" s="80">
        <f t="shared" si="301"/>
        <v>2.0605316053188649E-3</v>
      </c>
      <c r="AD319" s="80">
        <f t="shared" si="301"/>
        <v>2.7887290884225733E-3</v>
      </c>
      <c r="AE319" s="80">
        <f t="shared" si="301"/>
        <v>1.7950843362876017E-3</v>
      </c>
      <c r="AF319" s="80">
        <f t="shared" si="301"/>
        <v>2.281207205166479E-4</v>
      </c>
    </row>
    <row r="320" spans="1:34" x14ac:dyDescent="0.25">
      <c r="B320" s="21">
        <f>(B287-B286)^2</f>
        <v>0.13720932675682576</v>
      </c>
      <c r="C320" s="21">
        <f t="shared" ref="C320:AF320" si="302">(C287-C286)^2</f>
        <v>8.8544225941099799E-2</v>
      </c>
      <c r="D320" s="21">
        <f t="shared" si="302"/>
        <v>0.10033069121064153</v>
      </c>
      <c r="E320" s="21">
        <f t="shared" si="302"/>
        <v>1.8975151099629675E-2</v>
      </c>
      <c r="F320" s="21">
        <f t="shared" si="302"/>
        <v>1.9900220196156975</v>
      </c>
      <c r="G320" s="21">
        <f t="shared" si="302"/>
        <v>0.10637870722336826</v>
      </c>
      <c r="H320" s="21">
        <f t="shared" si="302"/>
        <v>2.9830853431329204E-3</v>
      </c>
      <c r="I320" s="21">
        <f t="shared" si="302"/>
        <v>2.906054296499024E-3</v>
      </c>
      <c r="J320" s="21">
        <f t="shared" si="302"/>
        <v>1.3449452394069321E-2</v>
      </c>
      <c r="K320" s="21">
        <f t="shared" si="302"/>
        <v>5.6718430514397712E-2</v>
      </c>
      <c r="L320" s="21">
        <f t="shared" si="302"/>
        <v>0.16918518760587645</v>
      </c>
      <c r="M320" s="21">
        <f t="shared" si="302"/>
        <v>0.35798357861025359</v>
      </c>
      <c r="N320" s="21">
        <f t="shared" si="302"/>
        <v>0.53879729275707033</v>
      </c>
      <c r="O320" s="21">
        <f t="shared" si="302"/>
        <v>0.60244381985180473</v>
      </c>
      <c r="P320" s="21">
        <f t="shared" si="302"/>
        <v>0.48446719741271499</v>
      </c>
      <c r="Q320" s="21">
        <f t="shared" si="302"/>
        <v>0.28001303020754359</v>
      </c>
      <c r="R320" s="21">
        <f t="shared" si="302"/>
        <v>0.11667234204617943</v>
      </c>
      <c r="S320" s="21">
        <f t="shared" si="302"/>
        <v>4.0849428014273999E-2</v>
      </c>
      <c r="T320" s="21">
        <f t="shared" si="302"/>
        <v>1.0289458081835824E-2</v>
      </c>
      <c r="U320" s="21">
        <f t="shared" si="302"/>
        <v>2.0302020316581293E-3</v>
      </c>
      <c r="V320" s="21">
        <f t="shared" si="302"/>
        <v>1.6065522253006772E-4</v>
      </c>
      <c r="W320" s="21">
        <f t="shared" si="302"/>
        <v>1.1806855614637519E-5</v>
      </c>
      <c r="X320" s="21">
        <f t="shared" si="302"/>
        <v>8.2340797502202109E-5</v>
      </c>
      <c r="Y320" s="21">
        <f t="shared" si="302"/>
        <v>5.4866724054554797E-4</v>
      </c>
      <c r="Z320" s="21">
        <f t="shared" si="302"/>
        <v>1.2565816695776397E-3</v>
      </c>
      <c r="AA320" s="21">
        <f t="shared" si="302"/>
        <v>1.8778757518070112E-3</v>
      </c>
      <c r="AB320" s="21">
        <f t="shared" si="302"/>
        <v>1.067129479207098E-2</v>
      </c>
      <c r="AC320" s="21">
        <f t="shared" si="302"/>
        <v>3.6431776365116561E-2</v>
      </c>
      <c r="AD320" s="21">
        <f t="shared" si="302"/>
        <v>6.4729192553942466E-2</v>
      </c>
      <c r="AE320" s="21">
        <f t="shared" si="302"/>
        <v>2.680734354213693E-2</v>
      </c>
      <c r="AF320" s="21">
        <f t="shared" si="302"/>
        <v>4.2434587293119745E-4</v>
      </c>
      <c r="AG320" s="3"/>
      <c r="AH320" s="3"/>
    </row>
    <row r="321" spans="1:34" x14ac:dyDescent="0.25">
      <c r="A321" s="71">
        <f>SUM(B321:AF321)</f>
        <v>5.2632505616783476</v>
      </c>
      <c r="B321" s="60">
        <f>IF($A$64&lt;=B285,IF($B$64&gt;=B285,ABS(B320),0),0)</f>
        <v>0.13720932675682576</v>
      </c>
      <c r="C321" s="60">
        <f t="shared" ref="C321" si="303">IF($A$64&lt;=C285,IF($B$64&gt;=C285,ABS(C320),0),0)</f>
        <v>8.8544225941099799E-2</v>
      </c>
      <c r="D321" s="60">
        <f t="shared" ref="D321" si="304">IF($A$64&lt;=D285,IF($B$64&gt;=D285,ABS(D320),0),0)</f>
        <v>0.10033069121064153</v>
      </c>
      <c r="E321" s="60">
        <f t="shared" ref="E321" si="305">IF($A$64&lt;=E285,IF($B$64&gt;=E285,ABS(E320),0),0)</f>
        <v>1.8975151099629675E-2</v>
      </c>
      <c r="F321" s="60">
        <f t="shared" ref="F321" si="306">IF($A$64&lt;=F285,IF($B$64&gt;=F285,ABS(F320),0),0)</f>
        <v>1.9900220196156975</v>
      </c>
      <c r="G321" s="60">
        <f t="shared" ref="G321" si="307">IF($A$64&lt;=G285,IF($B$64&gt;=G285,ABS(G320),0),0)</f>
        <v>0.10637870722336826</v>
      </c>
      <c r="H321" s="60">
        <f t="shared" ref="H321" si="308">IF($A$64&lt;=H285,IF($B$64&gt;=H285,ABS(H320),0),0)</f>
        <v>2.9830853431329204E-3</v>
      </c>
      <c r="I321" s="60">
        <f t="shared" ref="I321" si="309">IF($A$64&lt;=I285,IF($B$64&gt;=I285,ABS(I320),0),0)</f>
        <v>2.906054296499024E-3</v>
      </c>
      <c r="J321" s="60">
        <f t="shared" ref="J321" si="310">IF($A$64&lt;=J285,IF($B$64&gt;=J285,ABS(J320),0),0)</f>
        <v>1.3449452394069321E-2</v>
      </c>
      <c r="K321" s="60">
        <f t="shared" ref="K321" si="311">IF($A$64&lt;=K285,IF($B$64&gt;=K285,ABS(K320),0),0)</f>
        <v>5.6718430514397712E-2</v>
      </c>
      <c r="L321" s="60">
        <f t="shared" ref="L321" si="312">IF($A$64&lt;=L285,IF($B$64&gt;=L285,ABS(L320),0),0)</f>
        <v>0.16918518760587645</v>
      </c>
      <c r="M321" s="60">
        <f t="shared" ref="M321" si="313">IF($A$64&lt;=M285,IF($B$64&gt;=M285,ABS(M320),0),0)</f>
        <v>0.35798357861025359</v>
      </c>
      <c r="N321" s="60">
        <f t="shared" ref="N321" si="314">IF($A$64&lt;=N285,IF($B$64&gt;=N285,ABS(N320),0),0)</f>
        <v>0.53879729275707033</v>
      </c>
      <c r="O321" s="60">
        <f t="shared" ref="O321" si="315">IF($A$64&lt;=O285,IF($B$64&gt;=O285,ABS(O320),0),0)</f>
        <v>0.60244381985180473</v>
      </c>
      <c r="P321" s="60">
        <f t="shared" ref="P321" si="316">IF($A$64&lt;=P285,IF($B$64&gt;=P285,ABS(P320),0),0)</f>
        <v>0.48446719741271499</v>
      </c>
      <c r="Q321" s="60">
        <f t="shared" ref="Q321" si="317">IF($A$64&lt;=Q285,IF($B$64&gt;=Q285,ABS(Q320),0),0)</f>
        <v>0.28001303020754359</v>
      </c>
      <c r="R321" s="60">
        <f t="shared" ref="R321" si="318">IF($A$64&lt;=R285,IF($B$64&gt;=R285,ABS(R320),0),0)</f>
        <v>0.11667234204617943</v>
      </c>
      <c r="S321" s="60">
        <f t="shared" ref="S321" si="319">IF($A$64&lt;=S285,IF($B$64&gt;=S285,ABS(S320),0),0)</f>
        <v>4.0849428014273999E-2</v>
      </c>
      <c r="T321" s="60">
        <f t="shared" ref="T321" si="320">IF($A$64&lt;=T285,IF($B$64&gt;=T285,ABS(T320),0),0)</f>
        <v>1.0289458081835824E-2</v>
      </c>
      <c r="U321" s="60">
        <f t="shared" ref="U321" si="321">IF($A$64&lt;=U285,IF($B$64&gt;=U285,ABS(U320),0),0)</f>
        <v>2.0302020316581293E-3</v>
      </c>
      <c r="V321" s="60">
        <f t="shared" ref="V321" si="322">IF($A$64&lt;=V285,IF($B$64&gt;=V285,ABS(V320),0),0)</f>
        <v>1.6065522253006772E-4</v>
      </c>
      <c r="W321" s="60">
        <f t="shared" ref="W321" si="323">IF($A$64&lt;=W285,IF($B$64&gt;=W285,ABS(W320),0),0)</f>
        <v>1.1806855614637519E-5</v>
      </c>
      <c r="X321" s="60">
        <f t="shared" ref="X321" si="324">IF($A$64&lt;=X285,IF($B$64&gt;=X285,ABS(X320),0),0)</f>
        <v>8.2340797502202109E-5</v>
      </c>
      <c r="Y321" s="60">
        <f t="shared" ref="Y321" si="325">IF($A$64&lt;=Y285,IF($B$64&gt;=Y285,ABS(Y320),0),0)</f>
        <v>5.4866724054554797E-4</v>
      </c>
      <c r="Z321" s="60">
        <f t="shared" ref="Z321" si="326">IF($A$64&lt;=Z285,IF($B$64&gt;=Z285,ABS(Z320),0),0)</f>
        <v>1.2565816695776397E-3</v>
      </c>
      <c r="AA321" s="60">
        <f t="shared" ref="AA321" si="327">IF($A$64&lt;=AA285,IF($B$64&gt;=AA285,ABS(AA320),0),0)</f>
        <v>1.8778757518070112E-3</v>
      </c>
      <c r="AB321" s="60">
        <f t="shared" ref="AB321" si="328">IF($A$64&lt;=AB285,IF($B$64&gt;=AB285,ABS(AB320),0),0)</f>
        <v>1.067129479207098E-2</v>
      </c>
      <c r="AC321" s="60">
        <f t="shared" ref="AC321" si="329">IF($A$64&lt;=AC285,IF($B$64&gt;=AC285,ABS(AC320),0),0)</f>
        <v>3.6431776365116561E-2</v>
      </c>
      <c r="AD321" s="60">
        <f t="shared" ref="AD321" si="330">IF($A$64&lt;=AD285,IF($B$64&gt;=AD285,ABS(AD320),0),0)</f>
        <v>6.4729192553942466E-2</v>
      </c>
      <c r="AE321" s="60">
        <f t="shared" ref="AE321" si="331">IF($A$64&lt;=AE285,IF($B$64&gt;=AE285,ABS(AE320),0),0)</f>
        <v>2.680734354213693E-2</v>
      </c>
      <c r="AF321" s="60">
        <f t="shared" ref="AF321" si="332">IF($A$64&lt;=AF285,IF($B$64&gt;=AF285,ABS(AF320),0),0)</f>
        <v>4.2434587293119745E-4</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6585.7419229281086</v>
      </c>
      <c r="C325" s="26">
        <f>INDEX(Comparison!$AM$3:$AS$33,G$14,$G$122)</f>
        <v>6334.3824808152185</v>
      </c>
      <c r="D325" s="26">
        <f>INDEX(Comparison!$AM$3:$AS$33,H$14,$G$122)</f>
        <v>6097.7114849761656</v>
      </c>
      <c r="E325" s="26">
        <f>INDEX(Comparison!$AM$3:$AS$33,I$14,$G$122)</f>
        <v>5825.3419350887143</v>
      </c>
      <c r="F325" s="26">
        <f>INDEX(Comparison!$AM$3:$AS$33,J$14,$G$122)</f>
        <v>5546.9331561273084</v>
      </c>
      <c r="G325" s="26">
        <f>INDEX(Comparison!$AM$3:$AS$33,K$14,$G$122)</f>
        <v>5257.3325173232261</v>
      </c>
      <c r="H325" s="26">
        <f>INDEX(Comparison!$AM$3:$AS$33,L$14,$G$122)</f>
        <v>4943.4016945901922</v>
      </c>
      <c r="I325" s="26">
        <f>INDEX(Comparison!$AM$3:$AS$33,M$14,$G$122)</f>
        <v>4573.266252420035</v>
      </c>
      <c r="J325" s="26">
        <f>INDEX(Comparison!$AM$3:$AS$33,N$14,$G$122)</f>
        <v>4079.2740096930638</v>
      </c>
      <c r="K325" s="26">
        <f>INDEX(Comparison!$AM$3:$AS$33,O$14,$G$122)</f>
        <v>3459.2497747504567</v>
      </c>
      <c r="L325" s="26">
        <f>INDEX(Comparison!$AM$3:$AS$33,P$14,$G$122)</f>
        <v>2702.914511015118</v>
      </c>
      <c r="M325" s="26">
        <f>INDEX(Comparison!$AM$3:$AS$33,Q$14,$G$122)</f>
        <v>1832.1518571214692</v>
      </c>
      <c r="N325" s="26">
        <f>INDEX(Comparison!$AM$3:$AS$33,R$14,$G$122)</f>
        <v>1105.139847553852</v>
      </c>
      <c r="O325" s="26">
        <f>INDEX(Comparison!$AM$3:$AS$33,S$14,$G$122)</f>
        <v>630.91869332772831</v>
      </c>
      <c r="P325" s="26">
        <f>INDEX(Comparison!$AM$3:$AS$33,T$14,$G$122)</f>
        <v>354.28738756335468</v>
      </c>
      <c r="Q325" s="26">
        <f>INDEX(Comparison!$AM$3:$AS$33,U$14,$G$122)</f>
        <v>248.22351395532451</v>
      </c>
      <c r="R325" s="26">
        <f>INDEX(Comparison!$AM$3:$AS$33,V$14,$G$122)</f>
        <v>214.57476664013214</v>
      </c>
      <c r="S325" s="26">
        <f>INDEX(Comparison!$AM$3:$AS$33,W$14,$G$122)</f>
        <v>185.72591291449908</v>
      </c>
      <c r="T325" s="26">
        <f>INDEX(Comparison!$AM$3:$AS$33,X$14,$G$122)</f>
        <v>158.09658219581334</v>
      </c>
      <c r="U325" s="26">
        <f>INDEX(Comparison!$AM$3:$AS$33,Y$14,$G$122)</f>
        <v>132.46407229952649</v>
      </c>
      <c r="V325" s="26">
        <f>INDEX(Comparison!$AM$3:$AS$33,Z$14,$G$122)</f>
        <v>115.64370251909122</v>
      </c>
      <c r="W325" s="26">
        <f>INDEX(Comparison!$AM$3:$AS$33,AA$14,$G$122)</f>
        <v>105.70344373363407</v>
      </c>
      <c r="X325" s="26">
        <f>INDEX(Comparison!$AM$3:$AS$33,AB$14,$G$122)</f>
        <v>99.769058005183027</v>
      </c>
      <c r="Y325" s="26">
        <f>INDEX(Comparison!$AM$3:$AS$33,AC$14,$G$122)</f>
        <v>96.16135307969536</v>
      </c>
      <c r="Z325" s="26">
        <f>INDEX(Comparison!$AM$3:$AS$33,AD$14,$G$122)</f>
        <v>93.862812708921865</v>
      </c>
      <c r="AA325" s="26">
        <f>INDEX(Comparison!$AM$3:$AS$33,AE$14,$G$122)</f>
        <v>92.381155101656375</v>
      </c>
      <c r="AB325" s="26">
        <f>INDEX(Comparison!$AM$3:$AS$33,AF$14,$G$122)</f>
        <v>92.126538569786135</v>
      </c>
      <c r="AC325" s="26">
        <f>INDEX(Comparison!$AM$3:$AS$33,AG$14,$G$122)</f>
        <v>91.086268606556416</v>
      </c>
      <c r="AD325" s="26">
        <f>INDEX(Comparison!$AM$3:$AS$33,AH$14,$G$122)</f>
        <v>90.886673770022838</v>
      </c>
      <c r="AE325" s="26">
        <f>INDEX(Comparison!$AM$3:$AS$33,AI$14,$G$122)</f>
        <v>90.290301687552557</v>
      </c>
      <c r="AF325" s="26">
        <f>INDEX(Comparison!$AM$3:$AS$33,AJ$14,$G$122)</f>
        <v>90.056329050223439</v>
      </c>
      <c r="AG325" s="26"/>
      <c r="AH325" s="26"/>
    </row>
    <row r="326" spans="1:34" x14ac:dyDescent="0.25">
      <c r="A326" s="77" t="s">
        <v>22</v>
      </c>
      <c r="B326" s="27">
        <f>($C$17+SUM(B327:B357))*$B$51</f>
        <v>6715.2134922423029</v>
      </c>
      <c r="C326" s="27">
        <f t="shared" ref="C326:AF326" si="333">($C$17+SUM(C327:C357))*$B$51</f>
        <v>6507.8411641400535</v>
      </c>
      <c r="D326" s="27">
        <f t="shared" si="333"/>
        <v>6309.0694807946566</v>
      </c>
      <c r="E326" s="27">
        <f t="shared" si="333"/>
        <v>6039.9496788050537</v>
      </c>
      <c r="F326" s="27">
        <f t="shared" si="333"/>
        <v>5757.5659980942173</v>
      </c>
      <c r="G326" s="27">
        <f t="shared" si="333"/>
        <v>5476.7135212163521</v>
      </c>
      <c r="H326" s="27">
        <f t="shared" si="333"/>
        <v>5166.4974877778495</v>
      </c>
      <c r="I326" s="27">
        <f t="shared" si="333"/>
        <v>4822.7941945041357</v>
      </c>
      <c r="J326" s="27">
        <f t="shared" si="333"/>
        <v>4257.4504968046285</v>
      </c>
      <c r="K326" s="27">
        <f t="shared" si="333"/>
        <v>3366.2422201641202</v>
      </c>
      <c r="L326" s="27">
        <f t="shared" si="333"/>
        <v>2406.8608732125999</v>
      </c>
      <c r="M326" s="27">
        <f t="shared" si="333"/>
        <v>1570.4872232310479</v>
      </c>
      <c r="N326" s="27">
        <f t="shared" si="333"/>
        <v>914.76330029368103</v>
      </c>
      <c r="O326" s="27">
        <f t="shared" si="333"/>
        <v>496.00050893292996</v>
      </c>
      <c r="P326" s="27">
        <f t="shared" si="333"/>
        <v>258.62468245591828</v>
      </c>
      <c r="Q326" s="27">
        <f t="shared" si="333"/>
        <v>147.59447157046961</v>
      </c>
      <c r="R326" s="27">
        <f t="shared" si="333"/>
        <v>113.91375921882747</v>
      </c>
      <c r="S326" s="27">
        <f t="shared" si="333"/>
        <v>99.909748767522103</v>
      </c>
      <c r="T326" s="27">
        <f t="shared" si="333"/>
        <v>93.144432382055768</v>
      </c>
      <c r="U326" s="27">
        <f t="shared" si="333"/>
        <v>92.36504595319353</v>
      </c>
      <c r="V326" s="27">
        <f t="shared" si="333"/>
        <v>91.434211147602269</v>
      </c>
      <c r="W326" s="27">
        <f t="shared" si="333"/>
        <v>91.030868299092106</v>
      </c>
      <c r="X326" s="27">
        <f t="shared" si="333"/>
        <v>90.222973259337024</v>
      </c>
      <c r="Y326" s="27">
        <f t="shared" si="333"/>
        <v>87.116461809336954</v>
      </c>
      <c r="Z326" s="27">
        <f t="shared" si="333"/>
        <v>85.50889650934235</v>
      </c>
      <c r="AA326" s="27">
        <f t="shared" si="333"/>
        <v>85.508847153107936</v>
      </c>
      <c r="AB326" s="27">
        <f t="shared" si="333"/>
        <v>85.508847153107936</v>
      </c>
      <c r="AC326" s="27">
        <f t="shared" si="333"/>
        <v>85.508847153107936</v>
      </c>
      <c r="AD326" s="27">
        <f t="shared" si="333"/>
        <v>85.508847153107936</v>
      </c>
      <c r="AE326" s="27">
        <f t="shared" si="333"/>
        <v>85.508847153107936</v>
      </c>
      <c r="AF326" s="27">
        <f t="shared" si="333"/>
        <v>85.508847153107936</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0</v>
      </c>
      <c r="C328" s="3">
        <f t="shared" si="335"/>
        <v>0</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0</v>
      </c>
      <c r="C329" s="3">
        <f t="shared" si="336"/>
        <v>0</v>
      </c>
      <c r="D329" s="3">
        <f t="shared" si="336"/>
        <v>0</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0</v>
      </c>
      <c r="C330" s="3">
        <f t="shared" si="337"/>
        <v>0</v>
      </c>
      <c r="D330" s="3">
        <f t="shared" si="337"/>
        <v>0</v>
      </c>
      <c r="E330" s="3">
        <f t="shared" si="337"/>
        <v>0</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0</v>
      </c>
      <c r="C331" s="3">
        <f t="shared" si="338"/>
        <v>0</v>
      </c>
      <c r="D331" s="3">
        <f t="shared" si="338"/>
        <v>0</v>
      </c>
      <c r="E331" s="3">
        <f t="shared" si="338"/>
        <v>0</v>
      </c>
      <c r="F331" s="3">
        <f t="shared" si="338"/>
        <v>0</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2.0563793590617694E-87</v>
      </c>
      <c r="C332" s="3">
        <f t="shared" si="339"/>
        <v>0</v>
      </c>
      <c r="D332" s="3">
        <f t="shared" si="339"/>
        <v>0</v>
      </c>
      <c r="E332" s="3">
        <f t="shared" si="339"/>
        <v>0</v>
      </c>
      <c r="F332" s="3">
        <f t="shared" si="339"/>
        <v>0</v>
      </c>
      <c r="G332" s="3">
        <f t="shared" si="339"/>
        <v>0</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4.1158140622763761E-10</v>
      </c>
      <c r="C333" s="3">
        <f t="shared" si="340"/>
        <v>3.6401598877511167E-79</v>
      </c>
      <c r="D333" s="3">
        <f t="shared" si="340"/>
        <v>0</v>
      </c>
      <c r="E333" s="3">
        <f t="shared" si="340"/>
        <v>0</v>
      </c>
      <c r="F333" s="3">
        <f t="shared" si="340"/>
        <v>0</v>
      </c>
      <c r="G333" s="3">
        <f t="shared" si="340"/>
        <v>0</v>
      </c>
      <c r="H333" s="3">
        <f t="shared" si="340"/>
        <v>0</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4.9671057416835048E-3</v>
      </c>
      <c r="C334" s="3">
        <f t="shared" si="341"/>
        <v>2.9303405455387827E-9</v>
      </c>
      <c r="D334" s="3">
        <f t="shared" si="341"/>
        <v>1.4964595470044166E-71</v>
      </c>
      <c r="E334" s="3">
        <f t="shared" si="341"/>
        <v>0</v>
      </c>
      <c r="F334" s="3">
        <f t="shared" si="341"/>
        <v>0</v>
      </c>
      <c r="G334" s="3">
        <f t="shared" si="341"/>
        <v>0</v>
      </c>
      <c r="H334" s="3">
        <f t="shared" si="341"/>
        <v>0</v>
      </c>
      <c r="I334" s="3">
        <f t="shared" si="341"/>
        <v>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2.7803766867110107E-2</v>
      </c>
      <c r="C335" s="3">
        <f t="shared" si="342"/>
        <v>7.6239370445179699E-3</v>
      </c>
      <c r="D335" s="3">
        <f t="shared" si="342"/>
        <v>1.832044136956111E-8</v>
      </c>
      <c r="E335" s="3">
        <f t="shared" si="342"/>
        <v>1.1762570555431252E-64</v>
      </c>
      <c r="F335" s="3">
        <f t="shared" si="342"/>
        <v>0</v>
      </c>
      <c r="G335" s="3">
        <f t="shared" si="342"/>
        <v>0</v>
      </c>
      <c r="H335" s="3">
        <f t="shared" si="342"/>
        <v>0</v>
      </c>
      <c r="I335" s="3">
        <f t="shared" si="342"/>
        <v>0</v>
      </c>
      <c r="J335" s="3">
        <f t="shared" si="342"/>
        <v>0</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2.3823472357547833E-2</v>
      </c>
      <c r="C336" s="3">
        <f t="shared" si="343"/>
        <v>2.1198972516183162E-2</v>
      </c>
      <c r="D336" s="3">
        <f t="shared" si="343"/>
        <v>6.5980000167919972E-3</v>
      </c>
      <c r="E336" s="3">
        <f t="shared" si="343"/>
        <v>5.628430624472439E-8</v>
      </c>
      <c r="F336" s="3">
        <f t="shared" si="343"/>
        <v>1.1485168418514455E-58</v>
      </c>
      <c r="G336" s="3">
        <f t="shared" si="343"/>
        <v>0</v>
      </c>
      <c r="H336" s="3">
        <f t="shared" si="343"/>
        <v>0</v>
      </c>
      <c r="I336" s="3">
        <f t="shared" si="343"/>
        <v>0</v>
      </c>
      <c r="J336" s="3">
        <f t="shared" si="343"/>
        <v>0</v>
      </c>
      <c r="K336" s="3">
        <f t="shared" si="343"/>
        <v>0</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4.5468915548889745E-2</v>
      </c>
      <c r="C337" s="3">
        <f t="shared" si="344"/>
        <v>4.4992685304030167E-2</v>
      </c>
      <c r="D337" s="3">
        <f t="shared" si="344"/>
        <v>4.0496276352554025E-2</v>
      </c>
      <c r="E337" s="3">
        <f t="shared" si="344"/>
        <v>1.4130153077126917E-2</v>
      </c>
      <c r="F337" s="3">
        <f t="shared" si="344"/>
        <v>3.779763432130673E-7</v>
      </c>
      <c r="G337" s="3">
        <f t="shared" si="344"/>
        <v>7.089933181254313E-53</v>
      </c>
      <c r="H337" s="3">
        <f t="shared" si="344"/>
        <v>0</v>
      </c>
      <c r="I337" s="3">
        <f t="shared" si="344"/>
        <v>0</v>
      </c>
      <c r="J337" s="3">
        <f t="shared" si="344"/>
        <v>0</v>
      </c>
      <c r="K337" s="3">
        <f t="shared" si="344"/>
        <v>0</v>
      </c>
      <c r="L337" s="3">
        <f t="shared" si="344"/>
        <v>0</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3.7428985110724747E-2</v>
      </c>
      <c r="C338" s="3">
        <f t="shared" si="345"/>
        <v>3.7393451844975945E-2</v>
      </c>
      <c r="D338" s="3">
        <f t="shared" si="345"/>
        <v>3.7039969259268869E-2</v>
      </c>
      <c r="E338" s="3">
        <f t="shared" si="345"/>
        <v>3.3683810824263159E-2</v>
      </c>
      <c r="F338" s="3">
        <f t="shared" si="345"/>
        <v>1.3029484686777599E-2</v>
      </c>
      <c r="G338" s="3">
        <f t="shared" si="345"/>
        <v>9.7720896341947776E-7</v>
      </c>
      <c r="H338" s="3">
        <f t="shared" si="345"/>
        <v>5.5028726537064923E-48</v>
      </c>
      <c r="I338" s="3">
        <f t="shared" si="345"/>
        <v>0</v>
      </c>
      <c r="J338" s="3">
        <f t="shared" si="345"/>
        <v>0</v>
      </c>
      <c r="K338" s="3">
        <f t="shared" si="345"/>
        <v>0</v>
      </c>
      <c r="L338" s="3">
        <f t="shared" si="345"/>
        <v>0</v>
      </c>
      <c r="M338" s="3">
        <f t="shared" si="345"/>
        <v>0</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4.1088723300388576E-2</v>
      </c>
      <c r="C339" s="3">
        <f t="shared" si="346"/>
        <v>4.1085202965852427E-2</v>
      </c>
      <c r="D339" s="3">
        <f t="shared" si="346"/>
        <v>4.1050016204758351E-2</v>
      </c>
      <c r="E339" s="3">
        <f t="shared" si="346"/>
        <v>4.0699801775108631E-2</v>
      </c>
      <c r="F339" s="3">
        <f t="shared" si="346"/>
        <v>3.7357852705987162E-2</v>
      </c>
      <c r="G339" s="3">
        <f t="shared" si="346"/>
        <v>1.5859081080464285E-2</v>
      </c>
      <c r="H339" s="3">
        <f t="shared" si="346"/>
        <v>3.0146657007728818E-6</v>
      </c>
      <c r="I339" s="3">
        <f t="shared" si="346"/>
        <v>1.8571653111097609E-43</v>
      </c>
      <c r="J339" s="3">
        <f t="shared" si="346"/>
        <v>0</v>
      </c>
      <c r="K339" s="3">
        <f t="shared" si="346"/>
        <v>0</v>
      </c>
      <c r="L339" s="3">
        <f t="shared" si="346"/>
        <v>0</v>
      </c>
      <c r="M339" s="3">
        <f t="shared" si="346"/>
        <v>0</v>
      </c>
      <c r="N339" s="3">
        <f t="shared" si="346"/>
        <v>0</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4.6245054861089888E-2</v>
      </c>
      <c r="C340" s="3">
        <f t="shared" si="347"/>
        <v>4.6244697431826784E-2</v>
      </c>
      <c r="D340" s="3">
        <f t="shared" si="347"/>
        <v>4.6241123291134174E-2</v>
      </c>
      <c r="E340" s="3">
        <f t="shared" si="347"/>
        <v>4.6205397073703358E-2</v>
      </c>
      <c r="F340" s="3">
        <f t="shared" si="347"/>
        <v>4.5849649514069529E-2</v>
      </c>
      <c r="G340" s="3">
        <f t="shared" si="347"/>
        <v>4.2439392059597937E-2</v>
      </c>
      <c r="H340" s="3">
        <f t="shared" si="347"/>
        <v>1.9592979895232964E-2</v>
      </c>
      <c r="I340" s="3">
        <f t="shared" si="347"/>
        <v>8.6181466670134929E-6</v>
      </c>
      <c r="J340" s="3">
        <f t="shared" si="347"/>
        <v>2.3364030283746726E-39</v>
      </c>
      <c r="K340" s="3">
        <f t="shared" si="347"/>
        <v>0</v>
      </c>
      <c r="L340" s="3">
        <f t="shared" si="347"/>
        <v>0</v>
      </c>
      <c r="M340" s="3">
        <f t="shared" si="347"/>
        <v>0</v>
      </c>
      <c r="N340" s="3">
        <f t="shared" si="347"/>
        <v>0</v>
      </c>
      <c r="O340" s="3">
        <f t="shared" si="347"/>
        <v>0</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4.2152467490351175E-2</v>
      </c>
      <c r="C341" s="3">
        <f t="shared" si="348"/>
        <v>4.2152438100598814E-2</v>
      </c>
      <c r="D341" s="3">
        <f t="shared" si="348"/>
        <v>4.2152144204202185E-2</v>
      </c>
      <c r="E341" s="3">
        <f t="shared" si="348"/>
        <v>4.2149205352934781E-2</v>
      </c>
      <c r="F341" s="3">
        <f t="shared" si="348"/>
        <v>4.2119828107237439E-2</v>
      </c>
      <c r="G341" s="3">
        <f t="shared" si="348"/>
        <v>4.1827179446774769E-2</v>
      </c>
      <c r="H341" s="3">
        <f t="shared" si="348"/>
        <v>3.9010226673217803E-2</v>
      </c>
      <c r="I341" s="3">
        <f t="shared" si="348"/>
        <v>1.9425733056994392E-2</v>
      </c>
      <c r="J341" s="3">
        <f t="shared" si="348"/>
        <v>1.8212385860676955E-5</v>
      </c>
      <c r="K341" s="3">
        <f t="shared" si="348"/>
        <v>9.5556692301616548E-36</v>
      </c>
      <c r="L341" s="3">
        <f t="shared" si="348"/>
        <v>0</v>
      </c>
      <c r="M341" s="3">
        <f t="shared" si="348"/>
        <v>0</v>
      </c>
      <c r="N341" s="3">
        <f t="shared" si="348"/>
        <v>0</v>
      </c>
      <c r="O341" s="3">
        <f t="shared" si="348"/>
        <v>0</v>
      </c>
      <c r="P341" s="3">
        <f t="shared" si="348"/>
        <v>0</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0.11273931322270161</v>
      </c>
      <c r="C342" s="3">
        <f t="shared" si="349"/>
        <v>0.11273930613190483</v>
      </c>
      <c r="D342" s="3">
        <f t="shared" si="349"/>
        <v>0.11273923522396168</v>
      </c>
      <c r="E342" s="3">
        <f t="shared" si="349"/>
        <v>0.11273852614698283</v>
      </c>
      <c r="F342" s="3">
        <f t="shared" si="349"/>
        <v>0.11273143562247681</v>
      </c>
      <c r="G342" s="3">
        <f t="shared" si="349"/>
        <v>0.11266055489993784</v>
      </c>
      <c r="H342" s="3">
        <f t="shared" si="349"/>
        <v>0.11195419422955019</v>
      </c>
      <c r="I342" s="3">
        <f t="shared" si="349"/>
        <v>0.10512964408220091</v>
      </c>
      <c r="J342" s="3">
        <f t="shared" si="349"/>
        <v>5.6049720305504203E-2</v>
      </c>
      <c r="K342" s="3">
        <f t="shared" si="349"/>
        <v>1.0400542817420143E-4</v>
      </c>
      <c r="L342" s="3">
        <f t="shared" si="349"/>
        <v>5.0336332689760966E-32</v>
      </c>
      <c r="M342" s="3">
        <f t="shared" si="349"/>
        <v>3.5492551584221345E-305</v>
      </c>
      <c r="N342" s="3">
        <f t="shared" si="349"/>
        <v>0</v>
      </c>
      <c r="O342" s="3">
        <f t="shared" si="349"/>
        <v>0</v>
      </c>
      <c r="P342" s="3">
        <f t="shared" si="349"/>
        <v>0</v>
      </c>
      <c r="Q342" s="3">
        <f t="shared" si="349"/>
        <v>0</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0.14424740973335173</v>
      </c>
      <c r="C343" s="3">
        <f t="shared" si="350"/>
        <v>0.14424740891493543</v>
      </c>
      <c r="D343" s="3">
        <f t="shared" si="350"/>
        <v>0.1442474007307725</v>
      </c>
      <c r="E343" s="3">
        <f t="shared" si="350"/>
        <v>0.14424731888916881</v>
      </c>
      <c r="F343" s="3">
        <f t="shared" si="350"/>
        <v>0.1442465004756858</v>
      </c>
      <c r="G343" s="3">
        <f t="shared" si="350"/>
        <v>0.14423831659623929</v>
      </c>
      <c r="H343" s="3">
        <f t="shared" si="350"/>
        <v>0.14415650333477931</v>
      </c>
      <c r="I343" s="3">
        <f t="shared" si="350"/>
        <v>0.14334091866875773</v>
      </c>
      <c r="J343" s="3">
        <f t="shared" si="350"/>
        <v>0.13543459824447301</v>
      </c>
      <c r="K343" s="3">
        <f t="shared" si="350"/>
        <v>7.679342300427229E-2</v>
      </c>
      <c r="L343" s="3">
        <f t="shared" si="350"/>
        <v>2.6379590645878037E-4</v>
      </c>
      <c r="M343" s="3">
        <f t="shared" si="350"/>
        <v>6.0354312616595744E-29</v>
      </c>
      <c r="N343" s="3">
        <f t="shared" si="350"/>
        <v>2.3719791598367016E-275</v>
      </c>
      <c r="O343" s="3">
        <f t="shared" si="350"/>
        <v>0</v>
      </c>
      <c r="P343" s="3">
        <f t="shared" si="350"/>
        <v>0</v>
      </c>
      <c r="Q343" s="3">
        <f t="shared" si="350"/>
        <v>0</v>
      </c>
      <c r="R343" s="3">
        <f t="shared" si="350"/>
        <v>0</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0.12974291068757596</v>
      </c>
      <c r="C344" s="3">
        <f t="shared" si="351"/>
        <v>0.12974291062117163</v>
      </c>
      <c r="D344" s="3">
        <f t="shared" si="351"/>
        <v>0.1297429099571282</v>
      </c>
      <c r="E344" s="3">
        <f t="shared" si="351"/>
        <v>0.12974290331669408</v>
      </c>
      <c r="F344" s="3">
        <f t="shared" si="351"/>
        <v>0.12974283691237162</v>
      </c>
      <c r="G344" s="3">
        <f t="shared" si="351"/>
        <v>0.12974217287101636</v>
      </c>
      <c r="H344" s="3">
        <f t="shared" si="351"/>
        <v>0.12973553264438681</v>
      </c>
      <c r="I344" s="3">
        <f t="shared" si="351"/>
        <v>0.129669149066858</v>
      </c>
      <c r="J344" s="3">
        <f t="shared" si="351"/>
        <v>0.12900717863397704</v>
      </c>
      <c r="K344" s="3">
        <f t="shared" si="351"/>
        <v>0.12257052395816781</v>
      </c>
      <c r="L344" s="3">
        <f t="shared" si="351"/>
        <v>7.3469603277645623E-2</v>
      </c>
      <c r="M344" s="3">
        <f t="shared" si="351"/>
        <v>4.3986987124974971E-4</v>
      </c>
      <c r="N344" s="3">
        <f t="shared" si="351"/>
        <v>2.6030914758705864E-26</v>
      </c>
      <c r="O344" s="3">
        <f t="shared" si="351"/>
        <v>1.3713287116762405E-248</v>
      </c>
      <c r="P344" s="3">
        <f t="shared" si="351"/>
        <v>0</v>
      </c>
      <c r="Q344" s="3">
        <f t="shared" si="351"/>
        <v>0</v>
      </c>
      <c r="R344" s="3">
        <f t="shared" si="351"/>
        <v>0</v>
      </c>
      <c r="S344" s="3">
        <f t="shared" si="351"/>
        <v>0</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0.10714334071680788</v>
      </c>
      <c r="C345" s="3">
        <f t="shared" si="352"/>
        <v>0.10714334071186107</v>
      </c>
      <c r="D345" s="3">
        <f t="shared" si="352"/>
        <v>0.10714334066239305</v>
      </c>
      <c r="E345" s="3">
        <f t="shared" si="352"/>
        <v>0.10714334016771274</v>
      </c>
      <c r="F345" s="3">
        <f t="shared" si="352"/>
        <v>0.1071433352209098</v>
      </c>
      <c r="G345" s="3">
        <f t="shared" si="352"/>
        <v>0.10714328575289286</v>
      </c>
      <c r="H345" s="3">
        <f t="shared" si="352"/>
        <v>0.10714279107397977</v>
      </c>
      <c r="I345" s="3">
        <f t="shared" si="352"/>
        <v>0.10713784441046291</v>
      </c>
      <c r="J345" s="3">
        <f t="shared" si="352"/>
        <v>0.10708839033456213</v>
      </c>
      <c r="K345" s="3">
        <f t="shared" si="352"/>
        <v>0.1065951033594995</v>
      </c>
      <c r="L345" s="3">
        <f t="shared" si="352"/>
        <v>0.10178549637281033</v>
      </c>
      <c r="M345" s="3">
        <f t="shared" si="352"/>
        <v>6.414640727475282E-2</v>
      </c>
      <c r="N345" s="3">
        <f t="shared" si="352"/>
        <v>6.3392331050509017E-4</v>
      </c>
      <c r="O345" s="3">
        <f t="shared" si="352"/>
        <v>5.6322324063454519E-24</v>
      </c>
      <c r="P345" s="3">
        <f t="shared" si="352"/>
        <v>1.7263109258013379E-224</v>
      </c>
      <c r="Q345" s="3">
        <f t="shared" si="352"/>
        <v>0</v>
      </c>
      <c r="R345" s="3">
        <f t="shared" si="352"/>
        <v>0</v>
      </c>
      <c r="S345" s="3">
        <f t="shared" si="352"/>
        <v>0</v>
      </c>
      <c r="T345" s="3">
        <f t="shared" si="352"/>
        <v>0</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7.4673320014786534E-2</v>
      </c>
      <c r="C346" s="3">
        <f t="shared" si="353"/>
        <v>7.4673320014475533E-2</v>
      </c>
      <c r="D346" s="3">
        <f t="shared" si="353"/>
        <v>7.4673320011365438E-2</v>
      </c>
      <c r="E346" s="3">
        <f t="shared" si="353"/>
        <v>7.4673319980264649E-2</v>
      </c>
      <c r="F346" s="3">
        <f t="shared" si="353"/>
        <v>7.4673319669256707E-2</v>
      </c>
      <c r="G346" s="3">
        <f t="shared" si="353"/>
        <v>7.4673316559177277E-2</v>
      </c>
      <c r="H346" s="3">
        <f t="shared" si="353"/>
        <v>7.4673285458390137E-2</v>
      </c>
      <c r="I346" s="3">
        <f t="shared" si="353"/>
        <v>7.4672974451231167E-2</v>
      </c>
      <c r="J346" s="3">
        <f t="shared" si="353"/>
        <v>7.4669864450882931E-2</v>
      </c>
      <c r="K346" s="3">
        <f t="shared" si="353"/>
        <v>7.4638771570448278E-2</v>
      </c>
      <c r="L346" s="3">
        <f t="shared" si="353"/>
        <v>7.4328553974418274E-2</v>
      </c>
      <c r="M346" s="3">
        <f t="shared" si="353"/>
        <v>7.1296414963567756E-2</v>
      </c>
      <c r="N346" s="3">
        <f t="shared" si="353"/>
        <v>4.7009732388824062E-2</v>
      </c>
      <c r="O346" s="3">
        <f t="shared" si="353"/>
        <v>7.3011058116499922E-4</v>
      </c>
      <c r="P346" s="3">
        <f t="shared" si="353"/>
        <v>5.9620728558843902E-22</v>
      </c>
      <c r="Q346" s="3">
        <f t="shared" si="353"/>
        <v>7.8611057966030759E-203</v>
      </c>
      <c r="R346" s="3">
        <f t="shared" si="353"/>
        <v>0</v>
      </c>
      <c r="S346" s="3">
        <f t="shared" si="353"/>
        <v>0</v>
      </c>
      <c r="T346" s="3">
        <f t="shared" si="353"/>
        <v>0</v>
      </c>
      <c r="U346" s="3">
        <f t="shared" si="353"/>
        <v>0</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2.5720461590380977E-2</v>
      </c>
      <c r="C347" s="3">
        <f t="shared" si="354"/>
        <v>2.5720461590371311E-2</v>
      </c>
      <c r="D347" s="3">
        <f t="shared" si="354"/>
        <v>2.5720461590274676E-2</v>
      </c>
      <c r="E347" s="3">
        <f t="shared" si="354"/>
        <v>2.5720461589308335E-2</v>
      </c>
      <c r="F347" s="3">
        <f t="shared" si="354"/>
        <v>2.5720461579644902E-2</v>
      </c>
      <c r="G347" s="3">
        <f t="shared" si="354"/>
        <v>2.5720461483010586E-2</v>
      </c>
      <c r="H347" s="3">
        <f t="shared" si="354"/>
        <v>2.5720460516667442E-2</v>
      </c>
      <c r="I347" s="3">
        <f t="shared" si="354"/>
        <v>2.5720450853237993E-2</v>
      </c>
      <c r="J347" s="3">
        <f t="shared" si="354"/>
        <v>2.5720354219143197E-2</v>
      </c>
      <c r="K347" s="3">
        <f t="shared" si="354"/>
        <v>2.5719387898163495E-2</v>
      </c>
      <c r="L347" s="3">
        <f t="shared" si="354"/>
        <v>2.5709726684913819E-2</v>
      </c>
      <c r="M347" s="3">
        <f t="shared" si="354"/>
        <v>2.5613313929884526E-2</v>
      </c>
      <c r="N347" s="3">
        <f t="shared" si="354"/>
        <v>2.4668849729749958E-2</v>
      </c>
      <c r="O347" s="3">
        <f t="shared" si="354"/>
        <v>1.6942604368323236E-2</v>
      </c>
      <c r="P347" s="3">
        <f t="shared" si="354"/>
        <v>3.9563332959579938E-4</v>
      </c>
      <c r="Q347" s="3">
        <f t="shared" si="354"/>
        <v>1.9073038480491432E-20</v>
      </c>
      <c r="R347" s="3">
        <f t="shared" si="354"/>
        <v>1.2932724455569829E-183</v>
      </c>
      <c r="S347" s="3">
        <f t="shared" si="354"/>
        <v>0</v>
      </c>
      <c r="T347" s="3">
        <f t="shared" si="354"/>
        <v>0</v>
      </c>
      <c r="U347" s="3">
        <f t="shared" si="354"/>
        <v>0</v>
      </c>
      <c r="V347" s="3">
        <f t="shared" si="354"/>
        <v>0</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2.41413048593512E-2</v>
      </c>
      <c r="C348" s="3">
        <f t="shared" si="355"/>
        <v>2.4141304859348692E-2</v>
      </c>
      <c r="D348" s="3">
        <f t="shared" si="355"/>
        <v>2.4141304859323604E-2</v>
      </c>
      <c r="E348" s="3">
        <f t="shared" si="355"/>
        <v>2.4141304859072749E-2</v>
      </c>
      <c r="F348" s="3">
        <f t="shared" si="355"/>
        <v>2.4141304856564176E-2</v>
      </c>
      <c r="G348" s="3">
        <f t="shared" si="355"/>
        <v>2.4141304831478479E-2</v>
      </c>
      <c r="H348" s="3">
        <f t="shared" si="355"/>
        <v>2.414130458062148E-2</v>
      </c>
      <c r="I348" s="3">
        <f t="shared" si="355"/>
        <v>2.4141302072051642E-2</v>
      </c>
      <c r="J348" s="3">
        <f t="shared" si="355"/>
        <v>2.4141276986367598E-2</v>
      </c>
      <c r="K348" s="3">
        <f t="shared" si="355"/>
        <v>2.4141026130960839E-2</v>
      </c>
      <c r="L348" s="3">
        <f t="shared" si="355"/>
        <v>2.4138517720255832E-2</v>
      </c>
      <c r="M348" s="3">
        <f t="shared" si="355"/>
        <v>2.4113447943954574E-2</v>
      </c>
      <c r="N348" s="3">
        <f t="shared" si="355"/>
        <v>2.3864177761299715E-2</v>
      </c>
      <c r="O348" s="3">
        <f t="shared" si="355"/>
        <v>2.1508894534304497E-2</v>
      </c>
      <c r="P348" s="3">
        <f t="shared" si="355"/>
        <v>7.6091165634250574E-3</v>
      </c>
      <c r="Q348" s="3">
        <f t="shared" si="355"/>
        <v>2.3361230099664871E-7</v>
      </c>
      <c r="R348" s="3">
        <f t="shared" si="355"/>
        <v>1.7382426718978139E-52</v>
      </c>
      <c r="S348" s="3">
        <f t="shared" si="355"/>
        <v>0</v>
      </c>
      <c r="T348" s="3">
        <f t="shared" si="355"/>
        <v>0</v>
      </c>
      <c r="U348" s="3">
        <f t="shared" si="355"/>
        <v>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1.2214190227025459E-2</v>
      </c>
      <c r="C349" s="3">
        <f t="shared" si="356"/>
        <v>1.2214190227025332E-2</v>
      </c>
      <c r="D349" s="3">
        <f t="shared" si="356"/>
        <v>1.2214190227024063E-2</v>
      </c>
      <c r="E349" s="3">
        <f t="shared" si="356"/>
        <v>1.221419022701137E-2</v>
      </c>
      <c r="F349" s="3">
        <f t="shared" si="356"/>
        <v>1.221419022688445E-2</v>
      </c>
      <c r="G349" s="3">
        <f t="shared" si="356"/>
        <v>1.221419022561525E-2</v>
      </c>
      <c r="H349" s="3">
        <f t="shared" si="356"/>
        <v>1.2214190212923247E-2</v>
      </c>
      <c r="I349" s="3">
        <f t="shared" si="356"/>
        <v>1.2214190086003218E-2</v>
      </c>
      <c r="J349" s="3">
        <f t="shared" si="356"/>
        <v>1.221418881680301E-2</v>
      </c>
      <c r="K349" s="3">
        <f t="shared" si="356"/>
        <v>1.2214176124808162E-2</v>
      </c>
      <c r="L349" s="3">
        <f t="shared" si="356"/>
        <v>1.221404920558505E-2</v>
      </c>
      <c r="M349" s="3">
        <f t="shared" si="356"/>
        <v>1.2212780085887628E-2</v>
      </c>
      <c r="N349" s="3">
        <f t="shared" si="356"/>
        <v>1.2200096139494652E-2</v>
      </c>
      <c r="O349" s="3">
        <f t="shared" si="356"/>
        <v>1.2073978953758006E-2</v>
      </c>
      <c r="P349" s="3">
        <f t="shared" si="356"/>
        <v>1.0882333450723054E-2</v>
      </c>
      <c r="Q349" s="3">
        <f t="shared" si="356"/>
        <v>3.8498000711540939E-3</v>
      </c>
      <c r="R349" s="3">
        <f t="shared" si="356"/>
        <v>1.1819514729506846E-7</v>
      </c>
      <c r="S349" s="3">
        <f t="shared" si="356"/>
        <v>8.7945646596102311E-53</v>
      </c>
      <c r="T349" s="3">
        <f t="shared" si="356"/>
        <v>0</v>
      </c>
      <c r="U349" s="3">
        <f t="shared" si="356"/>
        <v>0</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8.0564872453676778E-4</v>
      </c>
      <c r="C350" s="3">
        <f t="shared" si="357"/>
        <v>8.0564872453676702E-4</v>
      </c>
      <c r="D350" s="3">
        <f t="shared" si="357"/>
        <v>8.0564872453675856E-4</v>
      </c>
      <c r="E350" s="3">
        <f t="shared" si="357"/>
        <v>8.0564872453667486E-4</v>
      </c>
      <c r="F350" s="3">
        <f t="shared" si="357"/>
        <v>8.0564872453583764E-4</v>
      </c>
      <c r="G350" s="3">
        <f t="shared" si="357"/>
        <v>8.0564872452746608E-4</v>
      </c>
      <c r="H350" s="3">
        <f t="shared" si="357"/>
        <v>8.0564872444374952E-4</v>
      </c>
      <c r="I350" s="3">
        <f t="shared" si="357"/>
        <v>8.0564872360658422E-4</v>
      </c>
      <c r="J350" s="3">
        <f t="shared" si="357"/>
        <v>8.0564871523493146E-4</v>
      </c>
      <c r="K350" s="3">
        <f t="shared" si="357"/>
        <v>8.0564863151840903E-4</v>
      </c>
      <c r="L350" s="3">
        <f t="shared" si="357"/>
        <v>8.0564779435366286E-4</v>
      </c>
      <c r="M350" s="3">
        <f t="shared" si="357"/>
        <v>8.0563942275404653E-4</v>
      </c>
      <c r="N350" s="3">
        <f t="shared" si="357"/>
        <v>8.055557115422096E-4</v>
      </c>
      <c r="O350" s="3">
        <f t="shared" si="357"/>
        <v>8.0471907767261548E-4</v>
      </c>
      <c r="P350" s="3">
        <f t="shared" si="357"/>
        <v>7.9640038048988456E-4</v>
      </c>
      <c r="Q350" s="3">
        <f t="shared" si="357"/>
        <v>7.1779937119040153E-4</v>
      </c>
      <c r="R350" s="3">
        <f t="shared" si="357"/>
        <v>2.5393304504003818E-4</v>
      </c>
      <c r="S350" s="3">
        <f t="shared" si="357"/>
        <v>7.796159049006165E-9</v>
      </c>
      <c r="T350" s="3">
        <f t="shared" si="357"/>
        <v>5.8009001572563598E-54</v>
      </c>
      <c r="U350" s="3">
        <f t="shared" si="357"/>
        <v>0</v>
      </c>
      <c r="V350" s="3">
        <f t="shared" si="357"/>
        <v>0</v>
      </c>
      <c r="W350" s="3">
        <f t="shared" si="357"/>
        <v>0</v>
      </c>
      <c r="X350" s="3">
        <f t="shared" si="357"/>
        <v>0</v>
      </c>
      <c r="Y350" s="3">
        <f t="shared" si="357"/>
        <v>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2.8733708973087426E-3</v>
      </c>
      <c r="C351" s="3">
        <f t="shared" si="358"/>
        <v>2.8733708973087422E-3</v>
      </c>
      <c r="D351" s="3">
        <f t="shared" si="358"/>
        <v>2.8733708973087396E-3</v>
      </c>
      <c r="E351" s="3">
        <f t="shared" si="358"/>
        <v>2.8733708973087092E-3</v>
      </c>
      <c r="F351" s="3">
        <f t="shared" si="358"/>
        <v>2.8733708973084108E-3</v>
      </c>
      <c r="G351" s="3">
        <f t="shared" si="358"/>
        <v>2.8733708973054249E-3</v>
      </c>
      <c r="H351" s="3">
        <f t="shared" si="358"/>
        <v>2.8733708972755673E-3</v>
      </c>
      <c r="I351" s="3">
        <f t="shared" si="358"/>
        <v>2.8733708969769897E-3</v>
      </c>
      <c r="J351" s="3">
        <f t="shared" si="358"/>
        <v>2.873370893991214E-3</v>
      </c>
      <c r="K351" s="3">
        <f t="shared" si="358"/>
        <v>2.8733708641334576E-3</v>
      </c>
      <c r="L351" s="3">
        <f t="shared" si="358"/>
        <v>2.8733705655559117E-3</v>
      </c>
      <c r="M351" s="3">
        <f t="shared" si="358"/>
        <v>2.8733675797821562E-3</v>
      </c>
      <c r="N351" s="3">
        <f t="shared" si="358"/>
        <v>2.8733377222152426E-3</v>
      </c>
      <c r="O351" s="3">
        <f t="shared" si="358"/>
        <v>2.873039163609556E-3</v>
      </c>
      <c r="P351" s="3">
        <f t="shared" si="358"/>
        <v>2.8700552832416244E-3</v>
      </c>
      <c r="Q351" s="3">
        <f t="shared" si="358"/>
        <v>2.8403863944810462E-3</v>
      </c>
      <c r="R351" s="3">
        <f t="shared" si="358"/>
        <v>2.5600534829505433E-3</v>
      </c>
      <c r="S351" s="3">
        <f t="shared" si="358"/>
        <v>9.0565999704470045E-4</v>
      </c>
      <c r="T351" s="3">
        <f t="shared" si="358"/>
        <v>2.7805240472620125E-8</v>
      </c>
      <c r="U351" s="3">
        <f t="shared" si="358"/>
        <v>2.0689088410880292E-53</v>
      </c>
      <c r="V351" s="3">
        <f t="shared" si="358"/>
        <v>0</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0</v>
      </c>
      <c r="C352" s="3">
        <f t="shared" si="359"/>
        <v>0</v>
      </c>
      <c r="D352" s="3">
        <f t="shared" si="359"/>
        <v>0</v>
      </c>
      <c r="E352" s="3">
        <f t="shared" si="359"/>
        <v>0</v>
      </c>
      <c r="F352" s="3">
        <f t="shared" si="359"/>
        <v>0</v>
      </c>
      <c r="G352" s="3">
        <f t="shared" si="359"/>
        <v>0</v>
      </c>
      <c r="H352" s="3">
        <f t="shared" si="359"/>
        <v>0</v>
      </c>
      <c r="I352" s="3">
        <f t="shared" si="359"/>
        <v>0</v>
      </c>
      <c r="J352" s="3">
        <f t="shared" si="359"/>
        <v>0</v>
      </c>
      <c r="K352" s="3">
        <f t="shared" si="359"/>
        <v>0</v>
      </c>
      <c r="L352" s="3">
        <f t="shared" si="359"/>
        <v>0</v>
      </c>
      <c r="M352" s="3">
        <f t="shared" si="359"/>
        <v>0</v>
      </c>
      <c r="N352" s="3">
        <f t="shared" si="359"/>
        <v>0</v>
      </c>
      <c r="O352" s="3">
        <f t="shared" si="359"/>
        <v>0</v>
      </c>
      <c r="P352" s="3">
        <f t="shared" si="359"/>
        <v>0</v>
      </c>
      <c r="Q352" s="3">
        <f t="shared" si="359"/>
        <v>0</v>
      </c>
      <c r="R352" s="3">
        <f t="shared" si="359"/>
        <v>0</v>
      </c>
      <c r="S352" s="3">
        <f t="shared" si="359"/>
        <v>0</v>
      </c>
      <c r="T352" s="3">
        <f t="shared" si="359"/>
        <v>0</v>
      </c>
      <c r="U352" s="3">
        <f t="shared" si="359"/>
        <v>0</v>
      </c>
      <c r="V352" s="3">
        <f t="shared" si="359"/>
        <v>0</v>
      </c>
      <c r="W352" s="3">
        <f t="shared" si="359"/>
        <v>0</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1.6248048079890072E-4</v>
      </c>
      <c r="C353" s="3">
        <f t="shared" si="360"/>
        <v>1.6248048079890072E-4</v>
      </c>
      <c r="D353" s="3">
        <f t="shared" si="360"/>
        <v>1.6248048079890072E-4</v>
      </c>
      <c r="E353" s="3">
        <f t="shared" si="360"/>
        <v>1.624804807989007E-4</v>
      </c>
      <c r="F353" s="3">
        <f t="shared" si="360"/>
        <v>1.6248048079890053E-4</v>
      </c>
      <c r="G353" s="3">
        <f t="shared" si="360"/>
        <v>1.6248048079889885E-4</v>
      </c>
      <c r="H353" s="3">
        <f t="shared" si="360"/>
        <v>1.6248048079888197E-4</v>
      </c>
      <c r="I353" s="3">
        <f t="shared" si="360"/>
        <v>1.6248048079871313E-4</v>
      </c>
      <c r="J353" s="3">
        <f t="shared" si="360"/>
        <v>1.6248048079702475E-4</v>
      </c>
      <c r="K353" s="3">
        <f t="shared" si="360"/>
        <v>1.624804807801411E-4</v>
      </c>
      <c r="L353" s="3">
        <f t="shared" si="360"/>
        <v>1.6248048061130447E-4</v>
      </c>
      <c r="M353" s="3">
        <f t="shared" si="360"/>
        <v>1.6248047892293815E-4</v>
      </c>
      <c r="N353" s="3">
        <f t="shared" si="360"/>
        <v>1.6248046203927609E-4</v>
      </c>
      <c r="O353" s="3">
        <f t="shared" si="360"/>
        <v>1.6248029320275177E-4</v>
      </c>
      <c r="P353" s="3">
        <f t="shared" si="360"/>
        <v>1.6247860484715795E-4</v>
      </c>
      <c r="Q353" s="3">
        <f t="shared" si="360"/>
        <v>1.6246172225610643E-4</v>
      </c>
      <c r="R353" s="3">
        <f t="shared" si="360"/>
        <v>1.6229299279716956E-4</v>
      </c>
      <c r="S353" s="3">
        <f t="shared" si="360"/>
        <v>1.6061530638533078E-4</v>
      </c>
      <c r="T353" s="3">
        <f t="shared" si="360"/>
        <v>1.447633235132645E-4</v>
      </c>
      <c r="U353" s="3">
        <f t="shared" si="360"/>
        <v>5.1212348499102416E-5</v>
      </c>
      <c r="V353" s="3">
        <f t="shared" si="360"/>
        <v>1.5723027072320677E-9</v>
      </c>
      <c r="W353" s="3">
        <f t="shared" si="360"/>
        <v>1.1699057143786457E-54</v>
      </c>
      <c r="X353" s="3">
        <f t="shared" si="360"/>
        <v>0</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1.2901117231804357E-4</v>
      </c>
      <c r="C354" s="3">
        <f t="shared" si="361"/>
        <v>1.2901117231804357E-4</v>
      </c>
      <c r="D354" s="3">
        <f t="shared" si="361"/>
        <v>1.2901117231804357E-4</v>
      </c>
      <c r="E354" s="3">
        <f t="shared" si="361"/>
        <v>1.2901117231804357E-4</v>
      </c>
      <c r="F354" s="3">
        <f t="shared" si="361"/>
        <v>1.2901117231804354E-4</v>
      </c>
      <c r="G354" s="3">
        <f t="shared" si="361"/>
        <v>1.2901117231804344E-4</v>
      </c>
      <c r="H354" s="3">
        <f t="shared" si="361"/>
        <v>1.2901117231804208E-4</v>
      </c>
      <c r="I354" s="3">
        <f t="shared" si="361"/>
        <v>1.2901117231802866E-4</v>
      </c>
      <c r="J354" s="3">
        <f t="shared" si="361"/>
        <v>1.290111723178946E-4</v>
      </c>
      <c r="K354" s="3">
        <f t="shared" si="361"/>
        <v>1.2901117231655404E-4</v>
      </c>
      <c r="L354" s="3">
        <f t="shared" si="361"/>
        <v>1.2901117230314823E-4</v>
      </c>
      <c r="M354" s="3">
        <f t="shared" si="361"/>
        <v>1.2901117216909021E-4</v>
      </c>
      <c r="N354" s="3">
        <f t="shared" si="361"/>
        <v>1.2901117082851E-4</v>
      </c>
      <c r="O354" s="3">
        <f t="shared" si="361"/>
        <v>1.2901115742270874E-4</v>
      </c>
      <c r="P354" s="3">
        <f t="shared" si="361"/>
        <v>1.2901102336477252E-4</v>
      </c>
      <c r="Q354" s="3">
        <f t="shared" si="361"/>
        <v>1.29009682793072E-4</v>
      </c>
      <c r="R354" s="3">
        <f t="shared" si="361"/>
        <v>1.2899627784219658E-4</v>
      </c>
      <c r="S354" s="3">
        <f t="shared" si="361"/>
        <v>1.2886230491698729E-4</v>
      </c>
      <c r="T354" s="3">
        <f t="shared" si="361"/>
        <v>1.2753020465664121E-4</v>
      </c>
      <c r="U354" s="3">
        <f t="shared" si="361"/>
        <v>1.1494356727204374E-4</v>
      </c>
      <c r="V354" s="3">
        <f t="shared" si="361"/>
        <v>4.0663131254558065E-5</v>
      </c>
      <c r="W354" s="3">
        <f t="shared" si="361"/>
        <v>1.2484245153724032E-9</v>
      </c>
      <c r="X354" s="3">
        <f t="shared" si="361"/>
        <v>9.289171657509551E-55</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0</v>
      </c>
      <c r="C355" s="3">
        <f t="shared" si="362"/>
        <v>0</v>
      </c>
      <c r="D355" s="3">
        <f t="shared" si="362"/>
        <v>0</v>
      </c>
      <c r="E355" s="3">
        <f t="shared" si="362"/>
        <v>0</v>
      </c>
      <c r="F355" s="3">
        <f t="shared" si="362"/>
        <v>0</v>
      </c>
      <c r="G355" s="3">
        <f t="shared" si="362"/>
        <v>0</v>
      </c>
      <c r="H355" s="3">
        <f t="shared" si="362"/>
        <v>0</v>
      </c>
      <c r="I355" s="3">
        <f t="shared" si="362"/>
        <v>0</v>
      </c>
      <c r="J355" s="3">
        <f t="shared" si="362"/>
        <v>0</v>
      </c>
      <c r="K355" s="3">
        <f t="shared" si="362"/>
        <v>0</v>
      </c>
      <c r="L355" s="3">
        <f t="shared" si="362"/>
        <v>0</v>
      </c>
      <c r="M355" s="3">
        <f t="shared" si="362"/>
        <v>0</v>
      </c>
      <c r="N355" s="3">
        <f t="shared" si="362"/>
        <v>0</v>
      </c>
      <c r="O355" s="3">
        <f t="shared" si="362"/>
        <v>0</v>
      </c>
      <c r="P355" s="3">
        <f t="shared" si="362"/>
        <v>0</v>
      </c>
      <c r="Q355" s="3">
        <f t="shared" si="362"/>
        <v>0</v>
      </c>
      <c r="R355" s="3">
        <f t="shared" si="362"/>
        <v>0</v>
      </c>
      <c r="S355" s="3">
        <f t="shared" si="362"/>
        <v>0</v>
      </c>
      <c r="T355" s="3">
        <f t="shared" si="362"/>
        <v>0</v>
      </c>
      <c r="U355" s="3">
        <f t="shared" si="362"/>
        <v>0</v>
      </c>
      <c r="V355" s="3">
        <f t="shared" si="362"/>
        <v>0</v>
      </c>
      <c r="W355" s="3">
        <f t="shared" si="362"/>
        <v>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7.3508598139721321E-5</v>
      </c>
      <c r="C356" s="3">
        <f t="shared" si="363"/>
        <v>7.3508598139721321E-5</v>
      </c>
      <c r="D356" s="3">
        <f t="shared" si="363"/>
        <v>7.3508598139721321E-5</v>
      </c>
      <c r="E356" s="3">
        <f t="shared" si="363"/>
        <v>7.3508598139721321E-5</v>
      </c>
      <c r="F356" s="3">
        <f t="shared" si="363"/>
        <v>7.3508598139721321E-5</v>
      </c>
      <c r="G356" s="3">
        <f t="shared" si="363"/>
        <v>7.3508598139721321E-5</v>
      </c>
      <c r="H356" s="3">
        <f t="shared" si="363"/>
        <v>7.3508598139721308E-5</v>
      </c>
      <c r="I356" s="3">
        <f t="shared" si="363"/>
        <v>7.350859813972124E-5</v>
      </c>
      <c r="J356" s="3">
        <f t="shared" si="363"/>
        <v>7.3508598139720467E-5</v>
      </c>
      <c r="K356" s="3">
        <f t="shared" si="363"/>
        <v>7.3508598139712837E-5</v>
      </c>
      <c r="L356" s="3">
        <f t="shared" si="363"/>
        <v>7.3508598139636442E-5</v>
      </c>
      <c r="M356" s="3">
        <f t="shared" si="363"/>
        <v>7.3508598138872608E-5</v>
      </c>
      <c r="N356" s="3">
        <f t="shared" si="363"/>
        <v>7.3508598131234186E-5</v>
      </c>
      <c r="O356" s="3">
        <f t="shared" si="363"/>
        <v>7.3508598054849975E-5</v>
      </c>
      <c r="P356" s="3">
        <f t="shared" si="363"/>
        <v>7.350859729100782E-5</v>
      </c>
      <c r="Q356" s="3">
        <f t="shared" si="363"/>
        <v>7.3508589652586728E-5</v>
      </c>
      <c r="R356" s="3">
        <f t="shared" si="363"/>
        <v>7.3508513268419508E-5</v>
      </c>
      <c r="S356" s="3">
        <f t="shared" si="363"/>
        <v>7.3507749431112694E-5</v>
      </c>
      <c r="T356" s="3">
        <f t="shared" si="363"/>
        <v>7.3500111494573717E-5</v>
      </c>
      <c r="U356" s="3">
        <f t="shared" si="363"/>
        <v>7.3423775765319718E-5</v>
      </c>
      <c r="V356" s="3">
        <f t="shared" si="363"/>
        <v>7.2664765355909597E-5</v>
      </c>
      <c r="W356" s="3">
        <f t="shared" si="363"/>
        <v>6.5493091362018094E-5</v>
      </c>
      <c r="X356" s="3">
        <f t="shared" si="363"/>
        <v>2.3169231941596698E-5</v>
      </c>
      <c r="Y356" s="3">
        <f t="shared" si="363"/>
        <v>7.1133324625600143E-10</v>
      </c>
      <c r="Z356" s="3">
        <f t="shared" si="363"/>
        <v>5.2928283198559622E-55</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6.9573660063357843E-4</v>
      </c>
      <c r="C357" s="3">
        <f t="shared" si="364"/>
        <v>6.9573660063357843E-4</v>
      </c>
      <c r="D357" s="3">
        <f t="shared" si="364"/>
        <v>6.9573660063357843E-4</v>
      </c>
      <c r="E357" s="3">
        <f t="shared" si="364"/>
        <v>6.9573660063357843E-4</v>
      </c>
      <c r="F357" s="3">
        <f t="shared" si="364"/>
        <v>6.9573660063357843E-4</v>
      </c>
      <c r="G357" s="3">
        <f t="shared" si="364"/>
        <v>6.9573660063357843E-4</v>
      </c>
      <c r="H357" s="3">
        <f t="shared" si="364"/>
        <v>6.9573660063357843E-4</v>
      </c>
      <c r="I357" s="3">
        <f t="shared" si="364"/>
        <v>6.9573660063357832E-4</v>
      </c>
      <c r="J357" s="3">
        <f t="shared" si="364"/>
        <v>6.9573660063357767E-4</v>
      </c>
      <c r="K357" s="3">
        <f t="shared" si="364"/>
        <v>6.9573660063357041E-4</v>
      </c>
      <c r="L357" s="3">
        <f t="shared" si="364"/>
        <v>6.9573660063349809E-4</v>
      </c>
      <c r="M357" s="3">
        <f t="shared" si="364"/>
        <v>6.9573660063277515E-4</v>
      </c>
      <c r="N357" s="3">
        <f t="shared" si="364"/>
        <v>6.9573660062554558E-4</v>
      </c>
      <c r="O357" s="3">
        <f t="shared" si="364"/>
        <v>6.9573660055325022E-4</v>
      </c>
      <c r="P357" s="3">
        <f t="shared" si="364"/>
        <v>6.9573659983029684E-4</v>
      </c>
      <c r="Q357" s="3">
        <f t="shared" si="364"/>
        <v>6.9573659260076237E-4</v>
      </c>
      <c r="R357" s="3">
        <f t="shared" si="364"/>
        <v>6.9573652030542198E-4</v>
      </c>
      <c r="S357" s="3">
        <f t="shared" si="364"/>
        <v>6.9573579735243154E-4</v>
      </c>
      <c r="T357" s="3">
        <f t="shared" si="364"/>
        <v>6.9572856786384487E-4</v>
      </c>
      <c r="U357" s="3">
        <f t="shared" si="364"/>
        <v>6.9565627710959353E-4</v>
      </c>
      <c r="V357" s="3">
        <f t="shared" si="364"/>
        <v>6.9493378256987837E-4</v>
      </c>
      <c r="W357" s="3">
        <f t="shared" si="364"/>
        <v>6.8774997910399306E-4</v>
      </c>
      <c r="X357" s="3">
        <f t="shared" si="364"/>
        <v>6.1987225851573816E-4</v>
      </c>
      <c r="Y357" s="3">
        <f t="shared" si="364"/>
        <v>2.1928975763757535E-4</v>
      </c>
      <c r="Z357" s="3">
        <f t="shared" si="364"/>
        <v>6.7325535677760756E-9</v>
      </c>
      <c r="AA357" s="3">
        <f t="shared" si="364"/>
        <v>5.0095015769371356E-54</v>
      </c>
      <c r="AB357" s="3">
        <f t="shared" si="364"/>
        <v>0</v>
      </c>
      <c r="AC357" s="3">
        <f t="shared" si="364"/>
        <v>0</v>
      </c>
      <c r="AD357" s="3">
        <f t="shared" si="364"/>
        <v>0</v>
      </c>
      <c r="AE357" s="3">
        <f t="shared" si="364"/>
        <v>0</v>
      </c>
      <c r="AF357" s="3">
        <f t="shared" si="364"/>
        <v>0</v>
      </c>
      <c r="AG357" s="3"/>
      <c r="AH357" s="3"/>
    </row>
    <row r="358" spans="1:34" x14ac:dyDescent="0.25">
      <c r="A358" s="79">
        <f>AVERAGE(B358:AF358)</f>
        <v>0.13948647874902148</v>
      </c>
      <c r="B358" s="80">
        <f>IF($A$64&lt;=B324,IF($B$64&gt;=B324,ABS((B326-B325)/B325),0),0)</f>
        <v>1.9659374878241438E-2</v>
      </c>
      <c r="C358" s="80">
        <f t="shared" ref="C358:AF358" si="365">IF($A$64&lt;=C324,IF($B$64&gt;=C324,ABS((C326-C325)/C325),0),0)</f>
        <v>2.7383676917234603E-2</v>
      </c>
      <c r="D358" s="80">
        <f t="shared" si="365"/>
        <v>3.4661855737065449E-2</v>
      </c>
      <c r="E358" s="80">
        <f t="shared" si="365"/>
        <v>3.6840368532473307E-2</v>
      </c>
      <c r="F358" s="80">
        <f t="shared" si="365"/>
        <v>3.7972846623225948E-2</v>
      </c>
      <c r="G358" s="80">
        <f t="shared" si="365"/>
        <v>4.1728576834402703E-2</v>
      </c>
      <c r="H358" s="80">
        <f t="shared" si="365"/>
        <v>4.5130015113237124E-2</v>
      </c>
      <c r="I358" s="80">
        <f t="shared" si="365"/>
        <v>5.4562303682200441E-2</v>
      </c>
      <c r="J358" s="80">
        <f t="shared" si="365"/>
        <v>4.3678479721682442E-2</v>
      </c>
      <c r="K358" s="80">
        <f t="shared" si="365"/>
        <v>2.6886625899410765E-2</v>
      </c>
      <c r="L358" s="80">
        <f t="shared" si="365"/>
        <v>0.10953126212317049</v>
      </c>
      <c r="M358" s="80">
        <f t="shared" si="365"/>
        <v>0.14281820192651931</v>
      </c>
      <c r="N358" s="80">
        <f t="shared" si="365"/>
        <v>0.17226466648683042</v>
      </c>
      <c r="O358" s="80">
        <f t="shared" si="365"/>
        <v>0.21384401163196415</v>
      </c>
      <c r="P358" s="80">
        <f t="shared" si="365"/>
        <v>0.27001442463240305</v>
      </c>
      <c r="Q358" s="80">
        <f t="shared" si="365"/>
        <v>0.40539689726157935</v>
      </c>
      <c r="R358" s="80">
        <f t="shared" si="365"/>
        <v>0.46911856877433017</v>
      </c>
      <c r="S358" s="80">
        <f t="shared" si="365"/>
        <v>0.46205810917986101</v>
      </c>
      <c r="T358" s="80">
        <f t="shared" si="365"/>
        <v>0.41083841858965636</v>
      </c>
      <c r="U358" s="80">
        <f t="shared" si="365"/>
        <v>0.3027162433573794</v>
      </c>
      <c r="V358" s="80">
        <f t="shared" si="365"/>
        <v>0.20934552287870833</v>
      </c>
      <c r="W358" s="80">
        <f t="shared" si="365"/>
        <v>0.13880886862603947</v>
      </c>
      <c r="X358" s="80">
        <f t="shared" si="365"/>
        <v>9.5681816955213522E-2</v>
      </c>
      <c r="Y358" s="80">
        <f t="shared" si="365"/>
        <v>9.4059525793717749E-2</v>
      </c>
      <c r="Z358" s="80">
        <f t="shared" si="365"/>
        <v>8.9001340983525176E-2</v>
      </c>
      <c r="AA358" s="80">
        <f t="shared" si="365"/>
        <v>7.4390799086525169E-2</v>
      </c>
      <c r="AB358" s="80">
        <f t="shared" si="365"/>
        <v>7.1832628463135803E-2</v>
      </c>
      <c r="AC358" s="80">
        <f t="shared" si="365"/>
        <v>6.1232297016578147E-2</v>
      </c>
      <c r="AD358" s="80">
        <f t="shared" si="365"/>
        <v>5.917068359793657E-2</v>
      </c>
      <c r="AE358" s="80">
        <f t="shared" si="365"/>
        <v>5.2956457615910175E-2</v>
      </c>
      <c r="AF358" s="80">
        <f t="shared" si="365"/>
        <v>5.0495972299508474E-2</v>
      </c>
    </row>
    <row r="359" spans="1:34" x14ac:dyDescent="0.25">
      <c r="B359" s="21">
        <f>(B326-B325)^2</f>
        <v>16762.887260680222</v>
      </c>
      <c r="C359" s="21">
        <f t="shared" ref="C359:AF359" si="366">(C326-C325)^2</f>
        <v>30087.91482078538</v>
      </c>
      <c r="D359" s="21">
        <f t="shared" si="366"/>
        <v>44672.202396409244</v>
      </c>
      <c r="E359" s="21">
        <f t="shared" si="366"/>
        <v>46056.483663018022</v>
      </c>
      <c r="F359" s="21">
        <f t="shared" si="366"/>
        <v>44366.194115056831</v>
      </c>
      <c r="G359" s="21">
        <f t="shared" si="366"/>
        <v>48128.024869155779</v>
      </c>
      <c r="H359" s="21">
        <f t="shared" si="366"/>
        <v>49771.732938029985</v>
      </c>
      <c r="I359" s="21">
        <f t="shared" si="366"/>
        <v>62264.193880726307</v>
      </c>
      <c r="J359" s="21">
        <f t="shared" si="366"/>
        <v>31746.860559417586</v>
      </c>
      <c r="K359" s="21">
        <f t="shared" si="366"/>
        <v>8650.4052101303605</v>
      </c>
      <c r="L359" s="21">
        <f t="shared" si="366"/>
        <v>87647.756456104573</v>
      </c>
      <c r="M359" s="21">
        <f t="shared" si="366"/>
        <v>68468.380629008228</v>
      </c>
      <c r="N359" s="21">
        <f t="shared" si="366"/>
        <v>36243.229746704092</v>
      </c>
      <c r="O359" s="21">
        <f t="shared" si="366"/>
        <v>18202.916480388809</v>
      </c>
      <c r="P359" s="21">
        <f t="shared" si="366"/>
        <v>9151.3531484723408</v>
      </c>
      <c r="Q359" s="21">
        <f t="shared" si="366"/>
        <v>10126.204171292924</v>
      </c>
      <c r="R359" s="21">
        <f t="shared" si="366"/>
        <v>10132.638415071955</v>
      </c>
      <c r="S359" s="21">
        <f t="shared" si="366"/>
        <v>7364.4140289008965</v>
      </c>
      <c r="T359" s="21">
        <f t="shared" si="366"/>
        <v>4218.7817654288074</v>
      </c>
      <c r="U359" s="21">
        <f t="shared" si="366"/>
        <v>1607.9319139239051</v>
      </c>
      <c r="V359" s="21">
        <f t="shared" si="366"/>
        <v>586.09947246619799</v>
      </c>
      <c r="W359" s="21">
        <f t="shared" si="366"/>
        <v>215.28446988232443</v>
      </c>
      <c r="X359" s="21">
        <f t="shared" si="366"/>
        <v>91.127733974873735</v>
      </c>
      <c r="Y359" s="21">
        <f t="shared" si="366"/>
        <v>81.810058092605701</v>
      </c>
      <c r="Z359" s="21">
        <f t="shared" si="366"/>
        <v>69.787915869597057</v>
      </c>
      <c r="AA359" s="21">
        <f t="shared" si="366"/>
        <v>47.228616539682058</v>
      </c>
      <c r="AB359" s="21">
        <f t="shared" si="366"/>
        <v>43.793839686376302</v>
      </c>
      <c r="AC359" s="21">
        <f t="shared" si="366"/>
        <v>31.107630069387355</v>
      </c>
      <c r="AD359" s="21">
        <f t="shared" si="366"/>
        <v>28.921019121598381</v>
      </c>
      <c r="AE359" s="21">
        <f t="shared" si="366"/>
        <v>22.86230746496102</v>
      </c>
      <c r="AF359" s="21">
        <f t="shared" si="366"/>
        <v>20.679591604593217</v>
      </c>
      <c r="AG359" s="3"/>
      <c r="AH359" s="3"/>
    </row>
    <row r="360" spans="1:34" x14ac:dyDescent="0.25">
      <c r="A360" s="71">
        <f>SUM(B360:AF360)</f>
        <v>636909.20912347885</v>
      </c>
      <c r="B360" s="60">
        <f>IF($A$64&lt;=B324,IF($B$64&gt;=B324,ABS(B359),0),0)</f>
        <v>16762.887260680222</v>
      </c>
      <c r="C360" s="60">
        <f t="shared" ref="C360:AF360" si="367">IF($A$64&lt;=C324,IF($B$64&gt;=C324,ABS(C359),0),0)</f>
        <v>30087.91482078538</v>
      </c>
      <c r="D360" s="60">
        <f t="shared" si="367"/>
        <v>44672.202396409244</v>
      </c>
      <c r="E360" s="60">
        <f t="shared" si="367"/>
        <v>46056.483663018022</v>
      </c>
      <c r="F360" s="60">
        <f t="shared" si="367"/>
        <v>44366.194115056831</v>
      </c>
      <c r="G360" s="60">
        <f t="shared" si="367"/>
        <v>48128.024869155779</v>
      </c>
      <c r="H360" s="60">
        <f t="shared" si="367"/>
        <v>49771.732938029985</v>
      </c>
      <c r="I360" s="60">
        <f t="shared" si="367"/>
        <v>62264.193880726307</v>
      </c>
      <c r="J360" s="60">
        <f t="shared" si="367"/>
        <v>31746.860559417586</v>
      </c>
      <c r="K360" s="60">
        <f t="shared" si="367"/>
        <v>8650.4052101303605</v>
      </c>
      <c r="L360" s="60">
        <f t="shared" si="367"/>
        <v>87647.756456104573</v>
      </c>
      <c r="M360" s="60">
        <f t="shared" si="367"/>
        <v>68468.380629008228</v>
      </c>
      <c r="N360" s="60">
        <f t="shared" si="367"/>
        <v>36243.229746704092</v>
      </c>
      <c r="O360" s="60">
        <f t="shared" si="367"/>
        <v>18202.916480388809</v>
      </c>
      <c r="P360" s="60">
        <f t="shared" si="367"/>
        <v>9151.3531484723408</v>
      </c>
      <c r="Q360" s="60">
        <f t="shared" si="367"/>
        <v>10126.204171292924</v>
      </c>
      <c r="R360" s="60">
        <f t="shared" si="367"/>
        <v>10132.638415071955</v>
      </c>
      <c r="S360" s="60">
        <f t="shared" si="367"/>
        <v>7364.4140289008965</v>
      </c>
      <c r="T360" s="60">
        <f t="shared" si="367"/>
        <v>4218.7817654288074</v>
      </c>
      <c r="U360" s="60">
        <f t="shared" si="367"/>
        <v>1607.9319139239051</v>
      </c>
      <c r="V360" s="60">
        <f t="shared" si="367"/>
        <v>586.09947246619799</v>
      </c>
      <c r="W360" s="60">
        <f t="shared" si="367"/>
        <v>215.28446988232443</v>
      </c>
      <c r="X360" s="60">
        <f t="shared" si="367"/>
        <v>91.127733974873735</v>
      </c>
      <c r="Y360" s="60">
        <f t="shared" si="367"/>
        <v>81.810058092605701</v>
      </c>
      <c r="Z360" s="60">
        <f t="shared" si="367"/>
        <v>69.787915869597057</v>
      </c>
      <c r="AA360" s="60">
        <f t="shared" si="367"/>
        <v>47.228616539682058</v>
      </c>
      <c r="AB360" s="60">
        <f t="shared" si="367"/>
        <v>43.793839686376302</v>
      </c>
      <c r="AC360" s="60">
        <f t="shared" si="367"/>
        <v>31.107630069387355</v>
      </c>
      <c r="AD360" s="60">
        <f t="shared" si="367"/>
        <v>28.921019121598381</v>
      </c>
      <c r="AE360" s="60">
        <f t="shared" si="367"/>
        <v>22.86230746496102</v>
      </c>
      <c r="AF360" s="60">
        <f t="shared" si="367"/>
        <v>20.679591604593217</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6163.9172848230364</v>
      </c>
      <c r="C364" s="26">
        <f>INDEX(Comparison!$AM$3:$AS$33,G$14,$H$122)</f>
        <v>5842.0148400129501</v>
      </c>
      <c r="D364" s="26">
        <f>INDEX(Comparison!$AM$3:$AS$33,H$14,$H$122)</f>
        <v>5557.579467209528</v>
      </c>
      <c r="E364" s="26">
        <f>INDEX(Comparison!$AM$3:$AS$33,I$14,$H$122)</f>
        <v>5275.4812921063285</v>
      </c>
      <c r="F364" s="26">
        <f>INDEX(Comparison!$AM$3:$AS$33,J$14,$H$122)</f>
        <v>4966.4021193857116</v>
      </c>
      <c r="G364" s="26">
        <f>INDEX(Comparison!$AM$3:$AS$33,K$14,$H$122)</f>
        <v>4621.0156652325422</v>
      </c>
      <c r="H364" s="26">
        <f>INDEX(Comparison!$AM$3:$AS$33,L$14,$H$122)</f>
        <v>4155.4773315838347</v>
      </c>
      <c r="I364" s="26">
        <f>INDEX(Comparison!$AM$3:$AS$33,M$14,$H$122)</f>
        <v>3566.7724920591822</v>
      </c>
      <c r="J364" s="26">
        <f>INDEX(Comparison!$AM$3:$AS$33,N$14,$H$122)</f>
        <v>2850.9447868112361</v>
      </c>
      <c r="K364" s="26">
        <f>INDEX(Comparison!$AM$3:$AS$33,O$14,$H$122)</f>
        <v>2002.5618143914935</v>
      </c>
      <c r="L364" s="26">
        <f>INDEX(Comparison!$AM$3:$AS$33,P$14,$H$122)</f>
        <v>1246.5264827258</v>
      </c>
      <c r="M364" s="26">
        <f>INDEX(Comparison!$AM$3:$AS$33,Q$14,$H$122)</f>
        <v>721.62368462950201</v>
      </c>
      <c r="N364" s="26">
        <f>INDEX(Comparison!$AM$3:$AS$33,R$14,$H$122)</f>
        <v>404.72633399765499</v>
      </c>
      <c r="O364" s="26">
        <f>INDEX(Comparison!$AM$3:$AS$33,S$14,$H$122)</f>
        <v>265.07180083177406</v>
      </c>
      <c r="P364" s="26">
        <f>INDEX(Comparison!$AM$3:$AS$33,T$14,$H$122)</f>
        <v>224.4007416662501</v>
      </c>
      <c r="Q364" s="26">
        <f>INDEX(Comparison!$AM$3:$AS$33,U$14,$H$122)</f>
        <v>202.49198438372559</v>
      </c>
      <c r="R364" s="26">
        <f>INDEX(Comparison!$AM$3:$AS$33,V$14,$H$122)</f>
        <v>189.83771999127222</v>
      </c>
      <c r="S364" s="26">
        <f>INDEX(Comparison!$AM$3:$AS$33,W$14,$H$122)</f>
        <v>169.86288435020435</v>
      </c>
      <c r="T364" s="26">
        <f>INDEX(Comparison!$AM$3:$AS$33,X$14,$H$122)</f>
        <v>142.29365996368665</v>
      </c>
      <c r="U364" s="26">
        <f>INDEX(Comparison!$AM$3:$AS$33,Y$14,$H$122)</f>
        <v>121.71619952615258</v>
      </c>
      <c r="V364" s="26">
        <f>INDEX(Comparison!$AM$3:$AS$33,Z$14,$H$122)</f>
        <v>109.27679567564616</v>
      </c>
      <c r="W364" s="26">
        <f>INDEX(Comparison!$AM$3:$AS$33,AA$14,$H$122)</f>
        <v>101.92394551670053</v>
      </c>
      <c r="X364" s="26">
        <f>INDEX(Comparison!$AM$3:$AS$33,AB$14,$H$122)</f>
        <v>97.501289329192588</v>
      </c>
      <c r="Y364" s="26">
        <f>INDEX(Comparison!$AM$3:$AS$33,AC$14,$H$122)</f>
        <v>94.712895608864457</v>
      </c>
      <c r="Z364" s="26">
        <f>INDEX(Comparison!$AM$3:$AS$33,AD$14,$H$122)</f>
        <v>92.92945942455529</v>
      </c>
      <c r="AA364" s="26">
        <f>INDEX(Comparison!$AM$3:$AS$33,AE$14,$H$122)</f>
        <v>92.006187989209394</v>
      </c>
      <c r="AB364" s="26">
        <f>INDEX(Comparison!$AM$3:$AS$33,AF$14,$H$122)</f>
        <v>91.763267256404887</v>
      </c>
      <c r="AC364" s="26">
        <f>INDEX(Comparison!$AM$3:$AS$33,AG$14,$H$122)</f>
        <v>90.809569282014081</v>
      </c>
      <c r="AD364" s="26">
        <f>INDEX(Comparison!$AM$3:$AS$33,AH$14,$H$122)</f>
        <v>90.794437108888047</v>
      </c>
      <c r="AE364" s="26">
        <f>INDEX(Comparison!$AM$3:$AS$33,AI$14,$H$122)</f>
        <v>90.157522811707935</v>
      </c>
      <c r="AF364" s="26">
        <f>INDEX(Comparison!$AM$3:$AS$33,AJ$14,$H$122)</f>
        <v>89.913434838716469</v>
      </c>
      <c r="AG364" s="26"/>
      <c r="AH364" s="26"/>
    </row>
    <row r="365" spans="1:34" x14ac:dyDescent="0.25">
      <c r="A365" s="70" t="s">
        <v>22</v>
      </c>
      <c r="B365" s="27">
        <f>($C$17+SUM(B366:B396))*$B$51</f>
        <v>6359.4481107280935</v>
      </c>
      <c r="C365" s="27">
        <f t="shared" ref="C365:AF365" si="368">($C$17+SUM(C366:C396))*$B$51</f>
        <v>6116.7626806774342</v>
      </c>
      <c r="D365" s="27">
        <f t="shared" si="368"/>
        <v>5822.4507772258994</v>
      </c>
      <c r="E365" s="27">
        <f t="shared" si="368"/>
        <v>5545.8118579781567</v>
      </c>
      <c r="F365" s="27">
        <f t="shared" si="368"/>
        <v>5240.785841926966</v>
      </c>
      <c r="G365" s="27">
        <f t="shared" si="368"/>
        <v>4904.2391639538373</v>
      </c>
      <c r="H365" s="27">
        <f t="shared" si="368"/>
        <v>4426.806813016723</v>
      </c>
      <c r="I365" s="27">
        <f t="shared" si="368"/>
        <v>3569.8776046967655</v>
      </c>
      <c r="J365" s="27">
        <f t="shared" si="368"/>
        <v>2590.8888707315045</v>
      </c>
      <c r="K365" s="27">
        <f t="shared" si="368"/>
        <v>1722.6574025556702</v>
      </c>
      <c r="L365" s="27">
        <f t="shared" si="368"/>
        <v>1025.5091968402403</v>
      </c>
      <c r="M365" s="27">
        <f t="shared" si="368"/>
        <v>558.41224204842479</v>
      </c>
      <c r="N365" s="27">
        <f t="shared" si="368"/>
        <v>310.05857756868335</v>
      </c>
      <c r="O365" s="27">
        <f t="shared" si="368"/>
        <v>165.41124448298194</v>
      </c>
      <c r="P365" s="27">
        <f t="shared" si="368"/>
        <v>116.07158399316684</v>
      </c>
      <c r="Q365" s="27">
        <f t="shared" si="368"/>
        <v>103.98275763141638</v>
      </c>
      <c r="R365" s="27">
        <f t="shared" si="368"/>
        <v>93.224702271971012</v>
      </c>
      <c r="S365" s="27">
        <f t="shared" si="368"/>
        <v>92.636324873794251</v>
      </c>
      <c r="T365" s="27">
        <f t="shared" si="368"/>
        <v>91.622840740699104</v>
      </c>
      <c r="U365" s="27">
        <f t="shared" si="368"/>
        <v>91.079523814294419</v>
      </c>
      <c r="V365" s="27">
        <f t="shared" si="368"/>
        <v>90.548949399783069</v>
      </c>
      <c r="W365" s="27">
        <f t="shared" si="368"/>
        <v>88.100185455616227</v>
      </c>
      <c r="X365" s="27">
        <f t="shared" si="368"/>
        <v>85.514678179912025</v>
      </c>
      <c r="Y365" s="27">
        <f t="shared" si="368"/>
        <v>85.508847153107936</v>
      </c>
      <c r="Z365" s="27">
        <f t="shared" si="368"/>
        <v>85.508847153107936</v>
      </c>
      <c r="AA365" s="27">
        <f t="shared" si="368"/>
        <v>85.508847153107936</v>
      </c>
      <c r="AB365" s="27">
        <f t="shared" si="368"/>
        <v>85.508847153107936</v>
      </c>
      <c r="AC365" s="27">
        <f t="shared" si="368"/>
        <v>85.508847153107936</v>
      </c>
      <c r="AD365" s="27">
        <f t="shared" si="368"/>
        <v>85.508847153107936</v>
      </c>
      <c r="AE365" s="27">
        <f t="shared" si="368"/>
        <v>85.508847153107936</v>
      </c>
      <c r="AF365" s="27">
        <f t="shared" si="368"/>
        <v>85.508847153107936</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0</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0</v>
      </c>
      <c r="C370" s="3">
        <f t="shared" si="373"/>
        <v>0</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0</v>
      </c>
      <c r="C371" s="3">
        <f t="shared" si="374"/>
        <v>0</v>
      </c>
      <c r="D371" s="3">
        <f t="shared" si="374"/>
        <v>0</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0</v>
      </c>
      <c r="C372" s="3">
        <f t="shared" si="375"/>
        <v>0</v>
      </c>
      <c r="D372" s="3">
        <f t="shared" si="375"/>
        <v>0</v>
      </c>
      <c r="E372" s="3">
        <f t="shared" si="375"/>
        <v>0</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6.0390510506554774E-43</v>
      </c>
      <c r="C373" s="3">
        <f t="shared" si="376"/>
        <v>0</v>
      </c>
      <c r="D373" s="3">
        <f t="shared" si="376"/>
        <v>0</v>
      </c>
      <c r="E373" s="3">
        <f t="shared" si="376"/>
        <v>0</v>
      </c>
      <c r="F373" s="3">
        <f t="shared" si="376"/>
        <v>0</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6.9731085521495156E-6</v>
      </c>
      <c r="C374" s="3">
        <f t="shared" si="377"/>
        <v>7.5059761221224793E-39</v>
      </c>
      <c r="D374" s="3">
        <f t="shared" si="377"/>
        <v>0</v>
      </c>
      <c r="E374" s="3">
        <f t="shared" si="377"/>
        <v>0</v>
      </c>
      <c r="F374" s="3">
        <f t="shared" si="377"/>
        <v>0</v>
      </c>
      <c r="G374" s="3">
        <f t="shared" si="377"/>
        <v>0</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1.1277011477767867E-2</v>
      </c>
      <c r="C375" s="3">
        <f t="shared" si="378"/>
        <v>1.197303959802766E-5</v>
      </c>
      <c r="D375" s="3">
        <f t="shared" si="378"/>
        <v>2.1792566633629355E-35</v>
      </c>
      <c r="E375" s="3">
        <f t="shared" si="378"/>
        <v>0</v>
      </c>
      <c r="F375" s="3">
        <f t="shared" si="378"/>
        <v>0</v>
      </c>
      <c r="G375" s="3">
        <f t="shared" si="378"/>
        <v>0</v>
      </c>
      <c r="H375" s="3">
        <f t="shared" si="378"/>
        <v>0</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4.2502447376998098E-2</v>
      </c>
      <c r="C376" s="3">
        <f t="shared" si="379"/>
        <v>2.2915816443054585E-2</v>
      </c>
      <c r="D376" s="3">
        <f t="shared" si="379"/>
        <v>4.7571768883492732E-5</v>
      </c>
      <c r="E376" s="3">
        <f t="shared" si="379"/>
        <v>7.0711321641515836E-32</v>
      </c>
      <c r="F376" s="3">
        <f t="shared" si="379"/>
        <v>3.7229353732218278E-300</v>
      </c>
      <c r="G376" s="3">
        <f t="shared" si="379"/>
        <v>0</v>
      </c>
      <c r="H376" s="3">
        <f t="shared" si="379"/>
        <v>0</v>
      </c>
      <c r="I376" s="3">
        <f t="shared" si="379"/>
        <v>0</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3.7201880060584558E-2</v>
      </c>
      <c r="C377" s="3">
        <f t="shared" si="380"/>
        <v>3.5185516158988996E-2</v>
      </c>
      <c r="D377" s="3">
        <f t="shared" si="380"/>
        <v>2.0153677626454234E-2</v>
      </c>
      <c r="E377" s="3">
        <f t="shared" si="380"/>
        <v>7.660517656845173E-5</v>
      </c>
      <c r="F377" s="3">
        <f t="shared" si="380"/>
        <v>4.8227663617620875E-29</v>
      </c>
      <c r="G377" s="3">
        <f t="shared" si="380"/>
        <v>4.7171238048496777E-271</v>
      </c>
      <c r="H377" s="3">
        <f t="shared" si="380"/>
        <v>0</v>
      </c>
      <c r="I377" s="3">
        <f t="shared" si="380"/>
        <v>0</v>
      </c>
      <c r="J377" s="3">
        <f t="shared" si="380"/>
        <v>0</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4.1066171060755233E-2</v>
      </c>
      <c r="C378" s="3">
        <f t="shared" si="381"/>
        <v>4.0860256047311833E-2</v>
      </c>
      <c r="D378" s="3">
        <f t="shared" si="381"/>
        <v>3.8857047909625825E-2</v>
      </c>
      <c r="E378" s="3">
        <f t="shared" si="381"/>
        <v>2.3504823439912566E-2</v>
      </c>
      <c r="F378" s="3">
        <f t="shared" si="381"/>
        <v>1.5418030403655626E-4</v>
      </c>
      <c r="G378" s="3">
        <f t="shared" si="381"/>
        <v>2.2737773842197154E-26</v>
      </c>
      <c r="H378" s="3">
        <f t="shared" si="381"/>
        <v>1.1064668077875653E-244</v>
      </c>
      <c r="I378" s="3">
        <f t="shared" si="381"/>
        <v>0</v>
      </c>
      <c r="J378" s="3">
        <f t="shared" si="381"/>
        <v>0</v>
      </c>
      <c r="K378" s="3">
        <f t="shared" si="381"/>
        <v>0</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4.6242764587431151E-2</v>
      </c>
      <c r="C379" s="3">
        <f t="shared" si="382"/>
        <v>4.622179997567475E-2</v>
      </c>
      <c r="D379" s="3">
        <f t="shared" si="382"/>
        <v>4.6012675895977663E-2</v>
      </c>
      <c r="E379" s="3">
        <f t="shared" si="382"/>
        <v>4.397277352694836E-2</v>
      </c>
      <c r="F379" s="3">
        <f t="shared" si="382"/>
        <v>2.7941360135043978E-2</v>
      </c>
      <c r="G379" s="3">
        <f t="shared" si="382"/>
        <v>2.9983641876550496E-4</v>
      </c>
      <c r="H379" s="3">
        <f t="shared" si="382"/>
        <v>6.0708957167607779E-24</v>
      </c>
      <c r="I379" s="3">
        <f t="shared" si="382"/>
        <v>7.0296982047184546E-221</v>
      </c>
      <c r="J379" s="3">
        <f t="shared" si="382"/>
        <v>0</v>
      </c>
      <c r="K379" s="3">
        <f t="shared" si="382"/>
        <v>0</v>
      </c>
      <c r="L379" s="3">
        <f t="shared" si="382"/>
        <v>0</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4.2152279168178305E-2</v>
      </c>
      <c r="C380" s="3">
        <f t="shared" si="383"/>
        <v>4.2150554918043717E-2</v>
      </c>
      <c r="D380" s="3">
        <f t="shared" si="383"/>
        <v>4.2133316295421733E-2</v>
      </c>
      <c r="E380" s="3">
        <f t="shared" si="383"/>
        <v>4.19613173551832E-2</v>
      </c>
      <c r="F380" s="3">
        <f t="shared" si="383"/>
        <v>4.0279476742067097E-2</v>
      </c>
      <c r="G380" s="3">
        <f t="shared" si="383"/>
        <v>2.6756597124443619E-2</v>
      </c>
      <c r="H380" s="3">
        <f t="shared" si="383"/>
        <v>4.476117445276509E-4</v>
      </c>
      <c r="I380" s="3">
        <f t="shared" si="383"/>
        <v>7.6843548084639849E-22</v>
      </c>
      <c r="J380" s="3">
        <f t="shared" si="383"/>
        <v>1.708703742886969E-199</v>
      </c>
      <c r="K380" s="3">
        <f t="shared" si="383"/>
        <v>0</v>
      </c>
      <c r="L380" s="3">
        <f t="shared" si="383"/>
        <v>0</v>
      </c>
      <c r="M380" s="3">
        <f t="shared" si="383"/>
        <v>0</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0.11273926778657377</v>
      </c>
      <c r="C381" s="3">
        <f t="shared" si="384"/>
        <v>0.1127388517714791</v>
      </c>
      <c r="D381" s="3">
        <f t="shared" si="384"/>
        <v>0.11273469170496314</v>
      </c>
      <c r="E381" s="3">
        <f t="shared" si="384"/>
        <v>0.11269309948172984</v>
      </c>
      <c r="F381" s="3">
        <f t="shared" si="384"/>
        <v>0.1122780202905649</v>
      </c>
      <c r="G381" s="3">
        <f t="shared" si="384"/>
        <v>0.10821039274233682</v>
      </c>
      <c r="H381" s="3">
        <f t="shared" si="384"/>
        <v>7.4818886680873248E-2</v>
      </c>
      <c r="I381" s="3">
        <f t="shared" si="384"/>
        <v>1.8682454101062852E-3</v>
      </c>
      <c r="J381" s="3">
        <f t="shared" si="384"/>
        <v>1.7606002057243837E-19</v>
      </c>
      <c r="K381" s="3">
        <f t="shared" si="384"/>
        <v>9.7258818927245358E-180</v>
      </c>
      <c r="L381" s="3">
        <f t="shared" si="384"/>
        <v>0</v>
      </c>
      <c r="M381" s="3">
        <f t="shared" si="384"/>
        <v>0</v>
      </c>
      <c r="N381" s="3">
        <f t="shared" si="384"/>
        <v>0</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0.14424740448913512</v>
      </c>
      <c r="C382" s="3">
        <f t="shared" si="385"/>
        <v>0.1442473564727782</v>
      </c>
      <c r="D382" s="3">
        <f t="shared" si="385"/>
        <v>0.14424687631008809</v>
      </c>
      <c r="E382" s="3">
        <f t="shared" si="385"/>
        <v>0.1442420747710946</v>
      </c>
      <c r="F382" s="3">
        <f t="shared" si="385"/>
        <v>0.14419406817085539</v>
      </c>
      <c r="G382" s="3">
        <f t="shared" si="385"/>
        <v>0.14371488005639244</v>
      </c>
      <c r="H382" s="3">
        <f t="shared" si="385"/>
        <v>0.13900971602453782</v>
      </c>
      <c r="I382" s="3">
        <f t="shared" si="385"/>
        <v>9.9650469667979261E-2</v>
      </c>
      <c r="J382" s="3">
        <f t="shared" si="385"/>
        <v>3.5712585068967606E-3</v>
      </c>
      <c r="K382" s="3">
        <f t="shared" si="385"/>
        <v>1.2480749526947832E-17</v>
      </c>
      <c r="L382" s="3">
        <f t="shared" si="385"/>
        <v>3.3918330202229424E-162</v>
      </c>
      <c r="M382" s="3">
        <f t="shared" si="385"/>
        <v>0</v>
      </c>
      <c r="N382" s="3">
        <f t="shared" si="385"/>
        <v>0</v>
      </c>
      <c r="O382" s="3">
        <f t="shared" si="385"/>
        <v>0</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0.12974291026207274</v>
      </c>
      <c r="C383" s="3">
        <f t="shared" si="386"/>
        <v>0.12974290636613967</v>
      </c>
      <c r="D383" s="3">
        <f t="shared" si="386"/>
        <v>0.12974286740681507</v>
      </c>
      <c r="E383" s="3">
        <f t="shared" si="386"/>
        <v>0.12974247781421258</v>
      </c>
      <c r="F383" s="3">
        <f t="shared" si="386"/>
        <v>0.12973858195253005</v>
      </c>
      <c r="G383" s="3">
        <f t="shared" si="386"/>
        <v>0.12969962976922156</v>
      </c>
      <c r="H383" s="3">
        <f t="shared" si="386"/>
        <v>0.1293107505736</v>
      </c>
      <c r="I383" s="3">
        <f t="shared" si="386"/>
        <v>0.12548551406657465</v>
      </c>
      <c r="J383" s="3">
        <f t="shared" si="386"/>
        <v>9.2935836057898707E-2</v>
      </c>
      <c r="K383" s="3">
        <f t="shared" si="386"/>
        <v>4.6140189208771559E-3</v>
      </c>
      <c r="L383" s="3">
        <f t="shared" si="386"/>
        <v>4.197985941823612E-16</v>
      </c>
      <c r="M383" s="3">
        <f t="shared" si="386"/>
        <v>1.6317629483886413E-146</v>
      </c>
      <c r="N383" s="3">
        <f t="shared" si="386"/>
        <v>0</v>
      </c>
      <c r="O383" s="3">
        <f t="shared" si="386"/>
        <v>0</v>
      </c>
      <c r="P383" s="3">
        <f t="shared" si="386"/>
        <v>0</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0.10714334068510994</v>
      </c>
      <c r="C384" s="3">
        <f t="shared" si="387"/>
        <v>0.10714334039488173</v>
      </c>
      <c r="D384" s="3">
        <f t="shared" si="387"/>
        <v>0.10714333749259958</v>
      </c>
      <c r="E384" s="3">
        <f t="shared" si="387"/>
        <v>0.1071433084697825</v>
      </c>
      <c r="F384" s="3">
        <f t="shared" si="387"/>
        <v>0.10714301824204409</v>
      </c>
      <c r="G384" s="3">
        <f t="shared" si="387"/>
        <v>0.10714011600789854</v>
      </c>
      <c r="H384" s="3">
        <f t="shared" si="387"/>
        <v>0.10711109798987287</v>
      </c>
      <c r="I384" s="3">
        <f t="shared" si="387"/>
        <v>0.10682134971959896</v>
      </c>
      <c r="J384" s="3">
        <f t="shared" si="387"/>
        <v>0.10396662825185062</v>
      </c>
      <c r="K384" s="3">
        <f t="shared" si="387"/>
        <v>7.9296303790757056E-2</v>
      </c>
      <c r="L384" s="3">
        <f t="shared" si="387"/>
        <v>5.2825399518297237E-3</v>
      </c>
      <c r="M384" s="3">
        <f t="shared" si="387"/>
        <v>9.093713165331396E-15</v>
      </c>
      <c r="N384" s="3">
        <f t="shared" si="387"/>
        <v>2.078384351221203E-132</v>
      </c>
      <c r="O384" s="3">
        <f t="shared" si="387"/>
        <v>0</v>
      </c>
      <c r="P384" s="3">
        <f t="shared" si="387"/>
        <v>0</v>
      </c>
      <c r="Q384" s="3">
        <f t="shared" si="387"/>
        <v>0</v>
      </c>
      <c r="R384" s="3">
        <f t="shared" si="387"/>
        <v>0</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7.467332001279367E-2</v>
      </c>
      <c r="C385" s="3">
        <f t="shared" si="388"/>
        <v>7.4673319994546877E-2</v>
      </c>
      <c r="D385" s="3">
        <f t="shared" si="388"/>
        <v>7.4673319812078962E-2</v>
      </c>
      <c r="E385" s="3">
        <f t="shared" si="388"/>
        <v>7.4673317987399859E-2</v>
      </c>
      <c r="F385" s="3">
        <f t="shared" si="388"/>
        <v>7.4673299740611293E-2</v>
      </c>
      <c r="G385" s="3">
        <f t="shared" si="388"/>
        <v>7.467311727297081E-2</v>
      </c>
      <c r="H385" s="3">
        <f t="shared" si="388"/>
        <v>7.4671292621088473E-2</v>
      </c>
      <c r="I385" s="3">
        <f t="shared" si="388"/>
        <v>7.4653048554299911E-2</v>
      </c>
      <c r="J385" s="3">
        <f t="shared" si="388"/>
        <v>7.4470852868337045E-2</v>
      </c>
      <c r="K385" s="3">
        <f t="shared" si="388"/>
        <v>7.2673174149867376E-2</v>
      </c>
      <c r="L385" s="3">
        <f t="shared" si="388"/>
        <v>5.6918329654584633E-2</v>
      </c>
      <c r="M385" s="3">
        <f t="shared" si="388"/>
        <v>4.9434747467264782E-3</v>
      </c>
      <c r="N385" s="3">
        <f t="shared" si="388"/>
        <v>1.2073524090456155E-13</v>
      </c>
      <c r="O385" s="3">
        <f t="shared" si="388"/>
        <v>9.1169880081817277E-120</v>
      </c>
      <c r="P385" s="3">
        <f t="shared" si="388"/>
        <v>0</v>
      </c>
      <c r="Q385" s="3">
        <f t="shared" si="388"/>
        <v>0</v>
      </c>
      <c r="R385" s="3">
        <f t="shared" si="388"/>
        <v>0</v>
      </c>
      <c r="S385" s="3">
        <f t="shared" si="388"/>
        <v>0</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2.5720461590319054E-2</v>
      </c>
      <c r="C386" s="3">
        <f t="shared" si="389"/>
        <v>2.5720461589752101E-2</v>
      </c>
      <c r="D386" s="3">
        <f t="shared" si="389"/>
        <v>2.5720461584082581E-2</v>
      </c>
      <c r="E386" s="3">
        <f t="shared" si="389"/>
        <v>2.5720461527387366E-2</v>
      </c>
      <c r="F386" s="3">
        <f t="shared" si="389"/>
        <v>2.5720460960435242E-2</v>
      </c>
      <c r="G386" s="3">
        <f t="shared" si="389"/>
        <v>2.5720455290914681E-2</v>
      </c>
      <c r="H386" s="3">
        <f t="shared" si="389"/>
        <v>2.572039859577779E-2</v>
      </c>
      <c r="I386" s="3">
        <f t="shared" si="389"/>
        <v>2.5719831651282297E-2</v>
      </c>
      <c r="J386" s="3">
        <f t="shared" si="389"/>
        <v>2.5714162893613161E-2</v>
      </c>
      <c r="K386" s="3">
        <f t="shared" si="389"/>
        <v>2.5657543989479441E-2</v>
      </c>
      <c r="L386" s="3">
        <f t="shared" si="389"/>
        <v>2.5098166524283778E-2</v>
      </c>
      <c r="M386" s="3">
        <f t="shared" si="389"/>
        <v>2.0133122667203521E-2</v>
      </c>
      <c r="N386" s="3">
        <f t="shared" si="389"/>
        <v>2.2212762388524755E-3</v>
      </c>
      <c r="O386" s="3">
        <f t="shared" si="389"/>
        <v>5.9363142669602255E-13</v>
      </c>
      <c r="P386" s="3">
        <f t="shared" si="389"/>
        <v>1.1032146439369931E-108</v>
      </c>
      <c r="Q386" s="3">
        <f t="shared" si="389"/>
        <v>0</v>
      </c>
      <c r="R386" s="3">
        <f t="shared" si="389"/>
        <v>0</v>
      </c>
      <c r="S386" s="3">
        <f t="shared" si="389"/>
        <v>0</v>
      </c>
      <c r="T386" s="3">
        <f t="shared" si="389"/>
        <v>0</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2.4141304859335126E-2</v>
      </c>
      <c r="C387" s="3">
        <f t="shared" si="390"/>
        <v>2.4141304859187945E-2</v>
      </c>
      <c r="D387" s="3">
        <f t="shared" si="390"/>
        <v>2.4141304857716171E-2</v>
      </c>
      <c r="E387" s="3">
        <f t="shared" si="390"/>
        <v>2.4141304842998427E-2</v>
      </c>
      <c r="F387" s="3">
        <f t="shared" si="390"/>
        <v>2.4141304695820993E-2</v>
      </c>
      <c r="G387" s="3">
        <f t="shared" si="390"/>
        <v>2.4141303224046673E-2</v>
      </c>
      <c r="H387" s="3">
        <f t="shared" si="390"/>
        <v>2.4141288506308409E-2</v>
      </c>
      <c r="I387" s="3">
        <f t="shared" si="390"/>
        <v>2.4141141329419268E-2</v>
      </c>
      <c r="J387" s="3">
        <f t="shared" si="390"/>
        <v>2.4139669609876315E-2</v>
      </c>
      <c r="K387" s="3">
        <f t="shared" si="390"/>
        <v>2.4124957348179057E-2</v>
      </c>
      <c r="L387" s="3">
        <f t="shared" si="390"/>
        <v>2.3978326993342521E-2</v>
      </c>
      <c r="M387" s="3">
        <f t="shared" si="390"/>
        <v>2.2560157135935358E-2</v>
      </c>
      <c r="N387" s="3">
        <f t="shared" si="390"/>
        <v>1.2262373467721816E-2</v>
      </c>
      <c r="O387" s="3">
        <f t="shared" si="390"/>
        <v>2.7599341912625821E-5</v>
      </c>
      <c r="P387" s="3">
        <f t="shared" si="390"/>
        <v>9.2074761737380596E-32</v>
      </c>
      <c r="Q387" s="3">
        <f t="shared" si="390"/>
        <v>1.5723867422564986E-296</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1.2214190227024645E-2</v>
      </c>
      <c r="C388" s="3">
        <f t="shared" si="391"/>
        <v>1.22141902270172E-2</v>
      </c>
      <c r="D388" s="3">
        <f t="shared" si="391"/>
        <v>1.2214190226942735E-2</v>
      </c>
      <c r="E388" s="3">
        <f t="shared" si="391"/>
        <v>1.2214190226198096E-2</v>
      </c>
      <c r="F388" s="3">
        <f t="shared" si="391"/>
        <v>1.2214190218751718E-2</v>
      </c>
      <c r="G388" s="3">
        <f t="shared" si="391"/>
        <v>1.2214190144287922E-2</v>
      </c>
      <c r="H388" s="3">
        <f t="shared" si="391"/>
        <v>1.2214189399649982E-2</v>
      </c>
      <c r="I388" s="3">
        <f t="shared" si="391"/>
        <v>1.2214181953273081E-2</v>
      </c>
      <c r="J388" s="3">
        <f t="shared" si="391"/>
        <v>1.2214107489753753E-2</v>
      </c>
      <c r="K388" s="3">
        <f t="shared" si="391"/>
        <v>1.2213362879528117E-2</v>
      </c>
      <c r="L388" s="3">
        <f t="shared" si="391"/>
        <v>1.2205919273472561E-2</v>
      </c>
      <c r="M388" s="3">
        <f t="shared" si="391"/>
        <v>1.2131732270845156E-2</v>
      </c>
      <c r="N388" s="3">
        <f t="shared" si="391"/>
        <v>1.1414215280213441E-2</v>
      </c>
      <c r="O388" s="3">
        <f t="shared" si="391"/>
        <v>6.2040955549909644E-3</v>
      </c>
      <c r="P388" s="3">
        <f t="shared" si="391"/>
        <v>1.3963769325043212E-5</v>
      </c>
      <c r="Q388" s="3">
        <f t="shared" si="391"/>
        <v>4.6584832987301265E-32</v>
      </c>
      <c r="R388" s="3">
        <f t="shared" si="391"/>
        <v>7.9554236576132082E-297</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8.0564872453676246E-4</v>
      </c>
      <c r="C389" s="3">
        <f t="shared" si="392"/>
        <v>8.0564872453671335E-4</v>
      </c>
      <c r="D389" s="3">
        <f t="shared" si="392"/>
        <v>8.0564872453622221E-4</v>
      </c>
      <c r="E389" s="3">
        <f t="shared" si="392"/>
        <v>8.0564872453131044E-4</v>
      </c>
      <c r="F389" s="3">
        <f t="shared" si="392"/>
        <v>8.0564872448219413E-4</v>
      </c>
      <c r="G389" s="3">
        <f t="shared" si="392"/>
        <v>8.0564872399103049E-4</v>
      </c>
      <c r="H389" s="3">
        <f t="shared" si="392"/>
        <v>8.0564871907939397E-4</v>
      </c>
      <c r="I389" s="3">
        <f t="shared" si="392"/>
        <v>8.0564866996303054E-4</v>
      </c>
      <c r="J389" s="3">
        <f t="shared" si="392"/>
        <v>8.0564817879956072E-4</v>
      </c>
      <c r="K389" s="3">
        <f t="shared" si="392"/>
        <v>8.0564326718133173E-4</v>
      </c>
      <c r="L389" s="3">
        <f t="shared" si="392"/>
        <v>8.0559415264590945E-4</v>
      </c>
      <c r="M389" s="3">
        <f t="shared" si="392"/>
        <v>8.0510317194124156E-4</v>
      </c>
      <c r="N389" s="3">
        <f t="shared" si="392"/>
        <v>8.0020979277053495E-4</v>
      </c>
      <c r="O389" s="3">
        <f t="shared" si="392"/>
        <v>7.5288232876421428E-4</v>
      </c>
      <c r="P389" s="3">
        <f t="shared" si="392"/>
        <v>4.092225172425487E-4</v>
      </c>
      <c r="Q389" s="3">
        <f t="shared" si="392"/>
        <v>9.2105106743424278E-7</v>
      </c>
      <c r="R389" s="3">
        <f t="shared" si="392"/>
        <v>3.0727383953735554E-33</v>
      </c>
      <c r="S389" s="3">
        <f t="shared" si="392"/>
        <v>5.2474022458929435E-298</v>
      </c>
      <c r="T389" s="3">
        <f t="shared" si="392"/>
        <v>0</v>
      </c>
      <c r="U389" s="3">
        <f t="shared" si="392"/>
        <v>0</v>
      </c>
      <c r="V389" s="3">
        <f t="shared" si="392"/>
        <v>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2.8733708973087409E-3</v>
      </c>
      <c r="C390" s="3">
        <f t="shared" si="393"/>
        <v>2.8733708973087231E-3</v>
      </c>
      <c r="D390" s="3">
        <f t="shared" si="393"/>
        <v>2.8733708973085479E-3</v>
      </c>
      <c r="E390" s="3">
        <f t="shared" si="393"/>
        <v>2.8733708973067962E-3</v>
      </c>
      <c r="F390" s="3">
        <f t="shared" si="393"/>
        <v>2.8733708972892786E-3</v>
      </c>
      <c r="G390" s="3">
        <f t="shared" si="393"/>
        <v>2.8733708971141036E-3</v>
      </c>
      <c r="H390" s="3">
        <f t="shared" si="393"/>
        <v>2.8733708953623534E-3</v>
      </c>
      <c r="I390" s="3">
        <f t="shared" si="393"/>
        <v>2.8733708778448512E-3</v>
      </c>
      <c r="J390" s="3">
        <f t="shared" si="393"/>
        <v>2.8733707026698339E-3</v>
      </c>
      <c r="K390" s="3">
        <f t="shared" si="393"/>
        <v>2.8733689509202473E-3</v>
      </c>
      <c r="L390" s="3">
        <f t="shared" si="393"/>
        <v>2.8733514334831215E-3</v>
      </c>
      <c r="M390" s="3">
        <f t="shared" si="393"/>
        <v>2.8731762649854631E-3</v>
      </c>
      <c r="N390" s="3">
        <f t="shared" si="393"/>
        <v>2.8714251672365726E-3</v>
      </c>
      <c r="O390" s="3">
        <f t="shared" si="393"/>
        <v>2.8539727802714102E-3</v>
      </c>
      <c r="P390" s="3">
        <f t="shared" si="393"/>
        <v>2.6851779276544957E-3</v>
      </c>
      <c r="Q390" s="3">
        <f t="shared" si="393"/>
        <v>1.4595046646964582E-3</v>
      </c>
      <c r="R390" s="3">
        <f t="shared" si="393"/>
        <v>3.2849568943616251E-6</v>
      </c>
      <c r="S390" s="3">
        <f t="shared" si="393"/>
        <v>1.095901577376183E-32</v>
      </c>
      <c r="T390" s="3">
        <f t="shared" si="393"/>
        <v>1.8715021125976108E-297</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0</v>
      </c>
      <c r="C391" s="3">
        <f t="shared" si="394"/>
        <v>0</v>
      </c>
      <c r="D391" s="3">
        <f t="shared" si="394"/>
        <v>0</v>
      </c>
      <c r="E391" s="3">
        <f t="shared" si="394"/>
        <v>0</v>
      </c>
      <c r="F391" s="3">
        <f t="shared" si="394"/>
        <v>0</v>
      </c>
      <c r="G391" s="3">
        <f t="shared" si="394"/>
        <v>0</v>
      </c>
      <c r="H391" s="3">
        <f t="shared" si="394"/>
        <v>0</v>
      </c>
      <c r="I391" s="3">
        <f t="shared" si="394"/>
        <v>0</v>
      </c>
      <c r="J391" s="3">
        <f t="shared" si="394"/>
        <v>0</v>
      </c>
      <c r="K391" s="3">
        <f t="shared" si="394"/>
        <v>0</v>
      </c>
      <c r="L391" s="3">
        <f t="shared" si="394"/>
        <v>0</v>
      </c>
      <c r="M391" s="3">
        <f t="shared" si="394"/>
        <v>0</v>
      </c>
      <c r="N391" s="3">
        <f t="shared" si="394"/>
        <v>0</v>
      </c>
      <c r="O391" s="3">
        <f t="shared" si="394"/>
        <v>0</v>
      </c>
      <c r="P391" s="3">
        <f t="shared" si="394"/>
        <v>0</v>
      </c>
      <c r="Q391" s="3">
        <f t="shared" si="394"/>
        <v>0</v>
      </c>
      <c r="R391" s="3">
        <f t="shared" si="394"/>
        <v>0</v>
      </c>
      <c r="S391" s="3">
        <f t="shared" si="394"/>
        <v>0</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1.6248048079890072E-4</v>
      </c>
      <c r="C392" s="3">
        <f t="shared" si="395"/>
        <v>1.624804807989007E-4</v>
      </c>
      <c r="D392" s="3">
        <f t="shared" si="395"/>
        <v>1.6248048079890061E-4</v>
      </c>
      <c r="E392" s="3">
        <f t="shared" si="395"/>
        <v>1.6248048079889961E-4</v>
      </c>
      <c r="F392" s="3">
        <f t="shared" si="395"/>
        <v>1.6248048079888972E-4</v>
      </c>
      <c r="G392" s="3">
        <f t="shared" si="395"/>
        <v>1.6248048079879068E-4</v>
      </c>
      <c r="H392" s="3">
        <f t="shared" si="395"/>
        <v>1.6248048079780009E-4</v>
      </c>
      <c r="I392" s="3">
        <f t="shared" si="395"/>
        <v>1.6248048078789447E-4</v>
      </c>
      <c r="J392" s="3">
        <f t="shared" si="395"/>
        <v>1.6248048068883826E-4</v>
      </c>
      <c r="K392" s="3">
        <f t="shared" si="395"/>
        <v>1.6248047969827622E-4</v>
      </c>
      <c r="L392" s="3">
        <f t="shared" si="395"/>
        <v>1.6248046979265592E-4</v>
      </c>
      <c r="M392" s="3">
        <f t="shared" si="395"/>
        <v>1.624803707364863E-4</v>
      </c>
      <c r="N392" s="3">
        <f t="shared" si="395"/>
        <v>1.6247938017811136E-4</v>
      </c>
      <c r="O392" s="3">
        <f t="shared" si="395"/>
        <v>1.6246947492649661E-4</v>
      </c>
      <c r="P392" s="3">
        <f t="shared" si="395"/>
        <v>1.6237045561630868E-4</v>
      </c>
      <c r="Q392" s="3">
        <f t="shared" si="395"/>
        <v>1.6138357563229966E-4</v>
      </c>
      <c r="R392" s="3">
        <f t="shared" si="395"/>
        <v>1.5183873447195261E-4</v>
      </c>
      <c r="S392" s="3">
        <f t="shared" si="395"/>
        <v>8.2530598423694615E-5</v>
      </c>
      <c r="T392" s="3">
        <f t="shared" si="395"/>
        <v>1.8575443083225125E-7</v>
      </c>
      <c r="U392" s="3">
        <f t="shared" si="395"/>
        <v>6.1969937597381864E-34</v>
      </c>
      <c r="V392" s="3">
        <f t="shared" si="395"/>
        <v>1.0582781476482138E-298</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1.2901117231804357E-4</v>
      </c>
      <c r="C393" s="3">
        <f t="shared" si="396"/>
        <v>1.2901117231804357E-4</v>
      </c>
      <c r="D393" s="3">
        <f t="shared" si="396"/>
        <v>1.2901117231804354E-4</v>
      </c>
      <c r="E393" s="3">
        <f t="shared" si="396"/>
        <v>1.2901117231804349E-4</v>
      </c>
      <c r="F393" s="3">
        <f t="shared" si="396"/>
        <v>1.290111723180427E-4</v>
      </c>
      <c r="G393" s="3">
        <f t="shared" si="396"/>
        <v>1.2901117231803484E-4</v>
      </c>
      <c r="H393" s="3">
        <f t="shared" si="396"/>
        <v>1.2901117231795618E-4</v>
      </c>
      <c r="I393" s="3">
        <f t="shared" si="396"/>
        <v>1.2901117231716965E-4</v>
      </c>
      <c r="J393" s="3">
        <f t="shared" si="396"/>
        <v>1.2901117230930449E-4</v>
      </c>
      <c r="K393" s="3">
        <f t="shared" si="396"/>
        <v>1.2901117223065284E-4</v>
      </c>
      <c r="L393" s="3">
        <f t="shared" si="396"/>
        <v>1.290111714441364E-4</v>
      </c>
      <c r="M393" s="3">
        <f t="shared" si="396"/>
        <v>1.2901116357897204E-4</v>
      </c>
      <c r="N393" s="3">
        <f t="shared" si="396"/>
        <v>1.2901108492735489E-4</v>
      </c>
      <c r="O393" s="3">
        <f t="shared" si="396"/>
        <v>1.2901029841382063E-4</v>
      </c>
      <c r="P393" s="3">
        <f t="shared" si="396"/>
        <v>1.2900243354219644E-4</v>
      </c>
      <c r="Q393" s="3">
        <f t="shared" si="396"/>
        <v>1.289238111918276E-4</v>
      </c>
      <c r="R393" s="3">
        <f t="shared" si="396"/>
        <v>1.2814021833779243E-4</v>
      </c>
      <c r="S393" s="3">
        <f t="shared" si="396"/>
        <v>1.2056151631997922E-4</v>
      </c>
      <c r="T393" s="3">
        <f t="shared" si="396"/>
        <v>6.5530143697251775E-5</v>
      </c>
      <c r="U393" s="3">
        <f t="shared" si="396"/>
        <v>1.4749092793859955E-7</v>
      </c>
      <c r="V393" s="3">
        <f t="shared" si="396"/>
        <v>4.920476760411167E-34</v>
      </c>
      <c r="W393" s="3">
        <f t="shared" si="396"/>
        <v>8.4028373005397574E-299</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0</v>
      </c>
      <c r="C394" s="3">
        <f t="shared" si="397"/>
        <v>0</v>
      </c>
      <c r="D394" s="3">
        <f t="shared" si="397"/>
        <v>0</v>
      </c>
      <c r="E394" s="3">
        <f t="shared" si="397"/>
        <v>0</v>
      </c>
      <c r="F394" s="3">
        <f t="shared" si="397"/>
        <v>0</v>
      </c>
      <c r="G394" s="3">
        <f t="shared" si="397"/>
        <v>0</v>
      </c>
      <c r="H394" s="3">
        <f t="shared" si="397"/>
        <v>0</v>
      </c>
      <c r="I394" s="3">
        <f t="shared" si="397"/>
        <v>0</v>
      </c>
      <c r="J394" s="3">
        <f t="shared" si="397"/>
        <v>0</v>
      </c>
      <c r="K394" s="3">
        <f t="shared" si="397"/>
        <v>0</v>
      </c>
      <c r="L394" s="3">
        <f t="shared" si="397"/>
        <v>0</v>
      </c>
      <c r="M394" s="3">
        <f t="shared" si="397"/>
        <v>0</v>
      </c>
      <c r="N394" s="3">
        <f t="shared" si="397"/>
        <v>0</v>
      </c>
      <c r="O394" s="3">
        <f t="shared" si="397"/>
        <v>0</v>
      </c>
      <c r="P394" s="3">
        <f t="shared" si="397"/>
        <v>0</v>
      </c>
      <c r="Q394" s="3">
        <f t="shared" si="397"/>
        <v>0</v>
      </c>
      <c r="R394" s="3">
        <f t="shared" si="397"/>
        <v>0</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7.3508598139721321E-5</v>
      </c>
      <c r="C395" s="3">
        <f t="shared" si="398"/>
        <v>7.3508598139721321E-5</v>
      </c>
      <c r="D395" s="3">
        <f t="shared" si="398"/>
        <v>7.3508598139721321E-5</v>
      </c>
      <c r="E395" s="3">
        <f t="shared" si="398"/>
        <v>7.3508598139721321E-5</v>
      </c>
      <c r="F395" s="3">
        <f t="shared" si="398"/>
        <v>7.3508598139721308E-5</v>
      </c>
      <c r="G395" s="3">
        <f t="shared" si="398"/>
        <v>7.3508598139721267E-5</v>
      </c>
      <c r="H395" s="3">
        <f t="shared" si="398"/>
        <v>7.350859813972082E-5</v>
      </c>
      <c r="I395" s="3">
        <f t="shared" si="398"/>
        <v>7.3508598139716347E-5</v>
      </c>
      <c r="J395" s="3">
        <f t="shared" si="398"/>
        <v>7.3508598139671529E-5</v>
      </c>
      <c r="K395" s="3">
        <f t="shared" si="398"/>
        <v>7.3508598139223374E-5</v>
      </c>
      <c r="L395" s="3">
        <f t="shared" si="398"/>
        <v>7.3508598134741933E-5</v>
      </c>
      <c r="M395" s="3">
        <f t="shared" si="398"/>
        <v>7.3508598089927425E-5</v>
      </c>
      <c r="N395" s="3">
        <f t="shared" si="398"/>
        <v>7.3508597641782337E-5</v>
      </c>
      <c r="O395" s="3">
        <f t="shared" si="398"/>
        <v>7.3508593160331672E-5</v>
      </c>
      <c r="P395" s="3">
        <f t="shared" si="398"/>
        <v>7.3508548345839914E-5</v>
      </c>
      <c r="Q395" s="3">
        <f t="shared" si="398"/>
        <v>7.3508100202425027E-5</v>
      </c>
      <c r="R395" s="3">
        <f t="shared" si="398"/>
        <v>7.350361891853886E-5</v>
      </c>
      <c r="S395" s="3">
        <f t="shared" si="398"/>
        <v>7.3458821102549587E-5</v>
      </c>
      <c r="T395" s="3">
        <f t="shared" si="398"/>
        <v>7.3012341846703219E-5</v>
      </c>
      <c r="U395" s="3">
        <f t="shared" si="398"/>
        <v>6.8694113037226609E-5</v>
      </c>
      <c r="V395" s="3">
        <f t="shared" si="398"/>
        <v>3.733807632725278E-5</v>
      </c>
      <c r="W395" s="3">
        <f t="shared" si="398"/>
        <v>8.4038081014916585E-8</v>
      </c>
      <c r="X395" s="3">
        <f t="shared" si="398"/>
        <v>2.8036126045365384E-34</v>
      </c>
      <c r="Y395" s="3">
        <f t="shared" si="398"/>
        <v>4.7878085227851901E-299</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6.9573660063357843E-4</v>
      </c>
      <c r="C396" s="3">
        <f t="shared" si="399"/>
        <v>6.9573660063357843E-4</v>
      </c>
      <c r="D396" s="3">
        <f t="shared" si="399"/>
        <v>6.9573660063357843E-4</v>
      </c>
      <c r="E396" s="3">
        <f t="shared" si="399"/>
        <v>6.9573660063357843E-4</v>
      </c>
      <c r="F396" s="3">
        <f t="shared" si="399"/>
        <v>6.9573660063357843E-4</v>
      </c>
      <c r="G396" s="3">
        <f t="shared" si="399"/>
        <v>6.9573660063357832E-4</v>
      </c>
      <c r="H396" s="3">
        <f t="shared" si="399"/>
        <v>6.95736600633578E-4</v>
      </c>
      <c r="I396" s="3">
        <f t="shared" si="399"/>
        <v>6.9573660063357377E-4</v>
      </c>
      <c r="J396" s="3">
        <f t="shared" si="399"/>
        <v>6.9573660063353127E-4</v>
      </c>
      <c r="K396" s="3">
        <f t="shared" si="399"/>
        <v>6.9573660063310713E-4</v>
      </c>
      <c r="L396" s="3">
        <f t="shared" si="399"/>
        <v>6.9573660062886562E-4</v>
      </c>
      <c r="M396" s="3">
        <f t="shared" si="399"/>
        <v>6.9573660058645001E-4</v>
      </c>
      <c r="N396" s="3">
        <f t="shared" si="399"/>
        <v>6.9573660016229429E-4</v>
      </c>
      <c r="O396" s="3">
        <f t="shared" si="399"/>
        <v>6.9573659592073688E-4</v>
      </c>
      <c r="P396" s="3">
        <f t="shared" si="399"/>
        <v>6.9573655350516463E-4</v>
      </c>
      <c r="Q396" s="3">
        <f t="shared" si="399"/>
        <v>6.9573612934958364E-4</v>
      </c>
      <c r="R396" s="3">
        <f t="shared" si="399"/>
        <v>6.9573188780799584E-4</v>
      </c>
      <c r="S396" s="3">
        <f t="shared" si="399"/>
        <v>6.9568947381430885E-4</v>
      </c>
      <c r="T396" s="3">
        <f t="shared" si="399"/>
        <v>6.9526547606437296E-4</v>
      </c>
      <c r="U396" s="3">
        <f t="shared" si="399"/>
        <v>6.9103968523748856E-4</v>
      </c>
      <c r="V396" s="3">
        <f t="shared" si="399"/>
        <v>6.5016895842873179E-4</v>
      </c>
      <c r="W396" s="3">
        <f t="shared" si="399"/>
        <v>3.5339357511271431E-4</v>
      </c>
      <c r="X396" s="3">
        <f t="shared" si="399"/>
        <v>7.9539496451767042E-7</v>
      </c>
      <c r="Y396" s="3">
        <f t="shared" si="399"/>
        <v>2.6535343515409602E-33</v>
      </c>
      <c r="Z396" s="3">
        <f t="shared" si="399"/>
        <v>4.53151564636772E-298</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79">
        <f>AVERAGE(B397:AF397)</f>
        <v>0.16478067673022639</v>
      </c>
      <c r="B397" s="80">
        <f>IF($A$64&lt;=B363,IF($B$64&gt;=B363,ABS((B365-B364)/B364),0),0)</f>
        <v>3.1721844546243085E-2</v>
      </c>
      <c r="C397" s="80">
        <f t="shared" ref="C397:AF397" si="400">IF($A$64&lt;=C363,IF($B$64&gt;=C363,ABS((C365-C364)/C364),0),0)</f>
        <v>4.7029637580289864E-2</v>
      </c>
      <c r="D397" s="80">
        <f t="shared" si="400"/>
        <v>4.7659473261542726E-2</v>
      </c>
      <c r="E397" s="80">
        <f t="shared" si="400"/>
        <v>5.124282523308768E-2</v>
      </c>
      <c r="F397" s="80">
        <f t="shared" si="400"/>
        <v>5.5247987566337586E-2</v>
      </c>
      <c r="G397" s="80">
        <f t="shared" si="400"/>
        <v>6.129031348069288E-2</v>
      </c>
      <c r="H397" s="80">
        <f t="shared" si="400"/>
        <v>6.5294419818065219E-2</v>
      </c>
      <c r="I397" s="80">
        <f t="shared" si="400"/>
        <v>8.705664980024016E-4</v>
      </c>
      <c r="J397" s="80">
        <f t="shared" si="400"/>
        <v>9.1217450889535631E-2</v>
      </c>
      <c r="K397" s="80">
        <f t="shared" si="400"/>
        <v>0.13977316945937882</v>
      </c>
      <c r="L397" s="80">
        <f t="shared" si="400"/>
        <v>0.17730653054579115</v>
      </c>
      <c r="M397" s="80">
        <f t="shared" si="400"/>
        <v>0.22617251353781948</v>
      </c>
      <c r="N397" s="80">
        <f t="shared" si="400"/>
        <v>0.23390560108579481</v>
      </c>
      <c r="O397" s="80">
        <f t="shared" si="400"/>
        <v>0.37597570181386808</v>
      </c>
      <c r="P397" s="80">
        <f t="shared" si="400"/>
        <v>0.4827486614736799</v>
      </c>
      <c r="Q397" s="80">
        <f t="shared" si="400"/>
        <v>0.48648457395544425</v>
      </c>
      <c r="R397" s="80">
        <f t="shared" si="400"/>
        <v>0.50892424184057306</v>
      </c>
      <c r="S397" s="80">
        <f t="shared" si="400"/>
        <v>0.45464057537839164</v>
      </c>
      <c r="T397" s="80">
        <f t="shared" si="400"/>
        <v>0.35610032966977406</v>
      </c>
      <c r="U397" s="80">
        <f t="shared" si="400"/>
        <v>0.25170581920178509</v>
      </c>
      <c r="V397" s="80">
        <f t="shared" si="400"/>
        <v>0.17137989963990907</v>
      </c>
      <c r="W397" s="80">
        <f t="shared" si="400"/>
        <v>0.1356281881652554</v>
      </c>
      <c r="X397" s="80">
        <f t="shared" si="400"/>
        <v>0.12293797581291764</v>
      </c>
      <c r="Y397" s="80">
        <f t="shared" si="400"/>
        <v>9.7178408458405183E-2</v>
      </c>
      <c r="Z397" s="80">
        <f t="shared" si="400"/>
        <v>7.98520976813792E-2</v>
      </c>
      <c r="AA397" s="80">
        <f t="shared" si="400"/>
        <v>7.0618520102837798E-2</v>
      </c>
      <c r="AB397" s="80">
        <f t="shared" si="400"/>
        <v>6.8158210690350121E-2</v>
      </c>
      <c r="AC397" s="80">
        <f t="shared" si="400"/>
        <v>5.8371845289172802E-2</v>
      </c>
      <c r="AD397" s="80">
        <f t="shared" si="400"/>
        <v>5.8214909680437833E-2</v>
      </c>
      <c r="AE397" s="80">
        <f t="shared" si="400"/>
        <v>5.1561705708226463E-2</v>
      </c>
      <c r="AF397" s="80">
        <f t="shared" si="400"/>
        <v>4.8986980572028264E-2</v>
      </c>
    </row>
    <row r="398" spans="1:34" x14ac:dyDescent="0.25">
      <c r="B398" s="21">
        <f>(B365-B364)^2</f>
        <v>38232.303879113751</v>
      </c>
      <c r="C398" s="21">
        <f t="shared" ref="C398:AF398" si="401">(C365-C364)^2</f>
        <v>75486.37594979674</v>
      </c>
      <c r="D398" s="21">
        <f t="shared" si="401"/>
        <v>70156.810869788707</v>
      </c>
      <c r="E398" s="21">
        <f t="shared" si="401"/>
        <v>73078.614844582844</v>
      </c>
      <c r="F398" s="21">
        <f t="shared" si="401"/>
        <v>75286.427195596087</v>
      </c>
      <c r="G398" s="21">
        <f t="shared" si="401"/>
        <v>80215.550227931439</v>
      </c>
      <c r="H398" s="21">
        <f t="shared" si="401"/>
        <v>73619.687494640079</v>
      </c>
      <c r="I398" s="21">
        <f t="shared" si="401"/>
        <v>9.6417244920792751</v>
      </c>
      <c r="J398" s="21">
        <f t="shared" si="401"/>
        <v>67629.079488068382</v>
      </c>
      <c r="K398" s="21">
        <f t="shared" si="401"/>
        <v>78346.479765158205</v>
      </c>
      <c r="L398" s="21">
        <f t="shared" si="401"/>
        <v>48848.640660219207</v>
      </c>
      <c r="M398" s="21">
        <f t="shared" si="401"/>
        <v>26637.974989396265</v>
      </c>
      <c r="N398" s="21">
        <f t="shared" si="401"/>
        <v>8961.9841072951021</v>
      </c>
      <c r="O398" s="21">
        <f t="shared" si="401"/>
        <v>9932.2264917507673</v>
      </c>
      <c r="P398" s="21">
        <f t="shared" si="401"/>
        <v>11735.206402159734</v>
      </c>
      <c r="Q398" s="21">
        <f t="shared" si="401"/>
        <v>9704.0677553378737</v>
      </c>
      <c r="R398" s="21">
        <f t="shared" si="401"/>
        <v>9334.0751928300106</v>
      </c>
      <c r="S398" s="21">
        <f t="shared" si="401"/>
        <v>5963.9414885635069</v>
      </c>
      <c r="T398" s="21">
        <f t="shared" si="401"/>
        <v>2567.5319207286843</v>
      </c>
      <c r="U398" s="21">
        <f t="shared" si="401"/>
        <v>938.60589867355975</v>
      </c>
      <c r="V398" s="21">
        <f t="shared" si="401"/>
        <v>350.7322261323589</v>
      </c>
      <c r="W398" s="21">
        <f t="shared" si="401"/>
        <v>191.09634222642941</v>
      </c>
      <c r="X398" s="21">
        <f t="shared" si="401"/>
        <v>143.67884684405709</v>
      </c>
      <c r="Y398" s="21">
        <f t="shared" si="401"/>
        <v>84.714507975913989</v>
      </c>
      <c r="Z398" s="21">
        <f t="shared" si="401"/>
        <v>55.065486483155055</v>
      </c>
      <c r="AA398" s="21">
        <f t="shared" si="401"/>
        <v>42.215437940471588</v>
      </c>
      <c r="AB398" s="21">
        <f t="shared" si="401"/>
        <v>39.117770828525046</v>
      </c>
      <c r="AC398" s="21">
        <f t="shared" si="401"/>
        <v>28.097655087875292</v>
      </c>
      <c r="AD398" s="21">
        <f t="shared" si="401"/>
        <v>27.937461180643595</v>
      </c>
      <c r="AE398" s="21">
        <f t="shared" si="401"/>
        <v>21.61018537886013</v>
      </c>
      <c r="AF398" s="21">
        <f t="shared" si="401"/>
        <v>19.400392680214331</v>
      </c>
      <c r="AG398" s="3"/>
      <c r="AH398" s="3"/>
    </row>
    <row r="399" spans="1:34" x14ac:dyDescent="0.25">
      <c r="A399" s="71">
        <f>SUM(B399:AF399)</f>
        <v>767688.89265888161</v>
      </c>
      <c r="B399" s="60">
        <f>IF($A$64&lt;=B363,IF($B$64&gt;=B363,ABS(B398),0),0)</f>
        <v>38232.303879113751</v>
      </c>
      <c r="C399" s="60">
        <f t="shared" ref="C399" si="402">IF($A$64&lt;=C363,IF($B$64&gt;=C363,ABS(C398),0),0)</f>
        <v>75486.37594979674</v>
      </c>
      <c r="D399" s="60">
        <f t="shared" ref="D399" si="403">IF($A$64&lt;=D363,IF($B$64&gt;=D363,ABS(D398),0),0)</f>
        <v>70156.810869788707</v>
      </c>
      <c r="E399" s="60">
        <f t="shared" ref="E399" si="404">IF($A$64&lt;=E363,IF($B$64&gt;=E363,ABS(E398),0),0)</f>
        <v>73078.614844582844</v>
      </c>
      <c r="F399" s="60">
        <f t="shared" ref="F399" si="405">IF($A$64&lt;=F363,IF($B$64&gt;=F363,ABS(F398),0),0)</f>
        <v>75286.427195596087</v>
      </c>
      <c r="G399" s="60">
        <f t="shared" ref="G399" si="406">IF($A$64&lt;=G363,IF($B$64&gt;=G363,ABS(G398),0),0)</f>
        <v>80215.550227931439</v>
      </c>
      <c r="H399" s="60">
        <f t="shared" ref="H399" si="407">IF($A$64&lt;=H363,IF($B$64&gt;=H363,ABS(H398),0),0)</f>
        <v>73619.687494640079</v>
      </c>
      <c r="I399" s="60">
        <f t="shared" ref="I399" si="408">IF($A$64&lt;=I363,IF($B$64&gt;=I363,ABS(I398),0),0)</f>
        <v>9.6417244920792751</v>
      </c>
      <c r="J399" s="60">
        <f t="shared" ref="J399" si="409">IF($A$64&lt;=J363,IF($B$64&gt;=J363,ABS(J398),0),0)</f>
        <v>67629.079488068382</v>
      </c>
      <c r="K399" s="60">
        <f t="shared" ref="K399" si="410">IF($A$64&lt;=K363,IF($B$64&gt;=K363,ABS(K398),0),0)</f>
        <v>78346.479765158205</v>
      </c>
      <c r="L399" s="60">
        <f t="shared" ref="L399" si="411">IF($A$64&lt;=L363,IF($B$64&gt;=L363,ABS(L398),0),0)</f>
        <v>48848.640660219207</v>
      </c>
      <c r="M399" s="60">
        <f t="shared" ref="M399" si="412">IF($A$64&lt;=M363,IF($B$64&gt;=M363,ABS(M398),0),0)</f>
        <v>26637.974989396265</v>
      </c>
      <c r="N399" s="60">
        <f t="shared" ref="N399" si="413">IF($A$64&lt;=N363,IF($B$64&gt;=N363,ABS(N398),0),0)</f>
        <v>8961.9841072951021</v>
      </c>
      <c r="O399" s="60">
        <f t="shared" ref="O399" si="414">IF($A$64&lt;=O363,IF($B$64&gt;=O363,ABS(O398),0),0)</f>
        <v>9932.2264917507673</v>
      </c>
      <c r="P399" s="60">
        <f t="shared" ref="P399" si="415">IF($A$64&lt;=P363,IF($B$64&gt;=P363,ABS(P398),0),0)</f>
        <v>11735.206402159734</v>
      </c>
      <c r="Q399" s="60">
        <f t="shared" ref="Q399" si="416">IF($A$64&lt;=Q363,IF($B$64&gt;=Q363,ABS(Q398),0),0)</f>
        <v>9704.0677553378737</v>
      </c>
      <c r="R399" s="60">
        <f t="shared" ref="R399" si="417">IF($A$64&lt;=R363,IF($B$64&gt;=R363,ABS(R398),0),0)</f>
        <v>9334.0751928300106</v>
      </c>
      <c r="S399" s="60">
        <f t="shared" ref="S399" si="418">IF($A$64&lt;=S363,IF($B$64&gt;=S363,ABS(S398),0),0)</f>
        <v>5963.9414885635069</v>
      </c>
      <c r="T399" s="60">
        <f t="shared" ref="T399" si="419">IF($A$64&lt;=T363,IF($B$64&gt;=T363,ABS(T398),0),0)</f>
        <v>2567.5319207286843</v>
      </c>
      <c r="U399" s="60">
        <f t="shared" ref="U399" si="420">IF($A$64&lt;=U363,IF($B$64&gt;=U363,ABS(U398),0),0)</f>
        <v>938.60589867355975</v>
      </c>
      <c r="V399" s="60">
        <f t="shared" ref="V399" si="421">IF($A$64&lt;=V363,IF($B$64&gt;=V363,ABS(V398),0),0)</f>
        <v>350.7322261323589</v>
      </c>
      <c r="W399" s="60">
        <f t="shared" ref="W399" si="422">IF($A$64&lt;=W363,IF($B$64&gt;=W363,ABS(W398),0),0)</f>
        <v>191.09634222642941</v>
      </c>
      <c r="X399" s="60">
        <f t="shared" ref="X399" si="423">IF($A$64&lt;=X363,IF($B$64&gt;=X363,ABS(X398),0),0)</f>
        <v>143.67884684405709</v>
      </c>
      <c r="Y399" s="60">
        <f t="shared" ref="Y399" si="424">IF($A$64&lt;=Y363,IF($B$64&gt;=Y363,ABS(Y398),0),0)</f>
        <v>84.714507975913989</v>
      </c>
      <c r="Z399" s="60">
        <f t="shared" ref="Z399" si="425">IF($A$64&lt;=Z363,IF($B$64&gt;=Z363,ABS(Z398),0),0)</f>
        <v>55.065486483155055</v>
      </c>
      <c r="AA399" s="60">
        <f t="shared" ref="AA399" si="426">IF($A$64&lt;=AA363,IF($B$64&gt;=AA363,ABS(AA398),0),0)</f>
        <v>42.215437940471588</v>
      </c>
      <c r="AB399" s="60">
        <f t="shared" ref="AB399" si="427">IF($A$64&lt;=AB363,IF($B$64&gt;=AB363,ABS(AB398),0),0)</f>
        <v>39.117770828525046</v>
      </c>
      <c r="AC399" s="60">
        <f t="shared" ref="AC399" si="428">IF($A$64&lt;=AC363,IF($B$64&gt;=AC363,ABS(AC398),0),0)</f>
        <v>28.097655087875292</v>
      </c>
      <c r="AD399" s="60">
        <f t="shared" ref="AD399" si="429">IF($A$64&lt;=AD363,IF($B$64&gt;=AD363,ABS(AD398),0),0)</f>
        <v>27.937461180643595</v>
      </c>
      <c r="AE399" s="60">
        <f t="shared" ref="AE399" si="430">IF($A$64&lt;=AE363,IF($B$64&gt;=AE363,ABS(AE398),0),0)</f>
        <v>21.61018537886013</v>
      </c>
      <c r="AF399" s="60">
        <f t="shared" ref="AF399" si="431">IF($A$64&lt;=AF363,IF($B$64&gt;=AF363,ABS(AF398),0),0)</f>
        <v>19.400392680214331</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28" t="s">
        <v>162</v>
      </c>
      <c r="K402" s="128"/>
      <c r="L402" s="128"/>
      <c r="M402" s="128"/>
      <c r="N402" s="128"/>
      <c r="O402" s="128"/>
      <c r="P402" s="128"/>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-21.601432961392756</v>
      </c>
      <c r="C403" s="107">
        <f t="shared" ref="C403:H403" si="432">IF(C125=$B$2,0,C126)</f>
        <v>-17.60083092062002</v>
      </c>
      <c r="D403" s="107">
        <f t="shared" si="432"/>
        <v>-13.983378315651946</v>
      </c>
      <c r="E403" s="107">
        <f t="shared" si="432"/>
        <v>-8.5553694671339517</v>
      </c>
      <c r="F403" s="107">
        <f t="shared" si="432"/>
        <v>0</v>
      </c>
      <c r="G403" s="107">
        <f t="shared" si="432"/>
        <v>18.564414953206096</v>
      </c>
      <c r="H403" s="107">
        <f t="shared" si="432"/>
        <v>22.63634100105423</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4.1554385428399519E-25</v>
      </c>
      <c r="C404" s="3">
        <f t="shared" ref="C404:H419" si="433">$A404/EXP(-C$403)</f>
        <v>2.2701588870349419E-23</v>
      </c>
      <c r="D404" s="3">
        <f t="shared" si="433"/>
        <v>8.4546563362260539E-22</v>
      </c>
      <c r="E404" s="3">
        <f t="shared" si="433"/>
        <v>1.9250865058659276E-19</v>
      </c>
      <c r="F404" s="3">
        <f t="shared" si="433"/>
        <v>1.0000000000000001E-15</v>
      </c>
      <c r="G404" s="3">
        <f t="shared" si="433"/>
        <v>1.1545771918054734E-7</v>
      </c>
      <c r="H404" s="3">
        <f t="shared" si="433"/>
        <v>6.7738876183229333E-6</v>
      </c>
      <c r="I404" s="109">
        <f>Comparison!AL3</f>
        <v>1.0000000000000001E-15</v>
      </c>
      <c r="J404" s="3">
        <f>Comparison!AM3</f>
        <v>7439.7100142178388</v>
      </c>
      <c r="K404" s="3">
        <f>Comparison!AN3</f>
        <v>7373.6169222469052</v>
      </c>
      <c r="L404" s="3">
        <f>Comparison!AO3</f>
        <v>7330.9698900812818</v>
      </c>
      <c r="M404" s="3">
        <f>Comparison!AP3</f>
        <v>7287.2421568641066</v>
      </c>
      <c r="N404" s="3">
        <f>Comparison!AQ3</f>
        <v>7233.2784973668249</v>
      </c>
      <c r="O404" s="3">
        <f>Comparison!AR3</f>
        <v>6585.7419229281086</v>
      </c>
      <c r="P404" s="3">
        <f>Comparison!AS3</f>
        <v>6163.9172848230364</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4.1554385428399515E-24</v>
      </c>
      <c r="C405" s="3">
        <f t="shared" si="433"/>
        <v>2.2701588870349416E-22</v>
      </c>
      <c r="D405" s="3">
        <f t="shared" si="433"/>
        <v>8.4546563362260543E-21</v>
      </c>
      <c r="E405" s="3">
        <f t="shared" si="433"/>
        <v>1.9250865058659272E-18</v>
      </c>
      <c r="F405" s="3">
        <f t="shared" si="433"/>
        <v>1E-14</v>
      </c>
      <c r="G405" s="3">
        <f t="shared" si="433"/>
        <v>1.1545771918054734E-6</v>
      </c>
      <c r="H405" s="3">
        <f t="shared" si="433"/>
        <v>6.7738876183229317E-5</v>
      </c>
      <c r="I405" s="109">
        <f>Comparison!AL4</f>
        <v>1E-14</v>
      </c>
      <c r="J405" s="3">
        <f>Comparison!AM4</f>
        <v>7439.7868081900597</v>
      </c>
      <c r="K405" s="3">
        <f>Comparison!AN4</f>
        <v>7373.6918607149901</v>
      </c>
      <c r="L405" s="3">
        <f>Comparison!AO4</f>
        <v>7331.0435342500059</v>
      </c>
      <c r="M405" s="3">
        <f>Comparison!AP4</f>
        <v>7287.3146216469959</v>
      </c>
      <c r="N405" s="3">
        <f>Comparison!AQ4</f>
        <v>7233.3436741214491</v>
      </c>
      <c r="O405" s="3">
        <f>Comparison!AR4</f>
        <v>6334.3824808152185</v>
      </c>
      <c r="P405" s="3">
        <f>Comparison!AS4</f>
        <v>5842.0148400129501</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4.1554385428399514E-23</v>
      </c>
      <c r="C406" s="3">
        <f t="shared" si="433"/>
        <v>2.2701588870349419E-21</v>
      </c>
      <c r="D406" s="3">
        <f t="shared" si="433"/>
        <v>8.4546563362260534E-20</v>
      </c>
      <c r="E406" s="3">
        <f t="shared" si="433"/>
        <v>1.9250865058659275E-17</v>
      </c>
      <c r="F406" s="3">
        <f t="shared" si="433"/>
        <v>1E-13</v>
      </c>
      <c r="G406" s="3">
        <f t="shared" si="433"/>
        <v>1.1545771918054733E-5</v>
      </c>
      <c r="H406" s="3">
        <f t="shared" si="433"/>
        <v>6.7738876183229323E-4</v>
      </c>
      <c r="I406" s="109">
        <f>Comparison!AL5</f>
        <v>1E-13</v>
      </c>
      <c r="J406" s="3">
        <f>Comparison!AM5</f>
        <v>7439.7470193525078</v>
      </c>
      <c r="K406" s="3">
        <f>Comparison!AN5</f>
        <v>7373.6524650120191</v>
      </c>
      <c r="L406" s="3">
        <f>Comparison!AO5</f>
        <v>7331.0044701030138</v>
      </c>
      <c r="M406" s="3">
        <f>Comparison!AP5</f>
        <v>7287.2757793731034</v>
      </c>
      <c r="N406" s="3">
        <f>Comparison!AQ5</f>
        <v>7233.2477630478616</v>
      </c>
      <c r="O406" s="3">
        <f>Comparison!AR5</f>
        <v>6097.7114849761656</v>
      </c>
      <c r="P406" s="3">
        <f>Comparison!AS5</f>
        <v>5557.579467209528</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4.155438542839951E-22</v>
      </c>
      <c r="C407" s="3">
        <f t="shared" si="433"/>
        <v>2.2701588870349417E-20</v>
      </c>
      <c r="D407" s="3">
        <f t="shared" si="433"/>
        <v>8.4546563362260539E-19</v>
      </c>
      <c r="E407" s="3">
        <f t="shared" si="433"/>
        <v>1.9250865058659275E-16</v>
      </c>
      <c r="F407" s="3">
        <f t="shared" si="433"/>
        <v>9.9999999999999998E-13</v>
      </c>
      <c r="G407" s="3">
        <f t="shared" si="433"/>
        <v>1.1545771918054733E-4</v>
      </c>
      <c r="H407" s="3">
        <f t="shared" si="433"/>
        <v>6.7738876183229321E-3</v>
      </c>
      <c r="I407" s="109">
        <f>Comparison!AL6</f>
        <v>9.9999999999999998E-13</v>
      </c>
      <c r="J407" s="3">
        <f>Comparison!AM6</f>
        <v>7439.7367084831149</v>
      </c>
      <c r="K407" s="3">
        <f>Comparison!AN6</f>
        <v>7373.6422743939765</v>
      </c>
      <c r="L407" s="3">
        <f>Comparison!AO6</f>
        <v>7330.9943970257091</v>
      </c>
      <c r="M407" s="3">
        <f>Comparison!AP6</f>
        <v>7287.2657654165014</v>
      </c>
      <c r="N407" s="3">
        <f>Comparison!AQ6</f>
        <v>7232.6642193149437</v>
      </c>
      <c r="O407" s="3">
        <f>Comparison!AR6</f>
        <v>5825.3419350887143</v>
      </c>
      <c r="P407" s="3">
        <f>Comparison!AS6</f>
        <v>5275.4812921063285</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4.1554385428399507E-21</v>
      </c>
      <c r="C408" s="3">
        <f t="shared" si="433"/>
        <v>2.2701588870349415E-19</v>
      </c>
      <c r="D408" s="3">
        <f t="shared" si="433"/>
        <v>8.4546563362260533E-18</v>
      </c>
      <c r="E408" s="3">
        <f t="shared" si="433"/>
        <v>1.9250865058659272E-15</v>
      </c>
      <c r="F408" s="3">
        <f t="shared" si="433"/>
        <v>9.9999999999999994E-12</v>
      </c>
      <c r="G408" s="3">
        <f t="shared" si="433"/>
        <v>1.1545771918054731E-3</v>
      </c>
      <c r="H408" s="3">
        <f t="shared" si="433"/>
        <v>6.7738876183229324E-2</v>
      </c>
      <c r="I408" s="109">
        <f>Comparison!AL7</f>
        <v>9.9999999999999994E-12</v>
      </c>
      <c r="J408" s="3">
        <f>Comparison!AM7</f>
        <v>7439.7336721589263</v>
      </c>
      <c r="K408" s="3">
        <f>Comparison!AN7</f>
        <v>7373.6393539171686</v>
      </c>
      <c r="L408" s="3">
        <f>Comparison!AO7</f>
        <v>7330.991448813199</v>
      </c>
      <c r="M408" s="3">
        <f>Comparison!AP7</f>
        <v>7287.2629129611732</v>
      </c>
      <c r="N408" s="3">
        <f>Comparison!AQ7</f>
        <v>7227.030574444283</v>
      </c>
      <c r="O408" s="3">
        <f>Comparison!AR7</f>
        <v>5546.9331561273084</v>
      </c>
      <c r="P408" s="3">
        <f>Comparison!AS7</f>
        <v>4966.4021193857116</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4.1554385428399515E-20</v>
      </c>
      <c r="C409" s="3">
        <f t="shared" si="433"/>
        <v>2.270158887034942E-18</v>
      </c>
      <c r="D409" s="3">
        <f t="shared" si="433"/>
        <v>8.4546563362260545E-17</v>
      </c>
      <c r="E409" s="3">
        <f t="shared" si="433"/>
        <v>1.9250865058659276E-14</v>
      </c>
      <c r="F409" s="3">
        <f t="shared" si="433"/>
        <v>1E-10</v>
      </c>
      <c r="G409" s="3">
        <f t="shared" si="433"/>
        <v>1.1545771918054733E-2</v>
      </c>
      <c r="H409" s="3">
        <f t="shared" si="433"/>
        <v>0.67738876183229324</v>
      </c>
      <c r="I409" s="109">
        <f>Comparison!AL8</f>
        <v>1E-10</v>
      </c>
      <c r="J409" s="3">
        <f>Comparison!AM8</f>
        <v>7439.732723308126</v>
      </c>
      <c r="K409" s="3">
        <f>Comparison!AN8</f>
        <v>7373.6384218505882</v>
      </c>
      <c r="L409" s="3">
        <f>Comparison!AO8</f>
        <v>7330.990588918331</v>
      </c>
      <c r="M409" s="3">
        <f>Comparison!AP8</f>
        <v>7287.2618205320641</v>
      </c>
      <c r="N409" s="3">
        <f>Comparison!AQ8</f>
        <v>7179.9574188317292</v>
      </c>
      <c r="O409" s="3">
        <f>Comparison!AR8</f>
        <v>5257.3325173232261</v>
      </c>
      <c r="P409" s="3">
        <f>Comparison!AS8</f>
        <v>4621.0156652325422</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4.1554385428399516E-19</v>
      </c>
      <c r="C410" s="3">
        <f t="shared" si="433"/>
        <v>2.2701588870349419E-17</v>
      </c>
      <c r="D410" s="3">
        <f t="shared" si="433"/>
        <v>8.4546563362260538E-16</v>
      </c>
      <c r="E410" s="3">
        <f t="shared" si="433"/>
        <v>1.9250865058659276E-13</v>
      </c>
      <c r="F410" s="3">
        <f t="shared" si="433"/>
        <v>1.0000000000000001E-9</v>
      </c>
      <c r="G410" s="3">
        <f t="shared" si="433"/>
        <v>0.11545771918054734</v>
      </c>
      <c r="H410" s="3">
        <f t="shared" si="433"/>
        <v>6.7738876183229326</v>
      </c>
      <c r="I410" s="109">
        <f>Comparison!AL9</f>
        <v>1.0000000000000001E-9</v>
      </c>
      <c r="J410" s="3">
        <f>Comparison!AM9</f>
        <v>7439.7324702812866</v>
      </c>
      <c r="K410" s="3">
        <f>Comparison!AN9</f>
        <v>7373.6381732995414</v>
      </c>
      <c r="L410" s="3">
        <f>Comparison!AO9</f>
        <v>7330.9902818130686</v>
      </c>
      <c r="M410" s="3">
        <f>Comparison!AP9</f>
        <v>7287.2593322225375</v>
      </c>
      <c r="N410" s="3">
        <f>Comparison!AQ9</f>
        <v>7042.6684859234238</v>
      </c>
      <c r="O410" s="3">
        <f>Comparison!AR9</f>
        <v>4943.4016945901922</v>
      </c>
      <c r="P410" s="3">
        <f>Comparison!AS9</f>
        <v>4155.4773315838347</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4.1554385428399511E-18</v>
      </c>
      <c r="C411" s="3">
        <f t="shared" si="433"/>
        <v>2.2701588870349417E-16</v>
      </c>
      <c r="D411" s="3">
        <f t="shared" si="433"/>
        <v>8.4546563362260538E-15</v>
      </c>
      <c r="E411" s="3">
        <f t="shared" si="433"/>
        <v>1.9250865058659273E-12</v>
      </c>
      <c r="F411" s="3">
        <f t="shared" si="433"/>
        <v>1E-8</v>
      </c>
      <c r="G411" s="3">
        <f t="shared" si="433"/>
        <v>1.1545771918054732</v>
      </c>
      <c r="H411" s="3">
        <f t="shared" si="433"/>
        <v>67.738876183229323</v>
      </c>
      <c r="I411" s="109">
        <f>Comparison!AL10</f>
        <v>1E-8</v>
      </c>
      <c r="J411" s="3">
        <f>Comparison!AM10</f>
        <v>7439.7324070245795</v>
      </c>
      <c r="K411" s="3">
        <f>Comparison!AN10</f>
        <v>7373.6380490240244</v>
      </c>
      <c r="L411" s="3">
        <f>Comparison!AO10</f>
        <v>7330.9901589709716</v>
      </c>
      <c r="M411" s="3">
        <f>Comparison!AP10</f>
        <v>7287.2374230339683</v>
      </c>
      <c r="N411" s="3">
        <f>Comparison!AQ10</f>
        <v>6896.670224560311</v>
      </c>
      <c r="O411" s="3">
        <f>Comparison!AR10</f>
        <v>4573.266252420035</v>
      </c>
      <c r="P411" s="3">
        <f>Comparison!AS10</f>
        <v>3566.7724920591822</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4.155438542839951E-17</v>
      </c>
      <c r="C412" s="3">
        <f t="shared" si="433"/>
        <v>2.2701588870349416E-15</v>
      </c>
      <c r="D412" s="3">
        <f t="shared" si="433"/>
        <v>8.4546563362260538E-14</v>
      </c>
      <c r="E412" s="3">
        <f t="shared" si="433"/>
        <v>1.9250865058659274E-11</v>
      </c>
      <c r="F412" s="3">
        <f t="shared" si="433"/>
        <v>9.9999999999999995E-8</v>
      </c>
      <c r="G412" s="3">
        <f t="shared" si="433"/>
        <v>11.545771918054733</v>
      </c>
      <c r="H412" s="3">
        <f t="shared" si="433"/>
        <v>677.3887618322932</v>
      </c>
      <c r="I412" s="109">
        <f>Comparison!AL11</f>
        <v>9.9999999999999995E-8</v>
      </c>
      <c r="J412" s="3">
        <f>Comparison!AM11</f>
        <v>7439.7323437678724</v>
      </c>
      <c r="K412" s="3">
        <f>Comparison!AN11</f>
        <v>7373.6380490240244</v>
      </c>
      <c r="L412" s="3">
        <f>Comparison!AO11</f>
        <v>7330.9898518657455</v>
      </c>
      <c r="M412" s="3">
        <f>Comparison!AP11</f>
        <v>7287.0191880040384</v>
      </c>
      <c r="N412" s="3">
        <f>Comparison!AQ11</f>
        <v>6728.3118442587265</v>
      </c>
      <c r="O412" s="3">
        <f>Comparison!AR11</f>
        <v>4079.2740096930638</v>
      </c>
      <c r="P412" s="3">
        <f>Comparison!AS11</f>
        <v>2850.9447868112361</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4.1554385428399507E-16</v>
      </c>
      <c r="C413" s="3">
        <f t="shared" si="433"/>
        <v>2.2701588870349418E-14</v>
      </c>
      <c r="D413" s="3">
        <f t="shared" si="433"/>
        <v>8.4546563362260536E-13</v>
      </c>
      <c r="E413" s="3">
        <f t="shared" si="433"/>
        <v>1.9250865058659273E-10</v>
      </c>
      <c r="F413" s="3">
        <f t="shared" si="433"/>
        <v>9.9999999999999995E-7</v>
      </c>
      <c r="G413" s="3">
        <f t="shared" si="433"/>
        <v>115.45771918054733</v>
      </c>
      <c r="H413" s="3">
        <f t="shared" si="433"/>
        <v>6773.8876183229322</v>
      </c>
      <c r="I413" s="109">
        <f>Comparison!AL12</f>
        <v>9.9999999999999995E-7</v>
      </c>
      <c r="J413" s="3">
        <f>Comparison!AM12</f>
        <v>7439.7323437678724</v>
      </c>
      <c r="K413" s="3">
        <f>Comparison!AN12</f>
        <v>7373.6379247485102</v>
      </c>
      <c r="L413" s="3">
        <f>Comparison!AO12</f>
        <v>7330.9873950248675</v>
      </c>
      <c r="M413" s="3">
        <f>Comparison!AP12</f>
        <v>7284.8522944162632</v>
      </c>
      <c r="N413" s="3">
        <f>Comparison!AQ12</f>
        <v>6522.7483495061197</v>
      </c>
      <c r="O413" s="3">
        <f>Comparison!AR12</f>
        <v>3459.2497747504567</v>
      </c>
      <c r="P413" s="3">
        <f>Comparison!AS12</f>
        <v>2002.5618143914935</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4.1554385428399511E-15</v>
      </c>
      <c r="C414" s="3">
        <f t="shared" si="433"/>
        <v>2.270158887034942E-13</v>
      </c>
      <c r="D414" s="3">
        <f t="shared" si="433"/>
        <v>8.4546563362260552E-12</v>
      </c>
      <c r="E414" s="3">
        <f t="shared" si="433"/>
        <v>1.9250865058659275E-9</v>
      </c>
      <c r="F414" s="3">
        <f t="shared" si="433"/>
        <v>1.0000000000000001E-5</v>
      </c>
      <c r="G414" s="3">
        <f t="shared" si="433"/>
        <v>1154.5771918054734</v>
      </c>
      <c r="H414" s="3">
        <f t="shared" si="433"/>
        <v>67738.876183229324</v>
      </c>
      <c r="I414" s="109">
        <f>Comparison!AL13</f>
        <v>1.0000000000000001E-5</v>
      </c>
      <c r="J414" s="3">
        <f>Comparison!AM13</f>
        <v>7439.7323437678724</v>
      </c>
      <c r="K414" s="3">
        <f>Comparison!AN13</f>
        <v>7373.6377383352474</v>
      </c>
      <c r="L414" s="3">
        <f>Comparison!AO13</f>
        <v>7330.962888127252</v>
      </c>
      <c r="M414" s="3">
        <f>Comparison!AP13</f>
        <v>7264.6309792458533</v>
      </c>
      <c r="N414" s="3">
        <f>Comparison!AQ13</f>
        <v>6323.7668304163335</v>
      </c>
      <c r="O414" s="3">
        <f>Comparison!AR13</f>
        <v>2702.914511015118</v>
      </c>
      <c r="P414" s="3">
        <f>Comparison!AS13</f>
        <v>1246.5264827258</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4.1554385428399513E-14</v>
      </c>
      <c r="C415" s="3">
        <f t="shared" si="433"/>
        <v>2.2701588870349418E-12</v>
      </c>
      <c r="D415" s="3">
        <f t="shared" si="433"/>
        <v>8.4546563362260539E-11</v>
      </c>
      <c r="E415" s="3">
        <f t="shared" si="433"/>
        <v>1.9250865058659276E-8</v>
      </c>
      <c r="F415" s="3">
        <f t="shared" si="433"/>
        <v>1E-4</v>
      </c>
      <c r="G415" s="3">
        <f t="shared" si="433"/>
        <v>11545.771918054734</v>
      </c>
      <c r="H415" s="3">
        <f t="shared" si="433"/>
        <v>677388.76183229324</v>
      </c>
      <c r="I415" s="109">
        <f>Comparison!AL14</f>
        <v>1E-4</v>
      </c>
      <c r="J415" s="3">
        <f>Comparison!AM14</f>
        <v>7439.7322172544646</v>
      </c>
      <c r="K415" s="3">
        <f>Comparison!AN14</f>
        <v>7373.6350664128558</v>
      </c>
      <c r="L415" s="3">
        <f>Comparison!AO14</f>
        <v>7330.7179509954649</v>
      </c>
      <c r="M415" s="3">
        <f>Comparison!AP14</f>
        <v>7153.647880511483</v>
      </c>
      <c r="N415" s="3">
        <f>Comparison!AQ14</f>
        <v>6060.8557573682765</v>
      </c>
      <c r="O415" s="3">
        <f>Comparison!AR14</f>
        <v>1832.1518571214692</v>
      </c>
      <c r="P415" s="3">
        <f>Comparison!AS14</f>
        <v>721.62368462950201</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4.1554385428399512E-13</v>
      </c>
      <c r="C416" s="3">
        <f t="shared" si="433"/>
        <v>2.270158887034942E-11</v>
      </c>
      <c r="D416" s="3">
        <f t="shared" si="433"/>
        <v>8.4546563362260539E-10</v>
      </c>
      <c r="E416" s="3">
        <f t="shared" si="433"/>
        <v>1.9250865058659276E-7</v>
      </c>
      <c r="F416" s="3">
        <f t="shared" si="433"/>
        <v>1E-3</v>
      </c>
      <c r="G416" s="3">
        <f t="shared" si="433"/>
        <v>115457.71918054733</v>
      </c>
      <c r="H416" s="3">
        <f t="shared" si="433"/>
        <v>6773887.6183229322</v>
      </c>
      <c r="I416" s="109">
        <f>Comparison!AL15</f>
        <v>1E-3</v>
      </c>
      <c r="J416" s="3">
        <f>Comparison!AM15</f>
        <v>7439.7315214307937</v>
      </c>
      <c r="K416" s="3">
        <f>Comparison!AN15</f>
        <v>7373.6085958444728</v>
      </c>
      <c r="L416" s="3">
        <f>Comparison!AO15</f>
        <v>7328.2878922672335</v>
      </c>
      <c r="M416" s="3">
        <f>Comparison!AP15</f>
        <v>7011.9974153857656</v>
      </c>
      <c r="N416" s="3">
        <f>Comparison!AQ15</f>
        <v>5776.7475493188331</v>
      </c>
      <c r="O416" s="3">
        <f>Comparison!AR15</f>
        <v>1105.139847553852</v>
      </c>
      <c r="P416" s="3">
        <f>Comparison!AS15</f>
        <v>404.72633399765499</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4.1554385428399516E-12</v>
      </c>
      <c r="C417" s="3">
        <f t="shared" si="433"/>
        <v>2.270158887034942E-10</v>
      </c>
      <c r="D417" s="3">
        <f t="shared" si="433"/>
        <v>8.4546563362260539E-9</v>
      </c>
      <c r="E417" s="3">
        <f t="shared" si="433"/>
        <v>1.9250865058659274E-6</v>
      </c>
      <c r="F417" s="3">
        <f t="shared" si="433"/>
        <v>0.01</v>
      </c>
      <c r="G417" s="3">
        <f t="shared" si="433"/>
        <v>1154577.1918054733</v>
      </c>
      <c r="H417" s="3">
        <f t="shared" si="433"/>
        <v>67738876.183229327</v>
      </c>
      <c r="I417" s="109">
        <f>Comparison!AL16</f>
        <v>0.01</v>
      </c>
      <c r="J417" s="3">
        <f>Comparison!AM16</f>
        <v>7439.7241836618095</v>
      </c>
      <c r="K417" s="3">
        <f>Comparison!AN16</f>
        <v>7373.3444598084343</v>
      </c>
      <c r="L417" s="3">
        <f>Comparison!AO16</f>
        <v>7305.7841813741479</v>
      </c>
      <c r="M417" s="3">
        <f>Comparison!AP16</f>
        <v>6854.7708758756735</v>
      </c>
      <c r="N417" s="3">
        <f>Comparison!AQ16</f>
        <v>5495.7675366958674</v>
      </c>
      <c r="O417" s="3">
        <f>Comparison!AR16</f>
        <v>630.91869332772831</v>
      </c>
      <c r="P417" s="3">
        <f>Comparison!AS16</f>
        <v>265.07180083177406</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4.1554385428399514E-11</v>
      </c>
      <c r="C418" s="3">
        <f t="shared" si="433"/>
        <v>2.2701588870349419E-9</v>
      </c>
      <c r="D418" s="3">
        <f t="shared" si="433"/>
        <v>8.4546563362260545E-8</v>
      </c>
      <c r="E418" s="3">
        <f t="shared" si="433"/>
        <v>1.9250865058659274E-5</v>
      </c>
      <c r="F418" s="3">
        <f t="shared" si="433"/>
        <v>0.1</v>
      </c>
      <c r="G418" s="3">
        <f t="shared" si="433"/>
        <v>11545771.918054733</v>
      </c>
      <c r="H418" s="3">
        <f t="shared" si="433"/>
        <v>677388761.83229327</v>
      </c>
      <c r="I418" s="109">
        <f>Comparison!AL17</f>
        <v>0.1</v>
      </c>
      <c r="J418" s="3">
        <f>Comparison!AM17</f>
        <v>7439.6508067680606</v>
      </c>
      <c r="K418" s="3">
        <f>Comparison!AN17</f>
        <v>7370.7250016112393</v>
      </c>
      <c r="L418" s="3">
        <f>Comparison!AO17</f>
        <v>7188.9840707641179</v>
      </c>
      <c r="M418" s="3">
        <f>Comparison!AP17</f>
        <v>6667.3368038637464</v>
      </c>
      <c r="N418" s="3">
        <f>Comparison!AQ17</f>
        <v>5188.5996988750203</v>
      </c>
      <c r="O418" s="3">
        <f>Comparison!AR17</f>
        <v>354.28738756335468</v>
      </c>
      <c r="P418" s="3">
        <f>Comparison!AS17</f>
        <v>224.4007416662501</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4.155438542839951E-10</v>
      </c>
      <c r="C419" s="3">
        <f t="shared" si="433"/>
        <v>2.2701588870349417E-8</v>
      </c>
      <c r="D419" s="3">
        <f t="shared" si="433"/>
        <v>8.4546563362260537E-7</v>
      </c>
      <c r="E419" s="3">
        <f t="shared" si="433"/>
        <v>1.9250865058659274E-4</v>
      </c>
      <c r="F419" s="3">
        <f t="shared" si="433"/>
        <v>1</v>
      </c>
      <c r="G419" s="3">
        <f t="shared" si="433"/>
        <v>115457719.18054733</v>
      </c>
      <c r="H419" s="3">
        <f t="shared" si="433"/>
        <v>6773887618.3229322</v>
      </c>
      <c r="I419" s="109">
        <f>Comparison!AL18</f>
        <v>1</v>
      </c>
      <c r="J419" s="3">
        <f>Comparison!AM18</f>
        <v>7438.9188882303606</v>
      </c>
      <c r="K419" s="3">
        <f>Comparison!AN18</f>
        <v>7346.5860708392247</v>
      </c>
      <c r="L419" s="3">
        <f>Comparison!AO18</f>
        <v>7045.3278356909095</v>
      </c>
      <c r="M419" s="3">
        <f>Comparison!AP18</f>
        <v>6457.8733144157241</v>
      </c>
      <c r="N419" s="3">
        <f>Comparison!AQ18</f>
        <v>4846.1759775211867</v>
      </c>
      <c r="O419" s="3">
        <f>Comparison!AR18</f>
        <v>248.22351395532451</v>
      </c>
      <c r="P419" s="3">
        <f>Comparison!AS18</f>
        <v>202.49198438372559</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4.1554385428399509E-9</v>
      </c>
      <c r="C420" s="3">
        <f t="shared" si="434"/>
        <v>2.2701588870349418E-7</v>
      </c>
      <c r="D420" s="3">
        <f t="shared" si="434"/>
        <v>8.4546563362260542E-6</v>
      </c>
      <c r="E420" s="3">
        <f t="shared" si="434"/>
        <v>1.9250865058659274E-3</v>
      </c>
      <c r="F420" s="3">
        <f t="shared" si="434"/>
        <v>10</v>
      </c>
      <c r="G420" s="3">
        <f t="shared" si="434"/>
        <v>1154577191.8054733</v>
      </c>
      <c r="H420" s="3">
        <f t="shared" si="434"/>
        <v>67738876183.229324</v>
      </c>
      <c r="I420" s="109">
        <f>Comparison!AL19</f>
        <v>10</v>
      </c>
      <c r="J420" s="3">
        <f>Comparison!AM19</f>
        <v>7431.7642795214106</v>
      </c>
      <c r="K420" s="3">
        <f>Comparison!AN19</f>
        <v>7225.4468313347925</v>
      </c>
      <c r="L420" s="3">
        <f>Comparison!AO19</f>
        <v>6881.2247214769232</v>
      </c>
      <c r="M420" s="3">
        <f>Comparison!AP19</f>
        <v>6197.1395066404111</v>
      </c>
      <c r="N420" s="3">
        <f>Comparison!AQ19</f>
        <v>4307.5308640863095</v>
      </c>
      <c r="O420" s="3">
        <f>Comparison!AR19</f>
        <v>214.57476664013214</v>
      </c>
      <c r="P420" s="3">
        <f>Comparison!AS19</f>
        <v>189.83771999127222</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4.1554385428399509E-8</v>
      </c>
      <c r="C421" s="3">
        <f t="shared" si="434"/>
        <v>2.2701588870349417E-6</v>
      </c>
      <c r="D421" s="3">
        <f t="shared" si="434"/>
        <v>8.4546563362260542E-5</v>
      </c>
      <c r="E421" s="3">
        <f t="shared" si="434"/>
        <v>1.9250865058659274E-2</v>
      </c>
      <c r="F421" s="3">
        <f t="shared" si="434"/>
        <v>100</v>
      </c>
      <c r="G421" s="3">
        <f t="shared" si="434"/>
        <v>11545771918.054733</v>
      </c>
      <c r="H421" s="3">
        <f t="shared" si="434"/>
        <v>677388761832.29321</v>
      </c>
      <c r="I421" s="109">
        <f>Comparison!AL20</f>
        <v>100</v>
      </c>
      <c r="J421" s="3">
        <f>Comparison!AM20</f>
        <v>7374.1954046997607</v>
      </c>
      <c r="K421" s="3">
        <f>Comparison!AN20</f>
        <v>7074.5614632967963</v>
      </c>
      <c r="L421" s="3">
        <f>Comparison!AO20</f>
        <v>6633.2763958157147</v>
      </c>
      <c r="M421" s="3">
        <f>Comparison!AP20</f>
        <v>5728.6851502202007</v>
      </c>
      <c r="N421" s="3">
        <f>Comparison!AQ20</f>
        <v>3424.2409160347711</v>
      </c>
      <c r="O421" s="3">
        <f>Comparison!AR20</f>
        <v>185.72591291449908</v>
      </c>
      <c r="P421" s="3">
        <f>Comparison!AS20</f>
        <v>169.86288435020435</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4.1554385428399509E-7</v>
      </c>
      <c r="C422" s="3">
        <f t="shared" si="434"/>
        <v>2.2701588870349416E-5</v>
      </c>
      <c r="D422" s="3">
        <f t="shared" si="434"/>
        <v>8.4546563362260534E-4</v>
      </c>
      <c r="E422" s="3">
        <f t="shared" si="434"/>
        <v>0.19250865058659275</v>
      </c>
      <c r="F422" s="3">
        <f t="shared" si="434"/>
        <v>1000</v>
      </c>
      <c r="G422" s="3">
        <f t="shared" si="434"/>
        <v>115457719180.54733</v>
      </c>
      <c r="H422" s="3">
        <f t="shared" si="434"/>
        <v>6773887618322.9326</v>
      </c>
      <c r="I422" s="109">
        <f>Comparison!AL21</f>
        <v>1000</v>
      </c>
      <c r="J422" s="3">
        <f>Comparison!AM21</f>
        <v>7229.1163160436472</v>
      </c>
      <c r="K422" s="3">
        <f>Comparison!AN21</f>
        <v>6837.385209483964</v>
      </c>
      <c r="L422" s="3">
        <f>Comparison!AO21</f>
        <v>6142.0459094556854</v>
      </c>
      <c r="M422" s="3">
        <f>Comparison!AP21</f>
        <v>4909.4106843846976</v>
      </c>
      <c r="N422" s="3">
        <f>Comparison!AQ21</f>
        <v>2457.6306581082695</v>
      </c>
      <c r="O422" s="3">
        <f>Comparison!AR21</f>
        <v>158.09658219581334</v>
      </c>
      <c r="P422" s="3">
        <f>Comparison!AS21</f>
        <v>142.29365996368665</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4.1554385428399512E-6</v>
      </c>
      <c r="C423" s="3">
        <f t="shared" si="434"/>
        <v>2.2701588870349418E-4</v>
      </c>
      <c r="D423" s="3">
        <f t="shared" si="434"/>
        <v>8.4546563362260536E-3</v>
      </c>
      <c r="E423" s="3">
        <f t="shared" si="434"/>
        <v>1.9250865058659274</v>
      </c>
      <c r="F423" s="3">
        <f t="shared" si="434"/>
        <v>10000</v>
      </c>
      <c r="G423" s="3">
        <f t="shared" si="434"/>
        <v>1154577191805.4734</v>
      </c>
      <c r="H423" s="3">
        <f t="shared" si="434"/>
        <v>67738876183229.32</v>
      </c>
      <c r="I423" s="109">
        <f>Comparison!AL22</f>
        <v>10000</v>
      </c>
      <c r="J423" s="3">
        <f>Comparison!AM22</f>
        <v>7065.0007195804155</v>
      </c>
      <c r="K423" s="3">
        <f>Comparison!AN22</f>
        <v>6289.6718355453368</v>
      </c>
      <c r="L423" s="3">
        <f>Comparison!AO22</f>
        <v>5263.2654078154883</v>
      </c>
      <c r="M423" s="3">
        <f>Comparison!AP22</f>
        <v>4054.6855956010618</v>
      </c>
      <c r="N423" s="3">
        <f>Comparison!AQ22</f>
        <v>1610.938712030013</v>
      </c>
      <c r="O423" s="3">
        <f>Comparison!AR22</f>
        <v>132.46407229952649</v>
      </c>
      <c r="P423" s="3">
        <f>Comparison!AS22</f>
        <v>121.71619952615258</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4.1554385428399512E-5</v>
      </c>
      <c r="C424" s="3">
        <f t="shared" si="434"/>
        <v>2.2701588870349416E-3</v>
      </c>
      <c r="D424" s="3">
        <f t="shared" si="434"/>
        <v>8.4546563362260532E-2</v>
      </c>
      <c r="E424" s="3">
        <f t="shared" si="434"/>
        <v>19.250865058659276</v>
      </c>
      <c r="F424" s="3">
        <f t="shared" si="434"/>
        <v>100000</v>
      </c>
      <c r="G424" s="3">
        <f t="shared" si="434"/>
        <v>11545771918054.732</v>
      </c>
      <c r="H424" s="3">
        <f t="shared" si="434"/>
        <v>677388761832293.25</v>
      </c>
      <c r="I424" s="109">
        <f>Comparison!AL23</f>
        <v>100000</v>
      </c>
      <c r="J424" s="3">
        <f>Comparison!AM23</f>
        <v>6763.2909836921517</v>
      </c>
      <c r="K424" s="3">
        <f>Comparison!AN23</f>
        <v>5393.096219252795</v>
      </c>
      <c r="L424" s="3">
        <f>Comparison!AO23</f>
        <v>4399.1328288595505</v>
      </c>
      <c r="M424" s="3">
        <f>Comparison!AP23</f>
        <v>3384.7376862720757</v>
      </c>
      <c r="N424" s="3">
        <f>Comparison!AQ23</f>
        <v>942.69111378955085</v>
      </c>
      <c r="O424" s="3">
        <f>Comparison!AR23</f>
        <v>115.64370251909122</v>
      </c>
      <c r="P424" s="3">
        <f>Comparison!AS23</f>
        <v>109.27679567564616</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4.155438542839951E-4</v>
      </c>
      <c r="C425" s="3">
        <f t="shared" si="434"/>
        <v>2.2701588870349419E-2</v>
      </c>
      <c r="D425" s="3">
        <f t="shared" si="434"/>
        <v>0.84546563362260541</v>
      </c>
      <c r="E425" s="3">
        <f t="shared" si="434"/>
        <v>192.50865058659275</v>
      </c>
      <c r="F425" s="3">
        <f t="shared" si="434"/>
        <v>1000000</v>
      </c>
      <c r="G425" s="3">
        <f t="shared" si="434"/>
        <v>115457719180547.33</v>
      </c>
      <c r="H425" s="3">
        <f t="shared" si="434"/>
        <v>6773887618322932</v>
      </c>
      <c r="I425" s="109">
        <f>Comparison!AL24</f>
        <v>1000000</v>
      </c>
      <c r="J425" s="3">
        <f>Comparison!AM24</f>
        <v>6076.274832146727</v>
      </c>
      <c r="K425" s="3">
        <f>Comparison!AN24</f>
        <v>4558.7271908643725</v>
      </c>
      <c r="L425" s="3">
        <f>Comparison!AO24</f>
        <v>3757.2475587809995</v>
      </c>
      <c r="M425" s="3">
        <f>Comparison!AP24</f>
        <v>2867.8130883318549</v>
      </c>
      <c r="N425" s="3">
        <f>Comparison!AQ24</f>
        <v>510.32470275306576</v>
      </c>
      <c r="O425" s="3">
        <f>Comparison!AR24</f>
        <v>105.70344373363407</v>
      </c>
      <c r="P425" s="3">
        <f>Comparison!AS24</f>
        <v>101.92394551670053</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4.155438542839951E-3</v>
      </c>
      <c r="C426" s="3">
        <f t="shared" si="434"/>
        <v>0.22701588870349418</v>
      </c>
      <c r="D426" s="3">
        <f t="shared" si="434"/>
        <v>8.4546563362260532</v>
      </c>
      <c r="E426" s="3">
        <f t="shared" si="434"/>
        <v>1925.0865058659274</v>
      </c>
      <c r="F426" s="3">
        <f t="shared" si="434"/>
        <v>10000000</v>
      </c>
      <c r="G426" s="3">
        <f t="shared" si="434"/>
        <v>1154577191805473.2</v>
      </c>
      <c r="H426" s="3">
        <f t="shared" si="434"/>
        <v>6.7738876183229328E+16</v>
      </c>
      <c r="I426" s="109">
        <f>Comparison!AL25</f>
        <v>10000000</v>
      </c>
      <c r="J426" s="3">
        <f>Comparison!AM25</f>
        <v>5152.9727387836929</v>
      </c>
      <c r="K426" s="3">
        <f>Comparison!AN25</f>
        <v>3927.5350129983676</v>
      </c>
      <c r="L426" s="3">
        <f>Comparison!AO25</f>
        <v>3291.1531992809396</v>
      </c>
      <c r="M426" s="3">
        <f>Comparison!AP25</f>
        <v>2393.9219661874804</v>
      </c>
      <c r="N426" s="3">
        <f>Comparison!AQ25</f>
        <v>271.36767023207187</v>
      </c>
      <c r="O426" s="3">
        <f>Comparison!AR25</f>
        <v>99.769058005183027</v>
      </c>
      <c r="P426" s="3">
        <f>Comparison!AS25</f>
        <v>97.501289329192588</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4.155438542839951E-2</v>
      </c>
      <c r="C427" s="3">
        <f t="shared" si="434"/>
        <v>2.2701588870349418</v>
      </c>
      <c r="D427" s="3">
        <f t="shared" si="434"/>
        <v>84.546563362260542</v>
      </c>
      <c r="E427" s="3">
        <f t="shared" si="434"/>
        <v>19250.865058659274</v>
      </c>
      <c r="F427" s="3">
        <f t="shared" si="434"/>
        <v>100000000</v>
      </c>
      <c r="G427" s="3">
        <f t="shared" si="434"/>
        <v>1.1545771918054732E+16</v>
      </c>
      <c r="H427" s="3">
        <f t="shared" si="434"/>
        <v>6.7738876183229325E+17</v>
      </c>
      <c r="I427" s="109">
        <f>Comparison!AL26</f>
        <v>100000000</v>
      </c>
      <c r="J427" s="3">
        <f>Comparison!AM26</f>
        <v>4349.4578522571974</v>
      </c>
      <c r="K427" s="3">
        <f>Comparison!AN26</f>
        <v>3470.8276794707381</v>
      </c>
      <c r="L427" s="3">
        <f>Comparison!AO26</f>
        <v>2923.3907186801598</v>
      </c>
      <c r="M427" s="3">
        <f>Comparison!AP26</f>
        <v>1923.0446750969861</v>
      </c>
      <c r="N427" s="3">
        <f>Comparison!AQ26</f>
        <v>152.45647454769647</v>
      </c>
      <c r="O427" s="3">
        <f>Comparison!AR26</f>
        <v>96.16135307969536</v>
      </c>
      <c r="P427" s="3">
        <f>Comparison!AS26</f>
        <v>94.712895608864457</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0.4155438542839951</v>
      </c>
      <c r="C428" s="3">
        <f t="shared" si="434"/>
        <v>22.701588870349418</v>
      </c>
      <c r="D428" s="3">
        <f t="shared" si="434"/>
        <v>845.46563362260542</v>
      </c>
      <c r="E428" s="3">
        <f t="shared" si="434"/>
        <v>192508.65058659273</v>
      </c>
      <c r="F428" s="3">
        <f t="shared" si="434"/>
        <v>1000000000</v>
      </c>
      <c r="G428" s="3">
        <f t="shared" si="434"/>
        <v>1.1545771918054733E+17</v>
      </c>
      <c r="H428" s="3">
        <f t="shared" si="434"/>
        <v>6.7738876183229327E+18</v>
      </c>
      <c r="I428" s="109">
        <f>Comparison!AL27</f>
        <v>1000000000</v>
      </c>
      <c r="J428" s="3">
        <f>Comparison!AM27</f>
        <v>3760.3414331574859</v>
      </c>
      <c r="K428" s="3">
        <f>Comparison!AN27</f>
        <v>3119.1195128427248</v>
      </c>
      <c r="L428" s="3">
        <f>Comparison!AO27</f>
        <v>2591.8565821190209</v>
      </c>
      <c r="M428" s="3">
        <f>Comparison!AP27</f>
        <v>1433.0262098856042</v>
      </c>
      <c r="N428" s="3">
        <f>Comparison!AQ27</f>
        <v>114.48528241321054</v>
      </c>
      <c r="O428" s="3">
        <f>Comparison!AR27</f>
        <v>93.862812708921865</v>
      </c>
      <c r="P428" s="3">
        <f>Comparison!AS27</f>
        <v>92.92945942455529</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4.155438542839951</v>
      </c>
      <c r="C429" s="3">
        <f t="shared" si="434"/>
        <v>227.01588870349417</v>
      </c>
      <c r="D429" s="3">
        <f t="shared" si="434"/>
        <v>8454.6563362260531</v>
      </c>
      <c r="E429" s="3">
        <f t="shared" si="434"/>
        <v>1925086.5058659273</v>
      </c>
      <c r="F429" s="3">
        <f t="shared" si="434"/>
        <v>10000000000</v>
      </c>
      <c r="G429" s="3">
        <f t="shared" si="434"/>
        <v>1.1545771918054733E+18</v>
      </c>
      <c r="H429" s="3">
        <f t="shared" si="434"/>
        <v>6.7738876183229325E+19</v>
      </c>
      <c r="I429" s="109">
        <f>Comparison!AL28</f>
        <v>10000000000</v>
      </c>
      <c r="J429" s="3">
        <f>Comparison!AM28</f>
        <v>3336.4331784463179</v>
      </c>
      <c r="K429" s="3">
        <f>Comparison!AN28</f>
        <v>2819.4631556550398</v>
      </c>
      <c r="L429" s="3">
        <f>Comparison!AO28</f>
        <v>2227.1388397843657</v>
      </c>
      <c r="M429" s="3">
        <f>Comparison!AP28</f>
        <v>928.3724969127901</v>
      </c>
      <c r="N429" s="3">
        <f>Comparison!AQ28</f>
        <v>101.06517730245214</v>
      </c>
      <c r="O429" s="3">
        <f>Comparison!AR28</f>
        <v>92.381155101656375</v>
      </c>
      <c r="P429" s="3">
        <f>Comparison!AS28</f>
        <v>92.006187989209394</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41.554385428399513</v>
      </c>
      <c r="C430" s="3">
        <f t="shared" si="434"/>
        <v>2270.1588870349419</v>
      </c>
      <c r="D430" s="3">
        <f t="shared" si="434"/>
        <v>84546.563362260538</v>
      </c>
      <c r="E430" s="3">
        <f t="shared" si="434"/>
        <v>19250865.058659274</v>
      </c>
      <c r="F430" s="3">
        <f t="shared" si="434"/>
        <v>100000000000</v>
      </c>
      <c r="G430" s="3">
        <f t="shared" si="434"/>
        <v>1.1545771918054732E+19</v>
      </c>
      <c r="H430" s="3">
        <f t="shared" si="434"/>
        <v>6.7738876183229327E+20</v>
      </c>
      <c r="I430" s="109">
        <f>Comparison!AL29</f>
        <v>100000000000</v>
      </c>
      <c r="J430" s="3">
        <f>Comparison!AM29</f>
        <v>2995.2983606085086</v>
      </c>
      <c r="K430" s="3">
        <f>Comparison!AN29</f>
        <v>2525.9157804368465</v>
      </c>
      <c r="L430" s="3">
        <f>Comparison!AO29</f>
        <v>1818.1045605438685</v>
      </c>
      <c r="M430" s="3">
        <f>Comparison!AP29</f>
        <v>540.77757065756475</v>
      </c>
      <c r="N430" s="3">
        <f>Comparison!AQ29</f>
        <v>93.059878245985715</v>
      </c>
      <c r="O430" s="3">
        <f>Comparison!AR29</f>
        <v>92.126538569786135</v>
      </c>
      <c r="P430" s="3">
        <f>Comparison!AS29</f>
        <v>91.763267256404887</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415.54385428399513</v>
      </c>
      <c r="C431" s="3">
        <f t="shared" si="434"/>
        <v>22701.588870349417</v>
      </c>
      <c r="D431" s="3">
        <f t="shared" si="434"/>
        <v>845465.63362260535</v>
      </c>
      <c r="E431" s="3">
        <f t="shared" si="434"/>
        <v>192508650.58659273</v>
      </c>
      <c r="F431" s="3">
        <f t="shared" si="434"/>
        <v>1000000000000</v>
      </c>
      <c r="G431" s="3">
        <f t="shared" si="434"/>
        <v>1.1545771918054733E+20</v>
      </c>
      <c r="H431" s="3">
        <f t="shared" si="434"/>
        <v>6.7738876183229319E+21</v>
      </c>
      <c r="I431" s="109">
        <f>Comparison!AL30</f>
        <v>1000000000000</v>
      </c>
      <c r="J431" s="3">
        <f>Comparison!AM30</f>
        <v>2700.8479980556854</v>
      </c>
      <c r="K431" s="3">
        <f>Comparison!AN30</f>
        <v>2182.665940608038</v>
      </c>
      <c r="L431" s="3">
        <f>Comparison!AO30</f>
        <v>1362.7209266527218</v>
      </c>
      <c r="M431" s="3">
        <f>Comparison!AP30</f>
        <v>302.10819766520217</v>
      </c>
      <c r="N431" s="3">
        <f>Comparison!AQ30</f>
        <v>92.631968530961771</v>
      </c>
      <c r="O431" s="3">
        <f>Comparison!AR30</f>
        <v>91.086268606556416</v>
      </c>
      <c r="P431" s="3">
        <f>Comparison!AS30</f>
        <v>90.809569282014081</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4155.438542839951</v>
      </c>
      <c r="C432" s="3">
        <f t="shared" si="434"/>
        <v>227015.88870349419</v>
      </c>
      <c r="D432" s="3">
        <f t="shared" si="434"/>
        <v>8454656.3362260535</v>
      </c>
      <c r="E432" s="3">
        <f t="shared" si="434"/>
        <v>1925086505.8659275</v>
      </c>
      <c r="F432" s="3">
        <f t="shared" si="434"/>
        <v>10000000000000</v>
      </c>
      <c r="G432" s="3">
        <f t="shared" si="434"/>
        <v>1.1545771918054733E+21</v>
      </c>
      <c r="H432" s="3">
        <f t="shared" si="434"/>
        <v>6.7738876183229321E+22</v>
      </c>
      <c r="I432" s="109">
        <f>Comparison!AL31</f>
        <v>10000000000000</v>
      </c>
      <c r="J432" s="3">
        <f>Comparison!AM31</f>
        <v>2380.901782740345</v>
      </c>
      <c r="K432" s="3">
        <f>Comparison!AN31</f>
        <v>1785.8998006119411</v>
      </c>
      <c r="L432" s="3">
        <f>Comparison!AO31</f>
        <v>882.60529508909428</v>
      </c>
      <c r="M432" s="3">
        <f>Comparison!AP31</f>
        <v>167.95607666429018</v>
      </c>
      <c r="N432" s="3">
        <f>Comparison!AQ31</f>
        <v>91.23127997996707</v>
      </c>
      <c r="O432" s="3">
        <f>Comparison!AR31</f>
        <v>90.886673770022838</v>
      </c>
      <c r="P432" s="3">
        <f>Comparison!AS31</f>
        <v>90.794437108888047</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41554.38542839951</v>
      </c>
      <c r="C433" s="3">
        <f t="shared" si="434"/>
        <v>2270158.8870349419</v>
      </c>
      <c r="D433" s="3">
        <f t="shared" si="434"/>
        <v>84546563.362260535</v>
      </c>
      <c r="E433" s="3">
        <f t="shared" si="434"/>
        <v>19250865058.659275</v>
      </c>
      <c r="F433" s="3">
        <f t="shared" si="434"/>
        <v>100000000000000</v>
      </c>
      <c r="G433" s="3">
        <f t="shared" si="434"/>
        <v>1.1545771918054734E+22</v>
      </c>
      <c r="H433" s="3">
        <f t="shared" si="434"/>
        <v>6.7738876183229321E+23</v>
      </c>
      <c r="I433" s="109">
        <f>Comparison!AL32</f>
        <v>100000000000000</v>
      </c>
      <c r="J433" s="3">
        <f>Comparison!AM32</f>
        <v>2012.430565108212</v>
      </c>
      <c r="K433" s="3">
        <f>Comparison!AN32</f>
        <v>1337.7075606161161</v>
      </c>
      <c r="L433" s="3">
        <f>Comparison!AO32</f>
        <v>513.97783275284667</v>
      </c>
      <c r="M433" s="3">
        <f>Comparison!AP32</f>
        <v>115.55588342611547</v>
      </c>
      <c r="N433" s="3">
        <f>Comparison!AQ32</f>
        <v>91.209911146223277</v>
      </c>
      <c r="O433" s="3">
        <f>Comparison!AR32</f>
        <v>90.290301687552557</v>
      </c>
      <c r="P433" s="3">
        <f>Comparison!AS32</f>
        <v>90.157522811707935</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415543.85428399511</v>
      </c>
      <c r="C434" s="3">
        <f t="shared" si="434"/>
        <v>22701588.870349418</v>
      </c>
      <c r="D434" s="3">
        <f t="shared" si="434"/>
        <v>845465633.62260532</v>
      </c>
      <c r="E434" s="3">
        <f t="shared" si="434"/>
        <v>192508650586.59274</v>
      </c>
      <c r="F434" s="3">
        <f t="shared" si="434"/>
        <v>1000000000000000</v>
      </c>
      <c r="G434" s="3">
        <f t="shared" si="434"/>
        <v>1.1545771918054732E+23</v>
      </c>
      <c r="H434" s="3">
        <f t="shared" si="434"/>
        <v>6.7738876183229321E+24</v>
      </c>
      <c r="I434" s="109">
        <f>Comparison!AL33</f>
        <v>1000000000000000</v>
      </c>
      <c r="J434" s="3">
        <f>Comparison!AM33</f>
        <v>1596.0920370512245</v>
      </c>
      <c r="K434" s="3">
        <f>Comparison!AN33</f>
        <v>864.52071218722244</v>
      </c>
      <c r="L434" s="3">
        <f>Comparison!AO33</f>
        <v>287.95166024173568</v>
      </c>
      <c r="M434" s="3">
        <f>Comparison!AP33</f>
        <v>100.53155340781859</v>
      </c>
      <c r="N434" s="3">
        <f>Comparison!AQ33</f>
        <v>90.301560772176387</v>
      </c>
      <c r="O434" s="3">
        <f>Comparison!AR33</f>
        <v>90.056329050223439</v>
      </c>
      <c r="P434" s="3">
        <f>Comparison!AS33</f>
        <v>89.913434838716469</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t="s">
        <v>163</v>
      </c>
      <c r="B436" s="113">
        <f>'Universal Mastercurve'!D1</f>
        <v>5</v>
      </c>
      <c r="C436" s="73"/>
      <c r="D436" s="112">
        <f>B436*2+1</f>
        <v>11</v>
      </c>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14"/>
      <c r="B437" s="115"/>
      <c r="C437" s="115"/>
      <c r="D437" s="115"/>
      <c r="E437" s="115"/>
      <c r="F437" s="115"/>
      <c r="G437" s="115"/>
      <c r="H437" s="115"/>
      <c r="I437" s="115"/>
      <c r="J437" s="115"/>
      <c r="K437" s="115"/>
      <c r="L437" s="115"/>
      <c r="M437" s="115"/>
      <c r="N437" s="115"/>
      <c r="O437" s="115"/>
      <c r="P437" s="115"/>
      <c r="Q437" s="91"/>
      <c r="R437" s="91"/>
      <c r="S437" s="91"/>
      <c r="T437" s="91"/>
      <c r="U437" s="91"/>
      <c r="V437" s="91"/>
      <c r="W437" s="91"/>
      <c r="X437" s="91"/>
      <c r="Y437" s="91"/>
      <c r="Z437" s="91"/>
      <c r="AA437" s="91"/>
      <c r="AB437" s="91"/>
      <c r="AC437" s="91"/>
      <c r="AD437" s="91"/>
      <c r="AE437" s="91"/>
      <c r="AF437" s="91"/>
      <c r="AG437" s="3"/>
      <c r="AH437" s="3"/>
    </row>
    <row r="438" spans="1:34" x14ac:dyDescent="0.25">
      <c r="A438" s="92">
        <f>INDEX($A$404:$P$434,ROW(A404)-ROW($A$403)+15-$B$436,COLUMN(A404))</f>
        <v>1.0000000000000001E-5</v>
      </c>
      <c r="B438" s="92">
        <f t="shared" ref="B438:P438" si="435">INDEX($A$404:$P$434,ROW(B404)-ROW($A$403)+15-$B$436,COLUMN(B404))</f>
        <v>4.1554385428399511E-15</v>
      </c>
      <c r="C438" s="92">
        <f t="shared" si="435"/>
        <v>2.270158887034942E-13</v>
      </c>
      <c r="D438" s="92">
        <f t="shared" si="435"/>
        <v>8.4546563362260552E-12</v>
      </c>
      <c r="E438" s="92">
        <f t="shared" si="435"/>
        <v>1.9250865058659275E-9</v>
      </c>
      <c r="F438" s="92">
        <f t="shared" si="435"/>
        <v>1.0000000000000001E-5</v>
      </c>
      <c r="G438" s="92">
        <f t="shared" si="435"/>
        <v>1154.5771918054734</v>
      </c>
      <c r="H438" s="92">
        <f t="shared" si="435"/>
        <v>67738.876183229324</v>
      </c>
      <c r="I438" s="92">
        <f t="shared" si="435"/>
        <v>1.0000000000000001E-5</v>
      </c>
      <c r="J438" s="92">
        <f t="shared" si="435"/>
        <v>7439.7323437678724</v>
      </c>
      <c r="K438" s="92">
        <f t="shared" si="435"/>
        <v>7373.6377383352474</v>
      </c>
      <c r="L438" s="92">
        <f t="shared" si="435"/>
        <v>7330.962888127252</v>
      </c>
      <c r="M438" s="92">
        <f t="shared" si="435"/>
        <v>7264.6309792458533</v>
      </c>
      <c r="N438" s="92">
        <f t="shared" si="435"/>
        <v>6323.7668304163335</v>
      </c>
      <c r="O438" s="92">
        <f t="shared" si="435"/>
        <v>2702.914511015118</v>
      </c>
      <c r="P438" s="92">
        <f t="shared" si="435"/>
        <v>1246.5264827258</v>
      </c>
      <c r="Q438" s="92"/>
      <c r="R438" s="92"/>
      <c r="S438" s="92"/>
      <c r="T438" s="92"/>
      <c r="U438" s="92"/>
      <c r="V438" s="72"/>
      <c r="W438" s="72"/>
      <c r="X438" s="72"/>
      <c r="Y438" s="72"/>
      <c r="Z438" s="72"/>
      <c r="AA438" s="72"/>
      <c r="AB438" s="72"/>
      <c r="AC438" s="72"/>
      <c r="AD438" s="72"/>
      <c r="AE438" s="72"/>
      <c r="AF438" s="72"/>
      <c r="AG438" s="3"/>
      <c r="AH438" s="3"/>
    </row>
    <row r="439" spans="1:34" x14ac:dyDescent="0.25">
      <c r="A439" s="92">
        <f t="shared" ref="A439:P468" si="436">INDEX($A$404:$P$434,ROW(A405)-ROW($A$403)+15-$B$436,COLUMN(A405))</f>
        <v>1E-4</v>
      </c>
      <c r="B439" s="92">
        <f t="shared" si="436"/>
        <v>4.1554385428399513E-14</v>
      </c>
      <c r="C439" s="92">
        <f t="shared" si="436"/>
        <v>2.2701588870349418E-12</v>
      </c>
      <c r="D439" s="92">
        <f t="shared" si="436"/>
        <v>8.4546563362260539E-11</v>
      </c>
      <c r="E439" s="92">
        <f t="shared" si="436"/>
        <v>1.9250865058659276E-8</v>
      </c>
      <c r="F439" s="92">
        <f t="shared" si="436"/>
        <v>1E-4</v>
      </c>
      <c r="G439" s="92">
        <f t="shared" si="436"/>
        <v>11545.771918054734</v>
      </c>
      <c r="H439" s="92">
        <f t="shared" si="436"/>
        <v>677388.76183229324</v>
      </c>
      <c r="I439" s="92">
        <f t="shared" si="436"/>
        <v>1E-4</v>
      </c>
      <c r="J439" s="92">
        <f t="shared" si="436"/>
        <v>7439.7322172544646</v>
      </c>
      <c r="K439" s="92">
        <f t="shared" si="436"/>
        <v>7373.6350664128558</v>
      </c>
      <c r="L439" s="92">
        <f t="shared" si="436"/>
        <v>7330.7179509954649</v>
      </c>
      <c r="M439" s="92">
        <f t="shared" si="436"/>
        <v>7153.647880511483</v>
      </c>
      <c r="N439" s="92">
        <f t="shared" si="436"/>
        <v>6060.8557573682765</v>
      </c>
      <c r="O439" s="92">
        <f t="shared" si="436"/>
        <v>1832.1518571214692</v>
      </c>
      <c r="P439" s="92">
        <f t="shared" si="436"/>
        <v>721.62368462950201</v>
      </c>
      <c r="Q439" s="92"/>
      <c r="R439" s="92"/>
      <c r="S439" s="92"/>
      <c r="T439" s="92"/>
      <c r="U439" s="92"/>
      <c r="V439" s="15"/>
      <c r="W439" s="15"/>
      <c r="X439" s="15"/>
      <c r="Y439" s="15"/>
      <c r="Z439" s="15"/>
      <c r="AA439" s="15"/>
      <c r="AB439" s="15"/>
      <c r="AC439" s="15"/>
      <c r="AD439" s="15"/>
      <c r="AE439" s="15"/>
      <c r="AF439" s="15"/>
      <c r="AG439" s="38"/>
      <c r="AH439" s="38"/>
    </row>
    <row r="440" spans="1:34" x14ac:dyDescent="0.25">
      <c r="A440" s="92">
        <f t="shared" si="436"/>
        <v>1E-3</v>
      </c>
      <c r="B440" s="92">
        <f t="shared" si="436"/>
        <v>4.1554385428399512E-13</v>
      </c>
      <c r="C440" s="92">
        <f t="shared" si="436"/>
        <v>2.270158887034942E-11</v>
      </c>
      <c r="D440" s="92">
        <f t="shared" si="436"/>
        <v>8.4546563362260539E-10</v>
      </c>
      <c r="E440" s="92">
        <f t="shared" si="436"/>
        <v>1.9250865058659276E-7</v>
      </c>
      <c r="F440" s="92">
        <f t="shared" si="436"/>
        <v>1E-3</v>
      </c>
      <c r="G440" s="92">
        <f t="shared" si="436"/>
        <v>115457.71918054733</v>
      </c>
      <c r="H440" s="92">
        <f t="shared" si="436"/>
        <v>6773887.6183229322</v>
      </c>
      <c r="I440" s="92">
        <f t="shared" si="436"/>
        <v>1E-3</v>
      </c>
      <c r="J440" s="92">
        <f t="shared" si="436"/>
        <v>7439.7315214307937</v>
      </c>
      <c r="K440" s="92">
        <f t="shared" si="436"/>
        <v>7373.6085958444728</v>
      </c>
      <c r="L440" s="92">
        <f t="shared" si="436"/>
        <v>7328.2878922672335</v>
      </c>
      <c r="M440" s="92">
        <f t="shared" si="436"/>
        <v>7011.9974153857656</v>
      </c>
      <c r="N440" s="92">
        <f t="shared" si="436"/>
        <v>5776.7475493188331</v>
      </c>
      <c r="O440" s="92">
        <f t="shared" si="436"/>
        <v>1105.139847553852</v>
      </c>
      <c r="P440" s="92">
        <f t="shared" si="436"/>
        <v>404.72633399765499</v>
      </c>
      <c r="Q440" s="92"/>
      <c r="R440" s="92"/>
      <c r="S440" s="92"/>
      <c r="T440" s="92"/>
      <c r="U440" s="92"/>
      <c r="V440" s="15"/>
      <c r="W440" s="15"/>
      <c r="X440" s="15"/>
      <c r="Y440" s="15"/>
      <c r="Z440" s="15"/>
      <c r="AA440" s="15"/>
      <c r="AB440" s="15"/>
      <c r="AC440" s="15"/>
      <c r="AD440" s="15"/>
      <c r="AE440" s="15"/>
      <c r="AF440" s="15"/>
    </row>
    <row r="441" spans="1:34" x14ac:dyDescent="0.25">
      <c r="A441" s="92">
        <f t="shared" si="436"/>
        <v>0.01</v>
      </c>
      <c r="B441" s="92">
        <f t="shared" si="436"/>
        <v>4.1554385428399516E-12</v>
      </c>
      <c r="C441" s="92">
        <f t="shared" si="436"/>
        <v>2.270158887034942E-10</v>
      </c>
      <c r="D441" s="92">
        <f t="shared" si="436"/>
        <v>8.4546563362260539E-9</v>
      </c>
      <c r="E441" s="92">
        <f t="shared" si="436"/>
        <v>1.9250865058659274E-6</v>
      </c>
      <c r="F441" s="92">
        <f t="shared" si="436"/>
        <v>0.01</v>
      </c>
      <c r="G441" s="92">
        <f t="shared" si="436"/>
        <v>1154577.1918054733</v>
      </c>
      <c r="H441" s="92">
        <f t="shared" si="436"/>
        <v>67738876.183229327</v>
      </c>
      <c r="I441" s="92">
        <f t="shared" si="436"/>
        <v>0.01</v>
      </c>
      <c r="J441" s="92">
        <f t="shared" si="436"/>
        <v>7439.7241836618095</v>
      </c>
      <c r="K441" s="92">
        <f t="shared" si="436"/>
        <v>7373.3444598084343</v>
      </c>
      <c r="L441" s="92">
        <f t="shared" si="436"/>
        <v>7305.7841813741479</v>
      </c>
      <c r="M441" s="92">
        <f t="shared" si="436"/>
        <v>6854.7708758756735</v>
      </c>
      <c r="N441" s="92">
        <f t="shared" si="436"/>
        <v>5495.7675366958674</v>
      </c>
      <c r="O441" s="92">
        <f t="shared" si="436"/>
        <v>630.91869332772831</v>
      </c>
      <c r="P441" s="92">
        <f t="shared" si="436"/>
        <v>265.07180083177406</v>
      </c>
      <c r="Q441" s="92"/>
      <c r="R441" s="92"/>
      <c r="S441" s="92"/>
      <c r="T441" s="92"/>
      <c r="U441" s="92"/>
      <c r="V441" s="22"/>
      <c r="W441" s="22"/>
      <c r="X441" s="22"/>
      <c r="Y441" s="22"/>
      <c r="Z441" s="22"/>
      <c r="AA441" s="22"/>
      <c r="AB441" s="22"/>
      <c r="AC441" s="22"/>
      <c r="AD441" s="22"/>
      <c r="AE441" s="22"/>
      <c r="AF441" s="22"/>
      <c r="AG441" s="22"/>
      <c r="AH441" s="22"/>
    </row>
    <row r="442" spans="1:34" x14ac:dyDescent="0.25">
      <c r="A442" s="92">
        <f t="shared" si="436"/>
        <v>0.1</v>
      </c>
      <c r="B442" s="92">
        <f t="shared" si="436"/>
        <v>4.1554385428399514E-11</v>
      </c>
      <c r="C442" s="92">
        <f t="shared" si="436"/>
        <v>2.2701588870349419E-9</v>
      </c>
      <c r="D442" s="92">
        <f t="shared" si="436"/>
        <v>8.4546563362260545E-8</v>
      </c>
      <c r="E442" s="92">
        <f t="shared" si="436"/>
        <v>1.9250865058659274E-5</v>
      </c>
      <c r="F442" s="92">
        <f t="shared" si="436"/>
        <v>0.1</v>
      </c>
      <c r="G442" s="92">
        <f t="shared" si="436"/>
        <v>11545771.918054733</v>
      </c>
      <c r="H442" s="92">
        <f t="shared" si="436"/>
        <v>677388761.83229327</v>
      </c>
      <c r="I442" s="92">
        <f t="shared" si="436"/>
        <v>0.1</v>
      </c>
      <c r="J442" s="92">
        <f t="shared" si="436"/>
        <v>7439.6508067680606</v>
      </c>
      <c r="K442" s="92">
        <f t="shared" si="436"/>
        <v>7370.7250016112393</v>
      </c>
      <c r="L442" s="92">
        <f t="shared" si="436"/>
        <v>7188.9840707641179</v>
      </c>
      <c r="M442" s="92">
        <f t="shared" si="436"/>
        <v>6667.3368038637464</v>
      </c>
      <c r="N442" s="92">
        <f t="shared" si="436"/>
        <v>5188.5996988750203</v>
      </c>
      <c r="O442" s="92">
        <f t="shared" si="436"/>
        <v>354.28738756335468</v>
      </c>
      <c r="P442" s="92">
        <f t="shared" si="436"/>
        <v>224.4007416662501</v>
      </c>
      <c r="Q442" s="92"/>
      <c r="R442" s="92"/>
      <c r="S442" s="92"/>
      <c r="T442" s="92"/>
      <c r="U442" s="92"/>
      <c r="V442" s="22"/>
      <c r="W442" s="22"/>
      <c r="X442" s="22"/>
      <c r="Y442" s="22"/>
      <c r="Z442" s="22"/>
      <c r="AA442" s="22"/>
      <c r="AB442" s="22"/>
      <c r="AC442" s="22"/>
      <c r="AD442" s="22"/>
      <c r="AE442" s="22"/>
      <c r="AF442" s="22"/>
      <c r="AG442" s="26"/>
      <c r="AH442" s="26"/>
    </row>
    <row r="443" spans="1:34" x14ac:dyDescent="0.25">
      <c r="A443" s="92">
        <f t="shared" si="436"/>
        <v>1</v>
      </c>
      <c r="B443" s="92">
        <f t="shared" si="436"/>
        <v>4.155438542839951E-10</v>
      </c>
      <c r="C443" s="92">
        <f t="shared" si="436"/>
        <v>2.2701588870349417E-8</v>
      </c>
      <c r="D443" s="92">
        <f t="shared" si="436"/>
        <v>8.4546563362260537E-7</v>
      </c>
      <c r="E443" s="92">
        <f t="shared" si="436"/>
        <v>1.9250865058659274E-4</v>
      </c>
      <c r="F443" s="92">
        <f t="shared" si="436"/>
        <v>1</v>
      </c>
      <c r="G443" s="92">
        <f t="shared" si="436"/>
        <v>115457719.18054733</v>
      </c>
      <c r="H443" s="92">
        <f t="shared" si="436"/>
        <v>6773887618.3229322</v>
      </c>
      <c r="I443" s="92">
        <f t="shared" si="436"/>
        <v>1</v>
      </c>
      <c r="J443" s="92">
        <f t="shared" si="436"/>
        <v>7438.9188882303606</v>
      </c>
      <c r="K443" s="92">
        <f t="shared" si="436"/>
        <v>7346.5860708392247</v>
      </c>
      <c r="L443" s="92">
        <f t="shared" si="436"/>
        <v>7045.3278356909095</v>
      </c>
      <c r="M443" s="92">
        <f t="shared" si="436"/>
        <v>6457.8733144157241</v>
      </c>
      <c r="N443" s="92">
        <f t="shared" si="436"/>
        <v>4846.1759775211867</v>
      </c>
      <c r="O443" s="92">
        <f t="shared" si="436"/>
        <v>248.22351395532451</v>
      </c>
      <c r="P443" s="92">
        <f t="shared" si="436"/>
        <v>202.49198438372559</v>
      </c>
      <c r="Q443" s="92"/>
      <c r="R443" s="92"/>
      <c r="S443" s="92"/>
      <c r="T443" s="92"/>
      <c r="U443" s="92"/>
      <c r="V443" s="22"/>
      <c r="W443" s="22"/>
      <c r="X443" s="22"/>
      <c r="Y443" s="22"/>
      <c r="Z443" s="22"/>
      <c r="AA443" s="22"/>
      <c r="AB443" s="22"/>
      <c r="AC443" s="22"/>
      <c r="AD443" s="22"/>
      <c r="AE443" s="22"/>
      <c r="AF443" s="22"/>
      <c r="AG443" s="27"/>
      <c r="AH443" s="27"/>
    </row>
    <row r="444" spans="1:34" x14ac:dyDescent="0.25">
      <c r="A444" s="92">
        <f t="shared" si="436"/>
        <v>10</v>
      </c>
      <c r="B444" s="92">
        <f t="shared" si="436"/>
        <v>4.1554385428399509E-9</v>
      </c>
      <c r="C444" s="92">
        <f t="shared" si="436"/>
        <v>2.2701588870349418E-7</v>
      </c>
      <c r="D444" s="92">
        <f t="shared" si="436"/>
        <v>8.4546563362260542E-6</v>
      </c>
      <c r="E444" s="92">
        <f t="shared" si="436"/>
        <v>1.9250865058659274E-3</v>
      </c>
      <c r="F444" s="92">
        <f t="shared" si="436"/>
        <v>10</v>
      </c>
      <c r="G444" s="92">
        <f t="shared" si="436"/>
        <v>1154577191.8054733</v>
      </c>
      <c r="H444" s="92">
        <f t="shared" si="436"/>
        <v>67738876183.229324</v>
      </c>
      <c r="I444" s="92">
        <f t="shared" si="436"/>
        <v>10</v>
      </c>
      <c r="J444" s="92">
        <f t="shared" si="436"/>
        <v>7431.7642795214106</v>
      </c>
      <c r="K444" s="92">
        <f t="shared" si="436"/>
        <v>7225.4468313347925</v>
      </c>
      <c r="L444" s="92">
        <f t="shared" si="436"/>
        <v>6881.2247214769232</v>
      </c>
      <c r="M444" s="92">
        <f t="shared" si="436"/>
        <v>6197.1395066404111</v>
      </c>
      <c r="N444" s="92">
        <f t="shared" si="436"/>
        <v>4307.5308640863095</v>
      </c>
      <c r="O444" s="92">
        <f t="shared" si="436"/>
        <v>214.57476664013214</v>
      </c>
      <c r="P444" s="92">
        <f t="shared" si="436"/>
        <v>189.83771999127222</v>
      </c>
      <c r="Q444" s="92"/>
      <c r="R444" s="92"/>
      <c r="S444" s="92"/>
      <c r="T444" s="92"/>
      <c r="U444" s="92"/>
      <c r="V444" s="42"/>
      <c r="W444" s="42"/>
      <c r="X444" s="42"/>
      <c r="Y444" s="42"/>
      <c r="Z444" s="42"/>
      <c r="AA444" s="42"/>
      <c r="AB444" s="42"/>
      <c r="AC444" s="42"/>
      <c r="AD444" s="42"/>
      <c r="AE444" s="42"/>
      <c r="AF444" s="42"/>
      <c r="AG444" s="3"/>
      <c r="AH444" s="3"/>
    </row>
    <row r="445" spans="1:34" x14ac:dyDescent="0.25">
      <c r="A445" s="92">
        <f t="shared" si="436"/>
        <v>100</v>
      </c>
      <c r="B445" s="92">
        <f t="shared" si="436"/>
        <v>4.1554385428399509E-8</v>
      </c>
      <c r="C445" s="92">
        <f t="shared" si="436"/>
        <v>2.2701588870349417E-6</v>
      </c>
      <c r="D445" s="92">
        <f t="shared" si="436"/>
        <v>8.4546563362260542E-5</v>
      </c>
      <c r="E445" s="92">
        <f t="shared" si="436"/>
        <v>1.9250865058659274E-2</v>
      </c>
      <c r="F445" s="92">
        <f t="shared" si="436"/>
        <v>100</v>
      </c>
      <c r="G445" s="92">
        <f t="shared" si="436"/>
        <v>11545771918.054733</v>
      </c>
      <c r="H445" s="92">
        <f t="shared" si="436"/>
        <v>677388761832.29321</v>
      </c>
      <c r="I445" s="92">
        <f t="shared" si="436"/>
        <v>100</v>
      </c>
      <c r="J445" s="92">
        <f t="shared" si="436"/>
        <v>7374.1954046997607</v>
      </c>
      <c r="K445" s="92">
        <f t="shared" si="436"/>
        <v>7074.5614632967963</v>
      </c>
      <c r="L445" s="92">
        <f t="shared" si="436"/>
        <v>6633.2763958157147</v>
      </c>
      <c r="M445" s="92">
        <f t="shared" si="436"/>
        <v>5728.6851502202007</v>
      </c>
      <c r="N445" s="92">
        <f t="shared" si="436"/>
        <v>3424.2409160347711</v>
      </c>
      <c r="O445" s="92">
        <f t="shared" si="436"/>
        <v>185.72591291449908</v>
      </c>
      <c r="P445" s="92">
        <f t="shared" si="436"/>
        <v>169.86288435020435</v>
      </c>
      <c r="Q445" s="92"/>
      <c r="R445" s="92"/>
      <c r="S445" s="92"/>
      <c r="T445" s="92"/>
      <c r="U445" s="92"/>
      <c r="V445" s="42"/>
      <c r="W445" s="42"/>
      <c r="X445" s="42"/>
      <c r="Y445" s="42"/>
      <c r="Z445" s="42"/>
      <c r="AA445" s="42"/>
      <c r="AB445" s="42"/>
      <c r="AC445" s="42"/>
      <c r="AD445" s="42"/>
      <c r="AE445" s="42"/>
      <c r="AF445" s="42"/>
      <c r="AG445" s="3"/>
      <c r="AH445" s="3"/>
    </row>
    <row r="446" spans="1:34" x14ac:dyDescent="0.25">
      <c r="A446" s="92">
        <f t="shared" si="436"/>
        <v>1000</v>
      </c>
      <c r="B446" s="92">
        <f t="shared" si="436"/>
        <v>4.1554385428399509E-7</v>
      </c>
      <c r="C446" s="92">
        <f t="shared" si="436"/>
        <v>2.2701588870349416E-5</v>
      </c>
      <c r="D446" s="92">
        <f t="shared" si="436"/>
        <v>8.4546563362260534E-4</v>
      </c>
      <c r="E446" s="92">
        <f t="shared" si="436"/>
        <v>0.19250865058659275</v>
      </c>
      <c r="F446" s="92">
        <f t="shared" si="436"/>
        <v>1000</v>
      </c>
      <c r="G446" s="92">
        <f t="shared" si="436"/>
        <v>115457719180.54733</v>
      </c>
      <c r="H446" s="92">
        <f t="shared" si="436"/>
        <v>6773887618322.9326</v>
      </c>
      <c r="I446" s="92">
        <f t="shared" si="436"/>
        <v>1000</v>
      </c>
      <c r="J446" s="92">
        <f t="shared" si="436"/>
        <v>7229.1163160436472</v>
      </c>
      <c r="K446" s="92">
        <f t="shared" si="436"/>
        <v>6837.385209483964</v>
      </c>
      <c r="L446" s="92">
        <f t="shared" si="436"/>
        <v>6142.0459094556854</v>
      </c>
      <c r="M446" s="92">
        <f t="shared" si="436"/>
        <v>4909.4106843846976</v>
      </c>
      <c r="N446" s="92">
        <f t="shared" si="436"/>
        <v>2457.6306581082695</v>
      </c>
      <c r="O446" s="92">
        <f t="shared" si="436"/>
        <v>158.09658219581334</v>
      </c>
      <c r="P446" s="92">
        <f t="shared" si="436"/>
        <v>142.29365996368665</v>
      </c>
      <c r="Q446" s="92"/>
      <c r="R446" s="92"/>
      <c r="S446" s="92"/>
      <c r="T446" s="92"/>
      <c r="U446" s="92"/>
      <c r="V446" s="42"/>
      <c r="W446" s="42"/>
      <c r="X446" s="42"/>
      <c r="Y446" s="42"/>
      <c r="Z446" s="42"/>
      <c r="AA446" s="42"/>
      <c r="AB446" s="42"/>
      <c r="AC446" s="42"/>
      <c r="AD446" s="42"/>
      <c r="AE446" s="42"/>
      <c r="AF446" s="42"/>
      <c r="AG446" s="3"/>
      <c r="AH446" s="3"/>
    </row>
    <row r="447" spans="1:34" x14ac:dyDescent="0.25">
      <c r="A447" s="92">
        <f t="shared" si="436"/>
        <v>10000</v>
      </c>
      <c r="B447" s="92">
        <f t="shared" si="436"/>
        <v>4.1554385428399512E-6</v>
      </c>
      <c r="C447" s="92">
        <f t="shared" si="436"/>
        <v>2.2701588870349418E-4</v>
      </c>
      <c r="D447" s="92">
        <f t="shared" si="436"/>
        <v>8.4546563362260536E-3</v>
      </c>
      <c r="E447" s="92">
        <f t="shared" si="436"/>
        <v>1.9250865058659274</v>
      </c>
      <c r="F447" s="92">
        <f t="shared" si="436"/>
        <v>10000</v>
      </c>
      <c r="G447" s="92">
        <f t="shared" si="436"/>
        <v>1154577191805.4734</v>
      </c>
      <c r="H447" s="92">
        <f t="shared" si="436"/>
        <v>67738876183229.32</v>
      </c>
      <c r="I447" s="92">
        <f t="shared" si="436"/>
        <v>10000</v>
      </c>
      <c r="J447" s="92">
        <f t="shared" si="436"/>
        <v>7065.0007195804155</v>
      </c>
      <c r="K447" s="92">
        <f t="shared" si="436"/>
        <v>6289.6718355453368</v>
      </c>
      <c r="L447" s="92">
        <f t="shared" si="436"/>
        <v>5263.2654078154883</v>
      </c>
      <c r="M447" s="92">
        <f t="shared" si="436"/>
        <v>4054.6855956010618</v>
      </c>
      <c r="N447" s="92">
        <f t="shared" si="436"/>
        <v>1610.938712030013</v>
      </c>
      <c r="O447" s="92">
        <f t="shared" si="436"/>
        <v>132.46407229952649</v>
      </c>
      <c r="P447" s="92">
        <f t="shared" si="436"/>
        <v>121.71619952615258</v>
      </c>
      <c r="Q447" s="92"/>
      <c r="R447" s="92"/>
      <c r="S447" s="92"/>
      <c r="T447" s="92"/>
      <c r="U447" s="92"/>
      <c r="V447" s="42"/>
      <c r="W447" s="42"/>
      <c r="X447" s="42"/>
      <c r="Y447" s="42"/>
      <c r="Z447" s="42"/>
      <c r="AA447" s="42"/>
      <c r="AB447" s="42"/>
      <c r="AC447" s="42"/>
      <c r="AD447" s="42"/>
      <c r="AE447" s="42"/>
      <c r="AF447" s="42"/>
      <c r="AG447" s="3"/>
      <c r="AH447" s="3"/>
    </row>
    <row r="448" spans="1:34" x14ac:dyDescent="0.25">
      <c r="A448" s="92">
        <f t="shared" si="436"/>
        <v>100000</v>
      </c>
      <c r="B448" s="92">
        <f t="shared" si="436"/>
        <v>4.1554385428399512E-5</v>
      </c>
      <c r="C448" s="92">
        <f t="shared" si="436"/>
        <v>2.2701588870349416E-3</v>
      </c>
      <c r="D448" s="92">
        <f t="shared" si="436"/>
        <v>8.4546563362260532E-2</v>
      </c>
      <c r="E448" s="92">
        <f t="shared" si="436"/>
        <v>19.250865058659276</v>
      </c>
      <c r="F448" s="92">
        <f t="shared" si="436"/>
        <v>100000</v>
      </c>
      <c r="G448" s="92">
        <f t="shared" si="436"/>
        <v>11545771918054.732</v>
      </c>
      <c r="H448" s="92">
        <f t="shared" si="436"/>
        <v>677388761832293.25</v>
      </c>
      <c r="I448" s="92">
        <f t="shared" si="436"/>
        <v>100000</v>
      </c>
      <c r="J448" s="92">
        <f t="shared" si="436"/>
        <v>6763.2909836921517</v>
      </c>
      <c r="K448" s="92">
        <f t="shared" si="436"/>
        <v>5393.096219252795</v>
      </c>
      <c r="L448" s="92">
        <f t="shared" si="436"/>
        <v>4399.1328288595505</v>
      </c>
      <c r="M448" s="92">
        <f t="shared" si="436"/>
        <v>3384.7376862720757</v>
      </c>
      <c r="N448" s="92">
        <f t="shared" si="436"/>
        <v>942.69111378955085</v>
      </c>
      <c r="O448" s="92">
        <f t="shared" si="436"/>
        <v>115.64370251909122</v>
      </c>
      <c r="P448" s="92">
        <f t="shared" si="436"/>
        <v>109.27679567564616</v>
      </c>
      <c r="Q448" s="92"/>
      <c r="R448" s="92"/>
      <c r="S448" s="92"/>
      <c r="T448" s="92"/>
      <c r="U448" s="92"/>
      <c r="V448" s="42"/>
      <c r="W448" s="42"/>
      <c r="X448" s="42"/>
      <c r="Y448" s="42"/>
      <c r="Z448" s="42"/>
      <c r="AA448" s="42"/>
      <c r="AB448" s="42"/>
      <c r="AC448" s="42"/>
      <c r="AD448" s="42"/>
      <c r="AE448" s="42"/>
      <c r="AF448" s="42"/>
      <c r="AG448" s="3"/>
      <c r="AH448" s="3"/>
    </row>
    <row r="449" spans="1:34" x14ac:dyDescent="0.25">
      <c r="A449" s="92">
        <f t="shared" si="436"/>
        <v>1000000</v>
      </c>
      <c r="B449" s="92">
        <f t="shared" si="436"/>
        <v>4.155438542839951E-4</v>
      </c>
      <c r="C449" s="92">
        <f t="shared" si="436"/>
        <v>2.2701588870349419E-2</v>
      </c>
      <c r="D449" s="92">
        <f t="shared" si="436"/>
        <v>0.84546563362260541</v>
      </c>
      <c r="E449" s="92">
        <f t="shared" si="436"/>
        <v>192.50865058659275</v>
      </c>
      <c r="F449" s="92">
        <f t="shared" si="436"/>
        <v>1000000</v>
      </c>
      <c r="G449" s="92">
        <f t="shared" si="436"/>
        <v>115457719180547.33</v>
      </c>
      <c r="H449" s="92">
        <f t="shared" si="436"/>
        <v>6773887618322932</v>
      </c>
      <c r="I449" s="92">
        <f t="shared" si="436"/>
        <v>1000000</v>
      </c>
      <c r="J449" s="92">
        <f t="shared" si="436"/>
        <v>6076.274832146727</v>
      </c>
      <c r="K449" s="92">
        <f t="shared" si="436"/>
        <v>4558.7271908643725</v>
      </c>
      <c r="L449" s="92">
        <f t="shared" si="436"/>
        <v>3757.2475587809995</v>
      </c>
      <c r="M449" s="92">
        <f t="shared" si="436"/>
        <v>2867.8130883318549</v>
      </c>
      <c r="N449" s="92">
        <f t="shared" si="436"/>
        <v>510.32470275306576</v>
      </c>
      <c r="O449" s="92">
        <f t="shared" si="436"/>
        <v>105.70344373363407</v>
      </c>
      <c r="P449" s="92">
        <f t="shared" si="436"/>
        <v>101.92394551670053</v>
      </c>
      <c r="Q449" s="92"/>
      <c r="R449" s="92"/>
      <c r="S449" s="92"/>
      <c r="T449" s="92"/>
      <c r="U449" s="92"/>
      <c r="V449" s="42"/>
      <c r="W449" s="42"/>
      <c r="X449" s="42"/>
      <c r="Y449" s="42"/>
      <c r="Z449" s="42"/>
      <c r="AA449" s="42"/>
      <c r="AB449" s="42"/>
      <c r="AC449" s="42"/>
      <c r="AD449" s="42"/>
      <c r="AE449" s="42"/>
      <c r="AF449" s="42"/>
      <c r="AG449" s="3"/>
      <c r="AH449" s="3"/>
    </row>
    <row r="450" spans="1:34" x14ac:dyDescent="0.25">
      <c r="A450" s="92">
        <f t="shared" si="436"/>
        <v>10000000</v>
      </c>
      <c r="B450" s="92">
        <f t="shared" si="436"/>
        <v>4.155438542839951E-3</v>
      </c>
      <c r="C450" s="92">
        <f t="shared" si="436"/>
        <v>0.22701588870349418</v>
      </c>
      <c r="D450" s="92">
        <f t="shared" si="436"/>
        <v>8.4546563362260532</v>
      </c>
      <c r="E450" s="92">
        <f t="shared" si="436"/>
        <v>1925.0865058659274</v>
      </c>
      <c r="F450" s="92">
        <f t="shared" si="436"/>
        <v>10000000</v>
      </c>
      <c r="G450" s="92">
        <f t="shared" si="436"/>
        <v>1154577191805473.2</v>
      </c>
      <c r="H450" s="92">
        <f t="shared" si="436"/>
        <v>6.7738876183229328E+16</v>
      </c>
      <c r="I450" s="92">
        <f t="shared" si="436"/>
        <v>10000000</v>
      </c>
      <c r="J450" s="92">
        <f t="shared" si="436"/>
        <v>5152.9727387836929</v>
      </c>
      <c r="K450" s="92">
        <f t="shared" si="436"/>
        <v>3927.5350129983676</v>
      </c>
      <c r="L450" s="92">
        <f t="shared" si="436"/>
        <v>3291.1531992809396</v>
      </c>
      <c r="M450" s="92">
        <f t="shared" si="436"/>
        <v>2393.9219661874804</v>
      </c>
      <c r="N450" s="92">
        <f t="shared" si="436"/>
        <v>271.36767023207187</v>
      </c>
      <c r="O450" s="92">
        <f t="shared" si="436"/>
        <v>99.769058005183027</v>
      </c>
      <c r="P450" s="92">
        <f t="shared" si="436"/>
        <v>97.501289329192588</v>
      </c>
      <c r="Q450" s="92"/>
      <c r="R450" s="92"/>
      <c r="S450" s="92"/>
      <c r="T450" s="92"/>
      <c r="U450" s="92"/>
      <c r="V450" s="42"/>
      <c r="W450" s="42"/>
      <c r="X450" s="42"/>
      <c r="Y450" s="42"/>
      <c r="Z450" s="42"/>
      <c r="AA450" s="42"/>
      <c r="AB450" s="42"/>
      <c r="AC450" s="42"/>
      <c r="AD450" s="42"/>
      <c r="AE450" s="42"/>
      <c r="AF450" s="42"/>
      <c r="AG450" s="3"/>
      <c r="AH450" s="3"/>
    </row>
    <row r="451" spans="1:34" x14ac:dyDescent="0.25">
      <c r="A451" s="92">
        <f t="shared" si="436"/>
        <v>100000000</v>
      </c>
      <c r="B451" s="92">
        <f t="shared" si="436"/>
        <v>4.155438542839951E-2</v>
      </c>
      <c r="C451" s="92">
        <f t="shared" si="436"/>
        <v>2.2701588870349418</v>
      </c>
      <c r="D451" s="92">
        <f t="shared" si="436"/>
        <v>84.546563362260542</v>
      </c>
      <c r="E451" s="92">
        <f t="shared" si="436"/>
        <v>19250.865058659274</v>
      </c>
      <c r="F451" s="92">
        <f t="shared" si="436"/>
        <v>100000000</v>
      </c>
      <c r="G451" s="92">
        <f t="shared" si="436"/>
        <v>1.1545771918054732E+16</v>
      </c>
      <c r="H451" s="92">
        <f t="shared" si="436"/>
        <v>6.7738876183229325E+17</v>
      </c>
      <c r="I451" s="92">
        <f t="shared" si="436"/>
        <v>100000000</v>
      </c>
      <c r="J451" s="92">
        <f t="shared" si="436"/>
        <v>4349.4578522571974</v>
      </c>
      <c r="K451" s="92">
        <f t="shared" si="436"/>
        <v>3470.8276794707381</v>
      </c>
      <c r="L451" s="92">
        <f t="shared" si="436"/>
        <v>2923.3907186801598</v>
      </c>
      <c r="M451" s="92">
        <f t="shared" si="436"/>
        <v>1923.0446750969861</v>
      </c>
      <c r="N451" s="92">
        <f t="shared" si="436"/>
        <v>152.45647454769647</v>
      </c>
      <c r="O451" s="92">
        <f t="shared" si="436"/>
        <v>96.16135307969536</v>
      </c>
      <c r="P451" s="92">
        <f t="shared" si="436"/>
        <v>94.712895608864457</v>
      </c>
      <c r="Q451" s="92"/>
      <c r="R451" s="92"/>
      <c r="S451" s="92"/>
      <c r="T451" s="92"/>
      <c r="U451" s="92"/>
      <c r="V451" s="42"/>
      <c r="W451" s="42"/>
      <c r="X451" s="42"/>
      <c r="Y451" s="42"/>
      <c r="Z451" s="42"/>
      <c r="AA451" s="42"/>
      <c r="AB451" s="42"/>
      <c r="AC451" s="42"/>
      <c r="AD451" s="42"/>
      <c r="AE451" s="42"/>
      <c r="AF451" s="42"/>
      <c r="AG451" s="3"/>
      <c r="AH451" s="3"/>
    </row>
    <row r="452" spans="1:34" x14ac:dyDescent="0.25">
      <c r="A452" s="92">
        <f t="shared" si="436"/>
        <v>1000000000</v>
      </c>
      <c r="B452" s="92">
        <f t="shared" si="436"/>
        <v>0.4155438542839951</v>
      </c>
      <c r="C452" s="92">
        <f t="shared" si="436"/>
        <v>22.701588870349418</v>
      </c>
      <c r="D452" s="92">
        <f t="shared" si="436"/>
        <v>845.46563362260542</v>
      </c>
      <c r="E452" s="92">
        <f t="shared" si="436"/>
        <v>192508.65058659273</v>
      </c>
      <c r="F452" s="92">
        <f t="shared" si="436"/>
        <v>1000000000</v>
      </c>
      <c r="G452" s="92">
        <f t="shared" si="436"/>
        <v>1.1545771918054733E+17</v>
      </c>
      <c r="H452" s="92">
        <f t="shared" si="436"/>
        <v>6.7738876183229327E+18</v>
      </c>
      <c r="I452" s="92">
        <f t="shared" si="436"/>
        <v>1000000000</v>
      </c>
      <c r="J452" s="92">
        <f t="shared" si="436"/>
        <v>3760.3414331574859</v>
      </c>
      <c r="K452" s="92">
        <f t="shared" si="436"/>
        <v>3119.1195128427248</v>
      </c>
      <c r="L452" s="92">
        <f t="shared" si="436"/>
        <v>2591.8565821190209</v>
      </c>
      <c r="M452" s="92">
        <f t="shared" si="436"/>
        <v>1433.0262098856042</v>
      </c>
      <c r="N452" s="92">
        <f t="shared" si="436"/>
        <v>114.48528241321054</v>
      </c>
      <c r="O452" s="92">
        <f t="shared" si="436"/>
        <v>93.862812708921865</v>
      </c>
      <c r="P452" s="92">
        <f t="shared" si="436"/>
        <v>92.92945942455529</v>
      </c>
      <c r="Q452" s="92"/>
      <c r="R452" s="92"/>
      <c r="S452" s="92"/>
      <c r="T452" s="92"/>
      <c r="U452" s="92"/>
      <c r="V452" s="42"/>
      <c r="W452" s="42"/>
      <c r="X452" s="42"/>
      <c r="Y452" s="42"/>
      <c r="Z452" s="42"/>
      <c r="AA452" s="42"/>
      <c r="AB452" s="42"/>
      <c r="AC452" s="42"/>
      <c r="AD452" s="42"/>
      <c r="AE452" s="42"/>
      <c r="AF452" s="42"/>
      <c r="AG452" s="3"/>
      <c r="AH452" s="3"/>
    </row>
    <row r="453" spans="1:34" x14ac:dyDescent="0.25">
      <c r="A453" s="92">
        <f t="shared" si="436"/>
        <v>10000000000</v>
      </c>
      <c r="B453" s="92">
        <f t="shared" si="436"/>
        <v>4.155438542839951</v>
      </c>
      <c r="C453" s="92">
        <f t="shared" si="436"/>
        <v>227.01588870349417</v>
      </c>
      <c r="D453" s="92">
        <f t="shared" si="436"/>
        <v>8454.6563362260531</v>
      </c>
      <c r="E453" s="92">
        <f t="shared" si="436"/>
        <v>1925086.5058659273</v>
      </c>
      <c r="F453" s="92">
        <f t="shared" si="436"/>
        <v>10000000000</v>
      </c>
      <c r="G453" s="92">
        <f t="shared" si="436"/>
        <v>1.1545771918054733E+18</v>
      </c>
      <c r="H453" s="92">
        <f t="shared" si="436"/>
        <v>6.7738876183229325E+19</v>
      </c>
      <c r="I453" s="92">
        <f t="shared" si="436"/>
        <v>10000000000</v>
      </c>
      <c r="J453" s="92">
        <f t="shared" si="436"/>
        <v>3336.4331784463179</v>
      </c>
      <c r="K453" s="92">
        <f t="shared" si="436"/>
        <v>2819.4631556550398</v>
      </c>
      <c r="L453" s="92">
        <f t="shared" si="436"/>
        <v>2227.1388397843657</v>
      </c>
      <c r="M453" s="92">
        <f t="shared" si="436"/>
        <v>928.3724969127901</v>
      </c>
      <c r="N453" s="92">
        <f t="shared" si="436"/>
        <v>101.06517730245214</v>
      </c>
      <c r="O453" s="92">
        <f t="shared" si="436"/>
        <v>92.381155101656375</v>
      </c>
      <c r="P453" s="92">
        <f t="shared" si="436"/>
        <v>92.006187989209394</v>
      </c>
      <c r="Q453" s="92"/>
      <c r="R453" s="92"/>
      <c r="S453" s="92"/>
      <c r="T453" s="92"/>
      <c r="U453" s="92"/>
      <c r="V453" s="42"/>
      <c r="W453" s="42"/>
      <c r="X453" s="42"/>
      <c r="Y453" s="42"/>
      <c r="Z453" s="42"/>
      <c r="AA453" s="42"/>
      <c r="AB453" s="42"/>
      <c r="AC453" s="42"/>
      <c r="AD453" s="42"/>
      <c r="AE453" s="42"/>
      <c r="AF453" s="42"/>
      <c r="AG453" s="3"/>
      <c r="AH453" s="3"/>
    </row>
    <row r="454" spans="1:34" x14ac:dyDescent="0.25">
      <c r="A454" s="92">
        <f t="shared" si="436"/>
        <v>100000000000</v>
      </c>
      <c r="B454" s="92">
        <f t="shared" ref="B454:P468" si="437">INDEX($A$404:$P$434,ROW(B420)-ROW($A$403)+15-$B$436,COLUMN(B420))</f>
        <v>41.554385428399513</v>
      </c>
      <c r="C454" s="92">
        <f t="shared" si="437"/>
        <v>2270.1588870349419</v>
      </c>
      <c r="D454" s="92">
        <f t="shared" si="437"/>
        <v>84546.563362260538</v>
      </c>
      <c r="E454" s="92">
        <f t="shared" si="437"/>
        <v>19250865.058659274</v>
      </c>
      <c r="F454" s="92">
        <f t="shared" si="437"/>
        <v>100000000000</v>
      </c>
      <c r="G454" s="92">
        <f t="shared" si="437"/>
        <v>1.1545771918054732E+19</v>
      </c>
      <c r="H454" s="92">
        <f t="shared" si="437"/>
        <v>6.7738876183229327E+20</v>
      </c>
      <c r="I454" s="92">
        <f t="shared" si="437"/>
        <v>100000000000</v>
      </c>
      <c r="J454" s="92">
        <f t="shared" si="437"/>
        <v>2995.2983606085086</v>
      </c>
      <c r="K454" s="92">
        <f t="shared" si="437"/>
        <v>2525.9157804368465</v>
      </c>
      <c r="L454" s="92">
        <f t="shared" si="437"/>
        <v>1818.1045605438685</v>
      </c>
      <c r="M454" s="92">
        <f t="shared" si="437"/>
        <v>540.77757065756475</v>
      </c>
      <c r="N454" s="92">
        <f t="shared" si="437"/>
        <v>93.059878245985715</v>
      </c>
      <c r="O454" s="92">
        <f t="shared" si="437"/>
        <v>92.126538569786135</v>
      </c>
      <c r="P454" s="92">
        <f t="shared" si="437"/>
        <v>91.763267256404887</v>
      </c>
      <c r="Q454" s="92"/>
      <c r="R454" s="92"/>
      <c r="S454" s="92"/>
      <c r="T454" s="92"/>
      <c r="U454" s="92"/>
      <c r="V454" s="42"/>
      <c r="W454" s="42"/>
      <c r="X454" s="42"/>
      <c r="Y454" s="42"/>
      <c r="Z454" s="42"/>
      <c r="AA454" s="42"/>
      <c r="AB454" s="42"/>
      <c r="AC454" s="42"/>
      <c r="AD454" s="42"/>
      <c r="AE454" s="42"/>
      <c r="AF454" s="42"/>
      <c r="AG454" s="3"/>
      <c r="AH454" s="3"/>
    </row>
    <row r="455" spans="1:34" x14ac:dyDescent="0.25">
      <c r="A455" s="92">
        <f t="shared" si="436"/>
        <v>1000000000000</v>
      </c>
      <c r="B455" s="92">
        <f t="shared" si="437"/>
        <v>415.54385428399513</v>
      </c>
      <c r="C455" s="92">
        <f t="shared" si="437"/>
        <v>22701.588870349417</v>
      </c>
      <c r="D455" s="92">
        <f t="shared" si="437"/>
        <v>845465.63362260535</v>
      </c>
      <c r="E455" s="92">
        <f t="shared" si="437"/>
        <v>192508650.58659273</v>
      </c>
      <c r="F455" s="92">
        <f t="shared" si="437"/>
        <v>1000000000000</v>
      </c>
      <c r="G455" s="92">
        <f t="shared" si="437"/>
        <v>1.1545771918054733E+20</v>
      </c>
      <c r="H455" s="92">
        <f t="shared" si="437"/>
        <v>6.7738876183229319E+21</v>
      </c>
      <c r="I455" s="92">
        <f t="shared" si="437"/>
        <v>1000000000000</v>
      </c>
      <c r="J455" s="92">
        <f t="shared" si="437"/>
        <v>2700.8479980556854</v>
      </c>
      <c r="K455" s="92">
        <f t="shared" si="437"/>
        <v>2182.665940608038</v>
      </c>
      <c r="L455" s="92">
        <f t="shared" si="437"/>
        <v>1362.7209266527218</v>
      </c>
      <c r="M455" s="92">
        <f t="shared" si="437"/>
        <v>302.10819766520217</v>
      </c>
      <c r="N455" s="92">
        <f t="shared" si="437"/>
        <v>92.631968530961771</v>
      </c>
      <c r="O455" s="92">
        <f t="shared" si="437"/>
        <v>91.086268606556416</v>
      </c>
      <c r="P455" s="92">
        <f t="shared" si="437"/>
        <v>90.809569282014081</v>
      </c>
      <c r="Q455" s="92"/>
      <c r="R455" s="92"/>
      <c r="S455" s="92"/>
      <c r="T455" s="92"/>
      <c r="U455" s="92"/>
      <c r="V455" s="42"/>
      <c r="W455" s="42"/>
      <c r="X455" s="42"/>
      <c r="Y455" s="42"/>
      <c r="Z455" s="42"/>
      <c r="AA455" s="42"/>
      <c r="AB455" s="42"/>
      <c r="AC455" s="42"/>
      <c r="AD455" s="42"/>
      <c r="AE455" s="42"/>
      <c r="AF455" s="42"/>
      <c r="AG455" s="3"/>
      <c r="AH455" s="3"/>
    </row>
    <row r="456" spans="1:34" x14ac:dyDescent="0.25">
      <c r="A456" s="92">
        <f t="shared" si="436"/>
        <v>10000000000000</v>
      </c>
      <c r="B456" s="92">
        <f t="shared" si="437"/>
        <v>4155.438542839951</v>
      </c>
      <c r="C456" s="92">
        <f t="shared" si="437"/>
        <v>227015.88870349419</v>
      </c>
      <c r="D456" s="92">
        <f t="shared" si="437"/>
        <v>8454656.3362260535</v>
      </c>
      <c r="E456" s="92">
        <f t="shared" si="437"/>
        <v>1925086505.8659275</v>
      </c>
      <c r="F456" s="92">
        <f t="shared" si="437"/>
        <v>10000000000000</v>
      </c>
      <c r="G456" s="92">
        <f t="shared" si="437"/>
        <v>1.1545771918054733E+21</v>
      </c>
      <c r="H456" s="92">
        <f t="shared" si="437"/>
        <v>6.7738876183229321E+22</v>
      </c>
      <c r="I456" s="92">
        <f t="shared" si="437"/>
        <v>10000000000000</v>
      </c>
      <c r="J456" s="92">
        <f t="shared" si="437"/>
        <v>2380.901782740345</v>
      </c>
      <c r="K456" s="92">
        <f t="shared" si="437"/>
        <v>1785.8998006119411</v>
      </c>
      <c r="L456" s="92">
        <f t="shared" si="437"/>
        <v>882.60529508909428</v>
      </c>
      <c r="M456" s="92">
        <f t="shared" si="437"/>
        <v>167.95607666429018</v>
      </c>
      <c r="N456" s="92">
        <f t="shared" si="437"/>
        <v>91.23127997996707</v>
      </c>
      <c r="O456" s="92">
        <f t="shared" si="437"/>
        <v>90.886673770022838</v>
      </c>
      <c r="P456" s="92">
        <f t="shared" si="437"/>
        <v>90.794437108888047</v>
      </c>
      <c r="Q456" s="92"/>
      <c r="R456" s="92"/>
      <c r="S456" s="92"/>
      <c r="T456" s="92"/>
      <c r="U456" s="92"/>
      <c r="V456" s="42"/>
      <c r="W456" s="42"/>
      <c r="X456" s="42"/>
      <c r="Y456" s="42"/>
      <c r="Z456" s="42"/>
      <c r="AA456" s="42"/>
      <c r="AB456" s="42"/>
      <c r="AC456" s="42"/>
      <c r="AD456" s="42"/>
      <c r="AE456" s="42"/>
      <c r="AF456" s="42"/>
      <c r="AG456" s="3"/>
      <c r="AH456" s="3"/>
    </row>
    <row r="457" spans="1:34" x14ac:dyDescent="0.25">
      <c r="A457" s="92">
        <f t="shared" si="436"/>
        <v>100000000000000</v>
      </c>
      <c r="B457" s="92">
        <f t="shared" si="437"/>
        <v>41554.38542839951</v>
      </c>
      <c r="C457" s="92">
        <f t="shared" si="437"/>
        <v>2270158.8870349419</v>
      </c>
      <c r="D457" s="92">
        <f t="shared" si="437"/>
        <v>84546563.362260535</v>
      </c>
      <c r="E457" s="92">
        <f t="shared" si="437"/>
        <v>19250865058.659275</v>
      </c>
      <c r="F457" s="92">
        <f t="shared" si="437"/>
        <v>100000000000000</v>
      </c>
      <c r="G457" s="92">
        <f t="shared" si="437"/>
        <v>1.1545771918054734E+22</v>
      </c>
      <c r="H457" s="92">
        <f t="shared" si="437"/>
        <v>6.7738876183229321E+23</v>
      </c>
      <c r="I457" s="92">
        <f t="shared" si="437"/>
        <v>100000000000000</v>
      </c>
      <c r="J457" s="92">
        <f t="shared" si="437"/>
        <v>2012.430565108212</v>
      </c>
      <c r="K457" s="92">
        <f t="shared" si="437"/>
        <v>1337.7075606161161</v>
      </c>
      <c r="L457" s="92">
        <f t="shared" si="437"/>
        <v>513.97783275284667</v>
      </c>
      <c r="M457" s="92">
        <f t="shared" si="437"/>
        <v>115.55588342611547</v>
      </c>
      <c r="N457" s="92">
        <f t="shared" si="437"/>
        <v>91.209911146223277</v>
      </c>
      <c r="O457" s="92">
        <f t="shared" si="437"/>
        <v>90.290301687552557</v>
      </c>
      <c r="P457" s="92">
        <f t="shared" si="437"/>
        <v>90.157522811707935</v>
      </c>
      <c r="Q457" s="92"/>
      <c r="R457" s="92"/>
      <c r="S457" s="92"/>
      <c r="T457" s="92"/>
      <c r="U457" s="92"/>
      <c r="V457" s="42"/>
      <c r="W457" s="42"/>
      <c r="X457" s="42"/>
      <c r="Y457" s="42"/>
      <c r="Z457" s="42"/>
      <c r="AA457" s="42"/>
      <c r="AB457" s="42"/>
      <c r="AC457" s="42"/>
      <c r="AD457" s="42"/>
      <c r="AE457" s="42"/>
      <c r="AF457" s="42"/>
      <c r="AG457" s="3"/>
      <c r="AH457" s="3"/>
    </row>
    <row r="458" spans="1:34" x14ac:dyDescent="0.25">
      <c r="A458" s="92">
        <f t="shared" si="436"/>
        <v>1000000000000000</v>
      </c>
      <c r="B458" s="92">
        <f t="shared" si="437"/>
        <v>415543.85428399511</v>
      </c>
      <c r="C458" s="92">
        <f t="shared" si="437"/>
        <v>22701588.870349418</v>
      </c>
      <c r="D458" s="92">
        <f t="shared" si="437"/>
        <v>845465633.62260532</v>
      </c>
      <c r="E458" s="92">
        <f t="shared" si="437"/>
        <v>192508650586.59274</v>
      </c>
      <c r="F458" s="92">
        <f t="shared" si="437"/>
        <v>1000000000000000</v>
      </c>
      <c r="G458" s="92">
        <f t="shared" si="437"/>
        <v>1.1545771918054732E+23</v>
      </c>
      <c r="H458" s="92">
        <f t="shared" si="437"/>
        <v>6.7738876183229321E+24</v>
      </c>
      <c r="I458" s="92">
        <f t="shared" si="437"/>
        <v>1000000000000000</v>
      </c>
      <c r="J458" s="92">
        <f t="shared" si="437"/>
        <v>1596.0920370512245</v>
      </c>
      <c r="K458" s="92">
        <f t="shared" si="437"/>
        <v>864.52071218722244</v>
      </c>
      <c r="L458" s="92">
        <f t="shared" si="437"/>
        <v>287.95166024173568</v>
      </c>
      <c r="M458" s="92">
        <f t="shared" si="437"/>
        <v>100.53155340781859</v>
      </c>
      <c r="N458" s="92">
        <f t="shared" si="437"/>
        <v>90.301560772176387</v>
      </c>
      <c r="O458" s="92">
        <f t="shared" si="437"/>
        <v>90.056329050223439</v>
      </c>
      <c r="P458" s="92">
        <f t="shared" si="437"/>
        <v>89.913434838716469</v>
      </c>
      <c r="Q458" s="92"/>
      <c r="R458" s="92"/>
      <c r="S458" s="92"/>
      <c r="T458" s="92"/>
      <c r="U458" s="92"/>
      <c r="V458" s="42"/>
      <c r="W458" s="42"/>
      <c r="X458" s="42"/>
      <c r="Y458" s="42"/>
      <c r="Z458" s="42"/>
      <c r="AA458" s="42"/>
      <c r="AB458" s="42"/>
      <c r="AC458" s="42"/>
      <c r="AD458" s="42"/>
      <c r="AE458" s="42"/>
      <c r="AF458" s="42"/>
      <c r="AG458" s="3"/>
      <c r="AH458" s="3"/>
    </row>
    <row r="459" spans="1:34" x14ac:dyDescent="0.25">
      <c r="A459" s="92" t="e">
        <f t="shared" si="436"/>
        <v>#REF!</v>
      </c>
      <c r="B459" s="92" t="e">
        <f t="shared" si="437"/>
        <v>#REF!</v>
      </c>
      <c r="C459" s="92" t="e">
        <f t="shared" si="437"/>
        <v>#REF!</v>
      </c>
      <c r="D459" s="92" t="e">
        <f t="shared" si="437"/>
        <v>#REF!</v>
      </c>
      <c r="E459" s="92" t="e">
        <f t="shared" si="437"/>
        <v>#REF!</v>
      </c>
      <c r="F459" s="92" t="e">
        <f t="shared" si="437"/>
        <v>#REF!</v>
      </c>
      <c r="G459" s="92" t="e">
        <f t="shared" si="437"/>
        <v>#REF!</v>
      </c>
      <c r="H459" s="92" t="e">
        <f t="shared" si="437"/>
        <v>#REF!</v>
      </c>
      <c r="I459" s="92" t="e">
        <f t="shared" si="437"/>
        <v>#REF!</v>
      </c>
      <c r="J459" s="92" t="e">
        <f t="shared" si="437"/>
        <v>#REF!</v>
      </c>
      <c r="K459" s="92" t="e">
        <f t="shared" si="437"/>
        <v>#REF!</v>
      </c>
      <c r="L459" s="92" t="e">
        <f t="shared" si="437"/>
        <v>#REF!</v>
      </c>
      <c r="M459" s="92" t="e">
        <f t="shared" si="437"/>
        <v>#REF!</v>
      </c>
      <c r="N459" s="92" t="e">
        <f t="shared" si="437"/>
        <v>#REF!</v>
      </c>
      <c r="O459" s="92" t="e">
        <f t="shared" si="437"/>
        <v>#REF!</v>
      </c>
      <c r="P459" s="92" t="e">
        <f t="shared" si="437"/>
        <v>#REF!</v>
      </c>
      <c r="Q459" s="92"/>
      <c r="R459" s="92"/>
      <c r="S459" s="92"/>
      <c r="T459" s="92"/>
      <c r="U459" s="92"/>
      <c r="V459" s="42"/>
      <c r="W459" s="42"/>
      <c r="X459" s="42"/>
      <c r="Y459" s="42"/>
      <c r="Z459" s="42"/>
      <c r="AA459" s="42"/>
      <c r="AB459" s="42"/>
      <c r="AC459" s="42"/>
      <c r="AD459" s="42"/>
      <c r="AE459" s="42"/>
      <c r="AF459" s="42"/>
      <c r="AG459" s="3"/>
      <c r="AH459" s="3"/>
    </row>
    <row r="460" spans="1:34" x14ac:dyDescent="0.25">
      <c r="A460" s="92" t="e">
        <f t="shared" si="436"/>
        <v>#REF!</v>
      </c>
      <c r="B460" s="92" t="e">
        <f t="shared" si="437"/>
        <v>#REF!</v>
      </c>
      <c r="C460" s="92" t="e">
        <f t="shared" si="437"/>
        <v>#REF!</v>
      </c>
      <c r="D460" s="92" t="e">
        <f t="shared" si="437"/>
        <v>#REF!</v>
      </c>
      <c r="E460" s="92" t="e">
        <f t="shared" si="437"/>
        <v>#REF!</v>
      </c>
      <c r="F460" s="92" t="e">
        <f t="shared" si="437"/>
        <v>#REF!</v>
      </c>
      <c r="G460" s="92" t="e">
        <f t="shared" si="437"/>
        <v>#REF!</v>
      </c>
      <c r="H460" s="92" t="e">
        <f t="shared" si="437"/>
        <v>#REF!</v>
      </c>
      <c r="I460" s="92" t="e">
        <f t="shared" si="437"/>
        <v>#REF!</v>
      </c>
      <c r="J460" s="92" t="e">
        <f t="shared" si="437"/>
        <v>#REF!</v>
      </c>
      <c r="K460" s="92" t="e">
        <f t="shared" si="437"/>
        <v>#REF!</v>
      </c>
      <c r="L460" s="92" t="e">
        <f t="shared" si="437"/>
        <v>#REF!</v>
      </c>
      <c r="M460" s="92" t="e">
        <f t="shared" si="437"/>
        <v>#REF!</v>
      </c>
      <c r="N460" s="92" t="e">
        <f t="shared" si="437"/>
        <v>#REF!</v>
      </c>
      <c r="O460" s="92" t="e">
        <f t="shared" si="437"/>
        <v>#REF!</v>
      </c>
      <c r="P460" s="92" t="e">
        <f t="shared" si="437"/>
        <v>#REF!</v>
      </c>
      <c r="Q460" s="92"/>
      <c r="R460" s="92"/>
      <c r="S460" s="92"/>
      <c r="T460" s="92"/>
      <c r="U460" s="92"/>
      <c r="V460" s="42"/>
      <c r="W460" s="42"/>
      <c r="X460" s="42"/>
      <c r="Y460" s="42"/>
      <c r="Z460" s="42"/>
      <c r="AA460" s="42"/>
      <c r="AB460" s="42"/>
      <c r="AC460" s="42"/>
      <c r="AD460" s="42"/>
      <c r="AE460" s="42"/>
      <c r="AF460" s="42"/>
      <c r="AG460" s="3"/>
      <c r="AH460" s="3"/>
    </row>
    <row r="461" spans="1:34" x14ac:dyDescent="0.25">
      <c r="A461" s="92" t="e">
        <f t="shared" si="436"/>
        <v>#REF!</v>
      </c>
      <c r="B461" s="92" t="e">
        <f t="shared" si="437"/>
        <v>#REF!</v>
      </c>
      <c r="C461" s="92" t="e">
        <f t="shared" si="437"/>
        <v>#REF!</v>
      </c>
      <c r="D461" s="92" t="e">
        <f t="shared" si="437"/>
        <v>#REF!</v>
      </c>
      <c r="E461" s="92" t="e">
        <f t="shared" si="437"/>
        <v>#REF!</v>
      </c>
      <c r="F461" s="92" t="e">
        <f t="shared" si="437"/>
        <v>#REF!</v>
      </c>
      <c r="G461" s="92" t="e">
        <f t="shared" si="437"/>
        <v>#REF!</v>
      </c>
      <c r="H461" s="92" t="e">
        <f t="shared" si="437"/>
        <v>#REF!</v>
      </c>
      <c r="I461" s="92" t="e">
        <f t="shared" si="437"/>
        <v>#REF!</v>
      </c>
      <c r="J461" s="92" t="e">
        <f t="shared" si="437"/>
        <v>#REF!</v>
      </c>
      <c r="K461" s="92" t="e">
        <f t="shared" si="437"/>
        <v>#REF!</v>
      </c>
      <c r="L461" s="92" t="e">
        <f t="shared" si="437"/>
        <v>#REF!</v>
      </c>
      <c r="M461" s="92" t="e">
        <f t="shared" si="437"/>
        <v>#REF!</v>
      </c>
      <c r="N461" s="92" t="e">
        <f t="shared" si="437"/>
        <v>#REF!</v>
      </c>
      <c r="O461" s="92" t="e">
        <f t="shared" si="437"/>
        <v>#REF!</v>
      </c>
      <c r="P461" s="92" t="e">
        <f t="shared" si="437"/>
        <v>#REF!</v>
      </c>
      <c r="Q461" s="92"/>
      <c r="R461" s="92"/>
      <c r="S461" s="92"/>
      <c r="T461" s="92"/>
      <c r="U461" s="92"/>
      <c r="V461" s="42"/>
      <c r="W461" s="42"/>
      <c r="X461" s="42"/>
      <c r="Y461" s="42"/>
      <c r="Z461" s="42"/>
      <c r="AA461" s="42"/>
      <c r="AB461" s="42"/>
      <c r="AC461" s="42"/>
      <c r="AD461" s="42"/>
      <c r="AE461" s="42"/>
      <c r="AF461" s="42"/>
      <c r="AG461" s="3"/>
      <c r="AH461" s="3"/>
    </row>
    <row r="462" spans="1:34" x14ac:dyDescent="0.25">
      <c r="A462" s="92" t="e">
        <f t="shared" si="436"/>
        <v>#REF!</v>
      </c>
      <c r="B462" s="92" t="e">
        <f t="shared" si="437"/>
        <v>#REF!</v>
      </c>
      <c r="C462" s="92" t="e">
        <f t="shared" si="437"/>
        <v>#REF!</v>
      </c>
      <c r="D462" s="92" t="e">
        <f t="shared" si="437"/>
        <v>#REF!</v>
      </c>
      <c r="E462" s="92" t="e">
        <f t="shared" si="437"/>
        <v>#REF!</v>
      </c>
      <c r="F462" s="92" t="e">
        <f t="shared" si="437"/>
        <v>#REF!</v>
      </c>
      <c r="G462" s="92" t="e">
        <f t="shared" si="437"/>
        <v>#REF!</v>
      </c>
      <c r="H462" s="92" t="e">
        <f t="shared" si="437"/>
        <v>#REF!</v>
      </c>
      <c r="I462" s="92" t="e">
        <f t="shared" si="437"/>
        <v>#REF!</v>
      </c>
      <c r="J462" s="92" t="e">
        <f t="shared" si="437"/>
        <v>#REF!</v>
      </c>
      <c r="K462" s="92" t="e">
        <f t="shared" si="437"/>
        <v>#REF!</v>
      </c>
      <c r="L462" s="92" t="e">
        <f t="shared" si="437"/>
        <v>#REF!</v>
      </c>
      <c r="M462" s="92" t="e">
        <f t="shared" si="437"/>
        <v>#REF!</v>
      </c>
      <c r="N462" s="92" t="e">
        <f t="shared" si="437"/>
        <v>#REF!</v>
      </c>
      <c r="O462" s="92" t="e">
        <f t="shared" si="437"/>
        <v>#REF!</v>
      </c>
      <c r="P462" s="92" t="e">
        <f t="shared" si="437"/>
        <v>#REF!</v>
      </c>
      <c r="Q462" s="92"/>
      <c r="R462" s="92"/>
      <c r="S462" s="92"/>
      <c r="T462" s="92"/>
      <c r="U462" s="92"/>
      <c r="V462" s="42"/>
      <c r="W462" s="42"/>
      <c r="X462" s="42"/>
      <c r="Y462" s="42"/>
      <c r="Z462" s="42"/>
      <c r="AA462" s="42"/>
      <c r="AB462" s="42"/>
      <c r="AC462" s="42"/>
      <c r="AD462" s="42"/>
      <c r="AE462" s="42"/>
      <c r="AF462" s="42"/>
      <c r="AG462" s="3"/>
      <c r="AH462" s="3"/>
    </row>
    <row r="463" spans="1:34" x14ac:dyDescent="0.25">
      <c r="A463" s="92" t="e">
        <f t="shared" si="436"/>
        <v>#REF!</v>
      </c>
      <c r="B463" s="92" t="e">
        <f t="shared" si="437"/>
        <v>#REF!</v>
      </c>
      <c r="C463" s="92" t="e">
        <f t="shared" si="437"/>
        <v>#REF!</v>
      </c>
      <c r="D463" s="92" t="e">
        <f t="shared" si="437"/>
        <v>#REF!</v>
      </c>
      <c r="E463" s="92" t="e">
        <f t="shared" si="437"/>
        <v>#REF!</v>
      </c>
      <c r="F463" s="92" t="e">
        <f t="shared" si="437"/>
        <v>#REF!</v>
      </c>
      <c r="G463" s="92" t="e">
        <f t="shared" si="437"/>
        <v>#REF!</v>
      </c>
      <c r="H463" s="92" t="e">
        <f t="shared" si="437"/>
        <v>#REF!</v>
      </c>
      <c r="I463" s="92" t="e">
        <f t="shared" si="437"/>
        <v>#REF!</v>
      </c>
      <c r="J463" s="92" t="e">
        <f t="shared" si="437"/>
        <v>#REF!</v>
      </c>
      <c r="K463" s="92" t="e">
        <f t="shared" si="437"/>
        <v>#REF!</v>
      </c>
      <c r="L463" s="92" t="e">
        <f t="shared" si="437"/>
        <v>#REF!</v>
      </c>
      <c r="M463" s="92" t="e">
        <f t="shared" si="437"/>
        <v>#REF!</v>
      </c>
      <c r="N463" s="92" t="e">
        <f t="shared" si="437"/>
        <v>#REF!</v>
      </c>
      <c r="O463" s="92" t="e">
        <f t="shared" si="437"/>
        <v>#REF!</v>
      </c>
      <c r="P463" s="92" t="e">
        <f t="shared" si="437"/>
        <v>#REF!</v>
      </c>
      <c r="Q463" s="92"/>
      <c r="R463" s="92"/>
      <c r="S463" s="92"/>
      <c r="T463" s="92"/>
      <c r="U463" s="92"/>
      <c r="V463" s="42"/>
      <c r="W463" s="42"/>
      <c r="X463" s="42"/>
      <c r="Y463" s="42"/>
      <c r="Z463" s="42"/>
      <c r="AA463" s="42"/>
      <c r="AB463" s="42"/>
      <c r="AC463" s="42"/>
      <c r="AD463" s="42"/>
      <c r="AE463" s="42"/>
      <c r="AF463" s="42"/>
      <c r="AG463" s="3"/>
      <c r="AH463" s="3"/>
    </row>
    <row r="464" spans="1:34" x14ac:dyDescent="0.25">
      <c r="A464" s="92" t="e">
        <f t="shared" si="436"/>
        <v>#REF!</v>
      </c>
      <c r="B464" s="92" t="e">
        <f t="shared" si="437"/>
        <v>#REF!</v>
      </c>
      <c r="C464" s="92" t="e">
        <f t="shared" si="437"/>
        <v>#REF!</v>
      </c>
      <c r="D464" s="92" t="e">
        <f t="shared" si="437"/>
        <v>#REF!</v>
      </c>
      <c r="E464" s="92" t="e">
        <f t="shared" si="437"/>
        <v>#REF!</v>
      </c>
      <c r="F464" s="92" t="e">
        <f t="shared" si="437"/>
        <v>#REF!</v>
      </c>
      <c r="G464" s="92" t="e">
        <f t="shared" si="437"/>
        <v>#REF!</v>
      </c>
      <c r="H464" s="92" t="e">
        <f t="shared" si="437"/>
        <v>#REF!</v>
      </c>
      <c r="I464" s="92" t="e">
        <f t="shared" si="437"/>
        <v>#REF!</v>
      </c>
      <c r="J464" s="92" t="e">
        <f t="shared" si="437"/>
        <v>#REF!</v>
      </c>
      <c r="K464" s="92" t="e">
        <f t="shared" si="437"/>
        <v>#REF!</v>
      </c>
      <c r="L464" s="92" t="e">
        <f t="shared" si="437"/>
        <v>#REF!</v>
      </c>
      <c r="M464" s="92" t="e">
        <f t="shared" si="437"/>
        <v>#REF!</v>
      </c>
      <c r="N464" s="92" t="e">
        <f t="shared" si="437"/>
        <v>#REF!</v>
      </c>
      <c r="O464" s="92" t="e">
        <f t="shared" si="437"/>
        <v>#REF!</v>
      </c>
      <c r="P464" s="92" t="e">
        <f t="shared" si="437"/>
        <v>#REF!</v>
      </c>
      <c r="Q464" s="92"/>
      <c r="R464" s="92"/>
      <c r="S464" s="92"/>
      <c r="T464" s="92"/>
      <c r="U464" s="92"/>
      <c r="V464" s="42"/>
      <c r="W464" s="42"/>
      <c r="X464" s="42"/>
      <c r="Y464" s="42"/>
      <c r="Z464" s="42"/>
      <c r="AA464" s="42"/>
      <c r="AB464" s="42"/>
      <c r="AC464" s="42"/>
      <c r="AD464" s="42"/>
      <c r="AE464" s="42"/>
      <c r="AF464" s="42"/>
      <c r="AG464" s="3"/>
      <c r="AH464" s="3"/>
    </row>
    <row r="465" spans="1:34" x14ac:dyDescent="0.25">
      <c r="A465" s="92" t="e">
        <f t="shared" si="436"/>
        <v>#REF!</v>
      </c>
      <c r="B465" s="92" t="e">
        <f t="shared" si="437"/>
        <v>#REF!</v>
      </c>
      <c r="C465" s="92" t="e">
        <f t="shared" si="437"/>
        <v>#REF!</v>
      </c>
      <c r="D465" s="92" t="e">
        <f t="shared" si="437"/>
        <v>#REF!</v>
      </c>
      <c r="E465" s="92" t="e">
        <f t="shared" si="437"/>
        <v>#REF!</v>
      </c>
      <c r="F465" s="92" t="e">
        <f t="shared" si="437"/>
        <v>#REF!</v>
      </c>
      <c r="G465" s="92" t="e">
        <f t="shared" si="437"/>
        <v>#REF!</v>
      </c>
      <c r="H465" s="92" t="e">
        <f t="shared" si="437"/>
        <v>#REF!</v>
      </c>
      <c r="I465" s="92" t="e">
        <f t="shared" si="437"/>
        <v>#REF!</v>
      </c>
      <c r="J465" s="92" t="e">
        <f t="shared" si="437"/>
        <v>#REF!</v>
      </c>
      <c r="K465" s="92" t="e">
        <f t="shared" si="437"/>
        <v>#REF!</v>
      </c>
      <c r="L465" s="92" t="e">
        <f t="shared" si="437"/>
        <v>#REF!</v>
      </c>
      <c r="M465" s="92" t="e">
        <f t="shared" si="437"/>
        <v>#REF!</v>
      </c>
      <c r="N465" s="92" t="e">
        <f t="shared" si="437"/>
        <v>#REF!</v>
      </c>
      <c r="O465" s="92" t="e">
        <f t="shared" si="437"/>
        <v>#REF!</v>
      </c>
      <c r="P465" s="92" t="e">
        <f t="shared" si="437"/>
        <v>#REF!</v>
      </c>
      <c r="Q465" s="92"/>
      <c r="R465" s="92"/>
      <c r="S465" s="92"/>
      <c r="T465" s="92"/>
      <c r="U465" s="92"/>
      <c r="V465" s="42"/>
      <c r="W465" s="42"/>
      <c r="X465" s="42"/>
      <c r="Y465" s="42"/>
      <c r="Z465" s="42"/>
      <c r="AA465" s="42"/>
      <c r="AB465" s="42"/>
      <c r="AC465" s="42"/>
      <c r="AD465" s="42"/>
      <c r="AE465" s="42"/>
      <c r="AF465" s="42"/>
      <c r="AG465" s="3"/>
      <c r="AH465" s="3"/>
    </row>
    <row r="466" spans="1:34" x14ac:dyDescent="0.25">
      <c r="A466" s="92" t="e">
        <f t="shared" si="436"/>
        <v>#REF!</v>
      </c>
      <c r="B466" s="92" t="e">
        <f t="shared" si="437"/>
        <v>#REF!</v>
      </c>
      <c r="C466" s="92" t="e">
        <f t="shared" si="437"/>
        <v>#REF!</v>
      </c>
      <c r="D466" s="92" t="e">
        <f t="shared" si="437"/>
        <v>#REF!</v>
      </c>
      <c r="E466" s="92" t="e">
        <f t="shared" si="437"/>
        <v>#REF!</v>
      </c>
      <c r="F466" s="92" t="e">
        <f t="shared" si="437"/>
        <v>#REF!</v>
      </c>
      <c r="G466" s="92" t="e">
        <f t="shared" si="437"/>
        <v>#REF!</v>
      </c>
      <c r="H466" s="92" t="e">
        <f t="shared" si="437"/>
        <v>#REF!</v>
      </c>
      <c r="I466" s="92" t="e">
        <f t="shared" si="437"/>
        <v>#REF!</v>
      </c>
      <c r="J466" s="92" t="e">
        <f t="shared" si="437"/>
        <v>#REF!</v>
      </c>
      <c r="K466" s="92" t="e">
        <f t="shared" si="437"/>
        <v>#REF!</v>
      </c>
      <c r="L466" s="92" t="e">
        <f t="shared" si="437"/>
        <v>#REF!</v>
      </c>
      <c r="M466" s="92" t="e">
        <f t="shared" si="437"/>
        <v>#REF!</v>
      </c>
      <c r="N466" s="92" t="e">
        <f t="shared" si="437"/>
        <v>#REF!</v>
      </c>
      <c r="O466" s="92" t="e">
        <f t="shared" si="437"/>
        <v>#REF!</v>
      </c>
      <c r="P466" s="92" t="e">
        <f t="shared" si="437"/>
        <v>#REF!</v>
      </c>
      <c r="Q466" s="92"/>
      <c r="R466" s="92"/>
      <c r="S466" s="92"/>
      <c r="T466" s="92"/>
      <c r="U466" s="92"/>
      <c r="V466" s="42"/>
      <c r="W466" s="42"/>
      <c r="X466" s="42"/>
      <c r="Y466" s="42"/>
      <c r="Z466" s="42"/>
      <c r="AA466" s="42"/>
      <c r="AB466" s="42"/>
      <c r="AC466" s="42"/>
      <c r="AD466" s="42"/>
      <c r="AE466" s="42"/>
      <c r="AF466" s="42"/>
      <c r="AG466" s="3"/>
      <c r="AH466" s="3"/>
    </row>
    <row r="467" spans="1:34" x14ac:dyDescent="0.25">
      <c r="A467" s="92" t="e">
        <f t="shared" si="436"/>
        <v>#REF!</v>
      </c>
      <c r="B467" s="92" t="e">
        <f t="shared" si="437"/>
        <v>#REF!</v>
      </c>
      <c r="C467" s="92" t="e">
        <f t="shared" si="437"/>
        <v>#REF!</v>
      </c>
      <c r="D467" s="92" t="e">
        <f t="shared" si="437"/>
        <v>#REF!</v>
      </c>
      <c r="E467" s="92" t="e">
        <f t="shared" si="437"/>
        <v>#REF!</v>
      </c>
      <c r="F467" s="92" t="e">
        <f t="shared" si="437"/>
        <v>#REF!</v>
      </c>
      <c r="G467" s="92" t="e">
        <f t="shared" si="437"/>
        <v>#REF!</v>
      </c>
      <c r="H467" s="92" t="e">
        <f t="shared" si="437"/>
        <v>#REF!</v>
      </c>
      <c r="I467" s="92" t="e">
        <f t="shared" si="437"/>
        <v>#REF!</v>
      </c>
      <c r="J467" s="92" t="e">
        <f t="shared" si="437"/>
        <v>#REF!</v>
      </c>
      <c r="K467" s="92" t="e">
        <f t="shared" si="437"/>
        <v>#REF!</v>
      </c>
      <c r="L467" s="92" t="e">
        <f t="shared" si="437"/>
        <v>#REF!</v>
      </c>
      <c r="M467" s="92" t="e">
        <f t="shared" si="437"/>
        <v>#REF!</v>
      </c>
      <c r="N467" s="92" t="e">
        <f t="shared" si="437"/>
        <v>#REF!</v>
      </c>
      <c r="O467" s="92" t="e">
        <f t="shared" si="437"/>
        <v>#REF!</v>
      </c>
      <c r="P467" s="92" t="e">
        <f t="shared" si="437"/>
        <v>#REF!</v>
      </c>
      <c r="Q467" s="92"/>
      <c r="R467" s="92"/>
      <c r="S467" s="92"/>
      <c r="T467" s="92"/>
      <c r="U467" s="92"/>
      <c r="V467" s="42"/>
      <c r="W467" s="42"/>
      <c r="X467" s="42"/>
      <c r="Y467" s="42"/>
      <c r="Z467" s="42"/>
      <c r="AA467" s="42"/>
      <c r="AB467" s="42"/>
      <c r="AC467" s="42"/>
      <c r="AD467" s="42"/>
      <c r="AE467" s="42"/>
      <c r="AF467" s="42"/>
      <c r="AG467" s="3"/>
      <c r="AH467" s="3"/>
    </row>
    <row r="468" spans="1:34" x14ac:dyDescent="0.25">
      <c r="A468" s="92" t="e">
        <f t="shared" si="436"/>
        <v>#REF!</v>
      </c>
      <c r="B468" s="92" t="e">
        <f t="shared" si="437"/>
        <v>#REF!</v>
      </c>
      <c r="C468" s="92" t="e">
        <f t="shared" si="437"/>
        <v>#REF!</v>
      </c>
      <c r="D468" s="92" t="e">
        <f t="shared" si="437"/>
        <v>#REF!</v>
      </c>
      <c r="E468" s="92" t="e">
        <f t="shared" si="437"/>
        <v>#REF!</v>
      </c>
      <c r="F468" s="92" t="e">
        <f t="shared" si="437"/>
        <v>#REF!</v>
      </c>
      <c r="G468" s="92" t="e">
        <f t="shared" si="437"/>
        <v>#REF!</v>
      </c>
      <c r="H468" s="92" t="e">
        <f t="shared" si="437"/>
        <v>#REF!</v>
      </c>
      <c r="I468" s="92" t="e">
        <f t="shared" si="437"/>
        <v>#REF!</v>
      </c>
      <c r="J468" s="92" t="e">
        <f t="shared" si="437"/>
        <v>#REF!</v>
      </c>
      <c r="K468" s="92" t="e">
        <f t="shared" si="437"/>
        <v>#REF!</v>
      </c>
      <c r="L468" s="92" t="e">
        <f t="shared" si="437"/>
        <v>#REF!</v>
      </c>
      <c r="M468" s="92" t="e">
        <f t="shared" si="437"/>
        <v>#REF!</v>
      </c>
      <c r="N468" s="92" t="e">
        <f t="shared" si="437"/>
        <v>#REF!</v>
      </c>
      <c r="O468" s="92" t="e">
        <f t="shared" si="437"/>
        <v>#REF!</v>
      </c>
      <c r="P468" s="92" t="e">
        <f t="shared" si="437"/>
        <v>#REF!</v>
      </c>
      <c r="Q468" s="92"/>
      <c r="R468" s="92"/>
      <c r="S468" s="92"/>
      <c r="T468" s="92"/>
      <c r="U468" s="92"/>
      <c r="V468" s="42"/>
      <c r="W468" s="42"/>
      <c r="X468" s="42"/>
      <c r="Y468" s="42"/>
      <c r="Z468" s="42"/>
      <c r="AA468" s="42"/>
      <c r="AB468" s="42"/>
      <c r="AC468" s="42"/>
      <c r="AD468" s="42"/>
      <c r="AE468" s="42"/>
      <c r="AF468" s="42"/>
      <c r="AG468" s="3"/>
      <c r="AH468" s="3"/>
    </row>
    <row r="469" spans="1:34" x14ac:dyDescent="0.25">
      <c r="A469" s="116"/>
      <c r="B469" s="20"/>
      <c r="C469" s="20"/>
      <c r="D469" s="20"/>
      <c r="E469" s="20"/>
      <c r="F469" s="20"/>
      <c r="G469" s="20"/>
      <c r="H469" s="20"/>
      <c r="I469" s="20"/>
      <c r="J469" s="20"/>
      <c r="K469" s="20"/>
      <c r="L469" s="20"/>
      <c r="M469" s="20"/>
      <c r="N469" s="20"/>
      <c r="O469" s="20"/>
      <c r="P469" s="20"/>
      <c r="Q469" s="42"/>
      <c r="R469" s="42"/>
      <c r="S469" s="42"/>
      <c r="T469" s="42"/>
      <c r="U469" s="42"/>
      <c r="V469" s="42"/>
      <c r="W469" s="42"/>
      <c r="X469" s="42"/>
      <c r="Y469" s="42"/>
      <c r="Z469" s="42"/>
      <c r="AA469" s="42"/>
      <c r="AB469" s="42"/>
      <c r="AC469" s="42"/>
      <c r="AD469" s="42"/>
      <c r="AE469" s="42"/>
      <c r="AF469" s="42"/>
      <c r="AG469" s="3"/>
      <c r="AH469" s="3"/>
    </row>
    <row r="470" spans="1:34" x14ac:dyDescent="0.25">
      <c r="A470" s="92"/>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92"/>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92"/>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92"/>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92"/>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2"/>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34"/>
      <c r="B532" s="134"/>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29"/>
      <c r="B534" s="129"/>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8">AF570+10</f>
        <v>10</v>
      </c>
      <c r="AH570" s="11">
        <f t="shared" si="438"/>
        <v>20</v>
      </c>
      <c r="AI570" s="11">
        <f t="shared" si="438"/>
        <v>30</v>
      </c>
      <c r="AJ570" s="11">
        <f t="shared" si="438"/>
        <v>40</v>
      </c>
      <c r="AK570" s="11">
        <f t="shared" si="438"/>
        <v>50</v>
      </c>
      <c r="AL570" s="11">
        <f t="shared" si="438"/>
        <v>60</v>
      </c>
      <c r="AM570" s="11">
        <f t="shared" si="438"/>
        <v>70</v>
      </c>
      <c r="AN570" s="11">
        <f t="shared" si="438"/>
        <v>80</v>
      </c>
      <c r="AO570" s="11">
        <f t="shared" si="438"/>
        <v>90</v>
      </c>
      <c r="AP570" s="11">
        <f t="shared" si="438"/>
        <v>100</v>
      </c>
      <c r="AQ570" s="11">
        <f t="shared" si="438"/>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9">AG570-$B$521</f>
        <v>10</v>
      </c>
      <c r="AH571" s="40">
        <f t="shared" si="439"/>
        <v>20</v>
      </c>
      <c r="AI571" s="40">
        <f t="shared" si="439"/>
        <v>30</v>
      </c>
      <c r="AJ571" s="40">
        <f t="shared" si="439"/>
        <v>40</v>
      </c>
      <c r="AK571" s="40">
        <f t="shared" si="439"/>
        <v>50</v>
      </c>
      <c r="AL571" s="40">
        <f t="shared" si="439"/>
        <v>60</v>
      </c>
      <c r="AM571" s="40">
        <f t="shared" si="439"/>
        <v>70</v>
      </c>
      <c r="AN571" s="40">
        <f t="shared" si="439"/>
        <v>80</v>
      </c>
      <c r="AO571" s="40">
        <f t="shared" si="439"/>
        <v>90</v>
      </c>
      <c r="AP571" s="40">
        <f t="shared" si="439"/>
        <v>100</v>
      </c>
      <c r="AQ571" s="40">
        <f t="shared" si="439"/>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40">$B572*AG$571^$A572</f>
        <v>0</v>
      </c>
      <c r="AH572" s="41">
        <f t="shared" si="440"/>
        <v>0</v>
      </c>
      <c r="AI572" s="41">
        <f t="shared" si="440"/>
        <v>0</v>
      </c>
      <c r="AJ572" s="41">
        <f t="shared" si="440"/>
        <v>0</v>
      </c>
      <c r="AK572" s="41">
        <f t="shared" si="440"/>
        <v>0</v>
      </c>
      <c r="AL572" s="41">
        <f t="shared" si="440"/>
        <v>0</v>
      </c>
      <c r="AM572" s="41">
        <f t="shared" si="440"/>
        <v>0</v>
      </c>
      <c r="AN572" s="41">
        <f t="shared" si="440"/>
        <v>0</v>
      </c>
      <c r="AO572" s="41">
        <f t="shared" si="440"/>
        <v>0</v>
      </c>
      <c r="AP572" s="41">
        <f t="shared" si="440"/>
        <v>0</v>
      </c>
      <c r="AQ572" s="41">
        <f t="shared" si="440"/>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40"/>
        <v>0</v>
      </c>
      <c r="AH573" s="41">
        <f t="shared" si="440"/>
        <v>0</v>
      </c>
      <c r="AI573" s="41">
        <f t="shared" si="440"/>
        <v>0</v>
      </c>
      <c r="AJ573" s="41">
        <f t="shared" si="440"/>
        <v>0</v>
      </c>
      <c r="AK573" s="41">
        <f t="shared" si="440"/>
        <v>0</v>
      </c>
      <c r="AL573" s="41">
        <f t="shared" si="440"/>
        <v>0</v>
      </c>
      <c r="AM573" s="41">
        <f t="shared" si="440"/>
        <v>0</v>
      </c>
      <c r="AN573" s="41">
        <f t="shared" si="440"/>
        <v>0</v>
      </c>
      <c r="AO573" s="41">
        <f t="shared" si="440"/>
        <v>0</v>
      </c>
      <c r="AP573" s="41">
        <f t="shared" si="440"/>
        <v>0</v>
      </c>
      <c r="AQ573" s="41">
        <f t="shared" si="440"/>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40"/>
        <v>0</v>
      </c>
      <c r="AH574" s="41">
        <f t="shared" si="440"/>
        <v>0</v>
      </c>
      <c r="AI574" s="41">
        <f t="shared" si="440"/>
        <v>0</v>
      </c>
      <c r="AJ574" s="41">
        <f t="shared" si="440"/>
        <v>0</v>
      </c>
      <c r="AK574" s="41">
        <f t="shared" si="440"/>
        <v>0</v>
      </c>
      <c r="AL574" s="41">
        <f t="shared" si="440"/>
        <v>0</v>
      </c>
      <c r="AM574" s="41">
        <f t="shared" si="440"/>
        <v>0</v>
      </c>
      <c r="AN574" s="41">
        <f t="shared" si="440"/>
        <v>0</v>
      </c>
      <c r="AO574" s="41">
        <f t="shared" si="440"/>
        <v>0</v>
      </c>
      <c r="AP574" s="41">
        <f t="shared" si="440"/>
        <v>0</v>
      </c>
      <c r="AQ574" s="41">
        <f t="shared" si="440"/>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40"/>
        <v>0</v>
      </c>
      <c r="AH575" s="41">
        <f t="shared" si="440"/>
        <v>0</v>
      </c>
      <c r="AI575" s="41">
        <f t="shared" si="440"/>
        <v>0</v>
      </c>
      <c r="AJ575" s="41">
        <f t="shared" si="440"/>
        <v>0</v>
      </c>
      <c r="AK575" s="41">
        <f t="shared" si="440"/>
        <v>0</v>
      </c>
      <c r="AL575" s="41">
        <f t="shared" si="440"/>
        <v>0</v>
      </c>
      <c r="AM575" s="41">
        <f t="shared" si="440"/>
        <v>0</v>
      </c>
      <c r="AN575" s="41">
        <f t="shared" si="440"/>
        <v>0</v>
      </c>
      <c r="AO575" s="41">
        <f t="shared" si="440"/>
        <v>0</v>
      </c>
      <c r="AP575" s="41">
        <f t="shared" si="440"/>
        <v>0</v>
      </c>
      <c r="AQ575" s="41">
        <f t="shared" si="440"/>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40"/>
        <v>0</v>
      </c>
      <c r="AH576" s="41">
        <f t="shared" si="440"/>
        <v>0</v>
      </c>
      <c r="AI576" s="41">
        <f t="shared" si="440"/>
        <v>0</v>
      </c>
      <c r="AJ576" s="41">
        <f t="shared" si="440"/>
        <v>0</v>
      </c>
      <c r="AK576" s="41">
        <f t="shared" si="440"/>
        <v>0</v>
      </c>
      <c r="AL576" s="41">
        <f t="shared" si="440"/>
        <v>0</v>
      </c>
      <c r="AM576" s="41">
        <f t="shared" si="440"/>
        <v>0</v>
      </c>
      <c r="AN576" s="41">
        <f t="shared" si="440"/>
        <v>0</v>
      </c>
      <c r="AO576" s="41">
        <f t="shared" si="440"/>
        <v>0</v>
      </c>
      <c r="AP576" s="41">
        <f t="shared" si="440"/>
        <v>0</v>
      </c>
      <c r="AQ576" s="41">
        <f t="shared" si="440"/>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40"/>
        <v>0</v>
      </c>
      <c r="AH577" s="41">
        <f t="shared" si="440"/>
        <v>0</v>
      </c>
      <c r="AI577" s="41">
        <f t="shared" si="440"/>
        <v>0</v>
      </c>
      <c r="AJ577" s="41">
        <f t="shared" si="440"/>
        <v>0</v>
      </c>
      <c r="AK577" s="41">
        <f t="shared" si="440"/>
        <v>0</v>
      </c>
      <c r="AL577" s="41">
        <f t="shared" si="440"/>
        <v>0</v>
      </c>
      <c r="AM577" s="41">
        <f t="shared" si="440"/>
        <v>0</v>
      </c>
      <c r="AN577" s="41">
        <f t="shared" si="440"/>
        <v>0</v>
      </c>
      <c r="AO577" s="41">
        <f t="shared" si="440"/>
        <v>0</v>
      </c>
      <c r="AP577" s="41">
        <f t="shared" si="440"/>
        <v>0</v>
      </c>
      <c r="AQ577" s="41">
        <f t="shared" si="440"/>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40"/>
        <v>0</v>
      </c>
      <c r="AH578" s="41">
        <f t="shared" si="440"/>
        <v>0</v>
      </c>
      <c r="AI578" s="41">
        <f t="shared" si="440"/>
        <v>0</v>
      </c>
      <c r="AJ578" s="41">
        <f t="shared" si="440"/>
        <v>0</v>
      </c>
      <c r="AK578" s="41">
        <f t="shared" si="440"/>
        <v>0</v>
      </c>
      <c r="AL578" s="41">
        <f t="shared" si="440"/>
        <v>0</v>
      </c>
      <c r="AM578" s="41">
        <f t="shared" si="440"/>
        <v>0</v>
      </c>
      <c r="AN578" s="41">
        <f t="shared" si="440"/>
        <v>0</v>
      </c>
      <c r="AO578" s="41">
        <f t="shared" si="440"/>
        <v>0</v>
      </c>
      <c r="AP578" s="41">
        <f t="shared" si="440"/>
        <v>0</v>
      </c>
      <c r="AQ578" s="41">
        <f t="shared" si="440"/>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40"/>
        <v>0</v>
      </c>
      <c r="AH579" s="41">
        <f t="shared" si="440"/>
        <v>0</v>
      </c>
      <c r="AI579" s="41">
        <f t="shared" si="440"/>
        <v>0</v>
      </c>
      <c r="AJ579" s="41">
        <f t="shared" si="440"/>
        <v>0</v>
      </c>
      <c r="AK579" s="41">
        <f t="shared" si="440"/>
        <v>0</v>
      </c>
      <c r="AL579" s="41">
        <f t="shared" si="440"/>
        <v>0</v>
      </c>
      <c r="AM579" s="41">
        <f t="shared" si="440"/>
        <v>0</v>
      </c>
      <c r="AN579" s="41">
        <f t="shared" si="440"/>
        <v>0</v>
      </c>
      <c r="AO579" s="41">
        <f t="shared" si="440"/>
        <v>0</v>
      </c>
      <c r="AP579" s="41">
        <f t="shared" si="440"/>
        <v>0</v>
      </c>
      <c r="AQ579" s="41">
        <f t="shared" si="440"/>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40"/>
        <v>0</v>
      </c>
      <c r="AH580" s="41">
        <f t="shared" si="440"/>
        <v>0</v>
      </c>
      <c r="AI580" s="41">
        <f t="shared" si="440"/>
        <v>0</v>
      </c>
      <c r="AJ580" s="41">
        <f t="shared" si="440"/>
        <v>0</v>
      </c>
      <c r="AK580" s="41">
        <f t="shared" si="440"/>
        <v>0</v>
      </c>
      <c r="AL580" s="41">
        <f t="shared" si="440"/>
        <v>0</v>
      </c>
      <c r="AM580" s="41">
        <f t="shared" si="440"/>
        <v>0</v>
      </c>
      <c r="AN580" s="41">
        <f t="shared" si="440"/>
        <v>0</v>
      </c>
      <c r="AO580" s="41">
        <f t="shared" si="440"/>
        <v>0</v>
      </c>
      <c r="AP580" s="41">
        <f t="shared" si="440"/>
        <v>0</v>
      </c>
      <c r="AQ580" s="41">
        <f t="shared" si="440"/>
        <v>0</v>
      </c>
      <c r="AR580" s="41"/>
      <c r="AS580" s="41"/>
      <c r="AT580" s="41"/>
      <c r="AU580" s="41"/>
    </row>
    <row r="581" spans="1:47" x14ac:dyDescent="0.25">
      <c r="A581" s="134"/>
      <c r="B581" s="134"/>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41">SUM(AG572:AG580)</f>
        <v>0</v>
      </c>
      <c r="AH581" s="41">
        <f t="shared" si="441"/>
        <v>0</v>
      </c>
      <c r="AI581" s="41">
        <f t="shared" si="441"/>
        <v>0</v>
      </c>
      <c r="AJ581" s="41">
        <f t="shared" si="441"/>
        <v>0</v>
      </c>
      <c r="AK581" s="41">
        <f t="shared" si="441"/>
        <v>0</v>
      </c>
      <c r="AL581" s="41">
        <f t="shared" si="441"/>
        <v>0</v>
      </c>
      <c r="AM581" s="41">
        <f t="shared" si="441"/>
        <v>0</v>
      </c>
      <c r="AN581" s="41">
        <f t="shared" si="441"/>
        <v>0</v>
      </c>
      <c r="AO581" s="41">
        <f t="shared" si="441"/>
        <v>0</v>
      </c>
      <c r="AP581" s="41">
        <f t="shared" si="441"/>
        <v>0</v>
      </c>
      <c r="AQ581" s="41">
        <f t="shared" si="441"/>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42">AF585+10</f>
        <v>10</v>
      </c>
      <c r="AH585" s="11">
        <f t="shared" si="442"/>
        <v>20</v>
      </c>
      <c r="AI585" s="11">
        <f t="shared" si="442"/>
        <v>30</v>
      </c>
      <c r="AJ585" s="11">
        <f t="shared" si="442"/>
        <v>40</v>
      </c>
      <c r="AK585" s="11">
        <f t="shared" si="442"/>
        <v>50</v>
      </c>
      <c r="AL585" s="11">
        <f t="shared" si="442"/>
        <v>60</v>
      </c>
      <c r="AM585" s="11">
        <f t="shared" si="442"/>
        <v>70</v>
      </c>
      <c r="AN585" s="11">
        <f t="shared" si="442"/>
        <v>80</v>
      </c>
      <c r="AO585" s="11">
        <f t="shared" si="442"/>
        <v>90</v>
      </c>
      <c r="AP585" s="11">
        <f t="shared" si="442"/>
        <v>100</v>
      </c>
      <c r="AQ585" s="11">
        <f t="shared" si="442"/>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3">AG585-$B$521</f>
        <v>10</v>
      </c>
      <c r="AH586" s="40">
        <f t="shared" si="443"/>
        <v>20</v>
      </c>
      <c r="AI586" s="40">
        <f t="shared" si="443"/>
        <v>30</v>
      </c>
      <c r="AJ586" s="40">
        <f t="shared" si="443"/>
        <v>40</v>
      </c>
      <c r="AK586" s="40">
        <f t="shared" si="443"/>
        <v>50</v>
      </c>
      <c r="AL586" s="40">
        <f t="shared" si="443"/>
        <v>60</v>
      </c>
      <c r="AM586" s="40">
        <f t="shared" si="443"/>
        <v>70</v>
      </c>
      <c r="AN586" s="40">
        <f t="shared" si="443"/>
        <v>80</v>
      </c>
      <c r="AO586" s="40">
        <f t="shared" si="443"/>
        <v>90</v>
      </c>
      <c r="AP586" s="40">
        <f t="shared" si="443"/>
        <v>100</v>
      </c>
      <c r="AQ586" s="40">
        <f t="shared" si="443"/>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4">$B587*AG$571^$A587</f>
        <v>0</v>
      </c>
      <c r="AH587" s="41">
        <f t="shared" si="444"/>
        <v>0</v>
      </c>
      <c r="AI587" s="41">
        <f t="shared" si="444"/>
        <v>0</v>
      </c>
      <c r="AJ587" s="41">
        <f t="shared" si="444"/>
        <v>0</v>
      </c>
      <c r="AK587" s="41">
        <f t="shared" si="444"/>
        <v>0</v>
      </c>
      <c r="AL587" s="41">
        <f t="shared" si="444"/>
        <v>0</v>
      </c>
      <c r="AM587" s="41">
        <f t="shared" si="444"/>
        <v>0</v>
      </c>
      <c r="AN587" s="41">
        <f t="shared" si="444"/>
        <v>0</v>
      </c>
      <c r="AO587" s="41">
        <f t="shared" si="444"/>
        <v>0</v>
      </c>
      <c r="AP587" s="41">
        <f t="shared" si="444"/>
        <v>0</v>
      </c>
      <c r="AQ587" s="41">
        <f t="shared" si="444"/>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4"/>
        <v>0</v>
      </c>
      <c r="AH588" s="41">
        <f t="shared" si="444"/>
        <v>0</v>
      </c>
      <c r="AI588" s="41">
        <f t="shared" si="444"/>
        <v>0</v>
      </c>
      <c r="AJ588" s="41">
        <f t="shared" si="444"/>
        <v>0</v>
      </c>
      <c r="AK588" s="41">
        <f t="shared" si="444"/>
        <v>0</v>
      </c>
      <c r="AL588" s="41">
        <f t="shared" si="444"/>
        <v>0</v>
      </c>
      <c r="AM588" s="41">
        <f t="shared" si="444"/>
        <v>0</v>
      </c>
      <c r="AN588" s="41">
        <f t="shared" si="444"/>
        <v>0</v>
      </c>
      <c r="AO588" s="41">
        <f t="shared" si="444"/>
        <v>0</v>
      </c>
      <c r="AP588" s="41">
        <f t="shared" si="444"/>
        <v>0</v>
      </c>
      <c r="AQ588" s="41">
        <f t="shared" si="444"/>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4"/>
        <v>0</v>
      </c>
      <c r="AH589" s="41">
        <f t="shared" si="444"/>
        <v>0</v>
      </c>
      <c r="AI589" s="41">
        <f t="shared" si="444"/>
        <v>0</v>
      </c>
      <c r="AJ589" s="41">
        <f t="shared" si="444"/>
        <v>0</v>
      </c>
      <c r="AK589" s="41">
        <f t="shared" si="444"/>
        <v>0</v>
      </c>
      <c r="AL589" s="41">
        <f t="shared" si="444"/>
        <v>0</v>
      </c>
      <c r="AM589" s="41">
        <f t="shared" si="444"/>
        <v>0</v>
      </c>
      <c r="AN589" s="41">
        <f t="shared" si="444"/>
        <v>0</v>
      </c>
      <c r="AO589" s="41">
        <f t="shared" si="444"/>
        <v>0</v>
      </c>
      <c r="AP589" s="41">
        <f t="shared" si="444"/>
        <v>0</v>
      </c>
      <c r="AQ589" s="41">
        <f t="shared" si="444"/>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4"/>
        <v>0</v>
      </c>
      <c r="AH590" s="41">
        <f t="shared" si="444"/>
        <v>0</v>
      </c>
      <c r="AI590" s="41">
        <f t="shared" si="444"/>
        <v>0</v>
      </c>
      <c r="AJ590" s="41">
        <f t="shared" si="444"/>
        <v>0</v>
      </c>
      <c r="AK590" s="41">
        <f t="shared" si="444"/>
        <v>0</v>
      </c>
      <c r="AL590" s="41">
        <f t="shared" si="444"/>
        <v>0</v>
      </c>
      <c r="AM590" s="41">
        <f t="shared" si="444"/>
        <v>0</v>
      </c>
      <c r="AN590" s="41">
        <f t="shared" si="444"/>
        <v>0</v>
      </c>
      <c r="AO590" s="41">
        <f t="shared" si="444"/>
        <v>0</v>
      </c>
      <c r="AP590" s="41">
        <f t="shared" si="444"/>
        <v>0</v>
      </c>
      <c r="AQ590" s="41">
        <f t="shared" si="444"/>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4"/>
        <v>0</v>
      </c>
      <c r="AH591" s="41">
        <f t="shared" si="444"/>
        <v>0</v>
      </c>
      <c r="AI591" s="41">
        <f t="shared" si="444"/>
        <v>0</v>
      </c>
      <c r="AJ591" s="41">
        <f t="shared" si="444"/>
        <v>0</v>
      </c>
      <c r="AK591" s="41">
        <f t="shared" si="444"/>
        <v>0</v>
      </c>
      <c r="AL591" s="41">
        <f t="shared" si="444"/>
        <v>0</v>
      </c>
      <c r="AM591" s="41">
        <f t="shared" si="444"/>
        <v>0</v>
      </c>
      <c r="AN591" s="41">
        <f t="shared" si="444"/>
        <v>0</v>
      </c>
      <c r="AO591" s="41">
        <f t="shared" si="444"/>
        <v>0</v>
      </c>
      <c r="AP591" s="41">
        <f t="shared" si="444"/>
        <v>0</v>
      </c>
      <c r="AQ591" s="41">
        <f t="shared" si="444"/>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4"/>
        <v>0</v>
      </c>
      <c r="AH592" s="41">
        <f t="shared" si="444"/>
        <v>0</v>
      </c>
      <c r="AI592" s="41">
        <f t="shared" si="444"/>
        <v>0</v>
      </c>
      <c r="AJ592" s="41">
        <f t="shared" si="444"/>
        <v>0</v>
      </c>
      <c r="AK592" s="41">
        <f t="shared" si="444"/>
        <v>0</v>
      </c>
      <c r="AL592" s="41">
        <f t="shared" si="444"/>
        <v>0</v>
      </c>
      <c r="AM592" s="41">
        <f t="shared" si="444"/>
        <v>0</v>
      </c>
      <c r="AN592" s="41">
        <f t="shared" si="444"/>
        <v>0</v>
      </c>
      <c r="AO592" s="41">
        <f t="shared" si="444"/>
        <v>0</v>
      </c>
      <c r="AP592" s="41">
        <f t="shared" si="444"/>
        <v>0</v>
      </c>
      <c r="AQ592" s="41">
        <f t="shared" si="444"/>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4"/>
        <v>0</v>
      </c>
      <c r="AH593" s="41">
        <f t="shared" si="444"/>
        <v>0</v>
      </c>
      <c r="AI593" s="41">
        <f t="shared" si="444"/>
        <v>0</v>
      </c>
      <c r="AJ593" s="41">
        <f t="shared" si="444"/>
        <v>0</v>
      </c>
      <c r="AK593" s="41">
        <f t="shared" si="444"/>
        <v>0</v>
      </c>
      <c r="AL593" s="41">
        <f t="shared" si="444"/>
        <v>0</v>
      </c>
      <c r="AM593" s="41">
        <f t="shared" si="444"/>
        <v>0</v>
      </c>
      <c r="AN593" s="41">
        <f t="shared" si="444"/>
        <v>0</v>
      </c>
      <c r="AO593" s="41">
        <f t="shared" si="444"/>
        <v>0</v>
      </c>
      <c r="AP593" s="41">
        <f t="shared" si="444"/>
        <v>0</v>
      </c>
      <c r="AQ593" s="41">
        <f t="shared" si="444"/>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4"/>
        <v>0</v>
      </c>
      <c r="AH594" s="41">
        <f t="shared" si="444"/>
        <v>0</v>
      </c>
      <c r="AI594" s="41">
        <f t="shared" si="444"/>
        <v>0</v>
      </c>
      <c r="AJ594" s="41">
        <f t="shared" si="444"/>
        <v>0</v>
      </c>
      <c r="AK594" s="41">
        <f t="shared" si="444"/>
        <v>0</v>
      </c>
      <c r="AL594" s="41">
        <f t="shared" si="444"/>
        <v>0</v>
      </c>
      <c r="AM594" s="41">
        <f t="shared" si="444"/>
        <v>0</v>
      </c>
      <c r="AN594" s="41">
        <f t="shared" si="444"/>
        <v>0</v>
      </c>
      <c r="AO594" s="41">
        <f t="shared" si="444"/>
        <v>0</v>
      </c>
      <c r="AP594" s="41">
        <f t="shared" si="444"/>
        <v>0</v>
      </c>
      <c r="AQ594" s="41">
        <f t="shared" si="444"/>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4"/>
        <v>0</v>
      </c>
      <c r="AH595" s="41">
        <f t="shared" si="444"/>
        <v>0</v>
      </c>
      <c r="AI595" s="41">
        <f t="shared" si="444"/>
        <v>0</v>
      </c>
      <c r="AJ595" s="41">
        <f t="shared" si="444"/>
        <v>0</v>
      </c>
      <c r="AK595" s="41">
        <f t="shared" si="444"/>
        <v>0</v>
      </c>
      <c r="AL595" s="41">
        <f t="shared" si="444"/>
        <v>0</v>
      </c>
      <c r="AM595" s="41">
        <f t="shared" si="444"/>
        <v>0</v>
      </c>
      <c r="AN595" s="41">
        <f t="shared" si="444"/>
        <v>0</v>
      </c>
      <c r="AO595" s="41">
        <f t="shared" si="444"/>
        <v>0</v>
      </c>
      <c r="AP595" s="41">
        <f t="shared" si="444"/>
        <v>0</v>
      </c>
      <c r="AQ595" s="41">
        <f t="shared" si="444"/>
        <v>0</v>
      </c>
    </row>
    <row r="596" spans="1:43" x14ac:dyDescent="0.25">
      <c r="A596" s="134"/>
      <c r="B596" s="134"/>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5">SUM(AG587:AG595)</f>
        <v>0</v>
      </c>
      <c r="AH596" s="41">
        <f t="shared" si="445"/>
        <v>0</v>
      </c>
      <c r="AI596" s="41">
        <f t="shared" si="445"/>
        <v>0</v>
      </c>
      <c r="AJ596" s="41">
        <f t="shared" si="445"/>
        <v>0</v>
      </c>
      <c r="AK596" s="41">
        <f t="shared" si="445"/>
        <v>0</v>
      </c>
      <c r="AL596" s="41">
        <f t="shared" si="445"/>
        <v>0</v>
      </c>
      <c r="AM596" s="41">
        <f t="shared" si="445"/>
        <v>0</v>
      </c>
      <c r="AN596" s="41">
        <f t="shared" si="445"/>
        <v>0</v>
      </c>
      <c r="AO596" s="41">
        <f t="shared" si="445"/>
        <v>0</v>
      </c>
      <c r="AP596" s="41">
        <f t="shared" si="445"/>
        <v>0</v>
      </c>
      <c r="AQ596" s="41">
        <f t="shared" si="445"/>
        <v>0</v>
      </c>
    </row>
    <row r="597" spans="1:43" x14ac:dyDescent="0.25">
      <c r="A597" s="129"/>
      <c r="B597" s="129"/>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6">(AG581-AG596)^2</f>
        <v>0</v>
      </c>
      <c r="AH597" s="41">
        <f t="shared" si="446"/>
        <v>0</v>
      </c>
      <c r="AI597" s="41">
        <f t="shared" si="446"/>
        <v>0</v>
      </c>
      <c r="AJ597" s="41">
        <f t="shared" si="446"/>
        <v>0</v>
      </c>
      <c r="AK597" s="41">
        <f t="shared" si="446"/>
        <v>0</v>
      </c>
      <c r="AL597" s="41">
        <f t="shared" si="446"/>
        <v>0</v>
      </c>
      <c r="AM597" s="41">
        <f t="shared" si="446"/>
        <v>0</v>
      </c>
      <c r="AN597" s="41">
        <f t="shared" si="446"/>
        <v>0</v>
      </c>
      <c r="AO597" s="41">
        <f t="shared" si="446"/>
        <v>0</v>
      </c>
      <c r="AP597" s="41">
        <f t="shared" si="446"/>
        <v>0</v>
      </c>
      <c r="AQ597" s="41">
        <f t="shared" si="446"/>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29"/>
      <c r="B626" s="129"/>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29"/>
      <c r="B627" s="129"/>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34"/>
      <c r="B650" s="134"/>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29"/>
      <c r="B651" s="129"/>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29"/>
      <c r="B652" s="129"/>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29"/>
      <c r="B653" s="129"/>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29"/>
      <c r="B654" s="129"/>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AJ152"/>
  <sheetViews>
    <sheetView tabSelected="1" topLeftCell="A135" zoomScale="110" zoomScaleNormal="110" workbookViewId="0">
      <selection activeCell="B110" sqref="B110:B141"/>
    </sheetView>
  </sheetViews>
  <sheetFormatPr baseColWidth="10" defaultRowHeight="15" x14ac:dyDescent="0.25"/>
  <sheetData>
    <row r="1" spans="1:17" x14ac:dyDescent="0.25">
      <c r="A1">
        <f>'Mastercurve bestimmen'!D436</f>
        <v>11</v>
      </c>
      <c r="C1" t="str">
        <f>'Mastercurve bestimmen'!A436</f>
        <v>Intervall: +-</v>
      </c>
      <c r="D1" s="102">
        <v>5</v>
      </c>
    </row>
    <row r="3" spans="1:17" x14ac:dyDescent="0.25">
      <c r="A3" s="117"/>
      <c r="B3" s="117"/>
      <c r="C3" s="117"/>
      <c r="D3" s="117"/>
      <c r="E3" s="117"/>
      <c r="F3" s="117"/>
      <c r="G3" s="117"/>
      <c r="H3" s="117"/>
      <c r="I3" s="118"/>
      <c r="J3" s="118"/>
      <c r="K3" s="118"/>
      <c r="L3" s="118"/>
      <c r="M3" s="118"/>
      <c r="N3" s="118"/>
      <c r="O3" s="118"/>
      <c r="P3" s="118"/>
    </row>
    <row r="4" spans="1:17" x14ac:dyDescent="0.25">
      <c r="A4" s="10">
        <f>LOG10('Mastercurve bestimmen'!A438)</f>
        <v>-5</v>
      </c>
      <c r="B4" s="10">
        <f>LOG10('Mastercurve bestimmen'!B438)</f>
        <v>-14.381383136335893</v>
      </c>
      <c r="C4" s="10">
        <f>LOG10('Mastercurve bestimmen'!C438)</f>
        <v>-12.643943745737406</v>
      </c>
      <c r="D4" s="10">
        <f>LOG10('Mastercurve bestimmen'!D438)</f>
        <v>-11.072904040853228</v>
      </c>
      <c r="E4" s="10">
        <f>LOG10('Mastercurve bestimmen'!E438)</f>
        <v>-8.7155497502198394</v>
      </c>
      <c r="F4" s="10">
        <f>LOG10('Mastercurve bestimmen'!F438)</f>
        <v>-5</v>
      </c>
      <c r="G4" s="10">
        <f>LOG10('Mastercurve bestimmen'!G438)</f>
        <v>3.0624229739396225</v>
      </c>
      <c r="H4" s="10">
        <f>LOG10('Mastercurve bestimmen'!H438)</f>
        <v>4.8308379872381835</v>
      </c>
      <c r="I4" s="3">
        <f>'Mastercurve bestimmen'!I438</f>
        <v>1.0000000000000001E-5</v>
      </c>
      <c r="J4" s="3">
        <f>'Mastercurve bestimmen'!J438</f>
        <v>7439.7323437678724</v>
      </c>
      <c r="K4" s="3">
        <f>'Mastercurve bestimmen'!K438</f>
        <v>7373.6377383352474</v>
      </c>
      <c r="L4" s="3">
        <f>'Mastercurve bestimmen'!L438</f>
        <v>7330.962888127252</v>
      </c>
      <c r="M4" s="3">
        <f>'Mastercurve bestimmen'!M438</f>
        <v>7264.6309792458533</v>
      </c>
      <c r="N4" s="3">
        <f>'Mastercurve bestimmen'!N438</f>
        <v>6323.7668304163335</v>
      </c>
      <c r="O4" s="3">
        <f>'Mastercurve bestimmen'!O438</f>
        <v>2702.914511015118</v>
      </c>
      <c r="P4" s="3">
        <f>'Mastercurve bestimmen'!P438</f>
        <v>1246.5264827258</v>
      </c>
      <c r="Q4" s="3"/>
    </row>
    <row r="5" spans="1:17" x14ac:dyDescent="0.25">
      <c r="A5" s="10">
        <f>LOG10('Mastercurve bestimmen'!A439)</f>
        <v>-4</v>
      </c>
      <c r="B5" s="10">
        <f>LOG10('Mastercurve bestimmen'!B439)</f>
        <v>-13.381383136335893</v>
      </c>
      <c r="C5" s="10">
        <f>LOG10('Mastercurve bestimmen'!C439)</f>
        <v>-11.643943745737406</v>
      </c>
      <c r="D5" s="10">
        <f>LOG10('Mastercurve bestimmen'!D439)</f>
        <v>-10.072904040853228</v>
      </c>
      <c r="E5" s="10">
        <f>LOG10('Mastercurve bestimmen'!E439)</f>
        <v>-7.7155497502198394</v>
      </c>
      <c r="F5" s="10">
        <f>LOG10('Mastercurve bestimmen'!F439)</f>
        <v>-4</v>
      </c>
      <c r="G5" s="10">
        <f>LOG10('Mastercurve bestimmen'!G439)</f>
        <v>4.0624229739396229</v>
      </c>
      <c r="H5" s="10">
        <f>LOG10('Mastercurve bestimmen'!H439)</f>
        <v>5.8308379872381835</v>
      </c>
      <c r="I5" s="3">
        <f>'Mastercurve bestimmen'!I439</f>
        <v>1E-4</v>
      </c>
      <c r="J5" s="3">
        <f>'Mastercurve bestimmen'!J439</f>
        <v>7439.7322172544646</v>
      </c>
      <c r="K5" s="3">
        <f>'Mastercurve bestimmen'!K439</f>
        <v>7373.6350664128558</v>
      </c>
      <c r="L5" s="3">
        <f>'Mastercurve bestimmen'!L439</f>
        <v>7330.7179509954649</v>
      </c>
      <c r="M5" s="3">
        <f>'Mastercurve bestimmen'!M439</f>
        <v>7153.647880511483</v>
      </c>
      <c r="N5" s="3">
        <f>'Mastercurve bestimmen'!N439</f>
        <v>6060.8557573682765</v>
      </c>
      <c r="O5" s="3">
        <f>'Mastercurve bestimmen'!O439</f>
        <v>1832.1518571214692</v>
      </c>
      <c r="P5" s="3">
        <f>'Mastercurve bestimmen'!P439</f>
        <v>721.62368462950201</v>
      </c>
    </row>
    <row r="6" spans="1:17" x14ac:dyDescent="0.25">
      <c r="A6" s="10">
        <f>LOG10('Mastercurve bestimmen'!A440)</f>
        <v>-3</v>
      </c>
      <c r="B6" s="10">
        <f>LOG10('Mastercurve bestimmen'!B440)</f>
        <v>-12.381383136335893</v>
      </c>
      <c r="C6" s="10">
        <f>LOG10('Mastercurve bestimmen'!C440)</f>
        <v>-10.643943745737406</v>
      </c>
      <c r="D6" s="10">
        <f>LOG10('Mastercurve bestimmen'!D440)</f>
        <v>-9.0729040408532278</v>
      </c>
      <c r="E6" s="10">
        <f>LOG10('Mastercurve bestimmen'!E440)</f>
        <v>-6.7155497502198394</v>
      </c>
      <c r="F6" s="10">
        <f>LOG10('Mastercurve bestimmen'!F440)</f>
        <v>-3</v>
      </c>
      <c r="G6" s="10">
        <f>LOG10('Mastercurve bestimmen'!G440)</f>
        <v>5.0624229739396229</v>
      </c>
      <c r="H6" s="10">
        <f>LOG10('Mastercurve bestimmen'!H440)</f>
        <v>6.8308379872381835</v>
      </c>
      <c r="I6" s="3">
        <f>'Mastercurve bestimmen'!I440</f>
        <v>1E-3</v>
      </c>
      <c r="J6" s="3">
        <f>'Mastercurve bestimmen'!J440</f>
        <v>7439.7315214307937</v>
      </c>
      <c r="K6" s="3">
        <f>'Mastercurve bestimmen'!K440</f>
        <v>7373.6085958444728</v>
      </c>
      <c r="L6" s="3">
        <f>'Mastercurve bestimmen'!L440</f>
        <v>7328.2878922672335</v>
      </c>
      <c r="M6" s="3">
        <f>'Mastercurve bestimmen'!M440</f>
        <v>7011.9974153857656</v>
      </c>
      <c r="N6" s="3">
        <f>'Mastercurve bestimmen'!N440</f>
        <v>5776.7475493188331</v>
      </c>
      <c r="O6" s="3">
        <f>'Mastercurve bestimmen'!O440</f>
        <v>1105.139847553852</v>
      </c>
      <c r="P6" s="3">
        <f>'Mastercurve bestimmen'!P440</f>
        <v>404.72633399765499</v>
      </c>
    </row>
    <row r="7" spans="1:17" x14ac:dyDescent="0.25">
      <c r="A7" s="10">
        <f>LOG10('Mastercurve bestimmen'!A441)</f>
        <v>-2</v>
      </c>
      <c r="B7" s="10">
        <f>LOG10('Mastercurve bestimmen'!B441)</f>
        <v>-11.381383136335893</v>
      </c>
      <c r="C7" s="10">
        <f>LOG10('Mastercurve bestimmen'!C441)</f>
        <v>-9.6439437457374062</v>
      </c>
      <c r="D7" s="10">
        <f>LOG10('Mastercurve bestimmen'!D441)</f>
        <v>-8.0729040408532278</v>
      </c>
      <c r="E7" s="10">
        <f>LOG10('Mastercurve bestimmen'!E441)</f>
        <v>-5.7155497502198394</v>
      </c>
      <c r="F7" s="10">
        <f>LOG10('Mastercurve bestimmen'!F441)</f>
        <v>-2</v>
      </c>
      <c r="G7" s="10">
        <f>LOG10('Mastercurve bestimmen'!G441)</f>
        <v>6.0624229739396229</v>
      </c>
      <c r="H7" s="10">
        <f>LOG10('Mastercurve bestimmen'!H441)</f>
        <v>7.8308379872381835</v>
      </c>
      <c r="I7" s="3">
        <f>'Mastercurve bestimmen'!I441</f>
        <v>0.01</v>
      </c>
      <c r="J7" s="3">
        <f>'Mastercurve bestimmen'!J441</f>
        <v>7439.7241836618095</v>
      </c>
      <c r="K7" s="3">
        <f>'Mastercurve bestimmen'!K441</f>
        <v>7373.3444598084343</v>
      </c>
      <c r="L7" s="3">
        <f>'Mastercurve bestimmen'!L441</f>
        <v>7305.7841813741479</v>
      </c>
      <c r="M7" s="3">
        <f>'Mastercurve bestimmen'!M441</f>
        <v>6854.7708758756735</v>
      </c>
      <c r="N7" s="3">
        <f>'Mastercurve bestimmen'!N441</f>
        <v>5495.7675366958674</v>
      </c>
      <c r="O7" s="3">
        <f>'Mastercurve bestimmen'!O441</f>
        <v>630.91869332772831</v>
      </c>
      <c r="P7" s="3">
        <f>'Mastercurve bestimmen'!P441</f>
        <v>265.07180083177406</v>
      </c>
    </row>
    <row r="8" spans="1:17" x14ac:dyDescent="0.25">
      <c r="A8" s="10">
        <f>LOG10('Mastercurve bestimmen'!A442)</f>
        <v>-1</v>
      </c>
      <c r="B8" s="10">
        <f>LOG10('Mastercurve bestimmen'!B442)</f>
        <v>-10.381383136335893</v>
      </c>
      <c r="C8" s="10">
        <f>LOG10('Mastercurve bestimmen'!C442)</f>
        <v>-8.6439437457374062</v>
      </c>
      <c r="D8" s="10">
        <f>LOG10('Mastercurve bestimmen'!D442)</f>
        <v>-7.0729040408532278</v>
      </c>
      <c r="E8" s="10">
        <f>LOG10('Mastercurve bestimmen'!E442)</f>
        <v>-4.7155497502198394</v>
      </c>
      <c r="F8" s="10">
        <f>LOG10('Mastercurve bestimmen'!F442)</f>
        <v>-1</v>
      </c>
      <c r="G8" s="10">
        <f>LOG10('Mastercurve bestimmen'!G442)</f>
        <v>7.0624229739396229</v>
      </c>
      <c r="H8" s="10">
        <f>LOG10('Mastercurve bestimmen'!H442)</f>
        <v>8.8308379872381835</v>
      </c>
      <c r="I8" s="3">
        <f>'Mastercurve bestimmen'!I442</f>
        <v>0.1</v>
      </c>
      <c r="J8" s="3">
        <f>'Mastercurve bestimmen'!J442</f>
        <v>7439.6508067680606</v>
      </c>
      <c r="K8" s="3">
        <f>'Mastercurve bestimmen'!K442</f>
        <v>7370.7250016112393</v>
      </c>
      <c r="L8" s="3">
        <f>'Mastercurve bestimmen'!L442</f>
        <v>7188.9840707641179</v>
      </c>
      <c r="M8" s="3">
        <f>'Mastercurve bestimmen'!M442</f>
        <v>6667.3368038637464</v>
      </c>
      <c r="N8" s="3">
        <f>'Mastercurve bestimmen'!N442</f>
        <v>5188.5996988750203</v>
      </c>
      <c r="O8" s="3">
        <f>'Mastercurve bestimmen'!O442</f>
        <v>354.28738756335468</v>
      </c>
      <c r="P8" s="3">
        <f>'Mastercurve bestimmen'!P442</f>
        <v>224.4007416662501</v>
      </c>
    </row>
    <row r="9" spans="1:17" x14ac:dyDescent="0.25">
      <c r="A9" s="10">
        <f>LOG10('Mastercurve bestimmen'!A443)</f>
        <v>0</v>
      </c>
      <c r="B9" s="10">
        <f>LOG10('Mastercurve bestimmen'!B443)</f>
        <v>-9.3813831363358933</v>
      </c>
      <c r="C9" s="10">
        <f>LOG10('Mastercurve bestimmen'!C443)</f>
        <v>-7.6439437457374062</v>
      </c>
      <c r="D9" s="10">
        <f>LOG10('Mastercurve bestimmen'!D443)</f>
        <v>-6.0729040408532278</v>
      </c>
      <c r="E9" s="10">
        <f>LOG10('Mastercurve bestimmen'!E443)</f>
        <v>-3.7155497502198394</v>
      </c>
      <c r="F9" s="10">
        <f>LOG10('Mastercurve bestimmen'!F443)</f>
        <v>0</v>
      </c>
      <c r="G9" s="10">
        <f>LOG10('Mastercurve bestimmen'!G443)</f>
        <v>8.062422973939622</v>
      </c>
      <c r="H9" s="10">
        <f>LOG10('Mastercurve bestimmen'!H443)</f>
        <v>9.8308379872381835</v>
      </c>
      <c r="I9" s="3">
        <f>'Mastercurve bestimmen'!I443</f>
        <v>1</v>
      </c>
      <c r="J9" s="3">
        <f>'Mastercurve bestimmen'!J443</f>
        <v>7438.9188882303606</v>
      </c>
      <c r="K9" s="3">
        <f>'Mastercurve bestimmen'!K443</f>
        <v>7346.5860708392247</v>
      </c>
      <c r="L9" s="3">
        <f>'Mastercurve bestimmen'!L443</f>
        <v>7045.3278356909095</v>
      </c>
      <c r="M9" s="3">
        <f>'Mastercurve bestimmen'!M443</f>
        <v>6457.8733144157241</v>
      </c>
      <c r="N9" s="3">
        <f>'Mastercurve bestimmen'!N443</f>
        <v>4846.1759775211867</v>
      </c>
      <c r="O9" s="3">
        <f>'Mastercurve bestimmen'!O443</f>
        <v>248.22351395532451</v>
      </c>
      <c r="P9" s="3">
        <f>'Mastercurve bestimmen'!P443</f>
        <v>202.49198438372559</v>
      </c>
    </row>
    <row r="10" spans="1:17" x14ac:dyDescent="0.25">
      <c r="A10" s="10">
        <f>LOG10('Mastercurve bestimmen'!A444)</f>
        <v>1</v>
      </c>
      <c r="B10" s="10">
        <f>LOG10('Mastercurve bestimmen'!B444)</f>
        <v>-8.3813831363358933</v>
      </c>
      <c r="C10" s="10">
        <f>LOG10('Mastercurve bestimmen'!C444)</f>
        <v>-6.6439437457374062</v>
      </c>
      <c r="D10" s="10">
        <f>LOG10('Mastercurve bestimmen'!D444)</f>
        <v>-5.0729040408532278</v>
      </c>
      <c r="E10" s="10">
        <f>LOG10('Mastercurve bestimmen'!E444)</f>
        <v>-2.7155497502198394</v>
      </c>
      <c r="F10" s="10">
        <f>LOG10('Mastercurve bestimmen'!F444)</f>
        <v>1</v>
      </c>
      <c r="G10" s="10">
        <f>LOG10('Mastercurve bestimmen'!G444)</f>
        <v>9.062422973939622</v>
      </c>
      <c r="H10" s="10">
        <f>LOG10('Mastercurve bestimmen'!H444)</f>
        <v>10.830837987238183</v>
      </c>
      <c r="I10" s="3">
        <f>'Mastercurve bestimmen'!I444</f>
        <v>10</v>
      </c>
      <c r="J10" s="3">
        <f>'Mastercurve bestimmen'!J444</f>
        <v>7431.7642795214106</v>
      </c>
      <c r="K10" s="3">
        <f>'Mastercurve bestimmen'!K444</f>
        <v>7225.4468313347925</v>
      </c>
      <c r="L10" s="3">
        <f>'Mastercurve bestimmen'!L444</f>
        <v>6881.2247214769232</v>
      </c>
      <c r="M10" s="3">
        <f>'Mastercurve bestimmen'!M444</f>
        <v>6197.1395066404111</v>
      </c>
      <c r="N10" s="3">
        <f>'Mastercurve bestimmen'!N444</f>
        <v>4307.5308640863095</v>
      </c>
      <c r="O10" s="3">
        <f>'Mastercurve bestimmen'!O444</f>
        <v>214.57476664013214</v>
      </c>
      <c r="P10" s="3">
        <f>'Mastercurve bestimmen'!P444</f>
        <v>189.83771999127222</v>
      </c>
    </row>
    <row r="11" spans="1:17" x14ac:dyDescent="0.25">
      <c r="A11" s="10">
        <f>LOG10('Mastercurve bestimmen'!A445)</f>
        <v>2</v>
      </c>
      <c r="B11" s="10">
        <f>LOG10('Mastercurve bestimmen'!B445)</f>
        <v>-7.3813831363358942</v>
      </c>
      <c r="C11" s="10">
        <f>LOG10('Mastercurve bestimmen'!C445)</f>
        <v>-5.6439437457374062</v>
      </c>
      <c r="D11" s="10">
        <f>LOG10('Mastercurve bestimmen'!D445)</f>
        <v>-4.0729040408532278</v>
      </c>
      <c r="E11" s="10">
        <f>LOG10('Mastercurve bestimmen'!E445)</f>
        <v>-1.7155497502198394</v>
      </c>
      <c r="F11" s="10">
        <f>LOG10('Mastercurve bestimmen'!F445)</f>
        <v>2</v>
      </c>
      <c r="G11" s="10">
        <f>LOG10('Mastercurve bestimmen'!G445)</f>
        <v>10.062422973939622</v>
      </c>
      <c r="H11" s="10">
        <f>LOG10('Mastercurve bestimmen'!H445)</f>
        <v>11.830837987238183</v>
      </c>
      <c r="I11" s="3">
        <f>'Mastercurve bestimmen'!I445</f>
        <v>100</v>
      </c>
      <c r="J11" s="3">
        <f>'Mastercurve bestimmen'!J445</f>
        <v>7374.1954046997607</v>
      </c>
      <c r="K11" s="3">
        <f>'Mastercurve bestimmen'!K445</f>
        <v>7074.5614632967963</v>
      </c>
      <c r="L11" s="3">
        <f>'Mastercurve bestimmen'!L445</f>
        <v>6633.2763958157147</v>
      </c>
      <c r="M11" s="3">
        <f>'Mastercurve bestimmen'!M445</f>
        <v>5728.6851502202007</v>
      </c>
      <c r="N11" s="3">
        <f>'Mastercurve bestimmen'!N445</f>
        <v>3424.2409160347711</v>
      </c>
      <c r="O11" s="3">
        <f>'Mastercurve bestimmen'!O445</f>
        <v>185.72591291449908</v>
      </c>
      <c r="P11" s="3">
        <f>'Mastercurve bestimmen'!P445</f>
        <v>169.86288435020435</v>
      </c>
    </row>
    <row r="12" spans="1:17" x14ac:dyDescent="0.25">
      <c r="A12" s="10">
        <f>LOG10('Mastercurve bestimmen'!A446)</f>
        <v>3</v>
      </c>
      <c r="B12" s="10">
        <f>LOG10('Mastercurve bestimmen'!B446)</f>
        <v>-6.3813831363358942</v>
      </c>
      <c r="C12" s="10">
        <f>LOG10('Mastercurve bestimmen'!C446)</f>
        <v>-4.6439437457374062</v>
      </c>
      <c r="D12" s="10">
        <f>LOG10('Mastercurve bestimmen'!D446)</f>
        <v>-3.0729040408532278</v>
      </c>
      <c r="E12" s="10">
        <f>LOG10('Mastercurve bestimmen'!E446)</f>
        <v>-0.71554975021983924</v>
      </c>
      <c r="F12" s="10">
        <f>LOG10('Mastercurve bestimmen'!F446)</f>
        <v>3</v>
      </c>
      <c r="G12" s="10">
        <f>LOG10('Mastercurve bestimmen'!G446)</f>
        <v>11.062422973939622</v>
      </c>
      <c r="H12" s="10">
        <f>LOG10('Mastercurve bestimmen'!H446)</f>
        <v>12.830837987238183</v>
      </c>
      <c r="I12" s="3">
        <f>'Mastercurve bestimmen'!I446</f>
        <v>1000</v>
      </c>
      <c r="J12" s="3">
        <f>'Mastercurve bestimmen'!J446</f>
        <v>7229.1163160436472</v>
      </c>
      <c r="K12" s="3">
        <f>'Mastercurve bestimmen'!K446</f>
        <v>6837.385209483964</v>
      </c>
      <c r="L12" s="3">
        <f>'Mastercurve bestimmen'!L446</f>
        <v>6142.0459094556854</v>
      </c>
      <c r="M12" s="3">
        <f>'Mastercurve bestimmen'!M446</f>
        <v>4909.4106843846976</v>
      </c>
      <c r="N12" s="3">
        <f>'Mastercurve bestimmen'!N446</f>
        <v>2457.6306581082695</v>
      </c>
      <c r="O12" s="3">
        <f>'Mastercurve bestimmen'!O446</f>
        <v>158.09658219581334</v>
      </c>
      <c r="P12" s="3">
        <f>'Mastercurve bestimmen'!P446</f>
        <v>142.29365996368665</v>
      </c>
    </row>
    <row r="13" spans="1:17" x14ac:dyDescent="0.25">
      <c r="A13" s="10">
        <f>LOG10('Mastercurve bestimmen'!A447)</f>
        <v>4</v>
      </c>
      <c r="B13" s="10">
        <f>LOG10('Mastercurve bestimmen'!B447)</f>
        <v>-5.3813831363358942</v>
      </c>
      <c r="C13" s="10">
        <f>LOG10('Mastercurve bestimmen'!C447)</f>
        <v>-3.6439437457374062</v>
      </c>
      <c r="D13" s="10">
        <f>LOG10('Mastercurve bestimmen'!D447)</f>
        <v>-2.0729040408532278</v>
      </c>
      <c r="E13" s="10">
        <f>LOG10('Mastercurve bestimmen'!E447)</f>
        <v>0.28445024978016076</v>
      </c>
      <c r="F13" s="10">
        <f>LOG10('Mastercurve bestimmen'!F447)</f>
        <v>4</v>
      </c>
      <c r="G13" s="10">
        <f>LOG10('Mastercurve bestimmen'!G447)</f>
        <v>12.062422973939622</v>
      </c>
      <c r="H13" s="10">
        <f>LOG10('Mastercurve bestimmen'!H447)</f>
        <v>13.830837987238183</v>
      </c>
      <c r="I13" s="3">
        <f>'Mastercurve bestimmen'!I447</f>
        <v>10000</v>
      </c>
      <c r="J13" s="3">
        <f>'Mastercurve bestimmen'!J447</f>
        <v>7065.0007195804155</v>
      </c>
      <c r="K13" s="3">
        <f>'Mastercurve bestimmen'!K447</f>
        <v>6289.6718355453368</v>
      </c>
      <c r="L13" s="3">
        <f>'Mastercurve bestimmen'!L447</f>
        <v>5263.2654078154883</v>
      </c>
      <c r="M13" s="3">
        <f>'Mastercurve bestimmen'!M447</f>
        <v>4054.6855956010618</v>
      </c>
      <c r="N13" s="3">
        <f>'Mastercurve bestimmen'!N447</f>
        <v>1610.938712030013</v>
      </c>
      <c r="O13" s="3">
        <f>'Mastercurve bestimmen'!O447</f>
        <v>132.46407229952649</v>
      </c>
      <c r="P13" s="3">
        <f>'Mastercurve bestimmen'!P447</f>
        <v>121.71619952615258</v>
      </c>
    </row>
    <row r="14" spans="1:17" x14ac:dyDescent="0.25">
      <c r="A14" s="10">
        <f>LOG10('Mastercurve bestimmen'!A448)</f>
        <v>5</v>
      </c>
      <c r="B14" s="10">
        <f>LOG10('Mastercurve bestimmen'!B448)</f>
        <v>-4.3813831363358942</v>
      </c>
      <c r="C14" s="10">
        <f>LOG10('Mastercurve bestimmen'!C448)</f>
        <v>-2.6439437457374062</v>
      </c>
      <c r="D14" s="10">
        <f>LOG10('Mastercurve bestimmen'!D448)</f>
        <v>-1.072904040853228</v>
      </c>
      <c r="E14" s="10">
        <f>LOG10('Mastercurve bestimmen'!E448)</f>
        <v>1.2844502497801609</v>
      </c>
      <c r="F14" s="10">
        <f>LOG10('Mastercurve bestimmen'!F448)</f>
        <v>5</v>
      </c>
      <c r="G14" s="10">
        <f>LOG10('Mastercurve bestimmen'!G448)</f>
        <v>13.062422973939622</v>
      </c>
      <c r="H14" s="10">
        <f>LOG10('Mastercurve bestimmen'!H448)</f>
        <v>14.830837987238183</v>
      </c>
      <c r="I14" s="3">
        <f>'Mastercurve bestimmen'!I448</f>
        <v>100000</v>
      </c>
      <c r="J14" s="3">
        <f>'Mastercurve bestimmen'!J448</f>
        <v>6763.2909836921517</v>
      </c>
      <c r="K14" s="3">
        <f>'Mastercurve bestimmen'!K448</f>
        <v>5393.096219252795</v>
      </c>
      <c r="L14" s="3">
        <f>'Mastercurve bestimmen'!L448</f>
        <v>4399.1328288595505</v>
      </c>
      <c r="M14" s="3">
        <f>'Mastercurve bestimmen'!M448</f>
        <v>3384.7376862720757</v>
      </c>
      <c r="N14" s="3">
        <f>'Mastercurve bestimmen'!N448</f>
        <v>942.69111378955085</v>
      </c>
      <c r="O14" s="3">
        <f>'Mastercurve bestimmen'!O448</f>
        <v>115.64370251909122</v>
      </c>
      <c r="P14" s="3">
        <f>'Mastercurve bestimmen'!P448</f>
        <v>109.27679567564616</v>
      </c>
    </row>
    <row r="15" spans="1:17" x14ac:dyDescent="0.25">
      <c r="A15" s="10">
        <f>LOG10('Mastercurve bestimmen'!A449)</f>
        <v>6</v>
      </c>
      <c r="B15" s="10">
        <f>LOG10('Mastercurve bestimmen'!B449)</f>
        <v>-3.3813831363358942</v>
      </c>
      <c r="C15" s="10">
        <f>LOG10('Mastercurve bestimmen'!C449)</f>
        <v>-1.6439437457374062</v>
      </c>
      <c r="D15" s="10">
        <f>LOG10('Mastercurve bestimmen'!D449)</f>
        <v>-7.2904040853227867E-2</v>
      </c>
      <c r="E15" s="10">
        <f>LOG10('Mastercurve bestimmen'!E449)</f>
        <v>2.2844502497801606</v>
      </c>
      <c r="F15" s="10">
        <f>LOG10('Mastercurve bestimmen'!F449)</f>
        <v>6</v>
      </c>
      <c r="G15" s="10">
        <f>LOG10('Mastercurve bestimmen'!G449)</f>
        <v>14.062422973939622</v>
      </c>
      <c r="H15" s="10">
        <f>LOG10('Mastercurve bestimmen'!H449)</f>
        <v>15.830837987238183</v>
      </c>
      <c r="I15" s="3">
        <f>'Mastercurve bestimmen'!I449</f>
        <v>1000000</v>
      </c>
      <c r="J15" s="3">
        <f>'Mastercurve bestimmen'!J449</f>
        <v>6076.274832146727</v>
      </c>
      <c r="K15" s="3">
        <f>'Mastercurve bestimmen'!K449</f>
        <v>4558.7271908643725</v>
      </c>
      <c r="L15" s="3">
        <f>'Mastercurve bestimmen'!L449</f>
        <v>3757.2475587809995</v>
      </c>
      <c r="M15" s="3">
        <f>'Mastercurve bestimmen'!M449</f>
        <v>2867.8130883318549</v>
      </c>
      <c r="N15" s="3">
        <f>'Mastercurve bestimmen'!N449</f>
        <v>510.32470275306576</v>
      </c>
      <c r="O15" s="3">
        <f>'Mastercurve bestimmen'!O449</f>
        <v>105.70344373363407</v>
      </c>
      <c r="P15" s="3">
        <f>'Mastercurve bestimmen'!P449</f>
        <v>101.92394551670053</v>
      </c>
    </row>
    <row r="16" spans="1:17" x14ac:dyDescent="0.25">
      <c r="A16" s="10">
        <f>LOG10('Mastercurve bestimmen'!A450)</f>
        <v>7</v>
      </c>
      <c r="B16" s="10">
        <f>LOG10('Mastercurve bestimmen'!B450)</f>
        <v>-2.3813831363358942</v>
      </c>
      <c r="C16" s="10">
        <f>LOG10('Mastercurve bestimmen'!C450)</f>
        <v>-0.6439437457374062</v>
      </c>
      <c r="D16" s="10">
        <f>LOG10('Mastercurve bestimmen'!D450)</f>
        <v>0.92709595914677212</v>
      </c>
      <c r="E16" s="10">
        <f>LOG10('Mastercurve bestimmen'!E450)</f>
        <v>3.2844502497801606</v>
      </c>
      <c r="F16" s="10">
        <f>LOG10('Mastercurve bestimmen'!F450)</f>
        <v>7</v>
      </c>
      <c r="G16" s="10">
        <f>LOG10('Mastercurve bestimmen'!G450)</f>
        <v>15.062422973939622</v>
      </c>
      <c r="H16" s="10">
        <f>LOG10('Mastercurve bestimmen'!H450)</f>
        <v>16.830837987238183</v>
      </c>
      <c r="I16" s="3">
        <f>'Mastercurve bestimmen'!I450</f>
        <v>10000000</v>
      </c>
      <c r="J16" s="3">
        <f>'Mastercurve bestimmen'!J450</f>
        <v>5152.9727387836929</v>
      </c>
      <c r="K16" s="3">
        <f>'Mastercurve bestimmen'!K450</f>
        <v>3927.5350129983676</v>
      </c>
      <c r="L16" s="3">
        <f>'Mastercurve bestimmen'!L450</f>
        <v>3291.1531992809396</v>
      </c>
      <c r="M16" s="3">
        <f>'Mastercurve bestimmen'!M450</f>
        <v>2393.9219661874804</v>
      </c>
      <c r="N16" s="3">
        <f>'Mastercurve bestimmen'!N450</f>
        <v>271.36767023207187</v>
      </c>
      <c r="O16" s="3">
        <f>'Mastercurve bestimmen'!O450</f>
        <v>99.769058005183027</v>
      </c>
      <c r="P16" s="3">
        <f>'Mastercurve bestimmen'!P450</f>
        <v>97.501289329192588</v>
      </c>
    </row>
    <row r="17" spans="1:16" x14ac:dyDescent="0.25">
      <c r="A17" s="10">
        <f>LOG10('Mastercurve bestimmen'!A451)</f>
        <v>8</v>
      </c>
      <c r="B17" s="10">
        <f>LOG10('Mastercurve bestimmen'!B451)</f>
        <v>-1.3813831363358942</v>
      </c>
      <c r="C17" s="10">
        <f>LOG10('Mastercurve bestimmen'!C451)</f>
        <v>0.35605625426259374</v>
      </c>
      <c r="D17" s="10">
        <f>LOG10('Mastercurve bestimmen'!D451)</f>
        <v>1.9270959591467722</v>
      </c>
      <c r="E17" s="10">
        <f>LOG10('Mastercurve bestimmen'!E451)</f>
        <v>4.2844502497801606</v>
      </c>
      <c r="F17" s="10">
        <f>LOG10('Mastercurve bestimmen'!F451)</f>
        <v>8</v>
      </c>
      <c r="G17" s="10">
        <f>LOG10('Mastercurve bestimmen'!G451)</f>
        <v>16.062422973939622</v>
      </c>
      <c r="H17" s="10">
        <f>LOG10('Mastercurve bestimmen'!H451)</f>
        <v>17.830837987238183</v>
      </c>
      <c r="I17" s="3">
        <f>'Mastercurve bestimmen'!I451</f>
        <v>100000000</v>
      </c>
      <c r="J17" s="3">
        <f>'Mastercurve bestimmen'!J451</f>
        <v>4349.4578522571974</v>
      </c>
      <c r="K17" s="3">
        <f>'Mastercurve bestimmen'!K451</f>
        <v>3470.8276794707381</v>
      </c>
      <c r="L17" s="3">
        <f>'Mastercurve bestimmen'!L451</f>
        <v>2923.3907186801598</v>
      </c>
      <c r="M17" s="3">
        <f>'Mastercurve bestimmen'!M451</f>
        <v>1923.0446750969861</v>
      </c>
      <c r="N17" s="3">
        <f>'Mastercurve bestimmen'!N451</f>
        <v>152.45647454769647</v>
      </c>
      <c r="O17" s="3">
        <f>'Mastercurve bestimmen'!O451</f>
        <v>96.16135307969536</v>
      </c>
      <c r="P17" s="3">
        <f>'Mastercurve bestimmen'!P451</f>
        <v>94.712895608864457</v>
      </c>
    </row>
    <row r="18" spans="1:16" x14ac:dyDescent="0.25">
      <c r="A18" s="10">
        <f>LOG10('Mastercurve bestimmen'!A452)</f>
        <v>9</v>
      </c>
      <c r="B18" s="10">
        <f>LOG10('Mastercurve bestimmen'!B452)</f>
        <v>-0.38138313633589405</v>
      </c>
      <c r="C18" s="10">
        <f>LOG10('Mastercurve bestimmen'!C452)</f>
        <v>1.3560562542625938</v>
      </c>
      <c r="D18" s="10">
        <f>LOG10('Mastercurve bestimmen'!D452)</f>
        <v>2.9270959591467722</v>
      </c>
      <c r="E18" s="10">
        <f>LOG10('Mastercurve bestimmen'!E452)</f>
        <v>5.2844502497801606</v>
      </c>
      <c r="F18" s="10">
        <f>LOG10('Mastercurve bestimmen'!F452)</f>
        <v>9</v>
      </c>
      <c r="G18" s="10">
        <f>LOG10('Mastercurve bestimmen'!G452)</f>
        <v>17.062422973939622</v>
      </c>
      <c r="H18" s="10">
        <f>LOG10('Mastercurve bestimmen'!H452)</f>
        <v>18.830837987238183</v>
      </c>
      <c r="I18" s="3">
        <f>'Mastercurve bestimmen'!I452</f>
        <v>1000000000</v>
      </c>
      <c r="J18" s="3">
        <f>'Mastercurve bestimmen'!J452</f>
        <v>3760.3414331574859</v>
      </c>
      <c r="K18" s="3">
        <f>'Mastercurve bestimmen'!K452</f>
        <v>3119.1195128427248</v>
      </c>
      <c r="L18" s="3">
        <f>'Mastercurve bestimmen'!L452</f>
        <v>2591.8565821190209</v>
      </c>
      <c r="M18" s="3">
        <f>'Mastercurve bestimmen'!M452</f>
        <v>1433.0262098856042</v>
      </c>
      <c r="N18" s="3">
        <f>'Mastercurve bestimmen'!N452</f>
        <v>114.48528241321054</v>
      </c>
      <c r="O18" s="3">
        <f>'Mastercurve bestimmen'!O452</f>
        <v>93.862812708921865</v>
      </c>
      <c r="P18" s="3">
        <f>'Mastercurve bestimmen'!P452</f>
        <v>92.92945942455529</v>
      </c>
    </row>
    <row r="19" spans="1:16" x14ac:dyDescent="0.25">
      <c r="A19" s="10">
        <f>LOG10('Mastercurve bestimmen'!A453)</f>
        <v>10</v>
      </c>
      <c r="B19" s="10">
        <f>LOG10('Mastercurve bestimmen'!B453)</f>
        <v>0.61861686366410595</v>
      </c>
      <c r="C19" s="10">
        <f>LOG10('Mastercurve bestimmen'!C453)</f>
        <v>2.3560562542625938</v>
      </c>
      <c r="D19" s="10">
        <f>LOG10('Mastercurve bestimmen'!D453)</f>
        <v>3.9270959591467722</v>
      </c>
      <c r="E19" s="10">
        <f>LOG10('Mastercurve bestimmen'!E453)</f>
        <v>6.2844502497801606</v>
      </c>
      <c r="F19" s="10">
        <f>LOG10('Mastercurve bestimmen'!F453)</f>
        <v>10</v>
      </c>
      <c r="G19" s="10">
        <f>LOG10('Mastercurve bestimmen'!G453)</f>
        <v>18.062422973939622</v>
      </c>
      <c r="H19" s="10">
        <f>LOG10('Mastercurve bestimmen'!H453)</f>
        <v>19.830837987238183</v>
      </c>
      <c r="I19" s="3">
        <f>'Mastercurve bestimmen'!I453</f>
        <v>10000000000</v>
      </c>
      <c r="J19" s="3">
        <f>'Mastercurve bestimmen'!J453</f>
        <v>3336.4331784463179</v>
      </c>
      <c r="K19" s="3">
        <f>'Mastercurve bestimmen'!K453</f>
        <v>2819.4631556550398</v>
      </c>
      <c r="L19" s="3">
        <f>'Mastercurve bestimmen'!L453</f>
        <v>2227.1388397843657</v>
      </c>
      <c r="M19" s="3">
        <f>'Mastercurve bestimmen'!M453</f>
        <v>928.3724969127901</v>
      </c>
      <c r="N19" s="3">
        <f>'Mastercurve bestimmen'!N453</f>
        <v>101.06517730245214</v>
      </c>
      <c r="O19" s="3">
        <f>'Mastercurve bestimmen'!O453</f>
        <v>92.381155101656375</v>
      </c>
      <c r="P19" s="3">
        <f>'Mastercurve bestimmen'!P453</f>
        <v>92.006187989209394</v>
      </c>
    </row>
    <row r="20" spans="1:16" x14ac:dyDescent="0.25">
      <c r="A20" s="10">
        <f>LOG10('Mastercurve bestimmen'!A454)</f>
        <v>11</v>
      </c>
      <c r="B20" s="10">
        <f>LOG10('Mastercurve bestimmen'!B454)</f>
        <v>1.6186168636641061</v>
      </c>
      <c r="C20" s="10">
        <f>LOG10('Mastercurve bestimmen'!C454)</f>
        <v>3.3560562542625938</v>
      </c>
      <c r="D20" s="10">
        <f>LOG10('Mastercurve bestimmen'!D454)</f>
        <v>4.9270959591467722</v>
      </c>
      <c r="E20" s="10">
        <f>LOG10('Mastercurve bestimmen'!E454)</f>
        <v>7.2844502497801606</v>
      </c>
      <c r="F20" s="10">
        <f>LOG10('Mastercurve bestimmen'!F454)</f>
        <v>11</v>
      </c>
      <c r="G20" s="10">
        <f>LOG10('Mastercurve bestimmen'!G454)</f>
        <v>19.062422973939622</v>
      </c>
      <c r="H20" s="10">
        <f>LOG10('Mastercurve bestimmen'!H454)</f>
        <v>20.830837987238183</v>
      </c>
      <c r="I20" s="3">
        <f>'Mastercurve bestimmen'!I454</f>
        <v>100000000000</v>
      </c>
      <c r="J20" s="3">
        <f>'Mastercurve bestimmen'!J454</f>
        <v>2995.2983606085086</v>
      </c>
      <c r="K20" s="3">
        <f>'Mastercurve bestimmen'!K454</f>
        <v>2525.9157804368465</v>
      </c>
      <c r="L20" s="3">
        <f>'Mastercurve bestimmen'!L454</f>
        <v>1818.1045605438685</v>
      </c>
      <c r="M20" s="3">
        <f>'Mastercurve bestimmen'!M454</f>
        <v>540.77757065756475</v>
      </c>
      <c r="N20" s="3">
        <f>'Mastercurve bestimmen'!N454</f>
        <v>93.059878245985715</v>
      </c>
      <c r="O20" s="3">
        <f>'Mastercurve bestimmen'!O454</f>
        <v>92.126538569786135</v>
      </c>
      <c r="P20" s="3">
        <f>'Mastercurve bestimmen'!P454</f>
        <v>91.763267256404887</v>
      </c>
    </row>
    <row r="21" spans="1:16" x14ac:dyDescent="0.25">
      <c r="A21" s="10">
        <f>LOG10('Mastercurve bestimmen'!A455)</f>
        <v>12</v>
      </c>
      <c r="B21" s="10">
        <f>LOG10('Mastercurve bestimmen'!B455)</f>
        <v>2.6186168636641058</v>
      </c>
      <c r="C21" s="10">
        <f>LOG10('Mastercurve bestimmen'!C455)</f>
        <v>4.3560562542625938</v>
      </c>
      <c r="D21" s="10">
        <f>LOG10('Mastercurve bestimmen'!D455)</f>
        <v>5.9270959591467722</v>
      </c>
      <c r="E21" s="10">
        <f>LOG10('Mastercurve bestimmen'!E455)</f>
        <v>8.2844502497801606</v>
      </c>
      <c r="F21" s="10">
        <f>LOG10('Mastercurve bestimmen'!F455)</f>
        <v>12</v>
      </c>
      <c r="G21" s="10">
        <f>LOG10('Mastercurve bestimmen'!G455)</f>
        <v>20.062422973939622</v>
      </c>
      <c r="H21" s="10">
        <f>LOG10('Mastercurve bestimmen'!H455)</f>
        <v>21.830837987238183</v>
      </c>
      <c r="I21" s="3">
        <f>'Mastercurve bestimmen'!I455</f>
        <v>1000000000000</v>
      </c>
      <c r="J21" s="3">
        <f>'Mastercurve bestimmen'!J455</f>
        <v>2700.8479980556854</v>
      </c>
      <c r="K21" s="3">
        <f>'Mastercurve bestimmen'!K455</f>
        <v>2182.665940608038</v>
      </c>
      <c r="L21" s="3">
        <f>'Mastercurve bestimmen'!L455</f>
        <v>1362.7209266527218</v>
      </c>
      <c r="M21" s="3">
        <f>'Mastercurve bestimmen'!M455</f>
        <v>302.10819766520217</v>
      </c>
      <c r="N21" s="3">
        <f>'Mastercurve bestimmen'!N455</f>
        <v>92.631968530961771</v>
      </c>
      <c r="O21" s="3">
        <f>'Mastercurve bestimmen'!O455</f>
        <v>91.086268606556416</v>
      </c>
      <c r="P21" s="3">
        <f>'Mastercurve bestimmen'!P455</f>
        <v>90.809569282014081</v>
      </c>
    </row>
    <row r="22" spans="1:16" x14ac:dyDescent="0.25">
      <c r="A22" s="10">
        <f>LOG10('Mastercurve bestimmen'!A456)</f>
        <v>13</v>
      </c>
      <c r="B22" s="10">
        <f>LOG10('Mastercurve bestimmen'!B456)</f>
        <v>3.6186168636641058</v>
      </c>
      <c r="C22" s="10">
        <f>LOG10('Mastercurve bestimmen'!C456)</f>
        <v>5.3560562542625938</v>
      </c>
      <c r="D22" s="10">
        <f>LOG10('Mastercurve bestimmen'!D456)</f>
        <v>6.9270959591467722</v>
      </c>
      <c r="E22" s="10">
        <f>LOG10('Mastercurve bestimmen'!E456)</f>
        <v>9.2844502497801606</v>
      </c>
      <c r="F22" s="10">
        <f>LOG10('Mastercurve bestimmen'!F456)</f>
        <v>13</v>
      </c>
      <c r="G22" s="10">
        <f>LOG10('Mastercurve bestimmen'!G456)</f>
        <v>21.062422973939622</v>
      </c>
      <c r="H22" s="10">
        <f>LOG10('Mastercurve bestimmen'!H456)</f>
        <v>22.830837987238183</v>
      </c>
      <c r="I22" s="3">
        <f>'Mastercurve bestimmen'!I456</f>
        <v>10000000000000</v>
      </c>
      <c r="J22" s="3">
        <f>'Mastercurve bestimmen'!J456</f>
        <v>2380.901782740345</v>
      </c>
      <c r="K22" s="3">
        <f>'Mastercurve bestimmen'!K456</f>
        <v>1785.8998006119411</v>
      </c>
      <c r="L22" s="3">
        <f>'Mastercurve bestimmen'!L456</f>
        <v>882.60529508909428</v>
      </c>
      <c r="M22" s="3">
        <f>'Mastercurve bestimmen'!M456</f>
        <v>167.95607666429018</v>
      </c>
      <c r="N22" s="3">
        <f>'Mastercurve bestimmen'!N456</f>
        <v>91.23127997996707</v>
      </c>
      <c r="O22" s="3">
        <f>'Mastercurve bestimmen'!O456</f>
        <v>90.886673770022838</v>
      </c>
      <c r="P22" s="3">
        <f>'Mastercurve bestimmen'!P456</f>
        <v>90.794437108888047</v>
      </c>
    </row>
    <row r="23" spans="1:16" x14ac:dyDescent="0.25">
      <c r="A23" s="10">
        <f>LOG10('Mastercurve bestimmen'!A457)</f>
        <v>14</v>
      </c>
      <c r="B23" s="10">
        <f>LOG10('Mastercurve bestimmen'!B457)</f>
        <v>4.6186168636641058</v>
      </c>
      <c r="C23" s="10">
        <f>LOG10('Mastercurve bestimmen'!C457)</f>
        <v>6.3560562542625938</v>
      </c>
      <c r="D23" s="10">
        <f>LOG10('Mastercurve bestimmen'!D457)</f>
        <v>7.9270959591467722</v>
      </c>
      <c r="E23" s="10">
        <f>LOG10('Mastercurve bestimmen'!E457)</f>
        <v>10.284450249780161</v>
      </c>
      <c r="F23" s="10">
        <f>LOG10('Mastercurve bestimmen'!F457)</f>
        <v>14</v>
      </c>
      <c r="G23" s="10">
        <f>LOG10('Mastercurve bestimmen'!G457)</f>
        <v>22.062422973939622</v>
      </c>
      <c r="H23" s="10">
        <f>LOG10('Mastercurve bestimmen'!H457)</f>
        <v>23.830837987238183</v>
      </c>
      <c r="I23" s="3">
        <f>'Mastercurve bestimmen'!I457</f>
        <v>100000000000000</v>
      </c>
      <c r="J23" s="3">
        <f>'Mastercurve bestimmen'!J457</f>
        <v>2012.430565108212</v>
      </c>
      <c r="K23" s="3">
        <f>'Mastercurve bestimmen'!K457</f>
        <v>1337.7075606161161</v>
      </c>
      <c r="L23" s="3">
        <f>'Mastercurve bestimmen'!L457</f>
        <v>513.97783275284667</v>
      </c>
      <c r="M23" s="3">
        <f>'Mastercurve bestimmen'!M457</f>
        <v>115.55588342611547</v>
      </c>
      <c r="N23" s="3">
        <f>'Mastercurve bestimmen'!N457</f>
        <v>91.209911146223277</v>
      </c>
      <c r="O23" s="3">
        <f>'Mastercurve bestimmen'!O457</f>
        <v>90.290301687552557</v>
      </c>
      <c r="P23" s="3">
        <f>'Mastercurve bestimmen'!P457</f>
        <v>90.157522811707935</v>
      </c>
    </row>
    <row r="24" spans="1:16" x14ac:dyDescent="0.25">
      <c r="A24" s="10">
        <f>LOG10('Mastercurve bestimmen'!A458)</f>
        <v>15</v>
      </c>
      <c r="B24" s="10">
        <f>LOG10('Mastercurve bestimmen'!B458)</f>
        <v>5.6186168636641058</v>
      </c>
      <c r="C24" s="10">
        <f>LOG10('Mastercurve bestimmen'!C458)</f>
        <v>7.3560562542625938</v>
      </c>
      <c r="D24" s="10">
        <f>LOG10('Mastercurve bestimmen'!D458)</f>
        <v>8.9270959591467722</v>
      </c>
      <c r="E24" s="10">
        <f>LOG10('Mastercurve bestimmen'!E458)</f>
        <v>11.284450249780161</v>
      </c>
      <c r="F24" s="10">
        <f>LOG10('Mastercurve bestimmen'!F458)</f>
        <v>15</v>
      </c>
      <c r="G24" s="10">
        <f>LOG10('Mastercurve bestimmen'!G458)</f>
        <v>23.062422973939622</v>
      </c>
      <c r="H24" s="10">
        <f>LOG10('Mastercurve bestimmen'!H458)</f>
        <v>24.830837987238183</v>
      </c>
      <c r="I24" s="3">
        <f>'Mastercurve bestimmen'!I458</f>
        <v>1000000000000000</v>
      </c>
      <c r="J24" s="3">
        <f>'Mastercurve bestimmen'!J458</f>
        <v>1596.0920370512245</v>
      </c>
      <c r="K24" s="3">
        <f>'Mastercurve bestimmen'!K458</f>
        <v>864.52071218722244</v>
      </c>
      <c r="L24" s="3">
        <f>'Mastercurve bestimmen'!L458</f>
        <v>287.95166024173568</v>
      </c>
      <c r="M24" s="3">
        <f>'Mastercurve bestimmen'!M458</f>
        <v>100.53155340781859</v>
      </c>
      <c r="N24" s="3">
        <f>'Mastercurve bestimmen'!N458</f>
        <v>90.301560772176387</v>
      </c>
      <c r="O24" s="3">
        <f>'Mastercurve bestimmen'!O458</f>
        <v>90.056329050223439</v>
      </c>
      <c r="P24" s="3">
        <f>'Mastercurve bestimmen'!P458</f>
        <v>89.913434838716469</v>
      </c>
    </row>
    <row r="25" spans="1:16" x14ac:dyDescent="0.25">
      <c r="A25" s="10" t="e">
        <f>LOG10('Mastercurve bestimmen'!A459)</f>
        <v>#REF!</v>
      </c>
      <c r="B25" s="10" t="e">
        <f>LOG10('Mastercurve bestimmen'!B459)</f>
        <v>#REF!</v>
      </c>
      <c r="C25" s="10" t="e">
        <f>LOG10('Mastercurve bestimmen'!C459)</f>
        <v>#REF!</v>
      </c>
      <c r="D25" s="10" t="e">
        <f>LOG10('Mastercurve bestimmen'!D459)</f>
        <v>#REF!</v>
      </c>
      <c r="E25" s="10" t="e">
        <f>LOG10('Mastercurve bestimmen'!E459)</f>
        <v>#REF!</v>
      </c>
      <c r="F25" s="10" t="e">
        <f>LOG10('Mastercurve bestimmen'!F459)</f>
        <v>#REF!</v>
      </c>
      <c r="G25" s="10" t="e">
        <f>LOG10('Mastercurve bestimmen'!G459)</f>
        <v>#REF!</v>
      </c>
      <c r="H25" s="10" t="e">
        <f>LOG10('Mastercurve bestimmen'!H459)</f>
        <v>#REF!</v>
      </c>
      <c r="I25" s="3" t="e">
        <f>'Mastercurve bestimmen'!I459</f>
        <v>#REF!</v>
      </c>
      <c r="J25" s="3" t="e">
        <f>'Mastercurve bestimmen'!J459</f>
        <v>#REF!</v>
      </c>
      <c r="K25" s="3" t="e">
        <f>'Mastercurve bestimmen'!K459</f>
        <v>#REF!</v>
      </c>
      <c r="L25" s="3" t="e">
        <f>'Mastercurve bestimmen'!L459</f>
        <v>#REF!</v>
      </c>
      <c r="M25" s="3" t="e">
        <f>'Mastercurve bestimmen'!M459</f>
        <v>#REF!</v>
      </c>
      <c r="N25" s="3" t="e">
        <f>'Mastercurve bestimmen'!N459</f>
        <v>#REF!</v>
      </c>
      <c r="O25" s="3" t="e">
        <f>'Mastercurve bestimmen'!O459</f>
        <v>#REF!</v>
      </c>
      <c r="P25" s="3" t="e">
        <f>'Mastercurve bestimmen'!P459</f>
        <v>#REF!</v>
      </c>
    </row>
    <row r="26" spans="1:16" x14ac:dyDescent="0.25">
      <c r="A26" s="10" t="e">
        <f>LOG10('Mastercurve bestimmen'!A460)</f>
        <v>#REF!</v>
      </c>
      <c r="B26" s="10" t="e">
        <f>LOG10('Mastercurve bestimmen'!B460)</f>
        <v>#REF!</v>
      </c>
      <c r="C26" s="10" t="e">
        <f>LOG10('Mastercurve bestimmen'!C460)</f>
        <v>#REF!</v>
      </c>
      <c r="D26" s="10" t="e">
        <f>LOG10('Mastercurve bestimmen'!D460)</f>
        <v>#REF!</v>
      </c>
      <c r="E26" s="10" t="e">
        <f>LOG10('Mastercurve bestimmen'!E460)</f>
        <v>#REF!</v>
      </c>
      <c r="F26" s="10" t="e">
        <f>LOG10('Mastercurve bestimmen'!F460)</f>
        <v>#REF!</v>
      </c>
      <c r="G26" s="10" t="e">
        <f>LOG10('Mastercurve bestimmen'!G460)</f>
        <v>#REF!</v>
      </c>
      <c r="H26" s="10" t="e">
        <f>LOG10('Mastercurve bestimmen'!H460)</f>
        <v>#REF!</v>
      </c>
      <c r="I26" s="3" t="e">
        <f>'Mastercurve bestimmen'!I460</f>
        <v>#REF!</v>
      </c>
      <c r="J26" s="3" t="e">
        <f>'Mastercurve bestimmen'!J460</f>
        <v>#REF!</v>
      </c>
      <c r="K26" s="3" t="e">
        <f>'Mastercurve bestimmen'!K460</f>
        <v>#REF!</v>
      </c>
      <c r="L26" s="3" t="e">
        <f>'Mastercurve bestimmen'!L460</f>
        <v>#REF!</v>
      </c>
      <c r="M26" s="3" t="e">
        <f>'Mastercurve bestimmen'!M460</f>
        <v>#REF!</v>
      </c>
      <c r="N26" s="3" t="e">
        <f>'Mastercurve bestimmen'!N460</f>
        <v>#REF!</v>
      </c>
      <c r="O26" s="3" t="e">
        <f>'Mastercurve bestimmen'!O460</f>
        <v>#REF!</v>
      </c>
      <c r="P26" s="3" t="e">
        <f>'Mastercurve bestimmen'!P460</f>
        <v>#REF!</v>
      </c>
    </row>
    <row r="27" spans="1:16" x14ac:dyDescent="0.25">
      <c r="A27" s="10" t="e">
        <f>LOG10('Mastercurve bestimmen'!A461)</f>
        <v>#REF!</v>
      </c>
      <c r="B27" s="10" t="e">
        <f>LOG10('Mastercurve bestimmen'!B461)</f>
        <v>#REF!</v>
      </c>
      <c r="C27" s="10" t="e">
        <f>LOG10('Mastercurve bestimmen'!C461)</f>
        <v>#REF!</v>
      </c>
      <c r="D27" s="10" t="e">
        <f>LOG10('Mastercurve bestimmen'!D461)</f>
        <v>#REF!</v>
      </c>
      <c r="E27" s="10" t="e">
        <f>LOG10('Mastercurve bestimmen'!E461)</f>
        <v>#REF!</v>
      </c>
      <c r="F27" s="10" t="e">
        <f>LOG10('Mastercurve bestimmen'!F461)</f>
        <v>#REF!</v>
      </c>
      <c r="G27" s="10" t="e">
        <f>LOG10('Mastercurve bestimmen'!G461)</f>
        <v>#REF!</v>
      </c>
      <c r="H27" s="10" t="e">
        <f>LOG10('Mastercurve bestimmen'!H461)</f>
        <v>#REF!</v>
      </c>
      <c r="I27" s="3" t="e">
        <f>'Mastercurve bestimmen'!I461</f>
        <v>#REF!</v>
      </c>
      <c r="J27" s="3" t="e">
        <f>'Mastercurve bestimmen'!J461</f>
        <v>#REF!</v>
      </c>
      <c r="K27" s="3" t="e">
        <f>'Mastercurve bestimmen'!K461</f>
        <v>#REF!</v>
      </c>
      <c r="L27" s="3" t="e">
        <f>'Mastercurve bestimmen'!L461</f>
        <v>#REF!</v>
      </c>
      <c r="M27" s="3" t="e">
        <f>'Mastercurve bestimmen'!M461</f>
        <v>#REF!</v>
      </c>
      <c r="N27" s="3" t="e">
        <f>'Mastercurve bestimmen'!N461</f>
        <v>#REF!</v>
      </c>
      <c r="O27" s="3" t="e">
        <f>'Mastercurve bestimmen'!O461</f>
        <v>#REF!</v>
      </c>
      <c r="P27" s="3" t="e">
        <f>'Mastercurve bestimmen'!P461</f>
        <v>#REF!</v>
      </c>
    </row>
    <row r="28" spans="1:16" x14ac:dyDescent="0.25">
      <c r="A28" s="10" t="e">
        <f>LOG10('Mastercurve bestimmen'!A462)</f>
        <v>#REF!</v>
      </c>
      <c r="B28" s="10" t="e">
        <f>LOG10('Mastercurve bestimmen'!B462)</f>
        <v>#REF!</v>
      </c>
      <c r="C28" s="10" t="e">
        <f>LOG10('Mastercurve bestimmen'!C462)</f>
        <v>#REF!</v>
      </c>
      <c r="D28" s="10" t="e">
        <f>LOG10('Mastercurve bestimmen'!D462)</f>
        <v>#REF!</v>
      </c>
      <c r="E28" s="10" t="e">
        <f>LOG10('Mastercurve bestimmen'!E462)</f>
        <v>#REF!</v>
      </c>
      <c r="F28" s="10" t="e">
        <f>LOG10('Mastercurve bestimmen'!F462)</f>
        <v>#REF!</v>
      </c>
      <c r="G28" s="10" t="e">
        <f>LOG10('Mastercurve bestimmen'!G462)</f>
        <v>#REF!</v>
      </c>
      <c r="H28" s="10" t="e">
        <f>LOG10('Mastercurve bestimmen'!H462)</f>
        <v>#REF!</v>
      </c>
      <c r="I28" s="3" t="e">
        <f>'Mastercurve bestimmen'!I462</f>
        <v>#REF!</v>
      </c>
      <c r="J28" s="3" t="e">
        <f>'Mastercurve bestimmen'!J462</f>
        <v>#REF!</v>
      </c>
      <c r="K28" s="3" t="e">
        <f>'Mastercurve bestimmen'!K462</f>
        <v>#REF!</v>
      </c>
      <c r="L28" s="3" t="e">
        <f>'Mastercurve bestimmen'!L462</f>
        <v>#REF!</v>
      </c>
      <c r="M28" s="3" t="e">
        <f>'Mastercurve bestimmen'!M462</f>
        <v>#REF!</v>
      </c>
      <c r="N28" s="3" t="e">
        <f>'Mastercurve bestimmen'!N462</f>
        <v>#REF!</v>
      </c>
      <c r="O28" s="3" t="e">
        <f>'Mastercurve bestimmen'!O462</f>
        <v>#REF!</v>
      </c>
      <c r="P28" s="3" t="e">
        <f>'Mastercurve bestimmen'!P462</f>
        <v>#REF!</v>
      </c>
    </row>
    <row r="29" spans="1:16" x14ac:dyDescent="0.25">
      <c r="A29" s="10" t="e">
        <f>LOG10('Mastercurve bestimmen'!A463)</f>
        <v>#REF!</v>
      </c>
      <c r="B29" s="10" t="e">
        <f>LOG10('Mastercurve bestimmen'!B463)</f>
        <v>#REF!</v>
      </c>
      <c r="C29" s="10" t="e">
        <f>LOG10('Mastercurve bestimmen'!C463)</f>
        <v>#REF!</v>
      </c>
      <c r="D29" s="10" t="e">
        <f>LOG10('Mastercurve bestimmen'!D463)</f>
        <v>#REF!</v>
      </c>
      <c r="E29" s="10" t="e">
        <f>LOG10('Mastercurve bestimmen'!E463)</f>
        <v>#REF!</v>
      </c>
      <c r="F29" s="10" t="e">
        <f>LOG10('Mastercurve bestimmen'!F463)</f>
        <v>#REF!</v>
      </c>
      <c r="G29" s="10" t="e">
        <f>LOG10('Mastercurve bestimmen'!G463)</f>
        <v>#REF!</v>
      </c>
      <c r="H29" s="10" t="e">
        <f>LOG10('Mastercurve bestimmen'!H463)</f>
        <v>#REF!</v>
      </c>
      <c r="I29" s="3" t="e">
        <f>'Mastercurve bestimmen'!I463</f>
        <v>#REF!</v>
      </c>
      <c r="J29" s="3" t="e">
        <f>'Mastercurve bestimmen'!J463</f>
        <v>#REF!</v>
      </c>
      <c r="K29" s="3" t="e">
        <f>'Mastercurve bestimmen'!K463</f>
        <v>#REF!</v>
      </c>
      <c r="L29" s="3" t="e">
        <f>'Mastercurve bestimmen'!L463</f>
        <v>#REF!</v>
      </c>
      <c r="M29" s="3" t="e">
        <f>'Mastercurve bestimmen'!M463</f>
        <v>#REF!</v>
      </c>
      <c r="N29" s="3" t="e">
        <f>'Mastercurve bestimmen'!N463</f>
        <v>#REF!</v>
      </c>
      <c r="O29" s="3" t="e">
        <f>'Mastercurve bestimmen'!O463</f>
        <v>#REF!</v>
      </c>
      <c r="P29" s="3" t="e">
        <f>'Mastercurve bestimmen'!P463</f>
        <v>#REF!</v>
      </c>
    </row>
    <row r="30" spans="1:16" x14ac:dyDescent="0.25">
      <c r="A30" s="10" t="e">
        <f>LOG10('Mastercurve bestimmen'!A464)</f>
        <v>#REF!</v>
      </c>
      <c r="B30" s="10" t="e">
        <f>LOG10('Mastercurve bestimmen'!B464)</f>
        <v>#REF!</v>
      </c>
      <c r="C30" s="10" t="e">
        <f>LOG10('Mastercurve bestimmen'!C464)</f>
        <v>#REF!</v>
      </c>
      <c r="D30" s="10" t="e">
        <f>LOG10('Mastercurve bestimmen'!D464)</f>
        <v>#REF!</v>
      </c>
      <c r="E30" s="10" t="e">
        <f>LOG10('Mastercurve bestimmen'!E464)</f>
        <v>#REF!</v>
      </c>
      <c r="F30" s="10" t="e">
        <f>LOG10('Mastercurve bestimmen'!F464)</f>
        <v>#REF!</v>
      </c>
      <c r="G30" s="10" t="e">
        <f>LOG10('Mastercurve bestimmen'!G464)</f>
        <v>#REF!</v>
      </c>
      <c r="H30" s="10" t="e">
        <f>LOG10('Mastercurve bestimmen'!H464)</f>
        <v>#REF!</v>
      </c>
      <c r="I30" s="3" t="e">
        <f>'Mastercurve bestimmen'!I464</f>
        <v>#REF!</v>
      </c>
      <c r="J30" s="3" t="e">
        <f>'Mastercurve bestimmen'!J464</f>
        <v>#REF!</v>
      </c>
      <c r="K30" s="3" t="e">
        <f>'Mastercurve bestimmen'!K464</f>
        <v>#REF!</v>
      </c>
      <c r="L30" s="3" t="e">
        <f>'Mastercurve bestimmen'!L464</f>
        <v>#REF!</v>
      </c>
      <c r="M30" s="3" t="e">
        <f>'Mastercurve bestimmen'!M464</f>
        <v>#REF!</v>
      </c>
      <c r="N30" s="3" t="e">
        <f>'Mastercurve bestimmen'!N464</f>
        <v>#REF!</v>
      </c>
      <c r="O30" s="3" t="e">
        <f>'Mastercurve bestimmen'!O464</f>
        <v>#REF!</v>
      </c>
      <c r="P30" s="3" t="e">
        <f>'Mastercurve bestimmen'!P464</f>
        <v>#REF!</v>
      </c>
    </row>
    <row r="31" spans="1:16" x14ac:dyDescent="0.25">
      <c r="A31" s="10" t="e">
        <f>LOG10('Mastercurve bestimmen'!A465)</f>
        <v>#REF!</v>
      </c>
      <c r="B31" s="10" t="e">
        <f>LOG10('Mastercurve bestimmen'!B465)</f>
        <v>#REF!</v>
      </c>
      <c r="C31" s="10" t="e">
        <f>LOG10('Mastercurve bestimmen'!C465)</f>
        <v>#REF!</v>
      </c>
      <c r="D31" s="10" t="e">
        <f>LOG10('Mastercurve bestimmen'!D465)</f>
        <v>#REF!</v>
      </c>
      <c r="E31" s="10" t="e">
        <f>LOG10('Mastercurve bestimmen'!E465)</f>
        <v>#REF!</v>
      </c>
      <c r="F31" s="10" t="e">
        <f>LOG10('Mastercurve bestimmen'!F465)</f>
        <v>#REF!</v>
      </c>
      <c r="G31" s="10" t="e">
        <f>LOG10('Mastercurve bestimmen'!G465)</f>
        <v>#REF!</v>
      </c>
      <c r="H31" s="10" t="e">
        <f>LOG10('Mastercurve bestimmen'!H465)</f>
        <v>#REF!</v>
      </c>
      <c r="I31" s="3" t="e">
        <f>'Mastercurve bestimmen'!I465</f>
        <v>#REF!</v>
      </c>
      <c r="J31" s="3" t="e">
        <f>'Mastercurve bestimmen'!J465</f>
        <v>#REF!</v>
      </c>
      <c r="K31" s="3" t="e">
        <f>'Mastercurve bestimmen'!K465</f>
        <v>#REF!</v>
      </c>
      <c r="L31" s="3" t="e">
        <f>'Mastercurve bestimmen'!L465</f>
        <v>#REF!</v>
      </c>
      <c r="M31" s="3" t="e">
        <f>'Mastercurve bestimmen'!M465</f>
        <v>#REF!</v>
      </c>
      <c r="N31" s="3" t="e">
        <f>'Mastercurve bestimmen'!N465</f>
        <v>#REF!</v>
      </c>
      <c r="O31" s="3" t="e">
        <f>'Mastercurve bestimmen'!O465</f>
        <v>#REF!</v>
      </c>
      <c r="P31" s="3" t="e">
        <f>'Mastercurve bestimmen'!P465</f>
        <v>#REF!</v>
      </c>
    </row>
    <row r="32" spans="1:16" x14ac:dyDescent="0.25">
      <c r="A32" s="10" t="e">
        <f>LOG10('Mastercurve bestimmen'!A466)</f>
        <v>#REF!</v>
      </c>
      <c r="B32" s="10" t="e">
        <f>LOG10('Mastercurve bestimmen'!B466)</f>
        <v>#REF!</v>
      </c>
      <c r="C32" s="10" t="e">
        <f>LOG10('Mastercurve bestimmen'!C466)</f>
        <v>#REF!</v>
      </c>
      <c r="D32" s="10" t="e">
        <f>LOG10('Mastercurve bestimmen'!D466)</f>
        <v>#REF!</v>
      </c>
      <c r="E32" s="10" t="e">
        <f>LOG10('Mastercurve bestimmen'!E466)</f>
        <v>#REF!</v>
      </c>
      <c r="F32" s="10" t="e">
        <f>LOG10('Mastercurve bestimmen'!F466)</f>
        <v>#REF!</v>
      </c>
      <c r="G32" s="10" t="e">
        <f>LOG10('Mastercurve bestimmen'!G466)</f>
        <v>#REF!</v>
      </c>
      <c r="H32" s="10" t="e">
        <f>LOG10('Mastercurve bestimmen'!H466)</f>
        <v>#REF!</v>
      </c>
      <c r="I32" s="3" t="e">
        <f>'Mastercurve bestimmen'!I466</f>
        <v>#REF!</v>
      </c>
      <c r="J32" s="3" t="e">
        <f>'Mastercurve bestimmen'!J466</f>
        <v>#REF!</v>
      </c>
      <c r="K32" s="3" t="e">
        <f>'Mastercurve bestimmen'!K466</f>
        <v>#REF!</v>
      </c>
      <c r="L32" s="3" t="e">
        <f>'Mastercurve bestimmen'!L466</f>
        <v>#REF!</v>
      </c>
      <c r="M32" s="3" t="e">
        <f>'Mastercurve bestimmen'!M466</f>
        <v>#REF!</v>
      </c>
      <c r="N32" s="3" t="e">
        <f>'Mastercurve bestimmen'!N466</f>
        <v>#REF!</v>
      </c>
      <c r="O32" s="3" t="e">
        <f>'Mastercurve bestimmen'!O466</f>
        <v>#REF!</v>
      </c>
      <c r="P32" s="3" t="e">
        <f>'Mastercurve bestimmen'!P466</f>
        <v>#REF!</v>
      </c>
    </row>
    <row r="33" spans="1:16" x14ac:dyDescent="0.25">
      <c r="A33" s="10" t="e">
        <f>LOG10('Mastercurve bestimmen'!A467)</f>
        <v>#REF!</v>
      </c>
      <c r="B33" s="10" t="e">
        <f>LOG10('Mastercurve bestimmen'!B467)</f>
        <v>#REF!</v>
      </c>
      <c r="C33" s="10" t="e">
        <f>LOG10('Mastercurve bestimmen'!C467)</f>
        <v>#REF!</v>
      </c>
      <c r="D33" s="10" t="e">
        <f>LOG10('Mastercurve bestimmen'!D467)</f>
        <v>#REF!</v>
      </c>
      <c r="E33" s="10" t="e">
        <f>LOG10('Mastercurve bestimmen'!E467)</f>
        <v>#REF!</v>
      </c>
      <c r="F33" s="10" t="e">
        <f>LOG10('Mastercurve bestimmen'!F467)</f>
        <v>#REF!</v>
      </c>
      <c r="G33" s="10" t="e">
        <f>LOG10('Mastercurve bestimmen'!G467)</f>
        <v>#REF!</v>
      </c>
      <c r="H33" s="10" t="e">
        <f>LOG10('Mastercurve bestimmen'!H467)</f>
        <v>#REF!</v>
      </c>
      <c r="I33" s="3" t="e">
        <f>'Mastercurve bestimmen'!I467</f>
        <v>#REF!</v>
      </c>
      <c r="J33" s="3" t="e">
        <f>'Mastercurve bestimmen'!J467</f>
        <v>#REF!</v>
      </c>
      <c r="K33" s="3" t="e">
        <f>'Mastercurve bestimmen'!K467</f>
        <v>#REF!</v>
      </c>
      <c r="L33" s="3" t="e">
        <f>'Mastercurve bestimmen'!L467</f>
        <v>#REF!</v>
      </c>
      <c r="M33" s="3" t="e">
        <f>'Mastercurve bestimmen'!M467</f>
        <v>#REF!</v>
      </c>
      <c r="N33" s="3" t="e">
        <f>'Mastercurve bestimmen'!N467</f>
        <v>#REF!</v>
      </c>
      <c r="O33" s="3" t="e">
        <f>'Mastercurve bestimmen'!O467</f>
        <v>#REF!</v>
      </c>
      <c r="P33" s="3" t="e">
        <f>'Mastercurve bestimmen'!P467</f>
        <v>#REF!</v>
      </c>
    </row>
    <row r="34" spans="1:16" x14ac:dyDescent="0.25">
      <c r="A34" s="10" t="e">
        <f>LOG10('Mastercurve bestimmen'!A468)</f>
        <v>#REF!</v>
      </c>
      <c r="B34" s="10" t="e">
        <f>LOG10('Mastercurve bestimmen'!B468)</f>
        <v>#REF!</v>
      </c>
      <c r="C34" s="10" t="e">
        <f>LOG10('Mastercurve bestimmen'!C468)</f>
        <v>#REF!</v>
      </c>
      <c r="D34" s="10" t="e">
        <f>LOG10('Mastercurve bestimmen'!D468)</f>
        <v>#REF!</v>
      </c>
      <c r="E34" s="10" t="e">
        <f>LOG10('Mastercurve bestimmen'!E468)</f>
        <v>#REF!</v>
      </c>
      <c r="F34" s="10" t="e">
        <f>LOG10('Mastercurve bestimmen'!F468)</f>
        <v>#REF!</v>
      </c>
      <c r="G34" s="10" t="e">
        <f>LOG10('Mastercurve bestimmen'!G468)</f>
        <v>#REF!</v>
      </c>
      <c r="H34" s="10" t="e">
        <f>LOG10('Mastercurve bestimmen'!H468)</f>
        <v>#REF!</v>
      </c>
      <c r="I34" s="3" t="e">
        <f>'Mastercurve bestimmen'!I468</f>
        <v>#REF!</v>
      </c>
      <c r="J34" s="3" t="e">
        <f>'Mastercurve bestimmen'!J468</f>
        <v>#REF!</v>
      </c>
      <c r="K34" s="3" t="e">
        <f>'Mastercurve bestimmen'!K468</f>
        <v>#REF!</v>
      </c>
      <c r="L34" s="3" t="e">
        <f>'Mastercurve bestimmen'!L468</f>
        <v>#REF!</v>
      </c>
      <c r="M34" s="3" t="e">
        <f>'Mastercurve bestimmen'!M468</f>
        <v>#REF!</v>
      </c>
      <c r="N34" s="3" t="e">
        <f>'Mastercurve bestimmen'!N468</f>
        <v>#REF!</v>
      </c>
      <c r="O34" s="3" t="e">
        <f>'Mastercurve bestimmen'!O468</f>
        <v>#REF!</v>
      </c>
      <c r="P34" s="3" t="e">
        <f>'Mastercurve bestimmen'!P468</f>
        <v>#REF!</v>
      </c>
    </row>
    <row r="35" spans="1:16" x14ac:dyDescent="0.25">
      <c r="A35" s="3"/>
      <c r="B35" s="3"/>
      <c r="C35" s="3"/>
      <c r="D35" s="3"/>
      <c r="E35" s="3"/>
      <c r="F35" s="3"/>
      <c r="G35" s="3"/>
      <c r="H35" s="3"/>
      <c r="I35" s="3"/>
      <c r="J35" s="3"/>
      <c r="K35" s="3"/>
      <c r="L35" s="3"/>
      <c r="M35" s="3"/>
      <c r="N35" s="3"/>
      <c r="O35" s="3"/>
      <c r="P35" s="3"/>
    </row>
    <row r="36" spans="1:16" x14ac:dyDescent="0.25">
      <c r="A36" s="3" t="s">
        <v>164</v>
      </c>
      <c r="B36" s="3"/>
      <c r="C36" s="3"/>
      <c r="D36" s="3"/>
      <c r="E36" s="3"/>
      <c r="F36" s="3"/>
      <c r="G36" s="3"/>
      <c r="H36" s="3"/>
      <c r="I36" s="3"/>
      <c r="J36" s="3"/>
      <c r="K36" s="3"/>
      <c r="L36" s="3"/>
      <c r="M36" s="3"/>
      <c r="N36" s="3"/>
      <c r="O36" s="3"/>
      <c r="P36" s="3"/>
    </row>
    <row r="37" spans="1:16" x14ac:dyDescent="0.25">
      <c r="A37" s="119">
        <f>-15</f>
        <v>-15</v>
      </c>
      <c r="B37" s="3"/>
      <c r="C37" s="3">
        <v>6964.0379871978712</v>
      </c>
      <c r="D37" s="3">
        <v>5734.9669093347929</v>
      </c>
      <c r="E37" s="3">
        <v>5196.6880734843644</v>
      </c>
      <c r="F37" s="3">
        <v>3563.1970672167072</v>
      </c>
      <c r="G37" s="3">
        <v>942.69111378955085</v>
      </c>
      <c r="H37" s="3">
        <v>116.55310700220932</v>
      </c>
      <c r="I37" s="3"/>
      <c r="J37" s="3"/>
      <c r="K37" s="3"/>
      <c r="L37" s="3"/>
      <c r="M37" s="3"/>
      <c r="N37" s="3"/>
      <c r="O37" s="3"/>
      <c r="P37" s="3"/>
    </row>
    <row r="38" spans="1:16" x14ac:dyDescent="0.25">
      <c r="A38" s="120">
        <f>A37+1</f>
        <v>-14</v>
      </c>
      <c r="B38" s="3">
        <v>7439.7300389875654</v>
      </c>
      <c r="C38" s="3">
        <v>6964.0379871978712</v>
      </c>
      <c r="D38" s="3">
        <v>5734.9669093347929</v>
      </c>
      <c r="E38" s="3">
        <v>5196.6880734843644</v>
      </c>
      <c r="F38" s="3">
        <v>3563.1970672167072</v>
      </c>
      <c r="G38" s="3">
        <v>942.69111378955085</v>
      </c>
      <c r="H38" s="3">
        <v>116.55310700220932</v>
      </c>
      <c r="I38" s="3"/>
      <c r="J38" s="3"/>
      <c r="K38" s="3"/>
      <c r="L38" s="3"/>
      <c r="M38" s="3"/>
      <c r="N38" s="3"/>
      <c r="O38" s="3"/>
      <c r="P38" s="3"/>
    </row>
    <row r="39" spans="1:16" x14ac:dyDescent="0.25">
      <c r="A39" s="120">
        <f t="shared" ref="A39:A67" si="0">A38+1</f>
        <v>-13</v>
      </c>
      <c r="B39" s="3">
        <v>7439.7339342688329</v>
      </c>
      <c r="C39" s="3">
        <v>6964.0379871978712</v>
      </c>
      <c r="D39" s="3">
        <v>5734.9669093347929</v>
      </c>
      <c r="E39" s="3">
        <v>5196.6880734843644</v>
      </c>
      <c r="F39" s="3">
        <v>3563.1970672167072</v>
      </c>
      <c r="G39" s="3">
        <v>942.69111378955085</v>
      </c>
      <c r="H39" s="3">
        <v>116.55310700220932</v>
      </c>
      <c r="I39" s="3"/>
      <c r="J39" s="3"/>
      <c r="K39" s="3"/>
      <c r="L39" s="3"/>
      <c r="M39" s="3"/>
      <c r="N39" s="3"/>
      <c r="O39" s="3"/>
      <c r="P39" s="3"/>
    </row>
    <row r="40" spans="1:16" x14ac:dyDescent="0.25">
      <c r="A40" s="120">
        <f t="shared" si="0"/>
        <v>-12</v>
      </c>
      <c r="B40" s="3">
        <v>7439.7200593190755</v>
      </c>
      <c r="C40" s="3">
        <v>7373.6737720784022</v>
      </c>
      <c r="D40" s="3">
        <v>5734.9669093347929</v>
      </c>
      <c r="E40" s="3">
        <v>5196.6880734843644</v>
      </c>
      <c r="F40" s="3">
        <v>3563.1970672167072</v>
      </c>
      <c r="G40" s="3">
        <v>942.69111378955085</v>
      </c>
      <c r="H40" s="3">
        <v>116.55310700220932</v>
      </c>
      <c r="I40" s="3"/>
      <c r="J40" s="3"/>
      <c r="K40" s="3"/>
      <c r="L40" s="3"/>
      <c r="M40" s="3"/>
      <c r="N40" s="3"/>
      <c r="O40" s="3"/>
      <c r="P40" s="3"/>
    </row>
    <row r="41" spans="1:16" x14ac:dyDescent="0.25">
      <c r="A41" s="120">
        <f t="shared" si="0"/>
        <v>-11</v>
      </c>
      <c r="B41" s="3">
        <v>7439.7529302284693</v>
      </c>
      <c r="C41" s="3">
        <v>7373.5786437015904</v>
      </c>
      <c r="D41" s="3">
        <v>7331.0342438510579</v>
      </c>
      <c r="E41" s="3">
        <v>5196.6880734843644</v>
      </c>
      <c r="F41" s="3">
        <v>3563.1970672167072</v>
      </c>
      <c r="G41" s="3">
        <v>942.69111378955085</v>
      </c>
      <c r="H41" s="3">
        <v>116.55310700220932</v>
      </c>
      <c r="I41" s="3"/>
      <c r="J41" s="3"/>
      <c r="K41" s="3"/>
      <c r="L41" s="3"/>
      <c r="M41" s="3"/>
      <c r="N41" s="3"/>
      <c r="O41" s="3"/>
      <c r="P41" s="3"/>
    </row>
    <row r="42" spans="1:16" x14ac:dyDescent="0.25">
      <c r="A42" s="120">
        <f t="shared" si="0"/>
        <v>-10</v>
      </c>
      <c r="B42" s="3">
        <v>7439.3932480893973</v>
      </c>
      <c r="C42" s="3">
        <v>7373.7142437830016</v>
      </c>
      <c r="D42" s="3">
        <v>7330.6107135920884</v>
      </c>
      <c r="E42" s="3">
        <v>5196.6880734843644</v>
      </c>
      <c r="F42" s="3">
        <v>3563.1970672167072</v>
      </c>
      <c r="G42" s="3">
        <v>942.69111378955085</v>
      </c>
      <c r="H42" s="3">
        <v>116.55310700220932</v>
      </c>
      <c r="I42" s="3"/>
      <c r="J42" s="3"/>
      <c r="K42" s="3"/>
      <c r="L42" s="3"/>
      <c r="M42" s="3"/>
      <c r="N42" s="3"/>
      <c r="O42" s="3"/>
      <c r="P42" s="3"/>
    </row>
    <row r="43" spans="1:16" x14ac:dyDescent="0.25">
      <c r="A43" s="120">
        <f t="shared" si="0"/>
        <v>-9</v>
      </c>
      <c r="B43" s="3">
        <v>7438.3918806461825</v>
      </c>
      <c r="C43" s="3">
        <v>7371.5557775451944</v>
      </c>
      <c r="D43" s="3">
        <v>7328.2127822020148</v>
      </c>
      <c r="E43" s="3">
        <v>5196.6880734843644</v>
      </c>
      <c r="F43" s="3">
        <v>3563.1970672167072</v>
      </c>
      <c r="G43" s="3">
        <v>942.69111378955085</v>
      </c>
      <c r="H43" s="3">
        <v>116.55310700220932</v>
      </c>
      <c r="I43" s="3"/>
      <c r="J43" s="3"/>
      <c r="K43" s="3"/>
      <c r="L43" s="3"/>
      <c r="M43" s="3"/>
      <c r="N43" s="3"/>
      <c r="O43" s="3"/>
      <c r="P43" s="3"/>
    </row>
    <row r="44" spans="1:16" x14ac:dyDescent="0.25">
      <c r="A44" s="120">
        <f t="shared" si="0"/>
        <v>-8</v>
      </c>
      <c r="B44" s="3">
        <v>7419.8635420750343</v>
      </c>
      <c r="C44" s="3">
        <v>7364.1562551734442</v>
      </c>
      <c r="D44" s="3">
        <v>7300.3897068319957</v>
      </c>
      <c r="E44" s="3">
        <v>7199.0257425394557</v>
      </c>
      <c r="F44" s="3">
        <v>3563.1970672167072</v>
      </c>
      <c r="G44" s="3">
        <v>942.69111378955085</v>
      </c>
      <c r="H44" s="3">
        <v>116.55310700220932</v>
      </c>
      <c r="I44" s="3"/>
      <c r="J44" s="3"/>
      <c r="K44" s="3"/>
      <c r="L44" s="3"/>
      <c r="M44" s="3"/>
      <c r="N44" s="3"/>
      <c r="O44" s="3"/>
      <c r="P44" s="3"/>
    </row>
    <row r="45" spans="1:16" x14ac:dyDescent="0.25">
      <c r="A45" s="120">
        <f t="shared" si="0"/>
        <v>-7</v>
      </c>
      <c r="B45" s="3">
        <v>7324.215456474134</v>
      </c>
      <c r="C45" s="3">
        <v>7276.0321319314353</v>
      </c>
      <c r="D45" s="3">
        <v>7178.6922207463094</v>
      </c>
      <c r="E45" s="3">
        <v>7059.7420165217936</v>
      </c>
      <c r="F45" s="3">
        <v>3563.1970672167072</v>
      </c>
      <c r="G45" s="3">
        <v>942.69111378955085</v>
      </c>
      <c r="H45" s="3">
        <v>116.55310700220932</v>
      </c>
      <c r="I45" s="3"/>
      <c r="J45" s="3"/>
      <c r="K45" s="3"/>
      <c r="L45" s="3"/>
      <c r="M45" s="3"/>
      <c r="N45" s="3"/>
      <c r="O45" s="3"/>
      <c r="P45" s="3"/>
    </row>
    <row r="46" spans="1:16" x14ac:dyDescent="0.25">
      <c r="A46" s="120">
        <f t="shared" si="0"/>
        <v>-6</v>
      </c>
      <c r="B46" s="3">
        <v>7174.6898703842944</v>
      </c>
      <c r="C46" s="3">
        <v>7130.8691606148059</v>
      </c>
      <c r="D46" s="3">
        <v>7034.4990127537512</v>
      </c>
      <c r="E46" s="3">
        <v>6900.5094135135978</v>
      </c>
      <c r="F46" s="3">
        <v>3563.1970672167072</v>
      </c>
      <c r="G46" s="3">
        <v>942.69111378955085</v>
      </c>
      <c r="H46" s="3">
        <v>116.55310700220932</v>
      </c>
      <c r="I46" s="3"/>
      <c r="J46" s="3"/>
      <c r="K46" s="3"/>
      <c r="L46" s="3"/>
      <c r="M46" s="3"/>
      <c r="N46" s="3"/>
      <c r="O46" s="3"/>
      <c r="P46" s="3"/>
    </row>
    <row r="47" spans="1:16" x14ac:dyDescent="0.25">
      <c r="A47" s="120">
        <f t="shared" si="0"/>
        <v>-5</v>
      </c>
      <c r="B47" s="3">
        <v>6964.0379871978712</v>
      </c>
      <c r="C47" s="3">
        <v>6945.8179644100592</v>
      </c>
      <c r="D47" s="3">
        <v>6867.1705713885058</v>
      </c>
      <c r="E47" s="3">
        <v>6723.7587418931198</v>
      </c>
      <c r="F47" s="3">
        <v>6323.7668304163335</v>
      </c>
      <c r="G47" s="3">
        <v>942.69111378955085</v>
      </c>
      <c r="H47" s="3">
        <v>116.55310700220932</v>
      </c>
      <c r="I47" s="3"/>
      <c r="J47" s="3"/>
      <c r="K47" s="3"/>
      <c r="L47" s="3"/>
      <c r="M47" s="3"/>
      <c r="N47" s="3"/>
      <c r="O47" s="3"/>
      <c r="P47" s="3"/>
    </row>
    <row r="48" spans="1:16" x14ac:dyDescent="0.25">
      <c r="A48" s="120">
        <f t="shared" si="0"/>
        <v>-4</v>
      </c>
      <c r="B48" s="3">
        <v>6964.0379871978712</v>
      </c>
      <c r="C48" s="3">
        <v>6530.0440291415716</v>
      </c>
      <c r="D48" s="3">
        <v>6608.8024829862097</v>
      </c>
      <c r="E48" s="3">
        <v>6519.6043043577192</v>
      </c>
      <c r="F48" s="3">
        <v>6060.8557573682765</v>
      </c>
      <c r="G48" s="3">
        <v>942.69111378955085</v>
      </c>
      <c r="H48" s="3">
        <v>116.55310700220932</v>
      </c>
      <c r="I48" s="3"/>
      <c r="J48" s="3"/>
      <c r="K48" s="3"/>
      <c r="L48" s="3"/>
      <c r="M48" s="3"/>
      <c r="N48" s="3"/>
      <c r="O48" s="3"/>
      <c r="P48" s="3"/>
    </row>
    <row r="49" spans="1:16" x14ac:dyDescent="0.25">
      <c r="A49" s="120">
        <f t="shared" si="0"/>
        <v>-3</v>
      </c>
      <c r="B49" s="3">
        <v>6964.0379871978712</v>
      </c>
      <c r="C49" s="3">
        <v>5734.9669093347929</v>
      </c>
      <c r="D49" s="3">
        <v>6088.3933088676185</v>
      </c>
      <c r="E49" s="3">
        <v>6283.26467299667</v>
      </c>
      <c r="F49" s="3">
        <v>5776.7475493188331</v>
      </c>
      <c r="G49" s="3">
        <v>942.69111378955085</v>
      </c>
      <c r="H49" s="3">
        <v>116.55310700220932</v>
      </c>
      <c r="I49" s="3"/>
      <c r="J49" s="3"/>
      <c r="K49" s="3"/>
      <c r="L49" s="3"/>
      <c r="M49" s="3"/>
      <c r="N49" s="3"/>
      <c r="O49" s="3"/>
      <c r="P49" s="3"/>
    </row>
    <row r="50" spans="1:16" x14ac:dyDescent="0.25">
      <c r="A50" s="120">
        <f t="shared" si="0"/>
        <v>-2</v>
      </c>
      <c r="B50" s="3">
        <v>6964.0379871978712</v>
      </c>
      <c r="C50" s="3">
        <v>5734.9669093347929</v>
      </c>
      <c r="D50" s="3">
        <v>5196.6880734843644</v>
      </c>
      <c r="E50" s="3">
        <v>5897.8863088129201</v>
      </c>
      <c r="F50" s="3">
        <v>5495.7675366958674</v>
      </c>
      <c r="G50" s="3">
        <v>942.69111378955085</v>
      </c>
      <c r="H50" s="3">
        <v>116.55310700220932</v>
      </c>
      <c r="I50" s="3"/>
      <c r="J50" s="3"/>
      <c r="K50" s="3"/>
      <c r="L50" s="3"/>
      <c r="M50" s="3"/>
      <c r="N50" s="3"/>
      <c r="O50" s="3"/>
      <c r="P50" s="3"/>
    </row>
    <row r="51" spans="1:16" x14ac:dyDescent="0.25">
      <c r="A51" s="120">
        <f t="shared" si="0"/>
        <v>-1</v>
      </c>
      <c r="B51" s="3">
        <v>6964.0379871978712</v>
      </c>
      <c r="C51" s="3">
        <v>5734.9669093347929</v>
      </c>
      <c r="D51" s="3">
        <v>5196.6880734843644</v>
      </c>
      <c r="E51" s="3">
        <v>5163.5021242051052</v>
      </c>
      <c r="F51" s="3">
        <v>5188.5996988750203</v>
      </c>
      <c r="G51" s="3">
        <v>942.69111378955085</v>
      </c>
      <c r="H51" s="3">
        <v>116.55310700220932</v>
      </c>
      <c r="I51" s="3"/>
      <c r="J51" s="3"/>
      <c r="K51" s="3"/>
      <c r="L51" s="3"/>
      <c r="M51" s="3"/>
      <c r="N51" s="3"/>
      <c r="O51" s="3"/>
      <c r="P51" s="3"/>
    </row>
    <row r="52" spans="1:16" x14ac:dyDescent="0.25">
      <c r="A52" s="120">
        <f t="shared" si="0"/>
        <v>0</v>
      </c>
      <c r="B52" s="3">
        <v>6964.0379871978712</v>
      </c>
      <c r="C52" s="3">
        <v>5734.9669093347929</v>
      </c>
      <c r="D52" s="3">
        <v>5196.6880734843644</v>
      </c>
      <c r="E52" s="3">
        <v>4281.763953450989</v>
      </c>
      <c r="F52" s="3">
        <v>4846.1759775211867</v>
      </c>
      <c r="G52" s="3">
        <v>942.69111378955085</v>
      </c>
      <c r="H52" s="3">
        <v>116.55310700220932</v>
      </c>
      <c r="I52" s="3"/>
      <c r="J52" s="3"/>
      <c r="K52" s="3"/>
      <c r="L52" s="3"/>
      <c r="M52" s="3"/>
      <c r="N52" s="3"/>
      <c r="O52" s="3"/>
      <c r="P52" s="3"/>
    </row>
    <row r="53" spans="1:16" x14ac:dyDescent="0.25">
      <c r="A53" s="120">
        <f t="shared" si="0"/>
        <v>1</v>
      </c>
      <c r="B53" s="3">
        <v>6964.0379871978712</v>
      </c>
      <c r="C53" s="3">
        <v>5734.9669093347929</v>
      </c>
      <c r="D53" s="3">
        <v>5196.6880734843644</v>
      </c>
      <c r="E53" s="3">
        <v>3563.1970672167072</v>
      </c>
      <c r="F53" s="3">
        <v>4307.5308640863095</v>
      </c>
      <c r="G53" s="3">
        <v>942.69111378955085</v>
      </c>
      <c r="H53" s="3">
        <v>116.55310700220932</v>
      </c>
      <c r="I53" s="3"/>
      <c r="J53" s="3"/>
      <c r="K53" s="3"/>
      <c r="L53" s="3"/>
      <c r="M53" s="3"/>
      <c r="N53" s="3"/>
      <c r="O53" s="3"/>
      <c r="P53" s="3"/>
    </row>
    <row r="54" spans="1:16" x14ac:dyDescent="0.25">
      <c r="A54" s="120">
        <f t="shared" si="0"/>
        <v>2</v>
      </c>
      <c r="B54" s="3">
        <v>6964.0379871978712</v>
      </c>
      <c r="C54" s="3">
        <v>5734.9669093347929</v>
      </c>
      <c r="D54" s="3">
        <v>5196.6880734843644</v>
      </c>
      <c r="E54" s="3">
        <v>3563.1970672167072</v>
      </c>
      <c r="F54" s="3">
        <v>3424.2409160347711</v>
      </c>
      <c r="G54" s="3">
        <v>942.69111378955085</v>
      </c>
      <c r="H54" s="3">
        <v>116.55310700220932</v>
      </c>
      <c r="I54" s="3"/>
      <c r="J54" s="3"/>
      <c r="K54" s="3"/>
      <c r="L54" s="3"/>
      <c r="M54" s="3"/>
      <c r="N54" s="3"/>
      <c r="O54" s="3"/>
      <c r="P54" s="3"/>
    </row>
    <row r="55" spans="1:16" x14ac:dyDescent="0.25">
      <c r="A55" s="120">
        <f t="shared" si="0"/>
        <v>3</v>
      </c>
      <c r="B55" s="3">
        <v>6964.0379871978712</v>
      </c>
      <c r="C55" s="3">
        <v>5734.9669093347929</v>
      </c>
      <c r="D55" s="3">
        <v>5196.6880734843644</v>
      </c>
      <c r="E55" s="3">
        <v>3563.1970672167072</v>
      </c>
      <c r="F55" s="3">
        <v>2457.6306581082695</v>
      </c>
      <c r="G55" s="3">
        <v>942.69111378955085</v>
      </c>
      <c r="H55" s="3">
        <v>116.55310700220932</v>
      </c>
      <c r="I55" s="3"/>
      <c r="J55" s="3"/>
      <c r="K55" s="3"/>
      <c r="L55" s="3"/>
      <c r="M55" s="3"/>
      <c r="N55" s="3"/>
      <c r="O55" s="3"/>
      <c r="P55" s="3"/>
    </row>
    <row r="56" spans="1:16" x14ac:dyDescent="0.25">
      <c r="A56" s="120">
        <f t="shared" si="0"/>
        <v>4</v>
      </c>
      <c r="B56" s="3">
        <v>6964.0379871978712</v>
      </c>
      <c r="C56" s="3">
        <v>5734.9669093347929</v>
      </c>
      <c r="D56" s="3">
        <v>5196.6880734843644</v>
      </c>
      <c r="E56" s="3">
        <v>3563.1970672167072</v>
      </c>
      <c r="F56" s="3">
        <v>1610.938712030013</v>
      </c>
      <c r="G56" s="3">
        <v>1914.0032936977775</v>
      </c>
      <c r="H56" s="3">
        <v>116.55310700220932</v>
      </c>
      <c r="I56" s="3"/>
      <c r="J56" s="3"/>
      <c r="K56" s="3"/>
      <c r="L56" s="3"/>
      <c r="M56" s="3"/>
      <c r="N56" s="3"/>
      <c r="O56" s="3"/>
      <c r="P56" s="3"/>
    </row>
    <row r="57" spans="1:16" x14ac:dyDescent="0.25">
      <c r="A57" s="120">
        <f t="shared" si="0"/>
        <v>5</v>
      </c>
      <c r="B57" s="3">
        <v>6964.0379871978712</v>
      </c>
      <c r="C57" s="3">
        <v>5734.9669093347929</v>
      </c>
      <c r="D57" s="3">
        <v>5196.6880734843644</v>
      </c>
      <c r="E57" s="3">
        <v>3563.1970672167072</v>
      </c>
      <c r="F57" s="3">
        <v>942.69111378955085</v>
      </c>
      <c r="G57" s="3">
        <v>1151.8284155015867</v>
      </c>
      <c r="H57" s="3">
        <v>1176.6255159041525</v>
      </c>
      <c r="I57" s="3"/>
      <c r="J57" s="3"/>
      <c r="K57" s="3"/>
      <c r="L57" s="3"/>
      <c r="M57" s="3"/>
      <c r="N57" s="3"/>
      <c r="O57" s="3"/>
      <c r="P57" s="3"/>
    </row>
    <row r="58" spans="1:16" x14ac:dyDescent="0.25">
      <c r="A58" s="120">
        <f t="shared" si="0"/>
        <v>6</v>
      </c>
      <c r="B58" s="3">
        <v>6964.0379871978712</v>
      </c>
      <c r="C58" s="3">
        <v>5734.9669093347929</v>
      </c>
      <c r="D58" s="3">
        <v>5196.6880734843644</v>
      </c>
      <c r="E58" s="3">
        <v>3563.1970672167072</v>
      </c>
      <c r="F58" s="3">
        <v>942.69111378955085</v>
      </c>
      <c r="G58" s="3">
        <v>651.88962612703097</v>
      </c>
      <c r="H58" s="3">
        <v>685.85264915570053</v>
      </c>
      <c r="I58" s="3"/>
      <c r="J58" s="3"/>
      <c r="K58" s="3"/>
      <c r="L58" s="3"/>
      <c r="M58" s="3"/>
      <c r="N58" s="3"/>
      <c r="O58" s="3"/>
      <c r="P58" s="3"/>
    </row>
    <row r="59" spans="1:16" x14ac:dyDescent="0.25">
      <c r="A59" s="120">
        <f t="shared" si="0"/>
        <v>7</v>
      </c>
      <c r="B59" s="3">
        <v>6964.0379871978712</v>
      </c>
      <c r="C59" s="3">
        <v>5734.9669093347929</v>
      </c>
      <c r="D59" s="3">
        <v>5196.6880734843644</v>
      </c>
      <c r="E59" s="3">
        <v>3563.1970672167072</v>
      </c>
      <c r="F59" s="3">
        <v>942.69111378955085</v>
      </c>
      <c r="G59" s="3">
        <v>366.64964830415806</v>
      </c>
      <c r="H59" s="3">
        <v>361.68195399269734</v>
      </c>
      <c r="I59" s="3"/>
      <c r="J59" s="3"/>
      <c r="K59" s="3"/>
      <c r="L59" s="3"/>
      <c r="M59" s="3"/>
      <c r="N59" s="3"/>
      <c r="O59" s="3"/>
      <c r="P59" s="3"/>
    </row>
    <row r="60" spans="1:16" x14ac:dyDescent="0.25">
      <c r="A60" s="120">
        <f t="shared" si="0"/>
        <v>8</v>
      </c>
      <c r="B60" s="3">
        <v>6964.0379871978712</v>
      </c>
      <c r="C60" s="3">
        <v>5734.9669093347929</v>
      </c>
      <c r="D60" s="3">
        <v>5196.6880734843644</v>
      </c>
      <c r="E60" s="3">
        <v>3563.1970672167072</v>
      </c>
      <c r="F60" s="3">
        <v>942.69111378955085</v>
      </c>
      <c r="G60" s="3">
        <v>251.47093805707132</v>
      </c>
      <c r="H60" s="3">
        <v>256.16364712671782</v>
      </c>
      <c r="I60" s="3"/>
      <c r="J60" s="3"/>
      <c r="K60" s="3"/>
      <c r="L60" s="3"/>
      <c r="M60" s="3"/>
      <c r="N60" s="3"/>
      <c r="O60" s="3"/>
      <c r="P60" s="3"/>
    </row>
    <row r="61" spans="1:16" x14ac:dyDescent="0.25">
      <c r="A61" s="120">
        <f t="shared" si="0"/>
        <v>9</v>
      </c>
      <c r="B61" s="3">
        <v>6964.0379871978712</v>
      </c>
      <c r="C61" s="3">
        <v>5734.9669093347929</v>
      </c>
      <c r="D61" s="3">
        <v>5196.6880734843644</v>
      </c>
      <c r="E61" s="3">
        <v>3563.1970672167072</v>
      </c>
      <c r="F61" s="3">
        <v>942.69111378955085</v>
      </c>
      <c r="G61" s="3">
        <v>216.25704021017427</v>
      </c>
      <c r="H61" s="3">
        <v>219.67415898017248</v>
      </c>
      <c r="I61" s="3"/>
      <c r="J61" s="3"/>
      <c r="K61" s="3"/>
      <c r="L61" s="3"/>
      <c r="M61" s="3"/>
      <c r="N61" s="3"/>
      <c r="O61" s="3"/>
      <c r="P61" s="3"/>
    </row>
    <row r="62" spans="1:16" x14ac:dyDescent="0.25">
      <c r="A62" s="120">
        <f t="shared" si="0"/>
        <v>10</v>
      </c>
      <c r="B62" s="3">
        <v>6964.0379871978712</v>
      </c>
      <c r="C62" s="3">
        <v>5734.9669093347929</v>
      </c>
      <c r="D62" s="3">
        <v>5196.6880734843644</v>
      </c>
      <c r="E62" s="3">
        <v>3563.1970672167072</v>
      </c>
      <c r="F62" s="3">
        <v>942.69111378955085</v>
      </c>
      <c r="G62" s="3">
        <v>187.5258097578926</v>
      </c>
      <c r="H62" s="3">
        <v>200.11275529599467</v>
      </c>
      <c r="I62" s="3"/>
      <c r="J62" s="3"/>
      <c r="K62" s="3"/>
      <c r="L62" s="3"/>
      <c r="M62" s="3"/>
      <c r="N62" s="3"/>
      <c r="O62" s="3"/>
      <c r="P62" s="3"/>
    </row>
    <row r="63" spans="1:16" x14ac:dyDescent="0.25">
      <c r="A63" s="120">
        <f t="shared" si="0"/>
        <v>11</v>
      </c>
      <c r="B63" s="3">
        <v>6964.0379871978712</v>
      </c>
      <c r="C63" s="3">
        <v>5734.9669093347929</v>
      </c>
      <c r="D63" s="3">
        <v>5196.6880734843644</v>
      </c>
      <c r="E63" s="3">
        <v>3563.1970672167072</v>
      </c>
      <c r="F63" s="3">
        <v>942.69111378955085</v>
      </c>
      <c r="G63" s="3">
        <v>159.80645692674565</v>
      </c>
      <c r="H63" s="3">
        <v>187.25520688696966</v>
      </c>
      <c r="I63" s="3"/>
      <c r="J63" s="3"/>
      <c r="K63" s="3"/>
      <c r="L63" s="3"/>
      <c r="M63" s="3"/>
      <c r="N63" s="3"/>
      <c r="O63" s="3"/>
      <c r="P63" s="3"/>
    </row>
    <row r="64" spans="1:16" x14ac:dyDescent="0.25">
      <c r="A64" s="120">
        <f t="shared" si="0"/>
        <v>12</v>
      </c>
      <c r="B64" s="3">
        <v>6964.0379871978712</v>
      </c>
      <c r="C64" s="3">
        <v>5734.9669093347929</v>
      </c>
      <c r="D64" s="3">
        <v>5196.6880734843644</v>
      </c>
      <c r="E64" s="3">
        <v>3563.1970672167072</v>
      </c>
      <c r="F64" s="3">
        <v>942.69111378955085</v>
      </c>
      <c r="G64" s="3">
        <v>133.82211753108493</v>
      </c>
      <c r="H64" s="3">
        <v>165.38357596376929</v>
      </c>
      <c r="I64" s="3"/>
      <c r="J64" s="3"/>
      <c r="K64" s="3"/>
      <c r="L64" s="3"/>
      <c r="M64" s="3"/>
      <c r="N64" s="3"/>
      <c r="O64" s="3"/>
      <c r="P64" s="3"/>
    </row>
    <row r="65" spans="1:16" x14ac:dyDescent="0.25">
      <c r="A65" s="120">
        <f t="shared" si="0"/>
        <v>13</v>
      </c>
      <c r="B65" s="3">
        <v>6964.0379871978712</v>
      </c>
      <c r="C65" s="3">
        <v>5734.9669093347929</v>
      </c>
      <c r="D65" s="3">
        <v>5196.6880734843644</v>
      </c>
      <c r="E65" s="3">
        <v>3563.1970672167072</v>
      </c>
      <c r="F65" s="3">
        <v>942.69111378955085</v>
      </c>
      <c r="G65" s="3">
        <v>116.55310700220932</v>
      </c>
      <c r="H65" s="3">
        <v>138.08410897255112</v>
      </c>
      <c r="I65" s="3"/>
      <c r="J65" s="3"/>
      <c r="K65" s="3"/>
      <c r="L65" s="3"/>
      <c r="M65" s="3"/>
      <c r="N65" s="3"/>
      <c r="O65" s="3"/>
      <c r="P65" s="3"/>
    </row>
    <row r="66" spans="1:16" x14ac:dyDescent="0.25">
      <c r="A66" s="120">
        <f t="shared" si="0"/>
        <v>14</v>
      </c>
      <c r="B66" s="3">
        <v>6964.0379871978712</v>
      </c>
      <c r="C66" s="3">
        <v>5734.9669093347929</v>
      </c>
      <c r="D66" s="3">
        <v>5196.6880734843644</v>
      </c>
      <c r="E66" s="3">
        <v>3563.1970672167072</v>
      </c>
      <c r="F66" s="3">
        <v>942.69111378955085</v>
      </c>
      <c r="G66" s="3">
        <v>116.55310700220932</v>
      </c>
      <c r="H66" s="3">
        <v>119.20571487717096</v>
      </c>
      <c r="I66" s="3"/>
      <c r="J66" s="3"/>
      <c r="K66" s="3"/>
      <c r="L66" s="3"/>
      <c r="M66" s="3"/>
      <c r="N66" s="3"/>
      <c r="O66" s="3"/>
      <c r="P66" s="3"/>
    </row>
    <row r="67" spans="1:16" x14ac:dyDescent="0.25">
      <c r="A67" s="120">
        <f t="shared" si="0"/>
        <v>15</v>
      </c>
      <c r="B67" s="3">
        <v>6964.0379871978712</v>
      </c>
      <c r="C67" s="3">
        <v>5734.9669093347929</v>
      </c>
      <c r="D67" s="3">
        <v>5196.6880734843644</v>
      </c>
      <c r="E67" s="3">
        <v>3563.1970672167072</v>
      </c>
      <c r="F67" s="3">
        <v>942.69111378955085</v>
      </c>
      <c r="G67" s="3">
        <v>116.55310700220932</v>
      </c>
      <c r="H67" s="3">
        <v>119.20571487717096</v>
      </c>
      <c r="I67" s="3"/>
      <c r="J67" s="3"/>
      <c r="K67" s="3"/>
      <c r="L67" s="3"/>
      <c r="M67" s="3"/>
      <c r="N67" s="3"/>
      <c r="O67" s="3"/>
      <c r="P67" s="3"/>
    </row>
    <row r="68" spans="1:16" x14ac:dyDescent="0.25">
      <c r="A68" s="3"/>
      <c r="B68" s="3"/>
      <c r="C68" s="3"/>
      <c r="D68" s="3"/>
      <c r="E68" s="3"/>
      <c r="F68" s="3"/>
      <c r="G68" s="3"/>
      <c r="H68" s="3"/>
      <c r="I68" s="3"/>
      <c r="J68" s="3"/>
      <c r="K68" s="3"/>
      <c r="L68" s="3"/>
      <c r="M68" s="3"/>
      <c r="N68" s="3"/>
      <c r="O68" s="3"/>
      <c r="P68" s="3"/>
    </row>
    <row r="69" spans="1:16" x14ac:dyDescent="0.25">
      <c r="A69" s="121"/>
      <c r="B69" s="121"/>
      <c r="C69" s="121"/>
      <c r="D69" s="121"/>
      <c r="E69" s="121"/>
      <c r="F69" s="121"/>
      <c r="G69" s="121"/>
      <c r="H69" s="121"/>
      <c r="I69" s="121"/>
      <c r="J69" s="121"/>
      <c r="K69" s="3"/>
      <c r="L69" s="3"/>
      <c r="M69" s="3"/>
      <c r="N69" s="3"/>
      <c r="O69" s="3"/>
      <c r="P69" s="3"/>
    </row>
    <row r="70" spans="1:16" x14ac:dyDescent="0.25">
      <c r="A70" s="3"/>
      <c r="B70" s="3"/>
      <c r="C70" s="3"/>
      <c r="D70" s="3"/>
      <c r="E70" s="3"/>
      <c r="F70" s="3"/>
      <c r="G70" s="3"/>
      <c r="H70" s="3"/>
      <c r="I70" s="3"/>
      <c r="J70" s="3"/>
      <c r="K70" s="3"/>
      <c r="L70" s="3"/>
      <c r="M70" s="3"/>
      <c r="N70" s="3"/>
      <c r="O70" s="3"/>
      <c r="P70" s="3"/>
    </row>
    <row r="71" spans="1:16" x14ac:dyDescent="0.25">
      <c r="A71" s="121" t="s">
        <v>17</v>
      </c>
      <c r="B71" s="3"/>
      <c r="C71" s="3"/>
      <c r="D71" s="3"/>
      <c r="E71" s="3"/>
      <c r="F71" s="3"/>
      <c r="G71" s="3"/>
      <c r="H71" s="3"/>
      <c r="I71" s="3"/>
      <c r="J71" s="3"/>
      <c r="K71" s="3"/>
      <c r="L71" s="3"/>
      <c r="M71" s="3"/>
      <c r="N71" s="3"/>
      <c r="O71" s="3"/>
      <c r="P71" s="3"/>
    </row>
    <row r="72" spans="1:16" x14ac:dyDescent="0.25">
      <c r="A72" s="121">
        <f>10^A37</f>
        <v>1.0000000000000001E-15</v>
      </c>
      <c r="B72" s="122" t="str">
        <f t="shared" ref="B72:H79" si="1">IF($A72&gt;=10^B$4,IF($A72&lt;=10^INDEX($B$4:$H$34,$A$1,COLUMN(B4)-1),B37,"nv"),"nv")</f>
        <v>nv</v>
      </c>
      <c r="C72" s="122" t="str">
        <f t="shared" si="1"/>
        <v>nv</v>
      </c>
      <c r="D72" s="122" t="str">
        <f t="shared" si="1"/>
        <v>nv</v>
      </c>
      <c r="E72" s="122" t="str">
        <f t="shared" si="1"/>
        <v>nv</v>
      </c>
      <c r="F72" s="122" t="str">
        <f t="shared" si="1"/>
        <v>nv</v>
      </c>
      <c r="G72" s="122" t="str">
        <f t="shared" si="1"/>
        <v>nv</v>
      </c>
      <c r="H72" s="122" t="str">
        <f t="shared" si="1"/>
        <v>nv</v>
      </c>
      <c r="I72" s="122"/>
      <c r="J72" s="122">
        <f>IF(ISERROR(AVERAGE(B72:H72)),IF(J71&gt;0,J71,J73),AVERAGE(B72:H72))</f>
        <v>7439.7300389875654</v>
      </c>
      <c r="K72" s="3"/>
      <c r="L72" s="3"/>
      <c r="M72" s="3"/>
      <c r="N72" s="3"/>
      <c r="O72" s="3"/>
      <c r="P72" s="3"/>
    </row>
    <row r="73" spans="1:16" x14ac:dyDescent="0.25">
      <c r="A73" s="121">
        <f t="shared" ref="A73:A102" si="2">10^A38</f>
        <v>1E-14</v>
      </c>
      <c r="B73" s="122">
        <f t="shared" si="1"/>
        <v>7439.7300389875654</v>
      </c>
      <c r="C73" s="122" t="str">
        <f t="shared" si="1"/>
        <v>nv</v>
      </c>
      <c r="D73" s="122" t="str">
        <f t="shared" si="1"/>
        <v>nv</v>
      </c>
      <c r="E73" s="122" t="str">
        <f t="shared" si="1"/>
        <v>nv</v>
      </c>
      <c r="F73" s="122" t="str">
        <f t="shared" si="1"/>
        <v>nv</v>
      </c>
      <c r="G73" s="122" t="str">
        <f t="shared" si="1"/>
        <v>nv</v>
      </c>
      <c r="H73" s="122" t="str">
        <f t="shared" si="1"/>
        <v>nv</v>
      </c>
      <c r="I73" s="122"/>
      <c r="J73" s="122">
        <f t="shared" ref="J73:J102" si="3">IF(ISERROR(AVERAGE(B73:H73)),IF(J72&gt;0,J72,J74),AVERAGE(B73:H73))</f>
        <v>7439.7300389875654</v>
      </c>
      <c r="K73" s="3"/>
      <c r="L73" s="3"/>
      <c r="M73" s="3"/>
      <c r="N73" s="3"/>
      <c r="O73" s="3"/>
      <c r="P73" s="3"/>
    </row>
    <row r="74" spans="1:16" x14ac:dyDescent="0.25">
      <c r="A74" s="121">
        <f t="shared" si="2"/>
        <v>1E-13</v>
      </c>
      <c r="B74" s="122">
        <f t="shared" si="1"/>
        <v>7439.7339342688329</v>
      </c>
      <c r="C74" s="122" t="str">
        <f t="shared" si="1"/>
        <v>nv</v>
      </c>
      <c r="D74" s="122" t="str">
        <f t="shared" si="1"/>
        <v>nv</v>
      </c>
      <c r="E74" s="122" t="str">
        <f t="shared" si="1"/>
        <v>nv</v>
      </c>
      <c r="F74" s="122" t="str">
        <f t="shared" si="1"/>
        <v>nv</v>
      </c>
      <c r="G74" s="122" t="str">
        <f t="shared" si="1"/>
        <v>nv</v>
      </c>
      <c r="H74" s="122" t="str">
        <f t="shared" si="1"/>
        <v>nv</v>
      </c>
      <c r="I74" s="122"/>
      <c r="J74" s="122">
        <f t="shared" si="3"/>
        <v>7439.7339342688329</v>
      </c>
      <c r="K74" s="3"/>
      <c r="L74" s="3"/>
      <c r="M74" s="3"/>
      <c r="N74" s="3"/>
      <c r="O74" s="3"/>
      <c r="P74" s="3"/>
    </row>
    <row r="75" spans="1:16" x14ac:dyDescent="0.25">
      <c r="A75" s="121">
        <f t="shared" si="2"/>
        <v>9.9999999999999998E-13</v>
      </c>
      <c r="B75" s="122">
        <f t="shared" si="1"/>
        <v>7439.7200593190755</v>
      </c>
      <c r="C75" s="122">
        <f t="shared" si="1"/>
        <v>7373.6737720784022</v>
      </c>
      <c r="D75" s="122" t="str">
        <f t="shared" si="1"/>
        <v>nv</v>
      </c>
      <c r="E75" s="122" t="str">
        <f t="shared" si="1"/>
        <v>nv</v>
      </c>
      <c r="F75" s="122" t="str">
        <f t="shared" si="1"/>
        <v>nv</v>
      </c>
      <c r="G75" s="122" t="str">
        <f t="shared" si="1"/>
        <v>nv</v>
      </c>
      <c r="H75" s="122" t="str">
        <f t="shared" si="1"/>
        <v>nv</v>
      </c>
      <c r="I75" s="122"/>
      <c r="J75" s="122">
        <f t="shared" si="3"/>
        <v>7406.6969156987388</v>
      </c>
      <c r="K75" s="3"/>
      <c r="L75" s="3"/>
      <c r="M75" s="3"/>
      <c r="N75" s="3"/>
      <c r="O75" s="3"/>
      <c r="P75" s="3"/>
    </row>
    <row r="76" spans="1:16" x14ac:dyDescent="0.25">
      <c r="A76" s="121">
        <f t="shared" si="2"/>
        <v>9.9999999999999994E-12</v>
      </c>
      <c r="B76" s="122">
        <f t="shared" si="1"/>
        <v>7439.7529302284693</v>
      </c>
      <c r="C76" s="122">
        <f t="shared" si="1"/>
        <v>7373.5786437015904</v>
      </c>
      <c r="D76" s="122">
        <f t="shared" si="1"/>
        <v>7331.0342438510579</v>
      </c>
      <c r="E76" s="122" t="str">
        <f t="shared" si="1"/>
        <v>nv</v>
      </c>
      <c r="F76" s="122" t="str">
        <f t="shared" si="1"/>
        <v>nv</v>
      </c>
      <c r="G76" s="122" t="str">
        <f t="shared" si="1"/>
        <v>nv</v>
      </c>
      <c r="H76" s="122" t="str">
        <f t="shared" si="1"/>
        <v>nv</v>
      </c>
      <c r="I76" s="122"/>
      <c r="J76" s="122">
        <f t="shared" si="3"/>
        <v>7381.4552725937056</v>
      </c>
      <c r="K76" s="3"/>
      <c r="L76" s="3"/>
      <c r="M76" s="3"/>
      <c r="N76" s="3"/>
      <c r="O76" s="3"/>
      <c r="P76" s="3"/>
    </row>
    <row r="77" spans="1:16" x14ac:dyDescent="0.25">
      <c r="A77" s="121">
        <f t="shared" si="2"/>
        <v>1E-10</v>
      </c>
      <c r="B77" s="122">
        <f t="shared" si="1"/>
        <v>7439.3932480893973</v>
      </c>
      <c r="C77" s="122">
        <f t="shared" si="1"/>
        <v>7373.7142437830016</v>
      </c>
      <c r="D77" s="122">
        <f t="shared" si="1"/>
        <v>7330.6107135920884</v>
      </c>
      <c r="E77" s="122" t="str">
        <f t="shared" si="1"/>
        <v>nv</v>
      </c>
      <c r="F77" s="122" t="str">
        <f t="shared" si="1"/>
        <v>nv</v>
      </c>
      <c r="G77" s="122" t="str">
        <f t="shared" si="1"/>
        <v>nv</v>
      </c>
      <c r="H77" s="122" t="str">
        <f t="shared" si="1"/>
        <v>nv</v>
      </c>
      <c r="I77" s="122"/>
      <c r="J77" s="122">
        <f t="shared" si="3"/>
        <v>7381.2394018214954</v>
      </c>
      <c r="K77" s="3"/>
      <c r="L77" s="3"/>
      <c r="M77" s="3"/>
      <c r="N77" s="3"/>
      <c r="O77" s="3"/>
      <c r="P77" s="3"/>
    </row>
    <row r="78" spans="1:16" x14ac:dyDescent="0.25">
      <c r="A78" s="121">
        <f t="shared" si="2"/>
        <v>1.0000000000000001E-9</v>
      </c>
      <c r="B78" s="122">
        <f t="shared" si="1"/>
        <v>7438.3918806461825</v>
      </c>
      <c r="C78" s="122">
        <f t="shared" si="1"/>
        <v>7371.5557775451944</v>
      </c>
      <c r="D78" s="122">
        <f t="shared" si="1"/>
        <v>7328.2127822020148</v>
      </c>
      <c r="E78" s="122" t="str">
        <f t="shared" si="1"/>
        <v>nv</v>
      </c>
      <c r="F78" s="122" t="str">
        <f t="shared" si="1"/>
        <v>nv</v>
      </c>
      <c r="G78" s="122" t="str">
        <f t="shared" si="1"/>
        <v>nv</v>
      </c>
      <c r="H78" s="122" t="str">
        <f t="shared" si="1"/>
        <v>nv</v>
      </c>
      <c r="I78" s="122"/>
      <c r="J78" s="122">
        <f t="shared" si="3"/>
        <v>7379.3868134644645</v>
      </c>
    </row>
    <row r="79" spans="1:16" x14ac:dyDescent="0.25">
      <c r="A79" s="121">
        <f t="shared" si="2"/>
        <v>1E-8</v>
      </c>
      <c r="B79" s="122">
        <f t="shared" si="1"/>
        <v>7419.8635420750343</v>
      </c>
      <c r="C79" s="122">
        <f t="shared" si="1"/>
        <v>7364.1562551734442</v>
      </c>
      <c r="D79" s="122">
        <f t="shared" si="1"/>
        <v>7300.3897068319957</v>
      </c>
      <c r="E79" s="122">
        <f t="shared" si="1"/>
        <v>7199.0257425394557</v>
      </c>
      <c r="F79" s="122" t="str">
        <f t="shared" si="1"/>
        <v>nv</v>
      </c>
      <c r="G79" s="122" t="str">
        <f t="shared" si="1"/>
        <v>nv</v>
      </c>
      <c r="H79" s="122" t="str">
        <f t="shared" si="1"/>
        <v>nv</v>
      </c>
      <c r="I79" s="122"/>
      <c r="J79" s="122">
        <f t="shared" si="3"/>
        <v>7320.8588116549827</v>
      </c>
    </row>
    <row r="80" spans="1:16" x14ac:dyDescent="0.25">
      <c r="A80" s="121">
        <f t="shared" si="2"/>
        <v>9.9999999999999995E-8</v>
      </c>
      <c r="B80" s="122">
        <f>IF($A80&gt;=10^B$4,IF($A80&lt;=10^INDEX($B$4:$H$34,$A$1,COLUMN(B12)-1),B45,"nv"),"nv")</f>
        <v>7324.215456474134</v>
      </c>
      <c r="C80" s="122">
        <f t="shared" ref="C80:H80" si="4">IF($A80&gt;=10^C$4,IF($A80&lt;=10^INDEX($B$4:$H$34,$A$1,COLUMN(C12)-1),C45,"nv"),"nv")</f>
        <v>7276.0321319314353</v>
      </c>
      <c r="D80" s="122">
        <f t="shared" si="4"/>
        <v>7178.6922207463094</v>
      </c>
      <c r="E80" s="122">
        <f t="shared" si="4"/>
        <v>7059.7420165217936</v>
      </c>
      <c r="F80" s="122" t="str">
        <f t="shared" si="4"/>
        <v>nv</v>
      </c>
      <c r="G80" s="122" t="str">
        <f t="shared" si="4"/>
        <v>nv</v>
      </c>
      <c r="H80" s="122" t="str">
        <f t="shared" si="4"/>
        <v>nv</v>
      </c>
      <c r="I80" s="122"/>
      <c r="J80" s="122">
        <f t="shared" si="3"/>
        <v>7209.6704564184183</v>
      </c>
    </row>
    <row r="81" spans="1:10" x14ac:dyDescent="0.25">
      <c r="A81" s="121">
        <f t="shared" si="2"/>
        <v>9.9999999999999995E-7</v>
      </c>
      <c r="B81" s="122">
        <f t="shared" ref="B81:H102" si="5">IF($A81&gt;=10^B$4,IF($A81&lt;=10^INDEX($B$4:$H$34,$A$1,COLUMN(B13)-1),B46,"nv"),"nv")</f>
        <v>7174.6898703842944</v>
      </c>
      <c r="C81" s="122">
        <f t="shared" si="5"/>
        <v>7130.8691606148059</v>
      </c>
      <c r="D81" s="122">
        <f t="shared" si="5"/>
        <v>7034.4990127537512</v>
      </c>
      <c r="E81" s="122">
        <f t="shared" si="5"/>
        <v>6900.5094135135978</v>
      </c>
      <c r="F81" s="122" t="str">
        <f t="shared" si="5"/>
        <v>nv</v>
      </c>
      <c r="G81" s="122" t="str">
        <f t="shared" si="5"/>
        <v>nv</v>
      </c>
      <c r="H81" s="122" t="str">
        <f t="shared" si="5"/>
        <v>nv</v>
      </c>
      <c r="I81" s="122"/>
      <c r="J81" s="122">
        <f t="shared" si="3"/>
        <v>7060.1418643166126</v>
      </c>
    </row>
    <row r="82" spans="1:10" x14ac:dyDescent="0.25">
      <c r="A82" s="121">
        <f t="shared" si="2"/>
        <v>1.0000000000000001E-5</v>
      </c>
      <c r="B82" s="122">
        <f t="shared" si="5"/>
        <v>6964.0379871978712</v>
      </c>
      <c r="C82" s="122">
        <f t="shared" si="5"/>
        <v>6945.8179644100592</v>
      </c>
      <c r="D82" s="122">
        <f t="shared" si="5"/>
        <v>6867.1705713885058</v>
      </c>
      <c r="E82" s="122">
        <f t="shared" si="5"/>
        <v>6723.7587418931198</v>
      </c>
      <c r="F82" s="122">
        <f t="shared" si="5"/>
        <v>6323.7668304163335</v>
      </c>
      <c r="G82" s="122" t="str">
        <f t="shared" si="5"/>
        <v>nv</v>
      </c>
      <c r="H82" s="122" t="str">
        <f t="shared" si="5"/>
        <v>nv</v>
      </c>
      <c r="I82" s="122"/>
      <c r="J82" s="122">
        <f t="shared" si="3"/>
        <v>6764.9104190611779</v>
      </c>
    </row>
    <row r="83" spans="1:10" x14ac:dyDescent="0.25">
      <c r="A83" s="121">
        <f t="shared" si="2"/>
        <v>1E-4</v>
      </c>
      <c r="B83" s="122" t="str">
        <f t="shared" si="5"/>
        <v>nv</v>
      </c>
      <c r="C83" s="122">
        <f t="shared" si="5"/>
        <v>6530.0440291415716</v>
      </c>
      <c r="D83" s="122">
        <f t="shared" si="5"/>
        <v>6608.8024829862097</v>
      </c>
      <c r="E83" s="122">
        <f t="shared" si="5"/>
        <v>6519.6043043577192</v>
      </c>
      <c r="F83" s="122">
        <f t="shared" si="5"/>
        <v>6060.8557573682765</v>
      </c>
      <c r="G83" s="122" t="str">
        <f t="shared" si="5"/>
        <v>nv</v>
      </c>
      <c r="H83" s="122" t="str">
        <f t="shared" si="5"/>
        <v>nv</v>
      </c>
      <c r="I83" s="122"/>
      <c r="J83" s="122">
        <f t="shared" si="3"/>
        <v>6429.8266434634443</v>
      </c>
    </row>
    <row r="84" spans="1:10" x14ac:dyDescent="0.25">
      <c r="A84" s="121">
        <f t="shared" si="2"/>
        <v>1E-3</v>
      </c>
      <c r="B84" s="122" t="str">
        <f t="shared" si="5"/>
        <v>nv</v>
      </c>
      <c r="C84" s="122">
        <f t="shared" si="5"/>
        <v>5734.9669093347929</v>
      </c>
      <c r="D84" s="122">
        <f t="shared" si="5"/>
        <v>6088.3933088676185</v>
      </c>
      <c r="E84" s="122">
        <f t="shared" si="5"/>
        <v>6283.26467299667</v>
      </c>
      <c r="F84" s="122">
        <f t="shared" si="5"/>
        <v>5776.7475493188331</v>
      </c>
      <c r="G84" s="122" t="str">
        <f t="shared" si="5"/>
        <v>nv</v>
      </c>
      <c r="H84" s="122" t="str">
        <f t="shared" si="5"/>
        <v>nv</v>
      </c>
      <c r="I84" s="122"/>
      <c r="J84" s="122">
        <f t="shared" si="3"/>
        <v>5970.8431101294782</v>
      </c>
    </row>
    <row r="85" spans="1:10" x14ac:dyDescent="0.25">
      <c r="A85" s="121">
        <f t="shared" si="2"/>
        <v>0.01</v>
      </c>
      <c r="B85" s="122" t="str">
        <f t="shared" si="5"/>
        <v>nv</v>
      </c>
      <c r="C85" s="122" t="str">
        <f t="shared" si="5"/>
        <v>nv</v>
      </c>
      <c r="D85" s="122">
        <f t="shared" si="5"/>
        <v>5196.6880734843644</v>
      </c>
      <c r="E85" s="122">
        <f t="shared" si="5"/>
        <v>5897.8863088129201</v>
      </c>
      <c r="F85" s="122">
        <f t="shared" si="5"/>
        <v>5495.7675366958674</v>
      </c>
      <c r="G85" s="122" t="str">
        <f t="shared" si="5"/>
        <v>nv</v>
      </c>
      <c r="H85" s="122" t="str">
        <f t="shared" si="5"/>
        <v>nv</v>
      </c>
      <c r="I85" s="122"/>
      <c r="J85" s="122">
        <f t="shared" si="3"/>
        <v>5530.1139729977176</v>
      </c>
    </row>
    <row r="86" spans="1:10" x14ac:dyDescent="0.25">
      <c r="A86" s="121">
        <f t="shared" si="2"/>
        <v>0.1</v>
      </c>
      <c r="B86" s="122" t="str">
        <f t="shared" si="5"/>
        <v>nv</v>
      </c>
      <c r="C86" s="122" t="str">
        <f t="shared" si="5"/>
        <v>nv</v>
      </c>
      <c r="D86" s="122" t="str">
        <f t="shared" si="5"/>
        <v>nv</v>
      </c>
      <c r="E86" s="122">
        <f t="shared" si="5"/>
        <v>5163.5021242051052</v>
      </c>
      <c r="F86" s="122">
        <f t="shared" si="5"/>
        <v>5188.5996988750203</v>
      </c>
      <c r="G86" s="122" t="str">
        <f t="shared" si="5"/>
        <v>nv</v>
      </c>
      <c r="H86" s="122" t="str">
        <f t="shared" si="5"/>
        <v>nv</v>
      </c>
      <c r="I86" s="122"/>
      <c r="J86" s="122">
        <f t="shared" si="3"/>
        <v>5176.0509115400628</v>
      </c>
    </row>
    <row r="87" spans="1:10" x14ac:dyDescent="0.25">
      <c r="A87" s="121">
        <f t="shared" si="2"/>
        <v>1</v>
      </c>
      <c r="B87" s="122" t="str">
        <f t="shared" si="5"/>
        <v>nv</v>
      </c>
      <c r="C87" s="122" t="str">
        <f t="shared" si="5"/>
        <v>nv</v>
      </c>
      <c r="D87" s="122" t="str">
        <f t="shared" si="5"/>
        <v>nv</v>
      </c>
      <c r="E87" s="122">
        <f t="shared" si="5"/>
        <v>4281.763953450989</v>
      </c>
      <c r="F87" s="122">
        <f t="shared" si="5"/>
        <v>4846.1759775211867</v>
      </c>
      <c r="G87" s="122" t="str">
        <f t="shared" si="5"/>
        <v>nv</v>
      </c>
      <c r="H87" s="122" t="str">
        <f t="shared" si="5"/>
        <v>nv</v>
      </c>
      <c r="I87" s="122"/>
      <c r="J87" s="122">
        <f t="shared" si="3"/>
        <v>4563.9699654860879</v>
      </c>
    </row>
    <row r="88" spans="1:10" x14ac:dyDescent="0.25">
      <c r="A88" s="121">
        <f t="shared" si="2"/>
        <v>10</v>
      </c>
      <c r="B88" s="122" t="str">
        <f t="shared" si="5"/>
        <v>nv</v>
      </c>
      <c r="C88" s="122" t="str">
        <f t="shared" si="5"/>
        <v>nv</v>
      </c>
      <c r="D88" s="122" t="str">
        <f t="shared" si="5"/>
        <v>nv</v>
      </c>
      <c r="E88" s="122">
        <f t="shared" si="5"/>
        <v>3563.1970672167072</v>
      </c>
      <c r="F88" s="122">
        <f t="shared" si="5"/>
        <v>4307.5308640863095</v>
      </c>
      <c r="G88" s="122" t="str">
        <f t="shared" si="5"/>
        <v>nv</v>
      </c>
      <c r="H88" s="122" t="str">
        <f t="shared" si="5"/>
        <v>nv</v>
      </c>
      <c r="I88" s="122"/>
      <c r="J88" s="122">
        <f t="shared" si="3"/>
        <v>3935.3639656515084</v>
      </c>
    </row>
    <row r="89" spans="1:10" x14ac:dyDescent="0.25">
      <c r="A89" s="121">
        <f t="shared" si="2"/>
        <v>100</v>
      </c>
      <c r="B89" s="122" t="str">
        <f t="shared" si="5"/>
        <v>nv</v>
      </c>
      <c r="C89" s="122" t="str">
        <f t="shared" si="5"/>
        <v>nv</v>
      </c>
      <c r="D89" s="122" t="str">
        <f t="shared" si="5"/>
        <v>nv</v>
      </c>
      <c r="E89" s="122" t="str">
        <f t="shared" si="5"/>
        <v>nv</v>
      </c>
      <c r="F89" s="122">
        <f t="shared" si="5"/>
        <v>3424.2409160347711</v>
      </c>
      <c r="G89" s="122" t="str">
        <f t="shared" si="5"/>
        <v>nv</v>
      </c>
      <c r="H89" s="122" t="str">
        <f t="shared" si="5"/>
        <v>nv</v>
      </c>
      <c r="I89" s="122"/>
      <c r="J89" s="122">
        <f t="shared" si="3"/>
        <v>3424.2409160347711</v>
      </c>
    </row>
    <row r="90" spans="1:10" x14ac:dyDescent="0.25">
      <c r="A90" s="121">
        <f t="shared" si="2"/>
        <v>1000</v>
      </c>
      <c r="B90" s="122" t="str">
        <f t="shared" si="5"/>
        <v>nv</v>
      </c>
      <c r="C90" s="122" t="str">
        <f t="shared" si="5"/>
        <v>nv</v>
      </c>
      <c r="D90" s="122" t="str">
        <f t="shared" si="5"/>
        <v>nv</v>
      </c>
      <c r="E90" s="122" t="str">
        <f t="shared" si="5"/>
        <v>nv</v>
      </c>
      <c r="F90" s="122">
        <f t="shared" si="5"/>
        <v>2457.6306581082695</v>
      </c>
      <c r="G90" s="122" t="str">
        <f t="shared" si="5"/>
        <v>nv</v>
      </c>
      <c r="H90" s="122" t="str">
        <f t="shared" si="5"/>
        <v>nv</v>
      </c>
      <c r="I90" s="122"/>
      <c r="J90" s="122">
        <f t="shared" si="3"/>
        <v>2457.6306581082695</v>
      </c>
    </row>
    <row r="91" spans="1:10" x14ac:dyDescent="0.25">
      <c r="A91" s="121">
        <f t="shared" si="2"/>
        <v>10000</v>
      </c>
      <c r="B91" s="122" t="str">
        <f t="shared" si="5"/>
        <v>nv</v>
      </c>
      <c r="C91" s="122" t="str">
        <f t="shared" si="5"/>
        <v>nv</v>
      </c>
      <c r="D91" s="122" t="str">
        <f t="shared" si="5"/>
        <v>nv</v>
      </c>
      <c r="E91" s="122" t="str">
        <f t="shared" si="5"/>
        <v>nv</v>
      </c>
      <c r="F91" s="122">
        <f t="shared" si="5"/>
        <v>1610.938712030013</v>
      </c>
      <c r="G91" s="122">
        <f t="shared" si="5"/>
        <v>1914.0032936977775</v>
      </c>
      <c r="H91" s="122" t="str">
        <f t="shared" si="5"/>
        <v>nv</v>
      </c>
      <c r="I91" s="122"/>
      <c r="J91" s="122">
        <f t="shared" si="3"/>
        <v>1762.4710028638951</v>
      </c>
    </row>
    <row r="92" spans="1:10" x14ac:dyDescent="0.25">
      <c r="A92" s="121">
        <f t="shared" si="2"/>
        <v>100000</v>
      </c>
      <c r="B92" s="122" t="str">
        <f t="shared" si="5"/>
        <v>nv</v>
      </c>
      <c r="C92" s="122" t="str">
        <f t="shared" si="5"/>
        <v>nv</v>
      </c>
      <c r="D92" s="122" t="str">
        <f t="shared" si="5"/>
        <v>nv</v>
      </c>
      <c r="E92" s="122" t="str">
        <f t="shared" si="5"/>
        <v>nv</v>
      </c>
      <c r="F92" s="122">
        <f t="shared" si="5"/>
        <v>942.69111378955085</v>
      </c>
      <c r="G92" s="122">
        <f t="shared" si="5"/>
        <v>1151.8284155015867</v>
      </c>
      <c r="H92" s="122">
        <f t="shared" si="5"/>
        <v>1176.6255159041525</v>
      </c>
      <c r="I92" s="122"/>
      <c r="J92" s="122">
        <f t="shared" si="3"/>
        <v>1090.3816817317634</v>
      </c>
    </row>
    <row r="93" spans="1:10" x14ac:dyDescent="0.25">
      <c r="A93" s="121">
        <f t="shared" si="2"/>
        <v>1000000</v>
      </c>
      <c r="B93" s="122" t="str">
        <f t="shared" si="5"/>
        <v>nv</v>
      </c>
      <c r="C93" s="122" t="str">
        <f t="shared" si="5"/>
        <v>nv</v>
      </c>
      <c r="D93" s="122" t="str">
        <f t="shared" si="5"/>
        <v>nv</v>
      </c>
      <c r="E93" s="122" t="str">
        <f t="shared" si="5"/>
        <v>nv</v>
      </c>
      <c r="F93" s="122" t="str">
        <f t="shared" si="5"/>
        <v>nv</v>
      </c>
      <c r="G93" s="122">
        <f t="shared" si="5"/>
        <v>651.88962612703097</v>
      </c>
      <c r="H93" s="122">
        <f t="shared" si="5"/>
        <v>685.85264915570053</v>
      </c>
      <c r="I93" s="122"/>
      <c r="J93" s="122">
        <f t="shared" si="3"/>
        <v>668.87113764136575</v>
      </c>
    </row>
    <row r="94" spans="1:10" x14ac:dyDescent="0.25">
      <c r="A94" s="121">
        <f t="shared" si="2"/>
        <v>10000000</v>
      </c>
      <c r="B94" s="122" t="str">
        <f t="shared" si="5"/>
        <v>nv</v>
      </c>
      <c r="C94" s="122" t="str">
        <f t="shared" si="5"/>
        <v>nv</v>
      </c>
      <c r="D94" s="122" t="str">
        <f t="shared" si="5"/>
        <v>nv</v>
      </c>
      <c r="E94" s="122" t="str">
        <f t="shared" si="5"/>
        <v>nv</v>
      </c>
      <c r="F94" s="122" t="str">
        <f t="shared" si="5"/>
        <v>nv</v>
      </c>
      <c r="G94" s="122">
        <f t="shared" si="5"/>
        <v>366.64964830415806</v>
      </c>
      <c r="H94" s="122">
        <f t="shared" si="5"/>
        <v>361.68195399269734</v>
      </c>
      <c r="I94" s="122"/>
      <c r="J94" s="122">
        <f t="shared" si="3"/>
        <v>364.1658011484277</v>
      </c>
    </row>
    <row r="95" spans="1:10" x14ac:dyDescent="0.25">
      <c r="A95" s="121">
        <f t="shared" si="2"/>
        <v>100000000</v>
      </c>
      <c r="B95" s="122" t="str">
        <f t="shared" si="5"/>
        <v>nv</v>
      </c>
      <c r="C95" s="122" t="str">
        <f t="shared" si="5"/>
        <v>nv</v>
      </c>
      <c r="D95" s="122" t="str">
        <f t="shared" si="5"/>
        <v>nv</v>
      </c>
      <c r="E95" s="122" t="str">
        <f t="shared" si="5"/>
        <v>nv</v>
      </c>
      <c r="F95" s="122" t="str">
        <f t="shared" si="5"/>
        <v>nv</v>
      </c>
      <c r="G95" s="122">
        <f t="shared" si="5"/>
        <v>251.47093805707132</v>
      </c>
      <c r="H95" s="122">
        <f t="shared" si="5"/>
        <v>256.16364712671782</v>
      </c>
      <c r="I95" s="122"/>
      <c r="J95" s="122">
        <f t="shared" si="3"/>
        <v>253.81729259189456</v>
      </c>
    </row>
    <row r="96" spans="1:10" x14ac:dyDescent="0.25">
      <c r="A96" s="121">
        <f t="shared" si="2"/>
        <v>1000000000</v>
      </c>
      <c r="B96" s="122" t="str">
        <f t="shared" si="5"/>
        <v>nv</v>
      </c>
      <c r="C96" s="122" t="str">
        <f t="shared" si="5"/>
        <v>nv</v>
      </c>
      <c r="D96" s="122" t="str">
        <f t="shared" si="5"/>
        <v>nv</v>
      </c>
      <c r="E96" s="122" t="str">
        <f t="shared" si="5"/>
        <v>nv</v>
      </c>
      <c r="F96" s="122" t="str">
        <f t="shared" si="5"/>
        <v>nv</v>
      </c>
      <c r="G96" s="122">
        <f t="shared" si="5"/>
        <v>216.25704021017427</v>
      </c>
      <c r="H96" s="122">
        <f t="shared" si="5"/>
        <v>219.67415898017248</v>
      </c>
      <c r="I96" s="122"/>
      <c r="J96" s="122">
        <f t="shared" si="3"/>
        <v>217.96559959517339</v>
      </c>
    </row>
    <row r="97" spans="1:36" x14ac:dyDescent="0.25">
      <c r="A97" s="121">
        <f t="shared" si="2"/>
        <v>10000000000</v>
      </c>
      <c r="B97" s="122" t="str">
        <f t="shared" si="5"/>
        <v>nv</v>
      </c>
      <c r="C97" s="122" t="str">
        <f t="shared" si="5"/>
        <v>nv</v>
      </c>
      <c r="D97" s="122" t="str">
        <f t="shared" si="5"/>
        <v>nv</v>
      </c>
      <c r="E97" s="122" t="str">
        <f t="shared" si="5"/>
        <v>nv</v>
      </c>
      <c r="F97" s="122" t="str">
        <f t="shared" si="5"/>
        <v>nv</v>
      </c>
      <c r="G97" s="122">
        <f t="shared" si="5"/>
        <v>187.5258097578926</v>
      </c>
      <c r="H97" s="122">
        <f t="shared" si="5"/>
        <v>200.11275529599467</v>
      </c>
      <c r="I97" s="122"/>
      <c r="J97" s="122">
        <f t="shared" si="3"/>
        <v>193.81928252694365</v>
      </c>
    </row>
    <row r="98" spans="1:36" x14ac:dyDescent="0.25">
      <c r="A98" s="121">
        <f t="shared" si="2"/>
        <v>100000000000</v>
      </c>
      <c r="B98" s="122" t="str">
        <f t="shared" si="5"/>
        <v>nv</v>
      </c>
      <c r="C98" s="122" t="str">
        <f t="shared" si="5"/>
        <v>nv</v>
      </c>
      <c r="D98" s="122" t="str">
        <f t="shared" si="5"/>
        <v>nv</v>
      </c>
      <c r="E98" s="122" t="str">
        <f t="shared" si="5"/>
        <v>nv</v>
      </c>
      <c r="F98" s="122" t="str">
        <f t="shared" si="5"/>
        <v>nv</v>
      </c>
      <c r="G98" s="122">
        <f t="shared" si="5"/>
        <v>159.80645692674565</v>
      </c>
      <c r="H98" s="122">
        <f t="shared" si="5"/>
        <v>187.25520688696966</v>
      </c>
      <c r="I98" s="122"/>
      <c r="J98" s="122">
        <f t="shared" si="3"/>
        <v>173.53083190685766</v>
      </c>
    </row>
    <row r="99" spans="1:36" x14ac:dyDescent="0.25">
      <c r="A99" s="121">
        <f t="shared" si="2"/>
        <v>1000000000000</v>
      </c>
      <c r="B99" s="122" t="str">
        <f t="shared" si="5"/>
        <v>nv</v>
      </c>
      <c r="C99" s="122" t="str">
        <f t="shared" si="5"/>
        <v>nv</v>
      </c>
      <c r="D99" s="122" t="str">
        <f t="shared" si="5"/>
        <v>nv</v>
      </c>
      <c r="E99" s="122" t="str">
        <f t="shared" si="5"/>
        <v>nv</v>
      </c>
      <c r="F99" s="122" t="str">
        <f t="shared" si="5"/>
        <v>nv</v>
      </c>
      <c r="G99" s="122">
        <f t="shared" si="5"/>
        <v>133.82211753108493</v>
      </c>
      <c r="H99" s="122">
        <f t="shared" si="5"/>
        <v>165.38357596376929</v>
      </c>
      <c r="I99" s="122"/>
      <c r="J99" s="122">
        <f t="shared" si="3"/>
        <v>149.60284674742712</v>
      </c>
    </row>
    <row r="100" spans="1:36" x14ac:dyDescent="0.25">
      <c r="A100" s="121">
        <f t="shared" si="2"/>
        <v>10000000000000</v>
      </c>
      <c r="B100" s="122" t="str">
        <f t="shared" si="5"/>
        <v>nv</v>
      </c>
      <c r="C100" s="122" t="str">
        <f t="shared" si="5"/>
        <v>nv</v>
      </c>
      <c r="D100" s="122" t="str">
        <f t="shared" si="5"/>
        <v>nv</v>
      </c>
      <c r="E100" s="122" t="str">
        <f t="shared" si="5"/>
        <v>nv</v>
      </c>
      <c r="F100" s="122" t="str">
        <f t="shared" si="5"/>
        <v>nv</v>
      </c>
      <c r="G100" s="122">
        <f t="shared" si="5"/>
        <v>116.55310700220932</v>
      </c>
      <c r="H100" s="122">
        <f t="shared" si="5"/>
        <v>138.08410897255112</v>
      </c>
      <c r="I100" s="122"/>
      <c r="J100" s="122">
        <f t="shared" si="3"/>
        <v>127.31860798738022</v>
      </c>
    </row>
    <row r="101" spans="1:36" x14ac:dyDescent="0.25">
      <c r="A101" s="121">
        <f t="shared" si="2"/>
        <v>100000000000000</v>
      </c>
      <c r="B101" s="122" t="str">
        <f t="shared" si="5"/>
        <v>nv</v>
      </c>
      <c r="C101" s="122" t="str">
        <f t="shared" si="5"/>
        <v>nv</v>
      </c>
      <c r="D101" s="122" t="str">
        <f t="shared" si="5"/>
        <v>nv</v>
      </c>
      <c r="E101" s="122" t="str">
        <f t="shared" si="5"/>
        <v>nv</v>
      </c>
      <c r="F101" s="122" t="str">
        <f t="shared" si="5"/>
        <v>nv</v>
      </c>
      <c r="G101" s="122" t="str">
        <f t="shared" si="5"/>
        <v>nv</v>
      </c>
      <c r="H101" s="122">
        <f t="shared" si="5"/>
        <v>119.20571487717096</v>
      </c>
      <c r="I101" s="122"/>
      <c r="J101" s="122">
        <f t="shared" si="3"/>
        <v>119.20571487717096</v>
      </c>
    </row>
    <row r="102" spans="1:36" x14ac:dyDescent="0.25">
      <c r="A102" s="121">
        <f t="shared" si="2"/>
        <v>1000000000000000</v>
      </c>
      <c r="B102" s="122" t="str">
        <f t="shared" si="5"/>
        <v>nv</v>
      </c>
      <c r="C102" s="122" t="str">
        <f t="shared" si="5"/>
        <v>nv</v>
      </c>
      <c r="D102" s="122" t="str">
        <f t="shared" si="5"/>
        <v>nv</v>
      </c>
      <c r="E102" s="122" t="str">
        <f t="shared" si="5"/>
        <v>nv</v>
      </c>
      <c r="F102" s="122" t="str">
        <f t="shared" si="5"/>
        <v>nv</v>
      </c>
      <c r="G102" s="122" t="str">
        <f t="shared" si="5"/>
        <v>nv</v>
      </c>
      <c r="H102" s="122" t="str">
        <f t="shared" si="5"/>
        <v>nv</v>
      </c>
      <c r="I102" s="122"/>
      <c r="J102" s="122">
        <f t="shared" si="3"/>
        <v>119.20571487717096</v>
      </c>
    </row>
    <row r="103" spans="1:36" x14ac:dyDescent="0.25">
      <c r="A103" s="3"/>
    </row>
    <row r="104" spans="1:36" x14ac:dyDescent="0.25">
      <c r="A104" s="3"/>
    </row>
    <row r="105" spans="1:36" x14ac:dyDescent="0.25">
      <c r="A105" s="3"/>
    </row>
    <row r="106" spans="1:36" x14ac:dyDescent="0.25">
      <c r="A106" s="3"/>
    </row>
    <row r="107" spans="1:36" x14ac:dyDescent="0.25">
      <c r="A107" s="3"/>
    </row>
    <row r="108" spans="1:36" x14ac:dyDescent="0.25">
      <c r="A108" s="130" t="s">
        <v>26</v>
      </c>
      <c r="B108" s="130"/>
      <c r="C108" s="130"/>
      <c r="D108" s="111"/>
      <c r="E108" s="111" t="s">
        <v>17</v>
      </c>
      <c r="F108" s="22">
        <f>INDEX($A$72:$A$102,COLUMN(A72),1)</f>
        <v>1.0000000000000001E-15</v>
      </c>
      <c r="G108" s="22">
        <f t="shared" ref="G108:AJ108" si="6">INDEX($A$72:$A$102,COLUMN(B72),1)</f>
        <v>1E-14</v>
      </c>
      <c r="H108" s="22">
        <f t="shared" si="6"/>
        <v>1E-13</v>
      </c>
      <c r="I108" s="22">
        <f t="shared" si="6"/>
        <v>9.9999999999999998E-13</v>
      </c>
      <c r="J108" s="22">
        <f t="shared" si="6"/>
        <v>9.9999999999999994E-12</v>
      </c>
      <c r="K108" s="22">
        <f t="shared" si="6"/>
        <v>1E-10</v>
      </c>
      <c r="L108" s="22">
        <f t="shared" si="6"/>
        <v>1.0000000000000001E-9</v>
      </c>
      <c r="M108" s="22">
        <f t="shared" si="6"/>
        <v>1E-8</v>
      </c>
      <c r="N108" s="22">
        <f t="shared" si="6"/>
        <v>9.9999999999999995E-8</v>
      </c>
      <c r="O108" s="22">
        <f t="shared" si="6"/>
        <v>9.9999999999999995E-7</v>
      </c>
      <c r="P108" s="22">
        <f t="shared" si="6"/>
        <v>1.0000000000000001E-5</v>
      </c>
      <c r="Q108" s="22">
        <f t="shared" si="6"/>
        <v>1E-4</v>
      </c>
      <c r="R108" s="22">
        <f t="shared" si="6"/>
        <v>1E-3</v>
      </c>
      <c r="S108" s="22">
        <f t="shared" si="6"/>
        <v>0.01</v>
      </c>
      <c r="T108" s="22">
        <f t="shared" si="6"/>
        <v>0.1</v>
      </c>
      <c r="U108" s="22">
        <f t="shared" si="6"/>
        <v>1</v>
      </c>
      <c r="V108" s="22">
        <f t="shared" si="6"/>
        <v>10</v>
      </c>
      <c r="W108" s="22">
        <f t="shared" si="6"/>
        <v>100</v>
      </c>
      <c r="X108" s="22">
        <f t="shared" si="6"/>
        <v>1000</v>
      </c>
      <c r="Y108" s="22">
        <f t="shared" si="6"/>
        <v>10000</v>
      </c>
      <c r="Z108" s="22">
        <f t="shared" si="6"/>
        <v>100000</v>
      </c>
      <c r="AA108" s="22">
        <f t="shared" si="6"/>
        <v>1000000</v>
      </c>
      <c r="AB108" s="22">
        <f t="shared" si="6"/>
        <v>10000000</v>
      </c>
      <c r="AC108" s="22">
        <f t="shared" si="6"/>
        <v>100000000</v>
      </c>
      <c r="AD108" s="22">
        <f t="shared" si="6"/>
        <v>1000000000</v>
      </c>
      <c r="AE108" s="22">
        <f t="shared" si="6"/>
        <v>10000000000</v>
      </c>
      <c r="AF108" s="22">
        <f t="shared" si="6"/>
        <v>100000000000</v>
      </c>
      <c r="AG108" s="22">
        <f t="shared" si="6"/>
        <v>1000000000000</v>
      </c>
      <c r="AH108" s="22">
        <f t="shared" si="6"/>
        <v>10000000000000</v>
      </c>
      <c r="AI108" s="22">
        <f t="shared" si="6"/>
        <v>100000000000000</v>
      </c>
      <c r="AJ108" s="22">
        <f t="shared" si="6"/>
        <v>1000000000000000</v>
      </c>
    </row>
    <row r="109" spans="1:36" x14ac:dyDescent="0.25">
      <c r="A109" s="11" t="s">
        <v>18</v>
      </c>
      <c r="B109" s="24" t="s">
        <v>19</v>
      </c>
      <c r="C109" s="24"/>
      <c r="D109" s="111"/>
      <c r="E109" s="25" t="s">
        <v>23</v>
      </c>
      <c r="F109" s="26">
        <f>INDEX($J$72:$J$102,COLUMN(A72),1)</f>
        <v>7439.7300389875654</v>
      </c>
      <c r="G109" s="26">
        <f t="shared" ref="G109:AJ109" si="7">INDEX($J$72:$J$102,COLUMN(B72),1)</f>
        <v>7439.7300389875654</v>
      </c>
      <c r="H109" s="26">
        <f t="shared" si="7"/>
        <v>7439.7339342688329</v>
      </c>
      <c r="I109" s="26">
        <f t="shared" si="7"/>
        <v>7406.6969156987388</v>
      </c>
      <c r="J109" s="26">
        <f t="shared" si="7"/>
        <v>7381.4552725937056</v>
      </c>
      <c r="K109" s="26">
        <f t="shared" si="7"/>
        <v>7381.2394018214954</v>
      </c>
      <c r="L109" s="26">
        <f t="shared" si="7"/>
        <v>7379.3868134644645</v>
      </c>
      <c r="M109" s="26">
        <f t="shared" si="7"/>
        <v>7320.8588116549827</v>
      </c>
      <c r="N109" s="26">
        <f t="shared" si="7"/>
        <v>7209.6704564184183</v>
      </c>
      <c r="O109" s="26">
        <f t="shared" si="7"/>
        <v>7060.1418643166126</v>
      </c>
      <c r="P109" s="26">
        <f t="shared" si="7"/>
        <v>6764.9104190611779</v>
      </c>
      <c r="Q109" s="26">
        <f t="shared" si="7"/>
        <v>6429.8266434634443</v>
      </c>
      <c r="R109" s="26">
        <f t="shared" si="7"/>
        <v>5970.8431101294782</v>
      </c>
      <c r="S109" s="26">
        <f t="shared" si="7"/>
        <v>5530.1139729977176</v>
      </c>
      <c r="T109" s="26">
        <f t="shared" si="7"/>
        <v>5176.0509115400628</v>
      </c>
      <c r="U109" s="26">
        <f t="shared" si="7"/>
        <v>4563.9699654860879</v>
      </c>
      <c r="V109" s="26">
        <f t="shared" si="7"/>
        <v>3935.3639656515084</v>
      </c>
      <c r="W109" s="26">
        <f t="shared" si="7"/>
        <v>3424.2409160347711</v>
      </c>
      <c r="X109" s="26">
        <f t="shared" si="7"/>
        <v>2457.6306581082695</v>
      </c>
      <c r="Y109" s="26">
        <f t="shared" si="7"/>
        <v>1762.4710028638951</v>
      </c>
      <c r="Z109" s="26">
        <f t="shared" si="7"/>
        <v>1090.3816817317634</v>
      </c>
      <c r="AA109" s="26">
        <f t="shared" si="7"/>
        <v>668.87113764136575</v>
      </c>
      <c r="AB109" s="26">
        <f t="shared" si="7"/>
        <v>364.1658011484277</v>
      </c>
      <c r="AC109" s="26">
        <f t="shared" si="7"/>
        <v>253.81729259189456</v>
      </c>
      <c r="AD109" s="26">
        <f t="shared" si="7"/>
        <v>217.96559959517339</v>
      </c>
      <c r="AE109" s="26">
        <f t="shared" si="7"/>
        <v>193.81928252694365</v>
      </c>
      <c r="AF109" s="26">
        <f t="shared" si="7"/>
        <v>173.53083190685766</v>
      </c>
      <c r="AG109" s="26">
        <f t="shared" si="7"/>
        <v>149.60284674742712</v>
      </c>
      <c r="AH109" s="26">
        <f t="shared" si="7"/>
        <v>127.31860798738022</v>
      </c>
      <c r="AI109" s="26">
        <f t="shared" si="7"/>
        <v>119.20571487717096</v>
      </c>
      <c r="AJ109" s="26">
        <f t="shared" si="7"/>
        <v>119.20571487717096</v>
      </c>
    </row>
    <row r="110" spans="1:36" x14ac:dyDescent="0.25">
      <c r="A110" s="14" t="s">
        <v>20</v>
      </c>
      <c r="B110" s="107">
        <f>'Mastercurve bestimmen'!B17</f>
        <v>1.1081017132758084E-2</v>
      </c>
      <c r="C110" s="18">
        <f>ABS(B110/$B$142)</f>
        <v>1.1664035980702061E-2</v>
      </c>
      <c r="D110" s="111"/>
      <c r="E110" s="77" t="s">
        <v>22</v>
      </c>
      <c r="F110" s="27">
        <f>($C$110+SUM(F111:F141))*$B$144</f>
        <v>7233.6489151349888</v>
      </c>
      <c r="G110" s="27">
        <f t="shared" ref="G110:AJ110" si="8">($C$110+SUM(G111:G141))*$B$144</f>
        <v>7233.6412378886307</v>
      </c>
      <c r="H110" s="27">
        <f t="shared" si="8"/>
        <v>7233.5645127407743</v>
      </c>
      <c r="I110" s="27">
        <f t="shared" si="8"/>
        <v>7232.8019645906397</v>
      </c>
      <c r="J110" s="27">
        <f t="shared" si="8"/>
        <v>7225.619847777838</v>
      </c>
      <c r="K110" s="27">
        <f t="shared" si="8"/>
        <v>7180.2833661938748</v>
      </c>
      <c r="L110" s="27">
        <f t="shared" si="8"/>
        <v>7042.6134220273079</v>
      </c>
      <c r="M110" s="27">
        <f t="shared" si="8"/>
        <v>6896.7237029183789</v>
      </c>
      <c r="N110" s="27">
        <f t="shared" si="8"/>
        <v>6728.1953309620003</v>
      </c>
      <c r="O110" s="27">
        <f t="shared" si="8"/>
        <v>6522.9858724732439</v>
      </c>
      <c r="P110" s="27">
        <f t="shared" si="8"/>
        <v>6323.3549224651961</v>
      </c>
      <c r="Q110" s="27">
        <f t="shared" si="8"/>
        <v>6061.4531858005121</v>
      </c>
      <c r="R110" s="27">
        <f t="shared" si="8"/>
        <v>5776.012764615436</v>
      </c>
      <c r="S110" s="27">
        <f t="shared" si="8"/>
        <v>5496.5428995775655</v>
      </c>
      <c r="T110" s="27">
        <f t="shared" si="8"/>
        <v>5187.9027907448963</v>
      </c>
      <c r="U110" s="27">
        <f t="shared" si="8"/>
        <v>4846.7041769983107</v>
      </c>
      <c r="V110" s="27">
        <f t="shared" si="8"/>
        <v>4307.1872824997363</v>
      </c>
      <c r="W110" s="27">
        <f t="shared" si="8"/>
        <v>3424.4406657342906</v>
      </c>
      <c r="X110" s="27">
        <f t="shared" si="8"/>
        <v>2457.5271460883973</v>
      </c>
      <c r="Y110" s="27">
        <f t="shared" si="8"/>
        <v>1610.9820944062296</v>
      </c>
      <c r="Z110" s="27">
        <f t="shared" si="8"/>
        <v>942.67726251154704</v>
      </c>
      <c r="AA110" s="27">
        <f t="shared" si="8"/>
        <v>510.3275144611062</v>
      </c>
      <c r="AB110" s="27">
        <f t="shared" si="8"/>
        <v>271.37619567222657</v>
      </c>
      <c r="AC110" s="27">
        <f t="shared" si="8"/>
        <v>152.43284869278892</v>
      </c>
      <c r="AD110" s="27">
        <f t="shared" si="8"/>
        <v>114.52070603066497</v>
      </c>
      <c r="AE110" s="27">
        <f t="shared" si="8"/>
        <v>101.0217963372644</v>
      </c>
      <c r="AF110" s="27">
        <f t="shared" si="8"/>
        <v>93.163179445820916</v>
      </c>
      <c r="AG110" s="27">
        <f t="shared" si="8"/>
        <v>92.44109428906431</v>
      </c>
      <c r="AH110" s="27">
        <f t="shared" si="8"/>
        <v>91.485697154802935</v>
      </c>
      <c r="AI110" s="27">
        <f t="shared" si="8"/>
        <v>91.046181066402454</v>
      </c>
      <c r="AJ110" s="27">
        <f t="shared" si="8"/>
        <v>90.32215647813598</v>
      </c>
    </row>
    <row r="111" spans="1:36" x14ac:dyDescent="0.25">
      <c r="A111" s="3">
        <f>0.000000000000001/10^5</f>
        <v>1.0000000000000001E-20</v>
      </c>
      <c r="B111" s="107">
        <f>'Mastercurve bestimmen'!B18</f>
        <v>1.2613302935264126E-2</v>
      </c>
      <c r="C111" s="18">
        <f t="shared" ref="C111:C141" si="9">ABS(B111/$B$142)</f>
        <v>1.3276941774369114E-2</v>
      </c>
      <c r="D111" s="17"/>
      <c r="E111" s="11"/>
      <c r="F111" s="3">
        <f>$C111*EXP(-F$108/$A111)</f>
        <v>0</v>
      </c>
      <c r="G111" s="3">
        <f t="shared" ref="G111:AJ119" si="10">$C111*EXP(-G$108/$A111)</f>
        <v>0</v>
      </c>
      <c r="H111" s="3">
        <f t="shared" si="10"/>
        <v>0</v>
      </c>
      <c r="I111" s="3">
        <f t="shared" si="10"/>
        <v>0</v>
      </c>
      <c r="J111" s="3">
        <f t="shared" si="10"/>
        <v>0</v>
      </c>
      <c r="K111" s="3">
        <f t="shared" si="10"/>
        <v>0</v>
      </c>
      <c r="L111" s="3">
        <f t="shared" si="10"/>
        <v>0</v>
      </c>
      <c r="M111" s="3">
        <f t="shared" si="10"/>
        <v>0</v>
      </c>
      <c r="N111" s="3">
        <f t="shared" si="10"/>
        <v>0</v>
      </c>
      <c r="O111" s="3">
        <f t="shared" si="10"/>
        <v>0</v>
      </c>
      <c r="P111" s="3">
        <f t="shared" si="10"/>
        <v>0</v>
      </c>
      <c r="Q111" s="3">
        <f t="shared" si="10"/>
        <v>0</v>
      </c>
      <c r="R111" s="3">
        <f t="shared" si="10"/>
        <v>0</v>
      </c>
      <c r="S111" s="3">
        <f t="shared" si="10"/>
        <v>0</v>
      </c>
      <c r="T111" s="3">
        <f t="shared" si="10"/>
        <v>0</v>
      </c>
      <c r="U111" s="3">
        <f t="shared" si="10"/>
        <v>0</v>
      </c>
      <c r="V111" s="3">
        <f t="shared" si="10"/>
        <v>0</v>
      </c>
      <c r="W111" s="3">
        <f t="shared" si="10"/>
        <v>0</v>
      </c>
      <c r="X111" s="3">
        <f t="shared" si="10"/>
        <v>0</v>
      </c>
      <c r="Y111" s="3">
        <f t="shared" si="10"/>
        <v>0</v>
      </c>
      <c r="Z111" s="3">
        <f t="shared" si="10"/>
        <v>0</v>
      </c>
      <c r="AA111" s="3">
        <f t="shared" si="10"/>
        <v>0</v>
      </c>
      <c r="AB111" s="3">
        <f t="shared" si="10"/>
        <v>0</v>
      </c>
      <c r="AC111" s="3">
        <f t="shared" si="10"/>
        <v>0</v>
      </c>
      <c r="AD111" s="3">
        <f t="shared" si="10"/>
        <v>0</v>
      </c>
      <c r="AE111" s="3">
        <f t="shared" si="10"/>
        <v>0</v>
      </c>
      <c r="AF111" s="3">
        <f t="shared" si="10"/>
        <v>0</v>
      </c>
      <c r="AG111" s="3">
        <f t="shared" si="10"/>
        <v>0</v>
      </c>
      <c r="AH111" s="3">
        <f t="shared" si="10"/>
        <v>0</v>
      </c>
      <c r="AI111" s="3">
        <f t="shared" si="10"/>
        <v>0</v>
      </c>
      <c r="AJ111" s="3">
        <f t="shared" si="10"/>
        <v>0</v>
      </c>
    </row>
    <row r="112" spans="1:36" x14ac:dyDescent="0.25">
      <c r="A112" s="3">
        <v>3.9038946506297401E-14</v>
      </c>
      <c r="B112" s="107">
        <f>'Mastercurve bestimmen'!B19</f>
        <v>0</v>
      </c>
      <c r="C112" s="18">
        <f t="shared" si="9"/>
        <v>0</v>
      </c>
      <c r="D112" s="17"/>
      <c r="E112" s="11"/>
      <c r="F112" s="3">
        <f t="shared" ref="F112:U141" si="11">$C112*EXP(-F$108/$A112)</f>
        <v>0</v>
      </c>
      <c r="G112" s="3">
        <f t="shared" si="11"/>
        <v>0</v>
      </c>
      <c r="H112" s="3">
        <f t="shared" si="11"/>
        <v>0</v>
      </c>
      <c r="I112" s="3">
        <f t="shared" si="11"/>
        <v>0</v>
      </c>
      <c r="J112" s="3">
        <f t="shared" si="11"/>
        <v>0</v>
      </c>
      <c r="K112" s="3">
        <f t="shared" si="11"/>
        <v>0</v>
      </c>
      <c r="L112" s="3">
        <f t="shared" si="11"/>
        <v>0</v>
      </c>
      <c r="M112" s="3">
        <f t="shared" si="11"/>
        <v>0</v>
      </c>
      <c r="N112" s="3">
        <f t="shared" si="11"/>
        <v>0</v>
      </c>
      <c r="O112" s="3">
        <f t="shared" si="11"/>
        <v>0</v>
      </c>
      <c r="P112" s="3">
        <f t="shared" si="11"/>
        <v>0</v>
      </c>
      <c r="Q112" s="3">
        <f t="shared" si="11"/>
        <v>0</v>
      </c>
      <c r="R112" s="3">
        <f t="shared" si="11"/>
        <v>0</v>
      </c>
      <c r="S112" s="3">
        <f t="shared" si="11"/>
        <v>0</v>
      </c>
      <c r="T112" s="3">
        <f t="shared" si="11"/>
        <v>0</v>
      </c>
      <c r="U112" s="3">
        <f t="shared" si="11"/>
        <v>0</v>
      </c>
      <c r="V112" s="3">
        <f t="shared" si="10"/>
        <v>0</v>
      </c>
      <c r="W112" s="3">
        <f t="shared" si="10"/>
        <v>0</v>
      </c>
      <c r="X112" s="3">
        <f t="shared" si="10"/>
        <v>0</v>
      </c>
      <c r="Y112" s="3">
        <f t="shared" si="10"/>
        <v>0</v>
      </c>
      <c r="Z112" s="3">
        <f t="shared" si="10"/>
        <v>0</v>
      </c>
      <c r="AA112" s="3">
        <f t="shared" si="10"/>
        <v>0</v>
      </c>
      <c r="AB112" s="3">
        <f t="shared" si="10"/>
        <v>0</v>
      </c>
      <c r="AC112" s="3">
        <f t="shared" si="10"/>
        <v>0</v>
      </c>
      <c r="AD112" s="3">
        <f t="shared" si="10"/>
        <v>0</v>
      </c>
      <c r="AE112" s="3">
        <f t="shared" si="10"/>
        <v>0</v>
      </c>
      <c r="AF112" s="3">
        <f t="shared" si="10"/>
        <v>0</v>
      </c>
      <c r="AG112" s="3">
        <f t="shared" si="10"/>
        <v>0</v>
      </c>
      <c r="AH112" s="3">
        <f t="shared" si="10"/>
        <v>0</v>
      </c>
      <c r="AI112" s="3">
        <f t="shared" si="10"/>
        <v>0</v>
      </c>
      <c r="AJ112" s="3">
        <f t="shared" si="10"/>
        <v>0</v>
      </c>
    </row>
    <row r="113" spans="1:36" x14ac:dyDescent="0.25">
      <c r="A113" s="3">
        <v>4.3276437088188502E-13</v>
      </c>
      <c r="B113" s="107">
        <f>'Mastercurve bestimmen'!B20</f>
        <v>0</v>
      </c>
      <c r="C113" s="18">
        <f t="shared" si="9"/>
        <v>0</v>
      </c>
      <c r="D113" s="17"/>
      <c r="E113" s="11"/>
      <c r="F113" s="3">
        <f t="shared" si="11"/>
        <v>0</v>
      </c>
      <c r="G113" s="3">
        <f t="shared" si="10"/>
        <v>0</v>
      </c>
      <c r="H113" s="3">
        <f t="shared" si="10"/>
        <v>0</v>
      </c>
      <c r="I113" s="3">
        <f t="shared" si="10"/>
        <v>0</v>
      </c>
      <c r="J113" s="3">
        <f t="shared" si="10"/>
        <v>0</v>
      </c>
      <c r="K113" s="3">
        <f t="shared" si="10"/>
        <v>0</v>
      </c>
      <c r="L113" s="3">
        <f t="shared" si="10"/>
        <v>0</v>
      </c>
      <c r="M113" s="3">
        <f t="shared" si="10"/>
        <v>0</v>
      </c>
      <c r="N113" s="3">
        <f t="shared" si="10"/>
        <v>0</v>
      </c>
      <c r="O113" s="3">
        <f t="shared" si="10"/>
        <v>0</v>
      </c>
      <c r="P113" s="3">
        <f t="shared" si="10"/>
        <v>0</v>
      </c>
      <c r="Q113" s="3">
        <f t="shared" si="10"/>
        <v>0</v>
      </c>
      <c r="R113" s="3">
        <f t="shared" si="10"/>
        <v>0</v>
      </c>
      <c r="S113" s="3">
        <f t="shared" si="10"/>
        <v>0</v>
      </c>
      <c r="T113" s="3">
        <f t="shared" si="10"/>
        <v>0</v>
      </c>
      <c r="U113" s="3">
        <f t="shared" si="10"/>
        <v>0</v>
      </c>
      <c r="V113" s="3">
        <f t="shared" si="10"/>
        <v>0</v>
      </c>
      <c r="W113" s="3">
        <f t="shared" si="10"/>
        <v>0</v>
      </c>
      <c r="X113" s="3">
        <f t="shared" si="10"/>
        <v>0</v>
      </c>
      <c r="Y113" s="3">
        <f t="shared" si="10"/>
        <v>0</v>
      </c>
      <c r="Z113" s="3">
        <f t="shared" si="10"/>
        <v>0</v>
      </c>
      <c r="AA113" s="3">
        <f t="shared" si="10"/>
        <v>0</v>
      </c>
      <c r="AB113" s="3">
        <f t="shared" si="10"/>
        <v>0</v>
      </c>
      <c r="AC113" s="3">
        <f t="shared" si="10"/>
        <v>0</v>
      </c>
      <c r="AD113" s="3">
        <f t="shared" si="10"/>
        <v>0</v>
      </c>
      <c r="AE113" s="3">
        <f t="shared" si="10"/>
        <v>0</v>
      </c>
      <c r="AF113" s="3">
        <f t="shared" si="10"/>
        <v>0</v>
      </c>
      <c r="AG113" s="3">
        <f t="shared" si="10"/>
        <v>0</v>
      </c>
      <c r="AH113" s="3">
        <f t="shared" si="10"/>
        <v>0</v>
      </c>
      <c r="AI113" s="3">
        <f t="shared" si="10"/>
        <v>0</v>
      </c>
      <c r="AJ113" s="3">
        <f t="shared" si="10"/>
        <v>0</v>
      </c>
    </row>
    <row r="114" spans="1:36" x14ac:dyDescent="0.25">
      <c r="A114" s="3">
        <v>4.7973886968128502E-12</v>
      </c>
      <c r="B114" s="107">
        <f>'Mastercurve bestimmen'!B21</f>
        <v>0</v>
      </c>
      <c r="C114" s="18">
        <f t="shared" si="9"/>
        <v>0</v>
      </c>
      <c r="D114" s="17"/>
      <c r="E114" s="11"/>
      <c r="F114" s="3">
        <f t="shared" si="11"/>
        <v>0</v>
      </c>
      <c r="G114" s="3">
        <f t="shared" si="10"/>
        <v>0</v>
      </c>
      <c r="H114" s="3">
        <f t="shared" si="10"/>
        <v>0</v>
      </c>
      <c r="I114" s="3">
        <f t="shared" si="10"/>
        <v>0</v>
      </c>
      <c r="J114" s="3">
        <f t="shared" si="10"/>
        <v>0</v>
      </c>
      <c r="K114" s="3">
        <f t="shared" si="10"/>
        <v>0</v>
      </c>
      <c r="L114" s="3">
        <f t="shared" si="10"/>
        <v>0</v>
      </c>
      <c r="M114" s="3">
        <f t="shared" si="10"/>
        <v>0</v>
      </c>
      <c r="N114" s="3">
        <f t="shared" si="10"/>
        <v>0</v>
      </c>
      <c r="O114" s="3">
        <f t="shared" si="10"/>
        <v>0</v>
      </c>
      <c r="P114" s="3">
        <f t="shared" si="10"/>
        <v>0</v>
      </c>
      <c r="Q114" s="3">
        <f t="shared" si="10"/>
        <v>0</v>
      </c>
      <c r="R114" s="3">
        <f t="shared" si="10"/>
        <v>0</v>
      </c>
      <c r="S114" s="3">
        <f t="shared" si="10"/>
        <v>0</v>
      </c>
      <c r="T114" s="3">
        <f t="shared" si="10"/>
        <v>0</v>
      </c>
      <c r="U114" s="3">
        <f t="shared" si="10"/>
        <v>0</v>
      </c>
      <c r="V114" s="3">
        <f t="shared" si="10"/>
        <v>0</v>
      </c>
      <c r="W114" s="3">
        <f t="shared" si="10"/>
        <v>0</v>
      </c>
      <c r="X114" s="3">
        <f t="shared" si="10"/>
        <v>0</v>
      </c>
      <c r="Y114" s="3">
        <f t="shared" si="10"/>
        <v>0</v>
      </c>
      <c r="Z114" s="3">
        <f t="shared" si="10"/>
        <v>0</v>
      </c>
      <c r="AA114" s="3">
        <f t="shared" si="10"/>
        <v>0</v>
      </c>
      <c r="AB114" s="3">
        <f t="shared" si="10"/>
        <v>0</v>
      </c>
      <c r="AC114" s="3">
        <f t="shared" si="10"/>
        <v>0</v>
      </c>
      <c r="AD114" s="3">
        <f t="shared" si="10"/>
        <v>0</v>
      </c>
      <c r="AE114" s="3">
        <f t="shared" si="10"/>
        <v>0</v>
      </c>
      <c r="AF114" s="3">
        <f t="shared" si="10"/>
        <v>0</v>
      </c>
      <c r="AG114" s="3">
        <f t="shared" si="10"/>
        <v>0</v>
      </c>
      <c r="AH114" s="3">
        <f t="shared" si="10"/>
        <v>0</v>
      </c>
      <c r="AI114" s="3">
        <f t="shared" si="10"/>
        <v>0</v>
      </c>
      <c r="AJ114" s="3">
        <f t="shared" si="10"/>
        <v>0</v>
      </c>
    </row>
    <row r="115" spans="1:36" x14ac:dyDescent="0.25">
      <c r="A115" s="3">
        <v>5.31812225239524E-11</v>
      </c>
      <c r="B115" s="107">
        <f>'Mastercurve bestimmen'!B22</f>
        <v>3.7139024484136637E-3</v>
      </c>
      <c r="C115" s="18">
        <f t="shared" si="9"/>
        <v>3.9093064533808055E-3</v>
      </c>
      <c r="D115" s="17"/>
      <c r="E115" s="11"/>
      <c r="F115" s="3">
        <f t="shared" si="11"/>
        <v>3.9092329449221148E-3</v>
      </c>
      <c r="G115" s="3">
        <f t="shared" si="10"/>
        <v>3.9085714309903541E-3</v>
      </c>
      <c r="H115" s="3">
        <f t="shared" si="10"/>
        <v>3.9019624452644439E-3</v>
      </c>
      <c r="I115" s="3">
        <f t="shared" si="10"/>
        <v>3.8364841114166661E-3</v>
      </c>
      <c r="J115" s="3">
        <f t="shared" si="10"/>
        <v>3.2391912566319993E-3</v>
      </c>
      <c r="K115" s="3">
        <f t="shared" si="10"/>
        <v>5.9630502223746392E-4</v>
      </c>
      <c r="L115" s="3">
        <f t="shared" si="10"/>
        <v>2.6655523925511762E-11</v>
      </c>
      <c r="M115" s="3">
        <f t="shared" si="10"/>
        <v>8.4913117137170115E-85</v>
      </c>
      <c r="N115" s="3">
        <f t="shared" si="10"/>
        <v>0</v>
      </c>
      <c r="O115" s="3">
        <f t="shared" si="10"/>
        <v>0</v>
      </c>
      <c r="P115" s="3">
        <f t="shared" si="10"/>
        <v>0</v>
      </c>
      <c r="Q115" s="3">
        <f t="shared" si="10"/>
        <v>0</v>
      </c>
      <c r="R115" s="3">
        <f t="shared" si="10"/>
        <v>0</v>
      </c>
      <c r="S115" s="3">
        <f t="shared" si="10"/>
        <v>0</v>
      </c>
      <c r="T115" s="3">
        <f t="shared" si="10"/>
        <v>0</v>
      </c>
      <c r="U115" s="3">
        <f t="shared" si="10"/>
        <v>0</v>
      </c>
      <c r="V115" s="3">
        <f t="shared" si="10"/>
        <v>0</v>
      </c>
      <c r="W115" s="3">
        <f t="shared" si="10"/>
        <v>0</v>
      </c>
      <c r="X115" s="3">
        <f t="shared" si="10"/>
        <v>0</v>
      </c>
      <c r="Y115" s="3">
        <f t="shared" si="10"/>
        <v>0</v>
      </c>
      <c r="Z115" s="3">
        <f t="shared" si="10"/>
        <v>0</v>
      </c>
      <c r="AA115" s="3">
        <f t="shared" si="10"/>
        <v>0</v>
      </c>
      <c r="AB115" s="3">
        <f t="shared" si="10"/>
        <v>0</v>
      </c>
      <c r="AC115" s="3">
        <f t="shared" si="10"/>
        <v>0</v>
      </c>
      <c r="AD115" s="3">
        <f t="shared" si="10"/>
        <v>0</v>
      </c>
      <c r="AE115" s="3">
        <f t="shared" si="10"/>
        <v>0</v>
      </c>
      <c r="AF115" s="3">
        <f t="shared" si="10"/>
        <v>0</v>
      </c>
      <c r="AG115" s="3">
        <f t="shared" si="10"/>
        <v>0</v>
      </c>
      <c r="AH115" s="3">
        <f t="shared" si="10"/>
        <v>0</v>
      </c>
      <c r="AI115" s="3">
        <f t="shared" si="10"/>
        <v>0</v>
      </c>
      <c r="AJ115" s="3">
        <f t="shared" si="10"/>
        <v>0</v>
      </c>
    </row>
    <row r="116" spans="1:36" x14ac:dyDescent="0.25">
      <c r="A116" s="3">
        <v>5.8953789402578301E-10</v>
      </c>
      <c r="B116" s="107">
        <f>'Mastercurve bestimmen'!B23</f>
        <v>2.2130639238165252E-2</v>
      </c>
      <c r="C116" s="18">
        <f t="shared" si="9"/>
        <v>2.3295025109815591E-2</v>
      </c>
      <c r="D116" s="17"/>
      <c r="E116" s="11"/>
      <c r="F116" s="3">
        <f t="shared" si="11"/>
        <v>2.3294985595807095E-2</v>
      </c>
      <c r="G116" s="3">
        <f t="shared" si="10"/>
        <v>2.3294629972746766E-2</v>
      </c>
      <c r="H116" s="3">
        <f t="shared" si="10"/>
        <v>2.3291074040723093E-2</v>
      </c>
      <c r="I116" s="3">
        <f t="shared" si="10"/>
        <v>2.3255544561591551E-2</v>
      </c>
      <c r="J116" s="3">
        <f t="shared" si="10"/>
        <v>2.290321709368049E-2</v>
      </c>
      <c r="K116" s="3">
        <f t="shared" si="10"/>
        <v>1.9660576597897099E-2</v>
      </c>
      <c r="L116" s="3">
        <f t="shared" si="10"/>
        <v>4.271632271198797E-3</v>
      </c>
      <c r="M116" s="3">
        <f t="shared" si="10"/>
        <v>1.0013132020307777E-9</v>
      </c>
      <c r="N116" s="3">
        <f t="shared" si="10"/>
        <v>5.0156910358407281E-76</v>
      </c>
      <c r="O116" s="3">
        <f t="shared" si="10"/>
        <v>0</v>
      </c>
      <c r="P116" s="3">
        <f t="shared" si="10"/>
        <v>0</v>
      </c>
      <c r="Q116" s="3">
        <f t="shared" si="10"/>
        <v>0</v>
      </c>
      <c r="R116" s="3">
        <f t="shared" si="10"/>
        <v>0</v>
      </c>
      <c r="S116" s="3">
        <f t="shared" si="10"/>
        <v>0</v>
      </c>
      <c r="T116" s="3">
        <f t="shared" si="10"/>
        <v>0</v>
      </c>
      <c r="U116" s="3">
        <f t="shared" si="10"/>
        <v>0</v>
      </c>
      <c r="V116" s="3">
        <f t="shared" si="10"/>
        <v>0</v>
      </c>
      <c r="W116" s="3">
        <f t="shared" si="10"/>
        <v>0</v>
      </c>
      <c r="X116" s="3">
        <f t="shared" si="10"/>
        <v>0</v>
      </c>
      <c r="Y116" s="3">
        <f t="shared" si="10"/>
        <v>0</v>
      </c>
      <c r="Z116" s="3">
        <f t="shared" si="10"/>
        <v>0</v>
      </c>
      <c r="AA116" s="3">
        <f t="shared" si="10"/>
        <v>0</v>
      </c>
      <c r="AB116" s="3">
        <f t="shared" si="10"/>
        <v>0</v>
      </c>
      <c r="AC116" s="3">
        <f t="shared" si="10"/>
        <v>0</v>
      </c>
      <c r="AD116" s="3">
        <f t="shared" si="10"/>
        <v>0</v>
      </c>
      <c r="AE116" s="3">
        <f t="shared" si="10"/>
        <v>0</v>
      </c>
      <c r="AF116" s="3">
        <f t="shared" si="10"/>
        <v>0</v>
      </c>
      <c r="AG116" s="3">
        <f t="shared" si="10"/>
        <v>0</v>
      </c>
      <c r="AH116" s="3">
        <f t="shared" si="10"/>
        <v>0</v>
      </c>
      <c r="AI116" s="3">
        <f t="shared" si="10"/>
        <v>0</v>
      </c>
      <c r="AJ116" s="3">
        <f t="shared" si="10"/>
        <v>0</v>
      </c>
    </row>
    <row r="117" spans="1:36" x14ac:dyDescent="0.25">
      <c r="A117" s="3">
        <v>6.5352940755699598E-9</v>
      </c>
      <c r="B117" s="107">
        <f>'Mastercurve bestimmen'!B24</f>
        <v>1.8398369302534641E-2</v>
      </c>
      <c r="C117" s="18">
        <f t="shared" si="9"/>
        <v>1.9366384778578011E-2</v>
      </c>
      <c r="D117" s="17"/>
      <c r="E117" s="11"/>
      <c r="F117" s="3">
        <f t="shared" si="11"/>
        <v>1.9366381815225014E-2</v>
      </c>
      <c r="G117" s="3">
        <f t="shared" si="10"/>
        <v>1.9366355145068428E-2</v>
      </c>
      <c r="H117" s="3">
        <f t="shared" si="10"/>
        <v>1.936608844552264E-2</v>
      </c>
      <c r="I117" s="3">
        <f t="shared" si="10"/>
        <v>1.936342165206012E-2</v>
      </c>
      <c r="J117" s="3">
        <f t="shared" si="10"/>
        <v>1.9336773906682887E-2</v>
      </c>
      <c r="K117" s="3">
        <f t="shared" si="10"/>
        <v>1.9072305128242734E-2</v>
      </c>
      <c r="L117" s="3">
        <f t="shared" si="10"/>
        <v>1.6618616073960504E-2</v>
      </c>
      <c r="M117" s="3">
        <f t="shared" si="10"/>
        <v>4.1928713876468642E-3</v>
      </c>
      <c r="N117" s="3">
        <f t="shared" si="10"/>
        <v>4.3820608445736848E-9</v>
      </c>
      <c r="O117" s="3">
        <f t="shared" si="10"/>
        <v>6.8131355135764367E-69</v>
      </c>
      <c r="P117" s="3">
        <f t="shared" si="10"/>
        <v>0</v>
      </c>
      <c r="Q117" s="3">
        <f t="shared" si="10"/>
        <v>0</v>
      </c>
      <c r="R117" s="3">
        <f t="shared" si="10"/>
        <v>0</v>
      </c>
      <c r="S117" s="3">
        <f t="shared" si="10"/>
        <v>0</v>
      </c>
      <c r="T117" s="3">
        <f t="shared" si="10"/>
        <v>0</v>
      </c>
      <c r="U117" s="3">
        <f t="shared" si="10"/>
        <v>0</v>
      </c>
      <c r="V117" s="3">
        <f t="shared" si="10"/>
        <v>0</v>
      </c>
      <c r="W117" s="3">
        <f t="shared" si="10"/>
        <v>0</v>
      </c>
      <c r="X117" s="3">
        <f t="shared" si="10"/>
        <v>0</v>
      </c>
      <c r="Y117" s="3">
        <f t="shared" si="10"/>
        <v>0</v>
      </c>
      <c r="Z117" s="3">
        <f t="shared" si="10"/>
        <v>0</v>
      </c>
      <c r="AA117" s="3">
        <f t="shared" si="10"/>
        <v>0</v>
      </c>
      <c r="AB117" s="3">
        <f t="shared" si="10"/>
        <v>0</v>
      </c>
      <c r="AC117" s="3">
        <f t="shared" si="10"/>
        <v>0</v>
      </c>
      <c r="AD117" s="3">
        <f t="shared" si="10"/>
        <v>0</v>
      </c>
      <c r="AE117" s="3">
        <f t="shared" si="10"/>
        <v>0</v>
      </c>
      <c r="AF117" s="3">
        <f t="shared" si="10"/>
        <v>0</v>
      </c>
      <c r="AG117" s="3">
        <f t="shared" si="10"/>
        <v>0</v>
      </c>
      <c r="AH117" s="3">
        <f t="shared" si="10"/>
        <v>0</v>
      </c>
      <c r="AI117" s="3">
        <f t="shared" si="10"/>
        <v>0</v>
      </c>
      <c r="AJ117" s="3">
        <f t="shared" si="10"/>
        <v>0</v>
      </c>
    </row>
    <row r="118" spans="1:36" x14ac:dyDescent="0.25">
      <c r="A118" s="3">
        <v>7.2446689325643296E-8</v>
      </c>
      <c r="B118" s="107">
        <f>'Mastercurve bestimmen'!B25</f>
        <v>2.3225543327464581E-2</v>
      </c>
      <c r="C118" s="18">
        <f t="shared" si="9"/>
        <v>2.4447536701486281E-2</v>
      </c>
      <c r="D118" s="17"/>
      <c r="E118" s="11"/>
      <c r="F118" s="3">
        <f t="shared" si="11"/>
        <v>2.4447536364030742E-2</v>
      </c>
      <c r="G118" s="3">
        <f t="shared" si="10"/>
        <v>2.4447533326931111E-2</v>
      </c>
      <c r="H118" s="3">
        <f t="shared" si="10"/>
        <v>2.4447502955955526E-2</v>
      </c>
      <c r="I118" s="3">
        <f t="shared" si="10"/>
        <v>2.4447199248274792E-2</v>
      </c>
      <c r="J118" s="3">
        <f t="shared" si="10"/>
        <v>2.4444162378970104E-2</v>
      </c>
      <c r="K118" s="3">
        <f t="shared" si="10"/>
        <v>2.4413814426648743E-2</v>
      </c>
      <c r="L118" s="3">
        <f t="shared" si="10"/>
        <v>2.4112399474148838E-2</v>
      </c>
      <c r="M118" s="3">
        <f t="shared" si="10"/>
        <v>2.1295524428818956E-2</v>
      </c>
      <c r="N118" s="3">
        <f t="shared" si="10"/>
        <v>6.1484753301285925E-3</v>
      </c>
      <c r="O118" s="3">
        <f t="shared" si="10"/>
        <v>2.4749041693972653E-8</v>
      </c>
      <c r="P118" s="3">
        <f t="shared" si="10"/>
        <v>2.7635537258682054E-62</v>
      </c>
      <c r="Q118" s="3">
        <f t="shared" si="10"/>
        <v>0</v>
      </c>
      <c r="R118" s="3">
        <f t="shared" si="10"/>
        <v>0</v>
      </c>
      <c r="S118" s="3">
        <f t="shared" si="10"/>
        <v>0</v>
      </c>
      <c r="T118" s="3">
        <f t="shared" si="10"/>
        <v>0</v>
      </c>
      <c r="U118" s="3">
        <f t="shared" si="10"/>
        <v>0</v>
      </c>
      <c r="V118" s="3">
        <f t="shared" si="10"/>
        <v>0</v>
      </c>
      <c r="W118" s="3">
        <f t="shared" si="10"/>
        <v>0</v>
      </c>
      <c r="X118" s="3">
        <f t="shared" si="10"/>
        <v>0</v>
      </c>
      <c r="Y118" s="3">
        <f t="shared" si="10"/>
        <v>0</v>
      </c>
      <c r="Z118" s="3">
        <f t="shared" si="10"/>
        <v>0</v>
      </c>
      <c r="AA118" s="3">
        <f t="shared" si="10"/>
        <v>0</v>
      </c>
      <c r="AB118" s="3">
        <f t="shared" si="10"/>
        <v>0</v>
      </c>
      <c r="AC118" s="3">
        <f t="shared" si="10"/>
        <v>0</v>
      </c>
      <c r="AD118" s="3">
        <f t="shared" si="10"/>
        <v>0</v>
      </c>
      <c r="AE118" s="3">
        <f t="shared" si="10"/>
        <v>0</v>
      </c>
      <c r="AF118" s="3">
        <f t="shared" si="10"/>
        <v>0</v>
      </c>
      <c r="AG118" s="3">
        <f t="shared" si="10"/>
        <v>0</v>
      </c>
      <c r="AH118" s="3">
        <f t="shared" si="10"/>
        <v>0</v>
      </c>
      <c r="AI118" s="3">
        <f t="shared" si="10"/>
        <v>0</v>
      </c>
      <c r="AJ118" s="3">
        <f t="shared" si="10"/>
        <v>0</v>
      </c>
    </row>
    <row r="119" spans="1:36" x14ac:dyDescent="0.25">
      <c r="A119" s="3">
        <v>8.03104303120212E-7</v>
      </c>
      <c r="B119" s="107">
        <f>'Mastercurve bestimmen'!B26</f>
        <v>3.0497936191168751E-2</v>
      </c>
      <c r="C119" s="18">
        <f t="shared" si="9"/>
        <v>3.2102560695383232E-2</v>
      </c>
      <c r="D119" s="17"/>
      <c r="E119" s="11"/>
      <c r="F119" s="3">
        <f t="shared" si="11"/>
        <v>3.2102560655410138E-2</v>
      </c>
      <c r="G119" s="3">
        <f t="shared" si="10"/>
        <v>3.2102560295652331E-2</v>
      </c>
      <c r="H119" s="3">
        <f t="shared" si="10"/>
        <v>3.2102556698074471E-2</v>
      </c>
      <c r="I119" s="3">
        <f t="shared" si="10"/>
        <v>3.2102520722317986E-2</v>
      </c>
      <c r="J119" s="3">
        <f t="shared" si="10"/>
        <v>3.2102160966970543E-2</v>
      </c>
      <c r="K119" s="3">
        <f t="shared" si="10"/>
        <v>3.2098563635225653E-2</v>
      </c>
      <c r="L119" s="3">
        <f t="shared" si="10"/>
        <v>3.206261248153526E-2</v>
      </c>
      <c r="M119" s="3">
        <f t="shared" si="10"/>
        <v>3.1705308157965933E-2</v>
      </c>
      <c r="N119" s="3">
        <f t="shared" si="10"/>
        <v>2.8344102160555905E-2</v>
      </c>
      <c r="O119" s="3">
        <f t="shared" si="10"/>
        <v>9.2420851344690996E-3</v>
      </c>
      <c r="P119" s="3">
        <f t="shared" si="10"/>
        <v>1.255574728057491E-7</v>
      </c>
      <c r="Q119" s="3">
        <f t="shared" si="10"/>
        <v>2.6888623833737952E-56</v>
      </c>
      <c r="R119" s="3">
        <f t="shared" si="10"/>
        <v>0</v>
      </c>
      <c r="S119" s="3">
        <f t="shared" si="10"/>
        <v>0</v>
      </c>
      <c r="T119" s="3">
        <f t="shared" si="10"/>
        <v>0</v>
      </c>
      <c r="U119" s="3">
        <f t="shared" si="10"/>
        <v>0</v>
      </c>
      <c r="V119" s="3">
        <f t="shared" si="10"/>
        <v>0</v>
      </c>
      <c r="W119" s="3">
        <f t="shared" si="10"/>
        <v>0</v>
      </c>
      <c r="X119" s="3">
        <f t="shared" si="10"/>
        <v>0</v>
      </c>
      <c r="Y119" s="3">
        <f t="shared" si="10"/>
        <v>0</v>
      </c>
      <c r="Z119" s="3">
        <f t="shared" si="10"/>
        <v>0</v>
      </c>
      <c r="AA119" s="3">
        <f t="shared" si="10"/>
        <v>0</v>
      </c>
      <c r="AB119" s="3">
        <f t="shared" si="10"/>
        <v>0</v>
      </c>
      <c r="AC119" s="3">
        <f t="shared" si="10"/>
        <v>0</v>
      </c>
      <c r="AD119" s="3">
        <f t="shared" si="10"/>
        <v>0</v>
      </c>
      <c r="AE119" s="3">
        <f t="shared" si="10"/>
        <v>0</v>
      </c>
      <c r="AF119" s="3">
        <f t="shared" si="10"/>
        <v>0</v>
      </c>
      <c r="AG119" s="3">
        <f t="shared" si="10"/>
        <v>0</v>
      </c>
      <c r="AH119" s="3">
        <f t="shared" si="10"/>
        <v>0</v>
      </c>
      <c r="AI119" s="3">
        <f t="shared" si="10"/>
        <v>0</v>
      </c>
      <c r="AJ119" s="3">
        <f t="shared" si="10"/>
        <v>0</v>
      </c>
    </row>
    <row r="120" spans="1:36" x14ac:dyDescent="0.25">
      <c r="A120" s="3">
        <v>8.9027742702096099E-6</v>
      </c>
      <c r="B120" s="107">
        <f>'Mastercurve bestimmen'!B27</f>
        <v>2.2928101067643942E-2</v>
      </c>
      <c r="C120" s="18">
        <f t="shared" si="9"/>
        <v>2.4134444755217831E-2</v>
      </c>
      <c r="D120" s="17"/>
      <c r="E120" s="11"/>
      <c r="F120" s="3">
        <f t="shared" si="11"/>
        <v>2.413444475250694E-2</v>
      </c>
      <c r="G120" s="3">
        <f t="shared" ref="G120:AJ128" si="12">$C120*EXP(-G$108/$A120)</f>
        <v>2.4134444728108925E-2</v>
      </c>
      <c r="H120" s="3">
        <f t="shared" si="12"/>
        <v>2.4134444484128798E-2</v>
      </c>
      <c r="I120" s="3">
        <f t="shared" si="12"/>
        <v>2.4134442044327645E-2</v>
      </c>
      <c r="J120" s="3">
        <f t="shared" si="12"/>
        <v>2.4134417646329669E-2</v>
      </c>
      <c r="K120" s="3">
        <f t="shared" si="12"/>
        <v>2.4134173667706472E-2</v>
      </c>
      <c r="L120" s="3">
        <f t="shared" si="12"/>
        <v>2.4131734017123353E-2</v>
      </c>
      <c r="M120" s="3">
        <f t="shared" si="12"/>
        <v>2.4107351071108816E-2</v>
      </c>
      <c r="N120" s="3">
        <f t="shared" si="12"/>
        <v>2.3864872534389434E-2</v>
      </c>
      <c r="O120" s="3">
        <f t="shared" si="12"/>
        <v>2.1570260252702752E-2</v>
      </c>
      <c r="P120" s="3">
        <f t="shared" si="12"/>
        <v>7.8490671529681793E-3</v>
      </c>
      <c r="Q120" s="3">
        <f t="shared" si="12"/>
        <v>3.194807103875274E-7</v>
      </c>
      <c r="R120" s="3">
        <f t="shared" si="12"/>
        <v>3.9875910143932315E-51</v>
      </c>
      <c r="S120" s="3">
        <f t="shared" si="12"/>
        <v>0</v>
      </c>
      <c r="T120" s="3">
        <f t="shared" si="12"/>
        <v>0</v>
      </c>
      <c r="U120" s="3">
        <f t="shared" si="12"/>
        <v>0</v>
      </c>
      <c r="V120" s="3">
        <f t="shared" si="12"/>
        <v>0</v>
      </c>
      <c r="W120" s="3">
        <f t="shared" si="12"/>
        <v>0</v>
      </c>
      <c r="X120" s="3">
        <f t="shared" si="12"/>
        <v>0</v>
      </c>
      <c r="Y120" s="3">
        <f t="shared" si="12"/>
        <v>0</v>
      </c>
      <c r="Z120" s="3">
        <f t="shared" si="12"/>
        <v>0</v>
      </c>
      <c r="AA120" s="3">
        <f t="shared" si="12"/>
        <v>0</v>
      </c>
      <c r="AB120" s="3">
        <f t="shared" si="12"/>
        <v>0</v>
      </c>
      <c r="AC120" s="3">
        <f t="shared" si="12"/>
        <v>0</v>
      </c>
      <c r="AD120" s="3">
        <f t="shared" si="12"/>
        <v>0</v>
      </c>
      <c r="AE120" s="3">
        <f t="shared" si="12"/>
        <v>0</v>
      </c>
      <c r="AF120" s="3">
        <f t="shared" si="12"/>
        <v>0</v>
      </c>
      <c r="AG120" s="3">
        <f t="shared" si="12"/>
        <v>0</v>
      </c>
      <c r="AH120" s="3">
        <f t="shared" si="12"/>
        <v>0</v>
      </c>
      <c r="AI120" s="3">
        <f t="shared" si="12"/>
        <v>0</v>
      </c>
      <c r="AJ120" s="3">
        <f t="shared" si="12"/>
        <v>0</v>
      </c>
    </row>
    <row r="121" spans="1:36" x14ac:dyDescent="0.25">
      <c r="A121" s="3">
        <v>9.86912775817142E-5</v>
      </c>
      <c r="B121" s="107">
        <f>'Mastercurve bestimmen'!B28</f>
        <v>4.3246747211930885E-2</v>
      </c>
      <c r="C121" s="18">
        <f t="shared" si="9"/>
        <v>4.5522140204717329E-2</v>
      </c>
      <c r="D121" s="17"/>
      <c r="E121" s="11"/>
      <c r="F121" s="3">
        <f t="shared" si="11"/>
        <v>4.5522140204256073E-2</v>
      </c>
      <c r="G121" s="3">
        <f t="shared" si="12"/>
        <v>4.5522140200104748E-2</v>
      </c>
      <c r="H121" s="3">
        <f t="shared" si="12"/>
        <v>4.5522140158591531E-2</v>
      </c>
      <c r="I121" s="3">
        <f t="shared" si="12"/>
        <v>4.5522139743459346E-2</v>
      </c>
      <c r="J121" s="3">
        <f t="shared" si="12"/>
        <v>4.5522135592137677E-2</v>
      </c>
      <c r="K121" s="3">
        <f t="shared" si="12"/>
        <v>4.5522094078941824E-2</v>
      </c>
      <c r="L121" s="3">
        <f t="shared" si="12"/>
        <v>4.552167894906544E-2</v>
      </c>
      <c r="M121" s="3">
        <f t="shared" si="12"/>
        <v>4.5517527858509231E-2</v>
      </c>
      <c r="N121" s="3">
        <f t="shared" si="12"/>
        <v>4.5476037766682506E-2</v>
      </c>
      <c r="O121" s="3">
        <f t="shared" si="12"/>
        <v>4.5063211216171989E-2</v>
      </c>
      <c r="P121" s="3">
        <f t="shared" si="12"/>
        <v>4.1135550711049899E-2</v>
      </c>
      <c r="Q121" s="3">
        <f t="shared" si="12"/>
        <v>1.6526051831722396E-2</v>
      </c>
      <c r="R121" s="3">
        <f t="shared" si="12"/>
        <v>1.8100353506893744E-6</v>
      </c>
      <c r="S121" s="3">
        <f t="shared" si="12"/>
        <v>4.4964163725535189E-46</v>
      </c>
      <c r="T121" s="3">
        <f t="shared" si="12"/>
        <v>0</v>
      </c>
      <c r="U121" s="3">
        <f t="shared" si="12"/>
        <v>0</v>
      </c>
      <c r="V121" s="3">
        <f t="shared" si="12"/>
        <v>0</v>
      </c>
      <c r="W121" s="3">
        <f t="shared" si="12"/>
        <v>0</v>
      </c>
      <c r="X121" s="3">
        <f t="shared" si="12"/>
        <v>0</v>
      </c>
      <c r="Y121" s="3">
        <f t="shared" si="12"/>
        <v>0</v>
      </c>
      <c r="Z121" s="3">
        <f t="shared" si="12"/>
        <v>0</v>
      </c>
      <c r="AA121" s="3">
        <f t="shared" si="12"/>
        <v>0</v>
      </c>
      <c r="AB121" s="3">
        <f t="shared" si="12"/>
        <v>0</v>
      </c>
      <c r="AC121" s="3">
        <f t="shared" si="12"/>
        <v>0</v>
      </c>
      <c r="AD121" s="3">
        <f t="shared" si="12"/>
        <v>0</v>
      </c>
      <c r="AE121" s="3">
        <f t="shared" si="12"/>
        <v>0</v>
      </c>
      <c r="AF121" s="3">
        <f t="shared" si="12"/>
        <v>0</v>
      </c>
      <c r="AG121" s="3">
        <f t="shared" si="12"/>
        <v>0</v>
      </c>
      <c r="AH121" s="3">
        <f t="shared" si="12"/>
        <v>0</v>
      </c>
      <c r="AI121" s="3">
        <f t="shared" si="12"/>
        <v>0</v>
      </c>
      <c r="AJ121" s="3">
        <f t="shared" si="12"/>
        <v>0</v>
      </c>
    </row>
    <row r="122" spans="1:36" x14ac:dyDescent="0.25">
      <c r="A122" s="3">
        <v>1.0940374286813801E-3</v>
      </c>
      <c r="B122" s="107">
        <f>'Mastercurve bestimmen'!B29</f>
        <v>3.5561875706115305E-2</v>
      </c>
      <c r="C122" s="18">
        <f t="shared" si="9"/>
        <v>3.7432935335074267E-2</v>
      </c>
      <c r="D122" s="17"/>
      <c r="E122" s="11"/>
      <c r="F122" s="3">
        <f t="shared" si="11"/>
        <v>3.7432935335040052E-2</v>
      </c>
      <c r="G122" s="3">
        <f t="shared" si="12"/>
        <v>3.7432935334732111E-2</v>
      </c>
      <c r="H122" s="3">
        <f t="shared" si="12"/>
        <v>3.7432935331652727E-2</v>
      </c>
      <c r="I122" s="3">
        <f t="shared" si="12"/>
        <v>3.7432935300858859E-2</v>
      </c>
      <c r="J122" s="3">
        <f t="shared" si="12"/>
        <v>3.7432934992920205E-2</v>
      </c>
      <c r="K122" s="3">
        <f t="shared" si="12"/>
        <v>3.7432931913533779E-2</v>
      </c>
      <c r="L122" s="3">
        <f t="shared" si="12"/>
        <v>3.743290111968342E-2</v>
      </c>
      <c r="M122" s="3">
        <f t="shared" si="12"/>
        <v>3.743259318257311E-2</v>
      </c>
      <c r="N122" s="3">
        <f t="shared" si="12"/>
        <v>3.7429513950792928E-2</v>
      </c>
      <c r="O122" s="3">
        <f t="shared" si="12"/>
        <v>3.7398735561042638E-2</v>
      </c>
      <c r="P122" s="3">
        <f t="shared" si="12"/>
        <v>3.709234023862247E-2</v>
      </c>
      <c r="Q122" s="3">
        <f t="shared" si="12"/>
        <v>3.4163109414130394E-2</v>
      </c>
      <c r="R122" s="3">
        <f t="shared" si="12"/>
        <v>1.500682999299398E-2</v>
      </c>
      <c r="S122" s="3">
        <f t="shared" si="12"/>
        <v>4.0142523459806161E-6</v>
      </c>
      <c r="T122" s="3">
        <f t="shared" si="12"/>
        <v>7.5294237982890001E-42</v>
      </c>
      <c r="U122" s="3">
        <f t="shared" si="12"/>
        <v>0</v>
      </c>
      <c r="V122" s="3">
        <f t="shared" si="12"/>
        <v>0</v>
      </c>
      <c r="W122" s="3">
        <f t="shared" si="12"/>
        <v>0</v>
      </c>
      <c r="X122" s="3">
        <f t="shared" si="12"/>
        <v>0</v>
      </c>
      <c r="Y122" s="3">
        <f t="shared" si="12"/>
        <v>0</v>
      </c>
      <c r="Z122" s="3">
        <f t="shared" si="12"/>
        <v>0</v>
      </c>
      <c r="AA122" s="3">
        <f t="shared" si="12"/>
        <v>0</v>
      </c>
      <c r="AB122" s="3">
        <f t="shared" si="12"/>
        <v>0</v>
      </c>
      <c r="AC122" s="3">
        <f t="shared" si="12"/>
        <v>0</v>
      </c>
      <c r="AD122" s="3">
        <f t="shared" si="12"/>
        <v>0</v>
      </c>
      <c r="AE122" s="3">
        <f t="shared" si="12"/>
        <v>0</v>
      </c>
      <c r="AF122" s="3">
        <f t="shared" si="12"/>
        <v>0</v>
      </c>
      <c r="AG122" s="3">
        <f t="shared" si="12"/>
        <v>0</v>
      </c>
      <c r="AH122" s="3">
        <f t="shared" si="12"/>
        <v>0</v>
      </c>
      <c r="AI122" s="3">
        <f t="shared" si="12"/>
        <v>0</v>
      </c>
      <c r="AJ122" s="3">
        <f t="shared" si="12"/>
        <v>0</v>
      </c>
    </row>
    <row r="123" spans="1:36" x14ac:dyDescent="0.25">
      <c r="A123" s="3">
        <v>1.2127899493091E-2</v>
      </c>
      <c r="B123" s="107">
        <f>'Mastercurve bestimmen'!B30</f>
        <v>3.9035303229104625E-2</v>
      </c>
      <c r="C123" s="18">
        <f t="shared" si="9"/>
        <v>4.1089114467289377E-2</v>
      </c>
      <c r="D123" s="17"/>
      <c r="E123" s="11"/>
      <c r="F123" s="3">
        <f t="shared" si="11"/>
        <v>4.1089114467285991E-2</v>
      </c>
      <c r="G123" s="3">
        <f t="shared" si="12"/>
        <v>4.1089114467255494E-2</v>
      </c>
      <c r="H123" s="3">
        <f t="shared" si="12"/>
        <v>4.1089114466950578E-2</v>
      </c>
      <c r="I123" s="3">
        <f t="shared" si="12"/>
        <v>4.1089114463901392E-2</v>
      </c>
      <c r="J123" s="3">
        <f t="shared" si="12"/>
        <v>4.1089114433409547E-2</v>
      </c>
      <c r="K123" s="3">
        <f t="shared" si="12"/>
        <v>4.1089114128491103E-2</v>
      </c>
      <c r="L123" s="3">
        <f t="shared" si="12"/>
        <v>4.1089111079306753E-2</v>
      </c>
      <c r="M123" s="3">
        <f t="shared" si="12"/>
        <v>4.1089080587475686E-2</v>
      </c>
      <c r="N123" s="3">
        <f t="shared" si="12"/>
        <v>4.1088775670409569E-2</v>
      </c>
      <c r="O123" s="3">
        <f t="shared" si="12"/>
        <v>4.1085726624197016E-2</v>
      </c>
      <c r="P123" s="3">
        <f t="shared" si="12"/>
        <v>4.105524860351651E-2</v>
      </c>
      <c r="Q123" s="3">
        <f t="shared" si="12"/>
        <v>4.0751709131889767E-2</v>
      </c>
      <c r="R123" s="3">
        <f t="shared" si="12"/>
        <v>3.7837047772339434E-2</v>
      </c>
      <c r="S123" s="3">
        <f t="shared" si="12"/>
        <v>1.8014881023627832E-2</v>
      </c>
      <c r="T123" s="3">
        <f t="shared" si="12"/>
        <v>1.0783827879487193E-5</v>
      </c>
      <c r="U123" s="3">
        <f t="shared" si="12"/>
        <v>6.3707188568904995E-38</v>
      </c>
      <c r="V123" s="3">
        <f t="shared" si="12"/>
        <v>0</v>
      </c>
      <c r="W123" s="3">
        <f t="shared" si="12"/>
        <v>0</v>
      </c>
      <c r="X123" s="3">
        <f t="shared" si="12"/>
        <v>0</v>
      </c>
      <c r="Y123" s="3">
        <f t="shared" si="12"/>
        <v>0</v>
      </c>
      <c r="Z123" s="3">
        <f t="shared" si="12"/>
        <v>0</v>
      </c>
      <c r="AA123" s="3">
        <f t="shared" si="12"/>
        <v>0</v>
      </c>
      <c r="AB123" s="3">
        <f t="shared" si="12"/>
        <v>0</v>
      </c>
      <c r="AC123" s="3">
        <f t="shared" si="12"/>
        <v>0</v>
      </c>
      <c r="AD123" s="3">
        <f t="shared" si="12"/>
        <v>0</v>
      </c>
      <c r="AE123" s="3">
        <f t="shared" si="12"/>
        <v>0</v>
      </c>
      <c r="AF123" s="3">
        <f t="shared" si="12"/>
        <v>0</v>
      </c>
      <c r="AG123" s="3">
        <f t="shared" si="12"/>
        <v>0</v>
      </c>
      <c r="AH123" s="3">
        <f t="shared" si="12"/>
        <v>0</v>
      </c>
      <c r="AI123" s="3">
        <f t="shared" si="12"/>
        <v>0</v>
      </c>
      <c r="AJ123" s="3">
        <f t="shared" si="12"/>
        <v>0</v>
      </c>
    </row>
    <row r="124" spans="1:36" x14ac:dyDescent="0.25">
      <c r="A124" s="3">
        <v>0.13444324870292301</v>
      </c>
      <c r="B124" s="107">
        <f>'Mastercurve bestimmen'!B31</f>
        <v>4.3933565203873128E-2</v>
      </c>
      <c r="C124" s="18">
        <f t="shared" si="9"/>
        <v>4.624509457562298E-2</v>
      </c>
      <c r="D124" s="17"/>
      <c r="E124" s="11"/>
      <c r="F124" s="3">
        <f t="shared" si="11"/>
        <v>4.6245094575622633E-2</v>
      </c>
      <c r="G124" s="3">
        <f t="shared" si="12"/>
        <v>4.6245094575619539E-2</v>
      </c>
      <c r="H124" s="3">
        <f t="shared" si="12"/>
        <v>4.6245094575588584E-2</v>
      </c>
      <c r="I124" s="3">
        <f t="shared" si="12"/>
        <v>4.6245094575279005E-2</v>
      </c>
      <c r="J124" s="3">
        <f t="shared" si="12"/>
        <v>4.6245094572183232E-2</v>
      </c>
      <c r="K124" s="3">
        <f t="shared" si="12"/>
        <v>4.6245094541225495E-2</v>
      </c>
      <c r="L124" s="3">
        <f t="shared" si="12"/>
        <v>4.6245094231648146E-2</v>
      </c>
      <c r="M124" s="3">
        <f t="shared" si="12"/>
        <v>4.6245091135874737E-2</v>
      </c>
      <c r="N124" s="3">
        <f t="shared" si="12"/>
        <v>4.624506017815206E-2</v>
      </c>
      <c r="O124" s="3">
        <f t="shared" si="12"/>
        <v>4.6244750602065107E-2</v>
      </c>
      <c r="P124" s="3">
        <f t="shared" si="12"/>
        <v>4.624165495517419E-2</v>
      </c>
      <c r="Q124" s="3">
        <f t="shared" si="12"/>
        <v>4.6210709881305372E-2</v>
      </c>
      <c r="R124" s="3">
        <f t="shared" si="12"/>
        <v>4.5902395829284369E-2</v>
      </c>
      <c r="S124" s="3">
        <f t="shared" si="12"/>
        <v>4.2930158241938854E-2</v>
      </c>
      <c r="T124" s="3">
        <f t="shared" si="12"/>
        <v>2.1980311631254169E-2</v>
      </c>
      <c r="U124" s="3">
        <f t="shared" si="12"/>
        <v>2.7211181986308148E-5</v>
      </c>
      <c r="V124" s="3">
        <f t="shared" si="12"/>
        <v>2.3008219983309746E-34</v>
      </c>
      <c r="W124" s="3">
        <f t="shared" si="12"/>
        <v>0</v>
      </c>
      <c r="X124" s="3">
        <f t="shared" si="12"/>
        <v>0</v>
      </c>
      <c r="Y124" s="3">
        <f t="shared" si="12"/>
        <v>0</v>
      </c>
      <c r="Z124" s="3">
        <f t="shared" si="12"/>
        <v>0</v>
      </c>
      <c r="AA124" s="3">
        <f t="shared" si="12"/>
        <v>0</v>
      </c>
      <c r="AB124" s="3">
        <f t="shared" si="12"/>
        <v>0</v>
      </c>
      <c r="AC124" s="3">
        <f t="shared" si="12"/>
        <v>0</v>
      </c>
      <c r="AD124" s="3">
        <f t="shared" si="12"/>
        <v>0</v>
      </c>
      <c r="AE124" s="3">
        <f t="shared" si="12"/>
        <v>0</v>
      </c>
      <c r="AF124" s="3">
        <f t="shared" si="12"/>
        <v>0</v>
      </c>
      <c r="AG124" s="3">
        <f t="shared" si="12"/>
        <v>0</v>
      </c>
      <c r="AH124" s="3">
        <f t="shared" si="12"/>
        <v>0</v>
      </c>
      <c r="AI124" s="3">
        <f t="shared" si="12"/>
        <v>0</v>
      </c>
      <c r="AJ124" s="3">
        <f t="shared" si="12"/>
        <v>0</v>
      </c>
    </row>
    <row r="125" spans="1:36" x14ac:dyDescent="0.25">
      <c r="A125" s="3">
        <v>1.49036419143257</v>
      </c>
      <c r="B125" s="107">
        <f>'Mastercurve bestimmen'!B32</f>
        <v>4.0045508382072166E-2</v>
      </c>
      <c r="C125" s="18">
        <f t="shared" si="9"/>
        <v>4.2152470755880481E-2</v>
      </c>
      <c r="D125" s="17"/>
      <c r="E125" s="11"/>
      <c r="F125" s="3">
        <f t="shared" si="11"/>
        <v>4.2152470755880453E-2</v>
      </c>
      <c r="G125" s="3">
        <f t="shared" si="12"/>
        <v>4.2152470755880203E-2</v>
      </c>
      <c r="H125" s="3">
        <f t="shared" si="12"/>
        <v>4.2152470755877657E-2</v>
      </c>
      <c r="I125" s="3">
        <f t="shared" si="12"/>
        <v>4.2152470755852198E-2</v>
      </c>
      <c r="J125" s="3">
        <f t="shared" si="12"/>
        <v>4.2152470755597651E-2</v>
      </c>
      <c r="K125" s="3">
        <f t="shared" si="12"/>
        <v>4.2152470753052146E-2</v>
      </c>
      <c r="L125" s="3">
        <f t="shared" si="12"/>
        <v>4.2152470727597147E-2</v>
      </c>
      <c r="M125" s="3">
        <f t="shared" si="12"/>
        <v>4.2152470473047127E-2</v>
      </c>
      <c r="N125" s="3">
        <f t="shared" si="12"/>
        <v>4.2152467927547004E-2</v>
      </c>
      <c r="O125" s="3">
        <f t="shared" si="12"/>
        <v>4.2152442472554258E-2</v>
      </c>
      <c r="P125" s="3">
        <f t="shared" si="12"/>
        <v>4.2152187923472258E-2</v>
      </c>
      <c r="Q125" s="3">
        <f t="shared" si="12"/>
        <v>4.2149642517194726E-2</v>
      </c>
      <c r="R125" s="3">
        <f t="shared" si="12"/>
        <v>4.2124196906781958E-2</v>
      </c>
      <c r="S125" s="3">
        <f t="shared" si="12"/>
        <v>4.1870584153397096E-2</v>
      </c>
      <c r="T125" s="3">
        <f t="shared" si="12"/>
        <v>3.941693740130707E-2</v>
      </c>
      <c r="U125" s="3">
        <f t="shared" si="12"/>
        <v>2.1548718836117853E-2</v>
      </c>
      <c r="V125" s="3">
        <f t="shared" si="12"/>
        <v>5.1381552697321864E-5</v>
      </c>
      <c r="W125" s="3">
        <f t="shared" si="12"/>
        <v>3.0525649882225521E-31</v>
      </c>
      <c r="X125" s="3">
        <f t="shared" si="12"/>
        <v>1.6720215297582041E-293</v>
      </c>
      <c r="Y125" s="3">
        <f t="shared" si="12"/>
        <v>0</v>
      </c>
      <c r="Z125" s="3">
        <f t="shared" si="12"/>
        <v>0</v>
      </c>
      <c r="AA125" s="3">
        <f t="shared" si="12"/>
        <v>0</v>
      </c>
      <c r="AB125" s="3">
        <f t="shared" si="12"/>
        <v>0</v>
      </c>
      <c r="AC125" s="3">
        <f t="shared" si="12"/>
        <v>0</v>
      </c>
      <c r="AD125" s="3">
        <f t="shared" si="12"/>
        <v>0</v>
      </c>
      <c r="AE125" s="3">
        <f t="shared" si="12"/>
        <v>0</v>
      </c>
      <c r="AF125" s="3">
        <f t="shared" si="12"/>
        <v>0</v>
      </c>
      <c r="AG125" s="3">
        <f t="shared" si="12"/>
        <v>0</v>
      </c>
      <c r="AH125" s="3">
        <f t="shared" si="12"/>
        <v>0</v>
      </c>
      <c r="AI125" s="3">
        <f t="shared" si="12"/>
        <v>0</v>
      </c>
      <c r="AJ125" s="3">
        <f t="shared" si="12"/>
        <v>0</v>
      </c>
    </row>
    <row r="126" spans="1:36" x14ac:dyDescent="0.25">
      <c r="A126" s="3">
        <v>16.521360830937301</v>
      </c>
      <c r="B126" s="107">
        <f>'Mastercurve bestimmen'!B33</f>
        <v>0.10710411663281781</v>
      </c>
      <c r="C126" s="18">
        <f t="shared" si="9"/>
        <v>0.11273931401056794</v>
      </c>
      <c r="D126" s="17"/>
      <c r="E126" s="11"/>
      <c r="F126" s="3">
        <f t="shared" si="11"/>
        <v>0.11273931401056793</v>
      </c>
      <c r="G126" s="3">
        <f t="shared" si="12"/>
        <v>0.11273931401056787</v>
      </c>
      <c r="H126" s="3">
        <f t="shared" si="12"/>
        <v>0.11273931401056725</v>
      </c>
      <c r="I126" s="3">
        <f t="shared" si="12"/>
        <v>0.11273931401056111</v>
      </c>
      <c r="J126" s="3">
        <f t="shared" si="12"/>
        <v>0.11273931401049971</v>
      </c>
      <c r="K126" s="3">
        <f t="shared" si="12"/>
        <v>0.11273931400988556</v>
      </c>
      <c r="L126" s="3">
        <f t="shared" si="12"/>
        <v>0.1127393140037441</v>
      </c>
      <c r="M126" s="3">
        <f t="shared" si="12"/>
        <v>0.11273931394232942</v>
      </c>
      <c r="N126" s="3">
        <f t="shared" si="12"/>
        <v>0.11273931332818278</v>
      </c>
      <c r="O126" s="3">
        <f t="shared" si="12"/>
        <v>0.11273930718671658</v>
      </c>
      <c r="P126" s="3">
        <f t="shared" si="12"/>
        <v>0.11273924577207292</v>
      </c>
      <c r="Q126" s="3">
        <f t="shared" si="12"/>
        <v>0.1127386316274763</v>
      </c>
      <c r="R126" s="3">
        <f t="shared" si="12"/>
        <v>0.11273249036551186</v>
      </c>
      <c r="S126" s="3">
        <f t="shared" si="12"/>
        <v>0.11267109614232521</v>
      </c>
      <c r="T126" s="3">
        <f t="shared" si="12"/>
        <v>0.11205898985368584</v>
      </c>
      <c r="U126" s="3">
        <f t="shared" si="12"/>
        <v>0.10611787411566737</v>
      </c>
      <c r="V126" s="3">
        <f t="shared" si="12"/>
        <v>6.1547004331824438E-2</v>
      </c>
      <c r="W126" s="3">
        <f t="shared" si="12"/>
        <v>2.6508838726783788E-4</v>
      </c>
      <c r="X126" s="3">
        <f t="shared" si="12"/>
        <v>5.8240961847293279E-28</v>
      </c>
      <c r="Y126" s="3">
        <f t="shared" si="12"/>
        <v>1.5261839988023647E-264</v>
      </c>
      <c r="Z126" s="3">
        <f t="shared" si="12"/>
        <v>0</v>
      </c>
      <c r="AA126" s="3">
        <f t="shared" si="12"/>
        <v>0</v>
      </c>
      <c r="AB126" s="3">
        <f t="shared" si="12"/>
        <v>0</v>
      </c>
      <c r="AC126" s="3">
        <f t="shared" si="12"/>
        <v>0</v>
      </c>
      <c r="AD126" s="3">
        <f t="shared" si="12"/>
        <v>0</v>
      </c>
      <c r="AE126" s="3">
        <f t="shared" si="12"/>
        <v>0</v>
      </c>
      <c r="AF126" s="3">
        <f t="shared" si="12"/>
        <v>0</v>
      </c>
      <c r="AG126" s="3">
        <f t="shared" si="12"/>
        <v>0</v>
      </c>
      <c r="AH126" s="3">
        <f t="shared" si="12"/>
        <v>0</v>
      </c>
      <c r="AI126" s="3">
        <f t="shared" si="12"/>
        <v>0</v>
      </c>
      <c r="AJ126" s="3">
        <f t="shared" si="12"/>
        <v>0</v>
      </c>
    </row>
    <row r="127" spans="1:36" x14ac:dyDescent="0.25">
      <c r="A127" s="3">
        <v>183.146753843879</v>
      </c>
      <c r="B127" s="107">
        <f>'Mastercurve bestimmen'!B34</f>
        <v>0.13703730186218882</v>
      </c>
      <c r="C127" s="18">
        <f t="shared" si="9"/>
        <v>0.14424740982428688</v>
      </c>
      <c r="D127" s="17"/>
      <c r="E127" s="11"/>
      <c r="F127" s="3">
        <f t="shared" si="11"/>
        <v>0.14424740982428688</v>
      </c>
      <c r="G127" s="3">
        <f t="shared" si="12"/>
        <v>0.14424740982428688</v>
      </c>
      <c r="H127" s="3">
        <f t="shared" si="12"/>
        <v>0.1442474098242868</v>
      </c>
      <c r="I127" s="3">
        <f t="shared" si="12"/>
        <v>0.1442474098242861</v>
      </c>
      <c r="J127" s="3">
        <f t="shared" si="12"/>
        <v>0.144247409824279</v>
      </c>
      <c r="K127" s="3">
        <f t="shared" si="12"/>
        <v>0.14424740982420811</v>
      </c>
      <c r="L127" s="3">
        <f t="shared" si="12"/>
        <v>0.14424740982349929</v>
      </c>
      <c r="M127" s="3">
        <f t="shared" si="12"/>
        <v>0.14424740981641082</v>
      </c>
      <c r="N127" s="3">
        <f t="shared" si="12"/>
        <v>0.14424740974552633</v>
      </c>
      <c r="O127" s="3">
        <f t="shared" si="12"/>
        <v>0.14424740903668126</v>
      </c>
      <c r="P127" s="3">
        <f t="shared" si="12"/>
        <v>0.14424740194823105</v>
      </c>
      <c r="Q127" s="3">
        <f t="shared" si="12"/>
        <v>0.1442473310637479</v>
      </c>
      <c r="R127" s="3">
        <f t="shared" si="12"/>
        <v>0.14424662222083229</v>
      </c>
      <c r="S127" s="3">
        <f t="shared" si="12"/>
        <v>0.14423953398325554</v>
      </c>
      <c r="T127" s="3">
        <f t="shared" si="12"/>
        <v>0.14416867076193182</v>
      </c>
      <c r="U127" s="3">
        <f t="shared" si="12"/>
        <v>0.14346195051496299</v>
      </c>
      <c r="V127" s="3">
        <f t="shared" si="12"/>
        <v>0.13658251353032347</v>
      </c>
      <c r="W127" s="3">
        <f t="shared" si="12"/>
        <v>8.3556222244125414E-2</v>
      </c>
      <c r="X127" s="3">
        <f t="shared" si="12"/>
        <v>6.135016741693316E-4</v>
      </c>
      <c r="Y127" s="3">
        <f t="shared" si="12"/>
        <v>2.793735655075242E-25</v>
      </c>
      <c r="Z127" s="3">
        <f t="shared" si="12"/>
        <v>1.0712254788686362E-238</v>
      </c>
      <c r="AA127" s="3">
        <f t="shared" si="12"/>
        <v>0</v>
      </c>
      <c r="AB127" s="3">
        <f t="shared" si="12"/>
        <v>0</v>
      </c>
      <c r="AC127" s="3">
        <f t="shared" si="12"/>
        <v>0</v>
      </c>
      <c r="AD127" s="3">
        <f t="shared" si="12"/>
        <v>0</v>
      </c>
      <c r="AE127" s="3">
        <f t="shared" si="12"/>
        <v>0</v>
      </c>
      <c r="AF127" s="3">
        <f t="shared" si="12"/>
        <v>0</v>
      </c>
      <c r="AG127" s="3">
        <f t="shared" si="12"/>
        <v>0</v>
      </c>
      <c r="AH127" s="3">
        <f t="shared" si="12"/>
        <v>0</v>
      </c>
      <c r="AI127" s="3">
        <f t="shared" si="12"/>
        <v>0</v>
      </c>
      <c r="AJ127" s="3">
        <f t="shared" si="12"/>
        <v>0</v>
      </c>
    </row>
    <row r="128" spans="1:36" x14ac:dyDescent="0.25">
      <c r="A128" s="3">
        <v>2030.26456396616</v>
      </c>
      <c r="B128" s="107">
        <f>'Mastercurve bestimmen'!B35</f>
        <v>0.12325780018539992</v>
      </c>
      <c r="C128" s="18">
        <f t="shared" si="9"/>
        <v>0.12974291069495422</v>
      </c>
      <c r="D128" s="17"/>
      <c r="E128" s="11"/>
      <c r="F128" s="3">
        <f t="shared" si="11"/>
        <v>0.12974291069495422</v>
      </c>
      <c r="G128" s="3">
        <f t="shared" si="12"/>
        <v>0.12974291069495422</v>
      </c>
      <c r="H128" s="3">
        <f t="shared" si="12"/>
        <v>0.12974291069495422</v>
      </c>
      <c r="I128" s="3">
        <f t="shared" si="12"/>
        <v>0.12974291069495417</v>
      </c>
      <c r="J128" s="3">
        <f t="shared" si="12"/>
        <v>0.12974291069495358</v>
      </c>
      <c r="K128" s="3">
        <f t="shared" si="12"/>
        <v>0.12974291069494784</v>
      </c>
      <c r="L128" s="3">
        <f t="shared" si="12"/>
        <v>0.12974291069489033</v>
      </c>
      <c r="M128" s="3">
        <f t="shared" si="12"/>
        <v>0.12974291069431518</v>
      </c>
      <c r="N128" s="3">
        <f t="shared" si="12"/>
        <v>0.12974291068856378</v>
      </c>
      <c r="O128" s="3">
        <f t="shared" si="12"/>
        <v>0.12974291063104978</v>
      </c>
      <c r="P128" s="3">
        <f t="shared" si="12"/>
        <v>0.12974291005590988</v>
      </c>
      <c r="Q128" s="3">
        <f t="shared" si="12"/>
        <v>0.12974290430451083</v>
      </c>
      <c r="R128" s="3">
        <f t="shared" si="12"/>
        <v>0.12974284679053455</v>
      </c>
      <c r="S128" s="3">
        <f t="shared" si="12"/>
        <v>0.12974227165217392</v>
      </c>
      <c r="T128" s="3">
        <f t="shared" si="12"/>
        <v>0.12973652040879013</v>
      </c>
      <c r="U128" s="3">
        <f t="shared" si="12"/>
        <v>0.12967902199491743</v>
      </c>
      <c r="V128" s="3">
        <f t="shared" ref="G128:AJ136" si="13">$C128*EXP(-V$108/$A128)</f>
        <v>0.12910543755589535</v>
      </c>
      <c r="W128" s="3">
        <f t="shared" si="13"/>
        <v>0.12350729434383816</v>
      </c>
      <c r="X128" s="3">
        <f t="shared" si="13"/>
        <v>7.9281771695384529E-2</v>
      </c>
      <c r="Y128" s="3">
        <f t="shared" si="13"/>
        <v>9.4184781715124359E-4</v>
      </c>
      <c r="Z128" s="3">
        <f t="shared" si="13"/>
        <v>5.2729617936000282E-23</v>
      </c>
      <c r="AA128" s="3">
        <f t="shared" si="13"/>
        <v>1.595120565773166E-215</v>
      </c>
      <c r="AB128" s="3">
        <f t="shared" si="13"/>
        <v>0</v>
      </c>
      <c r="AC128" s="3">
        <f t="shared" si="13"/>
        <v>0</v>
      </c>
      <c r="AD128" s="3">
        <f t="shared" si="13"/>
        <v>0</v>
      </c>
      <c r="AE128" s="3">
        <f t="shared" si="13"/>
        <v>0</v>
      </c>
      <c r="AF128" s="3">
        <f t="shared" si="13"/>
        <v>0</v>
      </c>
      <c r="AG128" s="3">
        <f t="shared" si="13"/>
        <v>0</v>
      </c>
      <c r="AH128" s="3">
        <f t="shared" si="13"/>
        <v>0</v>
      </c>
      <c r="AI128" s="3">
        <f t="shared" si="13"/>
        <v>0</v>
      </c>
      <c r="AJ128" s="3">
        <f t="shared" si="13"/>
        <v>0</v>
      </c>
    </row>
    <row r="129" spans="1:36" x14ac:dyDescent="0.25">
      <c r="A129" s="3">
        <v>22506.400540467101</v>
      </c>
      <c r="B129" s="107">
        <f>'Mastercurve bestimmen'!B36</f>
        <v>0.10178785423109732</v>
      </c>
      <c r="C129" s="18">
        <f t="shared" si="9"/>
        <v>0.10714334071735752</v>
      </c>
      <c r="D129" s="17"/>
      <c r="E129" s="11"/>
      <c r="F129" s="3">
        <f t="shared" si="11"/>
        <v>0.10714334071735752</v>
      </c>
      <c r="G129" s="3">
        <f t="shared" si="13"/>
        <v>0.10714334071735752</v>
      </c>
      <c r="H129" s="3">
        <f t="shared" si="13"/>
        <v>0.10714334071735752</v>
      </c>
      <c r="I129" s="3">
        <f t="shared" si="13"/>
        <v>0.10714334071735752</v>
      </c>
      <c r="J129" s="3">
        <f t="shared" si="13"/>
        <v>0.10714334071735748</v>
      </c>
      <c r="K129" s="3">
        <f t="shared" si="13"/>
        <v>0.10714334071735705</v>
      </c>
      <c r="L129" s="3">
        <f t="shared" si="13"/>
        <v>0.10714334071735276</v>
      </c>
      <c r="M129" s="3">
        <f t="shared" si="13"/>
        <v>0.10714334071730992</v>
      </c>
      <c r="N129" s="3">
        <f t="shared" si="13"/>
        <v>0.10714334071688146</v>
      </c>
      <c r="O129" s="3">
        <f t="shared" si="13"/>
        <v>0.10714334071259696</v>
      </c>
      <c r="P129" s="3">
        <f t="shared" si="13"/>
        <v>0.10714334066975181</v>
      </c>
      <c r="Q129" s="3">
        <f t="shared" si="13"/>
        <v>0.10714334024130032</v>
      </c>
      <c r="R129" s="3">
        <f t="shared" si="13"/>
        <v>0.1071433359567856</v>
      </c>
      <c r="S129" s="3">
        <f t="shared" si="13"/>
        <v>0.10714329311164789</v>
      </c>
      <c r="T129" s="3">
        <f t="shared" si="13"/>
        <v>0.10714286466121298</v>
      </c>
      <c r="U129" s="3">
        <f t="shared" si="13"/>
        <v>0.10713858025109488</v>
      </c>
      <c r="V129" s="3">
        <f t="shared" si="13"/>
        <v>0.10709574557161682</v>
      </c>
      <c r="W129" s="3">
        <f t="shared" si="13"/>
        <v>0.10666833955461053</v>
      </c>
      <c r="X129" s="3">
        <f t="shared" si="13"/>
        <v>0.10248697997026368</v>
      </c>
      <c r="Y129" s="3">
        <f t="shared" si="13"/>
        <v>6.870689244155806E-2</v>
      </c>
      <c r="Z129" s="3">
        <f t="shared" si="13"/>
        <v>1.2598429509853449E-3</v>
      </c>
      <c r="AA129" s="3">
        <f t="shared" si="13"/>
        <v>5.4134914135472919E-21</v>
      </c>
      <c r="AB129" s="3">
        <f t="shared" si="13"/>
        <v>1.1616836346034095E-194</v>
      </c>
      <c r="AC129" s="3">
        <f t="shared" si="13"/>
        <v>0</v>
      </c>
      <c r="AD129" s="3">
        <f t="shared" si="13"/>
        <v>0</v>
      </c>
      <c r="AE129" s="3">
        <f t="shared" si="13"/>
        <v>0</v>
      </c>
      <c r="AF129" s="3">
        <f t="shared" si="13"/>
        <v>0</v>
      </c>
      <c r="AG129" s="3">
        <f t="shared" si="13"/>
        <v>0</v>
      </c>
      <c r="AH129" s="3">
        <f t="shared" si="13"/>
        <v>0</v>
      </c>
      <c r="AI129" s="3">
        <f t="shared" si="13"/>
        <v>0</v>
      </c>
      <c r="AJ129" s="3">
        <f t="shared" si="13"/>
        <v>0</v>
      </c>
    </row>
    <row r="130" spans="1:36" x14ac:dyDescent="0.25">
      <c r="A130" s="3">
        <v>249493.62476110301</v>
      </c>
      <c r="B130" s="107">
        <f>'Mastercurve bestimmen'!B37</f>
        <v>7.094082526950117E-2</v>
      </c>
      <c r="C130" s="18">
        <f t="shared" si="9"/>
        <v>7.467332001482109E-2</v>
      </c>
      <c r="D130" s="17"/>
      <c r="E130" s="11"/>
      <c r="F130" s="3">
        <f t="shared" si="11"/>
        <v>7.467332001482109E-2</v>
      </c>
      <c r="G130" s="3">
        <f t="shared" si="13"/>
        <v>7.467332001482109E-2</v>
      </c>
      <c r="H130" s="3">
        <f t="shared" si="13"/>
        <v>7.467332001482109E-2</v>
      </c>
      <c r="I130" s="3">
        <f t="shared" si="13"/>
        <v>7.467332001482109E-2</v>
      </c>
      <c r="J130" s="3">
        <f t="shared" si="13"/>
        <v>7.467332001482109E-2</v>
      </c>
      <c r="K130" s="3">
        <f t="shared" si="13"/>
        <v>7.4673320014821062E-2</v>
      </c>
      <c r="L130" s="3">
        <f t="shared" si="13"/>
        <v>7.4673320014820785E-2</v>
      </c>
      <c r="M130" s="3">
        <f t="shared" si="13"/>
        <v>7.4673320014818093E-2</v>
      </c>
      <c r="N130" s="3">
        <f t="shared" si="13"/>
        <v>7.4673320014791156E-2</v>
      </c>
      <c r="O130" s="3">
        <f t="shared" si="13"/>
        <v>7.4673320014521788E-2</v>
      </c>
      <c r="P130" s="3">
        <f t="shared" si="13"/>
        <v>7.4673320011828095E-2</v>
      </c>
      <c r="Q130" s="3">
        <f t="shared" si="13"/>
        <v>7.4673319984891143E-2</v>
      </c>
      <c r="R130" s="3">
        <f t="shared" si="13"/>
        <v>7.4673319715521588E-2</v>
      </c>
      <c r="S130" s="3">
        <f t="shared" si="13"/>
        <v>7.467331702182603E-2</v>
      </c>
      <c r="T130" s="3">
        <f t="shared" si="13"/>
        <v>7.4673290084875943E-2</v>
      </c>
      <c r="U130" s="3">
        <f t="shared" si="13"/>
        <v>7.4673020715909394E-2</v>
      </c>
      <c r="V130" s="3">
        <f t="shared" si="13"/>
        <v>7.4670327079686627E-2</v>
      </c>
      <c r="W130" s="3">
        <f t="shared" si="13"/>
        <v>7.4643396061008671E-2</v>
      </c>
      <c r="X130" s="3">
        <f t="shared" si="13"/>
        <v>7.4374619516689222E-2</v>
      </c>
      <c r="Y130" s="3">
        <f t="shared" si="13"/>
        <v>7.1739512885393986E-2</v>
      </c>
      <c r="Z130" s="3">
        <f t="shared" si="13"/>
        <v>5.0014402891820284E-2</v>
      </c>
      <c r="AA130" s="3">
        <f t="shared" si="13"/>
        <v>1.3566309976909103E-3</v>
      </c>
      <c r="AB130" s="3">
        <f t="shared" si="13"/>
        <v>2.9250157842761926E-19</v>
      </c>
      <c r="AC130" s="3">
        <f t="shared" si="13"/>
        <v>6.3502817368385556E-176</v>
      </c>
      <c r="AD130" s="3">
        <f t="shared" si="13"/>
        <v>0</v>
      </c>
      <c r="AE130" s="3">
        <f t="shared" si="13"/>
        <v>0</v>
      </c>
      <c r="AF130" s="3">
        <f t="shared" si="13"/>
        <v>0</v>
      </c>
      <c r="AG130" s="3">
        <f t="shared" si="13"/>
        <v>0</v>
      </c>
      <c r="AH130" s="3">
        <f t="shared" si="13"/>
        <v>0</v>
      </c>
      <c r="AI130" s="3">
        <f t="shared" si="13"/>
        <v>0</v>
      </c>
      <c r="AJ130" s="3">
        <f t="shared" si="13"/>
        <v>0</v>
      </c>
    </row>
    <row r="131" spans="1:36" x14ac:dyDescent="0.25">
      <c r="A131" s="3">
        <v>2765749.6224023802</v>
      </c>
      <c r="B131" s="107">
        <f>'Mastercurve bestimmen'!B38</f>
        <v>2.4434841937817392E-2</v>
      </c>
      <c r="C131" s="18">
        <f t="shared" si="9"/>
        <v>2.5720461590382049E-2</v>
      </c>
      <c r="D131" s="17"/>
      <c r="E131" s="11"/>
      <c r="F131" s="3">
        <f t="shared" si="11"/>
        <v>2.5720461590382049E-2</v>
      </c>
      <c r="G131" s="3">
        <f t="shared" si="13"/>
        <v>2.5720461590382049E-2</v>
      </c>
      <c r="H131" s="3">
        <f t="shared" si="13"/>
        <v>2.5720461590382049E-2</v>
      </c>
      <c r="I131" s="3">
        <f t="shared" si="13"/>
        <v>2.5720461590382049E-2</v>
      </c>
      <c r="J131" s="3">
        <f t="shared" si="13"/>
        <v>2.5720461590382049E-2</v>
      </c>
      <c r="K131" s="3">
        <f t="shared" si="13"/>
        <v>2.5720461590382049E-2</v>
      </c>
      <c r="L131" s="3">
        <f t="shared" si="13"/>
        <v>2.5720461590382042E-2</v>
      </c>
      <c r="M131" s="3">
        <f t="shared" si="13"/>
        <v>2.5720461590381955E-2</v>
      </c>
      <c r="N131" s="3">
        <f t="shared" si="13"/>
        <v>2.5720461590381119E-2</v>
      </c>
      <c r="O131" s="3">
        <f t="shared" si="13"/>
        <v>2.5720461590372747E-2</v>
      </c>
      <c r="P131" s="3">
        <f t="shared" si="13"/>
        <v>2.5720461590289054E-2</v>
      </c>
      <c r="Q131" s="3">
        <f t="shared" si="13"/>
        <v>2.5720461589452088E-2</v>
      </c>
      <c r="R131" s="3">
        <f t="shared" si="13"/>
        <v>2.5720461581082411E-2</v>
      </c>
      <c r="S131" s="3">
        <f t="shared" si="13"/>
        <v>2.5720461497385699E-2</v>
      </c>
      <c r="T131" s="3">
        <f t="shared" si="13"/>
        <v>2.5720460660418581E-2</v>
      </c>
      <c r="U131" s="3">
        <f t="shared" si="13"/>
        <v>2.5720452290748874E-2</v>
      </c>
      <c r="V131" s="3">
        <f t="shared" si="13"/>
        <v>2.5720368594201615E-2</v>
      </c>
      <c r="W131" s="3">
        <f t="shared" si="13"/>
        <v>2.5719531643708427E-2</v>
      </c>
      <c r="X131" s="3">
        <f t="shared" si="13"/>
        <v>2.5711163636537995E-2</v>
      </c>
      <c r="Y131" s="3">
        <f t="shared" si="13"/>
        <v>2.5627633160801879E-2</v>
      </c>
      <c r="Z131" s="3">
        <f t="shared" si="13"/>
        <v>2.4807109441708539E-2</v>
      </c>
      <c r="AA131" s="3">
        <f t="shared" si="13"/>
        <v>1.7916484621672214E-2</v>
      </c>
      <c r="AB131" s="3">
        <f t="shared" si="13"/>
        <v>6.9186153505039591E-4</v>
      </c>
      <c r="AC131" s="3">
        <f t="shared" si="13"/>
        <v>5.1013255047719342E-18</v>
      </c>
      <c r="AD131" s="3">
        <f t="shared" si="13"/>
        <v>2.4228221367456613E-159</v>
      </c>
      <c r="AE131" s="3">
        <f t="shared" si="13"/>
        <v>0</v>
      </c>
      <c r="AF131" s="3">
        <f t="shared" si="13"/>
        <v>0</v>
      </c>
      <c r="AG131" s="3">
        <f t="shared" si="13"/>
        <v>0</v>
      </c>
      <c r="AH131" s="3">
        <f t="shared" si="13"/>
        <v>0</v>
      </c>
      <c r="AI131" s="3">
        <f t="shared" si="13"/>
        <v>0</v>
      </c>
      <c r="AJ131" s="3">
        <f t="shared" si="13"/>
        <v>0</v>
      </c>
    </row>
    <row r="132" spans="1:36" x14ac:dyDescent="0.25">
      <c r="A132" s="3">
        <f>10000000</f>
        <v>10000000</v>
      </c>
      <c r="B132" s="107">
        <f>'Mastercurve bestimmen'!B39</f>
        <v>2.2934618274172043E-2</v>
      </c>
      <c r="C132" s="18">
        <f t="shared" si="9"/>
        <v>2.4141304859351478E-2</v>
      </c>
      <c r="D132" s="17"/>
      <c r="E132" s="11"/>
      <c r="F132" s="3">
        <f t="shared" si="11"/>
        <v>2.4141304859351478E-2</v>
      </c>
      <c r="G132" s="3">
        <f t="shared" si="13"/>
        <v>2.4141304859351478E-2</v>
      </c>
      <c r="H132" s="3">
        <f t="shared" si="13"/>
        <v>2.4141304859351478E-2</v>
      </c>
      <c r="I132" s="3">
        <f t="shared" si="13"/>
        <v>2.4141304859351478E-2</v>
      </c>
      <c r="J132" s="3">
        <f t="shared" si="13"/>
        <v>2.4141304859351478E-2</v>
      </c>
      <c r="K132" s="3">
        <f t="shared" si="13"/>
        <v>2.4141304859351478E-2</v>
      </c>
      <c r="L132" s="3">
        <f t="shared" si="13"/>
        <v>2.4141304859351474E-2</v>
      </c>
      <c r="M132" s="3">
        <f t="shared" si="13"/>
        <v>2.4141304859351453E-2</v>
      </c>
      <c r="N132" s="3">
        <f t="shared" si="13"/>
        <v>2.4141304859351235E-2</v>
      </c>
      <c r="O132" s="3">
        <f t="shared" si="13"/>
        <v>2.4141304859349063E-2</v>
      </c>
      <c r="P132" s="3">
        <f t="shared" si="13"/>
        <v>2.4141304859327337E-2</v>
      </c>
      <c r="Q132" s="3">
        <f t="shared" si="13"/>
        <v>2.4141304859110063E-2</v>
      </c>
      <c r="R132" s="3">
        <f t="shared" si="13"/>
        <v>2.4141304856937346E-2</v>
      </c>
      <c r="S132" s="3">
        <f t="shared" si="13"/>
        <v>2.4141304835210174E-2</v>
      </c>
      <c r="T132" s="3">
        <f t="shared" si="13"/>
        <v>2.4141304617938432E-2</v>
      </c>
      <c r="U132" s="3">
        <f t="shared" si="13"/>
        <v>2.4141302445221113E-2</v>
      </c>
      <c r="V132" s="3">
        <f t="shared" si="13"/>
        <v>2.414128071805869E-2</v>
      </c>
      <c r="W132" s="3">
        <f t="shared" si="13"/>
        <v>2.4141063447509947E-2</v>
      </c>
      <c r="X132" s="3">
        <f t="shared" si="13"/>
        <v>2.4138890849568044E-2</v>
      </c>
      <c r="Y132" s="3">
        <f t="shared" si="13"/>
        <v>2.4117175621122013E-2</v>
      </c>
      <c r="Z132" s="3">
        <f t="shared" si="13"/>
        <v>2.3901094862488915E-2</v>
      </c>
      <c r="AA132" s="3">
        <f t="shared" si="13"/>
        <v>2.1843955956954555E-2</v>
      </c>
      <c r="AB132" s="3">
        <f t="shared" si="13"/>
        <v>8.8810897408076461E-3</v>
      </c>
      <c r="AC132" s="3">
        <f t="shared" si="13"/>
        <v>1.0960135449892915E-6</v>
      </c>
      <c r="AD132" s="3">
        <f t="shared" si="13"/>
        <v>8.9807488237068497E-46</v>
      </c>
      <c r="AE132" s="3">
        <f t="shared" si="13"/>
        <v>0</v>
      </c>
      <c r="AF132" s="3">
        <f t="shared" si="13"/>
        <v>0</v>
      </c>
      <c r="AG132" s="3">
        <f t="shared" si="13"/>
        <v>0</v>
      </c>
      <c r="AH132" s="3">
        <f t="shared" si="13"/>
        <v>0</v>
      </c>
      <c r="AI132" s="3">
        <f t="shared" si="13"/>
        <v>0</v>
      </c>
      <c r="AJ132" s="3">
        <f t="shared" si="13"/>
        <v>0</v>
      </c>
    </row>
    <row r="133" spans="1:36" x14ac:dyDescent="0.25">
      <c r="A133" s="3">
        <f t="shared" ref="A133:A141" si="14">A132*10</f>
        <v>100000000</v>
      </c>
      <c r="B133" s="107">
        <f>'Mastercurve bestimmen'!B40</f>
        <v>1.1603672295967073E-2</v>
      </c>
      <c r="C133" s="18">
        <f t="shared" si="9"/>
        <v>1.2214190227025473E-2</v>
      </c>
      <c r="D133" s="17"/>
      <c r="E133" s="11"/>
      <c r="F133" s="3">
        <f t="shared" si="11"/>
        <v>1.2214190227025473E-2</v>
      </c>
      <c r="G133" s="3">
        <f t="shared" si="13"/>
        <v>1.2214190227025473E-2</v>
      </c>
      <c r="H133" s="3">
        <f t="shared" si="13"/>
        <v>1.2214190227025473E-2</v>
      </c>
      <c r="I133" s="3">
        <f t="shared" si="13"/>
        <v>1.2214190227025473E-2</v>
      </c>
      <c r="J133" s="3">
        <f t="shared" si="13"/>
        <v>1.2214190227025473E-2</v>
      </c>
      <c r="K133" s="3">
        <f t="shared" si="13"/>
        <v>1.2214190227025473E-2</v>
      </c>
      <c r="L133" s="3">
        <f t="shared" si="13"/>
        <v>1.2214190227025473E-2</v>
      </c>
      <c r="M133" s="3">
        <f t="shared" si="13"/>
        <v>1.2214190227025471E-2</v>
      </c>
      <c r="N133" s="3">
        <f t="shared" si="13"/>
        <v>1.2214190227025461E-2</v>
      </c>
      <c r="O133" s="3">
        <f t="shared" si="13"/>
        <v>1.2214190227025351E-2</v>
      </c>
      <c r="P133" s="3">
        <f t="shared" si="13"/>
        <v>1.2214190227024252E-2</v>
      </c>
      <c r="Q133" s="3">
        <f t="shared" si="13"/>
        <v>1.2214190227013259E-2</v>
      </c>
      <c r="R133" s="3">
        <f t="shared" si="13"/>
        <v>1.2214190226903331E-2</v>
      </c>
      <c r="S133" s="3">
        <f t="shared" si="13"/>
        <v>1.2214190225804054E-2</v>
      </c>
      <c r="T133" s="3">
        <f t="shared" si="13"/>
        <v>1.2214190214811283E-2</v>
      </c>
      <c r="U133" s="3">
        <f t="shared" si="13"/>
        <v>1.2214190104883572E-2</v>
      </c>
      <c r="V133" s="3">
        <f t="shared" si="13"/>
        <v>1.2214189005606512E-2</v>
      </c>
      <c r="W133" s="3">
        <f t="shared" si="13"/>
        <v>1.2214178012841354E-2</v>
      </c>
      <c r="X133" s="3">
        <f t="shared" si="13"/>
        <v>1.2214068085733909E-2</v>
      </c>
      <c r="Y133" s="3">
        <f t="shared" si="13"/>
        <v>1.2212968869071686E-2</v>
      </c>
      <c r="Z133" s="3">
        <f t="shared" si="13"/>
        <v>1.2201982141858372E-2</v>
      </c>
      <c r="AA133" s="3">
        <f t="shared" si="13"/>
        <v>1.2092657003647284E-2</v>
      </c>
      <c r="AB133" s="3">
        <f t="shared" si="13"/>
        <v>1.105185634842178E-2</v>
      </c>
      <c r="AC133" s="3">
        <f t="shared" si="13"/>
        <v>4.4933494750798234E-3</v>
      </c>
      <c r="AD133" s="3">
        <f t="shared" si="13"/>
        <v>5.5452337841258545E-7</v>
      </c>
      <c r="AE133" s="3">
        <f t="shared" si="13"/>
        <v>4.5437715630105944E-46</v>
      </c>
      <c r="AF133" s="3">
        <f t="shared" si="13"/>
        <v>0</v>
      </c>
      <c r="AG133" s="3">
        <f t="shared" si="13"/>
        <v>0</v>
      </c>
      <c r="AH133" s="3">
        <f t="shared" si="13"/>
        <v>0</v>
      </c>
      <c r="AI133" s="3">
        <f t="shared" si="13"/>
        <v>0</v>
      </c>
      <c r="AJ133" s="3">
        <f t="shared" si="13"/>
        <v>0</v>
      </c>
    </row>
    <row r="134" spans="1:36" x14ac:dyDescent="0.25">
      <c r="A134" s="3">
        <f t="shared" si="14"/>
        <v>1000000000</v>
      </c>
      <c r="B134" s="107">
        <f>'Mastercurve bestimmen'!B41</f>
        <v>7.6537892495760979E-4</v>
      </c>
      <c r="C134" s="18">
        <f t="shared" si="9"/>
        <v>8.0564872453676788E-4</v>
      </c>
      <c r="D134" s="17"/>
      <c r="E134" s="11"/>
      <c r="F134" s="3">
        <f t="shared" si="11"/>
        <v>8.0564872453676788E-4</v>
      </c>
      <c r="G134" s="3">
        <f t="shared" si="13"/>
        <v>8.0564872453676788E-4</v>
      </c>
      <c r="H134" s="3">
        <f t="shared" si="13"/>
        <v>8.0564872453676788E-4</v>
      </c>
      <c r="I134" s="3">
        <f t="shared" si="13"/>
        <v>8.0564872453676788E-4</v>
      </c>
      <c r="J134" s="3">
        <f t="shared" si="13"/>
        <v>8.0564872453676788E-4</v>
      </c>
      <c r="K134" s="3">
        <f t="shared" si="13"/>
        <v>8.0564872453676788E-4</v>
      </c>
      <c r="L134" s="3">
        <f t="shared" si="13"/>
        <v>8.0564872453676788E-4</v>
      </c>
      <c r="M134" s="3">
        <f t="shared" si="13"/>
        <v>8.0564872453676788E-4</v>
      </c>
      <c r="N134" s="3">
        <f t="shared" si="13"/>
        <v>8.0564872453676778E-4</v>
      </c>
      <c r="O134" s="3">
        <f t="shared" si="13"/>
        <v>8.0564872453676713E-4</v>
      </c>
      <c r="P134" s="3">
        <f t="shared" si="13"/>
        <v>8.0564872453675986E-4</v>
      </c>
      <c r="Q134" s="3">
        <f t="shared" si="13"/>
        <v>8.0564872453668733E-4</v>
      </c>
      <c r="R134" s="3">
        <f t="shared" si="13"/>
        <v>8.0564872453596221E-4</v>
      </c>
      <c r="S134" s="3">
        <f t="shared" si="13"/>
        <v>8.056487245287114E-4</v>
      </c>
      <c r="T134" s="3">
        <f t="shared" si="13"/>
        <v>8.0564872445620299E-4</v>
      </c>
      <c r="U134" s="3">
        <f t="shared" si="13"/>
        <v>8.0564872373111915E-4</v>
      </c>
      <c r="V134" s="3">
        <f t="shared" si="13"/>
        <v>8.0564871648028066E-4</v>
      </c>
      <c r="W134" s="3">
        <f t="shared" si="13"/>
        <v>8.0564864397189952E-4</v>
      </c>
      <c r="X134" s="3">
        <f t="shared" si="13"/>
        <v>8.0564791888844617E-4</v>
      </c>
      <c r="Y134" s="3">
        <f t="shared" si="13"/>
        <v>8.0564066808980477E-4</v>
      </c>
      <c r="Z134" s="3">
        <f t="shared" si="13"/>
        <v>8.0556816369242354E-4</v>
      </c>
      <c r="AA134" s="3">
        <f t="shared" si="13"/>
        <v>8.0484347850235218E-4</v>
      </c>
      <c r="AB134" s="3">
        <f t="shared" si="13"/>
        <v>7.9763238578785635E-4</v>
      </c>
      <c r="AC134" s="3">
        <f t="shared" si="13"/>
        <v>7.2898111175381309E-4</v>
      </c>
      <c r="AD134" s="3">
        <f t="shared" si="13"/>
        <v>2.9638160256307145E-4</v>
      </c>
      <c r="AE134" s="3">
        <f t="shared" si="13"/>
        <v>3.6576395507204771E-8</v>
      </c>
      <c r="AF134" s="3">
        <f t="shared" si="13"/>
        <v>2.9970744652610588E-47</v>
      </c>
      <c r="AG134" s="3">
        <f t="shared" si="13"/>
        <v>0</v>
      </c>
      <c r="AH134" s="3">
        <f t="shared" si="13"/>
        <v>0</v>
      </c>
      <c r="AI134" s="3">
        <f t="shared" si="13"/>
        <v>0</v>
      </c>
      <c r="AJ134" s="3">
        <f t="shared" si="13"/>
        <v>0</v>
      </c>
    </row>
    <row r="135" spans="1:36" x14ac:dyDescent="0.25">
      <c r="A135" s="3">
        <f t="shared" si="14"/>
        <v>10000000000</v>
      </c>
      <c r="B135" s="107">
        <f>'Mastercurve bestimmen'!B42</f>
        <v>2.7297474214350117E-3</v>
      </c>
      <c r="C135" s="18">
        <f t="shared" si="9"/>
        <v>2.8733708973087426E-3</v>
      </c>
      <c r="D135" s="17"/>
      <c r="E135" s="11"/>
      <c r="F135" s="3">
        <f t="shared" si="11"/>
        <v>2.8733708973087426E-3</v>
      </c>
      <c r="G135" s="3">
        <f t="shared" si="13"/>
        <v>2.8733708973087426E-3</v>
      </c>
      <c r="H135" s="3">
        <f t="shared" si="13"/>
        <v>2.8733708973087426E-3</v>
      </c>
      <c r="I135" s="3">
        <f t="shared" si="13"/>
        <v>2.8733708973087426E-3</v>
      </c>
      <c r="J135" s="3">
        <f t="shared" si="13"/>
        <v>2.8733708973087426E-3</v>
      </c>
      <c r="K135" s="3">
        <f t="shared" si="13"/>
        <v>2.8733708973087426E-3</v>
      </c>
      <c r="L135" s="3">
        <f t="shared" si="13"/>
        <v>2.8733708973087426E-3</v>
      </c>
      <c r="M135" s="3">
        <f t="shared" si="13"/>
        <v>2.8733708973087426E-3</v>
      </c>
      <c r="N135" s="3">
        <f t="shared" si="13"/>
        <v>2.8733708973087426E-3</v>
      </c>
      <c r="O135" s="3">
        <f t="shared" si="13"/>
        <v>2.8733708973087422E-3</v>
      </c>
      <c r="P135" s="3">
        <f t="shared" si="13"/>
        <v>2.8733708973087396E-3</v>
      </c>
      <c r="Q135" s="3">
        <f t="shared" si="13"/>
        <v>2.873370897308714E-3</v>
      </c>
      <c r="R135" s="3">
        <f t="shared" si="13"/>
        <v>2.8733708973084551E-3</v>
      </c>
      <c r="S135" s="3">
        <f t="shared" si="13"/>
        <v>2.8733708973058695E-3</v>
      </c>
      <c r="T135" s="3">
        <f t="shared" si="13"/>
        <v>2.8733708972800091E-3</v>
      </c>
      <c r="U135" s="3">
        <f t="shared" si="13"/>
        <v>2.8733708970214056E-3</v>
      </c>
      <c r="V135" s="3">
        <f t="shared" si="13"/>
        <v>2.8733708944353718E-3</v>
      </c>
      <c r="W135" s="3">
        <f t="shared" si="13"/>
        <v>2.8733708685750336E-3</v>
      </c>
      <c r="X135" s="3">
        <f t="shared" si="13"/>
        <v>2.8733706099716675E-3</v>
      </c>
      <c r="Y135" s="3">
        <f t="shared" si="13"/>
        <v>2.8733680239392818E-3</v>
      </c>
      <c r="Z135" s="3">
        <f t="shared" si="13"/>
        <v>2.8733421637434377E-3</v>
      </c>
      <c r="AA135" s="3">
        <f t="shared" si="13"/>
        <v>2.8730835745853873E-3</v>
      </c>
      <c r="AB135" s="3">
        <f t="shared" si="13"/>
        <v>2.8704989626181072E-3</v>
      </c>
      <c r="AC135" s="3">
        <f t="shared" si="13"/>
        <v>2.8447803791802188E-3</v>
      </c>
      <c r="AD135" s="3">
        <f t="shared" si="13"/>
        <v>2.5999335037805108E-3</v>
      </c>
      <c r="AE135" s="3">
        <f t="shared" si="13"/>
        <v>1.057054079980226E-3</v>
      </c>
      <c r="AF135" s="3">
        <f t="shared" si="13"/>
        <v>1.3045083691938499E-7</v>
      </c>
      <c r="AG135" s="3">
        <f t="shared" si="13"/>
        <v>1.0689158045275686E-46</v>
      </c>
      <c r="AH135" s="3">
        <f t="shared" si="13"/>
        <v>0</v>
      </c>
      <c r="AI135" s="3">
        <f t="shared" si="13"/>
        <v>0</v>
      </c>
      <c r="AJ135" s="3">
        <f t="shared" si="13"/>
        <v>0</v>
      </c>
    </row>
    <row r="136" spans="1:36" x14ac:dyDescent="0.25">
      <c r="A136" s="3">
        <f t="shared" si="14"/>
        <v>100000000000</v>
      </c>
      <c r="B136" s="107">
        <f>'Mastercurve bestimmen'!B43</f>
        <v>0</v>
      </c>
      <c r="C136" s="18">
        <f t="shared" si="9"/>
        <v>0</v>
      </c>
      <c r="D136" s="17"/>
      <c r="E136" s="11"/>
      <c r="F136" s="3">
        <f t="shared" si="11"/>
        <v>0</v>
      </c>
      <c r="G136" s="3">
        <f t="shared" si="13"/>
        <v>0</v>
      </c>
      <c r="H136" s="3">
        <f t="shared" si="13"/>
        <v>0</v>
      </c>
      <c r="I136" s="3">
        <f t="shared" si="13"/>
        <v>0</v>
      </c>
      <c r="J136" s="3">
        <f t="shared" si="13"/>
        <v>0</v>
      </c>
      <c r="K136" s="3">
        <f t="shared" si="13"/>
        <v>0</v>
      </c>
      <c r="L136" s="3">
        <f t="shared" si="13"/>
        <v>0</v>
      </c>
      <c r="M136" s="3">
        <f t="shared" si="13"/>
        <v>0</v>
      </c>
      <c r="N136" s="3">
        <f t="shared" si="13"/>
        <v>0</v>
      </c>
      <c r="O136" s="3">
        <f t="shared" si="13"/>
        <v>0</v>
      </c>
      <c r="P136" s="3">
        <f t="shared" si="13"/>
        <v>0</v>
      </c>
      <c r="Q136" s="3">
        <f t="shared" si="13"/>
        <v>0</v>
      </c>
      <c r="R136" s="3">
        <f t="shared" si="13"/>
        <v>0</v>
      </c>
      <c r="S136" s="3">
        <f t="shared" si="13"/>
        <v>0</v>
      </c>
      <c r="T136" s="3">
        <f t="shared" si="13"/>
        <v>0</v>
      </c>
      <c r="U136" s="3">
        <f t="shared" si="13"/>
        <v>0</v>
      </c>
      <c r="V136" s="3">
        <f t="shared" si="13"/>
        <v>0</v>
      </c>
      <c r="W136" s="3">
        <f t="shared" si="13"/>
        <v>0</v>
      </c>
      <c r="X136" s="3">
        <f t="shared" si="13"/>
        <v>0</v>
      </c>
      <c r="Y136" s="3">
        <f t="shared" si="13"/>
        <v>0</v>
      </c>
      <c r="Z136" s="3">
        <f t="shared" si="13"/>
        <v>0</v>
      </c>
      <c r="AA136" s="3">
        <f t="shared" si="13"/>
        <v>0</v>
      </c>
      <c r="AB136" s="3">
        <f t="shared" si="13"/>
        <v>0</v>
      </c>
      <c r="AC136" s="3">
        <f t="shared" si="13"/>
        <v>0</v>
      </c>
      <c r="AD136" s="3">
        <f t="shared" si="13"/>
        <v>0</v>
      </c>
      <c r="AE136" s="3">
        <f t="shared" si="13"/>
        <v>0</v>
      </c>
      <c r="AF136" s="3">
        <f t="shared" si="13"/>
        <v>0</v>
      </c>
      <c r="AG136" s="3">
        <f t="shared" si="13"/>
        <v>0</v>
      </c>
      <c r="AH136" s="3">
        <f t="shared" si="13"/>
        <v>0</v>
      </c>
      <c r="AI136" s="3">
        <f t="shared" si="13"/>
        <v>0</v>
      </c>
      <c r="AJ136" s="3">
        <f t="shared" si="13"/>
        <v>0</v>
      </c>
    </row>
    <row r="137" spans="1:36" x14ac:dyDescent="0.25">
      <c r="A137" s="3">
        <f t="shared" si="14"/>
        <v>1000000000000</v>
      </c>
      <c r="B137" s="107">
        <f>'Mastercurve bestimmen'!B44</f>
        <v>1.5435900527486373E-4</v>
      </c>
      <c r="C137" s="18">
        <f t="shared" si="9"/>
        <v>1.6248048079890072E-4</v>
      </c>
      <c r="D137" s="17"/>
      <c r="E137" s="11"/>
      <c r="F137" s="3">
        <f t="shared" si="11"/>
        <v>1.6248048079890072E-4</v>
      </c>
      <c r="G137" s="3">
        <f t="shared" ref="G137:AJ141" si="15">$C137*EXP(-G$108/$A137)</f>
        <v>1.6248048079890072E-4</v>
      </c>
      <c r="H137" s="3">
        <f t="shared" si="15"/>
        <v>1.6248048079890072E-4</v>
      </c>
      <c r="I137" s="3">
        <f t="shared" si="15"/>
        <v>1.6248048079890072E-4</v>
      </c>
      <c r="J137" s="3">
        <f t="shared" si="15"/>
        <v>1.6248048079890072E-4</v>
      </c>
      <c r="K137" s="3">
        <f t="shared" si="15"/>
        <v>1.6248048079890072E-4</v>
      </c>
      <c r="L137" s="3">
        <f t="shared" si="15"/>
        <v>1.6248048079890072E-4</v>
      </c>
      <c r="M137" s="3">
        <f t="shared" si="15"/>
        <v>1.6248048079890072E-4</v>
      </c>
      <c r="N137" s="3">
        <f t="shared" si="15"/>
        <v>1.6248048079890072E-4</v>
      </c>
      <c r="O137" s="3">
        <f t="shared" si="15"/>
        <v>1.6248048079890072E-4</v>
      </c>
      <c r="P137" s="3">
        <f t="shared" si="15"/>
        <v>1.6248048079890072E-4</v>
      </c>
      <c r="Q137" s="3">
        <f t="shared" si="15"/>
        <v>1.624804807989007E-4</v>
      </c>
      <c r="R137" s="3">
        <f t="shared" si="15"/>
        <v>1.6248048079890056E-4</v>
      </c>
      <c r="S137" s="3">
        <f t="shared" si="15"/>
        <v>1.624804807988991E-4</v>
      </c>
      <c r="T137" s="3">
        <f t="shared" si="15"/>
        <v>1.6248048079888446E-4</v>
      </c>
      <c r="U137" s="3">
        <f t="shared" si="15"/>
        <v>1.6248048079873826E-4</v>
      </c>
      <c r="V137" s="3">
        <f t="shared" si="15"/>
        <v>1.6248048079727591E-4</v>
      </c>
      <c r="W137" s="3">
        <f t="shared" si="15"/>
        <v>1.6248048078265268E-4</v>
      </c>
      <c r="X137" s="3">
        <f t="shared" si="15"/>
        <v>1.6248048063642023E-4</v>
      </c>
      <c r="Y137" s="3">
        <f t="shared" si="15"/>
        <v>1.6248047917409591E-4</v>
      </c>
      <c r="Z137" s="3">
        <f t="shared" si="15"/>
        <v>1.6248046455085346E-4</v>
      </c>
      <c r="AA137" s="3">
        <f t="shared" si="15"/>
        <v>1.6248031831850117E-4</v>
      </c>
      <c r="AB137" s="3">
        <f t="shared" si="15"/>
        <v>1.6247885600221673E-4</v>
      </c>
      <c r="AC137" s="3">
        <f t="shared" si="15"/>
        <v>1.6246423356319615E-4</v>
      </c>
      <c r="AD137" s="3">
        <f t="shared" si="15"/>
        <v>1.6231808153126891E-4</v>
      </c>
      <c r="AE137" s="3">
        <f t="shared" si="15"/>
        <v>1.6086377300243655E-4</v>
      </c>
      <c r="AF137" s="3">
        <f t="shared" si="15"/>
        <v>1.4701841872731861E-4</v>
      </c>
      <c r="AG137" s="3">
        <f t="shared" si="15"/>
        <v>5.9773228477566861E-5</v>
      </c>
      <c r="AH137" s="3">
        <f t="shared" si="15"/>
        <v>7.3766024160448615E-9</v>
      </c>
      <c r="AI137" s="3">
        <f t="shared" si="15"/>
        <v>6.0443973319230529E-48</v>
      </c>
      <c r="AJ137" s="3">
        <f t="shared" si="15"/>
        <v>0</v>
      </c>
    </row>
    <row r="138" spans="1:36" x14ac:dyDescent="0.25">
      <c r="A138" s="3">
        <f t="shared" si="14"/>
        <v>10000000000000</v>
      </c>
      <c r="B138" s="107">
        <f>'Mastercurve bestimmen'!B45</f>
        <v>1.2256263724997528E-4</v>
      </c>
      <c r="C138" s="18">
        <f t="shared" si="9"/>
        <v>1.2901117231804357E-4</v>
      </c>
      <c r="D138" s="17"/>
      <c r="E138" s="11"/>
      <c r="F138" s="3">
        <f t="shared" si="11"/>
        <v>1.2901117231804357E-4</v>
      </c>
      <c r="G138" s="3">
        <f t="shared" si="15"/>
        <v>1.2901117231804357E-4</v>
      </c>
      <c r="H138" s="3">
        <f t="shared" si="15"/>
        <v>1.2901117231804357E-4</v>
      </c>
      <c r="I138" s="3">
        <f t="shared" si="15"/>
        <v>1.2901117231804357E-4</v>
      </c>
      <c r="J138" s="3">
        <f t="shared" si="15"/>
        <v>1.2901117231804357E-4</v>
      </c>
      <c r="K138" s="3">
        <f t="shared" si="15"/>
        <v>1.2901117231804357E-4</v>
      </c>
      <c r="L138" s="3">
        <f t="shared" si="15"/>
        <v>1.2901117231804357E-4</v>
      </c>
      <c r="M138" s="3">
        <f t="shared" si="15"/>
        <v>1.2901117231804357E-4</v>
      </c>
      <c r="N138" s="3">
        <f t="shared" si="15"/>
        <v>1.2901117231804357E-4</v>
      </c>
      <c r="O138" s="3">
        <f t="shared" si="15"/>
        <v>1.2901117231804357E-4</v>
      </c>
      <c r="P138" s="3">
        <f t="shared" si="15"/>
        <v>1.2901117231804357E-4</v>
      </c>
      <c r="Q138" s="3">
        <f t="shared" si="15"/>
        <v>1.2901117231804357E-4</v>
      </c>
      <c r="R138" s="3">
        <f t="shared" si="15"/>
        <v>1.2901117231804354E-4</v>
      </c>
      <c r="S138" s="3">
        <f t="shared" si="15"/>
        <v>1.2901117231804344E-4</v>
      </c>
      <c r="T138" s="3">
        <f t="shared" si="15"/>
        <v>1.2901117231804227E-4</v>
      </c>
      <c r="U138" s="3">
        <f t="shared" si="15"/>
        <v>1.2901117231803067E-4</v>
      </c>
      <c r="V138" s="3">
        <f t="shared" si="15"/>
        <v>1.2901117231791455E-4</v>
      </c>
      <c r="W138" s="3">
        <f t="shared" si="15"/>
        <v>1.2901117231675345E-4</v>
      </c>
      <c r="X138" s="3">
        <f t="shared" si="15"/>
        <v>1.2901117230514246E-4</v>
      </c>
      <c r="Y138" s="3">
        <f t="shared" si="15"/>
        <v>1.290111721890324E-4</v>
      </c>
      <c r="Z138" s="3">
        <f t="shared" si="15"/>
        <v>1.2901117102793186E-4</v>
      </c>
      <c r="AA138" s="3">
        <f t="shared" si="15"/>
        <v>1.2901115941692698E-4</v>
      </c>
      <c r="AB138" s="3">
        <f t="shared" si="15"/>
        <v>1.2901104330693576E-4</v>
      </c>
      <c r="AC138" s="3">
        <f t="shared" si="15"/>
        <v>1.2900988221277093E-4</v>
      </c>
      <c r="AD138" s="3">
        <f t="shared" si="15"/>
        <v>1.2899827184584611E-4</v>
      </c>
      <c r="AE138" s="3">
        <f t="shared" si="15"/>
        <v>1.2888222562981521E-4</v>
      </c>
      <c r="AF138" s="3">
        <f t="shared" si="15"/>
        <v>1.2772748970526433E-4</v>
      </c>
      <c r="AG138" s="3">
        <f t="shared" si="15"/>
        <v>1.167341360580508E-4</v>
      </c>
      <c r="AH138" s="3">
        <f t="shared" si="15"/>
        <v>4.7460557977234522E-5</v>
      </c>
      <c r="AI138" s="3">
        <f t="shared" si="15"/>
        <v>5.8570981618150084E-9</v>
      </c>
      <c r="AJ138" s="3">
        <f t="shared" si="15"/>
        <v>4.799313627786382E-48</v>
      </c>
    </row>
    <row r="139" spans="1:36" x14ac:dyDescent="0.25">
      <c r="A139" s="3">
        <f t="shared" si="14"/>
        <v>100000000000000</v>
      </c>
      <c r="B139" s="107">
        <f>'Mastercurve bestimmen'!B46</f>
        <v>0</v>
      </c>
      <c r="C139" s="18">
        <f t="shared" si="9"/>
        <v>0</v>
      </c>
      <c r="D139" s="17"/>
      <c r="E139" s="11"/>
      <c r="F139" s="3">
        <f t="shared" si="11"/>
        <v>0</v>
      </c>
      <c r="G139" s="3">
        <f t="shared" si="15"/>
        <v>0</v>
      </c>
      <c r="H139" s="3">
        <f t="shared" si="15"/>
        <v>0</v>
      </c>
      <c r="I139" s="3">
        <f t="shared" si="15"/>
        <v>0</v>
      </c>
      <c r="J139" s="3">
        <f t="shared" si="15"/>
        <v>0</v>
      </c>
      <c r="K139" s="3">
        <f t="shared" si="15"/>
        <v>0</v>
      </c>
      <c r="L139" s="3">
        <f t="shared" si="15"/>
        <v>0</v>
      </c>
      <c r="M139" s="3">
        <f t="shared" si="15"/>
        <v>0</v>
      </c>
      <c r="N139" s="3">
        <f t="shared" si="15"/>
        <v>0</v>
      </c>
      <c r="O139" s="3">
        <f t="shared" si="15"/>
        <v>0</v>
      </c>
      <c r="P139" s="3">
        <f t="shared" si="15"/>
        <v>0</v>
      </c>
      <c r="Q139" s="3">
        <f t="shared" si="15"/>
        <v>0</v>
      </c>
      <c r="R139" s="3">
        <f t="shared" si="15"/>
        <v>0</v>
      </c>
      <c r="S139" s="3">
        <f t="shared" si="15"/>
        <v>0</v>
      </c>
      <c r="T139" s="3">
        <f t="shared" si="15"/>
        <v>0</v>
      </c>
      <c r="U139" s="3">
        <f t="shared" si="15"/>
        <v>0</v>
      </c>
      <c r="V139" s="3">
        <f t="shared" si="15"/>
        <v>0</v>
      </c>
      <c r="W139" s="3">
        <f t="shared" si="15"/>
        <v>0</v>
      </c>
      <c r="X139" s="3">
        <f t="shared" si="15"/>
        <v>0</v>
      </c>
      <c r="Y139" s="3">
        <f t="shared" si="15"/>
        <v>0</v>
      </c>
      <c r="Z139" s="3">
        <f t="shared" si="15"/>
        <v>0</v>
      </c>
      <c r="AA139" s="3">
        <f t="shared" si="15"/>
        <v>0</v>
      </c>
      <c r="AB139" s="3">
        <f t="shared" si="15"/>
        <v>0</v>
      </c>
      <c r="AC139" s="3">
        <f t="shared" si="15"/>
        <v>0</v>
      </c>
      <c r="AD139" s="3">
        <f t="shared" si="15"/>
        <v>0</v>
      </c>
      <c r="AE139" s="3">
        <f t="shared" si="15"/>
        <v>0</v>
      </c>
      <c r="AF139" s="3">
        <f t="shared" si="15"/>
        <v>0</v>
      </c>
      <c r="AG139" s="3">
        <f t="shared" si="15"/>
        <v>0</v>
      </c>
      <c r="AH139" s="3">
        <f t="shared" si="15"/>
        <v>0</v>
      </c>
      <c r="AI139" s="3">
        <f t="shared" si="15"/>
        <v>0</v>
      </c>
      <c r="AJ139" s="3">
        <f t="shared" si="15"/>
        <v>0</v>
      </c>
    </row>
    <row r="140" spans="1:36" x14ac:dyDescent="0.25">
      <c r="A140" s="3">
        <f t="shared" si="14"/>
        <v>1000000000000000</v>
      </c>
      <c r="B140" s="107">
        <f>'Mastercurve bestimmen'!B47</f>
        <v>6.98343212194252E-5</v>
      </c>
      <c r="C140" s="18">
        <f t="shared" si="9"/>
        <v>7.3508598139721321E-5</v>
      </c>
      <c r="D140" s="17"/>
      <c r="E140" s="11"/>
      <c r="F140" s="3">
        <f t="shared" si="11"/>
        <v>7.3508598139721321E-5</v>
      </c>
      <c r="G140" s="3">
        <f t="shared" si="15"/>
        <v>7.3508598139721321E-5</v>
      </c>
      <c r="H140" s="3">
        <f t="shared" si="15"/>
        <v>7.3508598139721321E-5</v>
      </c>
      <c r="I140" s="3">
        <f t="shared" si="15"/>
        <v>7.3508598139721321E-5</v>
      </c>
      <c r="J140" s="3">
        <f t="shared" si="15"/>
        <v>7.3508598139721321E-5</v>
      </c>
      <c r="K140" s="3">
        <f t="shared" si="15"/>
        <v>7.3508598139721321E-5</v>
      </c>
      <c r="L140" s="3">
        <f t="shared" si="15"/>
        <v>7.3508598139721321E-5</v>
      </c>
      <c r="M140" s="3">
        <f t="shared" si="15"/>
        <v>7.3508598139721321E-5</v>
      </c>
      <c r="N140" s="3">
        <f t="shared" si="15"/>
        <v>7.3508598139721321E-5</v>
      </c>
      <c r="O140" s="3">
        <f t="shared" si="15"/>
        <v>7.3508598139721321E-5</v>
      </c>
      <c r="P140" s="3">
        <f t="shared" si="15"/>
        <v>7.3508598139721321E-5</v>
      </c>
      <c r="Q140" s="3">
        <f t="shared" si="15"/>
        <v>7.3508598139721321E-5</v>
      </c>
      <c r="R140" s="3">
        <f t="shared" si="15"/>
        <v>7.3508598139721321E-5</v>
      </c>
      <c r="S140" s="3">
        <f t="shared" si="15"/>
        <v>7.3508598139721321E-5</v>
      </c>
      <c r="T140" s="3">
        <f t="shared" si="15"/>
        <v>7.3508598139721308E-5</v>
      </c>
      <c r="U140" s="3">
        <f t="shared" si="15"/>
        <v>7.3508598139721253E-5</v>
      </c>
      <c r="V140" s="3">
        <f t="shared" si="15"/>
        <v>7.3508598139720589E-5</v>
      </c>
      <c r="W140" s="3">
        <f t="shared" si="15"/>
        <v>7.3508598139713962E-5</v>
      </c>
      <c r="X140" s="3">
        <f t="shared" si="15"/>
        <v>7.3508598139647812E-5</v>
      </c>
      <c r="Y140" s="3">
        <f t="shared" si="15"/>
        <v>7.3508598138986232E-5</v>
      </c>
      <c r="Z140" s="3">
        <f t="shared" si="15"/>
        <v>7.3508598132370457E-5</v>
      </c>
      <c r="AA140" s="3">
        <f t="shared" si="15"/>
        <v>7.3508598066212725E-5</v>
      </c>
      <c r="AB140" s="3">
        <f t="shared" si="15"/>
        <v>7.3508597404635338E-5</v>
      </c>
      <c r="AC140" s="3">
        <f t="shared" si="15"/>
        <v>7.3508590788861884E-5</v>
      </c>
      <c r="AD140" s="3">
        <f t="shared" si="15"/>
        <v>7.3508524631159941E-5</v>
      </c>
      <c r="AE140" s="3">
        <f t="shared" si="15"/>
        <v>7.3507863057415342E-5</v>
      </c>
      <c r="AF140" s="3">
        <f t="shared" si="15"/>
        <v>7.3501247647438092E-5</v>
      </c>
      <c r="AG140" s="3">
        <f t="shared" si="15"/>
        <v>7.3435126283632305E-5</v>
      </c>
      <c r="AH140" s="3">
        <f t="shared" si="15"/>
        <v>7.2777175367365497E-5</v>
      </c>
      <c r="AI140" s="3">
        <f t="shared" si="15"/>
        <v>6.6513330144188373E-5</v>
      </c>
      <c r="AJ140" s="3">
        <f t="shared" si="15"/>
        <v>2.7042302004936805E-5</v>
      </c>
    </row>
    <row r="141" spans="1:36" x14ac:dyDescent="0.25">
      <c r="A141" s="3">
        <f t="shared" si="14"/>
        <v>1E+16</v>
      </c>
      <c r="B141" s="107">
        <f>'Mastercurve bestimmen'!B48</f>
        <v>6.6096068327144489E-4</v>
      </c>
      <c r="C141" s="18">
        <f t="shared" si="9"/>
        <v>6.9573660063357843E-4</v>
      </c>
      <c r="D141" s="17"/>
      <c r="E141" s="11"/>
      <c r="F141" s="3">
        <f t="shared" si="11"/>
        <v>6.9573660063357843E-4</v>
      </c>
      <c r="G141" s="3">
        <f t="shared" si="15"/>
        <v>6.9573660063357843E-4</v>
      </c>
      <c r="H141" s="3">
        <f t="shared" si="15"/>
        <v>6.9573660063357843E-4</v>
      </c>
      <c r="I141" s="3">
        <f t="shared" si="15"/>
        <v>6.9573660063357843E-4</v>
      </c>
      <c r="J141" s="3">
        <f t="shared" si="15"/>
        <v>6.9573660063357843E-4</v>
      </c>
      <c r="K141" s="3">
        <f t="shared" si="15"/>
        <v>6.9573660063357843E-4</v>
      </c>
      <c r="L141" s="3">
        <f t="shared" si="15"/>
        <v>6.9573660063357843E-4</v>
      </c>
      <c r="M141" s="3">
        <f t="shared" si="15"/>
        <v>6.9573660063357843E-4</v>
      </c>
      <c r="N141" s="3">
        <f t="shared" si="15"/>
        <v>6.9573660063357843E-4</v>
      </c>
      <c r="O141" s="3">
        <f t="shared" si="15"/>
        <v>6.9573660063357843E-4</v>
      </c>
      <c r="P141" s="3">
        <f t="shared" si="15"/>
        <v>6.9573660063357843E-4</v>
      </c>
      <c r="Q141" s="3">
        <f t="shared" si="15"/>
        <v>6.9573660063357843E-4</v>
      </c>
      <c r="R141" s="3">
        <f t="shared" si="15"/>
        <v>6.9573660063357843E-4</v>
      </c>
      <c r="S141" s="3">
        <f t="shared" si="15"/>
        <v>6.9573660063357843E-4</v>
      </c>
      <c r="T141" s="3">
        <f t="shared" si="15"/>
        <v>6.9573660063357843E-4</v>
      </c>
      <c r="U141" s="3">
        <f t="shared" si="15"/>
        <v>6.9573660063357832E-4</v>
      </c>
      <c r="V141" s="3">
        <f t="shared" si="15"/>
        <v>6.9573660063357778E-4</v>
      </c>
      <c r="W141" s="3">
        <f t="shared" si="15"/>
        <v>6.9573660063357149E-4</v>
      </c>
      <c r="X141" s="3">
        <f t="shared" si="15"/>
        <v>6.9573660063350883E-4</v>
      </c>
      <c r="Y141" s="3">
        <f t="shared" si="15"/>
        <v>6.957366006328827E-4</v>
      </c>
      <c r="Z141" s="3">
        <f t="shared" si="15"/>
        <v>6.9573660062662111E-4</v>
      </c>
      <c r="AA141" s="3">
        <f t="shared" si="15"/>
        <v>6.9573660056400474E-4</v>
      </c>
      <c r="AB141" s="3">
        <f t="shared" si="15"/>
        <v>6.9573659993784189E-4</v>
      </c>
      <c r="AC141" s="3">
        <f t="shared" si="15"/>
        <v>6.9573659367621243E-4</v>
      </c>
      <c r="AD141" s="3">
        <f t="shared" si="15"/>
        <v>6.9573653105992192E-4</v>
      </c>
      <c r="AE141" s="3">
        <f t="shared" si="15"/>
        <v>6.9573590489732564E-4</v>
      </c>
      <c r="AF141" s="3">
        <f t="shared" si="15"/>
        <v>6.9572964330235883E-4</v>
      </c>
      <c r="AG141" s="3">
        <f t="shared" si="15"/>
        <v>6.9566703045208212E-4</v>
      </c>
      <c r="AH141" s="3">
        <f t="shared" si="15"/>
        <v>6.950412117853181E-4</v>
      </c>
      <c r="AI141" s="3">
        <f t="shared" si="15"/>
        <v>6.8881390579048573E-4</v>
      </c>
      <c r="AJ141" s="3">
        <f t="shared" si="15"/>
        <v>6.2952850935040264E-4</v>
      </c>
    </row>
    <row r="142" spans="1:36" x14ac:dyDescent="0.25">
      <c r="A142" s="11"/>
      <c r="B142" s="123">
        <f>SUM(B110:B141)</f>
        <v>0.95001568505887923</v>
      </c>
      <c r="C142" s="18">
        <f>SUM(C110:C141)</f>
        <v>1</v>
      </c>
      <c r="D142" s="11"/>
      <c r="E142" s="11"/>
      <c r="F142" s="3">
        <f t="shared" ref="F142:AJ142" si="16">F109-F110</f>
        <v>206.08112385257664</v>
      </c>
      <c r="G142" s="3">
        <f t="shared" si="16"/>
        <v>206.08880109893471</v>
      </c>
      <c r="H142" s="3">
        <f t="shared" si="16"/>
        <v>206.16942152805859</v>
      </c>
      <c r="I142" s="3">
        <f t="shared" si="16"/>
        <v>173.89495110809912</v>
      </c>
      <c r="J142" s="3">
        <f t="shared" si="16"/>
        <v>155.83542481586755</v>
      </c>
      <c r="K142" s="3">
        <f t="shared" si="16"/>
        <v>200.95603562762062</v>
      </c>
      <c r="L142" s="3">
        <f t="shared" si="16"/>
        <v>336.77339143715653</v>
      </c>
      <c r="M142" s="3">
        <f t="shared" si="16"/>
        <v>424.1351087366038</v>
      </c>
      <c r="N142" s="3">
        <f t="shared" si="16"/>
        <v>481.47512545641803</v>
      </c>
      <c r="O142" s="3">
        <f t="shared" si="16"/>
        <v>537.15599184336861</v>
      </c>
      <c r="P142" s="3">
        <f t="shared" si="16"/>
        <v>441.55549659598182</v>
      </c>
      <c r="Q142" s="3">
        <f t="shared" si="16"/>
        <v>368.3734576629322</v>
      </c>
      <c r="R142" s="3">
        <f t="shared" si="16"/>
        <v>194.83034551404216</v>
      </c>
      <c r="S142" s="3">
        <f t="shared" si="16"/>
        <v>33.571073420152061</v>
      </c>
      <c r="T142" s="3">
        <f t="shared" si="16"/>
        <v>-11.851879204833494</v>
      </c>
      <c r="U142" s="3">
        <f t="shared" si="16"/>
        <v>-282.73421151222283</v>
      </c>
      <c r="V142" s="3">
        <f t="shared" si="16"/>
        <v>-371.82331684822793</v>
      </c>
      <c r="W142" s="3">
        <f t="shared" si="16"/>
        <v>-0.19974969951954336</v>
      </c>
      <c r="X142" s="3">
        <f t="shared" si="16"/>
        <v>0.10351201987214154</v>
      </c>
      <c r="Y142" s="3">
        <f t="shared" si="16"/>
        <v>151.4889084576655</v>
      </c>
      <c r="Z142" s="3">
        <f t="shared" si="16"/>
        <v>147.70441922021632</v>
      </c>
      <c r="AA142" s="3">
        <f t="shared" si="16"/>
        <v>158.54362318025954</v>
      </c>
      <c r="AB142" s="3">
        <f t="shared" si="16"/>
        <v>92.789605476201132</v>
      </c>
      <c r="AC142" s="3">
        <f t="shared" si="16"/>
        <v>101.38444389910563</v>
      </c>
      <c r="AD142" s="3">
        <f t="shared" si="16"/>
        <v>103.44489356450842</v>
      </c>
      <c r="AE142" s="3">
        <f t="shared" si="16"/>
        <v>92.797486189679248</v>
      </c>
      <c r="AF142" s="3">
        <f t="shared" si="16"/>
        <v>80.367652461036741</v>
      </c>
      <c r="AG142" s="3">
        <f t="shared" si="16"/>
        <v>57.161752458362812</v>
      </c>
      <c r="AH142" s="3">
        <f t="shared" si="16"/>
        <v>35.832910832577284</v>
      </c>
      <c r="AI142" s="3">
        <f t="shared" si="16"/>
        <v>28.159533810768508</v>
      </c>
      <c r="AJ142" s="3">
        <f t="shared" si="16"/>
        <v>28.883558399034982</v>
      </c>
    </row>
    <row r="143" spans="1:36" x14ac:dyDescent="0.25">
      <c r="A143" s="11"/>
      <c r="B143" s="11"/>
      <c r="C143" s="11"/>
      <c r="D143" s="11"/>
      <c r="E143" s="11"/>
      <c r="F143" s="57">
        <f t="shared" ref="F143:AJ143" si="17">F142/F110</f>
        <v>2.8489235000248959E-2</v>
      </c>
      <c r="G143" s="57">
        <f t="shared" si="17"/>
        <v>2.8490326561880792E-2</v>
      </c>
      <c r="H143" s="57">
        <f t="shared" si="17"/>
        <v>2.8501774079006819E-2</v>
      </c>
      <c r="I143" s="57">
        <f t="shared" si="17"/>
        <v>2.4042542842930056E-2</v>
      </c>
      <c r="J143" s="57">
        <f t="shared" si="17"/>
        <v>2.1567066646025264E-2</v>
      </c>
      <c r="K143" s="57">
        <f t="shared" si="17"/>
        <v>2.7987201253610611E-2</v>
      </c>
      <c r="L143" s="57">
        <f t="shared" si="17"/>
        <v>4.781937773040678E-2</v>
      </c>
      <c r="M143" s="57">
        <f t="shared" si="17"/>
        <v>6.1498057194480496E-2</v>
      </c>
      <c r="N143" s="57">
        <f t="shared" si="17"/>
        <v>7.1560812635856771E-2</v>
      </c>
      <c r="O143" s="57">
        <f t="shared" si="17"/>
        <v>8.2348176486192734E-2</v>
      </c>
      <c r="P143" s="57">
        <f t="shared" si="17"/>
        <v>6.9829307702981014E-2</v>
      </c>
      <c r="Q143" s="57">
        <f t="shared" si="17"/>
        <v>6.0773125910776556E-2</v>
      </c>
      <c r="R143" s="57">
        <f t="shared" si="17"/>
        <v>3.3730940954216165E-2</v>
      </c>
      <c r="S143" s="57">
        <f t="shared" si="17"/>
        <v>6.1076705910422628E-3</v>
      </c>
      <c r="T143" s="57">
        <f t="shared" si="17"/>
        <v>-2.2845222208050975E-3</v>
      </c>
      <c r="U143" s="57">
        <f t="shared" si="17"/>
        <v>-5.8335355570912406E-2</v>
      </c>
      <c r="V143" s="57">
        <f t="shared" si="17"/>
        <v>-8.6326247841360421E-2</v>
      </c>
      <c r="W143" s="57">
        <f t="shared" si="17"/>
        <v>-5.8330606080660979E-5</v>
      </c>
      <c r="X143" s="57">
        <f t="shared" si="17"/>
        <v>4.2120397342059798E-5</v>
      </c>
      <c r="Y143" s="57">
        <f t="shared" si="17"/>
        <v>9.4035128623512584E-2</v>
      </c>
      <c r="Z143" s="57">
        <f t="shared" si="17"/>
        <v>0.15668609511880219</v>
      </c>
      <c r="AA143" s="57">
        <f t="shared" si="17"/>
        <v>0.31067034147213846</v>
      </c>
      <c r="AB143" s="57">
        <f t="shared" si="17"/>
        <v>0.34192241971095438</v>
      </c>
      <c r="AC143" s="57">
        <f t="shared" si="17"/>
        <v>0.66510889725241873</v>
      </c>
      <c r="AD143" s="57">
        <f t="shared" si="17"/>
        <v>0.90328550311948996</v>
      </c>
      <c r="AE143" s="57">
        <f t="shared" si="17"/>
        <v>0.91858875563716924</v>
      </c>
      <c r="AF143" s="57">
        <f t="shared" si="17"/>
        <v>0.86265467687021757</v>
      </c>
      <c r="AG143" s="57">
        <f t="shared" si="17"/>
        <v>0.61835867368269559</v>
      </c>
      <c r="AH143" s="57">
        <f t="shared" si="17"/>
        <v>0.39167773703406794</v>
      </c>
      <c r="AI143" s="57">
        <f t="shared" si="17"/>
        <v>0.30928846746719663</v>
      </c>
      <c r="AJ143" s="57">
        <f t="shared" si="17"/>
        <v>0.31978375545126342</v>
      </c>
    </row>
    <row r="144" spans="1:36" x14ac:dyDescent="0.25">
      <c r="A144" s="13" t="s">
        <v>21</v>
      </c>
      <c r="B144" s="3">
        <f>STUTT!D8</f>
        <v>7330.9827999999998</v>
      </c>
      <c r="C144" s="11"/>
      <c r="D144" s="11"/>
      <c r="E144" s="11" t="s">
        <v>24</v>
      </c>
      <c r="F144" s="20">
        <f t="shared" ref="F144:AJ144" si="18">(F109-F110)^2</f>
        <v>42469.42960834103</v>
      </c>
      <c r="G144" s="20">
        <f t="shared" si="18"/>
        <v>42472.593938396276</v>
      </c>
      <c r="H144" s="20">
        <f t="shared" si="18"/>
        <v>42505.83037321431</v>
      </c>
      <c r="I144" s="20">
        <f t="shared" si="18"/>
        <v>30239.454020888184</v>
      </c>
      <c r="J144" s="20">
        <f t="shared" si="18"/>
        <v>24284.679627541911</v>
      </c>
      <c r="K144" s="20">
        <f t="shared" si="18"/>
        <v>40383.32825516953</v>
      </c>
      <c r="L144" s="20">
        <f t="shared" si="18"/>
        <v>113416.31718008425</v>
      </c>
      <c r="M144" s="20">
        <f t="shared" si="18"/>
        <v>179890.59046301074</v>
      </c>
      <c r="N144" s="20">
        <f t="shared" si="18"/>
        <v>231818.29643327347</v>
      </c>
      <c r="O144" s="20">
        <f t="shared" si="18"/>
        <v>288536.55957323307</v>
      </c>
      <c r="P144" s="20">
        <f t="shared" si="18"/>
        <v>194971.25657412413</v>
      </c>
      <c r="Q144" s="20">
        <f t="shared" si="18"/>
        <v>135699.00431054409</v>
      </c>
      <c r="R144" s="20">
        <f t="shared" si="18"/>
        <v>37958.863533121053</v>
      </c>
      <c r="S144" s="20">
        <f t="shared" si="18"/>
        <v>1127.0169705812402</v>
      </c>
      <c r="T144" s="20">
        <f t="shared" si="18"/>
        <v>140.46704068596463</v>
      </c>
      <c r="U144" s="20">
        <f t="shared" si="18"/>
        <v>79938.634359438351</v>
      </c>
      <c r="V144" s="20">
        <f t="shared" si="18"/>
        <v>138252.57895201771</v>
      </c>
      <c r="W144" s="20">
        <f t="shared" si="18"/>
        <v>3.9899942458147861E-2</v>
      </c>
      <c r="X144" s="20">
        <f t="shared" si="18"/>
        <v>1.0714738258010625E-2</v>
      </c>
      <c r="Y144" s="20">
        <f t="shared" si="18"/>
        <v>22948.889385694958</v>
      </c>
      <c r="Z144" s="20">
        <f t="shared" si="18"/>
        <v>21816.595457181411</v>
      </c>
      <c r="AA144" s="20">
        <f t="shared" si="18"/>
        <v>25136.080451124133</v>
      </c>
      <c r="AB144" s="20">
        <f t="shared" si="18"/>
        <v>8609.9108844290549</v>
      </c>
      <c r="AC144" s="20">
        <f t="shared" si="18"/>
        <v>10278.805464730898</v>
      </c>
      <c r="AD144" s="20">
        <f t="shared" si="18"/>
        <v>10700.846004572475</v>
      </c>
      <c r="AE144" s="20">
        <f t="shared" si="18"/>
        <v>8611.3734431237099</v>
      </c>
      <c r="AF144" s="20">
        <f t="shared" si="18"/>
        <v>6458.9595620979853</v>
      </c>
      <c r="AG144" s="20">
        <f t="shared" si="18"/>
        <v>3267.4659441111471</v>
      </c>
      <c r="AH144" s="20">
        <f t="shared" si="18"/>
        <v>1283.9974987354344</v>
      </c>
      <c r="AI144" s="20">
        <f t="shared" si="18"/>
        <v>792.9593444398148</v>
      </c>
      <c r="AJ144" s="20">
        <f t="shared" si="18"/>
        <v>834.25994579046426</v>
      </c>
    </row>
    <row r="145" spans="1:36" x14ac:dyDescent="0.25">
      <c r="A145" s="13"/>
      <c r="B145" s="11"/>
      <c r="C145" s="11"/>
      <c r="D145" s="11"/>
      <c r="E145" s="11"/>
      <c r="F145" s="11"/>
      <c r="G145" s="11"/>
      <c r="H145" s="11"/>
      <c r="I145" s="11"/>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row>
    <row r="146" spans="1:36" x14ac:dyDescent="0.25">
      <c r="A146" s="11"/>
      <c r="B146" s="11"/>
      <c r="C146" s="11"/>
      <c r="D146" s="11"/>
      <c r="E146" s="131" t="s">
        <v>25</v>
      </c>
      <c r="F146" s="131"/>
      <c r="G146" s="104">
        <f>SUM(F144:AJ144)</f>
        <v>1744845.0952143769</v>
      </c>
      <c r="H146" s="11"/>
      <c r="I146" s="3">
        <f>G146+C216</f>
        <v>1744845.0952143769</v>
      </c>
      <c r="J146" s="11"/>
      <c r="K146" s="3">
        <f>SUM(Z144:AJ144)</f>
        <v>97791.254000336528</v>
      </c>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row>
    <row r="147" spans="1:36" x14ac:dyDescent="0.25">
      <c r="A147" s="11"/>
      <c r="B147" s="11"/>
      <c r="C147" s="11"/>
      <c r="D147" s="11"/>
      <c r="E147" s="11"/>
      <c r="F147" s="11"/>
      <c r="G147" s="11"/>
      <c r="H147" s="11"/>
      <c r="I147" s="11"/>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row>
    <row r="148" spans="1:36" x14ac:dyDescent="0.25">
      <c r="A148" s="11"/>
      <c r="B148" s="11"/>
      <c r="C148" s="11"/>
      <c r="D148" s="11"/>
      <c r="E148" s="30" t="s">
        <v>30</v>
      </c>
      <c r="F148" s="31">
        <f t="shared" ref="F148:AJ148" si="19">ABS(F110-F109)/F109</f>
        <v>2.7700080886351779E-2</v>
      </c>
      <c r="G148" s="31">
        <f t="shared" si="19"/>
        <v>2.7701112811746632E-2</v>
      </c>
      <c r="H148" s="31">
        <f t="shared" si="19"/>
        <v>2.7711934774764312E-2</v>
      </c>
      <c r="I148" s="31">
        <f t="shared" si="19"/>
        <v>2.3478070331124666E-2</v>
      </c>
      <c r="J148" s="31">
        <f t="shared" si="19"/>
        <v>2.111174816630839E-2</v>
      </c>
      <c r="K148" s="31">
        <f t="shared" si="19"/>
        <v>2.7225242901352038E-2</v>
      </c>
      <c r="L148" s="31">
        <f t="shared" si="19"/>
        <v>4.5637042744890159E-2</v>
      </c>
      <c r="M148" s="31">
        <f t="shared" si="19"/>
        <v>5.7935157561209968E-2</v>
      </c>
      <c r="N148" s="31">
        <f t="shared" si="19"/>
        <v>6.6781849235256541E-2</v>
      </c>
      <c r="O148" s="31">
        <f t="shared" si="19"/>
        <v>7.6082889291256853E-2</v>
      </c>
      <c r="P148" s="31">
        <f t="shared" si="19"/>
        <v>6.5271447697493698E-2</v>
      </c>
      <c r="Q148" s="31">
        <f t="shared" si="19"/>
        <v>5.729135139862912E-2</v>
      </c>
      <c r="R148" s="31">
        <f t="shared" si="19"/>
        <v>3.263029055034361E-2</v>
      </c>
      <c r="S148" s="31">
        <f t="shared" si="19"/>
        <v>6.0705934062248879E-3</v>
      </c>
      <c r="T148" s="31">
        <f t="shared" si="19"/>
        <v>2.2897532129001279E-3</v>
      </c>
      <c r="U148" s="31">
        <f t="shared" si="19"/>
        <v>6.1949183200225133E-2</v>
      </c>
      <c r="V148" s="31">
        <f t="shared" si="19"/>
        <v>9.4482573935616085E-2</v>
      </c>
      <c r="W148" s="31">
        <f t="shared" si="19"/>
        <v>5.8334008738745825E-5</v>
      </c>
      <c r="X148" s="31">
        <f t="shared" si="19"/>
        <v>4.2118623288911368E-5</v>
      </c>
      <c r="Y148" s="31">
        <f t="shared" si="19"/>
        <v>8.5952567850198031E-2</v>
      </c>
      <c r="Z148" s="31">
        <f t="shared" si="19"/>
        <v>0.13546120747886151</v>
      </c>
      <c r="AA148" s="31">
        <f t="shared" si="19"/>
        <v>0.23703164071233584</v>
      </c>
      <c r="AB148" s="31">
        <f t="shared" si="19"/>
        <v>0.2548004375577862</v>
      </c>
      <c r="AC148" s="31">
        <f t="shared" si="19"/>
        <v>0.39943867836506608</v>
      </c>
      <c r="AD148" s="31">
        <f t="shared" si="19"/>
        <v>0.47459275113429</v>
      </c>
      <c r="AE148" s="31">
        <f t="shared" si="19"/>
        <v>0.4787835605406241</v>
      </c>
      <c r="AF148" s="31">
        <f t="shared" si="19"/>
        <v>0.46313183414100112</v>
      </c>
      <c r="AG148" s="31">
        <f t="shared" si="19"/>
        <v>0.38209000497743456</v>
      </c>
      <c r="AH148" s="31">
        <f t="shared" si="19"/>
        <v>0.28144284169466438</v>
      </c>
      <c r="AI148" s="31">
        <f t="shared" si="19"/>
        <v>0.2362263742118737</v>
      </c>
      <c r="AJ148" s="31">
        <f t="shared" si="19"/>
        <v>0.24230011479564106</v>
      </c>
    </row>
    <row r="149" spans="1:36" x14ac:dyDescent="0.25">
      <c r="A149" s="11"/>
      <c r="B149" s="11"/>
      <c r="C149" s="11"/>
      <c r="D149" s="11"/>
      <c r="E149" s="13" t="s">
        <v>31</v>
      </c>
      <c r="F149" s="32">
        <f>AVERAGE(F148:AJ148)</f>
        <v>0.14170008994185479</v>
      </c>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row>
    <row r="150" spans="1:36" x14ac:dyDescent="0.25">
      <c r="A150" s="42"/>
      <c r="B150" s="15"/>
      <c r="C150" s="15"/>
      <c r="D150" s="15"/>
      <c r="E150" s="11"/>
      <c r="F150" s="60">
        <f>AVERAGE(S148:X148)</f>
        <v>2.7482092731165645E-2</v>
      </c>
      <c r="G150" s="29"/>
      <c r="H150" s="29"/>
      <c r="I150" s="29"/>
      <c r="J150" s="29"/>
      <c r="K150" s="29"/>
      <c r="L150" s="29"/>
      <c r="M150" s="29"/>
      <c r="N150" s="29"/>
      <c r="O150" s="29"/>
      <c r="P150" s="29"/>
      <c r="Q150" s="29"/>
      <c r="R150" s="29"/>
      <c r="S150" s="29"/>
      <c r="T150" s="29"/>
      <c r="U150" s="29"/>
      <c r="V150" s="29"/>
      <c r="W150" s="29"/>
      <c r="X150" s="29"/>
      <c r="Y150" s="29"/>
      <c r="Z150" s="29"/>
      <c r="AA150" s="29"/>
      <c r="AB150" s="29"/>
      <c r="AC150" s="29"/>
      <c r="AD150" s="29"/>
      <c r="AE150" s="29"/>
      <c r="AF150" s="29"/>
      <c r="AG150" s="29"/>
      <c r="AH150" s="29"/>
      <c r="AI150" s="29"/>
      <c r="AJ150" s="29"/>
    </row>
    <row r="151" spans="1:36" x14ac:dyDescent="0.25">
      <c r="A151" s="11"/>
      <c r="B151" s="11"/>
      <c r="C151" s="11"/>
      <c r="D151" s="11"/>
      <c r="E151" s="11"/>
      <c r="F151" s="57"/>
      <c r="G151" s="57"/>
      <c r="H151" s="57"/>
      <c r="I151" s="57"/>
      <c r="J151" s="57"/>
      <c r="K151" s="57"/>
      <c r="L151" s="57"/>
      <c r="M151" s="57"/>
      <c r="N151" s="57"/>
      <c r="O151" s="57"/>
      <c r="P151" s="57"/>
      <c r="Q151" s="57"/>
      <c r="R151" s="57"/>
      <c r="S151" s="57"/>
      <c r="T151" s="57"/>
      <c r="U151" s="57"/>
      <c r="V151" s="57"/>
      <c r="W151" s="57"/>
      <c r="X151" s="57"/>
      <c r="Y151" s="57"/>
      <c r="Z151" s="57"/>
      <c r="AA151" s="57"/>
      <c r="AB151" s="57"/>
      <c r="AC151" s="57"/>
      <c r="AD151" s="57"/>
      <c r="AE151" s="57"/>
      <c r="AF151" s="57"/>
      <c r="AG151" s="57"/>
      <c r="AH151" s="57"/>
      <c r="AI151" s="57"/>
      <c r="AJ151" s="57"/>
    </row>
    <row r="152" spans="1:36" x14ac:dyDescent="0.25">
      <c r="A152" s="11"/>
      <c r="B152" s="11"/>
      <c r="C152" s="11"/>
      <c r="D152" s="11"/>
      <c r="E152" s="11"/>
      <c r="F152" s="11"/>
      <c r="G152" s="11"/>
      <c r="H152" s="11"/>
      <c r="I152" s="11"/>
      <c r="J152" s="11"/>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row>
  </sheetData>
  <mergeCells count="2">
    <mergeCell ref="A108:C108"/>
    <mergeCell ref="E146:F146"/>
  </mergeCells>
  <pageMargins left="0.7" right="0.7" top="0.78740157499999996" bottom="0.78740157499999996"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-21.601432961392756</v>
      </c>
      <c r="M1" s="54">
        <v>1</v>
      </c>
      <c r="N1" s="56">
        <f>INDEX($H$217:$P$217,1,Q1)</f>
        <v>0.37473141014378614</v>
      </c>
      <c r="O1" s="11"/>
      <c r="P1" s="55">
        <v>1</v>
      </c>
      <c r="Q1" s="11">
        <v>2</v>
      </c>
    </row>
    <row r="2" spans="1:17" x14ac:dyDescent="0.25">
      <c r="A2" s="11">
        <f>'Mastercurve bestimmen'!M119</f>
        <v>0</v>
      </c>
      <c r="B2" s="11">
        <f>'Mastercurve bestimmen'!N119</f>
        <v>-17.60083092062002</v>
      </c>
      <c r="M2" s="54">
        <v>2</v>
      </c>
      <c r="N2" s="56">
        <f t="shared" ref="N2:N9" si="0">INDEX($H$217:$P$217,1,Q2)</f>
        <v>2.9545013602366669E-3</v>
      </c>
      <c r="O2" s="11"/>
      <c r="P2" s="55">
        <v>2</v>
      </c>
      <c r="Q2" s="11">
        <f>Q1+1</f>
        <v>3</v>
      </c>
    </row>
    <row r="3" spans="1:17" x14ac:dyDescent="0.25">
      <c r="A3" s="11">
        <f>'Mastercurve bestimmen'!M120</f>
        <v>25</v>
      </c>
      <c r="B3" s="11">
        <f>'Mastercurve bestimmen'!N120</f>
        <v>-13.983378315651946</v>
      </c>
      <c r="M3" s="54">
        <v>3</v>
      </c>
      <c r="N3" s="56">
        <f t="shared" si="0"/>
        <v>-8.8766629393353679E-6</v>
      </c>
      <c r="O3" s="11"/>
      <c r="P3" s="55">
        <v>3</v>
      </c>
      <c r="Q3" s="11">
        <f t="shared" ref="Q3:Q8" si="1">Q2+1</f>
        <v>4</v>
      </c>
    </row>
    <row r="4" spans="1:17" x14ac:dyDescent="0.25">
      <c r="A4" s="11">
        <f>'Mastercurve bestimmen'!M121</f>
        <v>50</v>
      </c>
      <c r="B4" s="11">
        <f>'Mastercurve bestimmen'!N121</f>
        <v>-8.5553694671339517</v>
      </c>
      <c r="M4" s="54">
        <v>4</v>
      </c>
      <c r="N4" s="56">
        <f t="shared" si="0"/>
        <v>-7.2631639098291619E-7</v>
      </c>
      <c r="O4" s="11"/>
      <c r="P4" s="55">
        <v>4</v>
      </c>
      <c r="Q4" s="11">
        <f t="shared" si="1"/>
        <v>5</v>
      </c>
    </row>
    <row r="5" spans="1:17" x14ac:dyDescent="0.25">
      <c r="A5" s="11">
        <f>'Mastercurve bestimmen'!M122</f>
        <v>80</v>
      </c>
      <c r="B5" s="11">
        <f>'Mastercurve bestimmen'!N122</f>
        <v>0</v>
      </c>
      <c r="M5" s="54">
        <v>5</v>
      </c>
      <c r="N5" s="56">
        <f t="shared" si="0"/>
        <v>-5.2908344461554078E-9</v>
      </c>
      <c r="O5" s="11"/>
      <c r="P5" s="55">
        <v>5</v>
      </c>
      <c r="Q5" s="11">
        <f t="shared" si="1"/>
        <v>6</v>
      </c>
    </row>
    <row r="6" spans="1:17" x14ac:dyDescent="0.25">
      <c r="A6" s="11">
        <f>'Mastercurve bestimmen'!M123</f>
        <v>125</v>
      </c>
      <c r="B6" s="11">
        <f>'Mastercurve bestimmen'!N123</f>
        <v>18.564414953206096</v>
      </c>
      <c r="M6" s="54">
        <v>6</v>
      </c>
      <c r="N6" s="56">
        <f t="shared" si="0"/>
        <v>4.0676572020837843E-11</v>
      </c>
      <c r="O6" s="11"/>
      <c r="P6" s="55">
        <v>6</v>
      </c>
      <c r="Q6" s="11">
        <f t="shared" si="1"/>
        <v>7</v>
      </c>
    </row>
    <row r="7" spans="1:17" x14ac:dyDescent="0.25">
      <c r="A7" s="11">
        <f>'Mastercurve bestimmen'!M124</f>
        <v>160</v>
      </c>
      <c r="B7" s="11">
        <f>'Mastercurve bestimmen'!N124</f>
        <v>22.63634100105423</v>
      </c>
      <c r="M7" s="54">
        <v>7</v>
      </c>
      <c r="N7" s="56">
        <f t="shared" si="0"/>
        <v>5.8870962139290244E-13</v>
      </c>
      <c r="O7" s="11"/>
      <c r="P7" s="55">
        <v>7</v>
      </c>
      <c r="Q7" s="11">
        <f t="shared" si="1"/>
        <v>8</v>
      </c>
    </row>
    <row r="8" spans="1:17" x14ac:dyDescent="0.25">
      <c r="A8" s="11"/>
      <c r="B8" s="11"/>
      <c r="M8" s="54">
        <v>8</v>
      </c>
      <c r="N8" s="56">
        <f t="shared" si="0"/>
        <v>1.7159357703370749E-15</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135</v>
      </c>
      <c r="H12">
        <v>8</v>
      </c>
      <c r="I12" t="s">
        <v>136</v>
      </c>
    </row>
    <row r="13" spans="1:17" x14ac:dyDescent="0.25">
      <c r="A13" s="11"/>
      <c r="B13" s="11"/>
    </row>
    <row r="14" spans="1:17" x14ac:dyDescent="0.25">
      <c r="A14" s="11" t="s">
        <v>132</v>
      </c>
      <c r="B14" s="11" t="s">
        <v>133</v>
      </c>
      <c r="E14" s="11" t="s">
        <v>132</v>
      </c>
      <c r="F14" s="11" t="s">
        <v>134</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-21.601432961392753</v>
      </c>
      <c r="E15" s="11">
        <f>A15-'Mastercurve bestimmen'!$B$2</f>
        <v>-120</v>
      </c>
      <c r="F15" s="11">
        <f>B15</f>
        <v>-21.601432961392753</v>
      </c>
      <c r="G15" s="11"/>
      <c r="H15" s="11">
        <f>IF($H$12&gt;=H$14,$E15^H$14,0)</f>
        <v>4.29981696E+16</v>
      </c>
      <c r="I15" s="11">
        <f t="shared" ref="I15:O30" si="3">IF($H$12&gt;=I$14,$E15^I$14,0)</f>
        <v>-358318080000000</v>
      </c>
      <c r="J15" s="11">
        <f t="shared" si="3"/>
        <v>2985984000000</v>
      </c>
      <c r="K15" s="11">
        <f t="shared" si="3"/>
        <v>-24883200000</v>
      </c>
      <c r="L15" s="11">
        <f t="shared" si="3"/>
        <v>207360000</v>
      </c>
      <c r="M15" s="11">
        <f t="shared" si="3"/>
        <v>-1728000</v>
      </c>
      <c r="N15" s="11">
        <f t="shared" si="3"/>
        <v>14400</v>
      </c>
      <c r="O15" s="11">
        <f t="shared" si="3"/>
        <v>-120</v>
      </c>
      <c r="P15" s="11">
        <v>0</v>
      </c>
    </row>
    <row r="16" spans="1:17" x14ac:dyDescent="0.25">
      <c r="A16" s="11">
        <f>A15+1</f>
        <v>-39</v>
      </c>
      <c r="B16" s="11">
        <v>-21.517031204258437</v>
      </c>
      <c r="E16" s="11">
        <f>A16-'Mastercurve bestimmen'!$B$2</f>
        <v>-119</v>
      </c>
      <c r="F16" s="11">
        <f t="shared" ref="F16:F79" si="4">B16</f>
        <v>-21.517031204258437</v>
      </c>
      <c r="G16" s="11"/>
      <c r="H16" s="11">
        <f t="shared" ref="H16:O47" si="5">IF($H$12&gt;=H$14,$E16^H$14,0)</f>
        <v>4.021385347163424E+16</v>
      </c>
      <c r="I16" s="11">
        <f t="shared" si="3"/>
        <v>-337931541778439</v>
      </c>
      <c r="J16" s="11">
        <f t="shared" si="3"/>
        <v>2839760855281</v>
      </c>
      <c r="K16" s="11">
        <f t="shared" si="3"/>
        <v>-23863536599</v>
      </c>
      <c r="L16" s="11">
        <f t="shared" si="3"/>
        <v>200533921</v>
      </c>
      <c r="M16" s="11">
        <f t="shared" si="3"/>
        <v>-1685159</v>
      </c>
      <c r="N16" s="11">
        <f t="shared" si="3"/>
        <v>14161</v>
      </c>
      <c r="O16" s="11">
        <f t="shared" si="3"/>
        <v>-119</v>
      </c>
      <c r="P16" s="11">
        <f>P15</f>
        <v>0</v>
      </c>
    </row>
    <row r="17" spans="1:16" x14ac:dyDescent="0.25">
      <c r="A17" s="11">
        <f t="shared" ref="A17:A80" si="6">A16+1</f>
        <v>-38</v>
      </c>
      <c r="B17" s="11">
        <v>-21.432570860655503</v>
      </c>
      <c r="E17" s="11">
        <f>A17-'Mastercurve bestimmen'!$B$2</f>
        <v>-118</v>
      </c>
      <c r="F17" s="11">
        <f t="shared" si="4"/>
        <v>-21.432570860655503</v>
      </c>
      <c r="G17" s="11"/>
      <c r="H17" s="11">
        <f t="shared" si="5"/>
        <v>3.7588592026706176E+16</v>
      </c>
      <c r="I17" s="11">
        <f t="shared" si="3"/>
        <v>-318547390056832</v>
      </c>
      <c r="J17" s="11">
        <f t="shared" si="3"/>
        <v>2699554153024</v>
      </c>
      <c r="K17" s="11">
        <f t="shared" si="3"/>
        <v>-22877577568</v>
      </c>
      <c r="L17" s="11">
        <f t="shared" si="3"/>
        <v>193877776</v>
      </c>
      <c r="M17" s="11">
        <f t="shared" si="3"/>
        <v>-1643032</v>
      </c>
      <c r="N17" s="11">
        <f t="shared" si="3"/>
        <v>13924</v>
      </c>
      <c r="O17" s="11">
        <f t="shared" si="3"/>
        <v>-118</v>
      </c>
      <c r="P17" s="11">
        <f t="shared" ref="P17:P80" si="7">P16</f>
        <v>0</v>
      </c>
    </row>
    <row r="18" spans="1:16" x14ac:dyDescent="0.25">
      <c r="A18" s="11">
        <f t="shared" si="6"/>
        <v>-37</v>
      </c>
      <c r="B18" s="11">
        <v>-21.347993344115352</v>
      </c>
      <c r="E18" s="11">
        <f>A18-'Mastercurve bestimmen'!$B$2</f>
        <v>-117</v>
      </c>
      <c r="F18" s="11">
        <f t="shared" si="4"/>
        <v>-21.347993344115352</v>
      </c>
      <c r="G18" s="11"/>
      <c r="H18" s="11">
        <f t="shared" si="5"/>
        <v>3.511453275801584E+16</v>
      </c>
      <c r="I18" s="11">
        <f t="shared" si="3"/>
        <v>-300124211606973</v>
      </c>
      <c r="J18" s="11">
        <f t="shared" si="3"/>
        <v>2565164201769</v>
      </c>
      <c r="K18" s="11">
        <f t="shared" si="3"/>
        <v>-21924480357</v>
      </c>
      <c r="L18" s="11">
        <f t="shared" si="3"/>
        <v>187388721</v>
      </c>
      <c r="M18" s="11">
        <f t="shared" si="3"/>
        <v>-1601613</v>
      </c>
      <c r="N18" s="11">
        <f t="shared" si="3"/>
        <v>13689</v>
      </c>
      <c r="O18" s="11">
        <f t="shared" si="3"/>
        <v>-117</v>
      </c>
      <c r="P18" s="11">
        <f t="shared" si="7"/>
        <v>0</v>
      </c>
    </row>
    <row r="19" spans="1:16" x14ac:dyDescent="0.25">
      <c r="A19" s="11">
        <f t="shared" si="6"/>
        <v>-36</v>
      </c>
      <c r="B19" s="11">
        <v>-21.26324006816936</v>
      </c>
      <c r="E19" s="11">
        <f>A19-'Mastercurve bestimmen'!$B$2</f>
        <v>-116</v>
      </c>
      <c r="F19" s="11">
        <f t="shared" si="4"/>
        <v>-21.26324006816936</v>
      </c>
      <c r="G19" s="11"/>
      <c r="H19" s="11">
        <f t="shared" si="5"/>
        <v>3.2784148919812096E+16</v>
      </c>
      <c r="I19" s="11">
        <f t="shared" si="3"/>
        <v>-282621973446656</v>
      </c>
      <c r="J19" s="11">
        <f t="shared" si="3"/>
        <v>2436396322816</v>
      </c>
      <c r="K19" s="11">
        <f t="shared" si="3"/>
        <v>-21003416576</v>
      </c>
      <c r="L19" s="11">
        <f t="shared" si="3"/>
        <v>181063936</v>
      </c>
      <c r="M19" s="11">
        <f t="shared" si="3"/>
        <v>-1560896</v>
      </c>
      <c r="N19" s="11">
        <f t="shared" si="3"/>
        <v>13456</v>
      </c>
      <c r="O19" s="11">
        <f t="shared" si="3"/>
        <v>-116</v>
      </c>
      <c r="P19" s="11">
        <f t="shared" si="7"/>
        <v>0</v>
      </c>
    </row>
    <row r="20" spans="1:16" x14ac:dyDescent="0.25">
      <c r="A20" s="11">
        <f t="shared" si="6"/>
        <v>-35</v>
      </c>
      <c r="B20" s="11">
        <v>-21.178252446348925</v>
      </c>
      <c r="E20" s="11">
        <f>A20-'Mastercurve bestimmen'!$B$2</f>
        <v>-115</v>
      </c>
      <c r="F20" s="11">
        <f t="shared" si="4"/>
        <v>-21.178252446348925</v>
      </c>
      <c r="G20" s="11"/>
      <c r="H20" s="11">
        <f t="shared" si="5"/>
        <v>3.0590228625390624E+16</v>
      </c>
      <c r="I20" s="11">
        <f t="shared" si="3"/>
        <v>-266001988046875</v>
      </c>
      <c r="J20" s="11">
        <f t="shared" si="3"/>
        <v>2313060765625</v>
      </c>
      <c r="K20" s="11">
        <f t="shared" si="3"/>
        <v>-20113571875</v>
      </c>
      <c r="L20" s="11">
        <f t="shared" si="3"/>
        <v>174900625</v>
      </c>
      <c r="M20" s="11">
        <f t="shared" si="3"/>
        <v>-1520875</v>
      </c>
      <c r="N20" s="11">
        <f t="shared" si="3"/>
        <v>13225</v>
      </c>
      <c r="O20" s="11">
        <f t="shared" si="3"/>
        <v>-115</v>
      </c>
      <c r="P20" s="11">
        <f t="shared" si="7"/>
        <v>0</v>
      </c>
    </row>
    <row r="21" spans="1:16" x14ac:dyDescent="0.25">
      <c r="A21" s="11">
        <f t="shared" si="6"/>
        <v>-34</v>
      </c>
      <c r="B21" s="11">
        <v>-21.092971892185428</v>
      </c>
      <c r="E21" s="11">
        <f>A21-'Mastercurve bestimmen'!$B$2</f>
        <v>-114</v>
      </c>
      <c r="F21" s="11">
        <f t="shared" si="4"/>
        <v>-21.092971892185428</v>
      </c>
      <c r="G21" s="11"/>
      <c r="H21" s="11">
        <f t="shared" si="5"/>
        <v>2.8525864220672256E+16</v>
      </c>
      <c r="I21" s="11">
        <f t="shared" si="3"/>
        <v>-250226879128704</v>
      </c>
      <c r="J21" s="11">
        <f t="shared" si="3"/>
        <v>2194972623936</v>
      </c>
      <c r="K21" s="11">
        <f t="shared" si="3"/>
        <v>-19254145824</v>
      </c>
      <c r="L21" s="11">
        <f t="shared" si="3"/>
        <v>168896016</v>
      </c>
      <c r="M21" s="11">
        <f t="shared" si="3"/>
        <v>-1481544</v>
      </c>
      <c r="N21" s="11">
        <f t="shared" si="3"/>
        <v>12996</v>
      </c>
      <c r="O21" s="11">
        <f t="shared" si="3"/>
        <v>-114</v>
      </c>
      <c r="P21" s="11">
        <f t="shared" si="7"/>
        <v>0</v>
      </c>
    </row>
    <row r="22" spans="1:16" x14ac:dyDescent="0.25">
      <c r="A22" s="11">
        <f t="shared" si="6"/>
        <v>-33</v>
      </c>
      <c r="B22">
        <v>-21.007339819210269</v>
      </c>
      <c r="E22" s="11">
        <f>A22-'Mastercurve bestimmen'!$B$2</f>
        <v>-113</v>
      </c>
      <c r="F22" s="11">
        <f t="shared" si="4"/>
        <v>-21.007339819210269</v>
      </c>
      <c r="G22" s="11"/>
      <c r="H22" s="11">
        <f t="shared" si="5"/>
        <v>2.658444192906432E+16</v>
      </c>
      <c r="I22" s="11">
        <f t="shared" si="3"/>
        <v>-235260548044817</v>
      </c>
      <c r="J22" s="11">
        <f t="shared" si="3"/>
        <v>2081951752609</v>
      </c>
      <c r="K22" s="11">
        <f t="shared" si="3"/>
        <v>-18424351793</v>
      </c>
      <c r="L22" s="11">
        <f t="shared" si="3"/>
        <v>163047361</v>
      </c>
      <c r="M22" s="11">
        <f t="shared" si="3"/>
        <v>-1442897</v>
      </c>
      <c r="N22" s="11">
        <f t="shared" si="3"/>
        <v>12769</v>
      </c>
      <c r="O22" s="11">
        <f t="shared" si="3"/>
        <v>-113</v>
      </c>
      <c r="P22" s="11">
        <f t="shared" si="7"/>
        <v>0</v>
      </c>
    </row>
    <row r="23" spans="1:16" x14ac:dyDescent="0.25">
      <c r="A23" s="11">
        <f t="shared" si="6"/>
        <v>-32</v>
      </c>
      <c r="B23">
        <v>-20.921297640954823</v>
      </c>
      <c r="E23" s="11">
        <f>A23-'Mastercurve bestimmen'!$B$2</f>
        <v>-112</v>
      </c>
      <c r="F23" s="11">
        <f t="shared" si="4"/>
        <v>-20.921297640954823</v>
      </c>
      <c r="G23" s="11"/>
      <c r="H23" s="11">
        <f t="shared" si="5"/>
        <v>2.4759631762948096E+16</v>
      </c>
      <c r="I23" s="11">
        <f t="shared" si="3"/>
        <v>-221068140740608</v>
      </c>
      <c r="J23" s="11">
        <f t="shared" si="3"/>
        <v>1973822685184</v>
      </c>
      <c r="K23" s="11">
        <f t="shared" si="3"/>
        <v>-17623416832</v>
      </c>
      <c r="L23" s="11">
        <f t="shared" si="3"/>
        <v>157351936</v>
      </c>
      <c r="M23" s="11">
        <f t="shared" si="3"/>
        <v>-1404928</v>
      </c>
      <c r="N23" s="11">
        <f t="shared" si="3"/>
        <v>12544</v>
      </c>
      <c r="O23" s="11">
        <f t="shared" si="3"/>
        <v>-112</v>
      </c>
      <c r="P23" s="11">
        <f t="shared" si="7"/>
        <v>0</v>
      </c>
    </row>
    <row r="24" spans="1:16" x14ac:dyDescent="0.25">
      <c r="A24" s="11">
        <f t="shared" si="6"/>
        <v>-31</v>
      </c>
      <c r="B24">
        <v>-20.834786770950483</v>
      </c>
      <c r="E24" s="11">
        <f>A24-'Mastercurve bestimmen'!$B$2</f>
        <v>-111</v>
      </c>
      <c r="F24" s="11">
        <f t="shared" si="4"/>
        <v>-20.834786770950483</v>
      </c>
      <c r="G24" s="11"/>
      <c r="H24" s="11">
        <f t="shared" si="5"/>
        <v>2.304537769717568E+16</v>
      </c>
      <c r="I24" s="11">
        <f t="shared" si="3"/>
        <v>-207616015289871</v>
      </c>
      <c r="J24" s="11">
        <f t="shared" si="3"/>
        <v>1870414552161</v>
      </c>
      <c r="K24" s="11">
        <f t="shared" si="3"/>
        <v>-16850581551</v>
      </c>
      <c r="L24" s="11">
        <f t="shared" si="3"/>
        <v>151807041</v>
      </c>
      <c r="M24" s="11">
        <f t="shared" si="3"/>
        <v>-1367631</v>
      </c>
      <c r="N24" s="11">
        <f t="shared" si="3"/>
        <v>12321</v>
      </c>
      <c r="O24" s="11">
        <f t="shared" si="3"/>
        <v>-111</v>
      </c>
      <c r="P24" s="11">
        <f t="shared" si="7"/>
        <v>0</v>
      </c>
    </row>
    <row r="25" spans="1:16" x14ac:dyDescent="0.25">
      <c r="A25" s="11">
        <f t="shared" si="6"/>
        <v>-30</v>
      </c>
      <c r="B25">
        <v>-20.747748622728643</v>
      </c>
      <c r="E25" s="11">
        <f>A25-'Mastercurve bestimmen'!$B$2</f>
        <v>-110</v>
      </c>
      <c r="F25" s="11">
        <f t="shared" si="4"/>
        <v>-20.747748622728643</v>
      </c>
      <c r="G25" s="11"/>
      <c r="H25" s="11">
        <f t="shared" si="5"/>
        <v>2.14358881E+16</v>
      </c>
      <c r="I25" s="11">
        <f t="shared" si="3"/>
        <v>-194871710000000</v>
      </c>
      <c r="J25" s="11">
        <f t="shared" si="3"/>
        <v>1771561000000</v>
      </c>
      <c r="K25" s="11">
        <f t="shared" si="3"/>
        <v>-16105100000</v>
      </c>
      <c r="L25" s="11">
        <f t="shared" si="3"/>
        <v>146410000</v>
      </c>
      <c r="M25" s="11">
        <f t="shared" si="3"/>
        <v>-1331000</v>
      </c>
      <c r="N25" s="11">
        <f t="shared" si="3"/>
        <v>12100</v>
      </c>
      <c r="O25" s="11">
        <f t="shared" si="3"/>
        <v>-110</v>
      </c>
      <c r="P25" s="11">
        <f t="shared" si="7"/>
        <v>0</v>
      </c>
    </row>
    <row r="26" spans="1:16" x14ac:dyDescent="0.25">
      <c r="A26" s="11">
        <f t="shared" si="6"/>
        <v>-29</v>
      </c>
      <c r="B26">
        <v>-20.660124609820684</v>
      </c>
      <c r="E26" s="11">
        <f>A26-'Mastercurve bestimmen'!$B$2</f>
        <v>-109</v>
      </c>
      <c r="F26" s="11">
        <f t="shared" si="4"/>
        <v>-20.660124609820684</v>
      </c>
      <c r="G26" s="11"/>
      <c r="H26" s="11">
        <f t="shared" si="5"/>
        <v>1.992562641690192E+16</v>
      </c>
      <c r="I26" s="11">
        <f t="shared" si="3"/>
        <v>-182803912081669</v>
      </c>
      <c r="J26" s="11">
        <f t="shared" si="3"/>
        <v>1677100110841</v>
      </c>
      <c r="K26" s="11">
        <f t="shared" si="3"/>
        <v>-15386239549</v>
      </c>
      <c r="L26" s="11">
        <f t="shared" si="3"/>
        <v>141158161</v>
      </c>
      <c r="M26" s="11">
        <f t="shared" si="3"/>
        <v>-1295029</v>
      </c>
      <c r="N26" s="11">
        <f t="shared" si="3"/>
        <v>11881</v>
      </c>
      <c r="O26" s="11">
        <f t="shared" si="3"/>
        <v>-109</v>
      </c>
      <c r="P26" s="11">
        <f t="shared" si="7"/>
        <v>0</v>
      </c>
    </row>
    <row r="27" spans="1:16" x14ac:dyDescent="0.25">
      <c r="A27" s="11">
        <f t="shared" si="6"/>
        <v>-28</v>
      </c>
      <c r="B27">
        <v>-20.571856145757998</v>
      </c>
      <c r="E27" s="11">
        <f>A27-'Mastercurve bestimmen'!$B$2</f>
        <v>-108</v>
      </c>
      <c r="F27" s="11">
        <f t="shared" si="4"/>
        <v>-20.571856145757998</v>
      </c>
      <c r="G27" s="11"/>
      <c r="H27" s="11">
        <f t="shared" si="5"/>
        <v>1.8509302102818816E+16</v>
      </c>
      <c r="I27" s="11">
        <f t="shared" si="3"/>
        <v>-171382426877952</v>
      </c>
      <c r="J27" s="11">
        <f t="shared" si="3"/>
        <v>1586874322944</v>
      </c>
      <c r="K27" s="11">
        <f t="shared" si="3"/>
        <v>-14693280768</v>
      </c>
      <c r="L27" s="11">
        <f t="shared" si="3"/>
        <v>136048896</v>
      </c>
      <c r="M27" s="11">
        <f t="shared" si="3"/>
        <v>-1259712</v>
      </c>
      <c r="N27" s="11">
        <f t="shared" si="3"/>
        <v>11664</v>
      </c>
      <c r="O27" s="11">
        <f t="shared" si="3"/>
        <v>-108</v>
      </c>
      <c r="P27" s="11">
        <f t="shared" si="7"/>
        <v>0</v>
      </c>
    </row>
    <row r="28" spans="1:16" x14ac:dyDescent="0.25">
      <c r="A28" s="11">
        <f t="shared" si="6"/>
        <v>-27</v>
      </c>
      <c r="B28">
        <v>-20.482884644071966</v>
      </c>
      <c r="E28" s="11">
        <f>A28-'Mastercurve bestimmen'!$B$2</f>
        <v>-107</v>
      </c>
      <c r="F28" s="11">
        <f t="shared" si="4"/>
        <v>-20.482884644071966</v>
      </c>
      <c r="G28" s="11"/>
      <c r="H28" s="11">
        <f t="shared" si="5"/>
        <v>1.71818617983192E+16</v>
      </c>
      <c r="I28" s="11">
        <f t="shared" si="3"/>
        <v>-160578147647843</v>
      </c>
      <c r="J28" s="11">
        <f t="shared" si="3"/>
        <v>1500730351849</v>
      </c>
      <c r="K28" s="11">
        <f t="shared" si="3"/>
        <v>-14025517307</v>
      </c>
      <c r="L28" s="11">
        <f t="shared" si="3"/>
        <v>131079601</v>
      </c>
      <c r="M28" s="11">
        <f t="shared" si="3"/>
        <v>-1225043</v>
      </c>
      <c r="N28" s="11">
        <f t="shared" si="3"/>
        <v>11449</v>
      </c>
      <c r="O28" s="11">
        <f t="shared" si="3"/>
        <v>-107</v>
      </c>
      <c r="P28" s="11">
        <f t="shared" si="7"/>
        <v>0</v>
      </c>
    </row>
    <row r="29" spans="1:16" x14ac:dyDescent="0.25">
      <c r="A29" s="11">
        <f t="shared" si="6"/>
        <v>-26</v>
      </c>
      <c r="B29">
        <v>-20.39315151829399</v>
      </c>
      <c r="E29" s="11">
        <f>A29-'Mastercurve bestimmen'!$B$2</f>
        <v>-106</v>
      </c>
      <c r="F29" s="11">
        <f t="shared" si="4"/>
        <v>-20.39315151829399</v>
      </c>
      <c r="G29" s="11"/>
      <c r="H29" s="11">
        <f t="shared" si="5"/>
        <v>1.5938480745308416E+16</v>
      </c>
      <c r="I29" s="11">
        <f t="shared" si="3"/>
        <v>-150363025899136</v>
      </c>
      <c r="J29" s="11">
        <f t="shared" si="3"/>
        <v>1418519112256</v>
      </c>
      <c r="K29" s="11">
        <f t="shared" si="3"/>
        <v>-13382255776</v>
      </c>
      <c r="L29" s="11">
        <f t="shared" si="3"/>
        <v>126247696</v>
      </c>
      <c r="M29" s="11">
        <f t="shared" si="3"/>
        <v>-1191016</v>
      </c>
      <c r="N29" s="11">
        <f t="shared" si="3"/>
        <v>11236</v>
      </c>
      <c r="O29" s="11">
        <f t="shared" si="3"/>
        <v>-106</v>
      </c>
      <c r="P29" s="11">
        <f t="shared" si="7"/>
        <v>0</v>
      </c>
    </row>
    <row r="30" spans="1:16" x14ac:dyDescent="0.25">
      <c r="A30" s="11">
        <f t="shared" si="6"/>
        <v>-25</v>
      </c>
      <c r="B30">
        <v>-20.30259818195545</v>
      </c>
      <c r="E30" s="11">
        <f>A30-'Mastercurve bestimmen'!$B$2</f>
        <v>-105</v>
      </c>
      <c r="F30" s="11">
        <f t="shared" si="4"/>
        <v>-20.30259818195545</v>
      </c>
      <c r="G30" s="11"/>
      <c r="H30" s="11">
        <f t="shared" si="5"/>
        <v>1.4774554437890624E+16</v>
      </c>
      <c r="I30" s="11">
        <f t="shared" si="3"/>
        <v>-140710042265625</v>
      </c>
      <c r="J30" s="11">
        <f t="shared" si="3"/>
        <v>1340095640625</v>
      </c>
      <c r="K30" s="11">
        <f t="shared" si="3"/>
        <v>-12762815625</v>
      </c>
      <c r="L30" s="11">
        <f t="shared" si="3"/>
        <v>121550625</v>
      </c>
      <c r="M30" s="11">
        <f t="shared" si="3"/>
        <v>-1157625</v>
      </c>
      <c r="N30" s="11">
        <f t="shared" si="3"/>
        <v>11025</v>
      </c>
      <c r="O30" s="11">
        <f t="shared" si="3"/>
        <v>-105</v>
      </c>
      <c r="P30" s="11">
        <f t="shared" si="7"/>
        <v>0</v>
      </c>
    </row>
    <row r="31" spans="1:16" x14ac:dyDescent="0.25">
      <c r="A31" s="11">
        <f t="shared" si="6"/>
        <v>-24</v>
      </c>
      <c r="B31">
        <v>-20.211166048587735</v>
      </c>
      <c r="E31" s="11">
        <f>A31-'Mastercurve bestimmen'!$B$2</f>
        <v>-104</v>
      </c>
      <c r="F31" s="11">
        <f t="shared" si="4"/>
        <v>-20.211166048587735</v>
      </c>
      <c r="G31" s="11"/>
      <c r="H31" s="11">
        <f t="shared" si="5"/>
        <v>1.3685690504052736E+16</v>
      </c>
      <c r="I31" s="11">
        <f t="shared" si="5"/>
        <v>-131593177923584</v>
      </c>
      <c r="J31" s="11">
        <f t="shared" si="5"/>
        <v>1265319018496</v>
      </c>
      <c r="K31" s="11">
        <f t="shared" si="5"/>
        <v>-12166529024</v>
      </c>
      <c r="L31" s="11">
        <f t="shared" si="5"/>
        <v>116985856</v>
      </c>
      <c r="M31" s="11">
        <f t="shared" si="5"/>
        <v>-1124864</v>
      </c>
      <c r="N31" s="11">
        <f t="shared" si="5"/>
        <v>10816</v>
      </c>
      <c r="O31" s="11">
        <f t="shared" si="5"/>
        <v>-104</v>
      </c>
      <c r="P31" s="11">
        <f t="shared" si="7"/>
        <v>0</v>
      </c>
    </row>
    <row r="32" spans="1:16" x14ac:dyDescent="0.25">
      <c r="A32" s="11">
        <f t="shared" si="6"/>
        <v>-23</v>
      </c>
      <c r="B32">
        <v>-20.118796531722236</v>
      </c>
      <c r="E32" s="11">
        <f>A32-'Mastercurve bestimmen'!$B$2</f>
        <v>-103</v>
      </c>
      <c r="F32" s="11">
        <f t="shared" si="4"/>
        <v>-20.118796531722236</v>
      </c>
      <c r="G32" s="11"/>
      <c r="H32" s="11">
        <f t="shared" si="5"/>
        <v>1.266770081387616E+16</v>
      </c>
      <c r="I32" s="11">
        <f t="shared" si="5"/>
        <v>-122987386542487</v>
      </c>
      <c r="J32" s="11">
        <f t="shared" si="5"/>
        <v>1194052296529</v>
      </c>
      <c r="K32" s="11">
        <f t="shared" si="5"/>
        <v>-11592740743</v>
      </c>
      <c r="L32" s="11">
        <f t="shared" si="5"/>
        <v>112550881</v>
      </c>
      <c r="M32" s="11">
        <f t="shared" si="5"/>
        <v>-1092727</v>
      </c>
      <c r="N32" s="11">
        <f t="shared" si="5"/>
        <v>10609</v>
      </c>
      <c r="O32" s="11">
        <f t="shared" si="5"/>
        <v>-103</v>
      </c>
      <c r="P32" s="11">
        <f t="shared" si="7"/>
        <v>0</v>
      </c>
    </row>
    <row r="33" spans="1:16" x14ac:dyDescent="0.25">
      <c r="A33" s="11">
        <f t="shared" si="6"/>
        <v>-22</v>
      </c>
      <c r="B33">
        <v>-20.02543104489034</v>
      </c>
      <c r="E33" s="11">
        <f>A33-'Mastercurve bestimmen'!$B$2</f>
        <v>-102</v>
      </c>
      <c r="F33" s="11">
        <f t="shared" si="4"/>
        <v>-20.02543104489034</v>
      </c>
      <c r="G33" s="11"/>
      <c r="H33" s="11">
        <f t="shared" si="5"/>
        <v>1.1716593810022656E+16</v>
      </c>
      <c r="I33" s="11">
        <f t="shared" si="5"/>
        <v>-114868566764928</v>
      </c>
      <c r="J33" s="11">
        <f t="shared" si="5"/>
        <v>1126162419264</v>
      </c>
      <c r="K33" s="11">
        <f t="shared" si="5"/>
        <v>-11040808032</v>
      </c>
      <c r="L33" s="11">
        <f t="shared" si="5"/>
        <v>108243216</v>
      </c>
      <c r="M33" s="11">
        <f t="shared" si="5"/>
        <v>-1061208</v>
      </c>
      <c r="N33" s="11">
        <f t="shared" si="5"/>
        <v>10404</v>
      </c>
      <c r="O33" s="11">
        <f t="shared" si="5"/>
        <v>-102</v>
      </c>
      <c r="P33" s="11">
        <f t="shared" si="7"/>
        <v>0</v>
      </c>
    </row>
    <row r="34" spans="1:16" x14ac:dyDescent="0.25">
      <c r="A34" s="11">
        <f t="shared" si="6"/>
        <v>-21</v>
      </c>
      <c r="B34">
        <v>-19.931011001623428</v>
      </c>
      <c r="E34" s="11">
        <f>A34-'Mastercurve bestimmen'!$B$2</f>
        <v>-101</v>
      </c>
      <c r="F34" s="11">
        <f t="shared" si="4"/>
        <v>-19.931011001623428</v>
      </c>
      <c r="G34" s="11"/>
      <c r="H34" s="11">
        <f t="shared" si="5"/>
        <v>1.08285670562808E+16</v>
      </c>
      <c r="I34" s="11">
        <f t="shared" si="5"/>
        <v>-107213535210701</v>
      </c>
      <c r="J34" s="11">
        <f t="shared" si="5"/>
        <v>1061520150601</v>
      </c>
      <c r="K34" s="11">
        <f t="shared" si="5"/>
        <v>-10510100501</v>
      </c>
      <c r="L34" s="11">
        <f t="shared" si="5"/>
        <v>104060401</v>
      </c>
      <c r="M34" s="11">
        <f t="shared" si="5"/>
        <v>-1030301</v>
      </c>
      <c r="N34" s="11">
        <f t="shared" si="5"/>
        <v>10201</v>
      </c>
      <c r="O34" s="11">
        <f t="shared" si="5"/>
        <v>-101</v>
      </c>
      <c r="P34" s="11">
        <f t="shared" si="7"/>
        <v>0</v>
      </c>
    </row>
    <row r="35" spans="1:16" x14ac:dyDescent="0.25">
      <c r="A35" s="11">
        <f t="shared" si="6"/>
        <v>-20</v>
      </c>
      <c r="B35">
        <v>-19.835477815452897</v>
      </c>
      <c r="E35" s="11">
        <f>A35-'Mastercurve bestimmen'!$B$2</f>
        <v>-100</v>
      </c>
      <c r="F35" s="11">
        <f t="shared" si="4"/>
        <v>-19.835477815452897</v>
      </c>
      <c r="G35" s="11"/>
      <c r="H35" s="11">
        <f t="shared" si="5"/>
        <v>1E+16</v>
      </c>
      <c r="I35" s="11">
        <f t="shared" si="5"/>
        <v>-100000000000000</v>
      </c>
      <c r="J35" s="11">
        <f t="shared" si="5"/>
        <v>1000000000000</v>
      </c>
      <c r="K35" s="11">
        <f t="shared" si="5"/>
        <v>-10000000000</v>
      </c>
      <c r="L35" s="11">
        <f t="shared" si="5"/>
        <v>100000000</v>
      </c>
      <c r="M35" s="11">
        <f t="shared" si="5"/>
        <v>-1000000</v>
      </c>
      <c r="N35" s="11">
        <f t="shared" si="5"/>
        <v>10000</v>
      </c>
      <c r="O35" s="11">
        <f t="shared" si="5"/>
        <v>-100</v>
      </c>
      <c r="P35" s="11">
        <f t="shared" si="7"/>
        <v>0</v>
      </c>
    </row>
    <row r="36" spans="1:16" x14ac:dyDescent="0.25">
      <c r="A36" s="11">
        <f t="shared" si="6"/>
        <v>-19</v>
      </c>
      <c r="B36">
        <v>-19.738772899910138</v>
      </c>
      <c r="E36" s="11">
        <f>A36-'Mastercurve bestimmen'!$B$2</f>
        <v>-99</v>
      </c>
      <c r="F36" s="11">
        <f t="shared" si="4"/>
        <v>-19.738772899910138</v>
      </c>
      <c r="G36" s="11"/>
      <c r="H36" s="11">
        <f t="shared" si="5"/>
        <v>9227446944279200</v>
      </c>
      <c r="I36" s="11">
        <f t="shared" si="5"/>
        <v>-93206534790699</v>
      </c>
      <c r="J36" s="11">
        <f t="shared" si="5"/>
        <v>941480149401</v>
      </c>
      <c r="K36" s="11">
        <f t="shared" si="5"/>
        <v>-9509900499</v>
      </c>
      <c r="L36" s="11">
        <f t="shared" si="5"/>
        <v>96059601</v>
      </c>
      <c r="M36" s="11">
        <f t="shared" si="5"/>
        <v>-970299</v>
      </c>
      <c r="N36" s="11">
        <f t="shared" si="5"/>
        <v>9801</v>
      </c>
      <c r="O36" s="11">
        <f t="shared" si="5"/>
        <v>-99</v>
      </c>
      <c r="P36" s="11">
        <f t="shared" si="7"/>
        <v>0</v>
      </c>
    </row>
    <row r="37" spans="1:16" x14ac:dyDescent="0.25">
      <c r="A37" s="11">
        <f t="shared" si="6"/>
        <v>-18</v>
      </c>
      <c r="B37">
        <v>-19.64083766852653</v>
      </c>
      <c r="E37" s="11">
        <f>A37-'Mastercurve bestimmen'!$B$2</f>
        <v>-98</v>
      </c>
      <c r="F37" s="11">
        <f t="shared" si="4"/>
        <v>-19.64083766852653</v>
      </c>
      <c r="G37" s="11"/>
      <c r="H37" s="11">
        <f t="shared" si="5"/>
        <v>8507630225817856</v>
      </c>
      <c r="I37" s="11">
        <f t="shared" si="5"/>
        <v>-86812553324672</v>
      </c>
      <c r="J37" s="11">
        <f t="shared" si="5"/>
        <v>885842380864</v>
      </c>
      <c r="K37" s="11">
        <f t="shared" si="5"/>
        <v>-9039207968</v>
      </c>
      <c r="L37" s="11">
        <f t="shared" si="5"/>
        <v>92236816</v>
      </c>
      <c r="M37" s="11">
        <f t="shared" si="5"/>
        <v>-941192</v>
      </c>
      <c r="N37" s="11">
        <f t="shared" si="5"/>
        <v>9604</v>
      </c>
      <c r="O37" s="11">
        <f t="shared" si="5"/>
        <v>-98</v>
      </c>
      <c r="P37" s="11">
        <f t="shared" si="7"/>
        <v>0</v>
      </c>
    </row>
    <row r="38" spans="1:16" x14ac:dyDescent="0.25">
      <c r="A38" s="11">
        <f t="shared" si="6"/>
        <v>-17</v>
      </c>
      <c r="B38">
        <v>-19.54161353483347</v>
      </c>
      <c r="E38" s="11">
        <f>A38-'Mastercurve bestimmen'!$B$2</f>
        <v>-97</v>
      </c>
      <c r="F38" s="11">
        <f t="shared" si="4"/>
        <v>-19.54161353483347</v>
      </c>
      <c r="G38" s="11"/>
      <c r="H38" s="11">
        <f t="shared" si="5"/>
        <v>7837433594376961</v>
      </c>
      <c r="I38" s="11">
        <f t="shared" si="5"/>
        <v>-80798284478113</v>
      </c>
      <c r="J38" s="11">
        <f t="shared" si="5"/>
        <v>832972004929</v>
      </c>
      <c r="K38" s="11">
        <f t="shared" si="5"/>
        <v>-8587340257</v>
      </c>
      <c r="L38" s="11">
        <f t="shared" si="5"/>
        <v>88529281</v>
      </c>
      <c r="M38" s="11">
        <f t="shared" si="5"/>
        <v>-912673</v>
      </c>
      <c r="N38" s="11">
        <f t="shared" si="5"/>
        <v>9409</v>
      </c>
      <c r="O38" s="11">
        <f t="shared" si="5"/>
        <v>-97</v>
      </c>
      <c r="P38" s="11">
        <f t="shared" si="7"/>
        <v>0</v>
      </c>
    </row>
    <row r="39" spans="1:16" x14ac:dyDescent="0.25">
      <c r="A39" s="11">
        <f t="shared" si="6"/>
        <v>-16</v>
      </c>
      <c r="B39">
        <v>-19.441041912362344</v>
      </c>
      <c r="E39" s="11">
        <f>A39-'Mastercurve bestimmen'!$B$2</f>
        <v>-96</v>
      </c>
      <c r="F39" s="11">
        <f t="shared" si="4"/>
        <v>-19.441041912362344</v>
      </c>
      <c r="G39" s="11"/>
      <c r="H39" s="11">
        <f t="shared" si="5"/>
        <v>7213895789838336</v>
      </c>
      <c r="I39" s="11">
        <f t="shared" si="5"/>
        <v>-75144747810816</v>
      </c>
      <c r="J39" s="11">
        <f t="shared" si="5"/>
        <v>782757789696</v>
      </c>
      <c r="K39" s="11">
        <f t="shared" si="5"/>
        <v>-8153726976</v>
      </c>
      <c r="L39" s="11">
        <f t="shared" si="5"/>
        <v>84934656</v>
      </c>
      <c r="M39" s="11">
        <f t="shared" si="5"/>
        <v>-884736</v>
      </c>
      <c r="N39" s="11">
        <f t="shared" si="5"/>
        <v>9216</v>
      </c>
      <c r="O39" s="11">
        <f t="shared" si="5"/>
        <v>-96</v>
      </c>
      <c r="P39" s="11">
        <f t="shared" si="7"/>
        <v>0</v>
      </c>
    </row>
    <row r="40" spans="1:16" x14ac:dyDescent="0.25">
      <c r="A40" s="11">
        <f t="shared" si="6"/>
        <v>-15</v>
      </c>
      <c r="B40">
        <v>-19.339064214644534</v>
      </c>
      <c r="E40" s="11">
        <f>A40-'Mastercurve bestimmen'!$B$2</f>
        <v>-95</v>
      </c>
      <c r="F40" s="11">
        <f t="shared" si="4"/>
        <v>-19.339064214644534</v>
      </c>
      <c r="G40" s="11"/>
      <c r="H40" s="11">
        <f t="shared" si="5"/>
        <v>6634204312890625</v>
      </c>
      <c r="I40" s="11">
        <f t="shared" si="5"/>
        <v>-69833729609375</v>
      </c>
      <c r="J40" s="11">
        <f t="shared" si="5"/>
        <v>735091890625</v>
      </c>
      <c r="K40" s="11">
        <f t="shared" si="5"/>
        <v>-7737809375</v>
      </c>
      <c r="L40" s="11">
        <f t="shared" si="5"/>
        <v>81450625</v>
      </c>
      <c r="M40" s="11">
        <f t="shared" si="5"/>
        <v>-857375</v>
      </c>
      <c r="N40" s="11">
        <f t="shared" si="5"/>
        <v>9025</v>
      </c>
      <c r="O40" s="11">
        <f t="shared" si="5"/>
        <v>-95</v>
      </c>
      <c r="P40" s="11">
        <f t="shared" si="7"/>
        <v>0</v>
      </c>
    </row>
    <row r="41" spans="1:16" x14ac:dyDescent="0.25">
      <c r="A41" s="11">
        <f t="shared" si="6"/>
        <v>-14</v>
      </c>
      <c r="B41">
        <v>-19.235621855211438</v>
      </c>
      <c r="E41" s="11">
        <f>A41-'Mastercurve bestimmen'!$B$2</f>
        <v>-94</v>
      </c>
      <c r="F41" s="11">
        <f t="shared" si="4"/>
        <v>-19.235621855211438</v>
      </c>
      <c r="G41" s="11"/>
      <c r="H41" s="11">
        <f t="shared" si="5"/>
        <v>6095689385410816</v>
      </c>
      <c r="I41" s="11">
        <f t="shared" si="5"/>
        <v>-64847759419264</v>
      </c>
      <c r="J41" s="11">
        <f t="shared" si="5"/>
        <v>689869781056</v>
      </c>
      <c r="K41" s="11">
        <f t="shared" si="5"/>
        <v>-7339040224</v>
      </c>
      <c r="L41" s="11">
        <f t="shared" si="5"/>
        <v>78074896</v>
      </c>
      <c r="M41" s="11">
        <f t="shared" si="5"/>
        <v>-830584</v>
      </c>
      <c r="N41" s="11">
        <f t="shared" si="5"/>
        <v>8836</v>
      </c>
      <c r="O41" s="11">
        <f t="shared" si="5"/>
        <v>-94</v>
      </c>
      <c r="P41" s="11">
        <f t="shared" si="7"/>
        <v>0</v>
      </c>
    </row>
    <row r="42" spans="1:16" x14ac:dyDescent="0.25">
      <c r="A42" s="11">
        <f t="shared" si="6"/>
        <v>-13</v>
      </c>
      <c r="B42">
        <v>-19.130656247594434</v>
      </c>
      <c r="E42" s="11">
        <f>A42-'Mastercurve bestimmen'!$B$2</f>
        <v>-93</v>
      </c>
      <c r="F42" s="11">
        <f t="shared" si="4"/>
        <v>-19.130656247594434</v>
      </c>
      <c r="G42" s="11"/>
      <c r="H42" s="11">
        <f t="shared" si="5"/>
        <v>5595818096650401</v>
      </c>
      <c r="I42" s="11">
        <f t="shared" si="5"/>
        <v>-60170087060757</v>
      </c>
      <c r="J42" s="11">
        <f t="shared" si="5"/>
        <v>646990183449</v>
      </c>
      <c r="K42" s="11">
        <f t="shared" si="5"/>
        <v>-6956883693</v>
      </c>
      <c r="L42" s="11">
        <f t="shared" si="5"/>
        <v>74805201</v>
      </c>
      <c r="M42" s="11">
        <f t="shared" si="5"/>
        <v>-804357</v>
      </c>
      <c r="N42" s="11">
        <f t="shared" si="5"/>
        <v>8649</v>
      </c>
      <c r="O42" s="11">
        <f t="shared" si="5"/>
        <v>-93</v>
      </c>
      <c r="P42" s="11">
        <f t="shared" si="7"/>
        <v>0</v>
      </c>
    </row>
    <row r="43" spans="1:16" x14ac:dyDescent="0.25">
      <c r="A43" s="11">
        <f t="shared" si="6"/>
        <v>-12</v>
      </c>
      <c r="B43">
        <v>-19.024108805324921</v>
      </c>
      <c r="E43" s="11">
        <f>A43-'Mastercurve bestimmen'!$B$2</f>
        <v>-92</v>
      </c>
      <c r="F43" s="11">
        <f t="shared" si="4"/>
        <v>-19.024108805324921</v>
      </c>
      <c r="G43" s="11"/>
      <c r="H43" s="11">
        <f t="shared" si="5"/>
        <v>5132188731375616</v>
      </c>
      <c r="I43" s="11">
        <f t="shared" si="5"/>
        <v>-55784660123648</v>
      </c>
      <c r="J43" s="11">
        <f t="shared" si="5"/>
        <v>606355001344</v>
      </c>
      <c r="K43" s="11">
        <f t="shared" si="5"/>
        <v>-6590815232</v>
      </c>
      <c r="L43" s="11">
        <f t="shared" si="5"/>
        <v>71639296</v>
      </c>
      <c r="M43" s="11">
        <f t="shared" si="5"/>
        <v>-778688</v>
      </c>
      <c r="N43" s="11">
        <f t="shared" si="5"/>
        <v>8464</v>
      </c>
      <c r="O43" s="11">
        <f t="shared" si="5"/>
        <v>-92</v>
      </c>
      <c r="P43" s="11">
        <f t="shared" si="7"/>
        <v>0</v>
      </c>
    </row>
    <row r="44" spans="1:16" x14ac:dyDescent="0.25">
      <c r="A44" s="11">
        <f t="shared" si="6"/>
        <v>-11</v>
      </c>
      <c r="B44">
        <v>-18.915920941934282</v>
      </c>
      <c r="E44" s="11">
        <f>A44-'Mastercurve bestimmen'!$B$2</f>
        <v>-91</v>
      </c>
      <c r="F44" s="11">
        <f t="shared" si="4"/>
        <v>-18.915920941934282</v>
      </c>
      <c r="G44" s="11"/>
      <c r="H44" s="11">
        <f t="shared" si="5"/>
        <v>4702525276151521</v>
      </c>
      <c r="I44" s="11">
        <f t="shared" si="5"/>
        <v>-51676101935731</v>
      </c>
      <c r="J44" s="11">
        <f t="shared" si="5"/>
        <v>567869252041</v>
      </c>
      <c r="K44" s="11">
        <f t="shared" si="5"/>
        <v>-6240321451</v>
      </c>
      <c r="L44" s="11">
        <f t="shared" si="5"/>
        <v>68574961</v>
      </c>
      <c r="M44" s="11">
        <f t="shared" si="5"/>
        <v>-753571</v>
      </c>
      <c r="N44" s="11">
        <f t="shared" si="5"/>
        <v>8281</v>
      </c>
      <c r="O44" s="11">
        <f t="shared" si="5"/>
        <v>-91</v>
      </c>
      <c r="P44" s="11">
        <f t="shared" si="7"/>
        <v>0</v>
      </c>
    </row>
    <row r="45" spans="1:16" x14ac:dyDescent="0.25">
      <c r="A45" s="11">
        <f t="shared" si="6"/>
        <v>-10</v>
      </c>
      <c r="B45">
        <v>-18.806034070953899</v>
      </c>
      <c r="E45" s="11">
        <f>A45-'Mastercurve bestimmen'!$B$2</f>
        <v>-90</v>
      </c>
      <c r="F45" s="11">
        <f t="shared" si="4"/>
        <v>-18.806034070953899</v>
      </c>
      <c r="G45" s="11"/>
      <c r="H45" s="11">
        <f t="shared" si="5"/>
        <v>4304672100000000</v>
      </c>
      <c r="I45" s="11">
        <f t="shared" si="5"/>
        <v>-47829690000000</v>
      </c>
      <c r="J45" s="11">
        <f t="shared" si="5"/>
        <v>531441000000</v>
      </c>
      <c r="K45" s="11">
        <f t="shared" si="5"/>
        <v>-5904900000</v>
      </c>
      <c r="L45" s="11">
        <f t="shared" si="5"/>
        <v>65610000</v>
      </c>
      <c r="M45" s="11">
        <f t="shared" si="5"/>
        <v>-729000</v>
      </c>
      <c r="N45" s="11">
        <f t="shared" si="5"/>
        <v>8100</v>
      </c>
      <c r="O45" s="11">
        <f t="shared" si="5"/>
        <v>-90</v>
      </c>
      <c r="P45" s="11">
        <f t="shared" si="7"/>
        <v>0</v>
      </c>
    </row>
    <row r="46" spans="1:16" x14ac:dyDescent="0.25">
      <c r="A46" s="11">
        <f t="shared" si="6"/>
        <v>-9</v>
      </c>
      <c r="B46">
        <v>-18.694389605915173</v>
      </c>
      <c r="E46" s="11">
        <f>A46-'Mastercurve bestimmen'!$B$2</f>
        <v>-89</v>
      </c>
      <c r="F46" s="11">
        <f t="shared" si="4"/>
        <v>-18.694389605915173</v>
      </c>
      <c r="G46" s="11"/>
      <c r="H46" s="11">
        <f t="shared" si="5"/>
        <v>3936588805702081</v>
      </c>
      <c r="I46" s="11">
        <f t="shared" si="5"/>
        <v>-44231334895529</v>
      </c>
      <c r="J46" s="11">
        <f t="shared" si="5"/>
        <v>496981290961</v>
      </c>
      <c r="K46" s="11">
        <f t="shared" si="5"/>
        <v>-5584059449</v>
      </c>
      <c r="L46" s="11">
        <f t="shared" si="5"/>
        <v>62742241</v>
      </c>
      <c r="M46" s="11">
        <f t="shared" si="5"/>
        <v>-704969</v>
      </c>
      <c r="N46" s="11">
        <f t="shared" si="5"/>
        <v>7921</v>
      </c>
      <c r="O46" s="11">
        <f t="shared" si="5"/>
        <v>-89</v>
      </c>
      <c r="P46" s="11">
        <f t="shared" si="7"/>
        <v>0</v>
      </c>
    </row>
    <row r="47" spans="1:16" x14ac:dyDescent="0.25">
      <c r="A47" s="11">
        <f t="shared" si="6"/>
        <v>-8</v>
      </c>
      <c r="B47">
        <v>-18.580928960349489</v>
      </c>
      <c r="E47" s="11">
        <f>A47-'Mastercurve bestimmen'!$B$2</f>
        <v>-88</v>
      </c>
      <c r="F47" s="11">
        <f t="shared" si="4"/>
        <v>-18.580928960349489</v>
      </c>
      <c r="G47" s="11"/>
      <c r="H47" s="11">
        <f t="shared" si="5"/>
        <v>3596345248055296</v>
      </c>
      <c r="I47" s="11">
        <f t="shared" si="5"/>
        <v>-40867559636992</v>
      </c>
      <c r="J47" s="11">
        <f t="shared" si="5"/>
        <v>464404086784</v>
      </c>
      <c r="K47" s="11">
        <f t="shared" si="5"/>
        <v>-5277319168</v>
      </c>
      <c r="L47" s="11">
        <f t="shared" si="5"/>
        <v>59969536</v>
      </c>
      <c r="M47" s="11">
        <f t="shared" si="5"/>
        <v>-681472</v>
      </c>
      <c r="N47" s="11">
        <f t="shared" si="5"/>
        <v>7744</v>
      </c>
      <c r="O47" s="11">
        <f t="shared" si="5"/>
        <v>-88</v>
      </c>
      <c r="P47" s="11">
        <f t="shared" si="7"/>
        <v>0</v>
      </c>
    </row>
    <row r="48" spans="1:16" x14ac:dyDescent="0.25">
      <c r="A48" s="11">
        <f t="shared" si="6"/>
        <v>-7</v>
      </c>
      <c r="B48">
        <v>-18.465593547788231</v>
      </c>
      <c r="E48" s="11">
        <f>A48-'Mastercurve bestimmen'!$B$2</f>
        <v>-87</v>
      </c>
      <c r="F48" s="11">
        <f t="shared" si="4"/>
        <v>-18.465593547788231</v>
      </c>
      <c r="G48" s="11"/>
      <c r="H48" s="11">
        <f t="shared" ref="H48:O79" si="8">IF($H$12&gt;=H$14,$E48^H$14,0)</f>
        <v>3282116715437121</v>
      </c>
      <c r="I48" s="11">
        <f t="shared" si="8"/>
        <v>-37725479487783</v>
      </c>
      <c r="J48" s="11">
        <f t="shared" si="8"/>
        <v>433626201009</v>
      </c>
      <c r="K48" s="11">
        <f t="shared" si="8"/>
        <v>-4984209207</v>
      </c>
      <c r="L48" s="11">
        <f t="shared" si="8"/>
        <v>57289761</v>
      </c>
      <c r="M48" s="11">
        <f t="shared" si="8"/>
        <v>-658503</v>
      </c>
      <c r="N48" s="11">
        <f t="shared" si="8"/>
        <v>7569</v>
      </c>
      <c r="O48" s="11">
        <f t="shared" si="8"/>
        <v>-87</v>
      </c>
      <c r="P48" s="11">
        <f t="shared" si="7"/>
        <v>0</v>
      </c>
    </row>
    <row r="49" spans="1:16" x14ac:dyDescent="0.25">
      <c r="A49" s="11">
        <f t="shared" si="6"/>
        <v>-6</v>
      </c>
      <c r="B49">
        <v>-18.348324781762788</v>
      </c>
      <c r="E49" s="11">
        <f>A49-'Mastercurve bestimmen'!$B$2</f>
        <v>-86</v>
      </c>
      <c r="F49" s="11">
        <f t="shared" si="4"/>
        <v>-18.348324781762788</v>
      </c>
      <c r="G49" s="11"/>
      <c r="H49" s="11">
        <f t="shared" si="8"/>
        <v>2992179271065856</v>
      </c>
      <c r="I49" s="11">
        <f t="shared" si="8"/>
        <v>-34792782221696</v>
      </c>
      <c r="J49" s="11">
        <f t="shared" si="8"/>
        <v>404567235136</v>
      </c>
      <c r="K49" s="11">
        <f t="shared" si="8"/>
        <v>-4704270176</v>
      </c>
      <c r="L49" s="11">
        <f t="shared" si="8"/>
        <v>54700816</v>
      </c>
      <c r="M49" s="11">
        <f t="shared" si="8"/>
        <v>-636056</v>
      </c>
      <c r="N49" s="11">
        <f t="shared" si="8"/>
        <v>7396</v>
      </c>
      <c r="O49" s="11">
        <f t="shared" si="8"/>
        <v>-86</v>
      </c>
      <c r="P49" s="11">
        <f t="shared" si="7"/>
        <v>0</v>
      </c>
    </row>
    <row r="50" spans="1:16" x14ac:dyDescent="0.25">
      <c r="A50" s="11">
        <f t="shared" si="6"/>
        <v>-5</v>
      </c>
      <c r="B50">
        <v>-18.229064075804548</v>
      </c>
      <c r="E50" s="11">
        <f>A50-'Mastercurve bestimmen'!$B$2</f>
        <v>-85</v>
      </c>
      <c r="F50" s="11">
        <f t="shared" si="4"/>
        <v>-18.229064075804548</v>
      </c>
      <c r="G50" s="11"/>
      <c r="H50" s="11">
        <f t="shared" si="8"/>
        <v>2724905250390625</v>
      </c>
      <c r="I50" s="11">
        <f t="shared" si="8"/>
        <v>-32057708828125</v>
      </c>
      <c r="J50" s="11">
        <f t="shared" si="8"/>
        <v>377149515625</v>
      </c>
      <c r="K50" s="11">
        <f t="shared" si="8"/>
        <v>-4437053125</v>
      </c>
      <c r="L50" s="11">
        <f t="shared" si="8"/>
        <v>52200625</v>
      </c>
      <c r="M50" s="11">
        <f t="shared" si="8"/>
        <v>-614125</v>
      </c>
      <c r="N50" s="11">
        <f t="shared" si="8"/>
        <v>7225</v>
      </c>
      <c r="O50" s="11">
        <f t="shared" si="8"/>
        <v>-85</v>
      </c>
      <c r="P50" s="11">
        <f t="shared" si="7"/>
        <v>0</v>
      </c>
    </row>
    <row r="51" spans="1:16" x14ac:dyDescent="0.25">
      <c r="A51" s="11">
        <f t="shared" si="6"/>
        <v>-4</v>
      </c>
      <c r="B51">
        <v>-18.107752843444903</v>
      </c>
      <c r="E51" s="11">
        <f>A51-'Mastercurve bestimmen'!$B$2</f>
        <v>-84</v>
      </c>
      <c r="F51" s="11">
        <f t="shared" si="4"/>
        <v>-18.107752843444903</v>
      </c>
      <c r="G51" s="11"/>
      <c r="H51" s="11">
        <f t="shared" si="8"/>
        <v>2478758911082496</v>
      </c>
      <c r="I51" s="11">
        <f t="shared" si="8"/>
        <v>-29509034655744</v>
      </c>
      <c r="J51" s="11">
        <f t="shared" si="8"/>
        <v>351298031616</v>
      </c>
      <c r="K51" s="11">
        <f t="shared" si="8"/>
        <v>-4182119424</v>
      </c>
      <c r="L51" s="11">
        <f t="shared" si="8"/>
        <v>49787136</v>
      </c>
      <c r="M51" s="11">
        <f t="shared" si="8"/>
        <v>-592704</v>
      </c>
      <c r="N51" s="11">
        <f t="shared" si="8"/>
        <v>7056</v>
      </c>
      <c r="O51" s="11">
        <f t="shared" si="8"/>
        <v>-84</v>
      </c>
      <c r="P51" s="11">
        <f t="shared" si="7"/>
        <v>0</v>
      </c>
    </row>
    <row r="52" spans="1:16" x14ac:dyDescent="0.25">
      <c r="A52" s="11">
        <f t="shared" si="6"/>
        <v>-3</v>
      </c>
      <c r="B52">
        <v>-17.984332498215238</v>
      </c>
      <c r="E52" s="11">
        <f>A52-'Mastercurve bestimmen'!$B$2</f>
        <v>-83</v>
      </c>
      <c r="F52" s="11">
        <f t="shared" si="4"/>
        <v>-17.984332498215238</v>
      </c>
      <c r="G52" s="11"/>
      <c r="H52" s="11">
        <f t="shared" si="8"/>
        <v>2252292232139041</v>
      </c>
      <c r="I52" s="11">
        <f t="shared" si="8"/>
        <v>-27136050989627</v>
      </c>
      <c r="J52" s="11">
        <f t="shared" si="8"/>
        <v>326940373369</v>
      </c>
      <c r="K52" s="11">
        <f t="shared" si="8"/>
        <v>-3939040643</v>
      </c>
      <c r="L52" s="11">
        <f t="shared" si="8"/>
        <v>47458321</v>
      </c>
      <c r="M52" s="11">
        <f t="shared" si="8"/>
        <v>-571787</v>
      </c>
      <c r="N52" s="11">
        <f t="shared" si="8"/>
        <v>6889</v>
      </c>
      <c r="O52" s="11">
        <f t="shared" si="8"/>
        <v>-83</v>
      </c>
      <c r="P52" s="11">
        <f t="shared" si="7"/>
        <v>0</v>
      </c>
    </row>
    <row r="53" spans="1:16" x14ac:dyDescent="0.25">
      <c r="A53" s="11">
        <f t="shared" si="6"/>
        <v>-2</v>
      </c>
      <c r="B53">
        <v>-17.858744453646942</v>
      </c>
      <c r="E53" s="11">
        <f>A53-'Mastercurve bestimmen'!$B$2</f>
        <v>-82</v>
      </c>
      <c r="F53" s="11">
        <f t="shared" si="4"/>
        <v>-17.858744453646942</v>
      </c>
      <c r="G53" s="11"/>
      <c r="H53" s="11">
        <f t="shared" si="8"/>
        <v>2044140858654976</v>
      </c>
      <c r="I53" s="11">
        <f t="shared" si="8"/>
        <v>-24928547056768</v>
      </c>
      <c r="J53" s="11">
        <f t="shared" si="8"/>
        <v>304006671424</v>
      </c>
      <c r="K53" s="11">
        <f t="shared" si="8"/>
        <v>-3707398432</v>
      </c>
      <c r="L53" s="11">
        <f t="shared" si="8"/>
        <v>45212176</v>
      </c>
      <c r="M53" s="11">
        <f t="shared" si="8"/>
        <v>-551368</v>
      </c>
      <c r="N53" s="11">
        <f t="shared" si="8"/>
        <v>6724</v>
      </c>
      <c r="O53" s="11">
        <f t="shared" si="8"/>
        <v>-82</v>
      </c>
      <c r="P53" s="11">
        <f t="shared" si="7"/>
        <v>0</v>
      </c>
    </row>
    <row r="54" spans="1:16" x14ac:dyDescent="0.25">
      <c r="A54" s="11">
        <f t="shared" si="6"/>
        <v>-1</v>
      </c>
      <c r="B54">
        <v>-17.730930123271406</v>
      </c>
      <c r="E54" s="11">
        <f>A54-'Mastercurve bestimmen'!$B$2</f>
        <v>-81</v>
      </c>
      <c r="F54" s="11">
        <f t="shared" si="4"/>
        <v>-17.730930123271406</v>
      </c>
      <c r="G54" s="11"/>
      <c r="H54" s="11">
        <f t="shared" si="8"/>
        <v>1853020188851841</v>
      </c>
      <c r="I54" s="11">
        <f t="shared" si="8"/>
        <v>-22876792454961</v>
      </c>
      <c r="J54" s="11">
        <f t="shared" si="8"/>
        <v>282429536481</v>
      </c>
      <c r="K54" s="11">
        <f t="shared" si="8"/>
        <v>-3486784401</v>
      </c>
      <c r="L54" s="11">
        <f t="shared" si="8"/>
        <v>43046721</v>
      </c>
      <c r="M54" s="11">
        <f t="shared" si="8"/>
        <v>-531441</v>
      </c>
      <c r="N54" s="11">
        <f t="shared" si="8"/>
        <v>6561</v>
      </c>
      <c r="O54" s="11">
        <f t="shared" si="8"/>
        <v>-81</v>
      </c>
      <c r="P54" s="11">
        <f t="shared" si="7"/>
        <v>0</v>
      </c>
    </row>
    <row r="55" spans="1:16" x14ac:dyDescent="0.25">
      <c r="A55" s="11">
        <f t="shared" si="6"/>
        <v>0</v>
      </c>
      <c r="B55">
        <v>-17.60083092062002</v>
      </c>
      <c r="E55" s="11">
        <f>A55-'Mastercurve bestimmen'!$B$2</f>
        <v>-80</v>
      </c>
      <c r="F55" s="11">
        <f t="shared" si="4"/>
        <v>-17.60083092062002</v>
      </c>
      <c r="G55" s="11"/>
      <c r="H55" s="11">
        <f t="shared" si="8"/>
        <v>1677721600000000</v>
      </c>
      <c r="I55" s="11">
        <f t="shared" si="8"/>
        <v>-20971520000000</v>
      </c>
      <c r="J55" s="11">
        <f t="shared" si="8"/>
        <v>262144000000</v>
      </c>
      <c r="K55" s="11">
        <f t="shared" si="8"/>
        <v>-3276800000</v>
      </c>
      <c r="L55" s="11">
        <f t="shared" si="8"/>
        <v>40960000</v>
      </c>
      <c r="M55" s="11">
        <f t="shared" si="8"/>
        <v>-512000</v>
      </c>
      <c r="N55" s="11">
        <f t="shared" si="8"/>
        <v>6400</v>
      </c>
      <c r="O55" s="11">
        <f t="shared" si="8"/>
        <v>-80</v>
      </c>
      <c r="P55" s="11">
        <f t="shared" si="7"/>
        <v>0</v>
      </c>
    </row>
    <row r="56" spans="1:16" x14ac:dyDescent="0.25">
      <c r="A56" s="11">
        <f t="shared" si="6"/>
        <v>1</v>
      </c>
      <c r="B56">
        <v>-17.48973550123165</v>
      </c>
      <c r="E56" s="11">
        <f>A56-'Mastercurve bestimmen'!$B$2</f>
        <v>-79</v>
      </c>
      <c r="F56" s="11">
        <f t="shared" si="4"/>
        <v>-17.48973550123165</v>
      </c>
      <c r="G56" s="11"/>
      <c r="H56" s="11">
        <f t="shared" si="8"/>
        <v>1517108809906561</v>
      </c>
      <c r="I56" s="11">
        <f t="shared" si="8"/>
        <v>-19203908986159</v>
      </c>
      <c r="J56" s="11">
        <f t="shared" si="8"/>
        <v>243087455521</v>
      </c>
      <c r="K56" s="11">
        <f t="shared" si="8"/>
        <v>-3077056399</v>
      </c>
      <c r="L56" s="11">
        <f t="shared" si="8"/>
        <v>38950081</v>
      </c>
      <c r="M56" s="11">
        <f t="shared" si="8"/>
        <v>-493039</v>
      </c>
      <c r="N56" s="11">
        <f t="shared" si="8"/>
        <v>6241</v>
      </c>
      <c r="O56" s="11">
        <f t="shared" si="8"/>
        <v>-79</v>
      </c>
      <c r="P56" s="11">
        <f t="shared" si="7"/>
        <v>0</v>
      </c>
    </row>
    <row r="57" spans="1:16" x14ac:dyDescent="0.25">
      <c r="A57" s="11">
        <f t="shared" si="6"/>
        <v>2</v>
      </c>
      <c r="B57">
        <v>-17.376243919446146</v>
      </c>
      <c r="E57" s="11">
        <f>A57-'Mastercurve bestimmen'!$B$2</f>
        <v>-78</v>
      </c>
      <c r="F57" s="11">
        <f t="shared" si="4"/>
        <v>-17.376243919446146</v>
      </c>
      <c r="G57" s="11"/>
      <c r="H57" s="11">
        <f t="shared" si="8"/>
        <v>1370114370683136</v>
      </c>
      <c r="I57" s="11">
        <f t="shared" si="8"/>
        <v>-17565568854912</v>
      </c>
      <c r="J57" s="11">
        <f t="shared" si="8"/>
        <v>225199600704</v>
      </c>
      <c r="K57" s="11">
        <f t="shared" si="8"/>
        <v>-2887174368</v>
      </c>
      <c r="L57" s="11">
        <f t="shared" si="8"/>
        <v>37015056</v>
      </c>
      <c r="M57" s="11">
        <f t="shared" si="8"/>
        <v>-474552</v>
      </c>
      <c r="N57" s="11">
        <f t="shared" si="8"/>
        <v>6084</v>
      </c>
      <c r="O57" s="11">
        <f t="shared" si="8"/>
        <v>-78</v>
      </c>
      <c r="P57" s="11">
        <f t="shared" si="7"/>
        <v>0</v>
      </c>
    </row>
    <row r="58" spans="1:16" x14ac:dyDescent="0.25">
      <c r="A58" s="11">
        <f t="shared" si="6"/>
        <v>3</v>
      </c>
      <c r="B58">
        <v>-17.260303471610861</v>
      </c>
      <c r="E58" s="11">
        <f>A58-'Mastercurve bestimmen'!$B$2</f>
        <v>-77</v>
      </c>
      <c r="F58" s="11">
        <f t="shared" si="4"/>
        <v>-17.260303471610861</v>
      </c>
      <c r="G58" s="11"/>
      <c r="H58" s="11">
        <f t="shared" si="8"/>
        <v>1235736291547681</v>
      </c>
      <c r="I58" s="11">
        <f t="shared" si="8"/>
        <v>-16048523266853</v>
      </c>
      <c r="J58" s="11">
        <f t="shared" si="8"/>
        <v>208422380089</v>
      </c>
      <c r="K58" s="11">
        <f t="shared" si="8"/>
        <v>-2706784157</v>
      </c>
      <c r="L58" s="11">
        <f t="shared" si="8"/>
        <v>35153041</v>
      </c>
      <c r="M58" s="11">
        <f t="shared" si="8"/>
        <v>-456533</v>
      </c>
      <c r="N58" s="11">
        <f t="shared" si="8"/>
        <v>5929</v>
      </c>
      <c r="O58" s="11">
        <f t="shared" si="8"/>
        <v>-77</v>
      </c>
      <c r="P58" s="11">
        <f t="shared" si="7"/>
        <v>0</v>
      </c>
    </row>
    <row r="59" spans="1:16" x14ac:dyDescent="0.25">
      <c r="A59" s="11">
        <f t="shared" si="6"/>
        <v>4</v>
      </c>
      <c r="B59">
        <v>-17.141861454073126</v>
      </c>
      <c r="E59" s="11">
        <f>A59-'Mastercurve bestimmen'!$B$2</f>
        <v>-76</v>
      </c>
      <c r="F59" s="11">
        <f t="shared" si="4"/>
        <v>-17.141861454073126</v>
      </c>
      <c r="G59" s="11"/>
      <c r="H59" s="11">
        <f t="shared" si="8"/>
        <v>1113034787454976</v>
      </c>
      <c r="I59" s="11">
        <f t="shared" si="8"/>
        <v>-14645194571776</v>
      </c>
      <c r="J59" s="11">
        <f t="shared" si="8"/>
        <v>192699928576</v>
      </c>
      <c r="K59" s="11">
        <f t="shared" si="8"/>
        <v>-2535525376</v>
      </c>
      <c r="L59" s="11">
        <f t="shared" si="8"/>
        <v>33362176</v>
      </c>
      <c r="M59" s="11">
        <f t="shared" si="8"/>
        <v>-438976</v>
      </c>
      <c r="N59" s="11">
        <f t="shared" si="8"/>
        <v>5776</v>
      </c>
      <c r="O59" s="11">
        <f t="shared" si="8"/>
        <v>-76</v>
      </c>
      <c r="P59" s="11">
        <f t="shared" si="7"/>
        <v>0</v>
      </c>
    </row>
    <row r="60" spans="1:16" x14ac:dyDescent="0.25">
      <c r="A60" s="11">
        <f t="shared" si="6"/>
        <v>5</v>
      </c>
      <c r="B60">
        <v>-17.020865163180282</v>
      </c>
      <c r="E60" s="11">
        <f>A60-'Mastercurve bestimmen'!$B$2</f>
        <v>-75</v>
      </c>
      <c r="F60" s="11">
        <f t="shared" si="4"/>
        <v>-17.020865163180282</v>
      </c>
      <c r="G60" s="11"/>
      <c r="H60" s="11">
        <f t="shared" si="8"/>
        <v>1001129150390625</v>
      </c>
      <c r="I60" s="11">
        <f t="shared" si="8"/>
        <v>-13348388671875</v>
      </c>
      <c r="J60" s="11">
        <f t="shared" si="8"/>
        <v>177978515625</v>
      </c>
      <c r="K60" s="11">
        <f t="shared" si="8"/>
        <v>-2373046875</v>
      </c>
      <c r="L60" s="11">
        <f t="shared" si="8"/>
        <v>31640625</v>
      </c>
      <c r="M60" s="11">
        <f t="shared" si="8"/>
        <v>-421875</v>
      </c>
      <c r="N60" s="11">
        <f t="shared" si="8"/>
        <v>5625</v>
      </c>
      <c r="O60" s="11">
        <f t="shared" si="8"/>
        <v>-75</v>
      </c>
      <c r="P60" s="11">
        <f t="shared" si="7"/>
        <v>0</v>
      </c>
    </row>
    <row r="61" spans="1:16" x14ac:dyDescent="0.25">
      <c r="A61" s="11">
        <f t="shared" si="6"/>
        <v>6</v>
      </c>
      <c r="B61">
        <v>-16.897261895279662</v>
      </c>
      <c r="E61" s="11">
        <f>A61-'Mastercurve bestimmen'!$B$2</f>
        <v>-74</v>
      </c>
      <c r="F61" s="11">
        <f t="shared" si="4"/>
        <v>-16.897261895279662</v>
      </c>
      <c r="G61" s="11"/>
      <c r="H61" s="11">
        <f t="shared" si="8"/>
        <v>899194740203776</v>
      </c>
      <c r="I61" s="11">
        <f t="shared" si="8"/>
        <v>-12151280273024</v>
      </c>
      <c r="J61" s="11">
        <f t="shared" si="8"/>
        <v>164206490176</v>
      </c>
      <c r="K61" s="11">
        <f t="shared" si="8"/>
        <v>-2219006624</v>
      </c>
      <c r="L61" s="11">
        <f t="shared" si="8"/>
        <v>29986576</v>
      </c>
      <c r="M61" s="11">
        <f t="shared" si="8"/>
        <v>-405224</v>
      </c>
      <c r="N61" s="11">
        <f t="shared" si="8"/>
        <v>5476</v>
      </c>
      <c r="O61" s="11">
        <f t="shared" si="8"/>
        <v>-74</v>
      </c>
      <c r="P61" s="11">
        <f t="shared" si="7"/>
        <v>0</v>
      </c>
    </row>
    <row r="62" spans="1:16" x14ac:dyDescent="0.25">
      <c r="A62" s="11">
        <f t="shared" si="6"/>
        <v>7</v>
      </c>
      <c r="B62">
        <v>-16.770998946718613</v>
      </c>
      <c r="E62" s="11">
        <f>A62-'Mastercurve bestimmen'!$B$2</f>
        <v>-73</v>
      </c>
      <c r="F62" s="11">
        <f t="shared" si="4"/>
        <v>-16.770998946718613</v>
      </c>
      <c r="G62" s="11"/>
      <c r="H62" s="11">
        <f t="shared" si="8"/>
        <v>806460091894081</v>
      </c>
      <c r="I62" s="11">
        <f t="shared" si="8"/>
        <v>-11047398519097</v>
      </c>
      <c r="J62" s="11">
        <f t="shared" si="8"/>
        <v>151334226289</v>
      </c>
      <c r="K62" s="11">
        <f t="shared" si="8"/>
        <v>-2073071593</v>
      </c>
      <c r="L62" s="11">
        <f t="shared" si="8"/>
        <v>28398241</v>
      </c>
      <c r="M62" s="11">
        <f t="shared" si="8"/>
        <v>-389017</v>
      </c>
      <c r="N62" s="11">
        <f t="shared" si="8"/>
        <v>5329</v>
      </c>
      <c r="O62" s="11">
        <f t="shared" si="8"/>
        <v>-73</v>
      </c>
      <c r="P62" s="11">
        <f t="shared" si="7"/>
        <v>0</v>
      </c>
    </row>
    <row r="63" spans="1:16" x14ac:dyDescent="0.25">
      <c r="A63" s="11">
        <f t="shared" si="6"/>
        <v>8</v>
      </c>
      <c r="B63">
        <v>-16.642023613844472</v>
      </c>
      <c r="E63" s="11">
        <f>A63-'Mastercurve bestimmen'!$B$2</f>
        <v>-72</v>
      </c>
      <c r="F63" s="11">
        <f t="shared" si="4"/>
        <v>-16.642023613844472</v>
      </c>
      <c r="G63" s="11"/>
      <c r="H63" s="11">
        <f t="shared" si="8"/>
        <v>722204136308736</v>
      </c>
      <c r="I63" s="11">
        <f t="shared" si="8"/>
        <v>-10030613004288</v>
      </c>
      <c r="J63" s="11">
        <f t="shared" si="8"/>
        <v>139314069504</v>
      </c>
      <c r="K63" s="11">
        <f t="shared" si="8"/>
        <v>-1934917632</v>
      </c>
      <c r="L63" s="11">
        <f t="shared" si="8"/>
        <v>26873856</v>
      </c>
      <c r="M63" s="11">
        <f t="shared" si="8"/>
        <v>-373248</v>
      </c>
      <c r="N63" s="11">
        <f t="shared" si="8"/>
        <v>5184</v>
      </c>
      <c r="O63" s="11">
        <f t="shared" si="8"/>
        <v>-72</v>
      </c>
      <c r="P63" s="11">
        <f t="shared" si="7"/>
        <v>0</v>
      </c>
    </row>
    <row r="64" spans="1:16" x14ac:dyDescent="0.25">
      <c r="A64" s="11">
        <f t="shared" si="6"/>
        <v>9</v>
      </c>
      <c r="B64">
        <v>-16.510283193004575</v>
      </c>
      <c r="E64" s="11">
        <f>A64-'Mastercurve bestimmen'!$B$2</f>
        <v>-71</v>
      </c>
      <c r="F64" s="11">
        <f t="shared" si="4"/>
        <v>-16.510283193004575</v>
      </c>
      <c r="G64" s="11"/>
      <c r="H64" s="11">
        <f t="shared" si="8"/>
        <v>645753531245761</v>
      </c>
      <c r="I64" s="11">
        <f t="shared" si="8"/>
        <v>-9095120158391</v>
      </c>
      <c r="J64" s="11">
        <f t="shared" si="8"/>
        <v>128100283921</v>
      </c>
      <c r="K64" s="11">
        <f t="shared" si="8"/>
        <v>-1804229351</v>
      </c>
      <c r="L64" s="11">
        <f t="shared" si="8"/>
        <v>25411681</v>
      </c>
      <c r="M64" s="11">
        <f t="shared" si="8"/>
        <v>-357911</v>
      </c>
      <c r="N64" s="11">
        <f t="shared" si="8"/>
        <v>5041</v>
      </c>
      <c r="O64" s="11">
        <f t="shared" si="8"/>
        <v>-71</v>
      </c>
      <c r="P64" s="11">
        <f t="shared" si="7"/>
        <v>0</v>
      </c>
    </row>
    <row r="65" spans="1:16" x14ac:dyDescent="0.25">
      <c r="A65" s="11">
        <f t="shared" si="6"/>
        <v>10</v>
      </c>
      <c r="B65">
        <v>-16.375724980546259</v>
      </c>
      <c r="E65" s="11">
        <f>A65-'Mastercurve bestimmen'!$B$2</f>
        <v>-70</v>
      </c>
      <c r="F65" s="11">
        <f t="shared" si="4"/>
        <v>-16.375724980546259</v>
      </c>
      <c r="G65" s="11"/>
      <c r="H65" s="11">
        <f t="shared" si="8"/>
        <v>576480100000000</v>
      </c>
      <c r="I65" s="11">
        <f t="shared" si="8"/>
        <v>-8235430000000</v>
      </c>
      <c r="J65" s="11">
        <f t="shared" si="8"/>
        <v>117649000000</v>
      </c>
      <c r="K65" s="11">
        <f t="shared" si="8"/>
        <v>-1680700000</v>
      </c>
      <c r="L65" s="11">
        <f t="shared" si="8"/>
        <v>24010000</v>
      </c>
      <c r="M65" s="11">
        <f t="shared" si="8"/>
        <v>-343000</v>
      </c>
      <c r="N65" s="11">
        <f t="shared" si="8"/>
        <v>4900</v>
      </c>
      <c r="O65" s="11">
        <f t="shared" si="8"/>
        <v>-70</v>
      </c>
      <c r="P65" s="11">
        <f t="shared" si="7"/>
        <v>0</v>
      </c>
    </row>
    <row r="66" spans="1:16" x14ac:dyDescent="0.25">
      <c r="A66" s="11">
        <f t="shared" si="6"/>
        <v>11</v>
      </c>
      <c r="B66">
        <v>-16.238296272816868</v>
      </c>
      <c r="E66" s="11">
        <f>A66-'Mastercurve bestimmen'!$B$2</f>
        <v>-69</v>
      </c>
      <c r="F66" s="11">
        <f t="shared" si="4"/>
        <v>-16.238296272816868</v>
      </c>
      <c r="G66" s="11"/>
      <c r="H66" s="11">
        <f t="shared" si="8"/>
        <v>513798374428641</v>
      </c>
      <c r="I66" s="11">
        <f t="shared" si="8"/>
        <v>-7446353252589</v>
      </c>
      <c r="J66" s="11">
        <f t="shared" si="8"/>
        <v>107918163081</v>
      </c>
      <c r="K66" s="11">
        <f t="shared" si="8"/>
        <v>-1564031349</v>
      </c>
      <c r="L66" s="11">
        <f t="shared" si="8"/>
        <v>22667121</v>
      </c>
      <c r="M66" s="11">
        <f t="shared" si="8"/>
        <v>-328509</v>
      </c>
      <c r="N66" s="11">
        <f t="shared" si="8"/>
        <v>4761</v>
      </c>
      <c r="O66" s="11">
        <f t="shared" si="8"/>
        <v>-69</v>
      </c>
      <c r="P66" s="11">
        <f t="shared" si="7"/>
        <v>0</v>
      </c>
    </row>
    <row r="67" spans="1:16" x14ac:dyDescent="0.25">
      <c r="A67" s="11">
        <f t="shared" si="6"/>
        <v>12</v>
      </c>
      <c r="B67">
        <v>-16.097944366163738</v>
      </c>
      <c r="E67" s="11">
        <f>A67-'Mastercurve bestimmen'!$B$2</f>
        <v>-68</v>
      </c>
      <c r="F67" s="11">
        <f t="shared" si="4"/>
        <v>-16.097944366163738</v>
      </c>
      <c r="G67" s="11"/>
      <c r="H67" s="11">
        <f t="shared" si="8"/>
        <v>457163239653376</v>
      </c>
      <c r="I67" s="11">
        <f t="shared" si="8"/>
        <v>-6722988818432</v>
      </c>
      <c r="J67" s="11">
        <f t="shared" si="8"/>
        <v>98867482624</v>
      </c>
      <c r="K67" s="11">
        <f t="shared" si="8"/>
        <v>-1453933568</v>
      </c>
      <c r="L67" s="11">
        <f t="shared" si="8"/>
        <v>21381376</v>
      </c>
      <c r="M67" s="11">
        <f t="shared" si="8"/>
        <v>-314432</v>
      </c>
      <c r="N67" s="11">
        <f t="shared" si="8"/>
        <v>4624</v>
      </c>
      <c r="O67" s="11">
        <f t="shared" si="8"/>
        <v>-68</v>
      </c>
      <c r="P67" s="11">
        <f t="shared" si="7"/>
        <v>0</v>
      </c>
    </row>
    <row r="68" spans="1:16" x14ac:dyDescent="0.25">
      <c r="A68" s="11">
        <f t="shared" si="6"/>
        <v>13</v>
      </c>
      <c r="B68">
        <v>-15.954616556934203</v>
      </c>
      <c r="E68" s="11">
        <f>A68-'Mastercurve bestimmen'!$B$2</f>
        <v>-67</v>
      </c>
      <c r="F68" s="11">
        <f t="shared" si="4"/>
        <v>-15.954616556934203</v>
      </c>
      <c r="G68" s="11"/>
      <c r="H68" s="11">
        <f t="shared" si="8"/>
        <v>406067677556641</v>
      </c>
      <c r="I68" s="11">
        <f t="shared" si="8"/>
        <v>-6060711605323</v>
      </c>
      <c r="J68" s="11">
        <f t="shared" si="8"/>
        <v>90458382169</v>
      </c>
      <c r="K68" s="11">
        <f t="shared" si="8"/>
        <v>-1350125107</v>
      </c>
      <c r="L68" s="11">
        <f t="shared" si="8"/>
        <v>20151121</v>
      </c>
      <c r="M68" s="11">
        <f t="shared" si="8"/>
        <v>-300763</v>
      </c>
      <c r="N68" s="11">
        <f t="shared" si="8"/>
        <v>4489</v>
      </c>
      <c r="O68" s="11">
        <f t="shared" si="8"/>
        <v>-67</v>
      </c>
      <c r="P68" s="11">
        <f t="shared" si="7"/>
        <v>0</v>
      </c>
    </row>
    <row r="69" spans="1:16" x14ac:dyDescent="0.25">
      <c r="A69" s="11">
        <f t="shared" si="6"/>
        <v>14</v>
      </c>
      <c r="B69">
        <v>-15.808260141475612</v>
      </c>
      <c r="E69" s="11">
        <f>A69-'Mastercurve bestimmen'!$B$2</f>
        <v>-66</v>
      </c>
      <c r="F69" s="11">
        <f t="shared" si="4"/>
        <v>-15.808260141475612</v>
      </c>
      <c r="G69" s="11"/>
      <c r="H69" s="11">
        <f t="shared" si="8"/>
        <v>360040606269696</v>
      </c>
      <c r="I69" s="11">
        <f t="shared" si="8"/>
        <v>-5455160701056</v>
      </c>
      <c r="J69" s="11">
        <f t="shared" si="8"/>
        <v>82653950016</v>
      </c>
      <c r="K69" s="11">
        <f t="shared" si="8"/>
        <v>-1252332576</v>
      </c>
      <c r="L69" s="11">
        <f t="shared" si="8"/>
        <v>18974736</v>
      </c>
      <c r="M69" s="11">
        <f t="shared" si="8"/>
        <v>-287496</v>
      </c>
      <c r="N69" s="11">
        <f t="shared" si="8"/>
        <v>4356</v>
      </c>
      <c r="O69" s="11">
        <f t="shared" si="8"/>
        <v>-66</v>
      </c>
      <c r="P69" s="11">
        <f t="shared" si="7"/>
        <v>0</v>
      </c>
    </row>
    <row r="70" spans="1:16" x14ac:dyDescent="0.25">
      <c r="A70" s="11">
        <f t="shared" si="6"/>
        <v>15</v>
      </c>
      <c r="B70">
        <v>-15.658822416135298</v>
      </c>
      <c r="E70" s="11">
        <f>A70-'Mastercurve bestimmen'!$B$2</f>
        <v>-65</v>
      </c>
      <c r="F70" s="11">
        <f t="shared" si="4"/>
        <v>-15.658822416135298</v>
      </c>
      <c r="G70" s="11"/>
      <c r="H70" s="11">
        <f t="shared" si="8"/>
        <v>318644812890625</v>
      </c>
      <c r="I70" s="11">
        <f t="shared" si="8"/>
        <v>-4902227890625</v>
      </c>
      <c r="J70" s="11">
        <f t="shared" si="8"/>
        <v>75418890625</v>
      </c>
      <c r="K70" s="11">
        <f t="shared" si="8"/>
        <v>-1160290625</v>
      </c>
      <c r="L70" s="11">
        <f t="shared" si="8"/>
        <v>17850625</v>
      </c>
      <c r="M70" s="11">
        <f t="shared" si="8"/>
        <v>-274625</v>
      </c>
      <c r="N70" s="11">
        <f t="shared" si="8"/>
        <v>4225</v>
      </c>
      <c r="O70" s="11">
        <f t="shared" si="8"/>
        <v>-65</v>
      </c>
      <c r="P70" s="11">
        <f t="shared" si="7"/>
        <v>0</v>
      </c>
    </row>
    <row r="71" spans="1:16" x14ac:dyDescent="0.25">
      <c r="A71" s="11">
        <f t="shared" si="6"/>
        <v>16</v>
      </c>
      <c r="B71">
        <v>-15.506250677260599</v>
      </c>
      <c r="E71" s="11">
        <f>A71-'Mastercurve bestimmen'!$B$2</f>
        <v>-64</v>
      </c>
      <c r="F71" s="11">
        <f t="shared" si="4"/>
        <v>-15.506250677260599</v>
      </c>
      <c r="G71" s="11"/>
      <c r="H71" s="11">
        <f t="shared" si="8"/>
        <v>281474976710656</v>
      </c>
      <c r="I71" s="11">
        <f t="shared" si="8"/>
        <v>-4398046511104</v>
      </c>
      <c r="J71" s="11">
        <f t="shared" si="8"/>
        <v>68719476736</v>
      </c>
      <c r="K71" s="11">
        <f t="shared" si="8"/>
        <v>-1073741824</v>
      </c>
      <c r="L71" s="11">
        <f t="shared" si="8"/>
        <v>16777216</v>
      </c>
      <c r="M71" s="11">
        <f t="shared" si="8"/>
        <v>-262144</v>
      </c>
      <c r="N71" s="11">
        <f t="shared" si="8"/>
        <v>4096</v>
      </c>
      <c r="O71" s="11">
        <f t="shared" si="8"/>
        <v>-64</v>
      </c>
      <c r="P71" s="11">
        <f t="shared" si="7"/>
        <v>0</v>
      </c>
    </row>
    <row r="72" spans="1:16" x14ac:dyDescent="0.25">
      <c r="A72" s="11">
        <f t="shared" si="6"/>
        <v>17</v>
      </c>
      <c r="B72">
        <v>-15.350492221198856</v>
      </c>
      <c r="E72" s="11">
        <f>A72-'Mastercurve bestimmen'!$B$2</f>
        <v>-63</v>
      </c>
      <c r="F72" s="11">
        <f t="shared" si="4"/>
        <v>-15.350492221198856</v>
      </c>
      <c r="G72" s="11"/>
      <c r="H72" s="11">
        <f t="shared" si="8"/>
        <v>248155780267521</v>
      </c>
      <c r="I72" s="11">
        <f t="shared" si="8"/>
        <v>-3938980639167</v>
      </c>
      <c r="J72" s="11">
        <f t="shared" si="8"/>
        <v>62523502209</v>
      </c>
      <c r="K72" s="11">
        <f t="shared" si="8"/>
        <v>-992436543</v>
      </c>
      <c r="L72" s="11">
        <f t="shared" si="8"/>
        <v>15752961</v>
      </c>
      <c r="M72" s="11">
        <f t="shared" si="8"/>
        <v>-250047</v>
      </c>
      <c r="N72" s="11">
        <f t="shared" si="8"/>
        <v>3969</v>
      </c>
      <c r="O72" s="11">
        <f t="shared" si="8"/>
        <v>-63</v>
      </c>
      <c r="P72" s="11">
        <f t="shared" si="7"/>
        <v>0</v>
      </c>
    </row>
    <row r="73" spans="1:16" x14ac:dyDescent="0.25">
      <c r="A73" s="11">
        <f t="shared" si="6"/>
        <v>18</v>
      </c>
      <c r="B73">
        <v>-15.191494344297407</v>
      </c>
      <c r="E73" s="11">
        <f>A73-'Mastercurve bestimmen'!$B$2</f>
        <v>-62</v>
      </c>
      <c r="F73" s="11">
        <f t="shared" si="4"/>
        <v>-15.191494344297407</v>
      </c>
      <c r="G73" s="11"/>
      <c r="H73" s="11">
        <f t="shared" si="8"/>
        <v>218340105584896</v>
      </c>
      <c r="I73" s="11">
        <f t="shared" si="8"/>
        <v>-3521614606208</v>
      </c>
      <c r="J73" s="11">
        <f t="shared" si="8"/>
        <v>56800235584</v>
      </c>
      <c r="K73" s="11">
        <f t="shared" si="8"/>
        <v>-916132832</v>
      </c>
      <c r="L73" s="11">
        <f t="shared" si="8"/>
        <v>14776336</v>
      </c>
      <c r="M73" s="11">
        <f t="shared" si="8"/>
        <v>-238328</v>
      </c>
      <c r="N73" s="11">
        <f t="shared" si="8"/>
        <v>3844</v>
      </c>
      <c r="O73" s="11">
        <f t="shared" si="8"/>
        <v>-62</v>
      </c>
      <c r="P73" s="11">
        <f t="shared" si="7"/>
        <v>0</v>
      </c>
    </row>
    <row r="74" spans="1:16" x14ac:dyDescent="0.25">
      <c r="A74" s="11">
        <f t="shared" si="6"/>
        <v>19</v>
      </c>
      <c r="B74">
        <v>-15.02920434290359</v>
      </c>
      <c r="E74" s="11">
        <f>A74-'Mastercurve bestimmen'!$B$2</f>
        <v>-61</v>
      </c>
      <c r="F74" s="11">
        <f t="shared" si="4"/>
        <v>-15.02920434290359</v>
      </c>
      <c r="G74" s="11"/>
      <c r="H74" s="11">
        <f t="shared" si="8"/>
        <v>191707312997281</v>
      </c>
      <c r="I74" s="11">
        <f t="shared" si="8"/>
        <v>-3142742836021</v>
      </c>
      <c r="J74" s="11">
        <f t="shared" si="8"/>
        <v>51520374361</v>
      </c>
      <c r="K74" s="11">
        <f t="shared" si="8"/>
        <v>-844596301</v>
      </c>
      <c r="L74" s="11">
        <f t="shared" si="8"/>
        <v>13845841</v>
      </c>
      <c r="M74" s="11">
        <f t="shared" si="8"/>
        <v>-226981</v>
      </c>
      <c r="N74" s="11">
        <f t="shared" si="8"/>
        <v>3721</v>
      </c>
      <c r="O74" s="11">
        <f t="shared" si="8"/>
        <v>-61</v>
      </c>
      <c r="P74" s="11">
        <f t="shared" si="7"/>
        <v>0</v>
      </c>
    </row>
    <row r="75" spans="1:16" x14ac:dyDescent="0.25">
      <c r="A75" s="11">
        <f t="shared" si="6"/>
        <v>20</v>
      </c>
      <c r="B75">
        <v>-14.863569513364745</v>
      </c>
      <c r="E75" s="11">
        <f>A75-'Mastercurve bestimmen'!$B$2</f>
        <v>-60</v>
      </c>
      <c r="F75" s="11">
        <f t="shared" si="4"/>
        <v>-14.863569513364745</v>
      </c>
      <c r="G75" s="11"/>
      <c r="H75" s="11">
        <f t="shared" si="8"/>
        <v>167961600000000</v>
      </c>
      <c r="I75" s="11">
        <f t="shared" si="8"/>
        <v>-2799360000000</v>
      </c>
      <c r="J75" s="11">
        <f t="shared" si="8"/>
        <v>46656000000</v>
      </c>
      <c r="K75" s="11">
        <f t="shared" si="8"/>
        <v>-777600000</v>
      </c>
      <c r="L75" s="11">
        <f t="shared" si="8"/>
        <v>12960000</v>
      </c>
      <c r="M75" s="11">
        <f t="shared" si="8"/>
        <v>-216000</v>
      </c>
      <c r="N75" s="11">
        <f t="shared" si="8"/>
        <v>3600</v>
      </c>
      <c r="O75" s="11">
        <f t="shared" si="8"/>
        <v>-60</v>
      </c>
      <c r="P75" s="11">
        <f t="shared" si="7"/>
        <v>0</v>
      </c>
    </row>
    <row r="76" spans="1:16" x14ac:dyDescent="0.25">
      <c r="A76" s="11">
        <f t="shared" si="6"/>
        <v>21</v>
      </c>
      <c r="B76">
        <v>-14.694537152028211</v>
      </c>
      <c r="E76" s="11">
        <f>A76-'Mastercurve bestimmen'!$B$2</f>
        <v>-59</v>
      </c>
      <c r="F76" s="11">
        <f t="shared" si="4"/>
        <v>-14.694537152028211</v>
      </c>
      <c r="G76" s="11"/>
      <c r="H76" s="11">
        <f t="shared" si="8"/>
        <v>146830437604321</v>
      </c>
      <c r="I76" s="11">
        <f t="shared" si="8"/>
        <v>-2488651484819</v>
      </c>
      <c r="J76" s="11">
        <f t="shared" si="8"/>
        <v>42180533641</v>
      </c>
      <c r="K76" s="11">
        <f t="shared" si="8"/>
        <v>-714924299</v>
      </c>
      <c r="L76" s="11">
        <f t="shared" si="8"/>
        <v>12117361</v>
      </c>
      <c r="M76" s="11">
        <f t="shared" si="8"/>
        <v>-205379</v>
      </c>
      <c r="N76" s="11">
        <f t="shared" si="8"/>
        <v>3481</v>
      </c>
      <c r="O76" s="11">
        <f t="shared" si="8"/>
        <v>-59</v>
      </c>
      <c r="P76" s="11">
        <f t="shared" si="7"/>
        <v>0</v>
      </c>
    </row>
    <row r="77" spans="1:16" x14ac:dyDescent="0.25">
      <c r="A77" s="11">
        <f t="shared" si="6"/>
        <v>22</v>
      </c>
      <c r="B77">
        <v>-14.522054555241324</v>
      </c>
      <c r="E77" s="11">
        <f>A77-'Mastercurve bestimmen'!$B$2</f>
        <v>-58</v>
      </c>
      <c r="F77" s="11">
        <f t="shared" si="4"/>
        <v>-14.522054555241324</v>
      </c>
      <c r="G77" s="11"/>
      <c r="H77" s="11">
        <f t="shared" si="8"/>
        <v>128063081718016</v>
      </c>
      <c r="I77" s="11">
        <f t="shared" si="8"/>
        <v>-2207984167552</v>
      </c>
      <c r="J77" s="11">
        <f t="shared" si="8"/>
        <v>38068692544</v>
      </c>
      <c r="K77" s="11">
        <f t="shared" si="8"/>
        <v>-656356768</v>
      </c>
      <c r="L77" s="11">
        <f t="shared" si="8"/>
        <v>11316496</v>
      </c>
      <c r="M77" s="11">
        <f t="shared" si="8"/>
        <v>-195112</v>
      </c>
      <c r="N77" s="11">
        <f t="shared" si="8"/>
        <v>3364</v>
      </c>
      <c r="O77" s="11">
        <f t="shared" si="8"/>
        <v>-58</v>
      </c>
      <c r="P77" s="11">
        <f t="shared" si="7"/>
        <v>0</v>
      </c>
    </row>
    <row r="78" spans="1:16" x14ac:dyDescent="0.25">
      <c r="A78" s="11">
        <f t="shared" si="6"/>
        <v>23</v>
      </c>
      <c r="B78">
        <v>-14.346069019351425</v>
      </c>
      <c r="E78" s="11">
        <f>A78-'Mastercurve bestimmen'!$B$2</f>
        <v>-57</v>
      </c>
      <c r="F78" s="11">
        <f t="shared" si="4"/>
        <v>-14.346069019351425</v>
      </c>
      <c r="G78" s="11"/>
      <c r="H78" s="11">
        <f t="shared" si="8"/>
        <v>111429157112001</v>
      </c>
      <c r="I78" s="11">
        <f t="shared" si="8"/>
        <v>-1954897493193</v>
      </c>
      <c r="J78" s="11">
        <f t="shared" si="8"/>
        <v>34296447249</v>
      </c>
      <c r="K78" s="11">
        <f t="shared" si="8"/>
        <v>-601692057</v>
      </c>
      <c r="L78" s="11">
        <f t="shared" si="8"/>
        <v>10556001</v>
      </c>
      <c r="M78" s="11">
        <f t="shared" si="8"/>
        <v>-185193</v>
      </c>
      <c r="N78" s="11">
        <f t="shared" si="8"/>
        <v>3249</v>
      </c>
      <c r="O78" s="11">
        <f t="shared" si="8"/>
        <v>-57</v>
      </c>
      <c r="P78" s="11">
        <f t="shared" si="7"/>
        <v>0</v>
      </c>
    </row>
    <row r="79" spans="1:16" x14ac:dyDescent="0.25">
      <c r="A79" s="11">
        <f t="shared" si="6"/>
        <v>24</v>
      </c>
      <c r="B79">
        <v>-14.166527840705852</v>
      </c>
      <c r="E79" s="11">
        <f>A79-'Mastercurve bestimmen'!$B$2</f>
        <v>-56</v>
      </c>
      <c r="F79" s="11">
        <f t="shared" si="4"/>
        <v>-14.166527840705852</v>
      </c>
      <c r="G79" s="11"/>
      <c r="H79" s="11">
        <f t="shared" si="8"/>
        <v>96717311574016</v>
      </c>
      <c r="I79" s="11">
        <f t="shared" si="8"/>
        <v>-1727094849536</v>
      </c>
      <c r="J79" s="11">
        <f t="shared" si="8"/>
        <v>30840979456</v>
      </c>
      <c r="K79" s="11">
        <f t="shared" si="8"/>
        <v>-550731776</v>
      </c>
      <c r="L79" s="11">
        <f t="shared" si="8"/>
        <v>9834496</v>
      </c>
      <c r="M79" s="11">
        <f t="shared" si="8"/>
        <v>-175616</v>
      </c>
      <c r="N79" s="11">
        <f t="shared" si="8"/>
        <v>3136</v>
      </c>
      <c r="O79" s="11">
        <f t="shared" ref="I79:O116" si="9">IF($H$12&gt;=O$14,$E79^O$14,0)</f>
        <v>-56</v>
      </c>
      <c r="P79" s="11">
        <f t="shared" si="7"/>
        <v>0</v>
      </c>
    </row>
    <row r="80" spans="1:16" x14ac:dyDescent="0.25">
      <c r="A80" s="11">
        <f t="shared" si="6"/>
        <v>25</v>
      </c>
      <c r="B80">
        <v>-13.983378315651946</v>
      </c>
      <c r="E80" s="11">
        <f>A80-'Mastercurve bestimmen'!$B$2</f>
        <v>-55</v>
      </c>
      <c r="F80" s="11">
        <f t="shared" ref="F80:F143" si="10">B80</f>
        <v>-13.983378315651946</v>
      </c>
      <c r="G80" s="11"/>
      <c r="H80" s="11">
        <f t="shared" ref="H80:H143" si="11">IF($H$12&gt;=H$14,$E80^H$14,0)</f>
        <v>83733937890625</v>
      </c>
      <c r="I80" s="11">
        <f t="shared" si="9"/>
        <v>-1522435234375</v>
      </c>
      <c r="J80" s="11">
        <f t="shared" si="9"/>
        <v>27680640625</v>
      </c>
      <c r="K80" s="11">
        <f t="shared" si="9"/>
        <v>-503284375</v>
      </c>
      <c r="L80" s="11">
        <f t="shared" si="9"/>
        <v>9150625</v>
      </c>
      <c r="M80" s="11">
        <f t="shared" si="9"/>
        <v>-166375</v>
      </c>
      <c r="N80" s="11">
        <f t="shared" si="9"/>
        <v>3025</v>
      </c>
      <c r="O80" s="11">
        <f t="shared" si="9"/>
        <v>-55</v>
      </c>
      <c r="P80" s="11">
        <f t="shared" si="7"/>
        <v>0</v>
      </c>
    </row>
    <row r="81" spans="1:16" x14ac:dyDescent="0.25">
      <c r="A81" s="11">
        <f t="shared" ref="A81:A144" si="12">A80+1</f>
        <v>26</v>
      </c>
      <c r="B81">
        <v>-13.796598306939895</v>
      </c>
      <c r="E81" s="11">
        <f>A81-'Mastercurve bestimmen'!$B$2</f>
        <v>-54</v>
      </c>
      <c r="F81" s="11">
        <f t="shared" si="10"/>
        <v>-13.796598306939895</v>
      </c>
      <c r="G81" s="11"/>
      <c r="H81" s="11">
        <f t="shared" si="11"/>
        <v>72301961339136</v>
      </c>
      <c r="I81" s="11">
        <f t="shared" si="9"/>
        <v>-1338925209984</v>
      </c>
      <c r="J81" s="11">
        <f t="shared" si="9"/>
        <v>24794911296</v>
      </c>
      <c r="K81" s="11">
        <f t="shared" si="9"/>
        <v>-459165024</v>
      </c>
      <c r="L81" s="11">
        <f t="shared" si="9"/>
        <v>8503056</v>
      </c>
      <c r="M81" s="11">
        <f t="shared" si="9"/>
        <v>-157464</v>
      </c>
      <c r="N81" s="11">
        <f t="shared" si="9"/>
        <v>2916</v>
      </c>
      <c r="O81" s="11">
        <f t="shared" si="9"/>
        <v>-54</v>
      </c>
      <c r="P81" s="11">
        <f t="shared" ref="P81:P144" si="13">P80</f>
        <v>0</v>
      </c>
    </row>
    <row r="82" spans="1:16" x14ac:dyDescent="0.25">
      <c r="A82" s="11">
        <f t="shared" si="12"/>
        <v>27</v>
      </c>
      <c r="B82">
        <v>-13.606287942931303</v>
      </c>
      <c r="E82" s="11">
        <f>A82-'Mastercurve bestimmen'!$B$2</f>
        <v>-53</v>
      </c>
      <c r="F82" s="11">
        <f t="shared" si="10"/>
        <v>-13.606287942931303</v>
      </c>
      <c r="G82" s="11"/>
      <c r="H82" s="11">
        <f t="shared" si="11"/>
        <v>62259690411361</v>
      </c>
      <c r="I82" s="11">
        <f t="shared" si="9"/>
        <v>-1174711139837</v>
      </c>
      <c r="J82" s="11">
        <f t="shared" si="9"/>
        <v>22164361129</v>
      </c>
      <c r="K82" s="11">
        <f t="shared" si="9"/>
        <v>-418195493</v>
      </c>
      <c r="L82" s="11">
        <f t="shared" si="9"/>
        <v>7890481</v>
      </c>
      <c r="M82" s="11">
        <f t="shared" si="9"/>
        <v>-148877</v>
      </c>
      <c r="N82" s="11">
        <f t="shared" si="9"/>
        <v>2809</v>
      </c>
      <c r="O82" s="11">
        <f t="shared" si="9"/>
        <v>-53</v>
      </c>
      <c r="P82" s="11">
        <f t="shared" si="13"/>
        <v>0</v>
      </c>
    </row>
    <row r="83" spans="1:16" x14ac:dyDescent="0.25">
      <c r="A83" s="11">
        <f t="shared" si="12"/>
        <v>28</v>
      </c>
      <c r="B83">
        <v>-13.412577918390625</v>
      </c>
      <c r="E83" s="11">
        <f>A83-'Mastercurve bestimmen'!$B$2</f>
        <v>-52</v>
      </c>
      <c r="F83" s="11">
        <f t="shared" si="10"/>
        <v>-13.412577918390625</v>
      </c>
      <c r="G83" s="11"/>
      <c r="H83" s="11">
        <f t="shared" si="11"/>
        <v>53459728531456</v>
      </c>
      <c r="I83" s="11">
        <f t="shared" si="9"/>
        <v>-1028071702528</v>
      </c>
      <c r="J83" s="11">
        <f t="shared" si="9"/>
        <v>19770609664</v>
      </c>
      <c r="K83" s="11">
        <f t="shared" si="9"/>
        <v>-380204032</v>
      </c>
      <c r="L83" s="11">
        <f t="shared" si="9"/>
        <v>7311616</v>
      </c>
      <c r="M83" s="11">
        <f t="shared" si="9"/>
        <v>-140608</v>
      </c>
      <c r="N83" s="11">
        <f t="shared" si="9"/>
        <v>2704</v>
      </c>
      <c r="O83" s="11">
        <f t="shared" si="9"/>
        <v>-52</v>
      </c>
      <c r="P83" s="11">
        <f t="shared" si="13"/>
        <v>0</v>
      </c>
    </row>
    <row r="84" spans="1:16" x14ac:dyDescent="0.25">
      <c r="A84" s="11">
        <f t="shared" si="12"/>
        <v>29</v>
      </c>
      <c r="B84">
        <v>-13.215598928082313</v>
      </c>
      <c r="E84" s="11">
        <f>A84-'Mastercurve bestimmen'!$B$2</f>
        <v>-51</v>
      </c>
      <c r="F84" s="11">
        <f t="shared" si="10"/>
        <v>-13.215598928082313</v>
      </c>
      <c r="G84" s="11"/>
      <c r="H84" s="11">
        <f t="shared" si="11"/>
        <v>45767944570401</v>
      </c>
      <c r="I84" s="11">
        <f t="shared" si="9"/>
        <v>-897410677851</v>
      </c>
      <c r="J84" s="11">
        <f t="shared" si="9"/>
        <v>17596287801</v>
      </c>
      <c r="K84" s="11">
        <f t="shared" si="9"/>
        <v>-345025251</v>
      </c>
      <c r="L84" s="11">
        <f t="shared" si="9"/>
        <v>6765201</v>
      </c>
      <c r="M84" s="11">
        <f t="shared" si="9"/>
        <v>-132651</v>
      </c>
      <c r="N84" s="11">
        <f t="shared" si="9"/>
        <v>2601</v>
      </c>
      <c r="O84" s="11">
        <f t="shared" si="9"/>
        <v>-51</v>
      </c>
      <c r="P84" s="11">
        <f t="shared" si="13"/>
        <v>0</v>
      </c>
    </row>
    <row r="85" spans="1:16" x14ac:dyDescent="0.25">
      <c r="A85" s="11">
        <f t="shared" si="12"/>
        <v>30</v>
      </c>
      <c r="B85">
        <v>-13.015481666770825</v>
      </c>
      <c r="E85" s="11">
        <f>A85-'Mastercurve bestimmen'!$B$2</f>
        <v>-50</v>
      </c>
      <c r="F85" s="11">
        <f t="shared" si="10"/>
        <v>-13.015481666770825</v>
      </c>
      <c r="G85" s="11"/>
      <c r="H85" s="11">
        <f t="shared" si="11"/>
        <v>39062500000000</v>
      </c>
      <c r="I85" s="11">
        <f t="shared" si="9"/>
        <v>-781250000000</v>
      </c>
      <c r="J85" s="11">
        <f t="shared" si="9"/>
        <v>15625000000</v>
      </c>
      <c r="K85" s="11">
        <f t="shared" si="9"/>
        <v>-312500000</v>
      </c>
      <c r="L85" s="11">
        <f t="shared" si="9"/>
        <v>6250000</v>
      </c>
      <c r="M85" s="11">
        <f t="shared" si="9"/>
        <v>-125000</v>
      </c>
      <c r="N85" s="11">
        <f t="shared" si="9"/>
        <v>2500</v>
      </c>
      <c r="O85" s="11">
        <f t="shared" si="9"/>
        <v>-50</v>
      </c>
      <c r="P85" s="11">
        <f t="shared" si="13"/>
        <v>0</v>
      </c>
    </row>
    <row r="86" spans="1:16" x14ac:dyDescent="0.25">
      <c r="A86" s="11">
        <f t="shared" si="12"/>
        <v>31</v>
      </c>
      <c r="B86">
        <v>-12.812356829220615</v>
      </c>
      <c r="E86" s="11">
        <f>A86-'Mastercurve bestimmen'!$B$2</f>
        <v>-49</v>
      </c>
      <c r="F86" s="11">
        <f t="shared" si="10"/>
        <v>-12.812356829220615</v>
      </c>
      <c r="G86" s="11"/>
      <c r="H86" s="11">
        <f t="shared" si="11"/>
        <v>33232930569601</v>
      </c>
      <c r="I86" s="11">
        <f t="shared" si="9"/>
        <v>-678223072849</v>
      </c>
      <c r="J86" s="11">
        <f t="shared" si="9"/>
        <v>13841287201</v>
      </c>
      <c r="K86" s="11">
        <f t="shared" si="9"/>
        <v>-282475249</v>
      </c>
      <c r="L86" s="11">
        <f t="shared" si="9"/>
        <v>5764801</v>
      </c>
      <c r="M86" s="11">
        <f t="shared" si="9"/>
        <v>-117649</v>
      </c>
      <c r="N86" s="11">
        <f t="shared" si="9"/>
        <v>2401</v>
      </c>
      <c r="O86" s="11">
        <f t="shared" si="9"/>
        <v>-49</v>
      </c>
      <c r="P86" s="11">
        <f t="shared" si="13"/>
        <v>0</v>
      </c>
    </row>
    <row r="87" spans="1:16" x14ac:dyDescent="0.25">
      <c r="A87" s="11">
        <f t="shared" si="12"/>
        <v>32</v>
      </c>
      <c r="B87">
        <v>-12.606355110196134</v>
      </c>
      <c r="E87" s="11">
        <f>A87-'Mastercurve bestimmen'!$B$2</f>
        <v>-48</v>
      </c>
      <c r="F87" s="11">
        <f t="shared" si="10"/>
        <v>-12.606355110196134</v>
      </c>
      <c r="G87" s="11"/>
      <c r="H87" s="11">
        <f t="shared" si="11"/>
        <v>28179280429056</v>
      </c>
      <c r="I87" s="11">
        <f t="shared" si="9"/>
        <v>-587068342272</v>
      </c>
      <c r="J87" s="11">
        <f t="shared" si="9"/>
        <v>12230590464</v>
      </c>
      <c r="K87" s="11">
        <f t="shared" si="9"/>
        <v>-254803968</v>
      </c>
      <c r="L87" s="11">
        <f t="shared" si="9"/>
        <v>5308416</v>
      </c>
      <c r="M87" s="11">
        <f t="shared" si="9"/>
        <v>-110592</v>
      </c>
      <c r="N87" s="11">
        <f t="shared" si="9"/>
        <v>2304</v>
      </c>
      <c r="O87" s="11">
        <f t="shared" si="9"/>
        <v>-48</v>
      </c>
      <c r="P87" s="11">
        <f t="shared" si="13"/>
        <v>0</v>
      </c>
    </row>
    <row r="88" spans="1:16" x14ac:dyDescent="0.25">
      <c r="A88" s="11">
        <f t="shared" si="12"/>
        <v>33</v>
      </c>
      <c r="B88">
        <v>-12.397607204461842</v>
      </c>
      <c r="E88" s="11">
        <f>A88-'Mastercurve bestimmen'!$B$2</f>
        <v>-47</v>
      </c>
      <c r="F88" s="11">
        <f t="shared" si="10"/>
        <v>-12.397607204461842</v>
      </c>
      <c r="G88" s="11"/>
      <c r="H88" s="11">
        <f t="shared" si="11"/>
        <v>23811286661761</v>
      </c>
      <c r="I88" s="11">
        <f t="shared" si="9"/>
        <v>-506623120463</v>
      </c>
      <c r="J88" s="11">
        <f t="shared" si="9"/>
        <v>10779215329</v>
      </c>
      <c r="K88" s="11">
        <f t="shared" si="9"/>
        <v>-229345007</v>
      </c>
      <c r="L88" s="11">
        <f t="shared" si="9"/>
        <v>4879681</v>
      </c>
      <c r="M88" s="11">
        <f t="shared" si="9"/>
        <v>-103823</v>
      </c>
      <c r="N88" s="11">
        <f t="shared" si="9"/>
        <v>2209</v>
      </c>
      <c r="O88" s="11">
        <f t="shared" si="9"/>
        <v>-47</v>
      </c>
      <c r="P88" s="11">
        <f t="shared" si="13"/>
        <v>0</v>
      </c>
    </row>
    <row r="89" spans="1:16" x14ac:dyDescent="0.25">
      <c r="A89" s="11">
        <f t="shared" si="12"/>
        <v>34</v>
      </c>
      <c r="B89">
        <v>-12.186243806782189</v>
      </c>
      <c r="E89" s="11">
        <f>A89-'Mastercurve bestimmen'!$B$2</f>
        <v>-46</v>
      </c>
      <c r="F89" s="11">
        <f t="shared" si="10"/>
        <v>-12.186243806782189</v>
      </c>
      <c r="G89" s="11"/>
      <c r="H89" s="11">
        <f t="shared" si="11"/>
        <v>20047612231936</v>
      </c>
      <c r="I89" s="11">
        <f t="shared" si="9"/>
        <v>-435817657216</v>
      </c>
      <c r="J89" s="11">
        <f t="shared" si="9"/>
        <v>9474296896</v>
      </c>
      <c r="K89" s="11">
        <f t="shared" si="9"/>
        <v>-205962976</v>
      </c>
      <c r="L89" s="11">
        <f t="shared" si="9"/>
        <v>4477456</v>
      </c>
      <c r="M89" s="11">
        <f t="shared" si="9"/>
        <v>-97336</v>
      </c>
      <c r="N89" s="11">
        <f t="shared" si="9"/>
        <v>2116</v>
      </c>
      <c r="O89" s="11">
        <f t="shared" si="9"/>
        <v>-46</v>
      </c>
      <c r="P89" s="11">
        <f t="shared" si="13"/>
        <v>0</v>
      </c>
    </row>
    <row r="90" spans="1:16" x14ac:dyDescent="0.25">
      <c r="A90" s="11">
        <f t="shared" si="12"/>
        <v>35</v>
      </c>
      <c r="B90">
        <v>-11.972395611921634</v>
      </c>
      <c r="E90" s="11">
        <f>A90-'Mastercurve bestimmen'!$B$2</f>
        <v>-45</v>
      </c>
      <c r="F90" s="11">
        <f t="shared" si="10"/>
        <v>-11.972395611921634</v>
      </c>
      <c r="G90" s="11"/>
      <c r="H90" s="11">
        <f t="shared" si="11"/>
        <v>16815125390625</v>
      </c>
      <c r="I90" s="11">
        <f t="shared" si="9"/>
        <v>-373669453125</v>
      </c>
      <c r="J90" s="11">
        <f t="shared" si="9"/>
        <v>8303765625</v>
      </c>
      <c r="K90" s="11">
        <f t="shared" si="9"/>
        <v>-184528125</v>
      </c>
      <c r="L90" s="11">
        <f t="shared" si="9"/>
        <v>4100625</v>
      </c>
      <c r="M90" s="11">
        <f t="shared" si="9"/>
        <v>-91125</v>
      </c>
      <c r="N90" s="11">
        <f t="shared" si="9"/>
        <v>2025</v>
      </c>
      <c r="O90" s="11">
        <f t="shared" si="9"/>
        <v>-45</v>
      </c>
      <c r="P90" s="11">
        <f t="shared" si="13"/>
        <v>0</v>
      </c>
    </row>
    <row r="91" spans="1:16" x14ac:dyDescent="0.25">
      <c r="A91" s="11">
        <f t="shared" si="12"/>
        <v>36</v>
      </c>
      <c r="B91">
        <v>-11.75619331464463</v>
      </c>
      <c r="E91" s="11">
        <f>A91-'Mastercurve bestimmen'!$B$2</f>
        <v>-44</v>
      </c>
      <c r="F91" s="11">
        <f t="shared" si="10"/>
        <v>-11.75619331464463</v>
      </c>
      <c r="G91" s="11"/>
      <c r="H91" s="11">
        <f t="shared" si="11"/>
        <v>14048223625216</v>
      </c>
      <c r="I91" s="11">
        <f t="shared" si="9"/>
        <v>-319277809664</v>
      </c>
      <c r="J91" s="11">
        <f t="shared" si="9"/>
        <v>7256313856</v>
      </c>
      <c r="K91" s="11">
        <f t="shared" si="9"/>
        <v>-164916224</v>
      </c>
      <c r="L91" s="11">
        <f t="shared" si="9"/>
        <v>3748096</v>
      </c>
      <c r="M91" s="11">
        <f t="shared" si="9"/>
        <v>-85184</v>
      </c>
      <c r="N91" s="11">
        <f t="shared" si="9"/>
        <v>1936</v>
      </c>
      <c r="O91" s="11">
        <f t="shared" si="9"/>
        <v>-44</v>
      </c>
      <c r="P91" s="11">
        <f t="shared" si="13"/>
        <v>0</v>
      </c>
    </row>
    <row r="92" spans="1:16" x14ac:dyDescent="0.25">
      <c r="A92" s="11">
        <f t="shared" si="12"/>
        <v>37</v>
      </c>
      <c r="B92">
        <v>-11.537767609715628</v>
      </c>
      <c r="E92" s="11">
        <f>A92-'Mastercurve bestimmen'!$B$2</f>
        <v>-43</v>
      </c>
      <c r="F92" s="11">
        <f t="shared" si="10"/>
        <v>-11.537767609715628</v>
      </c>
      <c r="G92" s="11"/>
      <c r="H92" s="11">
        <f t="shared" si="11"/>
        <v>11688200277601</v>
      </c>
      <c r="I92" s="11">
        <f t="shared" si="9"/>
        <v>-271818611107</v>
      </c>
      <c r="J92" s="11">
        <f t="shared" si="9"/>
        <v>6321363049</v>
      </c>
      <c r="K92" s="11">
        <f t="shared" si="9"/>
        <v>-147008443</v>
      </c>
      <c r="L92" s="11">
        <f t="shared" si="9"/>
        <v>3418801</v>
      </c>
      <c r="M92" s="11">
        <f t="shared" si="9"/>
        <v>-79507</v>
      </c>
      <c r="N92" s="11">
        <f t="shared" si="9"/>
        <v>1849</v>
      </c>
      <c r="O92" s="11">
        <f t="shared" si="9"/>
        <v>-43</v>
      </c>
      <c r="P92" s="11">
        <f t="shared" si="13"/>
        <v>0</v>
      </c>
    </row>
    <row r="93" spans="1:16" x14ac:dyDescent="0.25">
      <c r="A93" s="11">
        <f t="shared" si="12"/>
        <v>38</v>
      </c>
      <c r="B93">
        <v>-11.317249191899087</v>
      </c>
      <c r="E93" s="11">
        <f>A93-'Mastercurve bestimmen'!$B$2</f>
        <v>-42</v>
      </c>
      <c r="F93" s="11">
        <f t="shared" si="10"/>
        <v>-11.317249191899087</v>
      </c>
      <c r="G93" s="11"/>
      <c r="H93" s="11">
        <f t="shared" si="11"/>
        <v>9682651996416</v>
      </c>
      <c r="I93" s="11">
        <f t="shared" si="9"/>
        <v>-230539333248</v>
      </c>
      <c r="J93" s="11">
        <f t="shared" si="9"/>
        <v>5489031744</v>
      </c>
      <c r="K93" s="11">
        <f t="shared" si="9"/>
        <v>-130691232</v>
      </c>
      <c r="L93" s="11">
        <f t="shared" si="9"/>
        <v>3111696</v>
      </c>
      <c r="M93" s="11">
        <f t="shared" si="9"/>
        <v>-74088</v>
      </c>
      <c r="N93" s="11">
        <f t="shared" si="9"/>
        <v>1764</v>
      </c>
      <c r="O93" s="11">
        <f t="shared" si="9"/>
        <v>-42</v>
      </c>
      <c r="P93" s="11">
        <f t="shared" si="13"/>
        <v>0</v>
      </c>
    </row>
    <row r="94" spans="1:16" x14ac:dyDescent="0.25">
      <c r="A94" s="11">
        <f t="shared" si="12"/>
        <v>39</v>
      </c>
      <c r="B94">
        <v>-11.094768755959461</v>
      </c>
      <c r="E94" s="11">
        <f>A94-'Mastercurve bestimmen'!$B$2</f>
        <v>-41</v>
      </c>
      <c r="F94" s="11">
        <f t="shared" si="10"/>
        <v>-11.094768755959461</v>
      </c>
      <c r="G94" s="11"/>
      <c r="H94" s="11">
        <f t="shared" si="11"/>
        <v>7984925229121</v>
      </c>
      <c r="I94" s="11">
        <f t="shared" si="9"/>
        <v>-194754273881</v>
      </c>
      <c r="J94" s="11">
        <f t="shared" si="9"/>
        <v>4750104241</v>
      </c>
      <c r="K94" s="11">
        <f t="shared" si="9"/>
        <v>-115856201</v>
      </c>
      <c r="L94" s="11">
        <f t="shared" si="9"/>
        <v>2825761</v>
      </c>
      <c r="M94" s="11">
        <f t="shared" si="9"/>
        <v>-68921</v>
      </c>
      <c r="N94" s="11">
        <f t="shared" si="9"/>
        <v>1681</v>
      </c>
      <c r="O94" s="11">
        <f t="shared" si="9"/>
        <v>-41</v>
      </c>
      <c r="P94" s="11">
        <f t="shared" si="13"/>
        <v>0</v>
      </c>
    </row>
    <row r="95" spans="1:16" x14ac:dyDescent="0.25">
      <c r="A95" s="11">
        <f t="shared" si="12"/>
        <v>40</v>
      </c>
      <c r="B95">
        <v>-10.870456996661204</v>
      </c>
      <c r="E95" s="11">
        <f>A95-'Mastercurve bestimmen'!$B$2</f>
        <v>-40</v>
      </c>
      <c r="F95" s="11">
        <f t="shared" si="10"/>
        <v>-10.870456996661204</v>
      </c>
      <c r="G95" s="11"/>
      <c r="H95" s="11">
        <f t="shared" si="11"/>
        <v>6553600000000</v>
      </c>
      <c r="I95" s="11">
        <f t="shared" si="9"/>
        <v>-163840000000</v>
      </c>
      <c r="J95" s="11">
        <f t="shared" si="9"/>
        <v>4096000000</v>
      </c>
      <c r="K95" s="11">
        <f t="shared" si="9"/>
        <v>-102400000</v>
      </c>
      <c r="L95" s="11">
        <f t="shared" si="9"/>
        <v>2560000</v>
      </c>
      <c r="M95" s="11">
        <f t="shared" si="9"/>
        <v>-64000</v>
      </c>
      <c r="N95" s="11">
        <f t="shared" si="9"/>
        <v>1600</v>
      </c>
      <c r="O95" s="11">
        <f t="shared" si="9"/>
        <v>-40</v>
      </c>
      <c r="P95" s="11">
        <f t="shared" si="13"/>
        <v>0</v>
      </c>
    </row>
    <row r="96" spans="1:16" x14ac:dyDescent="0.25">
      <c r="A96" s="11">
        <f t="shared" si="12"/>
        <v>41</v>
      </c>
      <c r="B96">
        <v>-10.644444608768771</v>
      </c>
      <c r="E96" s="11">
        <f>A96-'Mastercurve bestimmen'!$B$2</f>
        <v>-39</v>
      </c>
      <c r="F96" s="11">
        <f t="shared" si="10"/>
        <v>-10.644444608768771</v>
      </c>
      <c r="G96" s="11"/>
      <c r="H96" s="11">
        <f t="shared" si="11"/>
        <v>5352009260481</v>
      </c>
      <c r="I96" s="11">
        <f t="shared" si="9"/>
        <v>-137231006679</v>
      </c>
      <c r="J96" s="11">
        <f t="shared" si="9"/>
        <v>3518743761</v>
      </c>
      <c r="K96" s="11">
        <f t="shared" si="9"/>
        <v>-90224199</v>
      </c>
      <c r="L96" s="11">
        <f t="shared" si="9"/>
        <v>2313441</v>
      </c>
      <c r="M96" s="11">
        <f t="shared" si="9"/>
        <v>-59319</v>
      </c>
      <c r="N96" s="11">
        <f t="shared" si="9"/>
        <v>1521</v>
      </c>
      <c r="O96" s="11">
        <f t="shared" si="9"/>
        <v>-39</v>
      </c>
      <c r="P96" s="11">
        <f t="shared" si="13"/>
        <v>0</v>
      </c>
    </row>
    <row r="97" spans="1:16" x14ac:dyDescent="0.25">
      <c r="A97" s="11">
        <f t="shared" si="12"/>
        <v>42</v>
      </c>
      <c r="B97">
        <v>-10.416862287046616</v>
      </c>
      <c r="E97" s="11">
        <f>A97-'Mastercurve bestimmen'!$B$2</f>
        <v>-38</v>
      </c>
      <c r="F97" s="11">
        <f t="shared" si="10"/>
        <v>-10.416862287046616</v>
      </c>
      <c r="G97" s="11"/>
      <c r="H97" s="11">
        <f t="shared" si="11"/>
        <v>4347792138496</v>
      </c>
      <c r="I97" s="11">
        <f t="shared" si="9"/>
        <v>-114415582592</v>
      </c>
      <c r="J97" s="11">
        <f t="shared" si="9"/>
        <v>3010936384</v>
      </c>
      <c r="K97" s="11">
        <f t="shared" si="9"/>
        <v>-79235168</v>
      </c>
      <c r="L97" s="11">
        <f t="shared" si="9"/>
        <v>2085136</v>
      </c>
      <c r="M97" s="11">
        <f t="shared" si="9"/>
        <v>-54872</v>
      </c>
      <c r="N97" s="11">
        <f t="shared" si="9"/>
        <v>1444</v>
      </c>
      <c r="O97" s="11">
        <f t="shared" si="9"/>
        <v>-38</v>
      </c>
      <c r="P97" s="11">
        <f t="shared" si="13"/>
        <v>0</v>
      </c>
    </row>
    <row r="98" spans="1:16" x14ac:dyDescent="0.25">
      <c r="A98" s="11">
        <f t="shared" si="12"/>
        <v>43</v>
      </c>
      <c r="B98">
        <v>-10.187840726259193</v>
      </c>
      <c r="E98" s="11">
        <f>A98-'Mastercurve bestimmen'!$B$2</f>
        <v>-37</v>
      </c>
      <c r="F98" s="11">
        <f t="shared" si="10"/>
        <v>-10.187840726259193</v>
      </c>
      <c r="G98" s="11"/>
      <c r="H98" s="11">
        <f t="shared" si="11"/>
        <v>3512479453921</v>
      </c>
      <c r="I98" s="11">
        <f t="shared" si="9"/>
        <v>-94931877133</v>
      </c>
      <c r="J98" s="11">
        <f t="shared" si="9"/>
        <v>2565726409</v>
      </c>
      <c r="K98" s="11">
        <f t="shared" si="9"/>
        <v>-69343957</v>
      </c>
      <c r="L98" s="11">
        <f t="shared" si="9"/>
        <v>1874161</v>
      </c>
      <c r="M98" s="11">
        <f t="shared" si="9"/>
        <v>-50653</v>
      </c>
      <c r="N98" s="11">
        <f t="shared" si="9"/>
        <v>1369</v>
      </c>
      <c r="O98" s="11">
        <f t="shared" si="9"/>
        <v>-37</v>
      </c>
      <c r="P98" s="11">
        <f t="shared" si="13"/>
        <v>0</v>
      </c>
    </row>
    <row r="99" spans="1:16" x14ac:dyDescent="0.25">
      <c r="A99" s="11">
        <f t="shared" si="12"/>
        <v>44</v>
      </c>
      <c r="B99">
        <v>-9.9575106211709592</v>
      </c>
      <c r="E99" s="11">
        <f>A99-'Mastercurve bestimmen'!$B$2</f>
        <v>-36</v>
      </c>
      <c r="F99" s="11">
        <f t="shared" si="10"/>
        <v>-9.9575106211709592</v>
      </c>
      <c r="G99" s="11"/>
      <c r="H99" s="11">
        <f t="shared" si="11"/>
        <v>2821109907456</v>
      </c>
      <c r="I99" s="11">
        <f t="shared" si="9"/>
        <v>-78364164096</v>
      </c>
      <c r="J99" s="11">
        <f t="shared" si="9"/>
        <v>2176782336</v>
      </c>
      <c r="K99" s="11">
        <f t="shared" si="9"/>
        <v>-60466176</v>
      </c>
      <c r="L99" s="11">
        <f t="shared" si="9"/>
        <v>1679616</v>
      </c>
      <c r="M99" s="11">
        <f t="shared" si="9"/>
        <v>-46656</v>
      </c>
      <c r="N99" s="11">
        <f t="shared" si="9"/>
        <v>1296</v>
      </c>
      <c r="O99" s="11">
        <f t="shared" si="9"/>
        <v>-36</v>
      </c>
      <c r="P99" s="11">
        <f t="shared" si="13"/>
        <v>0</v>
      </c>
    </row>
    <row r="100" spans="1:16" x14ac:dyDescent="0.25">
      <c r="A100" s="11">
        <f t="shared" si="12"/>
        <v>45</v>
      </c>
      <c r="B100">
        <v>-9.7260026665463659</v>
      </c>
      <c r="E100" s="11">
        <f>A100-'Mastercurve bestimmen'!$B$2</f>
        <v>-35</v>
      </c>
      <c r="F100" s="11">
        <f t="shared" si="10"/>
        <v>-9.7260026665463659</v>
      </c>
      <c r="G100" s="11"/>
      <c r="H100" s="11">
        <f t="shared" si="11"/>
        <v>2251875390625</v>
      </c>
      <c r="I100" s="11">
        <f t="shared" si="9"/>
        <v>-64339296875</v>
      </c>
      <c r="J100" s="11">
        <f t="shared" si="9"/>
        <v>1838265625</v>
      </c>
      <c r="K100" s="11">
        <f t="shared" si="9"/>
        <v>-52521875</v>
      </c>
      <c r="L100" s="11">
        <f t="shared" si="9"/>
        <v>1500625</v>
      </c>
      <c r="M100" s="11">
        <f t="shared" si="9"/>
        <v>-42875</v>
      </c>
      <c r="N100" s="11">
        <f t="shared" si="9"/>
        <v>1225</v>
      </c>
      <c r="O100" s="11">
        <f t="shared" si="9"/>
        <v>-35</v>
      </c>
      <c r="P100" s="11">
        <f t="shared" si="13"/>
        <v>0</v>
      </c>
    </row>
    <row r="101" spans="1:16" x14ac:dyDescent="0.25">
      <c r="A101" s="11">
        <f t="shared" si="12"/>
        <v>46</v>
      </c>
      <c r="B101">
        <v>-9.4934475571498709</v>
      </c>
      <c r="E101" s="11">
        <f>A101-'Mastercurve bestimmen'!$B$2</f>
        <v>-34</v>
      </c>
      <c r="F101" s="11">
        <f t="shared" si="10"/>
        <v>-9.4934475571498709</v>
      </c>
      <c r="G101" s="11"/>
      <c r="H101" s="11">
        <f t="shared" si="11"/>
        <v>1785793904896</v>
      </c>
      <c r="I101" s="11">
        <f t="shared" si="9"/>
        <v>-52523350144</v>
      </c>
      <c r="J101" s="11">
        <f t="shared" si="9"/>
        <v>1544804416</v>
      </c>
      <c r="K101" s="11">
        <f t="shared" si="9"/>
        <v>-45435424</v>
      </c>
      <c r="L101" s="11">
        <f t="shared" si="9"/>
        <v>1336336</v>
      </c>
      <c r="M101" s="11">
        <f t="shared" si="9"/>
        <v>-39304</v>
      </c>
      <c r="N101" s="11">
        <f t="shared" si="9"/>
        <v>1156</v>
      </c>
      <c r="O101" s="11">
        <f t="shared" si="9"/>
        <v>-34</v>
      </c>
      <c r="P101" s="11">
        <f t="shared" si="13"/>
        <v>0</v>
      </c>
    </row>
    <row r="102" spans="1:16" x14ac:dyDescent="0.25">
      <c r="A102" s="11">
        <f t="shared" si="12"/>
        <v>47</v>
      </c>
      <c r="B102">
        <v>-9.2599759877459267</v>
      </c>
      <c r="E102" s="11">
        <f>A102-'Mastercurve bestimmen'!$B$2</f>
        <v>-33</v>
      </c>
      <c r="F102" s="11">
        <f t="shared" si="10"/>
        <v>-9.2599759877459267</v>
      </c>
      <c r="G102" s="11"/>
      <c r="H102" s="11">
        <f t="shared" si="11"/>
        <v>1406408618241</v>
      </c>
      <c r="I102" s="11">
        <f t="shared" si="9"/>
        <v>-42618442977</v>
      </c>
      <c r="J102" s="11">
        <f t="shared" si="9"/>
        <v>1291467969</v>
      </c>
      <c r="K102" s="11">
        <f t="shared" si="9"/>
        <v>-39135393</v>
      </c>
      <c r="L102" s="11">
        <f t="shared" si="9"/>
        <v>1185921</v>
      </c>
      <c r="M102" s="11">
        <f t="shared" si="9"/>
        <v>-35937</v>
      </c>
      <c r="N102" s="11">
        <f t="shared" si="9"/>
        <v>1089</v>
      </c>
      <c r="O102" s="11">
        <f t="shared" si="9"/>
        <v>-33</v>
      </c>
      <c r="P102" s="11">
        <f t="shared" si="13"/>
        <v>0</v>
      </c>
    </row>
    <row r="103" spans="1:16" x14ac:dyDescent="0.25">
      <c r="A103" s="11">
        <f t="shared" si="12"/>
        <v>48</v>
      </c>
      <c r="B103">
        <v>-9.0257186530989895</v>
      </c>
      <c r="E103" s="11">
        <f>A103-'Mastercurve bestimmen'!$B$2</f>
        <v>-32</v>
      </c>
      <c r="F103" s="11">
        <f t="shared" si="10"/>
        <v>-9.0257186530989895</v>
      </c>
      <c r="G103" s="11"/>
      <c r="H103" s="11">
        <f t="shared" si="11"/>
        <v>1099511627776</v>
      </c>
      <c r="I103" s="11">
        <f t="shared" si="9"/>
        <v>-34359738368</v>
      </c>
      <c r="J103" s="11">
        <f t="shared" si="9"/>
        <v>1073741824</v>
      </c>
      <c r="K103" s="11">
        <f t="shared" si="9"/>
        <v>-33554432</v>
      </c>
      <c r="L103" s="11">
        <f t="shared" si="9"/>
        <v>1048576</v>
      </c>
      <c r="M103" s="11">
        <f t="shared" si="9"/>
        <v>-32768</v>
      </c>
      <c r="N103" s="11">
        <f t="shared" si="9"/>
        <v>1024</v>
      </c>
      <c r="O103" s="11">
        <f t="shared" si="9"/>
        <v>-32</v>
      </c>
      <c r="P103" s="11">
        <f t="shared" si="13"/>
        <v>0</v>
      </c>
    </row>
    <row r="104" spans="1:16" x14ac:dyDescent="0.25">
      <c r="A104" s="11">
        <f t="shared" si="12"/>
        <v>49</v>
      </c>
      <c r="B104">
        <v>-8.7908062479735118</v>
      </c>
      <c r="E104" s="11">
        <f>A104-'Mastercurve bestimmen'!$B$2</f>
        <v>-31</v>
      </c>
      <c r="F104" s="11">
        <f t="shared" si="10"/>
        <v>-8.7908062479735118</v>
      </c>
      <c r="G104" s="11"/>
      <c r="H104" s="11">
        <f t="shared" si="11"/>
        <v>852891037441</v>
      </c>
      <c r="I104" s="11">
        <f t="shared" si="9"/>
        <v>-27512614111</v>
      </c>
      <c r="J104" s="11">
        <f t="shared" si="9"/>
        <v>887503681</v>
      </c>
      <c r="K104" s="11">
        <f t="shared" si="9"/>
        <v>-28629151</v>
      </c>
      <c r="L104" s="11">
        <f t="shared" si="9"/>
        <v>923521</v>
      </c>
      <c r="M104" s="11">
        <f t="shared" si="9"/>
        <v>-29791</v>
      </c>
      <c r="N104" s="11">
        <f t="shared" si="9"/>
        <v>961</v>
      </c>
      <c r="O104" s="11">
        <f t="shared" si="9"/>
        <v>-31</v>
      </c>
      <c r="P104" s="11">
        <f t="shared" si="13"/>
        <v>0</v>
      </c>
    </row>
    <row r="105" spans="1:16" x14ac:dyDescent="0.25">
      <c r="A105" s="11">
        <f t="shared" si="12"/>
        <v>50</v>
      </c>
      <c r="B105">
        <v>-8.5553694671339517</v>
      </c>
      <c r="E105" s="11">
        <f>A105-'Mastercurve bestimmen'!$B$2</f>
        <v>-30</v>
      </c>
      <c r="F105" s="11">
        <f t="shared" si="10"/>
        <v>-8.5553694671339517</v>
      </c>
      <c r="G105" s="11"/>
      <c r="H105" s="11">
        <f t="shared" si="11"/>
        <v>656100000000</v>
      </c>
      <c r="I105" s="11">
        <f t="shared" si="9"/>
        <v>-21870000000</v>
      </c>
      <c r="J105" s="11">
        <f t="shared" si="9"/>
        <v>729000000</v>
      </c>
      <c r="K105" s="11">
        <f t="shared" si="9"/>
        <v>-24300000</v>
      </c>
      <c r="L105" s="11">
        <f t="shared" si="9"/>
        <v>810000</v>
      </c>
      <c r="M105" s="11">
        <f t="shared" si="9"/>
        <v>-27000</v>
      </c>
      <c r="N105" s="11">
        <f t="shared" si="9"/>
        <v>900</v>
      </c>
      <c r="O105" s="11">
        <f t="shared" si="9"/>
        <v>-30</v>
      </c>
      <c r="P105" s="11">
        <f t="shared" si="13"/>
        <v>0</v>
      </c>
    </row>
    <row r="106" spans="1:16" x14ac:dyDescent="0.25">
      <c r="A106" s="11">
        <f t="shared" si="12"/>
        <v>51</v>
      </c>
      <c r="B106">
        <v>-8.3194687580348869</v>
      </c>
      <c r="E106" s="11">
        <f>A106-'Mastercurve bestimmen'!$B$2</f>
        <v>-29</v>
      </c>
      <c r="F106" s="11">
        <f t="shared" si="10"/>
        <v>-8.3194687580348869</v>
      </c>
      <c r="G106" s="11"/>
      <c r="H106" s="11">
        <f t="shared" si="11"/>
        <v>500246412961</v>
      </c>
      <c r="I106" s="11">
        <f t="shared" si="9"/>
        <v>-17249876309</v>
      </c>
      <c r="J106" s="11">
        <f t="shared" si="9"/>
        <v>594823321</v>
      </c>
      <c r="K106" s="11">
        <f t="shared" si="9"/>
        <v>-20511149</v>
      </c>
      <c r="L106" s="11">
        <f t="shared" si="9"/>
        <v>707281</v>
      </c>
      <c r="M106" s="11">
        <f t="shared" si="9"/>
        <v>-24389</v>
      </c>
      <c r="N106" s="11">
        <f t="shared" si="9"/>
        <v>841</v>
      </c>
      <c r="O106" s="11">
        <f t="shared" si="9"/>
        <v>-29</v>
      </c>
      <c r="P106" s="11">
        <f t="shared" si="13"/>
        <v>0</v>
      </c>
    </row>
    <row r="107" spans="1:16" x14ac:dyDescent="0.25">
      <c r="A107" s="11">
        <f t="shared" si="12"/>
        <v>52</v>
      </c>
      <c r="B107">
        <v>-8.0828835788914049</v>
      </c>
      <c r="E107" s="11">
        <f>A107-'Mastercurve bestimmen'!$B$2</f>
        <v>-28</v>
      </c>
      <c r="F107" s="11">
        <f t="shared" si="10"/>
        <v>-8.0828835788914049</v>
      </c>
      <c r="G107" s="11"/>
      <c r="H107" s="11">
        <f t="shared" si="11"/>
        <v>377801998336</v>
      </c>
      <c r="I107" s="11">
        <f t="shared" si="9"/>
        <v>-13492928512</v>
      </c>
      <c r="J107" s="11">
        <f t="shared" si="9"/>
        <v>481890304</v>
      </c>
      <c r="K107" s="11">
        <f t="shared" si="9"/>
        <v>-17210368</v>
      </c>
      <c r="L107" s="11">
        <f t="shared" si="9"/>
        <v>614656</v>
      </c>
      <c r="M107" s="11">
        <f t="shared" si="9"/>
        <v>-21952</v>
      </c>
      <c r="N107" s="11">
        <f t="shared" si="9"/>
        <v>784</v>
      </c>
      <c r="O107" s="11">
        <f t="shared" si="9"/>
        <v>-28</v>
      </c>
      <c r="P107" s="11">
        <f t="shared" si="13"/>
        <v>0</v>
      </c>
    </row>
    <row r="108" spans="1:16" x14ac:dyDescent="0.25">
      <c r="A108" s="11">
        <f t="shared" si="12"/>
        <v>53</v>
      </c>
      <c r="B108">
        <v>-7.8453231406087154</v>
      </c>
      <c r="E108" s="11">
        <f>A108-'Mastercurve bestimmen'!$B$2</f>
        <v>-27</v>
      </c>
      <c r="F108" s="11">
        <f t="shared" si="10"/>
        <v>-7.8453231406087154</v>
      </c>
      <c r="G108" s="11"/>
      <c r="H108" s="11">
        <f t="shared" si="11"/>
        <v>282429536481</v>
      </c>
      <c r="I108" s="11">
        <f t="shared" si="9"/>
        <v>-10460353203</v>
      </c>
      <c r="J108" s="11">
        <f t="shared" si="9"/>
        <v>387420489</v>
      </c>
      <c r="K108" s="11">
        <f t="shared" si="9"/>
        <v>-14348907</v>
      </c>
      <c r="L108" s="11">
        <f t="shared" si="9"/>
        <v>531441</v>
      </c>
      <c r="M108" s="11">
        <f t="shared" si="9"/>
        <v>-19683</v>
      </c>
      <c r="N108" s="11">
        <f t="shared" si="9"/>
        <v>729</v>
      </c>
      <c r="O108" s="11">
        <f t="shared" si="9"/>
        <v>-27</v>
      </c>
      <c r="P108" s="11">
        <f t="shared" si="13"/>
        <v>0</v>
      </c>
    </row>
    <row r="109" spans="1:16" x14ac:dyDescent="0.25">
      <c r="A109" s="11">
        <f t="shared" si="12"/>
        <v>54</v>
      </c>
      <c r="B109">
        <v>-7.6064966540920329</v>
      </c>
      <c r="E109" s="11">
        <f>A109-'Mastercurve bestimmen'!$B$2</f>
        <v>-26</v>
      </c>
      <c r="F109" s="11">
        <f t="shared" si="10"/>
        <v>-7.6064966540920329</v>
      </c>
      <c r="G109" s="11"/>
      <c r="H109" s="11">
        <f t="shared" si="11"/>
        <v>208827064576</v>
      </c>
      <c r="I109" s="11">
        <f t="shared" si="9"/>
        <v>-8031810176</v>
      </c>
      <c r="J109" s="11">
        <f t="shared" si="9"/>
        <v>308915776</v>
      </c>
      <c r="K109" s="11">
        <f t="shared" si="9"/>
        <v>-11881376</v>
      </c>
      <c r="L109" s="11">
        <f t="shared" si="9"/>
        <v>456976</v>
      </c>
      <c r="M109" s="11">
        <f t="shared" si="9"/>
        <v>-17576</v>
      </c>
      <c r="N109" s="11">
        <f t="shared" si="9"/>
        <v>676</v>
      </c>
      <c r="O109" s="11">
        <f t="shared" si="9"/>
        <v>-26</v>
      </c>
      <c r="P109" s="11">
        <f t="shared" si="13"/>
        <v>0</v>
      </c>
    </row>
    <row r="110" spans="1:16" x14ac:dyDescent="0.25">
      <c r="A110" s="11">
        <f t="shared" si="12"/>
        <v>55</v>
      </c>
      <c r="B110">
        <v>-7.3661133302465664</v>
      </c>
      <c r="E110" s="11">
        <f>A110-'Mastercurve bestimmen'!$B$2</f>
        <v>-25</v>
      </c>
      <c r="F110" s="11">
        <f t="shared" si="10"/>
        <v>-7.3661133302465664</v>
      </c>
      <c r="G110" s="11"/>
      <c r="H110" s="11">
        <f t="shared" si="11"/>
        <v>152587890625</v>
      </c>
      <c r="I110" s="11">
        <f t="shared" si="9"/>
        <v>-6103515625</v>
      </c>
      <c r="J110" s="11">
        <f t="shared" si="9"/>
        <v>244140625</v>
      </c>
      <c r="K110" s="11">
        <f t="shared" si="9"/>
        <v>-9765625</v>
      </c>
      <c r="L110" s="11">
        <f t="shared" si="9"/>
        <v>390625</v>
      </c>
      <c r="M110" s="11">
        <f t="shared" si="9"/>
        <v>-15625</v>
      </c>
      <c r="N110" s="11">
        <f t="shared" si="9"/>
        <v>625</v>
      </c>
      <c r="O110" s="11">
        <f t="shared" si="9"/>
        <v>-25</v>
      </c>
      <c r="P110" s="11">
        <f t="shared" si="13"/>
        <v>0</v>
      </c>
    </row>
    <row r="111" spans="1:16" x14ac:dyDescent="0.25">
      <c r="A111" s="11">
        <f t="shared" si="12"/>
        <v>56</v>
      </c>
      <c r="B111">
        <v>-7.1238823799775277</v>
      </c>
      <c r="E111" s="11">
        <f>A111-'Mastercurve bestimmen'!$B$2</f>
        <v>-24</v>
      </c>
      <c r="F111" s="11">
        <f t="shared" si="10"/>
        <v>-7.1238823799775277</v>
      </c>
      <c r="G111" s="11"/>
      <c r="H111" s="11">
        <f t="shared" si="11"/>
        <v>110075314176</v>
      </c>
      <c r="I111" s="11">
        <f t="shared" si="9"/>
        <v>-4586471424</v>
      </c>
      <c r="J111" s="11">
        <f t="shared" si="9"/>
        <v>191102976</v>
      </c>
      <c r="K111" s="11">
        <f t="shared" si="9"/>
        <v>-7962624</v>
      </c>
      <c r="L111" s="11">
        <f t="shared" si="9"/>
        <v>331776</v>
      </c>
      <c r="M111" s="11">
        <f t="shared" si="9"/>
        <v>-13824</v>
      </c>
      <c r="N111" s="11">
        <f t="shared" si="9"/>
        <v>576</v>
      </c>
      <c r="O111" s="11">
        <f t="shared" si="9"/>
        <v>-24</v>
      </c>
      <c r="P111" s="11">
        <f t="shared" si="13"/>
        <v>0</v>
      </c>
    </row>
    <row r="112" spans="1:16" x14ac:dyDescent="0.25">
      <c r="A112" s="11">
        <f t="shared" si="12"/>
        <v>57</v>
      </c>
      <c r="B112">
        <v>-6.8795130141901319</v>
      </c>
      <c r="E112" s="11">
        <f>A112-'Mastercurve bestimmen'!$B$2</f>
        <v>-23</v>
      </c>
      <c r="F112" s="11">
        <f t="shared" si="10"/>
        <v>-6.8795130141901319</v>
      </c>
      <c r="G112" s="11"/>
      <c r="H112" s="11">
        <f t="shared" si="11"/>
        <v>78310985281</v>
      </c>
      <c r="I112" s="11">
        <f t="shared" si="9"/>
        <v>-3404825447</v>
      </c>
      <c r="J112" s="11">
        <f t="shared" si="9"/>
        <v>148035889</v>
      </c>
      <c r="K112" s="11">
        <f t="shared" si="9"/>
        <v>-6436343</v>
      </c>
      <c r="L112" s="11">
        <f t="shared" si="9"/>
        <v>279841</v>
      </c>
      <c r="M112" s="11">
        <f t="shared" si="9"/>
        <v>-12167</v>
      </c>
      <c r="N112" s="11">
        <f t="shared" si="9"/>
        <v>529</v>
      </c>
      <c r="O112" s="11">
        <f t="shared" si="9"/>
        <v>-23</v>
      </c>
      <c r="P112" s="11">
        <f t="shared" si="13"/>
        <v>0</v>
      </c>
    </row>
    <row r="113" spans="1:16" x14ac:dyDescent="0.25">
      <c r="A113" s="11">
        <f t="shared" si="12"/>
        <v>58</v>
      </c>
      <c r="B113">
        <v>-6.6327144437895882</v>
      </c>
      <c r="E113" s="11">
        <f>A113-'Mastercurve bestimmen'!$B$2</f>
        <v>-22</v>
      </c>
      <c r="F113" s="11">
        <f t="shared" si="10"/>
        <v>-6.6327144437895882</v>
      </c>
      <c r="G113" s="11"/>
      <c r="H113" s="11">
        <f t="shared" si="11"/>
        <v>54875873536</v>
      </c>
      <c r="I113" s="11">
        <f t="shared" si="9"/>
        <v>-2494357888</v>
      </c>
      <c r="J113" s="11">
        <f t="shared" si="9"/>
        <v>113379904</v>
      </c>
      <c r="K113" s="11">
        <f t="shared" si="9"/>
        <v>-5153632</v>
      </c>
      <c r="L113" s="11">
        <f t="shared" si="9"/>
        <v>234256</v>
      </c>
      <c r="M113" s="11">
        <f t="shared" si="9"/>
        <v>-10648</v>
      </c>
      <c r="N113" s="11">
        <f t="shared" si="9"/>
        <v>484</v>
      </c>
      <c r="O113" s="11">
        <f t="shared" si="9"/>
        <v>-22</v>
      </c>
      <c r="P113" s="11">
        <f t="shared" si="13"/>
        <v>0</v>
      </c>
    </row>
    <row r="114" spans="1:16" x14ac:dyDescent="0.25">
      <c r="A114" s="11">
        <f t="shared" si="12"/>
        <v>59</v>
      </c>
      <c r="B114">
        <v>-6.3831958796811099</v>
      </c>
      <c r="E114" s="11">
        <f>A114-'Mastercurve bestimmen'!$B$2</f>
        <v>-21</v>
      </c>
      <c r="F114" s="11">
        <f t="shared" si="10"/>
        <v>-6.3831958796811099</v>
      </c>
      <c r="G114" s="11"/>
      <c r="H114" s="11">
        <f t="shared" si="11"/>
        <v>37822859361</v>
      </c>
      <c r="I114" s="11">
        <f t="shared" si="9"/>
        <v>-1801088541</v>
      </c>
      <c r="J114" s="11">
        <f t="shared" si="9"/>
        <v>85766121</v>
      </c>
      <c r="K114" s="11">
        <f t="shared" si="9"/>
        <v>-4084101</v>
      </c>
      <c r="L114" s="11">
        <f t="shared" si="9"/>
        <v>194481</v>
      </c>
      <c r="M114" s="11">
        <f t="shared" si="9"/>
        <v>-9261</v>
      </c>
      <c r="N114" s="11">
        <f t="shared" si="9"/>
        <v>441</v>
      </c>
      <c r="O114" s="11">
        <f t="shared" si="9"/>
        <v>-21</v>
      </c>
      <c r="P114" s="11">
        <f t="shared" si="13"/>
        <v>0</v>
      </c>
    </row>
    <row r="115" spans="1:16" x14ac:dyDescent="0.25">
      <c r="A115" s="11">
        <f t="shared" si="12"/>
        <v>60</v>
      </c>
      <c r="B115">
        <v>-6.130666532769907</v>
      </c>
      <c r="E115" s="11">
        <f>A115-'Mastercurve bestimmen'!$B$2</f>
        <v>-20</v>
      </c>
      <c r="F115" s="11">
        <f t="shared" si="10"/>
        <v>-6.130666532769907</v>
      </c>
      <c r="G115" s="11"/>
      <c r="H115" s="11">
        <f t="shared" si="11"/>
        <v>25600000000</v>
      </c>
      <c r="I115" s="11">
        <f t="shared" si="9"/>
        <v>-1280000000</v>
      </c>
      <c r="J115" s="11">
        <f t="shared" si="9"/>
        <v>64000000</v>
      </c>
      <c r="K115" s="11">
        <f t="shared" si="9"/>
        <v>-3200000</v>
      </c>
      <c r="L115" s="11">
        <f t="shared" si="9"/>
        <v>160000</v>
      </c>
      <c r="M115" s="11">
        <f t="shared" si="9"/>
        <v>-8000</v>
      </c>
      <c r="N115" s="11">
        <f t="shared" si="9"/>
        <v>400</v>
      </c>
      <c r="O115" s="11">
        <f t="shared" si="9"/>
        <v>-20</v>
      </c>
      <c r="P115" s="11">
        <f t="shared" si="13"/>
        <v>0</v>
      </c>
    </row>
    <row r="116" spans="1:16" x14ac:dyDescent="0.25">
      <c r="A116" s="11">
        <f t="shared" si="12"/>
        <v>61</v>
      </c>
      <c r="B116">
        <v>-5.8748356139611921</v>
      </c>
      <c r="E116" s="11">
        <f>A116-'Mastercurve bestimmen'!$B$2</f>
        <v>-19</v>
      </c>
      <c r="F116" s="11">
        <f t="shared" si="10"/>
        <v>-5.8748356139611921</v>
      </c>
      <c r="G116" s="11"/>
      <c r="H116" s="11">
        <f t="shared" si="11"/>
        <v>16983563041</v>
      </c>
      <c r="I116" s="11">
        <f t="shared" si="9"/>
        <v>-893871739</v>
      </c>
      <c r="J116" s="11">
        <f t="shared" si="9"/>
        <v>47045881</v>
      </c>
      <c r="K116" s="11">
        <f t="shared" ref="I116:O152" si="14">IF($H$12&gt;=K$14,$E116^K$14,0)</f>
        <v>-2476099</v>
      </c>
      <c r="L116" s="11">
        <f t="shared" si="14"/>
        <v>130321</v>
      </c>
      <c r="M116" s="11">
        <f t="shared" si="14"/>
        <v>-6859</v>
      </c>
      <c r="N116" s="11">
        <f t="shared" si="14"/>
        <v>361</v>
      </c>
      <c r="O116" s="11">
        <f t="shared" si="14"/>
        <v>-19</v>
      </c>
      <c r="P116" s="11">
        <f t="shared" si="13"/>
        <v>0</v>
      </c>
    </row>
    <row r="117" spans="1:16" x14ac:dyDescent="0.25">
      <c r="A117" s="11">
        <f t="shared" si="12"/>
        <v>62</v>
      </c>
      <c r="B117">
        <v>-5.615412334160176</v>
      </c>
      <c r="E117" s="11">
        <f>A117-'Mastercurve bestimmen'!$B$2</f>
        <v>-18</v>
      </c>
      <c r="F117" s="11">
        <f t="shared" si="10"/>
        <v>-5.615412334160176</v>
      </c>
      <c r="G117" s="11"/>
      <c r="H117" s="11">
        <f t="shared" si="11"/>
        <v>11019960576</v>
      </c>
      <c r="I117" s="11">
        <f t="shared" si="14"/>
        <v>-612220032</v>
      </c>
      <c r="J117" s="11">
        <f t="shared" si="14"/>
        <v>34012224</v>
      </c>
      <c r="K117" s="11">
        <f t="shared" si="14"/>
        <v>-1889568</v>
      </c>
      <c r="L117" s="11">
        <f t="shared" si="14"/>
        <v>104976</v>
      </c>
      <c r="M117" s="11">
        <f t="shared" si="14"/>
        <v>-5832</v>
      </c>
      <c r="N117" s="11">
        <f t="shared" si="14"/>
        <v>324</v>
      </c>
      <c r="O117" s="11">
        <f t="shared" si="14"/>
        <v>-18</v>
      </c>
      <c r="P117" s="11">
        <f t="shared" si="13"/>
        <v>0</v>
      </c>
    </row>
    <row r="118" spans="1:16" x14ac:dyDescent="0.25">
      <c r="A118" s="11">
        <f t="shared" si="12"/>
        <v>63</v>
      </c>
      <c r="B118">
        <v>-5.3521059042720722</v>
      </c>
      <c r="E118" s="11">
        <f>A118-'Mastercurve bestimmen'!$B$2</f>
        <v>-17</v>
      </c>
      <c r="F118" s="11">
        <f t="shared" si="10"/>
        <v>-5.3521059042720722</v>
      </c>
      <c r="G118" s="11"/>
      <c r="H118" s="11">
        <f t="shared" si="11"/>
        <v>6975757441</v>
      </c>
      <c r="I118" s="11">
        <f t="shared" si="14"/>
        <v>-410338673</v>
      </c>
      <c r="J118" s="11">
        <f t="shared" si="14"/>
        <v>24137569</v>
      </c>
      <c r="K118" s="11">
        <f t="shared" si="14"/>
        <v>-1419857</v>
      </c>
      <c r="L118" s="11">
        <f t="shared" si="14"/>
        <v>83521</v>
      </c>
      <c r="M118" s="11">
        <f t="shared" si="14"/>
        <v>-4913</v>
      </c>
      <c r="N118" s="11">
        <f t="shared" si="14"/>
        <v>289</v>
      </c>
      <c r="O118" s="11">
        <f t="shared" si="14"/>
        <v>-17</v>
      </c>
      <c r="P118" s="11">
        <f t="shared" si="13"/>
        <v>0</v>
      </c>
    </row>
    <row r="119" spans="1:16" x14ac:dyDescent="0.25">
      <c r="A119" s="11">
        <f t="shared" si="12"/>
        <v>64</v>
      </c>
      <c r="B119">
        <v>-5.0846255352020933</v>
      </c>
      <c r="E119" s="11">
        <f>A119-'Mastercurve bestimmen'!$B$2</f>
        <v>-16</v>
      </c>
      <c r="F119" s="11">
        <f t="shared" si="10"/>
        <v>-5.0846255352020933</v>
      </c>
      <c r="G119" s="11"/>
      <c r="H119" s="11">
        <f t="shared" si="11"/>
        <v>4294967296</v>
      </c>
      <c r="I119" s="11">
        <f t="shared" si="14"/>
        <v>-268435456</v>
      </c>
      <c r="J119" s="11">
        <f t="shared" si="14"/>
        <v>16777216</v>
      </c>
      <c r="K119" s="11">
        <f t="shared" si="14"/>
        <v>-1048576</v>
      </c>
      <c r="L119" s="11">
        <f t="shared" si="14"/>
        <v>65536</v>
      </c>
      <c r="M119" s="11">
        <f t="shared" si="14"/>
        <v>-4096</v>
      </c>
      <c r="N119" s="11">
        <f t="shared" si="14"/>
        <v>256</v>
      </c>
      <c r="O119" s="11">
        <f t="shared" si="14"/>
        <v>-16</v>
      </c>
      <c r="P119" s="11">
        <f t="shared" si="13"/>
        <v>0</v>
      </c>
    </row>
    <row r="120" spans="1:16" x14ac:dyDescent="0.25">
      <c r="A120" s="11">
        <f t="shared" si="12"/>
        <v>65</v>
      </c>
      <c r="B120">
        <v>-4.8126804378554482</v>
      </c>
      <c r="E120" s="11">
        <f>A120-'Mastercurve bestimmen'!$B$2</f>
        <v>-15</v>
      </c>
      <c r="F120" s="11">
        <f t="shared" si="10"/>
        <v>-4.8126804378554482</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-4.5359798231373496</v>
      </c>
      <c r="E121" s="11">
        <f>A121-'Mastercurve bestimmen'!$B$2</f>
        <v>-14</v>
      </c>
      <c r="F121" s="11">
        <f t="shared" si="10"/>
        <v>-4.5359798231373496</v>
      </c>
      <c r="G121" s="11"/>
      <c r="H121" s="11">
        <f t="shared" si="11"/>
        <v>1475789056</v>
      </c>
      <c r="I121" s="11">
        <f t="shared" si="14"/>
        <v>-105413504</v>
      </c>
      <c r="J121" s="11">
        <f t="shared" si="14"/>
        <v>7529536</v>
      </c>
      <c r="K121" s="11">
        <f t="shared" si="14"/>
        <v>-537824</v>
      </c>
      <c r="L121" s="11">
        <f t="shared" si="14"/>
        <v>38416</v>
      </c>
      <c r="M121" s="11">
        <f t="shared" si="14"/>
        <v>-2744</v>
      </c>
      <c r="N121" s="11">
        <f t="shared" si="14"/>
        <v>196</v>
      </c>
      <c r="O121" s="11">
        <f t="shared" si="14"/>
        <v>-14</v>
      </c>
      <c r="P121" s="11">
        <f t="shared" si="13"/>
        <v>0</v>
      </c>
    </row>
    <row r="122" spans="1:16" x14ac:dyDescent="0.25">
      <c r="A122" s="11">
        <f t="shared" si="12"/>
        <v>67</v>
      </c>
      <c r="B122">
        <v>-4.2542329019530101</v>
      </c>
      <c r="E122" s="11">
        <f>A122-'Mastercurve bestimmen'!$B$2</f>
        <v>-13</v>
      </c>
      <c r="F122" s="11">
        <f t="shared" si="10"/>
        <v>-4.2542329019530101</v>
      </c>
      <c r="G122" s="11"/>
      <c r="H122" s="11">
        <f t="shared" si="11"/>
        <v>815730721</v>
      </c>
      <c r="I122" s="11">
        <f t="shared" si="14"/>
        <v>-62748517</v>
      </c>
      <c r="J122" s="11">
        <f t="shared" si="14"/>
        <v>4826809</v>
      </c>
      <c r="K122" s="11">
        <f t="shared" si="14"/>
        <v>-371293</v>
      </c>
      <c r="L122" s="11">
        <f t="shared" si="14"/>
        <v>28561</v>
      </c>
      <c r="M122" s="11">
        <f t="shared" si="14"/>
        <v>-2197</v>
      </c>
      <c r="N122" s="11">
        <f t="shared" si="14"/>
        <v>169</v>
      </c>
      <c r="O122" s="11">
        <f t="shared" si="14"/>
        <v>-13</v>
      </c>
      <c r="P122" s="11">
        <f t="shared" si="13"/>
        <v>0</v>
      </c>
    </row>
    <row r="123" spans="1:16" x14ac:dyDescent="0.25">
      <c r="A123" s="11">
        <f t="shared" si="12"/>
        <v>68</v>
      </c>
      <c r="B123">
        <v>-3.9671488852076409</v>
      </c>
      <c r="E123" s="11">
        <f>A123-'Mastercurve bestimmen'!$B$2</f>
        <v>-12</v>
      </c>
      <c r="F123" s="11">
        <f t="shared" si="10"/>
        <v>-3.9671488852076409</v>
      </c>
      <c r="G123" s="11"/>
      <c r="H123" s="11">
        <f t="shared" si="11"/>
        <v>429981696</v>
      </c>
      <c r="I123" s="11">
        <f t="shared" si="14"/>
        <v>-35831808</v>
      </c>
      <c r="J123" s="11">
        <f t="shared" si="14"/>
        <v>2985984</v>
      </c>
      <c r="K123" s="11">
        <f t="shared" si="14"/>
        <v>-248832</v>
      </c>
      <c r="L123" s="11">
        <f t="shared" si="14"/>
        <v>20736</v>
      </c>
      <c r="M123" s="11">
        <f t="shared" si="14"/>
        <v>-1728</v>
      </c>
      <c r="N123" s="11">
        <f t="shared" si="14"/>
        <v>144</v>
      </c>
      <c r="O123" s="11">
        <f t="shared" si="14"/>
        <v>-12</v>
      </c>
      <c r="P123" s="11">
        <f t="shared" si="13"/>
        <v>0</v>
      </c>
    </row>
    <row r="124" spans="1:16" x14ac:dyDescent="0.25">
      <c r="A124" s="11">
        <f t="shared" si="12"/>
        <v>69</v>
      </c>
      <c r="B124">
        <v>-3.6744369838064541</v>
      </c>
      <c r="E124" s="11">
        <f>A124-'Mastercurve bestimmen'!$B$2</f>
        <v>-11</v>
      </c>
      <c r="F124" s="11">
        <f t="shared" si="10"/>
        <v>-3.6744369838064541</v>
      </c>
      <c r="G124" s="11"/>
      <c r="H124" s="11">
        <f t="shared" si="11"/>
        <v>214358881</v>
      </c>
      <c r="I124" s="11">
        <f t="shared" si="14"/>
        <v>-19487171</v>
      </c>
      <c r="J124" s="11">
        <f t="shared" si="14"/>
        <v>1771561</v>
      </c>
      <c r="K124" s="11">
        <f t="shared" si="14"/>
        <v>-161051</v>
      </c>
      <c r="L124" s="11">
        <f t="shared" si="14"/>
        <v>14641</v>
      </c>
      <c r="M124" s="11">
        <f t="shared" si="14"/>
        <v>-1331</v>
      </c>
      <c r="N124" s="11">
        <f t="shared" si="14"/>
        <v>121</v>
      </c>
      <c r="O124" s="11">
        <f t="shared" si="14"/>
        <v>-11</v>
      </c>
      <c r="P124" s="11">
        <f t="shared" si="13"/>
        <v>0</v>
      </c>
    </row>
    <row r="125" spans="1:16" x14ac:dyDescent="0.25">
      <c r="A125" s="11">
        <f t="shared" si="12"/>
        <v>70</v>
      </c>
      <c r="B125">
        <v>-3.375806408654662</v>
      </c>
      <c r="E125" s="11">
        <f>A125-'Mastercurve bestimmen'!$B$2</f>
        <v>-10</v>
      </c>
      <c r="F125" s="11">
        <f t="shared" si="10"/>
        <v>-3.375806408654662</v>
      </c>
      <c r="G125" s="11"/>
      <c r="H125" s="11">
        <f t="shared" si="11"/>
        <v>100000000</v>
      </c>
      <c r="I125" s="11">
        <f t="shared" si="14"/>
        <v>-10000000</v>
      </c>
      <c r="J125" s="11">
        <f t="shared" si="14"/>
        <v>1000000</v>
      </c>
      <c r="K125" s="11">
        <f t="shared" si="14"/>
        <v>-100000</v>
      </c>
      <c r="L125" s="11">
        <f t="shared" si="14"/>
        <v>10000</v>
      </c>
      <c r="M125" s="11">
        <f t="shared" si="14"/>
        <v>-1000</v>
      </c>
      <c r="N125" s="11">
        <f t="shared" si="14"/>
        <v>100</v>
      </c>
      <c r="O125" s="11">
        <f t="shared" si="14"/>
        <v>-10</v>
      </c>
      <c r="P125" s="11">
        <f t="shared" si="13"/>
        <v>0</v>
      </c>
    </row>
    <row r="126" spans="1:16" x14ac:dyDescent="0.25">
      <c r="A126" s="11">
        <f t="shared" si="12"/>
        <v>71</v>
      </c>
      <c r="B126">
        <v>-3.0709663706574748</v>
      </c>
      <c r="E126" s="11">
        <f>A126-'Mastercurve bestimmen'!$B$2</f>
        <v>-9</v>
      </c>
      <c r="F126" s="11">
        <f t="shared" si="10"/>
        <v>-3.0709663706574748</v>
      </c>
      <c r="G126" s="11"/>
      <c r="H126" s="11">
        <f t="shared" si="11"/>
        <v>43046721</v>
      </c>
      <c r="I126" s="11">
        <f t="shared" si="14"/>
        <v>-4782969</v>
      </c>
      <c r="J126" s="11">
        <f t="shared" si="14"/>
        <v>531441</v>
      </c>
      <c r="K126" s="11">
        <f t="shared" si="14"/>
        <v>-59049</v>
      </c>
      <c r="L126" s="11">
        <f t="shared" si="14"/>
        <v>6561</v>
      </c>
      <c r="M126" s="11">
        <f t="shared" si="14"/>
        <v>-729</v>
      </c>
      <c r="N126" s="11">
        <f t="shared" si="14"/>
        <v>81</v>
      </c>
      <c r="O126" s="11">
        <f t="shared" si="14"/>
        <v>-9</v>
      </c>
      <c r="P126" s="11">
        <f t="shared" si="13"/>
        <v>0</v>
      </c>
    </row>
    <row r="127" spans="1:16" x14ac:dyDescent="0.25">
      <c r="A127" s="11">
        <f t="shared" si="12"/>
        <v>72</v>
      </c>
      <c r="B127">
        <v>-2.7596260807201056</v>
      </c>
      <c r="E127" s="11">
        <f>A127-'Mastercurve bestimmen'!$B$2</f>
        <v>-8</v>
      </c>
      <c r="F127" s="11">
        <f t="shared" si="10"/>
        <v>-2.7596260807201056</v>
      </c>
      <c r="G127" s="11"/>
      <c r="H127" s="11">
        <f t="shared" si="11"/>
        <v>16777216</v>
      </c>
      <c r="I127" s="11">
        <f t="shared" si="14"/>
        <v>-2097152</v>
      </c>
      <c r="J127" s="11">
        <f t="shared" si="14"/>
        <v>262144</v>
      </c>
      <c r="K127" s="11">
        <f t="shared" si="14"/>
        <v>-32768</v>
      </c>
      <c r="L127" s="11">
        <f t="shared" si="14"/>
        <v>4096</v>
      </c>
      <c r="M127" s="11">
        <f t="shared" si="14"/>
        <v>-512</v>
      </c>
      <c r="N127" s="11">
        <f t="shared" si="14"/>
        <v>64</v>
      </c>
      <c r="O127" s="11">
        <f t="shared" si="14"/>
        <v>-8</v>
      </c>
      <c r="P127" s="11">
        <f t="shared" si="13"/>
        <v>0</v>
      </c>
    </row>
    <row r="128" spans="1:16" x14ac:dyDescent="0.25">
      <c r="A128" s="11">
        <f t="shared" si="12"/>
        <v>73</v>
      </c>
      <c r="B128">
        <v>-2.4414947497477661</v>
      </c>
      <c r="E128" s="11">
        <f>A128-'Mastercurve bestimmen'!$B$2</f>
        <v>-7</v>
      </c>
      <c r="F128" s="11">
        <f t="shared" si="10"/>
        <v>-2.4414947497477661</v>
      </c>
      <c r="G128" s="11"/>
      <c r="H128" s="11">
        <f t="shared" si="11"/>
        <v>5764801</v>
      </c>
      <c r="I128" s="11">
        <f t="shared" si="14"/>
        <v>-823543</v>
      </c>
      <c r="J128" s="11">
        <f t="shared" si="14"/>
        <v>117649</v>
      </c>
      <c r="K128" s="11">
        <f t="shared" si="14"/>
        <v>-16807</v>
      </c>
      <c r="L128" s="11">
        <f t="shared" si="14"/>
        <v>2401</v>
      </c>
      <c r="M128" s="11">
        <f t="shared" si="14"/>
        <v>-343</v>
      </c>
      <c r="N128" s="11">
        <f t="shared" si="14"/>
        <v>49</v>
      </c>
      <c r="O128" s="11">
        <f t="shared" si="14"/>
        <v>-7</v>
      </c>
      <c r="P128" s="11">
        <f t="shared" si="13"/>
        <v>0</v>
      </c>
    </row>
    <row r="129" spans="1:16" x14ac:dyDescent="0.25">
      <c r="A129" s="11">
        <f t="shared" si="12"/>
        <v>74</v>
      </c>
      <c r="B129">
        <v>-2.1162815886456672</v>
      </c>
      <c r="E129" s="11">
        <f>A129-'Mastercurve bestimmen'!$B$2</f>
        <v>-6</v>
      </c>
      <c r="F129" s="11">
        <f t="shared" si="10"/>
        <v>-2.1162815886456672</v>
      </c>
      <c r="G129" s="11"/>
      <c r="H129" s="11">
        <f t="shared" si="11"/>
        <v>1679616</v>
      </c>
      <c r="I129" s="11">
        <f t="shared" si="14"/>
        <v>-279936</v>
      </c>
      <c r="J129" s="11">
        <f t="shared" si="14"/>
        <v>46656</v>
      </c>
      <c r="K129" s="11">
        <f t="shared" si="14"/>
        <v>-7776</v>
      </c>
      <c r="L129" s="11">
        <f t="shared" si="14"/>
        <v>1296</v>
      </c>
      <c r="M129" s="11">
        <f t="shared" si="14"/>
        <v>-216</v>
      </c>
      <c r="N129" s="11">
        <f t="shared" si="14"/>
        <v>36</v>
      </c>
      <c r="O129" s="11">
        <f t="shared" si="14"/>
        <v>-6</v>
      </c>
      <c r="P129" s="11">
        <f t="shared" si="13"/>
        <v>0</v>
      </c>
    </row>
    <row r="130" spans="1:16" x14ac:dyDescent="0.25">
      <c r="A130" s="11">
        <f t="shared" si="12"/>
        <v>75</v>
      </c>
      <c r="B130">
        <v>-1.7836958083190217</v>
      </c>
      <c r="E130" s="11">
        <f>A130-'Mastercurve bestimmen'!$B$2</f>
        <v>-5</v>
      </c>
      <c r="F130" s="11">
        <f t="shared" si="10"/>
        <v>-1.7836958083190217</v>
      </c>
      <c r="G130" s="11"/>
      <c r="H130" s="11">
        <f t="shared" si="11"/>
        <v>390625</v>
      </c>
      <c r="I130" s="11">
        <f t="shared" si="14"/>
        <v>-78125</v>
      </c>
      <c r="J130" s="11">
        <f t="shared" si="14"/>
        <v>15625</v>
      </c>
      <c r="K130" s="11">
        <f t="shared" si="14"/>
        <v>-3125</v>
      </c>
      <c r="L130" s="11">
        <f t="shared" si="14"/>
        <v>625</v>
      </c>
      <c r="M130" s="11">
        <f t="shared" si="14"/>
        <v>-125</v>
      </c>
      <c r="N130" s="11">
        <f t="shared" si="14"/>
        <v>25</v>
      </c>
      <c r="O130" s="11">
        <f t="shared" si="14"/>
        <v>-5</v>
      </c>
      <c r="P130" s="11">
        <f t="shared" si="13"/>
        <v>0</v>
      </c>
    </row>
    <row r="131" spans="1:16" x14ac:dyDescent="0.25">
      <c r="A131" s="11">
        <f t="shared" si="12"/>
        <v>76</v>
      </c>
      <c r="B131">
        <v>-1.4434466196730404</v>
      </c>
      <c r="E131" s="11">
        <f>A131-'Mastercurve bestimmen'!$B$2</f>
        <v>-4</v>
      </c>
      <c r="F131" s="11">
        <f t="shared" si="10"/>
        <v>-1.4434466196730404</v>
      </c>
      <c r="G131" s="11"/>
      <c r="H131" s="11">
        <f t="shared" si="11"/>
        <v>65536</v>
      </c>
      <c r="I131" s="11">
        <f t="shared" si="14"/>
        <v>-16384</v>
      </c>
      <c r="J131" s="11">
        <f t="shared" si="14"/>
        <v>4096</v>
      </c>
      <c r="K131" s="11">
        <f t="shared" si="14"/>
        <v>-1024</v>
      </c>
      <c r="L131" s="11">
        <f t="shared" si="14"/>
        <v>256</v>
      </c>
      <c r="M131" s="11">
        <f t="shared" si="14"/>
        <v>-64</v>
      </c>
      <c r="N131" s="11">
        <f t="shared" si="14"/>
        <v>16</v>
      </c>
      <c r="O131" s="11">
        <f t="shared" si="14"/>
        <v>-4</v>
      </c>
      <c r="P131" s="11">
        <f t="shared" si="13"/>
        <v>0</v>
      </c>
    </row>
    <row r="132" spans="1:16" x14ac:dyDescent="0.25">
      <c r="A132" s="11">
        <f t="shared" si="12"/>
        <v>77</v>
      </c>
      <c r="B132">
        <v>-1.0952432336129361</v>
      </c>
      <c r="E132" s="11">
        <f>A132-'Mastercurve bestimmen'!$B$2</f>
        <v>-3</v>
      </c>
      <c r="F132" s="11">
        <f t="shared" si="10"/>
        <v>-1.0952432336129361</v>
      </c>
      <c r="G132" s="11"/>
      <c r="H132" s="11">
        <f t="shared" si="11"/>
        <v>6561</v>
      </c>
      <c r="I132" s="11">
        <f t="shared" si="14"/>
        <v>-2187</v>
      </c>
      <c r="J132" s="11">
        <f t="shared" si="14"/>
        <v>729</v>
      </c>
      <c r="K132" s="11">
        <f t="shared" si="14"/>
        <v>-243</v>
      </c>
      <c r="L132" s="11">
        <f t="shared" si="14"/>
        <v>81</v>
      </c>
      <c r="M132" s="11">
        <f t="shared" si="14"/>
        <v>-27</v>
      </c>
      <c r="N132" s="11">
        <f t="shared" si="14"/>
        <v>9</v>
      </c>
      <c r="O132" s="11">
        <f t="shared" si="14"/>
        <v>-3</v>
      </c>
      <c r="P132" s="11">
        <f t="shared" si="13"/>
        <v>0</v>
      </c>
    </row>
    <row r="133" spans="1:16" x14ac:dyDescent="0.25">
      <c r="A133" s="11">
        <f t="shared" si="12"/>
        <v>78</v>
      </c>
      <c r="B133">
        <v>-0.73879486104392023</v>
      </c>
      <c r="E133" s="11">
        <f>A133-'Mastercurve bestimmen'!$B$2</f>
        <v>-2</v>
      </c>
      <c r="F133" s="11">
        <f t="shared" si="10"/>
        <v>-0.73879486104392023</v>
      </c>
      <c r="G133" s="11"/>
      <c r="H133" s="11">
        <f t="shared" si="11"/>
        <v>256</v>
      </c>
      <c r="I133" s="11">
        <f t="shared" si="14"/>
        <v>-128</v>
      </c>
      <c r="J133" s="11">
        <f t="shared" si="14"/>
        <v>64</v>
      </c>
      <c r="K133" s="11">
        <f t="shared" si="14"/>
        <v>-32</v>
      </c>
      <c r="L133" s="11">
        <f t="shared" si="14"/>
        <v>16</v>
      </c>
      <c r="M133" s="11">
        <f t="shared" si="14"/>
        <v>-8</v>
      </c>
      <c r="N133" s="11">
        <f t="shared" si="14"/>
        <v>4</v>
      </c>
      <c r="O133" s="11">
        <f t="shared" si="14"/>
        <v>-2</v>
      </c>
      <c r="P133" s="11">
        <f t="shared" si="13"/>
        <v>0</v>
      </c>
    </row>
    <row r="134" spans="1:16" x14ac:dyDescent="0.25">
      <c r="A134" s="11">
        <f t="shared" si="12"/>
        <v>79</v>
      </c>
      <c r="B134">
        <v>-0.37381071287120404</v>
      </c>
      <c r="E134" s="11">
        <f>A134-'Mastercurve bestimmen'!$B$2</f>
        <v>-1</v>
      </c>
      <c r="F134" s="11">
        <f t="shared" si="10"/>
        <v>-0.37381071287120404</v>
      </c>
      <c r="G134" s="11"/>
      <c r="H134" s="11">
        <f t="shared" si="11"/>
        <v>1</v>
      </c>
      <c r="I134" s="11">
        <f t="shared" si="14"/>
        <v>-1</v>
      </c>
      <c r="J134" s="11">
        <f t="shared" si="14"/>
        <v>1</v>
      </c>
      <c r="K134" s="11">
        <f t="shared" si="14"/>
        <v>-1</v>
      </c>
      <c r="L134" s="11">
        <f t="shared" si="14"/>
        <v>1</v>
      </c>
      <c r="M134" s="11">
        <f t="shared" si="14"/>
        <v>-1</v>
      </c>
      <c r="N134" s="11">
        <f t="shared" si="14"/>
        <v>1</v>
      </c>
      <c r="O134" s="11">
        <f t="shared" si="14"/>
        <v>-1</v>
      </c>
      <c r="P134" s="11">
        <f t="shared" si="13"/>
        <v>0</v>
      </c>
    </row>
    <row r="135" spans="1:16" x14ac:dyDescent="0.25">
      <c r="A135" s="11">
        <f t="shared" si="12"/>
        <v>80</v>
      </c>
      <c r="B135">
        <v>0</v>
      </c>
      <c r="E135" s="11">
        <f>A135-'Mastercurve bestimmen'!$B$2</f>
        <v>0</v>
      </c>
      <c r="F135" s="11">
        <f t="shared" si="10"/>
        <v>0</v>
      </c>
      <c r="G135" s="11"/>
      <c r="H135" s="11">
        <f t="shared" si="11"/>
        <v>0</v>
      </c>
      <c r="I135" s="11">
        <f t="shared" si="14"/>
        <v>0</v>
      </c>
      <c r="J135" s="11">
        <f t="shared" si="14"/>
        <v>0</v>
      </c>
      <c r="K135" s="11">
        <f t="shared" si="14"/>
        <v>0</v>
      </c>
      <c r="L135" s="11">
        <f t="shared" si="14"/>
        <v>0</v>
      </c>
      <c r="M135" s="11">
        <f t="shared" si="14"/>
        <v>0</v>
      </c>
      <c r="N135" s="11">
        <f t="shared" si="14"/>
        <v>0</v>
      </c>
      <c r="O135" s="11">
        <f t="shared" si="14"/>
        <v>0</v>
      </c>
      <c r="P135" s="11">
        <f t="shared" si="13"/>
        <v>0</v>
      </c>
    </row>
    <row r="136" spans="1:16" x14ac:dyDescent="0.25">
      <c r="A136" s="11">
        <f t="shared" si="12"/>
        <v>81</v>
      </c>
      <c r="B136">
        <v>0.38279519745448343</v>
      </c>
      <c r="E136" s="11">
        <f>A136-'Mastercurve bestimmen'!$B$2</f>
        <v>1</v>
      </c>
      <c r="F136" s="11">
        <f t="shared" si="10"/>
        <v>0.38279519745448343</v>
      </c>
      <c r="G136" s="11"/>
      <c r="H136" s="11">
        <f t="shared" si="11"/>
        <v>1</v>
      </c>
      <c r="I136" s="11">
        <f t="shared" si="14"/>
        <v>1</v>
      </c>
      <c r="J136" s="11">
        <f t="shared" si="14"/>
        <v>1</v>
      </c>
      <c r="K136" s="11">
        <f t="shared" si="14"/>
        <v>1</v>
      </c>
      <c r="L136" s="11">
        <f t="shared" si="14"/>
        <v>1</v>
      </c>
      <c r="M136" s="11">
        <f t="shared" si="14"/>
        <v>1</v>
      </c>
      <c r="N136" s="11">
        <f t="shared" si="14"/>
        <v>1</v>
      </c>
      <c r="O136" s="11">
        <f t="shared" si="14"/>
        <v>1</v>
      </c>
      <c r="P136" s="11">
        <f t="shared" si="13"/>
        <v>0</v>
      </c>
    </row>
    <row r="137" spans="1:16" x14ac:dyDescent="0.25">
      <c r="A137" s="11">
        <f t="shared" si="12"/>
        <v>82</v>
      </c>
      <c r="B137">
        <v>0.77420132253705365</v>
      </c>
      <c r="E137" s="11">
        <f>A137-'Mastercurve bestimmen'!$B$2</f>
        <v>2</v>
      </c>
      <c r="F137" s="11">
        <f t="shared" si="10"/>
        <v>0.77420132253705365</v>
      </c>
      <c r="G137" s="11"/>
      <c r="H137" s="11">
        <f t="shared" si="11"/>
        <v>256</v>
      </c>
      <c r="I137" s="11">
        <f t="shared" si="14"/>
        <v>128</v>
      </c>
      <c r="J137" s="11">
        <f t="shared" si="14"/>
        <v>64</v>
      </c>
      <c r="K137" s="11">
        <f t="shared" si="14"/>
        <v>32</v>
      </c>
      <c r="L137" s="11">
        <f t="shared" si="14"/>
        <v>16</v>
      </c>
      <c r="M137" s="11">
        <f t="shared" si="14"/>
        <v>8</v>
      </c>
      <c r="N137" s="11">
        <f t="shared" si="14"/>
        <v>4</v>
      </c>
      <c r="O137" s="11">
        <f t="shared" si="14"/>
        <v>2</v>
      </c>
      <c r="P137" s="11">
        <f t="shared" si="13"/>
        <v>0</v>
      </c>
    </row>
    <row r="138" spans="1:16" x14ac:dyDescent="0.25">
      <c r="A138" s="11">
        <f t="shared" si="12"/>
        <v>83</v>
      </c>
      <c r="B138">
        <v>1.1737119490825194</v>
      </c>
      <c r="E138" s="11">
        <f>A138-'Mastercurve bestimmen'!$B$2</f>
        <v>3</v>
      </c>
      <c r="F138" s="11">
        <f t="shared" si="10"/>
        <v>1.1737119490825194</v>
      </c>
      <c r="G138" s="11"/>
      <c r="H138" s="11">
        <f t="shared" si="11"/>
        <v>6561</v>
      </c>
      <c r="I138" s="11">
        <f t="shared" si="14"/>
        <v>2187</v>
      </c>
      <c r="J138" s="11">
        <f t="shared" si="14"/>
        <v>729</v>
      </c>
      <c r="K138" s="11">
        <f t="shared" si="14"/>
        <v>243</v>
      </c>
      <c r="L138" s="11">
        <f t="shared" si="14"/>
        <v>81</v>
      </c>
      <c r="M138" s="11">
        <f t="shared" si="14"/>
        <v>27</v>
      </c>
      <c r="N138" s="11">
        <f t="shared" si="14"/>
        <v>9</v>
      </c>
      <c r="O138" s="11">
        <f t="shared" si="14"/>
        <v>3</v>
      </c>
      <c r="P138" s="11">
        <f t="shared" si="13"/>
        <v>0</v>
      </c>
    </row>
    <row r="139" spans="1:16" x14ac:dyDescent="0.25">
      <c r="A139" s="11">
        <f t="shared" si="12"/>
        <v>84</v>
      </c>
      <c r="B139">
        <v>1.5808206509256908</v>
      </c>
      <c r="E139" s="11">
        <f>A139-'Mastercurve bestimmen'!$B$2</f>
        <v>4</v>
      </c>
      <c r="F139" s="11">
        <f t="shared" si="10"/>
        <v>1.5808206509256908</v>
      </c>
      <c r="G139" s="11"/>
      <c r="H139" s="11">
        <f t="shared" si="11"/>
        <v>65536</v>
      </c>
      <c r="I139" s="11">
        <f t="shared" si="14"/>
        <v>16384</v>
      </c>
      <c r="J139" s="11">
        <f t="shared" si="14"/>
        <v>4096</v>
      </c>
      <c r="K139" s="11">
        <f t="shared" si="14"/>
        <v>1024</v>
      </c>
      <c r="L139" s="11">
        <f t="shared" si="14"/>
        <v>256</v>
      </c>
      <c r="M139" s="11">
        <f t="shared" si="14"/>
        <v>64</v>
      </c>
      <c r="N139" s="11">
        <f t="shared" si="14"/>
        <v>16</v>
      </c>
      <c r="O139" s="11">
        <f t="shared" si="14"/>
        <v>4</v>
      </c>
      <c r="P139" s="11">
        <f t="shared" si="13"/>
        <v>0</v>
      </c>
    </row>
    <row r="140" spans="1:16" x14ac:dyDescent="0.25">
      <c r="A140" s="11">
        <f t="shared" si="12"/>
        <v>85</v>
      </c>
      <c r="B140">
        <v>1.9950210019013763</v>
      </c>
      <c r="E140" s="11">
        <f>A140-'Mastercurve bestimmen'!$B$2</f>
        <v>5</v>
      </c>
      <c r="F140" s="11">
        <f t="shared" si="10"/>
        <v>1.9950210019013763</v>
      </c>
      <c r="G140" s="11"/>
      <c r="H140" s="11">
        <f t="shared" si="11"/>
        <v>390625</v>
      </c>
      <c r="I140" s="11">
        <f t="shared" si="14"/>
        <v>78125</v>
      </c>
      <c r="J140" s="11">
        <f t="shared" si="14"/>
        <v>15625</v>
      </c>
      <c r="K140" s="11">
        <f t="shared" si="14"/>
        <v>3125</v>
      </c>
      <c r="L140" s="11">
        <f t="shared" si="14"/>
        <v>625</v>
      </c>
      <c r="M140" s="11">
        <f t="shared" si="14"/>
        <v>125</v>
      </c>
      <c r="N140" s="11">
        <f t="shared" si="14"/>
        <v>25</v>
      </c>
      <c r="O140" s="11">
        <f t="shared" si="14"/>
        <v>5</v>
      </c>
      <c r="P140" s="11">
        <f t="shared" si="13"/>
        <v>0</v>
      </c>
    </row>
    <row r="141" spans="1:16" x14ac:dyDescent="0.25">
      <c r="A141" s="11">
        <f t="shared" si="12"/>
        <v>86</v>
      </c>
      <c r="B141">
        <v>2.4158065758443872</v>
      </c>
      <c r="E141" s="11">
        <f>A141-'Mastercurve bestimmen'!$B$2</f>
        <v>6</v>
      </c>
      <c r="F141" s="11">
        <f t="shared" si="10"/>
        <v>2.4158065758443872</v>
      </c>
      <c r="G141" s="11"/>
      <c r="H141" s="11">
        <f t="shared" si="11"/>
        <v>1679616</v>
      </c>
      <c r="I141" s="11">
        <f t="shared" si="14"/>
        <v>279936</v>
      </c>
      <c r="J141" s="11">
        <f t="shared" si="14"/>
        <v>46656</v>
      </c>
      <c r="K141" s="11">
        <f t="shared" si="14"/>
        <v>7776</v>
      </c>
      <c r="L141" s="11">
        <f t="shared" si="14"/>
        <v>1296</v>
      </c>
      <c r="M141" s="11">
        <f t="shared" si="14"/>
        <v>216</v>
      </c>
      <c r="N141" s="11">
        <f t="shared" si="14"/>
        <v>36</v>
      </c>
      <c r="O141" s="11">
        <f t="shared" si="14"/>
        <v>6</v>
      </c>
      <c r="P141" s="11">
        <f t="shared" si="13"/>
        <v>0</v>
      </c>
    </row>
    <row r="142" spans="1:16" x14ac:dyDescent="0.25">
      <c r="A142" s="11">
        <f t="shared" si="12"/>
        <v>87</v>
      </c>
      <c r="B142">
        <v>2.842670946589533</v>
      </c>
      <c r="E142" s="11">
        <f>A142-'Mastercurve bestimmen'!$B$2</f>
        <v>7</v>
      </c>
      <c r="F142" s="11">
        <f t="shared" si="10"/>
        <v>2.842670946589533</v>
      </c>
      <c r="G142" s="11"/>
      <c r="H142" s="11">
        <f t="shared" si="11"/>
        <v>5764801</v>
      </c>
      <c r="I142" s="11">
        <f t="shared" si="14"/>
        <v>823543</v>
      </c>
      <c r="J142" s="11">
        <f t="shared" si="14"/>
        <v>117649</v>
      </c>
      <c r="K142" s="11">
        <f t="shared" si="14"/>
        <v>16807</v>
      </c>
      <c r="L142" s="11">
        <f t="shared" si="14"/>
        <v>2401</v>
      </c>
      <c r="M142" s="11">
        <f t="shared" si="14"/>
        <v>343</v>
      </c>
      <c r="N142" s="11">
        <f t="shared" si="14"/>
        <v>49</v>
      </c>
      <c r="O142" s="11">
        <f t="shared" si="14"/>
        <v>7</v>
      </c>
      <c r="P142" s="11">
        <f t="shared" si="13"/>
        <v>0</v>
      </c>
    </row>
    <row r="143" spans="1:16" x14ac:dyDescent="0.25">
      <c r="A143" s="11">
        <f t="shared" si="12"/>
        <v>88</v>
      </c>
      <c r="B143">
        <v>3.2751076879716221</v>
      </c>
      <c r="E143" s="11">
        <f>A143-'Mastercurve bestimmen'!$B$2</f>
        <v>8</v>
      </c>
      <c r="F143" s="11">
        <f t="shared" si="10"/>
        <v>3.2751076879716221</v>
      </c>
      <c r="G143" s="11"/>
      <c r="H143" s="11">
        <f t="shared" si="11"/>
        <v>16777216</v>
      </c>
      <c r="I143" s="11">
        <f t="shared" si="14"/>
        <v>2097152</v>
      </c>
      <c r="J143" s="11">
        <f t="shared" si="14"/>
        <v>262144</v>
      </c>
      <c r="K143" s="11">
        <f t="shared" si="14"/>
        <v>32768</v>
      </c>
      <c r="L143" s="11">
        <f t="shared" si="14"/>
        <v>4096</v>
      </c>
      <c r="M143" s="11">
        <f t="shared" si="14"/>
        <v>512</v>
      </c>
      <c r="N143" s="11">
        <f t="shared" si="14"/>
        <v>64</v>
      </c>
      <c r="O143" s="11">
        <f t="shared" si="14"/>
        <v>8</v>
      </c>
      <c r="P143" s="11">
        <f t="shared" si="13"/>
        <v>0</v>
      </c>
    </row>
    <row r="144" spans="1:16" x14ac:dyDescent="0.25">
      <c r="A144" s="11">
        <f t="shared" si="12"/>
        <v>89</v>
      </c>
      <c r="B144">
        <v>3.7126103738254645</v>
      </c>
      <c r="E144" s="11">
        <f>A144-'Mastercurve bestimmen'!$B$2</f>
        <v>9</v>
      </c>
      <c r="F144" s="11">
        <f t="shared" ref="F144:F207" si="15">B144</f>
        <v>3.7126103738254645</v>
      </c>
      <c r="G144" s="11"/>
      <c r="H144" s="11">
        <f t="shared" ref="H144:H207" si="16">IF($H$12&gt;=H$14,$E144^H$14,0)</f>
        <v>43046721</v>
      </c>
      <c r="I144" s="11">
        <f t="shared" si="14"/>
        <v>4782969</v>
      </c>
      <c r="J144" s="11">
        <f t="shared" si="14"/>
        <v>531441</v>
      </c>
      <c r="K144" s="11">
        <f t="shared" si="14"/>
        <v>59049</v>
      </c>
      <c r="L144" s="11">
        <f t="shared" si="14"/>
        <v>6561</v>
      </c>
      <c r="M144" s="11">
        <f t="shared" si="14"/>
        <v>729</v>
      </c>
      <c r="N144" s="11">
        <f t="shared" si="14"/>
        <v>81</v>
      </c>
      <c r="O144" s="11">
        <f t="shared" si="14"/>
        <v>9</v>
      </c>
      <c r="P144" s="11">
        <f t="shared" si="13"/>
        <v>0</v>
      </c>
    </row>
    <row r="145" spans="1:16" x14ac:dyDescent="0.25">
      <c r="A145" s="11">
        <f t="shared" ref="A145:A208" si="17">A144+1</f>
        <v>90</v>
      </c>
      <c r="B145">
        <v>4.1546725779858704</v>
      </c>
      <c r="E145" s="11">
        <f>A145-'Mastercurve bestimmen'!$B$2</f>
        <v>10</v>
      </c>
      <c r="F145" s="11">
        <f t="shared" si="15"/>
        <v>4.1546725779858704</v>
      </c>
      <c r="G145" s="11"/>
      <c r="H145" s="11">
        <f t="shared" si="16"/>
        <v>100000000</v>
      </c>
      <c r="I145" s="11">
        <f t="shared" si="14"/>
        <v>10000000</v>
      </c>
      <c r="J145" s="11">
        <f t="shared" si="14"/>
        <v>1000000</v>
      </c>
      <c r="K145" s="11">
        <f t="shared" si="14"/>
        <v>100000</v>
      </c>
      <c r="L145" s="11">
        <f t="shared" si="14"/>
        <v>10000</v>
      </c>
      <c r="M145" s="11">
        <f t="shared" si="14"/>
        <v>1000</v>
      </c>
      <c r="N145" s="11">
        <f t="shared" si="14"/>
        <v>100</v>
      </c>
      <c r="O145" s="11">
        <f t="shared" si="14"/>
        <v>10</v>
      </c>
      <c r="P145" s="11">
        <f t="shared" ref="P145:P208" si="18">P144</f>
        <v>0</v>
      </c>
    </row>
    <row r="146" spans="1:16" x14ac:dyDescent="0.25">
      <c r="A146" s="11">
        <f t="shared" si="17"/>
        <v>91</v>
      </c>
      <c r="B146">
        <v>4.6007878742876507</v>
      </c>
      <c r="E146" s="11">
        <f>A146-'Mastercurve bestimmen'!$B$2</f>
        <v>11</v>
      </c>
      <c r="F146" s="11">
        <f t="shared" si="15"/>
        <v>4.6007878742876507</v>
      </c>
      <c r="G146" s="11"/>
      <c r="H146" s="11">
        <f t="shared" si="16"/>
        <v>214358881</v>
      </c>
      <c r="I146" s="11">
        <f t="shared" si="14"/>
        <v>19487171</v>
      </c>
      <c r="J146" s="11">
        <f t="shared" si="14"/>
        <v>1771561</v>
      </c>
      <c r="K146" s="11">
        <f t="shared" si="14"/>
        <v>161051</v>
      </c>
      <c r="L146" s="11">
        <f t="shared" si="14"/>
        <v>14641</v>
      </c>
      <c r="M146" s="11">
        <f t="shared" si="14"/>
        <v>1331</v>
      </c>
      <c r="N146" s="11">
        <f t="shared" si="14"/>
        <v>121</v>
      </c>
      <c r="O146" s="11">
        <f t="shared" si="14"/>
        <v>11</v>
      </c>
      <c r="P146" s="11">
        <f t="shared" si="18"/>
        <v>0</v>
      </c>
    </row>
    <row r="147" spans="1:16" x14ac:dyDescent="0.25">
      <c r="A147" s="11">
        <f t="shared" si="17"/>
        <v>92</v>
      </c>
      <c r="B147">
        <v>5.0504498365656119</v>
      </c>
      <c r="E147" s="11">
        <f>A147-'Mastercurve bestimmen'!$B$2</f>
        <v>12</v>
      </c>
      <c r="F147" s="11">
        <f t="shared" si="15"/>
        <v>5.0504498365656119</v>
      </c>
      <c r="G147" s="11"/>
      <c r="H147" s="11">
        <f t="shared" si="16"/>
        <v>429981696</v>
      </c>
      <c r="I147" s="11">
        <f t="shared" si="14"/>
        <v>35831808</v>
      </c>
      <c r="J147" s="11">
        <f t="shared" si="14"/>
        <v>2985984</v>
      </c>
      <c r="K147" s="11">
        <f t="shared" si="14"/>
        <v>248832</v>
      </c>
      <c r="L147" s="11">
        <f t="shared" si="14"/>
        <v>20736</v>
      </c>
      <c r="M147" s="11">
        <f t="shared" si="14"/>
        <v>1728</v>
      </c>
      <c r="N147" s="11">
        <f t="shared" si="14"/>
        <v>144</v>
      </c>
      <c r="O147" s="11">
        <f t="shared" si="14"/>
        <v>12</v>
      </c>
      <c r="P147" s="11">
        <f t="shared" si="18"/>
        <v>0</v>
      </c>
    </row>
    <row r="148" spans="1:16" x14ac:dyDescent="0.25">
      <c r="A148" s="11">
        <f t="shared" si="17"/>
        <v>93</v>
      </c>
      <c r="B148">
        <v>5.5031520386545658</v>
      </c>
      <c r="E148" s="11">
        <f>A148-'Mastercurve bestimmen'!$B$2</f>
        <v>13</v>
      </c>
      <c r="F148" s="11">
        <f t="shared" si="15"/>
        <v>5.5031520386545658</v>
      </c>
      <c r="G148" s="11"/>
      <c r="H148" s="11">
        <f t="shared" si="16"/>
        <v>815730721</v>
      </c>
      <c r="I148" s="11">
        <f t="shared" si="14"/>
        <v>62748517</v>
      </c>
      <c r="J148" s="11">
        <f t="shared" si="14"/>
        <v>4826809</v>
      </c>
      <c r="K148" s="11">
        <f t="shared" si="14"/>
        <v>371293</v>
      </c>
      <c r="L148" s="11">
        <f t="shared" si="14"/>
        <v>28561</v>
      </c>
      <c r="M148" s="11">
        <f t="shared" si="14"/>
        <v>2197</v>
      </c>
      <c r="N148" s="11">
        <f t="shared" si="14"/>
        <v>169</v>
      </c>
      <c r="O148" s="11">
        <f t="shared" si="14"/>
        <v>13</v>
      </c>
      <c r="P148" s="11">
        <f t="shared" si="18"/>
        <v>0</v>
      </c>
    </row>
    <row r="149" spans="1:16" x14ac:dyDescent="0.25">
      <c r="A149" s="11">
        <f t="shared" si="17"/>
        <v>94</v>
      </c>
      <c r="B149">
        <v>5.9583880543893226</v>
      </c>
      <c r="E149" s="11">
        <f>A149-'Mastercurve bestimmen'!$B$2</f>
        <v>14</v>
      </c>
      <c r="F149" s="11">
        <f t="shared" si="15"/>
        <v>5.9583880543893226</v>
      </c>
      <c r="G149" s="11"/>
      <c r="H149" s="11">
        <f t="shared" si="16"/>
        <v>1475789056</v>
      </c>
      <c r="I149" s="11">
        <f t="shared" si="14"/>
        <v>105413504</v>
      </c>
      <c r="J149" s="11">
        <f t="shared" si="14"/>
        <v>7529536</v>
      </c>
      <c r="K149" s="11">
        <f t="shared" si="14"/>
        <v>537824</v>
      </c>
      <c r="L149" s="11">
        <f t="shared" si="14"/>
        <v>38416</v>
      </c>
      <c r="M149" s="11">
        <f t="shared" si="14"/>
        <v>2744</v>
      </c>
      <c r="N149" s="11">
        <f t="shared" si="14"/>
        <v>196</v>
      </c>
      <c r="O149" s="11">
        <f t="shared" si="14"/>
        <v>14</v>
      </c>
      <c r="P149" s="11">
        <f t="shared" si="18"/>
        <v>0</v>
      </c>
    </row>
    <row r="150" spans="1:16" x14ac:dyDescent="0.25">
      <c r="A150" s="11">
        <f t="shared" si="17"/>
        <v>95</v>
      </c>
      <c r="B150">
        <v>6.4156514576046906</v>
      </c>
      <c r="E150" s="11">
        <f>A150-'Mastercurve bestimmen'!$B$2</f>
        <v>15</v>
      </c>
      <c r="F150" s="11">
        <f t="shared" si="15"/>
        <v>6.4156514576046906</v>
      </c>
      <c r="G150" s="11"/>
      <c r="H150" s="11">
        <f t="shared" si="16"/>
        <v>2562890625</v>
      </c>
      <c r="I150" s="11">
        <f t="shared" si="14"/>
        <v>170859375</v>
      </c>
      <c r="J150" s="11">
        <f t="shared" si="14"/>
        <v>11390625</v>
      </c>
      <c r="K150" s="11">
        <f t="shared" si="14"/>
        <v>759375</v>
      </c>
      <c r="L150" s="11">
        <f t="shared" si="14"/>
        <v>50625</v>
      </c>
      <c r="M150" s="11">
        <f t="shared" si="14"/>
        <v>3375</v>
      </c>
      <c r="N150" s="11">
        <f t="shared" si="14"/>
        <v>225</v>
      </c>
      <c r="O150" s="11">
        <f t="shared" si="14"/>
        <v>15</v>
      </c>
      <c r="P150" s="11">
        <f t="shared" si="18"/>
        <v>0</v>
      </c>
    </row>
    <row r="151" spans="1:16" x14ac:dyDescent="0.25">
      <c r="A151" s="11">
        <f t="shared" si="17"/>
        <v>96</v>
      </c>
      <c r="B151">
        <v>6.8744358221354798</v>
      </c>
      <c r="E151" s="11">
        <f>A151-'Mastercurve bestimmen'!$B$2</f>
        <v>16</v>
      </c>
      <c r="F151" s="11">
        <f t="shared" si="15"/>
        <v>6.8744358221354798</v>
      </c>
      <c r="G151" s="11"/>
      <c r="H151" s="11">
        <f t="shared" si="16"/>
        <v>4294967296</v>
      </c>
      <c r="I151" s="11">
        <f t="shared" si="14"/>
        <v>268435456</v>
      </c>
      <c r="J151" s="11">
        <f t="shared" si="14"/>
        <v>16777216</v>
      </c>
      <c r="K151" s="11">
        <f t="shared" si="14"/>
        <v>1048576</v>
      </c>
      <c r="L151" s="11">
        <f t="shared" si="14"/>
        <v>65536</v>
      </c>
      <c r="M151" s="11">
        <f t="shared" si="14"/>
        <v>4096</v>
      </c>
      <c r="N151" s="11">
        <f t="shared" si="14"/>
        <v>256</v>
      </c>
      <c r="O151" s="11">
        <f t="shared" si="14"/>
        <v>16</v>
      </c>
      <c r="P151" s="11">
        <f t="shared" si="18"/>
        <v>0</v>
      </c>
    </row>
    <row r="152" spans="1:16" x14ac:dyDescent="0.25">
      <c r="A152" s="11">
        <f t="shared" si="17"/>
        <v>97</v>
      </c>
      <c r="B152">
        <v>7.3342347218165003</v>
      </c>
      <c r="E152" s="11">
        <f>A152-'Mastercurve bestimmen'!$B$2</f>
        <v>17</v>
      </c>
      <c r="F152" s="11">
        <f t="shared" si="15"/>
        <v>7.3342347218165003</v>
      </c>
      <c r="G152" s="11"/>
      <c r="H152" s="11">
        <f t="shared" si="16"/>
        <v>6975757441</v>
      </c>
      <c r="I152" s="11">
        <f t="shared" si="14"/>
        <v>410338673</v>
      </c>
      <c r="J152" s="11">
        <f t="shared" si="14"/>
        <v>24137569</v>
      </c>
      <c r="K152" s="11">
        <f t="shared" si="14"/>
        <v>1419857</v>
      </c>
      <c r="L152" s="11">
        <f t="shared" si="14"/>
        <v>83521</v>
      </c>
      <c r="M152" s="11">
        <f t="shared" si="14"/>
        <v>4913</v>
      </c>
      <c r="N152" s="11">
        <f t="shared" ref="I152:O189" si="19">IF($H$12&gt;=N$14,$E152^N$14,0)</f>
        <v>289</v>
      </c>
      <c r="O152" s="11">
        <f t="shared" si="19"/>
        <v>17</v>
      </c>
      <c r="P152" s="11">
        <f t="shared" si="18"/>
        <v>0</v>
      </c>
    </row>
    <row r="153" spans="1:16" x14ac:dyDescent="0.25">
      <c r="A153" s="11">
        <f t="shared" si="17"/>
        <v>98</v>
      </c>
      <c r="B153">
        <v>7.7945417304825604</v>
      </c>
      <c r="E153" s="11">
        <f>A153-'Mastercurve bestimmen'!$B$2</f>
        <v>18</v>
      </c>
      <c r="F153" s="11">
        <f t="shared" si="15"/>
        <v>7.7945417304825604</v>
      </c>
      <c r="G153" s="11"/>
      <c r="H153" s="11">
        <f t="shared" si="16"/>
        <v>11019960576</v>
      </c>
      <c r="I153" s="11">
        <f t="shared" si="19"/>
        <v>612220032</v>
      </c>
      <c r="J153" s="11">
        <f t="shared" si="19"/>
        <v>34012224</v>
      </c>
      <c r="K153" s="11">
        <f t="shared" si="19"/>
        <v>1889568</v>
      </c>
      <c r="L153" s="11">
        <f t="shared" si="19"/>
        <v>104976</v>
      </c>
      <c r="M153" s="11">
        <f t="shared" si="19"/>
        <v>5832</v>
      </c>
      <c r="N153" s="11">
        <f t="shared" si="19"/>
        <v>324</v>
      </c>
      <c r="O153" s="11">
        <f t="shared" si="19"/>
        <v>18</v>
      </c>
      <c r="P153" s="11">
        <f t="shared" si="18"/>
        <v>0</v>
      </c>
    </row>
    <row r="154" spans="1:16" x14ac:dyDescent="0.25">
      <c r="A154" s="11">
        <f t="shared" si="17"/>
        <v>99</v>
      </c>
      <c r="B154">
        <v>8.254850421968472</v>
      </c>
      <c r="E154" s="11">
        <f>A154-'Mastercurve bestimmen'!$B$2</f>
        <v>19</v>
      </c>
      <c r="F154" s="11">
        <f t="shared" si="15"/>
        <v>8.254850421968472</v>
      </c>
      <c r="G154" s="11"/>
      <c r="H154" s="11">
        <f t="shared" si="16"/>
        <v>16983563041</v>
      </c>
      <c r="I154" s="11">
        <f t="shared" si="19"/>
        <v>893871739</v>
      </c>
      <c r="J154" s="11">
        <f t="shared" si="19"/>
        <v>47045881</v>
      </c>
      <c r="K154" s="11">
        <f t="shared" si="19"/>
        <v>2476099</v>
      </c>
      <c r="L154" s="11">
        <f t="shared" si="19"/>
        <v>130321</v>
      </c>
      <c r="M154" s="11">
        <f t="shared" si="19"/>
        <v>6859</v>
      </c>
      <c r="N154" s="11">
        <f t="shared" si="19"/>
        <v>361</v>
      </c>
      <c r="O154" s="11">
        <f t="shared" si="19"/>
        <v>19</v>
      </c>
      <c r="P154" s="11">
        <f t="shared" si="18"/>
        <v>0</v>
      </c>
    </row>
    <row r="155" spans="1:16" x14ac:dyDescent="0.25">
      <c r="A155" s="11">
        <f t="shared" si="17"/>
        <v>100</v>
      </c>
      <c r="B155">
        <v>8.7146543701090415</v>
      </c>
      <c r="E155" s="11">
        <f>A155-'Mastercurve bestimmen'!$B$2</f>
        <v>20</v>
      </c>
      <c r="F155" s="11">
        <f t="shared" si="15"/>
        <v>8.7146543701090415</v>
      </c>
      <c r="G155" s="11"/>
      <c r="H155" s="11">
        <f t="shared" si="16"/>
        <v>25600000000</v>
      </c>
      <c r="I155" s="11">
        <f t="shared" si="19"/>
        <v>1280000000</v>
      </c>
      <c r="J155" s="11">
        <f t="shared" si="19"/>
        <v>64000000</v>
      </c>
      <c r="K155" s="11">
        <f t="shared" si="19"/>
        <v>3200000</v>
      </c>
      <c r="L155" s="11">
        <f t="shared" si="19"/>
        <v>160000</v>
      </c>
      <c r="M155" s="11">
        <f t="shared" si="19"/>
        <v>8000</v>
      </c>
      <c r="N155" s="11">
        <f t="shared" si="19"/>
        <v>400</v>
      </c>
      <c r="O155" s="11">
        <f t="shared" si="19"/>
        <v>20</v>
      </c>
      <c r="P155" s="11">
        <f t="shared" si="18"/>
        <v>0</v>
      </c>
    </row>
    <row r="156" spans="1:16" x14ac:dyDescent="0.25">
      <c r="A156" s="11">
        <f t="shared" si="17"/>
        <v>101</v>
      </c>
      <c r="B156">
        <v>9.1734471487390845</v>
      </c>
      <c r="E156" s="11">
        <f>A156-'Mastercurve bestimmen'!$B$2</f>
        <v>21</v>
      </c>
      <c r="F156" s="11">
        <f t="shared" si="15"/>
        <v>9.1734471487390845</v>
      </c>
      <c r="G156" s="11"/>
      <c r="H156" s="11">
        <f t="shared" si="16"/>
        <v>37822859361</v>
      </c>
      <c r="I156" s="11">
        <f t="shared" si="19"/>
        <v>1801088541</v>
      </c>
      <c r="J156" s="11">
        <f t="shared" si="19"/>
        <v>85766121</v>
      </c>
      <c r="K156" s="11">
        <f t="shared" si="19"/>
        <v>4084101</v>
      </c>
      <c r="L156" s="11">
        <f t="shared" si="19"/>
        <v>194481</v>
      </c>
      <c r="M156" s="11">
        <f t="shared" si="19"/>
        <v>9261</v>
      </c>
      <c r="N156" s="11">
        <f t="shared" si="19"/>
        <v>441</v>
      </c>
      <c r="O156" s="11">
        <f t="shared" si="19"/>
        <v>21</v>
      </c>
      <c r="P156" s="11">
        <f t="shared" si="18"/>
        <v>0</v>
      </c>
    </row>
    <row r="157" spans="1:16" x14ac:dyDescent="0.25">
      <c r="A157" s="11">
        <f t="shared" si="17"/>
        <v>102</v>
      </c>
      <c r="B157">
        <v>9.6307223316934056</v>
      </c>
      <c r="E157" s="11">
        <f>A157-'Mastercurve bestimmen'!$B$2</f>
        <v>22</v>
      </c>
      <c r="F157" s="11">
        <f t="shared" si="15"/>
        <v>9.6307223316934056</v>
      </c>
      <c r="G157" s="11"/>
      <c r="H157" s="11">
        <f t="shared" si="16"/>
        <v>54875873536</v>
      </c>
      <c r="I157" s="11">
        <f t="shared" si="19"/>
        <v>2494357888</v>
      </c>
      <c r="J157" s="11">
        <f t="shared" si="19"/>
        <v>113379904</v>
      </c>
      <c r="K157" s="11">
        <f t="shared" si="19"/>
        <v>5153632</v>
      </c>
      <c r="L157" s="11">
        <f t="shared" si="19"/>
        <v>234256</v>
      </c>
      <c r="M157" s="11">
        <f t="shared" si="19"/>
        <v>10648</v>
      </c>
      <c r="N157" s="11">
        <f t="shared" si="19"/>
        <v>484</v>
      </c>
      <c r="O157" s="11">
        <f t="shared" si="19"/>
        <v>22</v>
      </c>
      <c r="P157" s="11">
        <f t="shared" si="18"/>
        <v>0</v>
      </c>
    </row>
    <row r="158" spans="1:16" x14ac:dyDescent="0.25">
      <c r="A158" s="11">
        <f t="shared" si="17"/>
        <v>103</v>
      </c>
      <c r="B158">
        <v>10.085973492806815</v>
      </c>
      <c r="E158" s="11">
        <f>A158-'Mastercurve bestimmen'!$B$2</f>
        <v>23</v>
      </c>
      <c r="F158" s="11">
        <f t="shared" si="15"/>
        <v>10.085973492806815</v>
      </c>
      <c r="G158" s="11"/>
      <c r="H158" s="11">
        <f t="shared" si="16"/>
        <v>78310985281</v>
      </c>
      <c r="I158" s="11">
        <f t="shared" si="19"/>
        <v>3404825447</v>
      </c>
      <c r="J158" s="11">
        <f t="shared" si="19"/>
        <v>148035889</v>
      </c>
      <c r="K158" s="11">
        <f t="shared" si="19"/>
        <v>6436343</v>
      </c>
      <c r="L158" s="11">
        <f t="shared" si="19"/>
        <v>279841</v>
      </c>
      <c r="M158" s="11">
        <f t="shared" si="19"/>
        <v>12167</v>
      </c>
      <c r="N158" s="11">
        <f t="shared" si="19"/>
        <v>529</v>
      </c>
      <c r="O158" s="11">
        <f t="shared" si="19"/>
        <v>23</v>
      </c>
      <c r="P158" s="11">
        <f t="shared" si="18"/>
        <v>0</v>
      </c>
    </row>
    <row r="159" spans="1:16" x14ac:dyDescent="0.25">
      <c r="A159" s="11">
        <f t="shared" si="17"/>
        <v>104</v>
      </c>
      <c r="B159">
        <v>10.538694205914123</v>
      </c>
      <c r="E159" s="11">
        <f>A159-'Mastercurve bestimmen'!$B$2</f>
        <v>24</v>
      </c>
      <c r="F159" s="11">
        <f t="shared" si="15"/>
        <v>10.538694205914123</v>
      </c>
      <c r="G159" s="11"/>
      <c r="H159" s="11">
        <f t="shared" si="16"/>
        <v>110075314176</v>
      </c>
      <c r="I159" s="11">
        <f t="shared" si="19"/>
        <v>4586471424</v>
      </c>
      <c r="J159" s="11">
        <f t="shared" si="19"/>
        <v>191102976</v>
      </c>
      <c r="K159" s="11">
        <f t="shared" si="19"/>
        <v>7962624</v>
      </c>
      <c r="L159" s="11">
        <f t="shared" si="19"/>
        <v>331776</v>
      </c>
      <c r="M159" s="11">
        <f t="shared" si="19"/>
        <v>13824</v>
      </c>
      <c r="N159" s="11">
        <f t="shared" si="19"/>
        <v>576</v>
      </c>
      <c r="O159" s="11">
        <f t="shared" si="19"/>
        <v>24</v>
      </c>
      <c r="P159" s="11">
        <f t="shared" si="18"/>
        <v>0</v>
      </c>
    </row>
    <row r="160" spans="1:16" x14ac:dyDescent="0.25">
      <c r="A160" s="11">
        <f t="shared" si="17"/>
        <v>105</v>
      </c>
      <c r="B160">
        <v>10.988378044850137</v>
      </c>
      <c r="E160" s="11">
        <f>A160-'Mastercurve bestimmen'!$B$2</f>
        <v>25</v>
      </c>
      <c r="F160" s="11">
        <f t="shared" si="15"/>
        <v>10.988378044850137</v>
      </c>
      <c r="G160" s="11"/>
      <c r="H160" s="11">
        <f t="shared" si="16"/>
        <v>152587890625</v>
      </c>
      <c r="I160" s="11">
        <f t="shared" si="19"/>
        <v>6103515625</v>
      </c>
      <c r="J160" s="11">
        <f t="shared" si="19"/>
        <v>244140625</v>
      </c>
      <c r="K160" s="11">
        <f t="shared" si="19"/>
        <v>9765625</v>
      </c>
      <c r="L160" s="11">
        <f t="shared" si="19"/>
        <v>390625</v>
      </c>
      <c r="M160" s="11">
        <f t="shared" si="19"/>
        <v>15625</v>
      </c>
      <c r="N160" s="11">
        <f t="shared" si="19"/>
        <v>625</v>
      </c>
      <c r="O160" s="11">
        <f t="shared" si="19"/>
        <v>25</v>
      </c>
      <c r="P160" s="11">
        <f t="shared" si="18"/>
        <v>0</v>
      </c>
    </row>
    <row r="161" spans="1:16" x14ac:dyDescent="0.25">
      <c r="A161" s="11">
        <f t="shared" si="17"/>
        <v>106</v>
      </c>
      <c r="B161">
        <v>11.434518583449671</v>
      </c>
      <c r="E161" s="11">
        <f>A161-'Mastercurve bestimmen'!$B$2</f>
        <v>26</v>
      </c>
      <c r="F161" s="11">
        <f t="shared" si="15"/>
        <v>11.434518583449671</v>
      </c>
      <c r="G161" s="11"/>
      <c r="H161" s="11">
        <f t="shared" si="16"/>
        <v>208827064576</v>
      </c>
      <c r="I161" s="11">
        <f t="shared" si="19"/>
        <v>8031810176</v>
      </c>
      <c r="J161" s="11">
        <f t="shared" si="19"/>
        <v>308915776</v>
      </c>
      <c r="K161" s="11">
        <f t="shared" si="19"/>
        <v>11881376</v>
      </c>
      <c r="L161" s="11">
        <f t="shared" si="19"/>
        <v>456976</v>
      </c>
      <c r="M161" s="11">
        <f t="shared" si="19"/>
        <v>17576</v>
      </c>
      <c r="N161" s="11">
        <f t="shared" si="19"/>
        <v>676</v>
      </c>
      <c r="O161" s="11">
        <f t="shared" si="19"/>
        <v>26</v>
      </c>
      <c r="P161" s="11">
        <f t="shared" si="18"/>
        <v>0</v>
      </c>
    </row>
    <row r="162" spans="1:16" x14ac:dyDescent="0.25">
      <c r="A162" s="11">
        <f t="shared" si="17"/>
        <v>107</v>
      </c>
      <c r="B162">
        <v>11.876609395547533</v>
      </c>
      <c r="E162" s="11">
        <f>A162-'Mastercurve bestimmen'!$B$2</f>
        <v>27</v>
      </c>
      <c r="F162" s="11">
        <f t="shared" si="15"/>
        <v>11.876609395547533</v>
      </c>
      <c r="G162" s="11"/>
      <c r="H162" s="11">
        <f t="shared" si="16"/>
        <v>282429536481</v>
      </c>
      <c r="I162" s="11">
        <f t="shared" si="19"/>
        <v>10460353203</v>
      </c>
      <c r="J162" s="11">
        <f t="shared" si="19"/>
        <v>387420489</v>
      </c>
      <c r="K162" s="11">
        <f t="shared" si="19"/>
        <v>14348907</v>
      </c>
      <c r="L162" s="11">
        <f t="shared" si="19"/>
        <v>531441</v>
      </c>
      <c r="M162" s="11">
        <f t="shared" si="19"/>
        <v>19683</v>
      </c>
      <c r="N162" s="11">
        <f t="shared" si="19"/>
        <v>729</v>
      </c>
      <c r="O162" s="11">
        <f t="shared" si="19"/>
        <v>27</v>
      </c>
      <c r="P162" s="11">
        <f t="shared" si="18"/>
        <v>0</v>
      </c>
    </row>
    <row r="163" spans="1:16" x14ac:dyDescent="0.25">
      <c r="A163" s="11">
        <f t="shared" si="17"/>
        <v>108</v>
      </c>
      <c r="B163">
        <v>12.314144054978534</v>
      </c>
      <c r="E163" s="11">
        <f>A163-'Mastercurve bestimmen'!$B$2</f>
        <v>28</v>
      </c>
      <c r="F163" s="11">
        <f t="shared" si="15"/>
        <v>12.314144054978534</v>
      </c>
      <c r="G163" s="11"/>
      <c r="H163" s="11">
        <f t="shared" si="16"/>
        <v>377801998336</v>
      </c>
      <c r="I163" s="11">
        <f t="shared" si="19"/>
        <v>13492928512</v>
      </c>
      <c r="J163" s="11">
        <f t="shared" si="19"/>
        <v>481890304</v>
      </c>
      <c r="K163" s="11">
        <f t="shared" si="19"/>
        <v>17210368</v>
      </c>
      <c r="L163" s="11">
        <f t="shared" si="19"/>
        <v>614656</v>
      </c>
      <c r="M163" s="11">
        <f t="shared" si="19"/>
        <v>21952</v>
      </c>
      <c r="N163" s="11">
        <f t="shared" si="19"/>
        <v>784</v>
      </c>
      <c r="O163" s="11">
        <f t="shared" si="19"/>
        <v>28</v>
      </c>
      <c r="P163" s="11">
        <f t="shared" si="18"/>
        <v>0</v>
      </c>
    </row>
    <row r="164" spans="1:16" x14ac:dyDescent="0.25">
      <c r="A164" s="11">
        <f t="shared" si="17"/>
        <v>109</v>
      </c>
      <c r="B164">
        <v>12.746616135577479</v>
      </c>
      <c r="E164" s="11">
        <f>A164-'Mastercurve bestimmen'!$B$2</f>
        <v>29</v>
      </c>
      <c r="F164" s="11">
        <f t="shared" si="15"/>
        <v>12.746616135577479</v>
      </c>
      <c r="G164" s="11"/>
      <c r="H164" s="11">
        <f t="shared" si="16"/>
        <v>500246412961</v>
      </c>
      <c r="I164" s="11">
        <f t="shared" si="19"/>
        <v>17249876309</v>
      </c>
      <c r="J164" s="11">
        <f t="shared" si="19"/>
        <v>594823321</v>
      </c>
      <c r="K164" s="11">
        <f t="shared" si="19"/>
        <v>20511149</v>
      </c>
      <c r="L164" s="11">
        <f t="shared" si="19"/>
        <v>707281</v>
      </c>
      <c r="M164" s="11">
        <f t="shared" si="19"/>
        <v>24389</v>
      </c>
      <c r="N164" s="11">
        <f t="shared" si="19"/>
        <v>841</v>
      </c>
      <c r="O164" s="11">
        <f t="shared" si="19"/>
        <v>29</v>
      </c>
      <c r="P164" s="11">
        <f t="shared" si="18"/>
        <v>0</v>
      </c>
    </row>
    <row r="165" spans="1:16" x14ac:dyDescent="0.25">
      <c r="A165" s="11">
        <f t="shared" si="17"/>
        <v>110</v>
      </c>
      <c r="B165">
        <v>13.173519211179183</v>
      </c>
      <c r="E165" s="11">
        <f>A165-'Mastercurve bestimmen'!$B$2</f>
        <v>30</v>
      </c>
      <c r="F165" s="11">
        <f t="shared" si="15"/>
        <v>13.173519211179183</v>
      </c>
      <c r="G165" s="11"/>
      <c r="H165" s="11">
        <f t="shared" si="16"/>
        <v>656100000000</v>
      </c>
      <c r="I165" s="11">
        <f t="shared" si="19"/>
        <v>21870000000</v>
      </c>
      <c r="J165" s="11">
        <f t="shared" si="19"/>
        <v>729000000</v>
      </c>
      <c r="K165" s="11">
        <f t="shared" si="19"/>
        <v>24300000</v>
      </c>
      <c r="L165" s="11">
        <f t="shared" si="19"/>
        <v>810000</v>
      </c>
      <c r="M165" s="11">
        <f t="shared" si="19"/>
        <v>27000</v>
      </c>
      <c r="N165" s="11">
        <f t="shared" si="19"/>
        <v>900</v>
      </c>
      <c r="O165" s="11">
        <f t="shared" si="19"/>
        <v>30</v>
      </c>
      <c r="P165" s="11">
        <f t="shared" si="18"/>
        <v>0</v>
      </c>
    </row>
    <row r="166" spans="1:16" x14ac:dyDescent="0.25">
      <c r="A166" s="11">
        <f t="shared" si="17"/>
        <v>111</v>
      </c>
      <c r="B166">
        <v>13.594346855618452</v>
      </c>
      <c r="E166" s="11">
        <f>A166-'Mastercurve bestimmen'!$B$2</f>
        <v>31</v>
      </c>
      <c r="F166" s="11">
        <f t="shared" si="15"/>
        <v>13.594346855618452</v>
      </c>
      <c r="G166" s="11"/>
      <c r="H166" s="11">
        <f t="shared" si="16"/>
        <v>852891037441</v>
      </c>
      <c r="I166" s="11">
        <f t="shared" si="19"/>
        <v>27512614111</v>
      </c>
      <c r="J166" s="11">
        <f t="shared" si="19"/>
        <v>887503681</v>
      </c>
      <c r="K166" s="11">
        <f t="shared" si="19"/>
        <v>28629151</v>
      </c>
      <c r="L166" s="11">
        <f t="shared" si="19"/>
        <v>923521</v>
      </c>
      <c r="M166" s="11">
        <f t="shared" si="19"/>
        <v>29791</v>
      </c>
      <c r="N166" s="11">
        <f t="shared" si="19"/>
        <v>961</v>
      </c>
      <c r="O166" s="11">
        <f t="shared" si="19"/>
        <v>31</v>
      </c>
      <c r="P166" s="11">
        <f t="shared" si="18"/>
        <v>0</v>
      </c>
    </row>
    <row r="167" spans="1:16" x14ac:dyDescent="0.25">
      <c r="A167" s="11">
        <f t="shared" si="17"/>
        <v>112</v>
      </c>
      <c r="B167">
        <v>14.008592642730097</v>
      </c>
      <c r="E167" s="11">
        <f>A167-'Mastercurve bestimmen'!$B$2</f>
        <v>32</v>
      </c>
      <c r="F167" s="11">
        <f t="shared" si="15"/>
        <v>14.008592642730097</v>
      </c>
      <c r="G167" s="11"/>
      <c r="H167" s="11">
        <f t="shared" si="16"/>
        <v>1099511627776</v>
      </c>
      <c r="I167" s="11">
        <f t="shared" si="19"/>
        <v>34359738368</v>
      </c>
      <c r="J167" s="11">
        <f t="shared" si="19"/>
        <v>1073741824</v>
      </c>
      <c r="K167" s="11">
        <f t="shared" si="19"/>
        <v>33554432</v>
      </c>
      <c r="L167" s="11">
        <f t="shared" si="19"/>
        <v>1048576</v>
      </c>
      <c r="M167" s="11">
        <f t="shared" si="19"/>
        <v>32768</v>
      </c>
      <c r="N167" s="11">
        <f t="shared" si="19"/>
        <v>1024</v>
      </c>
      <c r="O167" s="11">
        <f t="shared" si="19"/>
        <v>32</v>
      </c>
      <c r="P167" s="11">
        <f t="shared" si="18"/>
        <v>0</v>
      </c>
    </row>
    <row r="168" spans="1:16" x14ac:dyDescent="0.25">
      <c r="A168" s="11">
        <f t="shared" si="17"/>
        <v>113</v>
      </c>
      <c r="B168">
        <v>14.415750146348929</v>
      </c>
      <c r="E168" s="11">
        <f>A168-'Mastercurve bestimmen'!$B$2</f>
        <v>33</v>
      </c>
      <c r="F168" s="11">
        <f t="shared" si="15"/>
        <v>14.415750146348929</v>
      </c>
      <c r="G168" s="11"/>
      <c r="H168" s="11">
        <f t="shared" si="16"/>
        <v>1406408618241</v>
      </c>
      <c r="I168" s="11">
        <f t="shared" si="19"/>
        <v>42618442977</v>
      </c>
      <c r="J168" s="11">
        <f t="shared" si="19"/>
        <v>1291467969</v>
      </c>
      <c r="K168" s="11">
        <f t="shared" si="19"/>
        <v>39135393</v>
      </c>
      <c r="L168" s="11">
        <f t="shared" si="19"/>
        <v>1185921</v>
      </c>
      <c r="M168" s="11">
        <f t="shared" si="19"/>
        <v>35937</v>
      </c>
      <c r="N168" s="11">
        <f t="shared" si="19"/>
        <v>1089</v>
      </c>
      <c r="O168" s="11">
        <f t="shared" si="19"/>
        <v>33</v>
      </c>
      <c r="P168" s="11">
        <f t="shared" si="18"/>
        <v>0</v>
      </c>
    </row>
    <row r="169" spans="1:16" x14ac:dyDescent="0.25">
      <c r="A169" s="11">
        <f t="shared" si="17"/>
        <v>114</v>
      </c>
      <c r="B169">
        <v>14.815312940309754</v>
      </c>
      <c r="E169" s="11">
        <f>A169-'Mastercurve bestimmen'!$B$2</f>
        <v>34</v>
      </c>
      <c r="F169" s="11">
        <f t="shared" si="15"/>
        <v>14.815312940309754</v>
      </c>
      <c r="G169" s="11"/>
      <c r="H169" s="11">
        <f t="shared" si="16"/>
        <v>1785793904896</v>
      </c>
      <c r="I169" s="11">
        <f t="shared" si="19"/>
        <v>52523350144</v>
      </c>
      <c r="J169" s="11">
        <f t="shared" si="19"/>
        <v>1544804416</v>
      </c>
      <c r="K169" s="11">
        <f t="shared" si="19"/>
        <v>45435424</v>
      </c>
      <c r="L169" s="11">
        <f t="shared" si="19"/>
        <v>1336336</v>
      </c>
      <c r="M169" s="11">
        <f t="shared" si="19"/>
        <v>39304</v>
      </c>
      <c r="N169" s="11">
        <f t="shared" si="19"/>
        <v>1156</v>
      </c>
      <c r="O169" s="11">
        <f t="shared" si="19"/>
        <v>34</v>
      </c>
      <c r="P169" s="11">
        <f t="shared" si="18"/>
        <v>0</v>
      </c>
    </row>
    <row r="170" spans="1:16" x14ac:dyDescent="0.25">
      <c r="A170" s="11">
        <f t="shared" si="17"/>
        <v>115</v>
      </c>
      <c r="B170">
        <v>15.206774598447385</v>
      </c>
      <c r="E170" s="11">
        <f>A170-'Mastercurve bestimmen'!$B$2</f>
        <v>35</v>
      </c>
      <c r="F170" s="11">
        <f t="shared" si="15"/>
        <v>15.206774598447385</v>
      </c>
      <c r="G170" s="11"/>
      <c r="H170" s="11">
        <f t="shared" si="16"/>
        <v>2251875390625</v>
      </c>
      <c r="I170" s="11">
        <f t="shared" si="19"/>
        <v>64339296875</v>
      </c>
      <c r="J170" s="11">
        <f t="shared" si="19"/>
        <v>1838265625</v>
      </c>
      <c r="K170" s="11">
        <f t="shared" si="19"/>
        <v>52521875</v>
      </c>
      <c r="L170" s="11">
        <f t="shared" si="19"/>
        <v>1500625</v>
      </c>
      <c r="M170" s="11">
        <f t="shared" si="19"/>
        <v>42875</v>
      </c>
      <c r="N170" s="11">
        <f t="shared" si="19"/>
        <v>1225</v>
      </c>
      <c r="O170" s="11">
        <f t="shared" si="19"/>
        <v>35</v>
      </c>
      <c r="P170" s="11">
        <f t="shared" si="18"/>
        <v>0</v>
      </c>
    </row>
    <row r="171" spans="1:16" x14ac:dyDescent="0.25">
      <c r="A171" s="11">
        <f t="shared" si="17"/>
        <v>116</v>
      </c>
      <c r="B171">
        <v>15.58962869459663</v>
      </c>
      <c r="E171" s="11">
        <f>A171-'Mastercurve bestimmen'!$B$2</f>
        <v>36</v>
      </c>
      <c r="F171" s="11">
        <f t="shared" si="15"/>
        <v>15.58962869459663</v>
      </c>
      <c r="G171" s="11"/>
      <c r="H171" s="11">
        <f t="shared" si="16"/>
        <v>2821109907456</v>
      </c>
      <c r="I171" s="11">
        <f t="shared" si="19"/>
        <v>78364164096</v>
      </c>
      <c r="J171" s="11">
        <f t="shared" si="19"/>
        <v>2176782336</v>
      </c>
      <c r="K171" s="11">
        <f t="shared" si="19"/>
        <v>60466176</v>
      </c>
      <c r="L171" s="11">
        <f t="shared" si="19"/>
        <v>1679616</v>
      </c>
      <c r="M171" s="11">
        <f t="shared" si="19"/>
        <v>46656</v>
      </c>
      <c r="N171" s="11">
        <f t="shared" si="19"/>
        <v>1296</v>
      </c>
      <c r="O171" s="11">
        <f t="shared" si="19"/>
        <v>36</v>
      </c>
      <c r="P171" s="11">
        <f t="shared" si="18"/>
        <v>0</v>
      </c>
    </row>
    <row r="172" spans="1:16" x14ac:dyDescent="0.25">
      <c r="A172" s="11">
        <f t="shared" si="17"/>
        <v>117</v>
      </c>
      <c r="B172">
        <v>15.963368802592301</v>
      </c>
      <c r="E172" s="11">
        <f>A172-'Mastercurve bestimmen'!$B$2</f>
        <v>37</v>
      </c>
      <c r="F172" s="11">
        <f t="shared" si="15"/>
        <v>15.963368802592301</v>
      </c>
      <c r="G172" s="11"/>
      <c r="H172" s="11">
        <f t="shared" si="16"/>
        <v>3512479453921</v>
      </c>
      <c r="I172" s="11">
        <f t="shared" si="19"/>
        <v>94931877133</v>
      </c>
      <c r="J172" s="11">
        <f t="shared" si="19"/>
        <v>2565726409</v>
      </c>
      <c r="K172" s="11">
        <f t="shared" si="19"/>
        <v>69343957</v>
      </c>
      <c r="L172" s="11">
        <f t="shared" si="19"/>
        <v>1874161</v>
      </c>
      <c r="M172" s="11">
        <f t="shared" si="19"/>
        <v>50653</v>
      </c>
      <c r="N172" s="11">
        <f t="shared" si="19"/>
        <v>1369</v>
      </c>
      <c r="O172" s="11">
        <f t="shared" si="19"/>
        <v>37</v>
      </c>
      <c r="P172" s="11">
        <f t="shared" si="18"/>
        <v>0</v>
      </c>
    </row>
    <row r="173" spans="1:16" x14ac:dyDescent="0.25">
      <c r="A173" s="11">
        <f t="shared" si="17"/>
        <v>118</v>
      </c>
      <c r="B173">
        <v>16.327488496269204</v>
      </c>
      <c r="E173" s="11">
        <f>A173-'Mastercurve bestimmen'!$B$2</f>
        <v>38</v>
      </c>
      <c r="F173" s="11">
        <f t="shared" si="15"/>
        <v>16.327488496269204</v>
      </c>
      <c r="G173" s="11"/>
      <c r="H173" s="11">
        <f t="shared" si="16"/>
        <v>4347792138496</v>
      </c>
      <c r="I173" s="11">
        <f t="shared" si="19"/>
        <v>114415582592</v>
      </c>
      <c r="J173" s="11">
        <f t="shared" si="19"/>
        <v>3010936384</v>
      </c>
      <c r="K173" s="11">
        <f t="shared" si="19"/>
        <v>79235168</v>
      </c>
      <c r="L173" s="11">
        <f t="shared" si="19"/>
        <v>2085136</v>
      </c>
      <c r="M173" s="11">
        <f t="shared" si="19"/>
        <v>54872</v>
      </c>
      <c r="N173" s="11">
        <f t="shared" si="19"/>
        <v>1444</v>
      </c>
      <c r="O173" s="11">
        <f t="shared" si="19"/>
        <v>38</v>
      </c>
      <c r="P173" s="11">
        <f t="shared" si="18"/>
        <v>0</v>
      </c>
    </row>
    <row r="174" spans="1:16" x14ac:dyDescent="0.25">
      <c r="A174" s="11">
        <f t="shared" si="17"/>
        <v>119</v>
      </c>
      <c r="B174">
        <v>16.681481349462153</v>
      </c>
      <c r="E174" s="11">
        <f>A174-'Mastercurve bestimmen'!$B$2</f>
        <v>39</v>
      </c>
      <c r="F174" s="11">
        <f t="shared" si="15"/>
        <v>16.681481349462153</v>
      </c>
      <c r="G174" s="11"/>
      <c r="H174" s="11">
        <f t="shared" si="16"/>
        <v>5352009260481</v>
      </c>
      <c r="I174" s="11">
        <f t="shared" si="19"/>
        <v>137231006679</v>
      </c>
      <c r="J174" s="11">
        <f t="shared" si="19"/>
        <v>3518743761</v>
      </c>
      <c r="K174" s="11">
        <f t="shared" si="19"/>
        <v>90224199</v>
      </c>
      <c r="L174" s="11">
        <f t="shared" si="19"/>
        <v>2313441</v>
      </c>
      <c r="M174" s="11">
        <f t="shared" si="19"/>
        <v>59319</v>
      </c>
      <c r="N174" s="11">
        <f t="shared" si="19"/>
        <v>1521</v>
      </c>
      <c r="O174" s="11">
        <f t="shared" si="19"/>
        <v>39</v>
      </c>
      <c r="P174" s="11">
        <f t="shared" si="18"/>
        <v>0</v>
      </c>
    </row>
    <row r="175" spans="1:16" x14ac:dyDescent="0.25">
      <c r="A175" s="11">
        <f t="shared" si="17"/>
        <v>120</v>
      </c>
      <c r="B175">
        <v>17.024840936005955</v>
      </c>
      <c r="E175" s="11">
        <f>A175-'Mastercurve bestimmen'!$B$2</f>
        <v>40</v>
      </c>
      <c r="F175" s="11">
        <f t="shared" si="15"/>
        <v>17.024840936005955</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17.357060829735421</v>
      </c>
      <c r="E176" s="11">
        <f>A176-'Mastercurve bestimmen'!$B$2</f>
        <v>41</v>
      </c>
      <c r="F176" s="11">
        <f t="shared" si="15"/>
        <v>17.357060829735421</v>
      </c>
      <c r="G176" s="11"/>
      <c r="H176" s="11">
        <f t="shared" si="16"/>
        <v>7984925229121</v>
      </c>
      <c r="I176" s="11">
        <f t="shared" si="19"/>
        <v>194754273881</v>
      </c>
      <c r="J176" s="11">
        <f t="shared" si="19"/>
        <v>4750104241</v>
      </c>
      <c r="K176" s="11">
        <f t="shared" si="19"/>
        <v>115856201</v>
      </c>
      <c r="L176" s="11">
        <f t="shared" si="19"/>
        <v>2825761</v>
      </c>
      <c r="M176" s="11">
        <f t="shared" si="19"/>
        <v>68921</v>
      </c>
      <c r="N176" s="11">
        <f t="shared" si="19"/>
        <v>1681</v>
      </c>
      <c r="O176" s="11">
        <f t="shared" si="19"/>
        <v>41</v>
      </c>
      <c r="P176" s="11">
        <f t="shared" si="18"/>
        <v>0</v>
      </c>
    </row>
    <row r="177" spans="1:16" x14ac:dyDescent="0.25">
      <c r="A177" s="11">
        <f t="shared" si="17"/>
        <v>122</v>
      </c>
      <c r="B177">
        <v>17.677634604485359</v>
      </c>
      <c r="E177" s="11">
        <f>A177-'Mastercurve bestimmen'!$B$2</f>
        <v>42</v>
      </c>
      <c r="F177" s="11">
        <f t="shared" si="15"/>
        <v>17.677634604485359</v>
      </c>
      <c r="G177" s="11"/>
      <c r="H177" s="11">
        <f t="shared" si="16"/>
        <v>9682651996416</v>
      </c>
      <c r="I177" s="11">
        <f t="shared" si="19"/>
        <v>230539333248</v>
      </c>
      <c r="J177" s="11">
        <f t="shared" si="19"/>
        <v>5489031744</v>
      </c>
      <c r="K177" s="11">
        <f t="shared" si="19"/>
        <v>130691232</v>
      </c>
      <c r="L177" s="11">
        <f t="shared" si="19"/>
        <v>3111696</v>
      </c>
      <c r="M177" s="11">
        <f t="shared" si="19"/>
        <v>74088</v>
      </c>
      <c r="N177" s="11">
        <f t="shared" si="19"/>
        <v>1764</v>
      </c>
      <c r="O177" s="11">
        <f t="shared" si="19"/>
        <v>42</v>
      </c>
      <c r="P177" s="11">
        <f t="shared" si="18"/>
        <v>0</v>
      </c>
    </row>
    <row r="178" spans="1:16" x14ac:dyDescent="0.25">
      <c r="A178" s="11">
        <f t="shared" si="17"/>
        <v>123</v>
      </c>
      <c r="B178">
        <v>17.986055834090578</v>
      </c>
      <c r="E178" s="11">
        <f>A178-'Mastercurve bestimmen'!$B$2</f>
        <v>43</v>
      </c>
      <c r="F178" s="11">
        <f t="shared" si="15"/>
        <v>17.986055834090578</v>
      </c>
      <c r="G178" s="11"/>
      <c r="H178" s="11">
        <f t="shared" si="16"/>
        <v>11688200277601</v>
      </c>
      <c r="I178" s="11">
        <f t="shared" si="19"/>
        <v>271818611107</v>
      </c>
      <c r="J178" s="11">
        <f t="shared" si="19"/>
        <v>6321363049</v>
      </c>
      <c r="K178" s="11">
        <f t="shared" si="19"/>
        <v>147008443</v>
      </c>
      <c r="L178" s="11">
        <f t="shared" si="19"/>
        <v>3418801</v>
      </c>
      <c r="M178" s="11">
        <f t="shared" si="19"/>
        <v>79507</v>
      </c>
      <c r="N178" s="11">
        <f t="shared" si="19"/>
        <v>1849</v>
      </c>
      <c r="O178" s="11">
        <f t="shared" si="19"/>
        <v>43</v>
      </c>
      <c r="P178" s="11">
        <f t="shared" si="18"/>
        <v>0</v>
      </c>
    </row>
    <row r="179" spans="1:16" x14ac:dyDescent="0.25">
      <c r="A179" s="11">
        <f t="shared" si="17"/>
        <v>124</v>
      </c>
      <c r="B179">
        <v>18.281818092385887</v>
      </c>
      <c r="E179" s="11">
        <f>A179-'Mastercurve bestimmen'!$B$2</f>
        <v>44</v>
      </c>
      <c r="F179" s="11">
        <f t="shared" si="15"/>
        <v>18.281818092385887</v>
      </c>
      <c r="G179" s="11"/>
      <c r="H179" s="11">
        <f t="shared" si="16"/>
        <v>14048223625216</v>
      </c>
      <c r="I179" s="11">
        <f t="shared" si="19"/>
        <v>319277809664</v>
      </c>
      <c r="J179" s="11">
        <f t="shared" si="19"/>
        <v>7256313856</v>
      </c>
      <c r="K179" s="11">
        <f t="shared" si="19"/>
        <v>164916224</v>
      </c>
      <c r="L179" s="11">
        <f t="shared" si="19"/>
        <v>3748096</v>
      </c>
      <c r="M179" s="11">
        <f t="shared" si="19"/>
        <v>85184</v>
      </c>
      <c r="N179" s="11">
        <f t="shared" si="19"/>
        <v>1936</v>
      </c>
      <c r="O179" s="11">
        <f t="shared" si="19"/>
        <v>44</v>
      </c>
      <c r="P179" s="11">
        <f t="shared" si="18"/>
        <v>0</v>
      </c>
    </row>
    <row r="180" spans="1:16" x14ac:dyDescent="0.25">
      <c r="A180" s="11">
        <f t="shared" si="17"/>
        <v>125</v>
      </c>
      <c r="B180">
        <v>18.5644149532061</v>
      </c>
      <c r="E180" s="11">
        <f>A180-'Mastercurve bestimmen'!$B$2</f>
        <v>45</v>
      </c>
      <c r="F180" s="11">
        <f t="shared" si="15"/>
        <v>18.5644149532061</v>
      </c>
      <c r="G180" s="11"/>
      <c r="H180" s="11">
        <f t="shared" si="16"/>
        <v>16815125390625</v>
      </c>
      <c r="I180" s="11">
        <f t="shared" si="19"/>
        <v>373669453125</v>
      </c>
      <c r="J180" s="11">
        <f t="shared" si="19"/>
        <v>8303765625</v>
      </c>
      <c r="K180" s="11">
        <f t="shared" si="19"/>
        <v>184528125</v>
      </c>
      <c r="L180" s="11">
        <f t="shared" si="19"/>
        <v>4100625</v>
      </c>
      <c r="M180" s="11">
        <f t="shared" si="19"/>
        <v>91125</v>
      </c>
      <c r="N180" s="11">
        <f t="shared" si="19"/>
        <v>2025</v>
      </c>
      <c r="O180" s="11">
        <f t="shared" si="19"/>
        <v>45</v>
      </c>
      <c r="P180" s="11">
        <f t="shared" si="18"/>
        <v>0</v>
      </c>
    </row>
    <row r="181" spans="1:16" x14ac:dyDescent="0.25">
      <c r="A181" s="11">
        <f t="shared" si="17"/>
        <v>126</v>
      </c>
      <c r="B181">
        <v>18.833489498668982</v>
      </c>
      <c r="E181" s="11">
        <f>A181-'Mastercurve bestimmen'!$B$2</f>
        <v>46</v>
      </c>
      <c r="F181" s="11">
        <f t="shared" si="15"/>
        <v>18.833489498668982</v>
      </c>
      <c r="G181" s="11"/>
      <c r="H181" s="11">
        <f t="shared" si="16"/>
        <v>20047612231936</v>
      </c>
      <c r="I181" s="11">
        <f t="shared" si="19"/>
        <v>435817657216</v>
      </c>
      <c r="J181" s="11">
        <f t="shared" si="19"/>
        <v>9474296896</v>
      </c>
      <c r="K181" s="11">
        <f t="shared" si="19"/>
        <v>205962976</v>
      </c>
      <c r="L181" s="11">
        <f t="shared" si="19"/>
        <v>4477456</v>
      </c>
      <c r="M181" s="11">
        <f t="shared" si="19"/>
        <v>97336</v>
      </c>
      <c r="N181" s="11">
        <f t="shared" si="19"/>
        <v>2116</v>
      </c>
      <c r="O181" s="11">
        <f t="shared" si="19"/>
        <v>46</v>
      </c>
      <c r="P181" s="11">
        <f t="shared" si="18"/>
        <v>0</v>
      </c>
    </row>
    <row r="182" spans="1:16" x14ac:dyDescent="0.25">
      <c r="A182" s="11">
        <f t="shared" si="17"/>
        <v>127</v>
      </c>
      <c r="B182">
        <v>19.089282844024158</v>
      </c>
      <c r="E182" s="11">
        <f>A182-'Mastercurve bestimmen'!$B$2</f>
        <v>47</v>
      </c>
      <c r="F182" s="11">
        <f t="shared" si="15"/>
        <v>19.089282844024158</v>
      </c>
      <c r="G182" s="11"/>
      <c r="H182" s="11">
        <f t="shared" si="16"/>
        <v>23811286661761</v>
      </c>
      <c r="I182" s="11">
        <f t="shared" si="19"/>
        <v>506623120463</v>
      </c>
      <c r="J182" s="11">
        <f t="shared" si="19"/>
        <v>10779215329</v>
      </c>
      <c r="K182" s="11">
        <f t="shared" si="19"/>
        <v>229345007</v>
      </c>
      <c r="L182" s="11">
        <f t="shared" si="19"/>
        <v>4879681</v>
      </c>
      <c r="M182" s="11">
        <f t="shared" si="19"/>
        <v>103823</v>
      </c>
      <c r="N182" s="11">
        <f t="shared" si="19"/>
        <v>2209</v>
      </c>
      <c r="O182" s="11">
        <f t="shared" si="19"/>
        <v>47</v>
      </c>
      <c r="P182" s="11">
        <f t="shared" si="18"/>
        <v>0</v>
      </c>
    </row>
    <row r="183" spans="1:16" x14ac:dyDescent="0.25">
      <c r="A183" s="11">
        <f t="shared" si="17"/>
        <v>128</v>
      </c>
      <c r="B183">
        <v>19.33218561280421</v>
      </c>
      <c r="E183" s="11">
        <f>A183-'Mastercurve bestimmen'!$B$2</f>
        <v>48</v>
      </c>
      <c r="F183" s="11">
        <f t="shared" si="15"/>
        <v>19.33218561280421</v>
      </c>
      <c r="G183" s="11"/>
      <c r="H183" s="11">
        <f t="shared" si="16"/>
        <v>28179280429056</v>
      </c>
      <c r="I183" s="11">
        <f t="shared" si="19"/>
        <v>587068342272</v>
      </c>
      <c r="J183" s="11">
        <f t="shared" si="19"/>
        <v>12230590464</v>
      </c>
      <c r="K183" s="11">
        <f t="shared" si="19"/>
        <v>254803968</v>
      </c>
      <c r="L183" s="11">
        <f t="shared" si="19"/>
        <v>5308416</v>
      </c>
      <c r="M183" s="11">
        <f t="shared" si="19"/>
        <v>110592</v>
      </c>
      <c r="N183" s="11">
        <f t="shared" si="19"/>
        <v>2304</v>
      </c>
      <c r="O183" s="11">
        <f t="shared" si="19"/>
        <v>48</v>
      </c>
      <c r="P183" s="11">
        <f t="shared" si="18"/>
        <v>0</v>
      </c>
    </row>
    <row r="184" spans="1:16" x14ac:dyDescent="0.25">
      <c r="A184" s="11">
        <f t="shared" si="17"/>
        <v>129</v>
      </c>
      <c r="B184">
        <v>19.562588428541705</v>
      </c>
      <c r="E184" s="11">
        <f>A184-'Mastercurve bestimmen'!$B$2</f>
        <v>49</v>
      </c>
      <c r="F184" s="11">
        <f t="shared" si="15"/>
        <v>19.562588428541705</v>
      </c>
      <c r="G184" s="11"/>
      <c r="H184" s="11">
        <f t="shared" si="16"/>
        <v>33232930569601</v>
      </c>
      <c r="I184" s="11">
        <f t="shared" si="19"/>
        <v>678223072849</v>
      </c>
      <c r="J184" s="11">
        <f t="shared" si="19"/>
        <v>13841287201</v>
      </c>
      <c r="K184" s="11">
        <f t="shared" si="19"/>
        <v>282475249</v>
      </c>
      <c r="L184" s="11">
        <f t="shared" si="19"/>
        <v>5764801</v>
      </c>
      <c r="M184" s="11">
        <f t="shared" si="19"/>
        <v>117649</v>
      </c>
      <c r="N184" s="11">
        <f t="shared" si="19"/>
        <v>2401</v>
      </c>
      <c r="O184" s="11">
        <f t="shared" si="19"/>
        <v>49</v>
      </c>
      <c r="P184" s="11">
        <f t="shared" si="18"/>
        <v>0</v>
      </c>
    </row>
    <row r="185" spans="1:16" x14ac:dyDescent="0.25">
      <c r="A185" s="11">
        <f t="shared" si="17"/>
        <v>130</v>
      </c>
      <c r="B185">
        <v>19.780881914769232</v>
      </c>
      <c r="E185" s="11">
        <f>A185-'Mastercurve bestimmen'!$B$2</f>
        <v>50</v>
      </c>
      <c r="F185" s="11">
        <f t="shared" si="15"/>
        <v>19.780881914769232</v>
      </c>
      <c r="G185" s="11"/>
      <c r="H185" s="11">
        <f t="shared" si="16"/>
        <v>39062500000000</v>
      </c>
      <c r="I185" s="11">
        <f t="shared" si="19"/>
        <v>781250000000</v>
      </c>
      <c r="J185" s="11">
        <f t="shared" si="19"/>
        <v>15625000000</v>
      </c>
      <c r="K185" s="11">
        <f t="shared" si="19"/>
        <v>312500000</v>
      </c>
      <c r="L185" s="11">
        <f t="shared" si="19"/>
        <v>6250000</v>
      </c>
      <c r="M185" s="11">
        <f t="shared" si="19"/>
        <v>125000</v>
      </c>
      <c r="N185" s="11">
        <f t="shared" si="19"/>
        <v>2500</v>
      </c>
      <c r="O185" s="11">
        <f t="shared" si="19"/>
        <v>50</v>
      </c>
      <c r="P185" s="11">
        <f t="shared" si="18"/>
        <v>0</v>
      </c>
    </row>
    <row r="186" spans="1:16" x14ac:dyDescent="0.25">
      <c r="A186" s="11">
        <f t="shared" si="17"/>
        <v>131</v>
      </c>
      <c r="B186">
        <v>19.987456695019368</v>
      </c>
      <c r="E186" s="11">
        <f>A186-'Mastercurve bestimmen'!$B$2</f>
        <v>51</v>
      </c>
      <c r="F186" s="11">
        <f t="shared" si="15"/>
        <v>19.987456695019368</v>
      </c>
      <c r="G186" s="11"/>
      <c r="H186" s="11">
        <f t="shared" si="16"/>
        <v>45767944570401</v>
      </c>
      <c r="I186" s="11">
        <f t="shared" si="19"/>
        <v>897410677851</v>
      </c>
      <c r="J186" s="11">
        <f t="shared" si="19"/>
        <v>17596287801</v>
      </c>
      <c r="K186" s="11">
        <f t="shared" si="19"/>
        <v>345025251</v>
      </c>
      <c r="L186" s="11">
        <f t="shared" si="19"/>
        <v>6765201</v>
      </c>
      <c r="M186" s="11">
        <f t="shared" si="19"/>
        <v>132651</v>
      </c>
      <c r="N186" s="11">
        <f t="shared" si="19"/>
        <v>2601</v>
      </c>
      <c r="O186" s="11">
        <f t="shared" si="19"/>
        <v>51</v>
      </c>
      <c r="P186" s="11">
        <f t="shared" si="18"/>
        <v>0</v>
      </c>
    </row>
    <row r="187" spans="1:16" x14ac:dyDescent="0.25">
      <c r="A187" s="11">
        <f t="shared" si="17"/>
        <v>132</v>
      </c>
      <c r="B187">
        <v>20.182703392824695</v>
      </c>
      <c r="E187" s="11">
        <f>A187-'Mastercurve bestimmen'!$B$2</f>
        <v>52</v>
      </c>
      <c r="F187" s="11">
        <f t="shared" si="15"/>
        <v>20.182703392824695</v>
      </c>
      <c r="G187" s="11"/>
      <c r="H187" s="11">
        <f t="shared" si="16"/>
        <v>53459728531456</v>
      </c>
      <c r="I187" s="11">
        <f t="shared" si="19"/>
        <v>1028071702528</v>
      </c>
      <c r="J187" s="11">
        <f t="shared" si="19"/>
        <v>19770609664</v>
      </c>
      <c r="K187" s="11">
        <f t="shared" si="19"/>
        <v>380204032</v>
      </c>
      <c r="L187" s="11">
        <f t="shared" si="19"/>
        <v>7311616</v>
      </c>
      <c r="M187" s="11">
        <f t="shared" si="19"/>
        <v>140608</v>
      </c>
      <c r="N187" s="11">
        <f t="shared" si="19"/>
        <v>2704</v>
      </c>
      <c r="O187" s="11">
        <f t="shared" si="19"/>
        <v>52</v>
      </c>
      <c r="P187" s="11">
        <f t="shared" si="18"/>
        <v>0</v>
      </c>
    </row>
    <row r="188" spans="1:16" x14ac:dyDescent="0.25">
      <c r="A188" s="11">
        <f t="shared" si="17"/>
        <v>133</v>
      </c>
      <c r="B188">
        <v>20.367012631717792</v>
      </c>
      <c r="E188" s="11">
        <f>A188-'Mastercurve bestimmen'!$B$2</f>
        <v>53</v>
      </c>
      <c r="F188" s="11">
        <f t="shared" si="15"/>
        <v>20.367012631717792</v>
      </c>
      <c r="G188" s="11"/>
      <c r="H188" s="11">
        <f t="shared" si="16"/>
        <v>62259690411361</v>
      </c>
      <c r="I188" s="11">
        <f t="shared" si="19"/>
        <v>1174711139837</v>
      </c>
      <c r="J188" s="11">
        <f t="shared" si="19"/>
        <v>22164361129</v>
      </c>
      <c r="K188" s="11">
        <f t="shared" si="19"/>
        <v>418195493</v>
      </c>
      <c r="L188" s="11">
        <f t="shared" si="19"/>
        <v>7890481</v>
      </c>
      <c r="M188" s="11">
        <f t="shared" si="19"/>
        <v>148877</v>
      </c>
      <c r="N188" s="11">
        <f t="shared" si="19"/>
        <v>2809</v>
      </c>
      <c r="O188" s="11">
        <f t="shared" si="19"/>
        <v>53</v>
      </c>
      <c r="P188" s="11">
        <f t="shared" si="18"/>
        <v>0</v>
      </c>
    </row>
    <row r="189" spans="1:16" x14ac:dyDescent="0.25">
      <c r="A189" s="11">
        <f t="shared" si="17"/>
        <v>134</v>
      </c>
      <c r="B189">
        <v>20.540775035231238</v>
      </c>
      <c r="E189" s="11">
        <f>A189-'Mastercurve bestimmen'!$B$2</f>
        <v>54</v>
      </c>
      <c r="F189" s="11">
        <f t="shared" si="15"/>
        <v>20.540775035231238</v>
      </c>
      <c r="G189" s="11"/>
      <c r="H189" s="11">
        <f t="shared" si="16"/>
        <v>72301961339136</v>
      </c>
      <c r="I189" s="11">
        <f t="shared" si="19"/>
        <v>1338925209984</v>
      </c>
      <c r="J189" s="11">
        <f t="shared" ref="I189:O215" si="20">IF($H$12&gt;=J$14,$E189^J$14,0)</f>
        <v>24794911296</v>
      </c>
      <c r="K189" s="11">
        <f t="shared" si="20"/>
        <v>459165024</v>
      </c>
      <c r="L189" s="11">
        <f t="shared" si="20"/>
        <v>8503056</v>
      </c>
      <c r="M189" s="11">
        <f t="shared" si="20"/>
        <v>157464</v>
      </c>
      <c r="N189" s="11">
        <f t="shared" si="20"/>
        <v>2916</v>
      </c>
      <c r="O189" s="11">
        <f t="shared" si="20"/>
        <v>54</v>
      </c>
      <c r="P189" s="11">
        <f t="shared" si="18"/>
        <v>0</v>
      </c>
    </row>
    <row r="190" spans="1:16" x14ac:dyDescent="0.25">
      <c r="A190" s="11">
        <f t="shared" si="17"/>
        <v>135</v>
      </c>
      <c r="B190">
        <v>20.70438122689761</v>
      </c>
      <c r="E190" s="11">
        <f>A190-'Mastercurve bestimmen'!$B$2</f>
        <v>55</v>
      </c>
      <c r="F190" s="11">
        <f t="shared" si="15"/>
        <v>20.70438122689761</v>
      </c>
      <c r="G190" s="11"/>
      <c r="H190" s="11">
        <f t="shared" si="16"/>
        <v>83733937890625</v>
      </c>
      <c r="I190" s="11">
        <f t="shared" si="20"/>
        <v>1522435234375</v>
      </c>
      <c r="J190" s="11">
        <f t="shared" si="20"/>
        <v>27680640625</v>
      </c>
      <c r="K190" s="11">
        <f t="shared" si="20"/>
        <v>503284375</v>
      </c>
      <c r="L190" s="11">
        <f t="shared" si="20"/>
        <v>9150625</v>
      </c>
      <c r="M190" s="11">
        <f t="shared" si="20"/>
        <v>166375</v>
      </c>
      <c r="N190" s="11">
        <f t="shared" si="20"/>
        <v>3025</v>
      </c>
      <c r="O190" s="11">
        <f t="shared" si="20"/>
        <v>55</v>
      </c>
      <c r="P190" s="11">
        <f t="shared" si="18"/>
        <v>0</v>
      </c>
    </row>
    <row r="191" spans="1:16" x14ac:dyDescent="0.25">
      <c r="A191" s="11">
        <f t="shared" si="17"/>
        <v>136</v>
      </c>
      <c r="B191">
        <v>20.858221830249494</v>
      </c>
      <c r="E191" s="11">
        <f>A191-'Mastercurve bestimmen'!$B$2</f>
        <v>56</v>
      </c>
      <c r="F191" s="11">
        <f t="shared" si="15"/>
        <v>20.858221830249494</v>
      </c>
      <c r="G191" s="11"/>
      <c r="H191" s="11">
        <f t="shared" si="16"/>
        <v>96717311574016</v>
      </c>
      <c r="I191" s="11">
        <f t="shared" si="20"/>
        <v>1727094849536</v>
      </c>
      <c r="J191" s="11">
        <f t="shared" si="20"/>
        <v>30840979456</v>
      </c>
      <c r="K191" s="11">
        <f t="shared" si="20"/>
        <v>550731776</v>
      </c>
      <c r="L191" s="11">
        <f t="shared" si="20"/>
        <v>9834496</v>
      </c>
      <c r="M191" s="11">
        <f t="shared" si="20"/>
        <v>175616</v>
      </c>
      <c r="N191" s="11">
        <f t="shared" si="20"/>
        <v>3136</v>
      </c>
      <c r="O191" s="11">
        <f t="shared" si="20"/>
        <v>56</v>
      </c>
      <c r="P191" s="11">
        <f t="shared" si="18"/>
        <v>0</v>
      </c>
    </row>
    <row r="192" spans="1:16" x14ac:dyDescent="0.25">
      <c r="A192" s="11">
        <f t="shared" si="17"/>
        <v>137</v>
      </c>
      <c r="B192">
        <v>21.002687468819463</v>
      </c>
      <c r="E192" s="11">
        <f>A192-'Mastercurve bestimmen'!$B$2</f>
        <v>57</v>
      </c>
      <c r="F192" s="11">
        <f t="shared" si="15"/>
        <v>21.002687468819463</v>
      </c>
      <c r="G192" s="11"/>
      <c r="H192" s="11">
        <f t="shared" si="16"/>
        <v>111429157112001</v>
      </c>
      <c r="I192" s="11">
        <f t="shared" si="20"/>
        <v>1954897493193</v>
      </c>
      <c r="J192" s="11">
        <f t="shared" si="20"/>
        <v>34296447249</v>
      </c>
      <c r="K192" s="11">
        <f t="shared" si="20"/>
        <v>601692057</v>
      </c>
      <c r="L192" s="11">
        <f t="shared" si="20"/>
        <v>10556001</v>
      </c>
      <c r="M192" s="11">
        <f t="shared" si="20"/>
        <v>185193</v>
      </c>
      <c r="N192" s="11">
        <f t="shared" si="20"/>
        <v>3249</v>
      </c>
      <c r="O192" s="11">
        <f t="shared" si="20"/>
        <v>57</v>
      </c>
      <c r="P192" s="11">
        <f t="shared" si="18"/>
        <v>0</v>
      </c>
    </row>
    <row r="193" spans="1:16" x14ac:dyDescent="0.25">
      <c r="A193" s="11">
        <f t="shared" si="17"/>
        <v>138</v>
      </c>
      <c r="B193">
        <v>21.138168766140097</v>
      </c>
      <c r="E193" s="11">
        <f>A193-'Mastercurve bestimmen'!$B$2</f>
        <v>58</v>
      </c>
      <c r="F193" s="11">
        <f t="shared" si="15"/>
        <v>21.138168766140097</v>
      </c>
      <c r="G193" s="11"/>
      <c r="H193" s="11">
        <f t="shared" si="16"/>
        <v>128063081718016</v>
      </c>
      <c r="I193" s="11">
        <f t="shared" si="20"/>
        <v>2207984167552</v>
      </c>
      <c r="J193" s="11">
        <f t="shared" si="20"/>
        <v>38068692544</v>
      </c>
      <c r="K193" s="11">
        <f t="shared" si="20"/>
        <v>656356768</v>
      </c>
      <c r="L193" s="11">
        <f t="shared" si="20"/>
        <v>11316496</v>
      </c>
      <c r="M193" s="11">
        <f t="shared" si="20"/>
        <v>195112</v>
      </c>
      <c r="N193" s="11">
        <f t="shared" si="20"/>
        <v>3364</v>
      </c>
      <c r="O193" s="11">
        <f t="shared" si="20"/>
        <v>58</v>
      </c>
      <c r="P193" s="11">
        <f t="shared" si="18"/>
        <v>0</v>
      </c>
    </row>
    <row r="194" spans="1:16" x14ac:dyDescent="0.25">
      <c r="A194" s="11">
        <f t="shared" si="17"/>
        <v>139</v>
      </c>
      <c r="B194">
        <v>21.265056345743982</v>
      </c>
      <c r="E194" s="11">
        <f>A194-'Mastercurve bestimmen'!$B$2</f>
        <v>59</v>
      </c>
      <c r="F194" s="11">
        <f t="shared" si="15"/>
        <v>21.265056345743982</v>
      </c>
      <c r="G194" s="11"/>
      <c r="H194" s="11">
        <f t="shared" si="16"/>
        <v>146830437604321</v>
      </c>
      <c r="I194" s="11">
        <f t="shared" si="20"/>
        <v>2488651484819</v>
      </c>
      <c r="J194" s="11">
        <f t="shared" si="20"/>
        <v>42180533641</v>
      </c>
      <c r="K194" s="11">
        <f t="shared" si="20"/>
        <v>714924299</v>
      </c>
      <c r="L194" s="11">
        <f t="shared" si="20"/>
        <v>12117361</v>
      </c>
      <c r="M194" s="11">
        <f t="shared" si="20"/>
        <v>205379</v>
      </c>
      <c r="N194" s="11">
        <f t="shared" si="20"/>
        <v>3481</v>
      </c>
      <c r="O194" s="11">
        <f t="shared" si="20"/>
        <v>59</v>
      </c>
      <c r="P194" s="11">
        <f t="shared" si="18"/>
        <v>0</v>
      </c>
    </row>
    <row r="195" spans="1:16" x14ac:dyDescent="0.25">
      <c r="A195" s="11">
        <f t="shared" si="17"/>
        <v>140</v>
      </c>
      <c r="B195">
        <v>21.383740831163692</v>
      </c>
      <c r="E195" s="11">
        <f>A195-'Mastercurve bestimmen'!$B$2</f>
        <v>60</v>
      </c>
      <c r="F195" s="11">
        <f t="shared" si="15"/>
        <v>21.383740831163692</v>
      </c>
      <c r="G195" s="11"/>
      <c r="H195" s="11">
        <f t="shared" si="16"/>
        <v>167961600000000</v>
      </c>
      <c r="I195" s="11">
        <f t="shared" si="20"/>
        <v>2799360000000</v>
      </c>
      <c r="J195" s="11">
        <f t="shared" si="20"/>
        <v>46656000000</v>
      </c>
      <c r="K195" s="11">
        <f t="shared" si="20"/>
        <v>777600000</v>
      </c>
      <c r="L195" s="11">
        <f t="shared" si="20"/>
        <v>12960000</v>
      </c>
      <c r="M195" s="11">
        <f t="shared" si="20"/>
        <v>216000</v>
      </c>
      <c r="N195" s="11">
        <f t="shared" si="20"/>
        <v>3600</v>
      </c>
      <c r="O195" s="11">
        <f t="shared" si="20"/>
        <v>60</v>
      </c>
      <c r="P195" s="11">
        <f t="shared" si="18"/>
        <v>0</v>
      </c>
    </row>
    <row r="196" spans="1:16" x14ac:dyDescent="0.25">
      <c r="A196" s="11">
        <f t="shared" si="17"/>
        <v>141</v>
      </c>
      <c r="B196">
        <v>21.494612845931808</v>
      </c>
      <c r="E196" s="11">
        <f>A196-'Mastercurve bestimmen'!$B$2</f>
        <v>61</v>
      </c>
      <c r="F196" s="11">
        <f t="shared" si="15"/>
        <v>21.494612845931808</v>
      </c>
      <c r="G196" s="11"/>
      <c r="H196" s="11">
        <f t="shared" si="16"/>
        <v>191707312997281</v>
      </c>
      <c r="I196" s="11">
        <f t="shared" si="20"/>
        <v>3142742836021</v>
      </c>
      <c r="J196" s="11">
        <f t="shared" si="20"/>
        <v>51520374361</v>
      </c>
      <c r="K196" s="11">
        <f t="shared" si="20"/>
        <v>844596301</v>
      </c>
      <c r="L196" s="11">
        <f t="shared" si="20"/>
        <v>13845841</v>
      </c>
      <c r="M196" s="11">
        <f t="shared" si="20"/>
        <v>226981</v>
      </c>
      <c r="N196" s="11">
        <f t="shared" si="20"/>
        <v>3721</v>
      </c>
      <c r="O196" s="11">
        <f t="shared" si="20"/>
        <v>61</v>
      </c>
      <c r="P196" s="11">
        <f t="shared" si="18"/>
        <v>0</v>
      </c>
    </row>
    <row r="197" spans="1:16" x14ac:dyDescent="0.25">
      <c r="A197" s="11">
        <f t="shared" si="17"/>
        <v>142</v>
      </c>
      <c r="B197">
        <v>21.598063013580912</v>
      </c>
      <c r="E197" s="11">
        <f>A197-'Mastercurve bestimmen'!$B$2</f>
        <v>62</v>
      </c>
      <c r="F197" s="11">
        <f t="shared" si="15"/>
        <v>21.598063013580912</v>
      </c>
      <c r="G197" s="11"/>
      <c r="H197" s="11">
        <f t="shared" si="16"/>
        <v>218340105584896</v>
      </c>
      <c r="I197" s="11">
        <f t="shared" si="20"/>
        <v>3521614606208</v>
      </c>
      <c r="J197" s="11">
        <f t="shared" si="20"/>
        <v>56800235584</v>
      </c>
      <c r="K197" s="11">
        <f t="shared" si="20"/>
        <v>916132832</v>
      </c>
      <c r="L197" s="11">
        <f t="shared" si="20"/>
        <v>14776336</v>
      </c>
      <c r="M197" s="11">
        <f t="shared" si="20"/>
        <v>238328</v>
      </c>
      <c r="N197" s="11">
        <f t="shared" si="20"/>
        <v>3844</v>
      </c>
      <c r="O197" s="11">
        <f t="shared" si="20"/>
        <v>62</v>
      </c>
      <c r="P197" s="11">
        <f t="shared" si="18"/>
        <v>0</v>
      </c>
    </row>
    <row r="198" spans="1:16" x14ac:dyDescent="0.25">
      <c r="A198" s="11">
        <f t="shared" si="17"/>
        <v>143</v>
      </c>
      <c r="B198">
        <v>21.694481957643582</v>
      </c>
      <c r="E198" s="11">
        <f>A198-'Mastercurve bestimmen'!$B$2</f>
        <v>63</v>
      </c>
      <c r="F198" s="11">
        <f t="shared" si="15"/>
        <v>21.694481957643582</v>
      </c>
      <c r="G198" s="11"/>
      <c r="H198" s="11">
        <f t="shared" si="16"/>
        <v>248155780267521</v>
      </c>
      <c r="I198" s="11">
        <f t="shared" si="20"/>
        <v>3938980639167</v>
      </c>
      <c r="J198" s="11">
        <f t="shared" si="20"/>
        <v>62523502209</v>
      </c>
      <c r="K198" s="11">
        <f t="shared" si="20"/>
        <v>992436543</v>
      </c>
      <c r="L198" s="11">
        <f t="shared" si="20"/>
        <v>15752961</v>
      </c>
      <c r="M198" s="11">
        <f t="shared" si="20"/>
        <v>250047</v>
      </c>
      <c r="N198" s="11">
        <f t="shared" si="20"/>
        <v>3969</v>
      </c>
      <c r="O198" s="11">
        <f t="shared" si="20"/>
        <v>63</v>
      </c>
      <c r="P198" s="11">
        <f t="shared" si="18"/>
        <v>0</v>
      </c>
    </row>
    <row r="199" spans="1:16" x14ac:dyDescent="0.25">
      <c r="A199" s="11">
        <f t="shared" si="17"/>
        <v>144</v>
      </c>
      <c r="B199">
        <v>21.784260301652395</v>
      </c>
      <c r="E199" s="11">
        <f>A199-'Mastercurve bestimmen'!$B$2</f>
        <v>64</v>
      </c>
      <c r="F199" s="11">
        <f t="shared" si="15"/>
        <v>21.784260301652395</v>
      </c>
      <c r="G199" s="11"/>
      <c r="H199" s="11">
        <f t="shared" si="16"/>
        <v>281474976710656</v>
      </c>
      <c r="I199" s="11">
        <f t="shared" si="20"/>
        <v>4398046511104</v>
      </c>
      <c r="J199" s="11">
        <f t="shared" si="20"/>
        <v>68719476736</v>
      </c>
      <c r="K199" s="11">
        <f t="shared" si="20"/>
        <v>1073741824</v>
      </c>
      <c r="L199" s="11">
        <f t="shared" si="20"/>
        <v>16777216</v>
      </c>
      <c r="M199" s="11">
        <f t="shared" si="20"/>
        <v>262144</v>
      </c>
      <c r="N199" s="11">
        <f t="shared" si="20"/>
        <v>4096</v>
      </c>
      <c r="O199" s="11">
        <f t="shared" si="20"/>
        <v>64</v>
      </c>
      <c r="P199" s="11">
        <f t="shared" si="18"/>
        <v>0</v>
      </c>
    </row>
    <row r="200" spans="1:16" x14ac:dyDescent="0.25">
      <c r="A200" s="11">
        <f t="shared" si="17"/>
        <v>145</v>
      </c>
      <c r="B200">
        <v>21.867788669139934</v>
      </c>
      <c r="E200" s="11">
        <f>A200-'Mastercurve bestimmen'!$B$2</f>
        <v>65</v>
      </c>
      <c r="F200" s="11">
        <f t="shared" si="15"/>
        <v>21.867788669139934</v>
      </c>
      <c r="G200" s="11"/>
      <c r="H200" s="11">
        <f t="shared" si="16"/>
        <v>318644812890625</v>
      </c>
      <c r="I200" s="11">
        <f t="shared" si="20"/>
        <v>4902227890625</v>
      </c>
      <c r="J200" s="11">
        <f t="shared" si="20"/>
        <v>75418890625</v>
      </c>
      <c r="K200" s="11">
        <f t="shared" si="20"/>
        <v>1160290625</v>
      </c>
      <c r="L200" s="11">
        <f t="shared" si="20"/>
        <v>17850625</v>
      </c>
      <c r="M200" s="11">
        <f t="shared" si="20"/>
        <v>274625</v>
      </c>
      <c r="N200" s="11">
        <f t="shared" si="20"/>
        <v>4225</v>
      </c>
      <c r="O200" s="11">
        <f t="shared" si="20"/>
        <v>65</v>
      </c>
      <c r="P200" s="11">
        <f t="shared" si="18"/>
        <v>0</v>
      </c>
    </row>
    <row r="201" spans="1:16" x14ac:dyDescent="0.25">
      <c r="A201" s="11">
        <f t="shared" si="17"/>
        <v>146</v>
      </c>
      <c r="B201">
        <v>21.945457683638779</v>
      </c>
      <c r="E201" s="11">
        <f>A201-'Mastercurve bestimmen'!$B$2</f>
        <v>66</v>
      </c>
      <c r="F201" s="11">
        <f t="shared" si="15"/>
        <v>21.945457683638779</v>
      </c>
      <c r="G201" s="11"/>
      <c r="H201" s="11">
        <f t="shared" si="16"/>
        <v>360040606269696</v>
      </c>
      <c r="I201" s="11">
        <f t="shared" si="20"/>
        <v>5455160701056</v>
      </c>
      <c r="J201" s="11">
        <f t="shared" si="20"/>
        <v>82653950016</v>
      </c>
      <c r="K201" s="11">
        <f t="shared" si="20"/>
        <v>1252332576</v>
      </c>
      <c r="L201" s="11">
        <f t="shared" si="20"/>
        <v>18974736</v>
      </c>
      <c r="M201" s="11">
        <f t="shared" si="20"/>
        <v>287496</v>
      </c>
      <c r="N201" s="11">
        <f t="shared" si="20"/>
        <v>4356</v>
      </c>
      <c r="O201" s="11">
        <f t="shared" si="20"/>
        <v>66</v>
      </c>
      <c r="P201" s="11">
        <f t="shared" si="18"/>
        <v>0</v>
      </c>
    </row>
    <row r="202" spans="1:16" x14ac:dyDescent="0.25">
      <c r="A202" s="11">
        <f t="shared" si="17"/>
        <v>147</v>
      </c>
      <c r="B202">
        <v>22.017657968681508</v>
      </c>
      <c r="E202" s="11">
        <f>A202-'Mastercurve bestimmen'!$B$2</f>
        <v>67</v>
      </c>
      <c r="F202" s="11">
        <f t="shared" si="15"/>
        <v>22.017657968681508</v>
      </c>
      <c r="G202" s="11"/>
      <c r="H202" s="11">
        <f t="shared" si="16"/>
        <v>406067677556641</v>
      </c>
      <c r="I202" s="11">
        <f t="shared" si="20"/>
        <v>6060711605323</v>
      </c>
      <c r="J202" s="11">
        <f t="shared" si="20"/>
        <v>90458382169</v>
      </c>
      <c r="K202" s="11">
        <f t="shared" si="20"/>
        <v>1350125107</v>
      </c>
      <c r="L202" s="11">
        <f t="shared" si="20"/>
        <v>20151121</v>
      </c>
      <c r="M202" s="11">
        <f t="shared" si="20"/>
        <v>300763</v>
      </c>
      <c r="N202" s="11">
        <f t="shared" si="20"/>
        <v>4489</v>
      </c>
      <c r="O202" s="11">
        <f t="shared" si="20"/>
        <v>67</v>
      </c>
      <c r="P202" s="11">
        <f t="shared" si="18"/>
        <v>0</v>
      </c>
    </row>
    <row r="203" spans="1:16" x14ac:dyDescent="0.25">
      <c r="A203" s="11">
        <f t="shared" si="17"/>
        <v>148</v>
      </c>
      <c r="B203">
        <v>22.084780147800704</v>
      </c>
      <c r="E203" s="11">
        <f>A203-'Mastercurve bestimmen'!$B$2</f>
        <v>68</v>
      </c>
      <c r="F203" s="11">
        <f t="shared" si="15"/>
        <v>22.084780147800704</v>
      </c>
      <c r="G203" s="11"/>
      <c r="H203" s="11">
        <f t="shared" si="16"/>
        <v>457163239653376</v>
      </c>
      <c r="I203" s="11">
        <f t="shared" si="20"/>
        <v>6722988818432</v>
      </c>
      <c r="J203" s="11">
        <f t="shared" si="20"/>
        <v>98867482624</v>
      </c>
      <c r="K203" s="11">
        <f t="shared" si="20"/>
        <v>1453933568</v>
      </c>
      <c r="L203" s="11">
        <f t="shared" si="20"/>
        <v>21381376</v>
      </c>
      <c r="M203" s="11">
        <f t="shared" si="20"/>
        <v>314432</v>
      </c>
      <c r="N203" s="11">
        <f t="shared" si="20"/>
        <v>4624</v>
      </c>
      <c r="O203" s="11">
        <f t="shared" si="20"/>
        <v>68</v>
      </c>
      <c r="P203" s="11">
        <f t="shared" si="18"/>
        <v>0</v>
      </c>
    </row>
    <row r="204" spans="1:16" x14ac:dyDescent="0.25">
      <c r="A204" s="11">
        <f t="shared" si="17"/>
        <v>149</v>
      </c>
      <c r="B204">
        <v>22.147214844528939</v>
      </c>
      <c r="E204" s="11">
        <f>A204-'Mastercurve bestimmen'!$B$2</f>
        <v>69</v>
      </c>
      <c r="F204" s="11">
        <f t="shared" si="15"/>
        <v>22.147214844528939</v>
      </c>
      <c r="G204" s="11"/>
      <c r="H204" s="11">
        <f t="shared" si="16"/>
        <v>513798374428641</v>
      </c>
      <c r="I204" s="11">
        <f t="shared" si="20"/>
        <v>7446353252589</v>
      </c>
      <c r="J204" s="11">
        <f t="shared" si="20"/>
        <v>107918163081</v>
      </c>
      <c r="K204" s="11">
        <f t="shared" si="20"/>
        <v>1564031349</v>
      </c>
      <c r="L204" s="11">
        <f t="shared" si="20"/>
        <v>22667121</v>
      </c>
      <c r="M204" s="11">
        <f t="shared" si="20"/>
        <v>328509</v>
      </c>
      <c r="N204" s="11">
        <f t="shared" si="20"/>
        <v>4761</v>
      </c>
      <c r="O204" s="11">
        <f t="shared" si="20"/>
        <v>69</v>
      </c>
      <c r="P204" s="11">
        <f t="shared" si="18"/>
        <v>0</v>
      </c>
    </row>
    <row r="205" spans="1:16" x14ac:dyDescent="0.25">
      <c r="A205" s="11">
        <f t="shared" si="17"/>
        <v>150</v>
      </c>
      <c r="B205">
        <v>22.205352682398797</v>
      </c>
      <c r="E205" s="11">
        <f>A205-'Mastercurve bestimmen'!$B$2</f>
        <v>70</v>
      </c>
      <c r="F205" s="11">
        <f t="shared" si="15"/>
        <v>22.205352682398797</v>
      </c>
      <c r="G205" s="11"/>
      <c r="H205" s="11">
        <f t="shared" si="16"/>
        <v>576480100000000</v>
      </c>
      <c r="I205" s="11">
        <f t="shared" si="20"/>
        <v>8235430000000</v>
      </c>
      <c r="J205" s="11">
        <f t="shared" si="20"/>
        <v>117649000000</v>
      </c>
      <c r="K205" s="11">
        <f t="shared" si="20"/>
        <v>1680700000</v>
      </c>
      <c r="L205" s="11">
        <f t="shared" si="20"/>
        <v>24010000</v>
      </c>
      <c r="M205" s="11">
        <f t="shared" si="20"/>
        <v>343000</v>
      </c>
      <c r="N205" s="11">
        <f t="shared" si="20"/>
        <v>4900</v>
      </c>
      <c r="O205" s="11">
        <f t="shared" si="20"/>
        <v>70</v>
      </c>
      <c r="P205" s="11">
        <f t="shared" si="18"/>
        <v>0</v>
      </c>
    </row>
    <row r="206" spans="1:16" x14ac:dyDescent="0.25">
      <c r="A206" s="11">
        <f t="shared" si="17"/>
        <v>151</v>
      </c>
      <c r="B206">
        <v>22.259584284942864</v>
      </c>
      <c r="E206" s="11">
        <f>A206-'Mastercurve bestimmen'!$B$2</f>
        <v>71</v>
      </c>
      <c r="F206" s="11">
        <f t="shared" si="15"/>
        <v>22.259584284942864</v>
      </c>
      <c r="G206" s="11"/>
      <c r="H206" s="11">
        <f t="shared" si="16"/>
        <v>645753531245761</v>
      </c>
      <c r="I206" s="11">
        <f t="shared" si="20"/>
        <v>9095120158391</v>
      </c>
      <c r="J206" s="11">
        <f t="shared" si="20"/>
        <v>128100283921</v>
      </c>
      <c r="K206" s="11">
        <f t="shared" si="20"/>
        <v>1804229351</v>
      </c>
      <c r="L206" s="11">
        <f t="shared" si="20"/>
        <v>25411681</v>
      </c>
      <c r="M206" s="11">
        <f t="shared" si="20"/>
        <v>357911</v>
      </c>
      <c r="N206" s="11">
        <f t="shared" si="20"/>
        <v>5041</v>
      </c>
      <c r="O206" s="11">
        <f t="shared" si="20"/>
        <v>71</v>
      </c>
      <c r="P206" s="11">
        <f t="shared" si="18"/>
        <v>0</v>
      </c>
    </row>
    <row r="207" spans="1:16" x14ac:dyDescent="0.25">
      <c r="A207" s="11">
        <f t="shared" si="17"/>
        <v>152</v>
      </c>
      <c r="B207">
        <v>22.310300275693713</v>
      </c>
      <c r="E207" s="11">
        <f>A207-'Mastercurve bestimmen'!$B$2</f>
        <v>72</v>
      </c>
      <c r="F207" s="11">
        <f t="shared" si="15"/>
        <v>22.310300275693713</v>
      </c>
      <c r="G207" s="11"/>
      <c r="H207" s="11">
        <f t="shared" si="16"/>
        <v>722204136308736</v>
      </c>
      <c r="I207" s="11">
        <f t="shared" si="20"/>
        <v>10030613004288</v>
      </c>
      <c r="J207" s="11">
        <f t="shared" si="20"/>
        <v>139314069504</v>
      </c>
      <c r="K207" s="11">
        <f t="shared" si="20"/>
        <v>1934917632</v>
      </c>
      <c r="L207" s="11">
        <f t="shared" si="20"/>
        <v>26873856</v>
      </c>
      <c r="M207" s="11">
        <f t="shared" si="20"/>
        <v>373248</v>
      </c>
      <c r="N207" s="11">
        <f t="shared" si="20"/>
        <v>5184</v>
      </c>
      <c r="O207" s="11">
        <f t="shared" si="20"/>
        <v>72</v>
      </c>
      <c r="P207" s="11">
        <f t="shared" si="18"/>
        <v>0</v>
      </c>
    </row>
    <row r="208" spans="1:16" x14ac:dyDescent="0.25">
      <c r="A208" s="11">
        <f t="shared" si="17"/>
        <v>153</v>
      </c>
      <c r="B208">
        <v>22.357891278183921</v>
      </c>
      <c r="E208" s="11">
        <f>A208-'Mastercurve bestimmen'!$B$2</f>
        <v>73</v>
      </c>
      <c r="F208" s="11">
        <f t="shared" ref="F208:F215" si="21">B208</f>
        <v>22.357891278183921</v>
      </c>
      <c r="G208" s="11"/>
      <c r="H208" s="11">
        <f t="shared" ref="H208:H215" si="22">IF($H$12&gt;=H$14,$E208^H$14,0)</f>
        <v>806460091894081</v>
      </c>
      <c r="I208" s="11">
        <f t="shared" si="20"/>
        <v>11047398519097</v>
      </c>
      <c r="J208" s="11">
        <f t="shared" si="20"/>
        <v>151334226289</v>
      </c>
      <c r="K208" s="11">
        <f t="shared" si="20"/>
        <v>2073071593</v>
      </c>
      <c r="L208" s="11">
        <f t="shared" si="20"/>
        <v>28398241</v>
      </c>
      <c r="M208" s="11">
        <f t="shared" si="20"/>
        <v>389017</v>
      </c>
      <c r="N208" s="11">
        <f t="shared" si="20"/>
        <v>5329</v>
      </c>
      <c r="O208" s="11">
        <f t="shared" si="20"/>
        <v>73</v>
      </c>
      <c r="P208" s="11">
        <f t="shared" si="18"/>
        <v>0</v>
      </c>
    </row>
    <row r="209" spans="1:16" x14ac:dyDescent="0.25">
      <c r="A209" s="11">
        <f t="shared" ref="A209:A215" si="23">A208+1</f>
        <v>154</v>
      </c>
      <c r="B209">
        <v>22.402747915946073</v>
      </c>
      <c r="E209" s="11">
        <f>A209-'Mastercurve bestimmen'!$B$2</f>
        <v>74</v>
      </c>
      <c r="F209" s="11">
        <f t="shared" si="21"/>
        <v>22.402747915946073</v>
      </c>
      <c r="G209" s="11"/>
      <c r="H209" s="11">
        <f t="shared" si="22"/>
        <v>899194740203776</v>
      </c>
      <c r="I209" s="11">
        <f t="shared" si="20"/>
        <v>12151280273024</v>
      </c>
      <c r="J209" s="11">
        <f t="shared" si="20"/>
        <v>164206490176</v>
      </c>
      <c r="K209" s="11">
        <f t="shared" si="20"/>
        <v>2219006624</v>
      </c>
      <c r="L209" s="11">
        <f t="shared" si="20"/>
        <v>29986576</v>
      </c>
      <c r="M209" s="11">
        <f t="shared" si="20"/>
        <v>405224</v>
      </c>
      <c r="N209" s="11">
        <f t="shared" si="20"/>
        <v>5476</v>
      </c>
      <c r="O209" s="11">
        <f t="shared" si="20"/>
        <v>74</v>
      </c>
      <c r="P209" s="11">
        <f t="shared" ref="P209:P215" si="24">P208</f>
        <v>0</v>
      </c>
    </row>
    <row r="210" spans="1:16" x14ac:dyDescent="0.25">
      <c r="A210" s="11">
        <f t="shared" si="23"/>
        <v>155</v>
      </c>
      <c r="B210">
        <v>22.445260812512746</v>
      </c>
      <c r="E210" s="11">
        <f>A210-'Mastercurve bestimmen'!$B$2</f>
        <v>75</v>
      </c>
      <c r="F210" s="11">
        <f t="shared" si="21"/>
        <v>22.445260812512746</v>
      </c>
      <c r="G210" s="11"/>
      <c r="H210" s="11">
        <f t="shared" si="22"/>
        <v>1001129150390625</v>
      </c>
      <c r="I210" s="11">
        <f t="shared" si="20"/>
        <v>13348388671875</v>
      </c>
      <c r="J210" s="11">
        <f t="shared" si="20"/>
        <v>177978515625</v>
      </c>
      <c r="K210" s="11">
        <f t="shared" si="20"/>
        <v>2373046875</v>
      </c>
      <c r="L210" s="11">
        <f t="shared" si="20"/>
        <v>31640625</v>
      </c>
      <c r="M210" s="11">
        <f t="shared" si="20"/>
        <v>421875</v>
      </c>
      <c r="N210" s="11">
        <f t="shared" si="20"/>
        <v>5625</v>
      </c>
      <c r="O210" s="11">
        <f t="shared" si="20"/>
        <v>75</v>
      </c>
      <c r="P210" s="11">
        <f t="shared" si="24"/>
        <v>0</v>
      </c>
    </row>
    <row r="211" spans="1:16" x14ac:dyDescent="0.25">
      <c r="A211" s="11">
        <f t="shared" si="23"/>
        <v>156</v>
      </c>
      <c r="B211">
        <v>22.485820591416523</v>
      </c>
      <c r="E211" s="11">
        <f>A211-'Mastercurve bestimmen'!$B$2</f>
        <v>76</v>
      </c>
      <c r="F211" s="11">
        <f t="shared" si="21"/>
        <v>22.485820591416523</v>
      </c>
      <c r="G211" s="11"/>
      <c r="H211" s="11">
        <f t="shared" si="22"/>
        <v>1113034787454976</v>
      </c>
      <c r="I211" s="11">
        <f t="shared" si="20"/>
        <v>14645194571776</v>
      </c>
      <c r="J211" s="11">
        <f t="shared" si="20"/>
        <v>192699928576</v>
      </c>
      <c r="K211" s="11">
        <f t="shared" si="20"/>
        <v>2535525376</v>
      </c>
      <c r="L211" s="11">
        <f t="shared" si="20"/>
        <v>33362176</v>
      </c>
      <c r="M211" s="11">
        <f t="shared" si="20"/>
        <v>438976</v>
      </c>
      <c r="N211" s="11">
        <f t="shared" si="20"/>
        <v>5776</v>
      </c>
      <c r="O211" s="11">
        <f t="shared" si="20"/>
        <v>76</v>
      </c>
      <c r="P211" s="11">
        <f t="shared" si="24"/>
        <v>0</v>
      </c>
    </row>
    <row r="212" spans="1:16" x14ac:dyDescent="0.25">
      <c r="A212" s="11">
        <f t="shared" si="23"/>
        <v>157</v>
      </c>
      <c r="B212">
        <v>22.524817876189978</v>
      </c>
      <c r="E212" s="11">
        <f>A212-'Mastercurve bestimmen'!$B$2</f>
        <v>77</v>
      </c>
      <c r="F212" s="11">
        <f t="shared" si="21"/>
        <v>22.524817876189978</v>
      </c>
      <c r="G212" s="11"/>
      <c r="H212" s="11">
        <f t="shared" si="22"/>
        <v>1235736291547681</v>
      </c>
      <c r="I212" s="11">
        <f t="shared" si="20"/>
        <v>16048523266853</v>
      </c>
      <c r="J212" s="11">
        <f t="shared" si="20"/>
        <v>208422380089</v>
      </c>
      <c r="K212" s="11">
        <f t="shared" si="20"/>
        <v>2706784157</v>
      </c>
      <c r="L212" s="11">
        <f t="shared" si="20"/>
        <v>35153041</v>
      </c>
      <c r="M212" s="11">
        <f t="shared" si="20"/>
        <v>456533</v>
      </c>
      <c r="N212" s="11">
        <f t="shared" si="20"/>
        <v>5929</v>
      </c>
      <c r="O212" s="11">
        <f t="shared" si="20"/>
        <v>77</v>
      </c>
      <c r="P212" s="11">
        <f t="shared" si="24"/>
        <v>0</v>
      </c>
    </row>
    <row r="213" spans="1:16" x14ac:dyDescent="0.25">
      <c r="A213" s="11">
        <f t="shared" si="23"/>
        <v>158</v>
      </c>
      <c r="B213">
        <v>22.562643290365692</v>
      </c>
      <c r="E213" s="11">
        <f>A213-'Mastercurve bestimmen'!$B$2</f>
        <v>78</v>
      </c>
      <c r="F213" s="11">
        <f t="shared" si="21"/>
        <v>22.562643290365692</v>
      </c>
      <c r="G213" s="11"/>
      <c r="H213" s="11">
        <f t="shared" si="22"/>
        <v>1370114370683136</v>
      </c>
      <c r="I213" s="11">
        <f t="shared" si="20"/>
        <v>17565568854912</v>
      </c>
      <c r="J213" s="11">
        <f t="shared" si="20"/>
        <v>225199600704</v>
      </c>
      <c r="K213" s="11">
        <f t="shared" si="20"/>
        <v>2887174368</v>
      </c>
      <c r="L213" s="11">
        <f t="shared" si="20"/>
        <v>37015056</v>
      </c>
      <c r="M213" s="11">
        <f t="shared" si="20"/>
        <v>474552</v>
      </c>
      <c r="N213" s="11">
        <f t="shared" si="20"/>
        <v>6084</v>
      </c>
      <c r="O213" s="11">
        <f t="shared" si="20"/>
        <v>78</v>
      </c>
      <c r="P213" s="11">
        <f t="shared" si="24"/>
        <v>0</v>
      </c>
    </row>
    <row r="214" spans="1:16" x14ac:dyDescent="0.25">
      <c r="A214" s="11">
        <f t="shared" si="23"/>
        <v>159</v>
      </c>
      <c r="B214">
        <v>22.599687457476254</v>
      </c>
      <c r="E214" s="11">
        <f>A214-'Mastercurve bestimmen'!$B$2</f>
        <v>79</v>
      </c>
      <c r="F214" s="11">
        <f t="shared" si="21"/>
        <v>22.599687457476254</v>
      </c>
      <c r="G214" s="11"/>
      <c r="H214" s="11">
        <f t="shared" si="22"/>
        <v>1517108809906561</v>
      </c>
      <c r="I214" s="11">
        <f t="shared" si="20"/>
        <v>19203908986159</v>
      </c>
      <c r="J214" s="11">
        <f t="shared" si="20"/>
        <v>243087455521</v>
      </c>
      <c r="K214" s="11">
        <f t="shared" si="20"/>
        <v>3077056399</v>
      </c>
      <c r="L214" s="11">
        <f t="shared" si="20"/>
        <v>38950081</v>
      </c>
      <c r="M214" s="11">
        <f t="shared" si="20"/>
        <v>493039</v>
      </c>
      <c r="N214" s="11">
        <f t="shared" si="20"/>
        <v>6241</v>
      </c>
      <c r="O214" s="11">
        <f t="shared" si="20"/>
        <v>79</v>
      </c>
      <c r="P214" s="11">
        <f t="shared" si="24"/>
        <v>0</v>
      </c>
    </row>
    <row r="215" spans="1:16" x14ac:dyDescent="0.25">
      <c r="A215" s="11">
        <f t="shared" si="23"/>
        <v>160</v>
      </c>
      <c r="B215">
        <v>22.636341001054234</v>
      </c>
      <c r="E215" s="11">
        <f>A215-'Mastercurve bestimmen'!$B$2</f>
        <v>80</v>
      </c>
      <c r="F215" s="11">
        <f t="shared" si="21"/>
        <v>22.636341001054234</v>
      </c>
      <c r="G215" s="11"/>
      <c r="H215" s="11">
        <f t="shared" si="22"/>
        <v>1677721600000000</v>
      </c>
      <c r="I215" s="11">
        <f t="shared" si="20"/>
        <v>20971520000000</v>
      </c>
      <c r="J215" s="11">
        <f t="shared" si="20"/>
        <v>262144000000</v>
      </c>
      <c r="K215" s="11">
        <f t="shared" si="20"/>
        <v>3276800000</v>
      </c>
      <c r="L215" s="11">
        <f t="shared" si="20"/>
        <v>40960000</v>
      </c>
      <c r="M215" s="11">
        <f t="shared" si="20"/>
        <v>512000</v>
      </c>
      <c r="N215" s="11">
        <f t="shared" si="20"/>
        <v>6400</v>
      </c>
      <c r="O215" s="11">
        <f t="shared" si="20"/>
        <v>80</v>
      </c>
      <c r="P215" s="11">
        <f t="shared" si="24"/>
        <v>0</v>
      </c>
    </row>
    <row r="216" spans="1:16" x14ac:dyDescent="0.25">
      <c r="G216" s="11"/>
      <c r="H216" s="13">
        <v>1</v>
      </c>
      <c r="I216" s="97" t="s">
        <v>137</v>
      </c>
      <c r="J216" s="97" t="s">
        <v>138</v>
      </c>
      <c r="K216" s="97" t="s">
        <v>139</v>
      </c>
      <c r="L216" s="97" t="s">
        <v>140</v>
      </c>
      <c r="M216" s="97" t="s">
        <v>141</v>
      </c>
      <c r="N216" s="97" t="s">
        <v>142</v>
      </c>
      <c r="O216" s="97" t="s">
        <v>143</v>
      </c>
      <c r="P216" s="97" t="s">
        <v>144</v>
      </c>
    </row>
    <row r="217" spans="1:16" x14ac:dyDescent="0.25">
      <c r="G217" s="35" t="s">
        <v>145</v>
      </c>
      <c r="H217" s="98">
        <f t="array" ref="H217:P219">LINEST(F15:F215,H15:P215,FALSE,TRUE)</f>
        <v>0</v>
      </c>
      <c r="I217" s="98">
        <v>0.37473141014378614</v>
      </c>
      <c r="J217" s="98">
        <v>2.9545013602366669E-3</v>
      </c>
      <c r="K217" s="98">
        <v>-8.8766629393353679E-6</v>
      </c>
      <c r="L217" s="98">
        <v>-7.2631639098291619E-7</v>
      </c>
      <c r="M217" s="98">
        <v>-5.2908344461554078E-9</v>
      </c>
      <c r="N217" s="98">
        <v>4.0676572020837843E-11</v>
      </c>
      <c r="O217" s="98">
        <v>5.8870962139290244E-13</v>
      </c>
      <c r="P217" s="98">
        <v>1.7159357703370749E-15</v>
      </c>
    </row>
    <row r="218" spans="1:16" x14ac:dyDescent="0.25">
      <c r="G218" s="11"/>
      <c r="H218" s="11">
        <v>0</v>
      </c>
      <c r="I218" s="11">
        <v>1.4601917441550102E-3</v>
      </c>
      <c r="J218" s="11">
        <v>2.7198327168518185E-5</v>
      </c>
      <c r="K218" s="3">
        <v>1.3819359553944825E-6</v>
      </c>
      <c r="L218" s="3">
        <v>1.2582937929778713E-8</v>
      </c>
      <c r="M218" s="3">
        <v>3.9510660711569998E-10</v>
      </c>
      <c r="N218" s="3">
        <v>2.1711523245644706E-12</v>
      </c>
      <c r="O218" s="11">
        <v>3.4913393806385748E-14</v>
      </c>
      <c r="P218" s="11">
        <v>2.123078789953746E-16</v>
      </c>
    </row>
    <row r="219" spans="1:16" x14ac:dyDescent="0.25">
      <c r="G219" s="11"/>
      <c r="H219" s="11">
        <v>0.99990908302275949</v>
      </c>
      <c r="I219" s="11">
        <v>0.15106375071915717</v>
      </c>
      <c r="J219" s="11" t="e">
        <v>#N/A</v>
      </c>
      <c r="K219" s="11" t="e">
        <v>#N/A</v>
      </c>
      <c r="L219" s="11" t="e">
        <v>#N/A</v>
      </c>
      <c r="M219" s="11" t="e">
        <v>#N/A</v>
      </c>
      <c r="N219" s="11" t="e">
        <v>#N/A</v>
      </c>
      <c r="O219" s="11" t="e">
        <v>#N/A</v>
      </c>
      <c r="P219" s="11" t="e">
        <v>#N/A</v>
      </c>
    </row>
    <row r="222" spans="1:16" x14ac:dyDescent="0.25">
      <c r="E222">
        <f>E15</f>
        <v>-120</v>
      </c>
      <c r="F222">
        <f>$H$217*0+E222*$I$217+E222^2*$J$217+E222^3*$K$217+E222^4*$L$217+E222^5*$M$217+E222^6*$N$217+E222^7*$O$217+E222^8*$P$217</f>
        <v>-21.743761924620145</v>
      </c>
      <c r="G222">
        <f>F15</f>
        <v>-21.601432961392753</v>
      </c>
    </row>
    <row r="223" spans="1:16" x14ac:dyDescent="0.25">
      <c r="E223" s="11">
        <f t="shared" ref="E223:E286" si="25">E16</f>
        <v>-119</v>
      </c>
      <c r="F223" s="11">
        <f t="shared" ref="F223:F286" si="26">$H$217*0+E223*$I$217+E223^2*$J$217+E223^3*$K$217+E223^4*$L$217+E223^5*$M$217+E223^6*$N$217+E223^7*$O$217+E223^8*$P$217</f>
        <v>-21.616231358145413</v>
      </c>
      <c r="G223" s="11">
        <f t="shared" ref="G223:G286" si="27">F16</f>
        <v>-21.517031204258437</v>
      </c>
    </row>
    <row r="224" spans="1:16" x14ac:dyDescent="0.25">
      <c r="E224" s="11">
        <f t="shared" si="25"/>
        <v>-118</v>
      </c>
      <c r="F224" s="11">
        <f t="shared" si="26"/>
        <v>-21.494014160426985</v>
      </c>
      <c r="G224" s="11">
        <f t="shared" si="27"/>
        <v>-21.432570860655503</v>
      </c>
    </row>
    <row r="225" spans="5:7" x14ac:dyDescent="0.25">
      <c r="E225" s="11">
        <f t="shared" si="25"/>
        <v>-117</v>
      </c>
      <c r="F225" s="11">
        <f t="shared" si="26"/>
        <v>-21.376772536337214</v>
      </c>
      <c r="G225" s="11">
        <f t="shared" si="27"/>
        <v>-21.347993344115352</v>
      </c>
    </row>
    <row r="226" spans="5:7" x14ac:dyDescent="0.25">
      <c r="E226" s="11">
        <f t="shared" si="25"/>
        <v>-116</v>
      </c>
      <c r="F226" s="11">
        <f t="shared" si="26"/>
        <v>-21.264160880610369</v>
      </c>
      <c r="G226" s="11">
        <f t="shared" si="27"/>
        <v>-21.26324006816936</v>
      </c>
    </row>
    <row r="227" spans="5:7" x14ac:dyDescent="0.25">
      <c r="E227" s="11">
        <f t="shared" si="25"/>
        <v>-115</v>
      </c>
      <c r="F227" s="11">
        <f t="shared" si="26"/>
        <v>-21.155828078946186</v>
      </c>
      <c r="G227" s="11">
        <f t="shared" si="27"/>
        <v>-21.178252446348925</v>
      </c>
    </row>
    <row r="228" spans="5:7" x14ac:dyDescent="0.25">
      <c r="E228" s="11">
        <f t="shared" si="25"/>
        <v>-114</v>
      </c>
      <c r="F228" s="11">
        <f t="shared" si="26"/>
        <v>-21.051419653412324</v>
      </c>
      <c r="G228" s="11">
        <f t="shared" si="27"/>
        <v>-21.092971892185428</v>
      </c>
    </row>
    <row r="229" spans="5:7" x14ac:dyDescent="0.25">
      <c r="E229" s="11">
        <f t="shared" si="25"/>
        <v>-113</v>
      </c>
      <c r="F229" s="11">
        <f t="shared" si="26"/>
        <v>-20.950579757237961</v>
      </c>
      <c r="G229" s="11">
        <f t="shared" si="27"/>
        <v>-21.007339819210269</v>
      </c>
    </row>
    <row r="230" spans="5:7" x14ac:dyDescent="0.25">
      <c r="E230" s="11">
        <f t="shared" si="25"/>
        <v>-112</v>
      </c>
      <c r="F230" s="11">
        <f t="shared" si="26"/>
        <v>-20.852953024023982</v>
      </c>
      <c r="G230" s="11">
        <f t="shared" si="27"/>
        <v>-20.921297640954823</v>
      </c>
    </row>
    <row r="231" spans="5:7" x14ac:dyDescent="0.25">
      <c r="E231" s="11">
        <f t="shared" si="25"/>
        <v>-111</v>
      </c>
      <c r="F231" s="11">
        <f t="shared" si="26"/>
        <v>-20.758186276323009</v>
      </c>
      <c r="G231" s="11">
        <f t="shared" si="27"/>
        <v>-20.834786770950483</v>
      </c>
    </row>
    <row r="232" spans="5:7" x14ac:dyDescent="0.25">
      <c r="E232" s="11">
        <f t="shared" si="25"/>
        <v>-110</v>
      </c>
      <c r="F232" s="11">
        <f t="shared" si="26"/>
        <v>-20.665930098475862</v>
      </c>
      <c r="G232" s="11">
        <f t="shared" si="27"/>
        <v>-20.747748622728643</v>
      </c>
    </row>
    <row r="233" spans="5:7" x14ac:dyDescent="0.25">
      <c r="E233" s="11">
        <f t="shared" si="25"/>
        <v>-109</v>
      </c>
      <c r="F233" s="11">
        <f t="shared" si="26"/>
        <v>-20.575840278520246</v>
      </c>
      <c r="G233" s="11">
        <f t="shared" si="27"/>
        <v>-20.660124609820684</v>
      </c>
    </row>
    <row r="234" spans="5:7" x14ac:dyDescent="0.25">
      <c r="E234" s="11">
        <f t="shared" si="25"/>
        <v>-108</v>
      </c>
      <c r="F234" s="11">
        <f t="shared" si="26"/>
        <v>-20.487579123919261</v>
      </c>
      <c r="G234" s="11">
        <f t="shared" si="27"/>
        <v>-20.571856145757998</v>
      </c>
    </row>
    <row r="235" spans="5:7" x14ac:dyDescent="0.25">
      <c r="E235" s="11">
        <f t="shared" si="25"/>
        <v>-107</v>
      </c>
      <c r="F235" s="11">
        <f t="shared" si="26"/>
        <v>-20.400816655787576</v>
      </c>
      <c r="G235" s="11">
        <f t="shared" si="27"/>
        <v>-20.482884644071966</v>
      </c>
    </row>
    <row r="236" spans="5:7" x14ac:dyDescent="0.25">
      <c r="E236" s="11">
        <f t="shared" si="25"/>
        <v>-106</v>
      </c>
      <c r="F236" s="11">
        <f t="shared" si="26"/>
        <v>-20.315231686224038</v>
      </c>
      <c r="G236" s="11">
        <f t="shared" si="27"/>
        <v>-20.39315151829399</v>
      </c>
    </row>
    <row r="237" spans="5:7" x14ac:dyDescent="0.25">
      <c r="E237" s="11">
        <f t="shared" si="25"/>
        <v>-105</v>
      </c>
      <c r="F237" s="11">
        <f t="shared" si="26"/>
        <v>-20.230512783290401</v>
      </c>
      <c r="G237" s="11">
        <f t="shared" si="27"/>
        <v>-20.30259818195545</v>
      </c>
    </row>
    <row r="238" spans="5:7" x14ac:dyDescent="0.25">
      <c r="E238" s="11">
        <f t="shared" si="25"/>
        <v>-104</v>
      </c>
      <c r="F238" s="11">
        <f t="shared" si="26"/>
        <v>-20.146359128106869</v>
      </c>
      <c r="G238" s="11">
        <f t="shared" si="27"/>
        <v>-20.211166048587735</v>
      </c>
    </row>
    <row r="239" spans="5:7" x14ac:dyDescent="0.25">
      <c r="E239" s="11">
        <f t="shared" si="25"/>
        <v>-103</v>
      </c>
      <c r="F239" s="11">
        <f t="shared" si="26"/>
        <v>-20.062481268465287</v>
      </c>
      <c r="G239" s="11">
        <f t="shared" si="27"/>
        <v>-20.118796531722236</v>
      </c>
    </row>
    <row r="240" spans="5:7" x14ac:dyDescent="0.25">
      <c r="E240" s="11">
        <f t="shared" si="25"/>
        <v>-102</v>
      </c>
      <c r="F240" s="11">
        <f t="shared" si="26"/>
        <v>-19.978601773292247</v>
      </c>
      <c r="G240" s="11">
        <f t="shared" si="27"/>
        <v>-20.02543104489034</v>
      </c>
    </row>
    <row r="241" spans="5:7" x14ac:dyDescent="0.25">
      <c r="E241" s="11">
        <f t="shared" si="25"/>
        <v>-101</v>
      </c>
      <c r="F241" s="11">
        <f t="shared" si="26"/>
        <v>-19.894455792225351</v>
      </c>
      <c r="G241" s="11">
        <f t="shared" si="27"/>
        <v>-19.931011001623428</v>
      </c>
    </row>
    <row r="242" spans="5:7" x14ac:dyDescent="0.25">
      <c r="E242" s="11">
        <f t="shared" si="25"/>
        <v>-100</v>
      </c>
      <c r="F242" s="11">
        <f t="shared" si="26"/>
        <v>-19.809791524495754</v>
      </c>
      <c r="G242" s="11">
        <f t="shared" si="27"/>
        <v>-19.835477815452897</v>
      </c>
    </row>
    <row r="243" spans="5:7" x14ac:dyDescent="0.25">
      <c r="E243" s="11">
        <f t="shared" si="25"/>
        <v>-99</v>
      </c>
      <c r="F243" s="11">
        <f t="shared" si="26"/>
        <v>-19.724370601241951</v>
      </c>
      <c r="G243" s="11">
        <f t="shared" si="27"/>
        <v>-19.738772899910138</v>
      </c>
    </row>
    <row r="244" spans="5:7" x14ac:dyDescent="0.25">
      <c r="E244" s="11">
        <f t="shared" si="25"/>
        <v>-98</v>
      </c>
      <c r="F244" s="11">
        <f t="shared" si="26"/>
        <v>-19.637968385309726</v>
      </c>
      <c r="G244" s="11">
        <f t="shared" si="27"/>
        <v>-19.64083766852653</v>
      </c>
    </row>
    <row r="245" spans="5:7" x14ac:dyDescent="0.25">
      <c r="E245" s="11">
        <f t="shared" si="25"/>
        <v>-97</v>
      </c>
      <c r="F245" s="11">
        <f t="shared" si="26"/>
        <v>-19.550374192525112</v>
      </c>
      <c r="G245" s="11">
        <f t="shared" si="27"/>
        <v>-19.54161353483347</v>
      </c>
    </row>
    <row r="246" spans="5:7" x14ac:dyDescent="0.25">
      <c r="E246" s="11">
        <f t="shared" si="25"/>
        <v>-96</v>
      </c>
      <c r="F246" s="11">
        <f t="shared" si="26"/>
        <v>-19.461391438356461</v>
      </c>
      <c r="G246" s="11">
        <f t="shared" si="27"/>
        <v>-19.441041912362344</v>
      </c>
    </row>
    <row r="247" spans="5:7" x14ac:dyDescent="0.25">
      <c r="E247" s="11">
        <f t="shared" si="25"/>
        <v>-95</v>
      </c>
      <c r="F247" s="11">
        <f t="shared" si="26"/>
        <v>-19.370837713814037</v>
      </c>
      <c r="G247" s="11">
        <f t="shared" si="27"/>
        <v>-19.339064214644534</v>
      </c>
    </row>
    <row r="248" spans="5:7" x14ac:dyDescent="0.25">
      <c r="E248" s="11">
        <f t="shared" si="25"/>
        <v>-94</v>
      </c>
      <c r="F248" s="11">
        <f t="shared" si="26"/>
        <v>-19.278544794365477</v>
      </c>
      <c r="G248" s="11">
        <f t="shared" si="27"/>
        <v>-19.235621855211438</v>
      </c>
    </row>
    <row r="249" spans="5:7" x14ac:dyDescent="0.25">
      <c r="E249" s="11">
        <f t="shared" si="25"/>
        <v>-93</v>
      </c>
      <c r="F249" s="11">
        <f t="shared" si="26"/>
        <v>-19.18435858557654</v>
      </c>
      <c r="G249" s="11">
        <f t="shared" si="27"/>
        <v>-19.130656247594434</v>
      </c>
    </row>
    <row r="250" spans="5:7" x14ac:dyDescent="0.25">
      <c r="E250" s="11">
        <f t="shared" si="25"/>
        <v>-92</v>
      </c>
      <c r="F250" s="11">
        <f t="shared" si="26"/>
        <v>-19.088139009117349</v>
      </c>
      <c r="G250" s="11">
        <f t="shared" si="27"/>
        <v>-19.024108805324921</v>
      </c>
    </row>
    <row r="251" spans="5:7" x14ac:dyDescent="0.25">
      <c r="E251" s="11">
        <f t="shared" si="25"/>
        <v>-91</v>
      </c>
      <c r="F251" s="11">
        <f t="shared" si="26"/>
        <v>-18.989759832705296</v>
      </c>
      <c r="G251" s="11">
        <f t="shared" si="27"/>
        <v>-18.915920941934282</v>
      </c>
    </row>
    <row r="252" spans="5:7" x14ac:dyDescent="0.25">
      <c r="E252" s="11">
        <f t="shared" si="25"/>
        <v>-90</v>
      </c>
      <c r="F252" s="11">
        <f t="shared" si="26"/>
        <v>-18.889108447486123</v>
      </c>
      <c r="G252" s="11">
        <f t="shared" si="27"/>
        <v>-18.806034070953899</v>
      </c>
    </row>
    <row r="253" spans="5:7" x14ac:dyDescent="0.25">
      <c r="E253" s="11">
        <f t="shared" si="25"/>
        <v>-89</v>
      </c>
      <c r="F253" s="11">
        <f t="shared" si="26"/>
        <v>-18.786085596286341</v>
      </c>
      <c r="G253" s="11">
        <f t="shared" si="27"/>
        <v>-18.694389605915173</v>
      </c>
    </row>
    <row r="254" spans="5:7" x14ac:dyDescent="0.25">
      <c r="E254" s="11">
        <f t="shared" si="25"/>
        <v>-88</v>
      </c>
      <c r="F254" s="11">
        <f t="shared" si="26"/>
        <v>-18.680605056099914</v>
      </c>
      <c r="G254" s="11">
        <f t="shared" si="27"/>
        <v>-18.580928960349489</v>
      </c>
    </row>
    <row r="255" spans="5:7" x14ac:dyDescent="0.25">
      <c r="E255" s="11">
        <f t="shared" si="25"/>
        <v>-87</v>
      </c>
      <c r="F255" s="11">
        <f t="shared" si="26"/>
        <v>-18.572593278103959</v>
      </c>
      <c r="G255" s="11">
        <f t="shared" si="27"/>
        <v>-18.465593547788231</v>
      </c>
    </row>
    <row r="256" spans="5:7" x14ac:dyDescent="0.25">
      <c r="E256" s="11">
        <f t="shared" si="25"/>
        <v>-86</v>
      </c>
      <c r="F256" s="11">
        <f t="shared" si="26"/>
        <v>-18.461988988428118</v>
      </c>
      <c r="G256" s="11">
        <f t="shared" si="27"/>
        <v>-18.348324781762788</v>
      </c>
    </row>
    <row r="257" spans="5:7" x14ac:dyDescent="0.25">
      <c r="E257" s="11">
        <f t="shared" si="25"/>
        <v>-85</v>
      </c>
      <c r="F257" s="11">
        <f t="shared" si="26"/>
        <v>-18.348742752834042</v>
      </c>
      <c r="G257" s="11">
        <f t="shared" si="27"/>
        <v>-18.229064075804548</v>
      </c>
    </row>
    <row r="258" spans="5:7" x14ac:dyDescent="0.25">
      <c r="E258" s="11">
        <f t="shared" si="25"/>
        <v>-84</v>
      </c>
      <c r="F258" s="11">
        <f t="shared" si="26"/>
        <v>-18.23281650839116</v>
      </c>
      <c r="G258" s="11">
        <f t="shared" si="27"/>
        <v>-18.107752843444903</v>
      </c>
    </row>
    <row r="259" spans="5:7" x14ac:dyDescent="0.25">
      <c r="E259" s="11">
        <f t="shared" si="25"/>
        <v>-83</v>
      </c>
      <c r="F259" s="11">
        <f t="shared" si="26"/>
        <v>-18.114183065166642</v>
      </c>
      <c r="G259" s="11">
        <f t="shared" si="27"/>
        <v>-17.984332498215238</v>
      </c>
    </row>
    <row r="260" spans="5:7" x14ac:dyDescent="0.25">
      <c r="E260" s="11">
        <f t="shared" si="25"/>
        <v>-82</v>
      </c>
      <c r="F260" s="11">
        <f t="shared" si="26"/>
        <v>-17.992825580877824</v>
      </c>
      <c r="G260" s="11">
        <f t="shared" si="27"/>
        <v>-17.858744453646942</v>
      </c>
    </row>
    <row r="261" spans="5:7" x14ac:dyDescent="0.25">
      <c r="E261" s="11">
        <f t="shared" si="25"/>
        <v>-81</v>
      </c>
      <c r="F261" s="11">
        <f t="shared" si="26"/>
        <v>-17.868737011386152</v>
      </c>
      <c r="G261" s="11">
        <f t="shared" si="27"/>
        <v>-17.730930123271406</v>
      </c>
    </row>
    <row r="262" spans="5:7" x14ac:dyDescent="0.25">
      <c r="E262" s="11">
        <f t="shared" si="25"/>
        <v>-80</v>
      </c>
      <c r="F262" s="11">
        <f t="shared" si="26"/>
        <v>-17.741919539842737</v>
      </c>
      <c r="G262" s="11">
        <f t="shared" si="27"/>
        <v>-17.60083092062002</v>
      </c>
    </row>
    <row r="263" spans="5:7" x14ac:dyDescent="0.25">
      <c r="E263" s="11">
        <f t="shared" si="25"/>
        <v>-79</v>
      </c>
      <c r="F263" s="11">
        <f t="shared" si="26"/>
        <v>-17.612383987226305</v>
      </c>
      <c r="G263" s="11">
        <f t="shared" si="27"/>
        <v>-17.48973550123165</v>
      </c>
    </row>
    <row r="264" spans="5:7" x14ac:dyDescent="0.25">
      <c r="E264" s="11">
        <f t="shared" si="25"/>
        <v>-78</v>
      </c>
      <c r="F264" s="11">
        <f t="shared" si="26"/>
        <v>-17.480149206945086</v>
      </c>
      <c r="G264" s="11">
        <f t="shared" si="27"/>
        <v>-17.376243919446146</v>
      </c>
    </row>
    <row r="265" spans="5:7" x14ac:dyDescent="0.25">
      <c r="E265" s="11">
        <f t="shared" si="25"/>
        <v>-77</v>
      </c>
      <c r="F265" s="11">
        <f t="shared" si="26"/>
        <v>-17.345241466105119</v>
      </c>
      <c r="G265" s="11">
        <f t="shared" si="27"/>
        <v>-17.260303471610861</v>
      </c>
    </row>
    <row r="266" spans="5:7" x14ac:dyDescent="0.25">
      <c r="E266" s="11">
        <f t="shared" si="25"/>
        <v>-76</v>
      </c>
      <c r="F266" s="11">
        <f t="shared" si="26"/>
        <v>-17.207693815978143</v>
      </c>
      <c r="G266" s="11">
        <f t="shared" si="27"/>
        <v>-17.141861454073126</v>
      </c>
    </row>
    <row r="267" spans="5:7" x14ac:dyDescent="0.25">
      <c r="E267" s="11">
        <f t="shared" si="25"/>
        <v>-75</v>
      </c>
      <c r="F267" s="11">
        <f t="shared" si="26"/>
        <v>-17.067545454133256</v>
      </c>
      <c r="G267" s="11">
        <f t="shared" si="27"/>
        <v>-17.020865163180282</v>
      </c>
    </row>
    <row r="268" spans="5:7" x14ac:dyDescent="0.25">
      <c r="E268" s="11">
        <f t="shared" si="25"/>
        <v>-74</v>
      </c>
      <c r="F268" s="11">
        <f t="shared" si="26"/>
        <v>-16.924841080626987</v>
      </c>
      <c r="G268" s="11">
        <f t="shared" si="27"/>
        <v>-16.897261895279662</v>
      </c>
    </row>
    <row r="269" spans="5:7" x14ac:dyDescent="0.25">
      <c r="E269" s="11">
        <f t="shared" si="25"/>
        <v>-73</v>
      </c>
      <c r="F269" s="11">
        <f t="shared" si="26"/>
        <v>-16.779630250577625</v>
      </c>
      <c r="G269" s="11">
        <f t="shared" si="27"/>
        <v>-16.770998946718613</v>
      </c>
    </row>
    <row r="270" spans="5:7" x14ac:dyDescent="0.25">
      <c r="E270" s="11">
        <f t="shared" si="25"/>
        <v>-72</v>
      </c>
      <c r="F270" s="11">
        <f t="shared" si="26"/>
        <v>-16.631966725380298</v>
      </c>
      <c r="G270" s="11">
        <f t="shared" si="27"/>
        <v>-16.642023613844472</v>
      </c>
    </row>
    <row r="271" spans="5:7" x14ac:dyDescent="0.25">
      <c r="E271" s="11">
        <f t="shared" si="25"/>
        <v>-71</v>
      </c>
      <c r="F271" s="11">
        <f t="shared" si="26"/>
        <v>-16.48190782474995</v>
      </c>
      <c r="G271" s="11">
        <f t="shared" si="27"/>
        <v>-16.510283193004575</v>
      </c>
    </row>
    <row r="272" spans="5:7" x14ac:dyDescent="0.25">
      <c r="E272" s="11">
        <f t="shared" si="25"/>
        <v>-70</v>
      </c>
      <c r="F272" s="11">
        <f t="shared" si="26"/>
        <v>-16.32951378171046</v>
      </c>
      <c r="G272" s="11">
        <f t="shared" si="27"/>
        <v>-16.375724980546259</v>
      </c>
    </row>
    <row r="273" spans="5:7" x14ac:dyDescent="0.25">
      <c r="E273" s="11">
        <f t="shared" si="25"/>
        <v>-69</v>
      </c>
      <c r="F273" s="11">
        <f t="shared" si="26"/>
        <v>-16.174847102578823</v>
      </c>
      <c r="G273" s="11">
        <f t="shared" si="27"/>
        <v>-16.238296272816868</v>
      </c>
    </row>
    <row r="274" spans="5:7" x14ac:dyDescent="0.25">
      <c r="E274" s="11">
        <f t="shared" si="25"/>
        <v>-68</v>
      </c>
      <c r="F274" s="11">
        <f t="shared" si="26"/>
        <v>-16.017971933924059</v>
      </c>
      <c r="G274" s="11">
        <f t="shared" si="27"/>
        <v>-16.097944366163738</v>
      </c>
    </row>
    <row r="275" spans="5:7" x14ac:dyDescent="0.25">
      <c r="E275" s="11">
        <f t="shared" si="25"/>
        <v>-67</v>
      </c>
      <c r="F275" s="11">
        <f t="shared" si="26"/>
        <v>-15.858953438411476</v>
      </c>
      <c r="G275" s="11">
        <f t="shared" si="27"/>
        <v>-15.954616556934203</v>
      </c>
    </row>
    <row r="276" spans="5:7" x14ac:dyDescent="0.25">
      <c r="E276" s="11">
        <f t="shared" si="25"/>
        <v>-66</v>
      </c>
      <c r="F276" s="11">
        <f t="shared" si="26"/>
        <v>-15.697857181373625</v>
      </c>
      <c r="G276" s="11">
        <f t="shared" si="27"/>
        <v>-15.808260141475612</v>
      </c>
    </row>
    <row r="277" spans="5:7" x14ac:dyDescent="0.25">
      <c r="E277" s="11">
        <f t="shared" si="25"/>
        <v>-65</v>
      </c>
      <c r="F277" s="11">
        <f t="shared" si="26"/>
        <v>-15.534748529880114</v>
      </c>
      <c r="G277" s="11">
        <f t="shared" si="27"/>
        <v>-15.658822416135298</v>
      </c>
    </row>
    <row r="278" spans="5:7" x14ac:dyDescent="0.25">
      <c r="E278" s="11">
        <f t="shared" si="25"/>
        <v>-64</v>
      </c>
      <c r="F278" s="11">
        <f t="shared" si="26"/>
        <v>-15.369692066009303</v>
      </c>
      <c r="G278" s="11">
        <f t="shared" si="27"/>
        <v>-15.506250677260599</v>
      </c>
    </row>
    <row r="279" spans="5:7" x14ac:dyDescent="0.25">
      <c r="E279" s="11">
        <f t="shared" si="25"/>
        <v>-63</v>
      </c>
      <c r="F279" s="11">
        <f t="shared" si="26"/>
        <v>-15.202751015955675</v>
      </c>
      <c r="G279" s="11">
        <f t="shared" si="27"/>
        <v>-15.350492221198856</v>
      </c>
    </row>
    <row r="280" spans="5:7" x14ac:dyDescent="0.25">
      <c r="E280" s="11">
        <f t="shared" si="25"/>
        <v>-62</v>
      </c>
      <c r="F280" s="11">
        <f t="shared" si="26"/>
        <v>-15.033986696537507</v>
      </c>
      <c r="G280" s="11">
        <f t="shared" si="27"/>
        <v>-15.191494344297407</v>
      </c>
    </row>
    <row r="281" spans="5:7" x14ac:dyDescent="0.25">
      <c r="E281" s="11">
        <f t="shared" si="25"/>
        <v>-61</v>
      </c>
      <c r="F281" s="11">
        <f t="shared" si="26"/>
        <v>-14.863457980600284</v>
      </c>
      <c r="G281" s="11">
        <f t="shared" si="27"/>
        <v>-15.02920434290359</v>
      </c>
    </row>
    <row r="282" spans="5:7" x14ac:dyDescent="0.25">
      <c r="E282" s="11">
        <f t="shared" si="25"/>
        <v>-60</v>
      </c>
      <c r="F282" s="11">
        <f t="shared" si="26"/>
        <v>-14.691220782742054</v>
      </c>
      <c r="G282" s="11">
        <f t="shared" si="27"/>
        <v>-14.863569513364745</v>
      </c>
    </row>
    <row r="283" spans="5:7" x14ac:dyDescent="0.25">
      <c r="E283" s="11">
        <f t="shared" si="25"/>
        <v>-59</v>
      </c>
      <c r="F283" s="11">
        <f t="shared" si="26"/>
        <v>-14.517327566717885</v>
      </c>
      <c r="G283" s="11">
        <f t="shared" si="27"/>
        <v>-14.694537152028211</v>
      </c>
    </row>
    <row r="284" spans="5:7" x14ac:dyDescent="0.25">
      <c r="E284" s="11">
        <f t="shared" si="25"/>
        <v>-58</v>
      </c>
      <c r="F284" s="11">
        <f t="shared" si="26"/>
        <v>-14.341826875811188</v>
      </c>
      <c r="G284" s="11">
        <f t="shared" si="27"/>
        <v>-14.522054555241324</v>
      </c>
    </row>
    <row r="285" spans="5:7" x14ac:dyDescent="0.25">
      <c r="E285" s="11">
        <f t="shared" si="25"/>
        <v>-57</v>
      </c>
      <c r="F285" s="11">
        <f t="shared" si="26"/>
        <v>-14.164762887390674</v>
      </c>
      <c r="G285" s="11">
        <f t="shared" si="27"/>
        <v>-14.346069019351425</v>
      </c>
    </row>
    <row r="286" spans="5:7" x14ac:dyDescent="0.25">
      <c r="E286" s="11">
        <f t="shared" si="25"/>
        <v>-56</v>
      </c>
      <c r="F286" s="11">
        <f t="shared" si="26"/>
        <v>-13.986174992802415</v>
      </c>
      <c r="G286" s="11">
        <f t="shared" si="27"/>
        <v>-14.166527840705852</v>
      </c>
    </row>
    <row r="287" spans="5:7" x14ac:dyDescent="0.25">
      <c r="E287" s="11">
        <f t="shared" ref="E287:E350" si="28">E80</f>
        <v>-55</v>
      </c>
      <c r="F287" s="11">
        <f t="shared" ref="F287:F350" si="29">$H$217*0+E287*$I$217+E287^2*$J$217+E287^3*$K$217+E287^4*$L$217+E287^5*$M$217+E287^6*$N$217+E287^7*$O$217+E287^8*$P$217</f>
        <v>-13.806097403677324</v>
      </c>
      <c r="G287" s="11">
        <f t="shared" ref="G287:G350" si="30">F80</f>
        <v>-13.983378315651946</v>
      </c>
    </row>
    <row r="288" spans="5:7" x14ac:dyDescent="0.25">
      <c r="E288" s="11">
        <f t="shared" si="28"/>
        <v>-54</v>
      </c>
      <c r="F288" s="11">
        <f t="shared" si="29"/>
        <v>-13.624558785665196</v>
      </c>
      <c r="G288" s="11">
        <f t="shared" si="30"/>
        <v>-13.796598306939895</v>
      </c>
    </row>
    <row r="289" spans="5:7" x14ac:dyDescent="0.25">
      <c r="E289" s="11">
        <f t="shared" si="28"/>
        <v>-53</v>
      </c>
      <c r="F289" s="11">
        <f t="shared" si="29"/>
        <v>-13.441581920537239</v>
      </c>
      <c r="G289" s="11">
        <f t="shared" si="30"/>
        <v>-13.606287942931303</v>
      </c>
    </row>
    <row r="290" spans="5:7" x14ac:dyDescent="0.25">
      <c r="E290" s="11">
        <f t="shared" si="28"/>
        <v>-52</v>
      </c>
      <c r="F290" s="11">
        <f t="shared" si="29"/>
        <v>-13.257183397529849</v>
      </c>
      <c r="G290" s="11">
        <f t="shared" si="30"/>
        <v>-13.412577918390625</v>
      </c>
    </row>
    <row r="291" spans="5:7" x14ac:dyDescent="0.25">
      <c r="E291" s="11">
        <f t="shared" si="28"/>
        <v>-51</v>
      </c>
      <c r="F291" s="11">
        <f t="shared" si="29"/>
        <v>-13.071373334733234</v>
      </c>
      <c r="G291" s="11">
        <f t="shared" si="30"/>
        <v>-13.215598928082313</v>
      </c>
    </row>
    <row r="292" spans="5:7" x14ac:dyDescent="0.25">
      <c r="E292" s="11">
        <f t="shared" si="28"/>
        <v>-50</v>
      </c>
      <c r="F292" s="11">
        <f t="shared" si="29"/>
        <v>-12.884155131259199</v>
      </c>
      <c r="G292" s="11">
        <f t="shared" si="30"/>
        <v>-13.015481666770825</v>
      </c>
    </row>
    <row r="293" spans="5:7" x14ac:dyDescent="0.25">
      <c r="E293" s="11">
        <f t="shared" si="28"/>
        <v>-49</v>
      </c>
      <c r="F293" s="11">
        <f t="shared" si="29"/>
        <v>-12.695525250853377</v>
      </c>
      <c r="G293" s="11">
        <f t="shared" si="30"/>
        <v>-12.812356829220615</v>
      </c>
    </row>
    <row r="294" spans="5:7" x14ac:dyDescent="0.25">
      <c r="E294" s="11">
        <f t="shared" si="28"/>
        <v>-48</v>
      </c>
      <c r="F294" s="11">
        <f t="shared" si="29"/>
        <v>-12.505473037547825</v>
      </c>
      <c r="G294" s="11">
        <f t="shared" si="30"/>
        <v>-12.606355110196134</v>
      </c>
    </row>
    <row r="295" spans="5:7" x14ac:dyDescent="0.25">
      <c r="E295" s="11">
        <f t="shared" si="28"/>
        <v>-47</v>
      </c>
      <c r="F295" s="11">
        <f t="shared" si="29"/>
        <v>-12.3139805638809</v>
      </c>
      <c r="G295" s="11">
        <f t="shared" si="30"/>
        <v>-12.397607204461842</v>
      </c>
    </row>
    <row r="296" spans="5:7" x14ac:dyDescent="0.25">
      <c r="E296" s="11">
        <f t="shared" si="28"/>
        <v>-46</v>
      </c>
      <c r="F296" s="11">
        <f t="shared" si="29"/>
        <v>-12.121022512141954</v>
      </c>
      <c r="G296" s="11">
        <f t="shared" si="30"/>
        <v>-12.186243806782189</v>
      </c>
    </row>
    <row r="297" spans="5:7" x14ac:dyDescent="0.25">
      <c r="E297" s="11">
        <f t="shared" si="28"/>
        <v>-45</v>
      </c>
      <c r="F297" s="11">
        <f t="shared" si="29"/>
        <v>-11.926566089029405</v>
      </c>
      <c r="G297" s="11">
        <f t="shared" si="30"/>
        <v>-11.972395611921634</v>
      </c>
    </row>
    <row r="298" spans="5:7" x14ac:dyDescent="0.25">
      <c r="E298" s="11">
        <f t="shared" si="28"/>
        <v>-44</v>
      </c>
      <c r="F298" s="11">
        <f t="shared" si="29"/>
        <v>-11.730570974041338</v>
      </c>
      <c r="G298" s="11">
        <f t="shared" si="30"/>
        <v>-11.75619331464463</v>
      </c>
    </row>
    <row r="299" spans="5:7" x14ac:dyDescent="0.25">
      <c r="E299" s="11">
        <f t="shared" si="28"/>
        <v>-43</v>
      </c>
      <c r="F299" s="11">
        <f t="shared" si="29"/>
        <v>-11.532989301848819</v>
      </c>
      <c r="G299" s="11">
        <f t="shared" si="30"/>
        <v>-11.537767609715628</v>
      </c>
    </row>
    <row r="300" spans="5:7" x14ac:dyDescent="0.25">
      <c r="E300" s="11">
        <f t="shared" si="28"/>
        <v>-42</v>
      </c>
      <c r="F300" s="11">
        <f t="shared" si="29"/>
        <v>-11.333765678832691</v>
      </c>
      <c r="G300" s="11">
        <f t="shared" si="30"/>
        <v>-11.317249191899087</v>
      </c>
    </row>
    <row r="301" spans="5:7" x14ac:dyDescent="0.25">
      <c r="E301" s="11">
        <f t="shared" si="28"/>
        <v>-41</v>
      </c>
      <c r="F301" s="11">
        <f t="shared" si="29"/>
        <v>-11.132837233895728</v>
      </c>
      <c r="G301" s="11">
        <f t="shared" si="30"/>
        <v>-11.094768755959461</v>
      </c>
    </row>
    <row r="302" spans="5:7" x14ac:dyDescent="0.25">
      <c r="E302" s="11">
        <f t="shared" si="28"/>
        <v>-40</v>
      </c>
      <c r="F302" s="11">
        <f t="shared" si="29"/>
        <v>-10.93013370359245</v>
      </c>
      <c r="G302" s="11">
        <f t="shared" si="30"/>
        <v>-10.870456996661204</v>
      </c>
    </row>
    <row r="303" spans="5:7" x14ac:dyDescent="0.25">
      <c r="E303" s="11">
        <f t="shared" si="28"/>
        <v>-39</v>
      </c>
      <c r="F303" s="11">
        <f t="shared" si="29"/>
        <v>-10.725577551550119</v>
      </c>
      <c r="G303" s="11">
        <f t="shared" si="30"/>
        <v>-10.644444608768771</v>
      </c>
    </row>
    <row r="304" spans="5:7" x14ac:dyDescent="0.25">
      <c r="E304" s="11">
        <f t="shared" si="28"/>
        <v>-38</v>
      </c>
      <c r="F304" s="11">
        <f t="shared" si="29"/>
        <v>-10.519084122084973</v>
      </c>
      <c r="G304" s="11">
        <f t="shared" si="30"/>
        <v>-10.416862287046616</v>
      </c>
    </row>
    <row r="305" spans="5:7" x14ac:dyDescent="0.25">
      <c r="E305" s="11">
        <f t="shared" si="28"/>
        <v>-37</v>
      </c>
      <c r="F305" s="11">
        <f t="shared" si="29"/>
        <v>-10.310561827848625</v>
      </c>
      <c r="G305" s="11">
        <f t="shared" si="30"/>
        <v>-10.187840726259193</v>
      </c>
    </row>
    <row r="306" spans="5:7" x14ac:dyDescent="0.25">
      <c r="E306" s="11">
        <f t="shared" si="28"/>
        <v>-36</v>
      </c>
      <c r="F306" s="11">
        <f t="shared" si="29"/>
        <v>-10.099912371270497</v>
      </c>
      <c r="G306" s="11">
        <f t="shared" si="30"/>
        <v>-9.9575106211709592</v>
      </c>
    </row>
    <row r="307" spans="5:7" x14ac:dyDescent="0.25">
      <c r="E307" s="11">
        <f t="shared" si="28"/>
        <v>-35</v>
      </c>
      <c r="F307" s="11">
        <f t="shared" si="29"/>
        <v>-9.8870309994927741</v>
      </c>
      <c r="G307" s="11">
        <f t="shared" si="30"/>
        <v>-9.7260026665463659</v>
      </c>
    </row>
    <row r="308" spans="5:7" x14ac:dyDescent="0.25">
      <c r="E308" s="11">
        <f t="shared" si="28"/>
        <v>-34</v>
      </c>
      <c r="F308" s="11">
        <f t="shared" si="29"/>
        <v>-9.6718067924253432</v>
      </c>
      <c r="G308" s="11">
        <f t="shared" si="30"/>
        <v>-9.4934475571498709</v>
      </c>
    </row>
    <row r="309" spans="5:7" x14ac:dyDescent="0.25">
      <c r="E309" s="11">
        <f t="shared" si="28"/>
        <v>-33</v>
      </c>
      <c r="F309" s="11">
        <f t="shared" si="29"/>
        <v>-9.4541229834789018</v>
      </c>
      <c r="G309" s="11">
        <f t="shared" si="30"/>
        <v>-9.2599759877459267</v>
      </c>
    </row>
    <row r="310" spans="5:7" x14ac:dyDescent="0.25">
      <c r="E310" s="11">
        <f t="shared" si="28"/>
        <v>-32</v>
      </c>
      <c r="F310" s="11">
        <f t="shared" si="29"/>
        <v>-9.2338573124652523</v>
      </c>
      <c r="G310" s="11">
        <f t="shared" si="30"/>
        <v>-9.0257186530989895</v>
      </c>
    </row>
    <row r="311" spans="5:7" x14ac:dyDescent="0.25">
      <c r="E311" s="11">
        <f t="shared" si="28"/>
        <v>-31</v>
      </c>
      <c r="F311" s="11">
        <f t="shared" si="29"/>
        <v>-9.0108824100846565</v>
      </c>
      <c r="G311" s="11">
        <f t="shared" si="30"/>
        <v>-8.7908062479735118</v>
      </c>
    </row>
    <row r="312" spans="5:7" x14ac:dyDescent="0.25">
      <c r="E312" s="11">
        <f t="shared" si="28"/>
        <v>-30</v>
      </c>
      <c r="F312" s="11">
        <f t="shared" si="29"/>
        <v>-8.7850662133508681</v>
      </c>
      <c r="G312" s="11">
        <f t="shared" si="30"/>
        <v>-8.5553694671339517</v>
      </c>
    </row>
    <row r="313" spans="5:7" x14ac:dyDescent="0.25">
      <c r="E313" s="11">
        <f t="shared" si="28"/>
        <v>-29</v>
      </c>
      <c r="F313" s="11">
        <f t="shared" si="29"/>
        <v>-8.5562724112353052</v>
      </c>
      <c r="G313" s="11">
        <f t="shared" si="30"/>
        <v>-8.3194687580348869</v>
      </c>
    </row>
    <row r="314" spans="5:7" x14ac:dyDescent="0.25">
      <c r="E314" s="11">
        <f t="shared" si="28"/>
        <v>-28</v>
      </c>
      <c r="F314" s="11">
        <f t="shared" si="29"/>
        <v>-8.3243609197426895</v>
      </c>
      <c r="G314" s="11">
        <f t="shared" si="30"/>
        <v>-8.0828835788914049</v>
      </c>
    </row>
    <row r="315" spans="5:7" x14ac:dyDescent="0.25">
      <c r="E315" s="11">
        <f t="shared" si="28"/>
        <v>-27</v>
      </c>
      <c r="F315" s="11">
        <f t="shared" si="29"/>
        <v>-8.089188385561199</v>
      </c>
      <c r="G315" s="11">
        <f t="shared" si="30"/>
        <v>-7.8453231406087154</v>
      </c>
    </row>
    <row r="316" spans="5:7" x14ac:dyDescent="0.25">
      <c r="E316" s="11">
        <f t="shared" si="28"/>
        <v>-26</v>
      </c>
      <c r="F316" s="11">
        <f t="shared" si="29"/>
        <v>-7.8506087173610339</v>
      </c>
      <c r="G316" s="11">
        <f t="shared" si="30"/>
        <v>-7.6064966540920329</v>
      </c>
    </row>
    <row r="317" spans="5:7" x14ac:dyDescent="0.25">
      <c r="E317" s="11">
        <f t="shared" si="28"/>
        <v>-25</v>
      </c>
      <c r="F317" s="11">
        <f t="shared" si="29"/>
        <v>-7.6084736437461773</v>
      </c>
      <c r="G317" s="11">
        <f t="shared" si="30"/>
        <v>-7.3661133302465664</v>
      </c>
    </row>
    <row r="318" spans="5:7" x14ac:dyDescent="0.25">
      <c r="E318" s="11">
        <f t="shared" si="28"/>
        <v>-24</v>
      </c>
      <c r="F318" s="11">
        <f t="shared" si="29"/>
        <v>-7.3626332967948063</v>
      </c>
      <c r="G318" s="11">
        <f t="shared" si="30"/>
        <v>-7.1238823799775277</v>
      </c>
    </row>
    <row r="319" spans="5:7" x14ac:dyDescent="0.25">
      <c r="E319" s="11">
        <f t="shared" si="28"/>
        <v>-23</v>
      </c>
      <c r="F319" s="11">
        <f t="shared" si="29"/>
        <v>-7.1129368200547516</v>
      </c>
      <c r="G319" s="11">
        <f t="shared" si="30"/>
        <v>-6.8795130141901319</v>
      </c>
    </row>
    <row r="320" spans="5:7" x14ac:dyDescent="0.25">
      <c r="E320" s="11">
        <f t="shared" si="28"/>
        <v>-22</v>
      </c>
      <c r="F320" s="11">
        <f t="shared" si="29"/>
        <v>-6.8592329997911516</v>
      </c>
      <c r="G320" s="11">
        <f t="shared" si="30"/>
        <v>-6.6327144437895882</v>
      </c>
    </row>
    <row r="321" spans="5:7" x14ac:dyDescent="0.25">
      <c r="E321" s="11">
        <f t="shared" si="28"/>
        <v>-21</v>
      </c>
      <c r="F321" s="11">
        <f t="shared" si="29"/>
        <v>-6.6013709182142746</v>
      </c>
      <c r="G321" s="11">
        <f t="shared" si="30"/>
        <v>-6.3831958796811099</v>
      </c>
    </row>
    <row r="322" spans="5:7" x14ac:dyDescent="0.25">
      <c r="E322" s="11">
        <f t="shared" si="28"/>
        <v>-20</v>
      </c>
      <c r="F322" s="11">
        <f t="shared" si="29"/>
        <v>-6.33920062734627</v>
      </c>
      <c r="G322" s="11">
        <f t="shared" si="30"/>
        <v>-6.130666532769907</v>
      </c>
    </row>
    <row r="323" spans="5:7" x14ac:dyDescent="0.25">
      <c r="E323" s="11">
        <f t="shared" si="28"/>
        <v>-19</v>
      </c>
      <c r="F323" s="11">
        <f t="shared" si="29"/>
        <v>-6.0725738421165225</v>
      </c>
      <c r="G323" s="11">
        <f t="shared" si="30"/>
        <v>-5.8748356139611921</v>
      </c>
    </row>
    <row r="324" spans="5:7" x14ac:dyDescent="0.25">
      <c r="E324" s="11">
        <f t="shared" si="28"/>
        <v>-18</v>
      </c>
      <c r="F324" s="11">
        <f t="shared" si="29"/>
        <v>-5.8013446512059197</v>
      </c>
      <c r="G324" s="11">
        <f t="shared" si="30"/>
        <v>-5.615412334160176</v>
      </c>
    </row>
    <row r="325" spans="5:7" x14ac:dyDescent="0.25">
      <c r="E325" s="11">
        <f t="shared" si="28"/>
        <v>-17</v>
      </c>
      <c r="F325" s="11">
        <f t="shared" si="29"/>
        <v>-5.5253702440913539</v>
      </c>
      <c r="G325" s="11">
        <f t="shared" si="30"/>
        <v>-5.3521059042720722</v>
      </c>
    </row>
    <row r="326" spans="5:7" x14ac:dyDescent="0.25">
      <c r="E326" s="11">
        <f t="shared" si="28"/>
        <v>-16</v>
      </c>
      <c r="F326" s="11">
        <f t="shared" si="29"/>
        <v>-5.2445116526724398</v>
      </c>
      <c r="G326" s="11">
        <f t="shared" si="30"/>
        <v>-5.0846255352020933</v>
      </c>
    </row>
    <row r="327" spans="5:7" x14ac:dyDescent="0.25">
      <c r="E327" s="11">
        <f t="shared" si="28"/>
        <v>-15</v>
      </c>
      <c r="F327" s="11">
        <f t="shared" si="29"/>
        <v>-4.9586345057933396</v>
      </c>
      <c r="G327" s="11">
        <f t="shared" si="30"/>
        <v>-4.8126804378554482</v>
      </c>
    </row>
    <row r="328" spans="5:7" x14ac:dyDescent="0.25">
      <c r="E328" s="11">
        <f t="shared" si="28"/>
        <v>-14</v>
      </c>
      <c r="F328" s="11">
        <f t="shared" si="29"/>
        <v>-4.6676097949033251</v>
      </c>
      <c r="G328" s="11">
        <f t="shared" si="30"/>
        <v>-4.5359798231373496</v>
      </c>
    </row>
    <row r="329" spans="5:7" x14ac:dyDescent="0.25">
      <c r="E329" s="11">
        <f t="shared" si="28"/>
        <v>-13</v>
      </c>
      <c r="F329" s="11">
        <f t="shared" si="29"/>
        <v>-4.3713146490305945</v>
      </c>
      <c r="G329" s="11">
        <f t="shared" si="30"/>
        <v>-4.2542329019530101</v>
      </c>
    </row>
    <row r="330" spans="5:7" x14ac:dyDescent="0.25">
      <c r="E330" s="11">
        <f t="shared" si="28"/>
        <v>-12</v>
      </c>
      <c r="F330" s="11">
        <f t="shared" si="29"/>
        <v>-4.0696331171746181</v>
      </c>
      <c r="G330" s="11">
        <f t="shared" si="30"/>
        <v>-3.9671488852076409</v>
      </c>
    </row>
    <row r="331" spans="5:7" x14ac:dyDescent="0.25">
      <c r="E331" s="11">
        <f t="shared" si="28"/>
        <v>-11</v>
      </c>
      <c r="F331" s="11">
        <f t="shared" si="29"/>
        <v>-3.7624569561531325</v>
      </c>
      <c r="G331" s="11">
        <f t="shared" si="30"/>
        <v>-3.6744369838064541</v>
      </c>
    </row>
    <row r="332" spans="5:7" x14ac:dyDescent="0.25">
      <c r="E332" s="11">
        <f t="shared" si="28"/>
        <v>-10</v>
      </c>
      <c r="F332" s="11">
        <f t="shared" si="29"/>
        <v>-3.4496864218706893</v>
      </c>
      <c r="G332" s="11">
        <f t="shared" si="30"/>
        <v>-3.375806408654662</v>
      </c>
    </row>
    <row r="333" spans="5:7" x14ac:dyDescent="0.25">
      <c r="E333" s="11">
        <f t="shared" si="28"/>
        <v>-9</v>
      </c>
      <c r="F333" s="11">
        <f t="shared" si="29"/>
        <v>-3.1312310619065076</v>
      </c>
      <c r="G333" s="11">
        <f t="shared" si="30"/>
        <v>-3.0709663706574748</v>
      </c>
    </row>
    <row r="334" spans="5:7" x14ac:dyDescent="0.25">
      <c r="E334" s="11">
        <f t="shared" si="28"/>
        <v>-8</v>
      </c>
      <c r="F334" s="11">
        <f t="shared" si="29"/>
        <v>-2.8070105072501761</v>
      </c>
      <c r="G334" s="11">
        <f t="shared" si="30"/>
        <v>-2.7596260807201056</v>
      </c>
    </row>
    <row r="335" spans="5:7" x14ac:dyDescent="0.25">
      <c r="E335" s="11">
        <f t="shared" si="28"/>
        <v>-7</v>
      </c>
      <c r="F335" s="11">
        <f t="shared" si="29"/>
        <v>-2.4769552609445653</v>
      </c>
      <c r="G335" s="11">
        <f t="shared" si="30"/>
        <v>-2.4414947497477661</v>
      </c>
    </row>
    <row r="336" spans="5:7" x14ac:dyDescent="0.25">
      <c r="E336" s="11">
        <f t="shared" si="28"/>
        <v>-6</v>
      </c>
      <c r="F336" s="11">
        <f t="shared" si="29"/>
        <v>-2.14100748132612</v>
      </c>
      <c r="G336" s="11">
        <f t="shared" si="30"/>
        <v>-2.1162815886456672</v>
      </c>
    </row>
    <row r="337" spans="5:7" x14ac:dyDescent="0.25">
      <c r="E337" s="11">
        <f t="shared" si="28"/>
        <v>-5</v>
      </c>
      <c r="F337" s="11">
        <f t="shared" si="29"/>
        <v>-1.799121757483531</v>
      </c>
      <c r="G337" s="11">
        <f t="shared" si="30"/>
        <v>-1.7836958083190217</v>
      </c>
    </row>
    <row r="338" spans="5:7" x14ac:dyDescent="0.25">
      <c r="E338" s="11">
        <f t="shared" si="28"/>
        <v>-4</v>
      </c>
      <c r="F338" s="11">
        <f t="shared" si="29"/>
        <v>-1.451265874486583</v>
      </c>
      <c r="G338" s="11">
        <f t="shared" si="30"/>
        <v>-1.4434466196730404</v>
      </c>
    </row>
    <row r="339" spans="5:7" x14ac:dyDescent="0.25">
      <c r="E339" s="11">
        <f t="shared" si="28"/>
        <v>-3</v>
      </c>
      <c r="F339" s="11">
        <f t="shared" si="29"/>
        <v>-1.0974215658677939</v>
      </c>
      <c r="G339" s="11">
        <f t="shared" si="30"/>
        <v>-1.0952432336129361</v>
      </c>
    </row>
    <row r="340" spans="5:7" x14ac:dyDescent="0.25">
      <c r="E340" s="11">
        <f t="shared" si="28"/>
        <v>-2</v>
      </c>
      <c r="F340" s="11">
        <f t="shared" si="29"/>
        <v>-0.73758525077027925</v>
      </c>
      <c r="G340" s="11">
        <f t="shared" si="30"/>
        <v>-0.73879486104392023</v>
      </c>
    </row>
    <row r="341" spans="5:7" x14ac:dyDescent="0.25">
      <c r="E341" s="11">
        <f t="shared" si="28"/>
        <v>-1</v>
      </c>
      <c r="F341" s="11">
        <f t="shared" si="29"/>
        <v>-0.37176875310607704</v>
      </c>
      <c r="G341" s="11">
        <f t="shared" si="30"/>
        <v>-0.37381071287120404</v>
      </c>
    </row>
    <row r="342" spans="5:7" x14ac:dyDescent="0.25">
      <c r="E342" s="11">
        <f t="shared" si="28"/>
        <v>0</v>
      </c>
      <c r="F342" s="11">
        <f t="shared" si="29"/>
        <v>0</v>
      </c>
      <c r="G342" s="11">
        <f t="shared" si="30"/>
        <v>0</v>
      </c>
    </row>
    <row r="343" spans="5:7" x14ac:dyDescent="0.25">
      <c r="E343" s="11">
        <f t="shared" si="28"/>
        <v>1</v>
      </c>
      <c r="F343" s="11">
        <f t="shared" si="29"/>
        <v>0.37767630327512502</v>
      </c>
      <c r="G343" s="11">
        <f t="shared" si="30"/>
        <v>0.38279519745448343</v>
      </c>
    </row>
    <row r="344" spans="5:7" x14ac:dyDescent="0.25">
      <c r="E344" s="11">
        <f t="shared" si="28"/>
        <v>2</v>
      </c>
      <c r="F344" s="11">
        <f t="shared" si="29"/>
        <v>0.76119802473514098</v>
      </c>
      <c r="G344" s="11">
        <f t="shared" si="30"/>
        <v>0.77420132253705365</v>
      </c>
    </row>
    <row r="345" spans="5:7" x14ac:dyDescent="0.25">
      <c r="E345" s="11">
        <f t="shared" si="28"/>
        <v>3</v>
      </c>
      <c r="F345" s="11">
        <f t="shared" si="29"/>
        <v>1.1504849864256734</v>
      </c>
      <c r="G345" s="11">
        <f t="shared" si="30"/>
        <v>1.1737119490825194</v>
      </c>
    </row>
    <row r="346" spans="5:7" x14ac:dyDescent="0.25">
      <c r="E346" s="11">
        <f t="shared" si="28"/>
        <v>4</v>
      </c>
      <c r="F346" s="11">
        <f t="shared" si="29"/>
        <v>1.5454383774693623</v>
      </c>
      <c r="G346" s="11">
        <f t="shared" si="30"/>
        <v>1.5808206509256908</v>
      </c>
    </row>
    <row r="347" spans="5:7" x14ac:dyDescent="0.25">
      <c r="E347" s="11">
        <f t="shared" si="28"/>
        <v>5</v>
      </c>
      <c r="F347" s="11">
        <f t="shared" si="29"/>
        <v>1.9459402024900863</v>
      </c>
      <c r="G347" s="11">
        <f t="shared" si="30"/>
        <v>1.9950210019013763</v>
      </c>
    </row>
    <row r="348" spans="5:7" x14ac:dyDescent="0.25">
      <c r="E348" s="11">
        <f t="shared" si="28"/>
        <v>6</v>
      </c>
      <c r="F348" s="11">
        <f t="shared" si="29"/>
        <v>2.3518527685542474</v>
      </c>
      <c r="G348" s="11">
        <f t="shared" si="30"/>
        <v>2.4158065758443872</v>
      </c>
    </row>
    <row r="349" spans="5:7" x14ac:dyDescent="0.25">
      <c r="E349" s="11">
        <f t="shared" si="28"/>
        <v>7</v>
      </c>
      <c r="F349" s="11">
        <f t="shared" si="29"/>
        <v>2.7630182138383588</v>
      </c>
      <c r="G349" s="11">
        <f t="shared" si="30"/>
        <v>2.842670946589533</v>
      </c>
    </row>
    <row r="350" spans="5:7" x14ac:dyDescent="0.25">
      <c r="E350" s="11">
        <f t="shared" si="28"/>
        <v>8</v>
      </c>
      <c r="F350" s="11">
        <f t="shared" si="29"/>
        <v>3.1792580813013798</v>
      </c>
      <c r="G350" s="11">
        <f t="shared" si="30"/>
        <v>3.2751076879716221</v>
      </c>
    </row>
    <row r="351" spans="5:7" x14ac:dyDescent="0.25">
      <c r="E351" s="11">
        <f t="shared" ref="E351:E414" si="31">E144</f>
        <v>9</v>
      </c>
      <c r="F351" s="11">
        <f t="shared" ref="F351:F414" si="32">$H$217*0+E351*$I$217+E351^2*$J$217+E351^3*$K$217+E351^4*$L$217+E351^5*$M$217+E351^6*$N$217+E351^7*$O$217+E351^8*$P$217</f>
        <v>3.6003729407094087</v>
      </c>
      <c r="G351" s="11">
        <f t="shared" ref="G351:G414" si="33">F144</f>
        <v>3.7126103738254645</v>
      </c>
    </row>
    <row r="352" spans="5:7" x14ac:dyDescent="0.25">
      <c r="E352" s="11">
        <f t="shared" si="31"/>
        <v>10</v>
      </c>
      <c r="F352" s="11">
        <f t="shared" si="32"/>
        <v>4.0261420624295594</v>
      </c>
      <c r="G352" s="11">
        <f t="shared" si="33"/>
        <v>4.1546725779858704</v>
      </c>
    </row>
    <row r="353" spans="5:7" x14ac:dyDescent="0.25">
      <c r="E353" s="11">
        <f t="shared" si="31"/>
        <v>11</v>
      </c>
      <c r="F353" s="11">
        <f t="shared" si="32"/>
        <v>4.456323146478999</v>
      </c>
      <c r="G353" s="11">
        <f t="shared" si="33"/>
        <v>4.6007878742876507</v>
      </c>
    </row>
    <row r="354" spans="5:7" x14ac:dyDescent="0.25">
      <c r="E354" s="11">
        <f t="shared" si="31"/>
        <v>12</v>
      </c>
      <c r="F354" s="11">
        <f t="shared" si="32"/>
        <v>4.8906521103843374</v>
      </c>
      <c r="G354" s="11">
        <f t="shared" si="33"/>
        <v>5.0504498365656119</v>
      </c>
    </row>
    <row r="355" spans="5:7" x14ac:dyDescent="0.25">
      <c r="E355" s="11">
        <f t="shared" si="31"/>
        <v>13</v>
      </c>
      <c r="F355" s="11">
        <f t="shared" si="32"/>
        <v>5.3288429394757451</v>
      </c>
      <c r="G355" s="11">
        <f t="shared" si="33"/>
        <v>5.5031520386545658</v>
      </c>
    </row>
    <row r="356" spans="5:7" x14ac:dyDescent="0.25">
      <c r="E356" s="11">
        <f t="shared" si="31"/>
        <v>14</v>
      </c>
      <c r="F356" s="11">
        <f t="shared" si="32"/>
        <v>5.7705876033093348</v>
      </c>
      <c r="G356" s="11">
        <f t="shared" si="33"/>
        <v>5.9583880543893226</v>
      </c>
    </row>
    <row r="357" spans="5:7" x14ac:dyDescent="0.25">
      <c r="E357" s="11">
        <f t="shared" si="31"/>
        <v>15</v>
      </c>
      <c r="F357" s="11">
        <f t="shared" si="32"/>
        <v>6.215556041980566</v>
      </c>
      <c r="G357" s="11">
        <f t="shared" si="33"/>
        <v>6.4156514576046906</v>
      </c>
    </row>
    <row r="358" spans="5:7" x14ac:dyDescent="0.25">
      <c r="E358" s="11">
        <f t="shared" si="31"/>
        <v>16</v>
      </c>
      <c r="F358" s="11">
        <f t="shared" si="32"/>
        <v>6.6633962261605983</v>
      </c>
      <c r="G358" s="11">
        <f t="shared" si="33"/>
        <v>6.8744358221354798</v>
      </c>
    </row>
    <row r="359" spans="5:7" x14ac:dyDescent="0.25">
      <c r="E359" s="11">
        <f t="shared" si="31"/>
        <v>17</v>
      </c>
      <c r="F359" s="11">
        <f t="shared" si="32"/>
        <v>7.1137342947566857</v>
      </c>
      <c r="G359" s="11">
        <f t="shared" si="33"/>
        <v>7.3342347218165003</v>
      </c>
    </row>
    <row r="360" spans="5:7" x14ac:dyDescent="0.25">
      <c r="E360" s="11">
        <f t="shared" si="31"/>
        <v>18</v>
      </c>
      <c r="F360" s="11">
        <f t="shared" si="32"/>
        <v>7.5661747741669636</v>
      </c>
      <c r="G360" s="11">
        <f t="shared" si="33"/>
        <v>7.7945417304825604</v>
      </c>
    </row>
    <row r="361" spans="5:7" x14ac:dyDescent="0.25">
      <c r="E361" s="11">
        <f t="shared" si="31"/>
        <v>19</v>
      </c>
      <c r="F361" s="11">
        <f t="shared" si="32"/>
        <v>8.0203008831690443</v>
      </c>
      <c r="G361" s="11">
        <f t="shared" si="33"/>
        <v>8.254850421968472</v>
      </c>
    </row>
    <row r="362" spans="5:7" x14ac:dyDescent="0.25">
      <c r="E362" s="11">
        <f t="shared" si="31"/>
        <v>20</v>
      </c>
      <c r="F362" s="11">
        <f t="shared" si="32"/>
        <v>8.4756749275511805</v>
      </c>
      <c r="G362" s="11">
        <f t="shared" si="33"/>
        <v>8.7146543701090415</v>
      </c>
    </row>
    <row r="363" spans="5:7" x14ac:dyDescent="0.25">
      <c r="E363" s="11">
        <f t="shared" si="31"/>
        <v>21</v>
      </c>
      <c r="F363" s="11">
        <f t="shared" si="32"/>
        <v>8.9318387886637538</v>
      </c>
      <c r="G363" s="11">
        <f t="shared" si="33"/>
        <v>9.1734471487390845</v>
      </c>
    </row>
    <row r="364" spans="5:7" x14ac:dyDescent="0.25">
      <c r="E364" s="11">
        <f t="shared" si="31"/>
        <v>22</v>
      </c>
      <c r="F364" s="11">
        <f t="shared" si="32"/>
        <v>9.3883145101382564</v>
      </c>
      <c r="G364" s="11">
        <f t="shared" si="33"/>
        <v>9.6307223316934056</v>
      </c>
    </row>
    <row r="365" spans="5:7" x14ac:dyDescent="0.25">
      <c r="E365" s="11">
        <f t="shared" si="31"/>
        <v>23</v>
      </c>
      <c r="F365" s="11">
        <f t="shared" si="32"/>
        <v>9.8446049870899071</v>
      </c>
      <c r="G365" s="11">
        <f t="shared" si="33"/>
        <v>10.085973492806815</v>
      </c>
    </row>
    <row r="366" spans="5:7" x14ac:dyDescent="0.25">
      <c r="E366" s="11">
        <f t="shared" si="31"/>
        <v>24</v>
      </c>
      <c r="F366" s="11">
        <f t="shared" si="32"/>
        <v>10.300194762189321</v>
      </c>
      <c r="G366" s="11">
        <f t="shared" si="33"/>
        <v>10.538694205914123</v>
      </c>
    </row>
    <row r="367" spans="5:7" x14ac:dyDescent="0.25">
      <c r="E367" s="11">
        <f t="shared" si="31"/>
        <v>25</v>
      </c>
      <c r="F367" s="11">
        <f t="shared" si="32"/>
        <v>10.754550933057946</v>
      </c>
      <c r="G367" s="11">
        <f t="shared" si="33"/>
        <v>10.988378044850137</v>
      </c>
    </row>
    <row r="368" spans="5:7" x14ac:dyDescent="0.25">
      <c r="E368" s="11">
        <f t="shared" si="31"/>
        <v>26</v>
      </c>
      <c r="F368" s="11">
        <f t="shared" si="32"/>
        <v>11.207124175510904</v>
      </c>
      <c r="G368" s="11">
        <f t="shared" si="33"/>
        <v>11.434518583449671</v>
      </c>
    </row>
    <row r="369" spans="5:7" x14ac:dyDescent="0.25">
      <c r="E369" s="11">
        <f t="shared" si="31"/>
        <v>27</v>
      </c>
      <c r="F369" s="11">
        <f t="shared" si="32"/>
        <v>11.657349887240363</v>
      </c>
      <c r="G369" s="11">
        <f t="shared" si="33"/>
        <v>11.876609395547533</v>
      </c>
    </row>
    <row r="370" spans="5:7" x14ac:dyDescent="0.25">
      <c r="E370" s="11">
        <f t="shared" si="31"/>
        <v>28</v>
      </c>
      <c r="F370" s="11">
        <f t="shared" si="32"/>
        <v>12.104649456601493</v>
      </c>
      <c r="G370" s="11">
        <f t="shared" si="33"/>
        <v>12.314144054978534</v>
      </c>
    </row>
    <row r="371" spans="5:7" x14ac:dyDescent="0.25">
      <c r="E371" s="11">
        <f t="shared" si="31"/>
        <v>29</v>
      </c>
      <c r="F371" s="11">
        <f t="shared" si="32"/>
        <v>12.548431661232431</v>
      </c>
      <c r="G371" s="11">
        <f t="shared" si="33"/>
        <v>12.746616135577479</v>
      </c>
    </row>
    <row r="372" spans="5:7" x14ac:dyDescent="0.25">
      <c r="E372" s="11">
        <f t="shared" si="31"/>
        <v>30</v>
      </c>
      <c r="F372" s="11">
        <f t="shared" si="32"/>
        <v>12.988094201308764</v>
      </c>
      <c r="G372" s="11">
        <f t="shared" si="33"/>
        <v>13.173519211179183</v>
      </c>
    </row>
    <row r="373" spans="5:7" x14ac:dyDescent="0.25">
      <c r="E373" s="11">
        <f t="shared" si="31"/>
        <v>31</v>
      </c>
      <c r="F373" s="11">
        <f t="shared" si="32"/>
        <v>13.423025372302265</v>
      </c>
      <c r="G373" s="11">
        <f t="shared" si="33"/>
        <v>13.594346855618452</v>
      </c>
    </row>
    <row r="374" spans="5:7" x14ac:dyDescent="0.25">
      <c r="E374" s="11">
        <f t="shared" si="31"/>
        <v>32</v>
      </c>
      <c r="F374" s="11">
        <f t="shared" si="32"/>
        <v>13.852605882182788</v>
      </c>
      <c r="G374" s="11">
        <f t="shared" si="33"/>
        <v>14.008592642730097</v>
      </c>
    </row>
    <row r="375" spans="5:7" x14ac:dyDescent="0.25">
      <c r="E375" s="11">
        <f t="shared" si="31"/>
        <v>33</v>
      </c>
      <c r="F375" s="11">
        <f t="shared" si="32"/>
        <v>14.276210818071428</v>
      </c>
      <c r="G375" s="11">
        <f t="shared" si="33"/>
        <v>14.415750146348929</v>
      </c>
    </row>
    <row r="376" spans="5:7" x14ac:dyDescent="0.25">
      <c r="E376" s="11">
        <f t="shared" si="31"/>
        <v>34</v>
      </c>
      <c r="F376" s="11">
        <f t="shared" si="32"/>
        <v>14.693211767422211</v>
      </c>
      <c r="G376" s="11">
        <f t="shared" si="33"/>
        <v>14.815312940309754</v>
      </c>
    </row>
    <row r="377" spans="5:7" x14ac:dyDescent="0.25">
      <c r="E377" s="11">
        <f t="shared" si="31"/>
        <v>35</v>
      </c>
      <c r="F377" s="11">
        <f t="shared" si="32"/>
        <v>15.102979098878846</v>
      </c>
      <c r="G377" s="11">
        <f t="shared" si="33"/>
        <v>15.206774598447385</v>
      </c>
    </row>
    <row r="378" spans="5:7" x14ac:dyDescent="0.25">
      <c r="E378" s="11">
        <f t="shared" si="31"/>
        <v>36</v>
      </c>
      <c r="F378" s="11">
        <f t="shared" si="32"/>
        <v>15.504884408022111</v>
      </c>
      <c r="G378" s="11">
        <f t="shared" si="33"/>
        <v>15.58962869459663</v>
      </c>
    </row>
    <row r="379" spans="5:7" x14ac:dyDescent="0.25">
      <c r="E379" s="11">
        <f t="shared" si="31"/>
        <v>37</v>
      </c>
      <c r="F379" s="11">
        <f t="shared" si="32"/>
        <v>15.898303133292774</v>
      </c>
      <c r="G379" s="11">
        <f t="shared" si="33"/>
        <v>15.963368802592301</v>
      </c>
    </row>
    <row r="380" spans="5:7" x14ac:dyDescent="0.25">
      <c r="E380" s="11">
        <f t="shared" si="31"/>
        <v>38</v>
      </c>
      <c r="F380" s="11">
        <f t="shared" si="32"/>
        <v>16.282617347444106</v>
      </c>
      <c r="G380" s="11">
        <f t="shared" si="33"/>
        <v>16.327488496269204</v>
      </c>
    </row>
    <row r="381" spans="5:7" x14ac:dyDescent="0.25">
      <c r="E381" s="11">
        <f t="shared" si="31"/>
        <v>39</v>
      </c>
      <c r="F381" s="11">
        <f t="shared" si="32"/>
        <v>16.657218729947093</v>
      </c>
      <c r="G381" s="11">
        <f t="shared" si="33"/>
        <v>16.681481349462153</v>
      </c>
    </row>
    <row r="382" spans="5:7" x14ac:dyDescent="0.25">
      <c r="E382" s="11">
        <f t="shared" si="31"/>
        <v>40</v>
      </c>
      <c r="F382" s="11">
        <f t="shared" si="32"/>
        <v>17.021511725840913</v>
      </c>
      <c r="G382" s="11">
        <f t="shared" si="33"/>
        <v>17.024840936005955</v>
      </c>
    </row>
    <row r="383" spans="5:7" x14ac:dyDescent="0.25">
      <c r="E383" s="11">
        <f t="shared" si="31"/>
        <v>41</v>
      </c>
      <c r="F383" s="11">
        <f t="shared" si="32"/>
        <v>17.374916896590126</v>
      </c>
      <c r="G383" s="11">
        <f t="shared" si="33"/>
        <v>17.357060829735421</v>
      </c>
    </row>
    <row r="384" spans="5:7" x14ac:dyDescent="0.25">
      <c r="E384" s="11">
        <f t="shared" si="31"/>
        <v>42</v>
      </c>
      <c r="F384" s="11">
        <f t="shared" si="32"/>
        <v>17.716874468579412</v>
      </c>
      <c r="G384" s="11">
        <f t="shared" si="33"/>
        <v>17.677634604485359</v>
      </c>
    </row>
    <row r="385" spans="5:7" x14ac:dyDescent="0.25">
      <c r="E385" s="11">
        <f t="shared" si="31"/>
        <v>43</v>
      </c>
      <c r="F385" s="11">
        <f t="shared" si="32"/>
        <v>18.046848084945864</v>
      </c>
      <c r="G385" s="11">
        <f t="shared" si="33"/>
        <v>17.986055834090578</v>
      </c>
    </row>
    <row r="386" spans="5:7" x14ac:dyDescent="0.25">
      <c r="E386" s="11">
        <f t="shared" si="31"/>
        <v>44</v>
      </c>
      <c r="F386" s="11">
        <f t="shared" si="32"/>
        <v>18.364328766517886</v>
      </c>
      <c r="G386" s="11">
        <f t="shared" si="33"/>
        <v>18.281818092385887</v>
      </c>
    </row>
    <row r="387" spans="5:7" x14ac:dyDescent="0.25">
      <c r="E387" s="11">
        <f t="shared" si="31"/>
        <v>45</v>
      </c>
      <c r="F387" s="11">
        <f t="shared" si="32"/>
        <v>18.668839087699162</v>
      </c>
      <c r="G387" s="11">
        <f t="shared" si="33"/>
        <v>18.5644149532061</v>
      </c>
    </row>
    <row r="388" spans="5:7" x14ac:dyDescent="0.25">
      <c r="E388" s="11">
        <f t="shared" si="31"/>
        <v>46</v>
      </c>
      <c r="F388" s="11">
        <f t="shared" si="32"/>
        <v>18.959937573205064</v>
      </c>
      <c r="G388" s="11">
        <f t="shared" si="33"/>
        <v>18.833489498668982</v>
      </c>
    </row>
    <row r="389" spans="5:7" x14ac:dyDescent="0.25">
      <c r="E389" s="11">
        <f t="shared" si="31"/>
        <v>47</v>
      </c>
      <c r="F389" s="11">
        <f t="shared" si="32"/>
        <v>19.237223321628388</v>
      </c>
      <c r="G389" s="11">
        <f t="shared" si="33"/>
        <v>19.089282844024158</v>
      </c>
    </row>
    <row r="390" spans="5:7" x14ac:dyDescent="0.25">
      <c r="E390" s="11">
        <f t="shared" si="31"/>
        <v>48</v>
      </c>
      <c r="F390" s="11">
        <f t="shared" si="32"/>
        <v>19.50034086188014</v>
      </c>
      <c r="G390" s="11">
        <f t="shared" si="33"/>
        <v>19.33218561280421</v>
      </c>
    </row>
    <row r="391" spans="5:7" x14ac:dyDescent="0.25">
      <c r="E391" s="11">
        <f t="shared" si="31"/>
        <v>49</v>
      </c>
      <c r="F391" s="11">
        <f t="shared" si="32"/>
        <v>19.74898524862061</v>
      </c>
      <c r="G391" s="11">
        <f t="shared" si="33"/>
        <v>19.562588428541705</v>
      </c>
    </row>
    <row r="392" spans="5:7" x14ac:dyDescent="0.25">
      <c r="E392" s="11">
        <f t="shared" si="31"/>
        <v>50</v>
      </c>
      <c r="F392" s="11">
        <f t="shared" si="32"/>
        <v>19.98290740286485</v>
      </c>
      <c r="G392" s="11">
        <f t="shared" si="33"/>
        <v>19.780881914769232</v>
      </c>
    </row>
    <row r="393" spans="5:7" x14ac:dyDescent="0.25">
      <c r="E393" s="11">
        <f t="shared" si="31"/>
        <v>51</v>
      </c>
      <c r="F393" s="11">
        <f t="shared" si="32"/>
        <v>20.201919704016191</v>
      </c>
      <c r="G393" s="11">
        <f t="shared" si="33"/>
        <v>19.987456695019368</v>
      </c>
    </row>
    <row r="394" spans="5:7" x14ac:dyDescent="0.25">
      <c r="E394" s="11">
        <f t="shared" si="31"/>
        <v>52</v>
      </c>
      <c r="F394" s="11">
        <f t="shared" si="32"/>
        <v>20.405901839650255</v>
      </c>
      <c r="G394" s="11">
        <f t="shared" si="33"/>
        <v>20.182703392824695</v>
      </c>
    </row>
    <row r="395" spans="5:7" x14ac:dyDescent="0.25">
      <c r="E395" s="11">
        <f t="shared" si="31"/>
        <v>53</v>
      </c>
      <c r="F395" s="11">
        <f t="shared" si="32"/>
        <v>20.594806919441478</v>
      </c>
      <c r="G395" s="11">
        <f t="shared" si="33"/>
        <v>20.367012631717792</v>
      </c>
    </row>
    <row r="396" spans="5:7" x14ac:dyDescent="0.25">
      <c r="E396" s="11">
        <f t="shared" si="31"/>
        <v>54</v>
      </c>
      <c r="F396" s="11">
        <f t="shared" si="32"/>
        <v>20.768667859692936</v>
      </c>
      <c r="G396" s="11">
        <f t="shared" si="33"/>
        <v>20.540775035231238</v>
      </c>
    </row>
    <row r="397" spans="5:7" x14ac:dyDescent="0.25">
      <c r="E397" s="11">
        <f t="shared" si="31"/>
        <v>55</v>
      </c>
      <c r="F397" s="11">
        <f t="shared" si="32"/>
        <v>20.927604044999963</v>
      </c>
      <c r="G397" s="11">
        <f t="shared" si="33"/>
        <v>20.70438122689761</v>
      </c>
    </row>
    <row r="398" spans="5:7" x14ac:dyDescent="0.25">
      <c r="E398" s="11">
        <f t="shared" si="31"/>
        <v>56</v>
      </c>
      <c r="F398" s="11">
        <f t="shared" si="32"/>
        <v>21.071828273646641</v>
      </c>
      <c r="G398" s="11">
        <f t="shared" si="33"/>
        <v>20.858221830249494</v>
      </c>
    </row>
    <row r="399" spans="5:7" x14ac:dyDescent="0.25">
      <c r="E399" s="11">
        <f t="shared" si="31"/>
        <v>57</v>
      </c>
      <c r="F399" s="11">
        <f t="shared" si="32"/>
        <v>21.201653993404044</v>
      </c>
      <c r="G399" s="11">
        <f t="shared" si="33"/>
        <v>21.002687468819463</v>
      </c>
    </row>
    <row r="400" spans="5:7" x14ac:dyDescent="0.25">
      <c r="E400" s="11">
        <f t="shared" si="31"/>
        <v>58</v>
      </c>
      <c r="F400" s="11">
        <f t="shared" si="32"/>
        <v>21.31750283446765</v>
      </c>
      <c r="G400" s="11">
        <f t="shared" si="33"/>
        <v>21.138168766140097</v>
      </c>
    </row>
    <row r="401" spans="5:7" x14ac:dyDescent="0.25">
      <c r="E401" s="11">
        <f t="shared" si="31"/>
        <v>59</v>
      </c>
      <c r="F401" s="11">
        <f t="shared" si="32"/>
        <v>21.4199124463413</v>
      </c>
      <c r="G401" s="11">
        <f t="shared" si="33"/>
        <v>21.265056345743982</v>
      </c>
    </row>
    <row r="402" spans="5:7" x14ac:dyDescent="0.25">
      <c r="E402" s="11">
        <f t="shared" si="31"/>
        <v>60</v>
      </c>
      <c r="F402" s="11">
        <f t="shared" si="32"/>
        <v>21.509544645543386</v>
      </c>
      <c r="G402" s="11">
        <f t="shared" si="33"/>
        <v>21.383740831163692</v>
      </c>
    </row>
    <row r="403" spans="5:7" x14ac:dyDescent="0.25">
      <c r="E403" s="11">
        <f t="shared" si="31"/>
        <v>61</v>
      </c>
      <c r="F403" s="11">
        <f t="shared" si="32"/>
        <v>21.58719388108095</v>
      </c>
      <c r="G403" s="11">
        <f t="shared" si="33"/>
        <v>21.494612845931808</v>
      </c>
    </row>
    <row r="404" spans="5:7" x14ac:dyDescent="0.25">
      <c r="E404" s="11">
        <f t="shared" si="31"/>
        <v>62</v>
      </c>
      <c r="F404" s="11">
        <f t="shared" si="32"/>
        <v>21.653796024705986</v>
      </c>
      <c r="G404" s="11">
        <f t="shared" si="33"/>
        <v>21.598063013580912</v>
      </c>
    </row>
    <row r="405" spans="5:7" x14ac:dyDescent="0.25">
      <c r="E405" s="11">
        <f t="shared" si="31"/>
        <v>63</v>
      </c>
      <c r="F405" s="11">
        <f t="shared" si="32"/>
        <v>21.710437493037773</v>
      </c>
      <c r="G405" s="11">
        <f t="shared" si="33"/>
        <v>21.694481957643582</v>
      </c>
    </row>
    <row r="406" spans="5:7" x14ac:dyDescent="0.25">
      <c r="E406" s="11">
        <f t="shared" si="31"/>
        <v>64</v>
      </c>
      <c r="F406" s="11">
        <f t="shared" si="32"/>
        <v>21.758364708704004</v>
      </c>
      <c r="G406" s="11">
        <f t="shared" si="33"/>
        <v>21.784260301652395</v>
      </c>
    </row>
    <row r="407" spans="5:7" x14ac:dyDescent="0.25">
      <c r="E407" s="11">
        <f t="shared" si="31"/>
        <v>65</v>
      </c>
      <c r="F407" s="11">
        <f t="shared" si="32"/>
        <v>21.798993907722895</v>
      </c>
      <c r="G407" s="11">
        <f t="shared" si="33"/>
        <v>21.867788669139934</v>
      </c>
    </row>
    <row r="408" spans="5:7" x14ac:dyDescent="0.25">
      <c r="E408" s="11">
        <f t="shared" si="31"/>
        <v>66</v>
      </c>
      <c r="F408" s="11">
        <f t="shared" si="32"/>
        <v>21.833921300417384</v>
      </c>
      <c r="G408" s="11">
        <f t="shared" si="33"/>
        <v>21.945457683638779</v>
      </c>
    </row>
    <row r="409" spans="5:7" x14ac:dyDescent="0.25">
      <c r="E409" s="11">
        <f t="shared" si="31"/>
        <v>67</v>
      </c>
      <c r="F409" s="11">
        <f t="shared" si="32"/>
        <v>21.864933593222048</v>
      </c>
      <c r="G409" s="11">
        <f t="shared" si="33"/>
        <v>22.017657968681508</v>
      </c>
    </row>
    <row r="410" spans="5:7" x14ac:dyDescent="0.25">
      <c r="E410" s="11">
        <f t="shared" si="31"/>
        <v>68</v>
      </c>
      <c r="F410" s="11">
        <f t="shared" si="32"/>
        <v>21.894018878812226</v>
      </c>
      <c r="G410" s="11">
        <f t="shared" si="33"/>
        <v>22.084780147800704</v>
      </c>
    </row>
    <row r="411" spans="5:7" x14ac:dyDescent="0.25">
      <c r="E411" s="11">
        <f t="shared" si="31"/>
        <v>69</v>
      </c>
      <c r="F411" s="11">
        <f t="shared" si="32"/>
        <v>21.923377902054149</v>
      </c>
      <c r="G411" s="11">
        <f t="shared" si="33"/>
        <v>22.147214844528939</v>
      </c>
    </row>
    <row r="412" spans="5:7" x14ac:dyDescent="0.25">
      <c r="E412" s="11">
        <f t="shared" si="31"/>
        <v>70</v>
      </c>
      <c r="F412" s="11">
        <f t="shared" si="32"/>
        <v>21.955435709344247</v>
      </c>
      <c r="G412" s="11">
        <f t="shared" si="33"/>
        <v>22.205352682398797</v>
      </c>
    </row>
    <row r="413" spans="5:7" x14ac:dyDescent="0.25">
      <c r="E413" s="11">
        <f t="shared" si="31"/>
        <v>71</v>
      </c>
      <c r="F413" s="11">
        <f t="shared" si="32"/>
        <v>21.992853688974563</v>
      </c>
      <c r="G413" s="11">
        <f t="shared" si="33"/>
        <v>22.259584284942864</v>
      </c>
    </row>
    <row r="414" spans="5:7" x14ac:dyDescent="0.25">
      <c r="E414" s="11">
        <f t="shared" si="31"/>
        <v>72</v>
      </c>
      <c r="F414" s="11">
        <f t="shared" si="32"/>
        <v>22.038542010230927</v>
      </c>
      <c r="G414" s="11">
        <f t="shared" si="33"/>
        <v>22.310300275693713</v>
      </c>
    </row>
    <row r="415" spans="5:7" x14ac:dyDescent="0.25">
      <c r="E415" s="11">
        <f t="shared" ref="E415:E422" si="34">E208</f>
        <v>73</v>
      </c>
      <c r="F415" s="11">
        <f t="shared" ref="F415:F422" si="35">$H$217*0+E415*$I$217+E415^2*$J$217+E415^3*$K$217+E415^4*$L$217+E415^5*$M$217+E415^6*$N$217+E415^7*$O$217+E415^8*$P$217</f>
        <v>22.095672468999179</v>
      </c>
      <c r="G415" s="11">
        <f t="shared" ref="G415:G422" si="36">F208</f>
        <v>22.357891278183921</v>
      </c>
    </row>
    <row r="416" spans="5:7" x14ac:dyDescent="0.25">
      <c r="E416" s="11">
        <f t="shared" si="34"/>
        <v>74</v>
      </c>
      <c r="F416" s="11">
        <f t="shared" si="35"/>
        <v>22.167691747724458</v>
      </c>
      <c r="G416" s="11">
        <f t="shared" si="36"/>
        <v>22.402747915946073</v>
      </c>
    </row>
    <row r="417" spans="5:7" x14ac:dyDescent="0.25">
      <c r="E417" s="11">
        <f t="shared" si="34"/>
        <v>75</v>
      </c>
      <c r="F417" s="11">
        <f t="shared" si="35"/>
        <v>22.258335097637225</v>
      </c>
      <c r="G417" s="11">
        <f t="shared" si="36"/>
        <v>22.445260812512746</v>
      </c>
    </row>
    <row r="418" spans="5:7" x14ac:dyDescent="0.25">
      <c r="E418" s="11">
        <f t="shared" si="34"/>
        <v>76</v>
      </c>
      <c r="F418" s="11">
        <f t="shared" si="35"/>
        <v>22.371640451229378</v>
      </c>
      <c r="G418" s="11">
        <f t="shared" si="36"/>
        <v>22.485820591416523</v>
      </c>
    </row>
    <row r="419" spans="5:7" x14ac:dyDescent="0.25">
      <c r="E419" s="11">
        <f t="shared" si="34"/>
        <v>77</v>
      </c>
      <c r="F419" s="11">
        <f t="shared" si="35"/>
        <v>22.511962973032535</v>
      </c>
      <c r="G419" s="11">
        <f t="shared" si="36"/>
        <v>22.524817876189978</v>
      </c>
    </row>
    <row r="420" spans="5:7" x14ac:dyDescent="0.25">
      <c r="E420" s="11">
        <f t="shared" si="34"/>
        <v>78</v>
      </c>
      <c r="F420" s="11">
        <f t="shared" si="35"/>
        <v>22.683990056820264</v>
      </c>
      <c r="G420" s="11">
        <f t="shared" si="36"/>
        <v>22.562643290365692</v>
      </c>
    </row>
    <row r="421" spans="5:7" x14ac:dyDescent="0.25">
      <c r="E421" s="11">
        <f t="shared" si="34"/>
        <v>79</v>
      </c>
      <c r="F421" s="11">
        <f t="shared" si="35"/>
        <v>22.892756777424562</v>
      </c>
      <c r="G421" s="11">
        <f t="shared" si="36"/>
        <v>22.599687457476254</v>
      </c>
    </row>
    <row r="422" spans="5:7" x14ac:dyDescent="0.25">
      <c r="E422" s="11">
        <f t="shared" si="34"/>
        <v>80</v>
      </c>
      <c r="F422" s="11">
        <f t="shared" si="35"/>
        <v>23.143661805426913</v>
      </c>
      <c r="G422" s="11">
        <f t="shared" si="36"/>
        <v>22.636341001054234</v>
      </c>
    </row>
  </sheetData>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O3" sqref="O3"/>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116</v>
      </c>
      <c r="N1" s="1" t="s">
        <v>39</v>
      </c>
      <c r="O1" s="3" t="s">
        <v>115</v>
      </c>
      <c r="P1" s="28" t="s">
        <v>116</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-4.7899999999999999E-6</v>
      </c>
      <c r="C3" s="2">
        <v>1.373E-4</v>
      </c>
      <c r="D3" s="2">
        <v>-4.0929999999999997E-4</v>
      </c>
      <c r="E3" s="2">
        <v>0</v>
      </c>
      <c r="F3" s="2">
        <v>0</v>
      </c>
      <c r="G3" s="2">
        <v>0</v>
      </c>
      <c r="H3" s="2">
        <v>3.078349E-5</v>
      </c>
      <c r="I3" s="2">
        <v>1.2420122999999999E-5</v>
      </c>
      <c r="J3" s="2">
        <v>-8.6828621000000002E-5</v>
      </c>
      <c r="K3" s="3"/>
      <c r="L3" s="3">
        <f>-B3/D3</f>
        <v>-1.1702907402882972E-2</v>
      </c>
      <c r="M3" s="3"/>
      <c r="N3" s="2">
        <f>IF('Modell einstellen'!$B$1="Voll",H3/0.35,H3/0.35*2)</f>
        <v>1.7590565714285716E-4</v>
      </c>
      <c r="O3" s="2">
        <f>IF('Modell einstellen'!$B$1="Voll",J3/0.35,J3/0.35*2)</f>
        <v>-4.9616354857142861E-4</v>
      </c>
      <c r="P3" s="3">
        <f>-N3/O3</f>
        <v>0.35453160081858259</v>
      </c>
      <c r="Q3" s="3"/>
      <c r="R3" s="3"/>
      <c r="S3" s="3"/>
      <c r="T3" s="3"/>
      <c r="U3" s="3"/>
      <c r="V3" s="3"/>
      <c r="W3" s="3"/>
    </row>
    <row r="4" spans="1:23" x14ac:dyDescent="0.25">
      <c r="A4" s="2">
        <v>1E-14</v>
      </c>
      <c r="B4" s="2">
        <v>-4.7999999999999998E-6</v>
      </c>
      <c r="C4" s="2">
        <v>1.373E-4</v>
      </c>
      <c r="D4" s="2">
        <v>-4.0929999999999997E-4</v>
      </c>
      <c r="E4" s="2">
        <v>0</v>
      </c>
      <c r="F4" s="2">
        <v>0</v>
      </c>
      <c r="G4" s="2">
        <v>0</v>
      </c>
      <c r="H4" s="2">
        <v>3.0783586000000003E-5</v>
      </c>
      <c r="I4" s="2">
        <v>1.2421109E-5</v>
      </c>
      <c r="J4" s="2">
        <v>-8.6827311000000005E-5</v>
      </c>
      <c r="K4" s="3"/>
      <c r="L4" s="3">
        <f t="shared" ref="L4:L33" si="0">-B4/D4</f>
        <v>-1.1727339359882728E-2</v>
      </c>
      <c r="M4" s="3"/>
      <c r="N4" s="2">
        <f>IF('Modell einstellen'!$B$1="Voll",H4/0.35,H4/0.35*2)</f>
        <v>1.7590620571428575E-4</v>
      </c>
      <c r="O4" s="2">
        <f>IF('Modell einstellen'!$B$1="Voll",J4/0.35,J4/0.35*2)</f>
        <v>-4.9615606285714287E-4</v>
      </c>
      <c r="P4" s="3">
        <f t="shared" ref="P4:P33" si="1">-N4/O4</f>
        <v>0.35453805542820516</v>
      </c>
      <c r="Q4" s="3"/>
      <c r="R4" s="3"/>
      <c r="S4" s="3"/>
      <c r="T4" s="3"/>
      <c r="U4" s="3"/>
      <c r="V4" s="3"/>
      <c r="W4" s="3"/>
    </row>
    <row r="5" spans="1:23" x14ac:dyDescent="0.25">
      <c r="A5" s="2">
        <v>1E-13</v>
      </c>
      <c r="B5" s="2">
        <v>-4.7979999999999996E-6</v>
      </c>
      <c r="C5" s="2">
        <v>1.373E-4</v>
      </c>
      <c r="D5" s="2">
        <v>-4.0929999999999997E-4</v>
      </c>
      <c r="E5" s="2">
        <v>0</v>
      </c>
      <c r="F5" s="2">
        <v>0</v>
      </c>
      <c r="G5" s="2">
        <v>0</v>
      </c>
      <c r="H5" s="2">
        <v>3.0783754999999998E-5</v>
      </c>
      <c r="I5" s="2">
        <v>1.2421265999999999E-5</v>
      </c>
      <c r="J5" s="2">
        <v>-8.6827770999999996E-5</v>
      </c>
      <c r="K5" s="3"/>
      <c r="L5" s="3">
        <f t="shared" si="0"/>
        <v>-1.1722452968482776E-2</v>
      </c>
      <c r="M5" s="3"/>
      <c r="N5" s="2">
        <f>IF('Modell einstellen'!$B$1="Voll",H5/0.35,H5/0.35*2)</f>
        <v>1.7590717142857142E-4</v>
      </c>
      <c r="O5" s="2">
        <f>IF('Modell einstellen'!$B$1="Voll",J5/0.35,J5/0.35*2)</f>
        <v>-4.9615869142857142E-4</v>
      </c>
      <c r="P5" s="3">
        <f t="shared" si="1"/>
        <v>0.35453812352271485</v>
      </c>
      <c r="Q5" s="3"/>
      <c r="R5" s="3"/>
      <c r="S5" s="3"/>
      <c r="T5" s="3"/>
      <c r="U5" s="3"/>
      <c r="V5" s="3"/>
      <c r="W5" s="3"/>
    </row>
    <row r="6" spans="1:23" x14ac:dyDescent="0.25">
      <c r="A6" s="2">
        <v>9.9999999999999998E-13</v>
      </c>
      <c r="B6" s="2">
        <v>-4.797E-6</v>
      </c>
      <c r="C6" s="2">
        <v>1.373E-4</v>
      </c>
      <c r="D6" s="2">
        <v>-4.0929999999999997E-4</v>
      </c>
      <c r="E6" s="2">
        <v>0</v>
      </c>
      <c r="F6" s="2">
        <v>0</v>
      </c>
      <c r="G6" s="2">
        <v>0</v>
      </c>
      <c r="H6" s="2">
        <v>3.0783798000000003E-5</v>
      </c>
      <c r="I6" s="2">
        <v>1.2421307999999999E-5</v>
      </c>
      <c r="J6" s="2">
        <v>-8.6827891000000005E-5</v>
      </c>
      <c r="K6" s="3"/>
      <c r="L6" s="3">
        <f t="shared" si="0"/>
        <v>-1.1720009772782801E-2</v>
      </c>
      <c r="M6" s="3"/>
      <c r="N6" s="2">
        <f>IF('Modell einstellen'!$B$1="Voll",H6/0.35,H6/0.35*2)</f>
        <v>1.7590741714285717E-4</v>
      </c>
      <c r="O6" s="2">
        <f>IF('Modell einstellen'!$B$1="Voll",J6/0.35,J6/0.35*2)</f>
        <v>-4.9615937714285723E-4</v>
      </c>
      <c r="P6" s="3">
        <f t="shared" si="1"/>
        <v>0.35453812876786328</v>
      </c>
      <c r="Q6" s="3"/>
      <c r="R6" s="3"/>
      <c r="S6" s="3"/>
      <c r="T6" s="3"/>
      <c r="U6" s="3"/>
      <c r="V6" s="3"/>
      <c r="W6" s="3"/>
    </row>
    <row r="7" spans="1:23" x14ac:dyDescent="0.25">
      <c r="A7" s="2">
        <v>9.9999999999999994E-12</v>
      </c>
      <c r="B7" s="2">
        <v>-4.797E-6</v>
      </c>
      <c r="C7" s="2">
        <v>1.373E-4</v>
      </c>
      <c r="D7" s="2">
        <v>-4.0929999999999997E-4</v>
      </c>
      <c r="E7" s="2">
        <v>0</v>
      </c>
      <c r="F7" s="2">
        <v>0</v>
      </c>
      <c r="G7" s="2">
        <v>0</v>
      </c>
      <c r="H7" s="2">
        <v>3.0783810000000002E-5</v>
      </c>
      <c r="I7" s="2">
        <v>1.2421321E-5</v>
      </c>
      <c r="J7" s="2">
        <v>-8.6827926999999996E-5</v>
      </c>
      <c r="K7" s="3"/>
      <c r="L7" s="3">
        <f t="shared" si="0"/>
        <v>-1.1720009772782801E-2</v>
      </c>
      <c r="M7" s="3"/>
      <c r="N7" s="2">
        <f>IF('Modell einstellen'!$B$1="Voll",H7/0.35,H7/0.35*2)</f>
        <v>1.7590748571428574E-4</v>
      </c>
      <c r="O7" s="2">
        <f>IF('Modell einstellen'!$B$1="Voll",J7/0.35,J7/0.35*2)</f>
        <v>-4.961595828571429E-4</v>
      </c>
      <c r="P7" s="3">
        <f t="shared" si="1"/>
        <v>0.35453811997607637</v>
      </c>
      <c r="Q7" s="3"/>
      <c r="R7" s="3"/>
      <c r="S7" s="3"/>
      <c r="T7" s="3"/>
      <c r="U7" s="3"/>
      <c r="V7" s="3"/>
      <c r="W7" s="3"/>
    </row>
    <row r="8" spans="1:23" x14ac:dyDescent="0.25">
      <c r="A8" s="2">
        <v>1E-10</v>
      </c>
      <c r="B8" s="2">
        <v>-4.797E-6</v>
      </c>
      <c r="C8" s="2">
        <v>1.373E-4</v>
      </c>
      <c r="D8" s="2">
        <v>-4.0929999999999997E-4</v>
      </c>
      <c r="E8" s="2">
        <v>0</v>
      </c>
      <c r="F8" s="2">
        <v>0</v>
      </c>
      <c r="G8" s="2">
        <v>0</v>
      </c>
      <c r="H8" s="2">
        <v>3.0783814E-5</v>
      </c>
      <c r="I8" s="2">
        <v>1.2421324999999999E-5</v>
      </c>
      <c r="J8" s="2">
        <v>-8.6827938000000007E-5</v>
      </c>
      <c r="K8" s="3"/>
      <c r="L8" s="3">
        <f t="shared" si="0"/>
        <v>-1.1720009772782801E-2</v>
      </c>
      <c r="M8" s="3"/>
      <c r="N8" s="2">
        <f>IF('Modell einstellen'!$B$1="Voll",H8/0.35,H8/0.35*2)</f>
        <v>1.7590750857142859E-4</v>
      </c>
      <c r="O8" s="2">
        <f>IF('Modell einstellen'!$B$1="Voll",J8/0.35,J8/0.35*2)</f>
        <v>-4.9615964571428578E-4</v>
      </c>
      <c r="P8" s="3">
        <f t="shared" si="1"/>
        <v>0.35453812112870858</v>
      </c>
      <c r="Q8" s="3"/>
      <c r="R8" s="3"/>
      <c r="S8" s="3"/>
      <c r="T8" s="3"/>
      <c r="U8" s="3"/>
      <c r="V8" s="3"/>
      <c r="W8" s="3"/>
    </row>
    <row r="9" spans="1:23" x14ac:dyDescent="0.25">
      <c r="A9" s="2">
        <v>1.0000000000000001E-9</v>
      </c>
      <c r="B9" s="2">
        <v>-4.797E-6</v>
      </c>
      <c r="C9" s="2">
        <v>1.373E-4</v>
      </c>
      <c r="D9" s="2">
        <v>-4.0929999999999997E-4</v>
      </c>
      <c r="E9" s="2">
        <v>0</v>
      </c>
      <c r="F9" s="2">
        <v>0</v>
      </c>
      <c r="G9" s="2">
        <v>0</v>
      </c>
      <c r="H9" s="2">
        <v>3.0783815000000003E-5</v>
      </c>
      <c r="I9" s="2">
        <v>1.2421326E-5</v>
      </c>
      <c r="J9" s="2">
        <v>-8.6827940999999995E-5</v>
      </c>
      <c r="K9" s="3"/>
      <c r="L9" s="3">
        <f t="shared" si="0"/>
        <v>-1.1720009772782801E-2</v>
      </c>
      <c r="M9" s="3"/>
      <c r="N9" s="2">
        <f>IF('Modell einstellen'!$B$1="Voll",H9/0.35,H9/0.35*2)</f>
        <v>1.7590751428571432E-4</v>
      </c>
      <c r="O9" s="2">
        <f>IF('Modell einstellen'!$B$1="Voll",J9/0.35,J9/0.35*2)</f>
        <v>-4.961596628571429E-4</v>
      </c>
      <c r="P9" s="3">
        <f t="shared" si="1"/>
        <v>0.35453812039606009</v>
      </c>
      <c r="Q9" s="3"/>
      <c r="R9" s="3"/>
      <c r="S9" s="3"/>
      <c r="T9" s="3"/>
      <c r="U9" s="3"/>
      <c r="V9" s="3"/>
      <c r="W9" s="3"/>
    </row>
    <row r="10" spans="1:23" x14ac:dyDescent="0.25">
      <c r="A10" s="2">
        <v>1E-8</v>
      </c>
      <c r="B10" s="2">
        <v>-4.797E-6</v>
      </c>
      <c r="C10" s="2">
        <v>1.373E-4</v>
      </c>
      <c r="D10" s="2">
        <v>-4.0929999999999997E-4</v>
      </c>
      <c r="E10" s="2">
        <v>0</v>
      </c>
      <c r="F10" s="2">
        <v>0</v>
      </c>
      <c r="G10" s="2">
        <v>0</v>
      </c>
      <c r="H10" s="2">
        <v>3.0783815000000003E-5</v>
      </c>
      <c r="I10" s="2">
        <v>1.2421327E-5</v>
      </c>
      <c r="J10" s="2">
        <v>-8.6827942000000004E-5</v>
      </c>
      <c r="K10" s="3"/>
      <c r="L10" s="3">
        <f t="shared" si="0"/>
        <v>-1.1720009772782801E-2</v>
      </c>
      <c r="M10" s="3"/>
      <c r="N10" s="2">
        <f>IF('Modell einstellen'!$B$1="Voll",H10/0.35,H10/0.35*2)</f>
        <v>1.7590751428571432E-4</v>
      </c>
      <c r="O10" s="2">
        <f>IF('Modell einstellen'!$B$1="Voll",J10/0.35,J10/0.35*2)</f>
        <v>-4.9615966857142861E-4</v>
      </c>
      <c r="P10" s="3">
        <f t="shared" si="1"/>
        <v>0.354538116312834</v>
      </c>
      <c r="Q10" s="3"/>
      <c r="R10" s="3"/>
      <c r="S10" s="3"/>
      <c r="T10" s="3"/>
      <c r="U10" s="3"/>
      <c r="V10" s="3"/>
      <c r="W10" s="3"/>
    </row>
    <row r="11" spans="1:23" x14ac:dyDescent="0.25">
      <c r="A11" s="2">
        <v>9.9999999999999995E-8</v>
      </c>
      <c r="B11" s="2">
        <v>-4.797E-6</v>
      </c>
      <c r="C11" s="2">
        <v>1.373E-4</v>
      </c>
      <c r="D11" s="2">
        <v>-4.0929999999999997E-4</v>
      </c>
      <c r="E11" s="2">
        <v>0</v>
      </c>
      <c r="F11" s="2">
        <v>0</v>
      </c>
      <c r="G11" s="2">
        <v>0</v>
      </c>
      <c r="H11" s="2">
        <v>3.0783815000000003E-5</v>
      </c>
      <c r="I11" s="2">
        <v>1.2421327E-5</v>
      </c>
      <c r="J11" s="2">
        <v>-8.6827943E-5</v>
      </c>
      <c r="K11" s="3"/>
      <c r="L11" s="3">
        <f t="shared" si="0"/>
        <v>-1.1720009772782801E-2</v>
      </c>
      <c r="M11" s="3"/>
      <c r="N11" s="2">
        <f>IF('Modell einstellen'!$B$1="Voll",H11/0.35,H11/0.35*2)</f>
        <v>1.7590751428571432E-4</v>
      </c>
      <c r="O11" s="2">
        <f>IF('Modell einstellen'!$B$1="Voll",J11/0.35,J11/0.35*2)</f>
        <v>-4.9615967428571432E-4</v>
      </c>
      <c r="P11" s="3">
        <f t="shared" si="1"/>
        <v>0.35453811222960796</v>
      </c>
      <c r="Q11" s="3"/>
      <c r="R11" s="3"/>
      <c r="S11" s="3"/>
      <c r="T11" s="3"/>
      <c r="U11" s="3"/>
      <c r="V11" s="3"/>
      <c r="W11" s="3"/>
    </row>
    <row r="12" spans="1:23" x14ac:dyDescent="0.25">
      <c r="A12" s="2">
        <v>9.9999999999999995E-7</v>
      </c>
      <c r="B12" s="2">
        <v>-4.797E-6</v>
      </c>
      <c r="C12" s="2">
        <v>1.373E-4</v>
      </c>
      <c r="D12" s="2">
        <v>-4.0929999999999997E-4</v>
      </c>
      <c r="E12" s="2">
        <v>0</v>
      </c>
      <c r="F12" s="2">
        <v>0</v>
      </c>
      <c r="G12" s="2">
        <v>0</v>
      </c>
      <c r="H12" s="2">
        <v>3.0783815000000003E-5</v>
      </c>
      <c r="I12" s="2">
        <v>1.2421327E-5</v>
      </c>
      <c r="J12" s="2">
        <v>-8.6827943E-5</v>
      </c>
      <c r="K12" s="3"/>
      <c r="L12" s="3">
        <f t="shared" si="0"/>
        <v>-1.1720009772782801E-2</v>
      </c>
      <c r="M12" s="3"/>
      <c r="N12" s="2">
        <f>IF('Modell einstellen'!$B$1="Voll",H12/0.35,H12/0.35*2)</f>
        <v>1.7590751428571432E-4</v>
      </c>
      <c r="O12" s="2">
        <f>IF('Modell einstellen'!$B$1="Voll",J12/0.35,J12/0.35*2)</f>
        <v>-4.9615967428571432E-4</v>
      </c>
      <c r="P12" s="3">
        <f t="shared" si="1"/>
        <v>0.35453811222960796</v>
      </c>
      <c r="Q12" s="3"/>
      <c r="R12" s="3"/>
      <c r="S12" s="3"/>
      <c r="T12" s="3"/>
      <c r="U12" s="3"/>
      <c r="V12" s="3"/>
      <c r="W12" s="3"/>
    </row>
    <row r="13" spans="1:23" x14ac:dyDescent="0.25">
      <c r="A13" s="2">
        <v>1.0000000000000001E-5</v>
      </c>
      <c r="B13" s="2">
        <v>-4.797E-6</v>
      </c>
      <c r="C13" s="2">
        <v>1.373E-4</v>
      </c>
      <c r="D13" s="2">
        <v>-4.0929999999999997E-4</v>
      </c>
      <c r="E13" s="2">
        <v>0</v>
      </c>
      <c r="F13" s="2">
        <v>0</v>
      </c>
      <c r="G13" s="2">
        <v>0</v>
      </c>
      <c r="H13" s="2">
        <v>3.0783815000000003E-5</v>
      </c>
      <c r="I13" s="2">
        <v>1.2421327E-5</v>
      </c>
      <c r="J13" s="2">
        <v>-8.6827943E-5</v>
      </c>
      <c r="K13" s="3"/>
      <c r="L13" s="3">
        <f t="shared" si="0"/>
        <v>-1.1720009772782801E-2</v>
      </c>
      <c r="M13" s="3"/>
      <c r="N13" s="2">
        <f>IF('Modell einstellen'!$B$1="Voll",H13/0.35,H13/0.35*2)</f>
        <v>1.7590751428571432E-4</v>
      </c>
      <c r="O13" s="2">
        <f>IF('Modell einstellen'!$B$1="Voll",J13/0.35,J13/0.35*2)</f>
        <v>-4.9615967428571432E-4</v>
      </c>
      <c r="P13" s="3">
        <f t="shared" si="1"/>
        <v>0.35453811222960796</v>
      </c>
      <c r="Q13" s="3"/>
      <c r="R13" s="3"/>
      <c r="S13" s="3"/>
      <c r="T13" s="3"/>
      <c r="U13" s="3"/>
      <c r="V13" s="3"/>
      <c r="W13" s="3"/>
    </row>
    <row r="14" spans="1:23" x14ac:dyDescent="0.25">
      <c r="A14" s="2">
        <v>1E-4</v>
      </c>
      <c r="B14" s="2">
        <v>-4.797E-6</v>
      </c>
      <c r="C14" s="2">
        <v>1.373E-4</v>
      </c>
      <c r="D14" s="2">
        <v>-4.0929999999999997E-4</v>
      </c>
      <c r="E14" s="2">
        <v>0</v>
      </c>
      <c r="F14" s="2">
        <v>0</v>
      </c>
      <c r="G14" s="2">
        <v>0</v>
      </c>
      <c r="H14" s="2">
        <v>3.0783815999999999E-5</v>
      </c>
      <c r="I14" s="2">
        <v>1.2421327E-5</v>
      </c>
      <c r="J14" s="2">
        <v>-8.6827943999999996E-5</v>
      </c>
      <c r="K14" s="3"/>
      <c r="L14" s="3">
        <f t="shared" si="0"/>
        <v>-1.1720009772782801E-2</v>
      </c>
      <c r="M14" s="3"/>
      <c r="N14" s="2">
        <f>IF('Modell einstellen'!$B$1="Voll",H14/0.35,H14/0.35*2)</f>
        <v>1.7590752E-4</v>
      </c>
      <c r="O14" s="2">
        <f>IF('Modell einstellen'!$B$1="Voll",J14/0.35,J14/0.35*2)</f>
        <v>-4.9615968000000002E-4</v>
      </c>
      <c r="P14" s="3">
        <f t="shared" si="1"/>
        <v>0.35453811966341159</v>
      </c>
      <c r="Q14" s="3"/>
      <c r="R14" s="3"/>
      <c r="S14" s="3"/>
      <c r="T14" s="3"/>
      <c r="U14" s="3"/>
      <c r="V14" s="3"/>
      <c r="W14" s="3"/>
    </row>
    <row r="15" spans="1:23" x14ac:dyDescent="0.25">
      <c r="A15" s="2">
        <v>1E-3</v>
      </c>
      <c r="B15" s="2">
        <v>-4.797E-6</v>
      </c>
      <c r="C15" s="2">
        <v>1.373E-4</v>
      </c>
      <c r="D15" s="2">
        <v>-4.0929999999999997E-4</v>
      </c>
      <c r="E15" s="2">
        <v>0</v>
      </c>
      <c r="F15" s="2">
        <v>0</v>
      </c>
      <c r="G15" s="2">
        <v>0</v>
      </c>
      <c r="H15" s="2">
        <v>3.0783820000000003E-5</v>
      </c>
      <c r="I15" s="2">
        <v>1.2421328000000001E-5</v>
      </c>
      <c r="J15" s="2">
        <v>-8.6827950999999995E-5</v>
      </c>
      <c r="K15" s="3"/>
      <c r="L15" s="3">
        <f t="shared" si="0"/>
        <v>-1.1720009772782801E-2</v>
      </c>
      <c r="M15" s="3"/>
      <c r="N15" s="2">
        <f>IF('Modell einstellen'!$B$1="Voll",H15/0.35,H15/0.35*2)</f>
        <v>1.7590754285714289E-4</v>
      </c>
      <c r="O15" s="2">
        <f>IF('Modell einstellen'!$B$1="Voll",J15/0.35,J15/0.35*2)</f>
        <v>-4.9615971999999997E-4</v>
      </c>
      <c r="P15" s="3">
        <f t="shared" si="1"/>
        <v>0.3545381371489465</v>
      </c>
      <c r="Q15" s="3"/>
      <c r="R15" s="3"/>
      <c r="S15" s="3"/>
      <c r="T15" s="3"/>
      <c r="U15" s="3"/>
      <c r="V15" s="3"/>
      <c r="W15" s="3"/>
    </row>
    <row r="16" spans="1:23" x14ac:dyDescent="0.25">
      <c r="A16" s="2">
        <v>0.01</v>
      </c>
      <c r="B16" s="2">
        <v>-4.7979999999999996E-6</v>
      </c>
      <c r="C16" s="2">
        <v>1.373E-4</v>
      </c>
      <c r="D16" s="2">
        <v>-4.0929999999999997E-4</v>
      </c>
      <c r="E16" s="2">
        <v>0</v>
      </c>
      <c r="F16" s="2">
        <v>0</v>
      </c>
      <c r="G16" s="2">
        <v>0</v>
      </c>
      <c r="H16" s="2">
        <v>3.0783866000000002E-5</v>
      </c>
      <c r="I16" s="2">
        <v>1.2421335999999999E-5</v>
      </c>
      <c r="J16" s="2">
        <v>-8.6828021E-5</v>
      </c>
      <c r="K16" s="3"/>
      <c r="L16" s="3">
        <f t="shared" si="0"/>
        <v>-1.1722452968482776E-2</v>
      </c>
      <c r="M16" s="3"/>
      <c r="N16" s="2">
        <f>IF('Modell einstellen'!$B$1="Voll",H16/0.35,H16/0.35*2)</f>
        <v>1.7590780571428573E-4</v>
      </c>
      <c r="O16" s="2">
        <f>IF('Modell einstellen'!$B$1="Voll",J16/0.35,J16/0.35*2)</f>
        <v>-4.9616012E-4</v>
      </c>
      <c r="P16" s="3">
        <f t="shared" si="1"/>
        <v>0.35453838110625602</v>
      </c>
      <c r="Q16" s="3"/>
      <c r="R16" s="3"/>
      <c r="S16" s="3"/>
      <c r="T16" s="3"/>
      <c r="U16" s="3"/>
      <c r="V16" s="3"/>
      <c r="W16" s="3"/>
    </row>
    <row r="17" spans="1:23" x14ac:dyDescent="0.25">
      <c r="A17" s="2">
        <v>0.1</v>
      </c>
      <c r="B17" s="2">
        <v>-4.7999999999999998E-6</v>
      </c>
      <c r="C17" s="2">
        <v>1.373E-4</v>
      </c>
      <c r="D17" s="2">
        <v>-4.0929999999999997E-4</v>
      </c>
      <c r="E17" s="2">
        <v>0</v>
      </c>
      <c r="F17" s="2">
        <v>0</v>
      </c>
      <c r="G17" s="2">
        <v>0</v>
      </c>
      <c r="H17" s="2">
        <v>3.0784322000000003E-5</v>
      </c>
      <c r="I17" s="2">
        <v>1.2421413E-5</v>
      </c>
      <c r="J17" s="2">
        <v>-8.6828725000000006E-5</v>
      </c>
      <c r="K17" s="3"/>
      <c r="L17" s="3">
        <f t="shared" si="0"/>
        <v>-1.1727339359882728E-2</v>
      </c>
      <c r="M17" s="3"/>
      <c r="N17" s="2">
        <f>IF('Modell einstellen'!$B$1="Voll",H17/0.35,H17/0.35*2)</f>
        <v>1.7591041142857146E-4</v>
      </c>
      <c r="O17" s="2">
        <f>IF('Modell einstellen'!$B$1="Voll",J17/0.35,J17/0.35*2)</f>
        <v>-4.9616414285714289E-4</v>
      </c>
      <c r="P17" s="3">
        <f t="shared" si="1"/>
        <v>0.3545407582571321</v>
      </c>
      <c r="Q17" s="3"/>
      <c r="R17" s="3"/>
      <c r="S17" s="3"/>
      <c r="T17" s="3"/>
      <c r="U17" s="3"/>
      <c r="V17" s="3"/>
      <c r="W17" s="3"/>
    </row>
    <row r="18" spans="1:23" x14ac:dyDescent="0.25">
      <c r="A18" s="2">
        <v>1</v>
      </c>
      <c r="B18" s="2">
        <v>-4.8230000000000002E-6</v>
      </c>
      <c r="C18" s="2">
        <v>1.373E-4</v>
      </c>
      <c r="D18" s="2">
        <v>-4.0929999999999997E-4</v>
      </c>
      <c r="E18" s="2">
        <v>0</v>
      </c>
      <c r="F18" s="2">
        <v>0</v>
      </c>
      <c r="G18" s="2">
        <v>0</v>
      </c>
      <c r="H18" s="2">
        <v>3.0788872000000003E-5</v>
      </c>
      <c r="I18" s="2">
        <v>1.2422187000000001E-5</v>
      </c>
      <c r="J18" s="2">
        <v>-8.6835747000000001E-5</v>
      </c>
      <c r="K18" s="3"/>
      <c r="L18" s="3">
        <f t="shared" si="0"/>
        <v>-1.1783532860982167E-2</v>
      </c>
      <c r="M18" s="3"/>
      <c r="N18" s="2">
        <f>IF('Modell einstellen'!$B$1="Voll",H18/0.35,H18/0.35*2)</f>
        <v>1.7593641142857146E-4</v>
      </c>
      <c r="O18" s="2">
        <f>IF('Modell einstellen'!$B$1="Voll",J18/0.35,J18/0.35*2)</f>
        <v>-4.9620426857142864E-4</v>
      </c>
      <c r="P18" s="3">
        <f t="shared" si="1"/>
        <v>0.35456448598294432</v>
      </c>
      <c r="Q18" s="3"/>
      <c r="R18" s="3"/>
      <c r="S18" s="3"/>
      <c r="T18" s="3"/>
      <c r="U18" s="3"/>
      <c r="V18" s="3"/>
      <c r="W18" s="3"/>
    </row>
    <row r="19" spans="1:23" x14ac:dyDescent="0.25">
      <c r="A19" s="2">
        <v>10</v>
      </c>
      <c r="B19" s="2">
        <v>-5.0490000000000003E-6</v>
      </c>
      <c r="C19" s="2">
        <v>1.3740000000000001E-4</v>
      </c>
      <c r="D19" s="2">
        <v>-4.0929999999999997E-4</v>
      </c>
      <c r="E19" s="2">
        <v>0</v>
      </c>
      <c r="F19" s="2">
        <v>0</v>
      </c>
      <c r="G19" s="2">
        <v>0</v>
      </c>
      <c r="H19" s="2">
        <v>3.0833402000000001E-5</v>
      </c>
      <c r="I19" s="2">
        <v>1.2429764000000001E-5</v>
      </c>
      <c r="J19" s="2">
        <v>-8.6904455000000005E-5</v>
      </c>
      <c r="K19" s="3"/>
      <c r="L19" s="3">
        <f t="shared" si="0"/>
        <v>-1.2335695089176644E-2</v>
      </c>
      <c r="M19" s="3"/>
      <c r="N19" s="2">
        <f>IF('Modell einstellen'!$B$1="Voll",H19/0.35,H19/0.35*2)</f>
        <v>1.761908685714286E-4</v>
      </c>
      <c r="O19" s="2">
        <f>IF('Modell einstellen'!$B$1="Voll",J19/0.35,J19/0.35*2)</f>
        <v>-4.9659688571428574E-4</v>
      </c>
      <c r="P19" s="3">
        <f t="shared" si="1"/>
        <v>0.3547965636514262</v>
      </c>
      <c r="Q19" s="3"/>
      <c r="R19" s="3"/>
      <c r="S19" s="3"/>
      <c r="T19" s="3"/>
      <c r="U19" s="3"/>
      <c r="V19" s="3"/>
      <c r="W19" s="3"/>
    </row>
    <row r="20" spans="1:23" x14ac:dyDescent="0.25">
      <c r="A20" s="2">
        <v>100</v>
      </c>
      <c r="B20" s="2">
        <v>-6.888E-6</v>
      </c>
      <c r="C20" s="2">
        <v>1.3799999999999999E-4</v>
      </c>
      <c r="D20" s="2">
        <v>-4.0890000000000002E-4</v>
      </c>
      <c r="E20" s="2">
        <v>0</v>
      </c>
      <c r="F20" s="2">
        <v>0</v>
      </c>
      <c r="G20" s="2">
        <v>0</v>
      </c>
      <c r="H20" s="2">
        <v>3.1195127000000003E-5</v>
      </c>
      <c r="I20" s="2">
        <v>1.2491189E-5</v>
      </c>
      <c r="J20" s="2">
        <v>-8.7461886000000005E-5</v>
      </c>
      <c r="K20" s="3"/>
      <c r="L20" s="3">
        <f t="shared" si="0"/>
        <v>-1.6845194424064562E-2</v>
      </c>
      <c r="M20" s="3"/>
      <c r="N20" s="2">
        <f>IF('Modell einstellen'!$B$1="Voll",H20/0.35,H20/0.35*2)</f>
        <v>1.7825786857142859E-4</v>
      </c>
      <c r="O20" s="2">
        <f>IF('Modell einstellen'!$B$1="Voll",J20/0.35,J20/0.35*2)</f>
        <v>-4.9978220571428582E-4</v>
      </c>
      <c r="P20" s="3">
        <f t="shared" si="1"/>
        <v>0.35667109899733923</v>
      </c>
      <c r="Q20" s="3"/>
      <c r="R20" s="3"/>
      <c r="S20" s="3"/>
      <c r="T20" s="3"/>
      <c r="U20" s="3"/>
      <c r="V20" s="3"/>
      <c r="W20" s="3"/>
    </row>
    <row r="21" spans="1:23" x14ac:dyDescent="0.25">
      <c r="A21" s="2">
        <v>1000</v>
      </c>
      <c r="B21" s="2">
        <v>-1.166E-5</v>
      </c>
      <c r="C21" s="2">
        <v>1.3970000000000001E-4</v>
      </c>
      <c r="D21" s="2">
        <v>-4.081E-4</v>
      </c>
      <c r="E21" s="2">
        <v>0</v>
      </c>
      <c r="F21" s="2">
        <v>0</v>
      </c>
      <c r="G21" s="2">
        <v>0</v>
      </c>
      <c r="H21" s="2">
        <v>3.2134056000000001E-5</v>
      </c>
      <c r="I21" s="2">
        <v>1.2652594999999999E-5</v>
      </c>
      <c r="J21" s="2">
        <v>-8.8904251000000001E-5</v>
      </c>
      <c r="K21" s="3"/>
      <c r="L21" s="3">
        <f t="shared" si="0"/>
        <v>-2.8571428571428571E-2</v>
      </c>
      <c r="M21" s="3"/>
      <c r="N21" s="2">
        <f>IF('Modell einstellen'!$B$1="Voll",H21/0.35,H21/0.35*2)</f>
        <v>1.8362317714285716E-4</v>
      </c>
      <c r="O21" s="2">
        <f>IF('Modell einstellen'!$B$1="Voll",J21/0.35,J21/0.35*2)</f>
        <v>-5.0802429142857142E-4</v>
      </c>
      <c r="P21" s="3">
        <f t="shared" si="1"/>
        <v>0.36144566360499458</v>
      </c>
      <c r="Q21" s="3"/>
      <c r="R21" s="3"/>
      <c r="S21" s="3"/>
      <c r="T21" s="3"/>
      <c r="U21" s="3"/>
      <c r="V21" s="3"/>
      <c r="W21" s="3"/>
    </row>
    <row r="22" spans="1:23" x14ac:dyDescent="0.25">
      <c r="A22" s="2">
        <v>10000</v>
      </c>
      <c r="B22" s="2">
        <v>-1.6310000000000001E-5</v>
      </c>
      <c r="C22" s="2">
        <v>1.4200000000000001E-4</v>
      </c>
      <c r="D22" s="2">
        <v>-4.0779999999999999E-4</v>
      </c>
      <c r="E22" s="2">
        <v>0</v>
      </c>
      <c r="F22" s="2">
        <v>0</v>
      </c>
      <c r="G22" s="2">
        <v>0</v>
      </c>
      <c r="H22" s="2">
        <v>3.3224189999999999E-5</v>
      </c>
      <c r="I22" s="2">
        <v>1.2881634E-5</v>
      </c>
      <c r="J22" s="2">
        <v>-9.0625761999999998E-5</v>
      </c>
      <c r="K22" s="3"/>
      <c r="L22" s="3">
        <f t="shared" si="0"/>
        <v>-3.9995095635115253E-2</v>
      </c>
      <c r="M22" s="3"/>
      <c r="N22" s="2">
        <f>IF('Modell einstellen'!$B$1="Voll",H22/0.35,H22/0.35*2)</f>
        <v>1.8985251428571429E-4</v>
      </c>
      <c r="O22" s="2">
        <f>IF('Modell einstellen'!$B$1="Voll",J22/0.35,J22/0.35*2)</f>
        <v>-5.1786149714285715E-4</v>
      </c>
      <c r="P22" s="3">
        <f t="shared" si="1"/>
        <v>0.36660866917731405</v>
      </c>
      <c r="Q22" s="3"/>
      <c r="R22" s="3"/>
      <c r="S22" s="3"/>
      <c r="T22" s="3"/>
      <c r="U22" s="3"/>
      <c r="V22" s="3"/>
      <c r="W22" s="3"/>
    </row>
    <row r="23" spans="1:23" x14ac:dyDescent="0.25">
      <c r="A23" s="2">
        <v>100000</v>
      </c>
      <c r="B23" s="2">
        <v>-1.3390000000000001E-5</v>
      </c>
      <c r="C23" s="2">
        <v>1.496E-4</v>
      </c>
      <c r="D23" s="2">
        <v>-4.1889999999999999E-4</v>
      </c>
      <c r="E23" s="2">
        <v>0</v>
      </c>
      <c r="F23" s="2">
        <v>0</v>
      </c>
      <c r="G23" s="2">
        <v>0</v>
      </c>
      <c r="H23" s="2">
        <v>3.5121309000000003E-5</v>
      </c>
      <c r="I23" s="2">
        <v>1.3730241999999999E-5</v>
      </c>
      <c r="J23" s="2">
        <v>-9.4253577000000005E-5</v>
      </c>
      <c r="K23" s="3"/>
      <c r="L23" s="3">
        <f t="shared" si="0"/>
        <v>-3.1964669372165196E-2</v>
      </c>
      <c r="M23" s="3"/>
      <c r="N23" s="2">
        <f>IF('Modell einstellen'!$B$1="Voll",H23/0.35,H23/0.35*2)</f>
        <v>2.006931942857143E-4</v>
      </c>
      <c r="O23" s="2">
        <f>IF('Modell einstellen'!$B$1="Voll",J23/0.35,J23/0.35*2)</f>
        <v>-5.3859186857142859E-4</v>
      </c>
      <c r="P23" s="3">
        <f t="shared" si="1"/>
        <v>0.37262574130210468</v>
      </c>
      <c r="Q23" s="3"/>
      <c r="R23" s="3"/>
      <c r="S23" s="3"/>
      <c r="T23" s="3"/>
      <c r="U23" s="3"/>
      <c r="V23" s="3"/>
      <c r="W23" s="3"/>
    </row>
    <row r="24" spans="1:23" x14ac:dyDescent="0.25">
      <c r="A24" s="2">
        <v>1000000</v>
      </c>
      <c r="B24" s="2">
        <v>2.4280000000000001E-5</v>
      </c>
      <c r="C24" s="2">
        <v>1.728E-4</v>
      </c>
      <c r="D24" s="2">
        <v>-4.7169999999999997E-4</v>
      </c>
      <c r="E24" s="2">
        <v>0</v>
      </c>
      <c r="F24" s="2">
        <v>0</v>
      </c>
      <c r="G24" s="2">
        <v>0</v>
      </c>
      <c r="H24" s="2">
        <v>3.9597022999999997E-5</v>
      </c>
      <c r="I24" s="2">
        <v>1.6859741999999999E-5</v>
      </c>
      <c r="J24" s="2">
        <v>-1.0440567999999999E-4</v>
      </c>
      <c r="K24" s="3"/>
      <c r="L24" s="3">
        <f t="shared" si="0"/>
        <v>5.1473394106423577E-2</v>
      </c>
      <c r="M24" s="3"/>
      <c r="N24" s="2">
        <f>IF('Modell einstellen'!$B$1="Voll",H24/0.35,H24/0.35*2)</f>
        <v>2.2626870285714286E-4</v>
      </c>
      <c r="O24" s="2">
        <f>IF('Modell einstellen'!$B$1="Voll",J24/0.35,J24/0.35*2)</f>
        <v>-5.9660388571428568E-4</v>
      </c>
      <c r="P24" s="3">
        <f t="shared" si="1"/>
        <v>0.37926119536791486</v>
      </c>
      <c r="Q24" s="3"/>
      <c r="R24" s="3"/>
      <c r="S24" s="3"/>
      <c r="T24" s="3"/>
      <c r="U24" s="3"/>
      <c r="V24" s="3"/>
      <c r="W24" s="3"/>
    </row>
    <row r="25" spans="1:23" x14ac:dyDescent="0.25">
      <c r="A25" s="2">
        <v>10000000</v>
      </c>
      <c r="B25" s="2">
        <v>1.064E-4</v>
      </c>
      <c r="C25" s="2">
        <v>2.164E-4</v>
      </c>
      <c r="D25" s="2">
        <v>-5.7850000000000002E-4</v>
      </c>
      <c r="E25" s="2">
        <v>0</v>
      </c>
      <c r="F25" s="2">
        <v>0</v>
      </c>
      <c r="G25" s="2">
        <v>0</v>
      </c>
      <c r="H25" s="2">
        <v>4.7039475999999997E-5</v>
      </c>
      <c r="I25" s="2">
        <v>2.2997883999999998E-5</v>
      </c>
      <c r="J25" s="2">
        <v>-1.2276542E-4</v>
      </c>
      <c r="K25" s="3"/>
      <c r="L25" s="3">
        <f t="shared" si="0"/>
        <v>0.18392394122731201</v>
      </c>
      <c r="M25" s="3"/>
      <c r="N25" s="2">
        <f>IF('Modell einstellen'!$B$1="Voll",H25/0.35,H25/0.35*2)</f>
        <v>2.6879700571428569E-4</v>
      </c>
      <c r="O25" s="2">
        <f>IF('Modell einstellen'!$B$1="Voll",J25/0.35,J25/0.35*2)</f>
        <v>-7.0151668571428571E-4</v>
      </c>
      <c r="P25" s="3">
        <f t="shared" si="1"/>
        <v>0.38316552006257132</v>
      </c>
      <c r="Q25" s="3"/>
      <c r="R25" s="3"/>
      <c r="S25" s="3"/>
      <c r="T25" s="3"/>
      <c r="U25" s="3"/>
      <c r="V25" s="3"/>
      <c r="W25" s="3"/>
    </row>
    <row r="26" spans="1:23" x14ac:dyDescent="0.25">
      <c r="A26" s="2">
        <v>100000000</v>
      </c>
      <c r="B26" s="2">
        <v>2.017E-4</v>
      </c>
      <c r="C26" s="2">
        <v>2.7090000000000003E-4</v>
      </c>
      <c r="D26" s="2">
        <v>-7.0790000000000002E-4</v>
      </c>
      <c r="E26" s="2">
        <v>0</v>
      </c>
      <c r="F26" s="2">
        <v>0</v>
      </c>
      <c r="G26" s="2">
        <v>0</v>
      </c>
      <c r="H26" s="2">
        <v>5.5924017999999998E-5</v>
      </c>
      <c r="I26" s="2">
        <v>3.0527865E-5</v>
      </c>
      <c r="J26" s="2">
        <v>-1.4525048000000001E-4</v>
      </c>
      <c r="K26" s="3"/>
      <c r="L26" s="3">
        <f t="shared" si="0"/>
        <v>0.28492724961152704</v>
      </c>
      <c r="M26" s="3"/>
      <c r="N26" s="2">
        <f>IF('Modell einstellen'!$B$1="Voll",H26/0.35,H26/0.35*2)</f>
        <v>3.1956581714285713E-4</v>
      </c>
      <c r="O26" s="2">
        <f>IF('Modell einstellen'!$B$1="Voll",J26/0.35,J26/0.35*2)</f>
        <v>-8.3000274285714303E-4</v>
      </c>
      <c r="P26" s="3">
        <f t="shared" si="1"/>
        <v>0.38501778445069501</v>
      </c>
      <c r="Q26" s="3"/>
      <c r="R26" s="3"/>
      <c r="S26" s="3"/>
      <c r="T26" s="3"/>
      <c r="U26" s="3"/>
      <c r="V26" s="3"/>
      <c r="W26" s="3"/>
    </row>
    <row r="27" spans="1:23" x14ac:dyDescent="0.25">
      <c r="A27" s="2">
        <v>1000000000</v>
      </c>
      <c r="B27" s="2">
        <v>2.9060000000000002E-4</v>
      </c>
      <c r="C27" s="2">
        <v>3.2739999999999999E-4</v>
      </c>
      <c r="D27" s="2">
        <v>-8.3659999999999995E-4</v>
      </c>
      <c r="E27" s="2">
        <v>0</v>
      </c>
      <c r="F27" s="2">
        <v>0</v>
      </c>
      <c r="G27" s="2">
        <v>0</v>
      </c>
      <c r="H27" s="2">
        <v>6.4676706E-5</v>
      </c>
      <c r="I27" s="2">
        <v>3.8137596000000001E-5</v>
      </c>
      <c r="J27" s="2">
        <v>-1.6801492999999999E-4</v>
      </c>
      <c r="K27" s="3"/>
      <c r="L27" s="3">
        <f t="shared" si="0"/>
        <v>0.34735835524743014</v>
      </c>
      <c r="M27" s="3"/>
      <c r="N27" s="2">
        <f>IF('Modell einstellen'!$B$1="Voll",H27/0.35,H27/0.35*2)</f>
        <v>3.6958117714285714E-4</v>
      </c>
      <c r="O27" s="2">
        <f>IF('Modell einstellen'!$B$1="Voll",J27/0.35,J27/0.35*2)</f>
        <v>-9.6008531428571427E-4</v>
      </c>
      <c r="P27" s="3">
        <f t="shared" si="1"/>
        <v>0.38494618305647005</v>
      </c>
      <c r="Q27" s="3"/>
      <c r="R27" s="3"/>
      <c r="S27" s="3"/>
      <c r="T27" s="3"/>
      <c r="U27" s="3"/>
      <c r="V27" s="3"/>
      <c r="W27" s="3"/>
    </row>
    <row r="28" spans="1:23" x14ac:dyDescent="0.25">
      <c r="A28" s="2">
        <v>10000000000</v>
      </c>
      <c r="B28" s="2">
        <v>3.6699999999999998E-4</v>
      </c>
      <c r="C28" s="2">
        <v>3.8230000000000002E-4</v>
      </c>
      <c r="D28" s="2">
        <v>-9.5560000000000003E-4</v>
      </c>
      <c r="E28" s="2">
        <v>0</v>
      </c>
      <c r="F28" s="2">
        <v>0</v>
      </c>
      <c r="G28" s="2">
        <v>0</v>
      </c>
      <c r="H28" s="2">
        <v>7.2670534000000001E-5</v>
      </c>
      <c r="I28" s="2">
        <v>4.5389846000000003E-5</v>
      </c>
      <c r="J28" s="2">
        <v>-1.8958557999999999E-4</v>
      </c>
      <c r="K28" s="3"/>
      <c r="L28" s="3">
        <f t="shared" si="0"/>
        <v>0.38405190456257843</v>
      </c>
      <c r="M28" s="3"/>
      <c r="N28" s="2">
        <f>IF('Modell einstellen'!$B$1="Voll",H28/0.35,H28/0.35*2)</f>
        <v>4.1526019428571434E-4</v>
      </c>
      <c r="O28" s="2">
        <f>IF('Modell einstellen'!$B$1="Voll",J28/0.35,J28/0.35*2)</f>
        <v>-1.0833461714285714E-3</v>
      </c>
      <c r="P28" s="3">
        <f t="shared" si="1"/>
        <v>0.38331255995313573</v>
      </c>
      <c r="Q28" s="3"/>
      <c r="R28" s="3"/>
      <c r="S28" s="3"/>
      <c r="T28" s="3"/>
      <c r="U28" s="3"/>
      <c r="V28" s="3"/>
      <c r="W28" s="3"/>
    </row>
    <row r="29" spans="1:23" x14ac:dyDescent="0.25">
      <c r="A29" s="2">
        <v>100000000000</v>
      </c>
      <c r="B29" s="2">
        <v>4.3290000000000001E-4</v>
      </c>
      <c r="C29" s="2">
        <v>4.3770000000000001E-4</v>
      </c>
      <c r="D29" s="2">
        <v>-1.0679999999999999E-3</v>
      </c>
      <c r="E29" s="2">
        <v>0</v>
      </c>
      <c r="F29" s="2">
        <v>0</v>
      </c>
      <c r="G29" s="2">
        <v>0</v>
      </c>
      <c r="H29" s="2">
        <v>8.0608588000000007E-5</v>
      </c>
      <c r="I29" s="2">
        <v>5.2727369000000001E-5</v>
      </c>
      <c r="J29" s="2">
        <v>-2.1151589999999999E-4</v>
      </c>
      <c r="K29" s="3"/>
      <c r="L29" s="3">
        <f t="shared" si="0"/>
        <v>0.40533707865168545</v>
      </c>
      <c r="M29" s="3"/>
      <c r="N29" s="2">
        <f>IF('Modell einstellen'!$B$1="Voll",H29/0.35,H29/0.35*2)</f>
        <v>4.6062050285714293E-4</v>
      </c>
      <c r="O29" s="2">
        <f>IF('Modell einstellen'!$B$1="Voll",J29/0.35,J29/0.35*2)</f>
        <v>-1.2086622857142857E-3</v>
      </c>
      <c r="P29" s="3">
        <f t="shared" si="1"/>
        <v>0.38109942562237648</v>
      </c>
      <c r="Q29" s="3"/>
      <c r="R29" s="3"/>
      <c r="S29" s="3"/>
      <c r="T29" s="3"/>
      <c r="U29" s="3"/>
      <c r="V29" s="3"/>
      <c r="W29" s="3"/>
    </row>
    <row r="30" spans="1:23" x14ac:dyDescent="0.25">
      <c r="A30" s="2">
        <v>1000000000000</v>
      </c>
      <c r="B30" s="2">
        <v>4.9200000000000003E-4</v>
      </c>
      <c r="C30" s="2">
        <v>4.9580000000000002E-4</v>
      </c>
      <c r="D30" s="2">
        <v>-1.1800000000000001E-3</v>
      </c>
      <c r="E30" s="2">
        <v>0</v>
      </c>
      <c r="F30" s="2">
        <v>0</v>
      </c>
      <c r="G30" s="2">
        <v>0</v>
      </c>
      <c r="H30" s="2">
        <v>8.8966502999999998E-5</v>
      </c>
      <c r="I30" s="2">
        <v>6.0560667000000001E-5</v>
      </c>
      <c r="J30" s="2">
        <v>-2.3500581999999999E-4</v>
      </c>
      <c r="K30" s="3"/>
      <c r="L30" s="3">
        <f t="shared" si="0"/>
        <v>0.41694915254237291</v>
      </c>
      <c r="M30" s="3"/>
      <c r="N30" s="2">
        <f>IF('Modell einstellen'!$B$1="Voll",H30/0.35,H30/0.35*2)</f>
        <v>5.0838001714285713E-4</v>
      </c>
      <c r="O30" s="2">
        <f>IF('Modell einstellen'!$B$1="Voll",J30/0.35,J30/0.35*2)</f>
        <v>-1.3428904000000001E-3</v>
      </c>
      <c r="P30" s="3">
        <f t="shared" si="1"/>
        <v>0.37857148814442121</v>
      </c>
      <c r="Q30" s="3"/>
      <c r="R30" s="3"/>
      <c r="S30" s="3"/>
      <c r="T30" s="3"/>
      <c r="U30" s="3"/>
      <c r="V30" s="3"/>
      <c r="W30" s="3"/>
    </row>
    <row r="31" spans="1:23" x14ac:dyDescent="0.25">
      <c r="A31" s="2">
        <v>10000000000000</v>
      </c>
      <c r="B31" s="2">
        <v>5.5500000000000005E-4</v>
      </c>
      <c r="C31" s="2">
        <v>5.6959999999999997E-4</v>
      </c>
      <c r="D31" s="2">
        <v>-1.3129999999999999E-3</v>
      </c>
      <c r="E31" s="2">
        <v>0</v>
      </c>
      <c r="F31" s="2">
        <v>0</v>
      </c>
      <c r="G31" s="2">
        <v>0</v>
      </c>
      <c r="H31" s="2">
        <v>1.0054827000000001E-4</v>
      </c>
      <c r="I31" s="2">
        <v>7.0977368000000002E-5</v>
      </c>
      <c r="J31" s="2">
        <v>-2.6695954E-4</v>
      </c>
      <c r="K31" s="3"/>
      <c r="L31" s="3">
        <f t="shared" si="0"/>
        <v>0.42269611576542276</v>
      </c>
      <c r="M31" s="3"/>
      <c r="N31" s="2">
        <f>IF('Modell einstellen'!$B$1="Voll",H31/0.35,H31/0.35*2)</f>
        <v>5.7456154285714294E-4</v>
      </c>
      <c r="O31" s="2">
        <f>IF('Modell einstellen'!$B$1="Voll",J31/0.35,J31/0.35*2)</f>
        <v>-1.5254830857142857E-3</v>
      </c>
      <c r="P31" s="3">
        <f t="shared" si="1"/>
        <v>0.37664235561688492</v>
      </c>
      <c r="Q31" s="3"/>
      <c r="R31" s="3"/>
      <c r="S31" s="3"/>
      <c r="T31" s="3"/>
      <c r="U31" s="3"/>
      <c r="V31" s="3"/>
      <c r="W31" s="3"/>
    </row>
    <row r="32" spans="1:23" x14ac:dyDescent="0.25">
      <c r="A32" s="2">
        <v>100000000000000</v>
      </c>
      <c r="B32" s="2">
        <v>6.332E-4</v>
      </c>
      <c r="C32" s="2">
        <v>6.7659999999999997E-4</v>
      </c>
      <c r="D32" s="2">
        <v>-1.4959999999999999E-3</v>
      </c>
      <c r="E32" s="2">
        <v>0</v>
      </c>
      <c r="F32" s="2">
        <v>0</v>
      </c>
      <c r="G32" s="2">
        <v>0</v>
      </c>
      <c r="H32" s="2">
        <v>1.1861863E-4</v>
      </c>
      <c r="I32" s="2">
        <v>8.6856087999999997E-5</v>
      </c>
      <c r="J32" s="2">
        <v>-3.1617898000000001E-4</v>
      </c>
      <c r="K32" s="3"/>
      <c r="L32" s="3">
        <f t="shared" si="0"/>
        <v>0.42326203208556151</v>
      </c>
      <c r="M32" s="3"/>
      <c r="N32" s="2">
        <f>IF('Modell einstellen'!$B$1="Voll",H32/0.35,H32/0.35*2)</f>
        <v>6.7782074285714286E-4</v>
      </c>
      <c r="O32" s="2">
        <f>IF('Modell einstellen'!$B$1="Voll",J32/0.35,J32/0.35*2)</f>
        <v>-1.8067370285714287E-3</v>
      </c>
      <c r="P32" s="3">
        <f t="shared" si="1"/>
        <v>0.37516292196274398</v>
      </c>
      <c r="Q32" s="3"/>
      <c r="R32" s="3"/>
      <c r="S32" s="3"/>
      <c r="T32" s="3"/>
      <c r="U32" s="3"/>
      <c r="V32" s="3"/>
      <c r="W32" s="3"/>
    </row>
    <row r="33" spans="1:23" x14ac:dyDescent="0.25">
      <c r="A33" s="2">
        <v>1000000000000000</v>
      </c>
      <c r="B33" s="2">
        <v>7.3870000000000001E-4</v>
      </c>
      <c r="C33" s="2">
        <v>8.4719999999999999E-4</v>
      </c>
      <c r="D33" s="2">
        <v>-1.7700000000000001E-3</v>
      </c>
      <c r="E33" s="2">
        <v>0</v>
      </c>
      <c r="F33" s="2">
        <v>0</v>
      </c>
      <c r="G33" s="2">
        <v>0</v>
      </c>
      <c r="H33" s="2">
        <v>1.4928464000000001E-4</v>
      </c>
      <c r="I33" s="2">
        <v>1.1347201E-4</v>
      </c>
      <c r="J33" s="2">
        <v>-3.9892935999999999E-4</v>
      </c>
      <c r="K33" s="3"/>
      <c r="L33" s="3">
        <f t="shared" si="0"/>
        <v>0.41734463276836159</v>
      </c>
      <c r="M33" s="3"/>
      <c r="N33" s="2">
        <f>IF('Modell einstellen'!$B$1="Voll",H33/0.35,H33/0.35*2)</f>
        <v>8.5305508571428585E-4</v>
      </c>
      <c r="O33" s="2">
        <f>IF('Modell einstellen'!$B$1="Voll",J33/0.35,J33/0.35*2)</f>
        <v>-2.2795963428571429E-3</v>
      </c>
      <c r="P33" s="3">
        <f t="shared" si="1"/>
        <v>0.37421321910224914</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-2.0389999999999999E-7</v>
      </c>
      <c r="C3" s="3">
        <v>1.3880000000000001E-4</v>
      </c>
      <c r="D3" s="3">
        <v>-4.1449999999999999E-4</v>
      </c>
      <c r="E3" s="3">
        <v>0</v>
      </c>
      <c r="F3" s="3">
        <v>0</v>
      </c>
      <c r="G3" s="3">
        <v>0</v>
      </c>
      <c r="H3" s="3">
        <v>3.1056853999999998E-5</v>
      </c>
      <c r="I3" s="3">
        <v>1.2659162E-5</v>
      </c>
      <c r="J3" s="3">
        <v>-8.7609467999999994E-5</v>
      </c>
      <c r="L3" s="3">
        <f>-B3/D3</f>
        <v>-4.9191797346200244E-4</v>
      </c>
      <c r="M3" s="3"/>
      <c r="N3" s="2">
        <f>IF('Modell einstellen'!$B$1="Voll",H3/0.35,H3/0.35*2)</f>
        <v>1.7746773714285714E-4</v>
      </c>
      <c r="O3" s="2">
        <f>IF('Modell einstellen'!$B$1="Voll",J3/0.35,J3/0.35*2)</f>
        <v>-5.0062553142857138E-4</v>
      </c>
      <c r="P3" s="3">
        <f>-N3/O3</f>
        <v>0.35449198253321207</v>
      </c>
    </row>
    <row r="4" spans="1:16" x14ac:dyDescent="0.25">
      <c r="A4" s="3">
        <v>1E-14</v>
      </c>
      <c r="B4" s="3">
        <v>-2.1290000000000001E-7</v>
      </c>
      <c r="C4" s="3">
        <v>1.3880000000000001E-4</v>
      </c>
      <c r="D4" s="3">
        <v>-4.1449999999999999E-4</v>
      </c>
      <c r="E4" s="3">
        <v>0</v>
      </c>
      <c r="F4" s="3">
        <v>0</v>
      </c>
      <c r="G4" s="3">
        <v>0</v>
      </c>
      <c r="H4" s="3">
        <v>3.1056994999999997E-5</v>
      </c>
      <c r="I4" s="3">
        <v>1.2660113E-5</v>
      </c>
      <c r="J4" s="3">
        <v>-8.7608120999999996E-5</v>
      </c>
      <c r="L4" s="3">
        <f t="shared" ref="L4:L33" si="0">-B4/D4</f>
        <v>-5.1363088057901091E-4</v>
      </c>
      <c r="M4" s="3"/>
      <c r="N4" s="2">
        <f>IF('Modell einstellen'!$B$1="Voll",H4/0.35,H4/0.35*2)</f>
        <v>1.7746854285714285E-4</v>
      </c>
      <c r="O4" s="2">
        <f>IF('Modell einstellen'!$B$1="Voll",J4/0.35,J4/0.35*2)</f>
        <v>-5.0061783428571427E-4</v>
      </c>
      <c r="P4" s="3">
        <f t="shared" ref="P4:P33" si="1">-N4/O4</f>
        <v>0.35449904238900409</v>
      </c>
    </row>
    <row r="5" spans="1:16" x14ac:dyDescent="0.25">
      <c r="A5" s="3">
        <v>1E-13</v>
      </c>
      <c r="B5" s="3">
        <v>-2.1089999999999999E-7</v>
      </c>
      <c r="C5" s="3">
        <v>1.3880000000000001E-4</v>
      </c>
      <c r="D5" s="3">
        <v>-4.1449999999999999E-4</v>
      </c>
      <c r="E5" s="3">
        <v>0</v>
      </c>
      <c r="F5" s="3">
        <v>0</v>
      </c>
      <c r="G5" s="3">
        <v>0</v>
      </c>
      <c r="H5" s="3">
        <v>3.1057167000000001E-5</v>
      </c>
      <c r="I5" s="3">
        <v>1.2660269E-5</v>
      </c>
      <c r="J5" s="3">
        <v>-8.7608582999999993E-5</v>
      </c>
      <c r="L5" s="3">
        <f t="shared" si="0"/>
        <v>-5.0880579010856449E-4</v>
      </c>
      <c r="M5" s="3"/>
      <c r="N5" s="2">
        <f>IF('Modell einstellen'!$B$1="Voll",H5/0.35,H5/0.35*2)</f>
        <v>1.7746952571428572E-4</v>
      </c>
      <c r="O5" s="2">
        <f>IF('Modell einstellen'!$B$1="Voll",J5/0.35,J5/0.35*2)</f>
        <v>-5.0062047428571423E-4</v>
      </c>
      <c r="P5" s="3">
        <f t="shared" si="1"/>
        <v>0.35449913623189183</v>
      </c>
    </row>
    <row r="6" spans="1:16" x14ac:dyDescent="0.25">
      <c r="A6" s="3">
        <v>9.9999999999999998E-13</v>
      </c>
      <c r="B6" s="3">
        <v>-2.1059999999999999E-7</v>
      </c>
      <c r="C6" s="3">
        <v>1.3880000000000001E-4</v>
      </c>
      <c r="D6" s="3">
        <v>-4.1449999999999999E-4</v>
      </c>
      <c r="E6" s="3">
        <v>0</v>
      </c>
      <c r="F6" s="3">
        <v>0</v>
      </c>
      <c r="G6" s="3">
        <v>0</v>
      </c>
      <c r="H6" s="3">
        <v>3.1057209999999999E-5</v>
      </c>
      <c r="I6" s="3">
        <v>1.2660311E-5</v>
      </c>
      <c r="J6" s="3">
        <v>-8.7608703999999998E-5</v>
      </c>
      <c r="L6" s="3">
        <f t="shared" si="0"/>
        <v>-5.0808202653799758E-4</v>
      </c>
      <c r="M6" s="3"/>
      <c r="N6" s="2">
        <f>IF('Modell einstellen'!$B$1="Voll",H6/0.35,H6/0.35*2)</f>
        <v>1.7746977142857144E-4</v>
      </c>
      <c r="O6" s="2">
        <f>IF('Modell einstellen'!$B$1="Voll",J6/0.35,J6/0.35*2)</f>
        <v>-5.0062116571428575E-4</v>
      </c>
      <c r="P6" s="3">
        <f t="shared" si="1"/>
        <v>0.35449913743730305</v>
      </c>
    </row>
    <row r="7" spans="1:16" x14ac:dyDescent="0.25">
      <c r="A7" s="3">
        <v>9.9999999999999994E-12</v>
      </c>
      <c r="B7" s="3">
        <v>-2.1050000000000001E-7</v>
      </c>
      <c r="C7" s="3">
        <v>1.3880000000000001E-4</v>
      </c>
      <c r="D7" s="3">
        <v>-4.1449999999999999E-4</v>
      </c>
      <c r="E7" s="3">
        <v>0</v>
      </c>
      <c r="F7" s="3">
        <v>0</v>
      </c>
      <c r="G7" s="3">
        <v>0</v>
      </c>
      <c r="H7" s="3">
        <v>3.1057221999999998E-5</v>
      </c>
      <c r="I7" s="3">
        <v>1.2660324E-5</v>
      </c>
      <c r="J7" s="3">
        <v>-8.7608738999999994E-5</v>
      </c>
      <c r="L7" s="3">
        <f t="shared" si="0"/>
        <v>-5.0784077201447531E-4</v>
      </c>
      <c r="M7" s="3"/>
      <c r="N7" s="2">
        <f>IF('Modell einstellen'!$B$1="Voll",H7/0.35,H7/0.35*2)</f>
        <v>1.7746984000000001E-4</v>
      </c>
      <c r="O7" s="2">
        <f>IF('Modell einstellen'!$B$1="Voll",J7/0.35,J7/0.35*2)</f>
        <v>-5.0062136571428571E-4</v>
      </c>
      <c r="P7" s="3">
        <f t="shared" si="1"/>
        <v>0.3544991327862852</v>
      </c>
    </row>
    <row r="8" spans="1:16" x14ac:dyDescent="0.25">
      <c r="A8" s="3">
        <v>1E-10</v>
      </c>
      <c r="B8" s="3">
        <v>-2.1050000000000001E-7</v>
      </c>
      <c r="C8" s="3">
        <v>1.3880000000000001E-4</v>
      </c>
      <c r="D8" s="3">
        <v>-4.1449999999999999E-4</v>
      </c>
      <c r="E8" s="3">
        <v>0</v>
      </c>
      <c r="F8" s="3">
        <v>0</v>
      </c>
      <c r="G8" s="3">
        <v>0</v>
      </c>
      <c r="H8" s="3">
        <v>3.1057226000000003E-5</v>
      </c>
      <c r="I8" s="3">
        <v>1.2660328E-5</v>
      </c>
      <c r="J8" s="3">
        <v>-8.7608750000000004E-5</v>
      </c>
      <c r="L8" s="3">
        <f t="shared" si="0"/>
        <v>-5.0784077201447531E-4</v>
      </c>
      <c r="M8" s="3"/>
      <c r="N8" s="2">
        <f>IF('Modell einstellen'!$B$1="Voll",H8/0.35,H8/0.35*2)</f>
        <v>1.7746986285714289E-4</v>
      </c>
      <c r="O8" s="2">
        <f>IF('Modell einstellen'!$B$1="Voll",J8/0.35,J8/0.35*2)</f>
        <v>-5.0062142857142859E-4</v>
      </c>
      <c r="P8" s="3">
        <f t="shared" si="1"/>
        <v>0.35449913393353982</v>
      </c>
    </row>
    <row r="9" spans="1:16" x14ac:dyDescent="0.25">
      <c r="A9" s="3">
        <v>1.0000000000000001E-9</v>
      </c>
      <c r="B9" s="3">
        <v>-2.1050000000000001E-7</v>
      </c>
      <c r="C9" s="3">
        <v>1.3880000000000001E-4</v>
      </c>
      <c r="D9" s="3">
        <v>-4.1449999999999999E-4</v>
      </c>
      <c r="E9" s="3">
        <v>0</v>
      </c>
      <c r="F9" s="3">
        <v>0</v>
      </c>
      <c r="G9" s="3">
        <v>0</v>
      </c>
      <c r="H9" s="3">
        <v>3.1057226999999999E-5</v>
      </c>
      <c r="I9" s="3">
        <v>1.2660329000000001E-5</v>
      </c>
      <c r="J9" s="3">
        <v>-8.7608753000000005E-5</v>
      </c>
      <c r="L9" s="3">
        <f t="shared" si="0"/>
        <v>-5.0784077201447531E-4</v>
      </c>
      <c r="M9" s="3"/>
      <c r="N9" s="2">
        <f>IF('Modell einstellen'!$B$1="Voll",H9/0.35,H9/0.35*2)</f>
        <v>1.7746986857142857E-4</v>
      </c>
      <c r="O9" s="2">
        <f>IF('Modell einstellen'!$B$1="Voll",J9/0.35,J9/0.35*2)</f>
        <v>-5.0062144571428582E-4</v>
      </c>
      <c r="P9" s="3">
        <f t="shared" si="1"/>
        <v>0.35449913320875592</v>
      </c>
    </row>
    <row r="10" spans="1:16" x14ac:dyDescent="0.25">
      <c r="A10" s="3">
        <v>1E-8</v>
      </c>
      <c r="B10" s="3">
        <v>-2.1050000000000001E-7</v>
      </c>
      <c r="C10" s="3">
        <v>1.3880000000000001E-4</v>
      </c>
      <c r="D10" s="3">
        <v>-4.1449999999999999E-4</v>
      </c>
      <c r="E10" s="3">
        <v>0</v>
      </c>
      <c r="F10" s="3">
        <v>0</v>
      </c>
      <c r="G10" s="3">
        <v>0</v>
      </c>
      <c r="H10" s="3">
        <v>3.1057226999999999E-5</v>
      </c>
      <c r="I10" s="3">
        <v>1.2660329000000001E-5</v>
      </c>
      <c r="J10" s="3">
        <v>-8.7608754999999997E-5</v>
      </c>
      <c r="L10" s="3">
        <f t="shared" si="0"/>
        <v>-5.0784077201447531E-4</v>
      </c>
      <c r="M10" s="3"/>
      <c r="N10" s="2">
        <f>IF('Modell einstellen'!$B$1="Voll",H10/0.35,H10/0.35*2)</f>
        <v>1.7746986857142857E-4</v>
      </c>
      <c r="O10" s="2">
        <f>IF('Modell einstellen'!$B$1="Voll",J10/0.35,J10/0.35*2)</f>
        <v>-5.0062145714285713E-4</v>
      </c>
      <c r="P10" s="3">
        <f t="shared" si="1"/>
        <v>0.35449912511597731</v>
      </c>
    </row>
    <row r="11" spans="1:16" x14ac:dyDescent="0.25">
      <c r="A11" s="3">
        <v>9.9999999999999995E-8</v>
      </c>
      <c r="B11" s="3">
        <v>-2.1050000000000001E-7</v>
      </c>
      <c r="C11" s="3">
        <v>1.3880000000000001E-4</v>
      </c>
      <c r="D11" s="3">
        <v>-4.1449999999999999E-4</v>
      </c>
      <c r="E11" s="3">
        <v>0</v>
      </c>
      <c r="F11" s="3">
        <v>0</v>
      </c>
      <c r="G11" s="3">
        <v>0</v>
      </c>
      <c r="H11" s="3">
        <v>3.1057226999999999E-5</v>
      </c>
      <c r="I11" s="3">
        <v>1.266033E-5</v>
      </c>
      <c r="J11" s="3">
        <v>-8.7608754999999997E-5</v>
      </c>
      <c r="L11" s="3">
        <f t="shared" si="0"/>
        <v>-5.0784077201447531E-4</v>
      </c>
      <c r="M11" s="3"/>
      <c r="N11" s="2">
        <f>IF('Modell einstellen'!$B$1="Voll",H11/0.35,H11/0.35*2)</f>
        <v>1.7746986857142857E-4</v>
      </c>
      <c r="O11" s="2">
        <f>IF('Modell einstellen'!$B$1="Voll",J11/0.35,J11/0.35*2)</f>
        <v>-5.0062145714285713E-4</v>
      </c>
      <c r="P11" s="3">
        <f t="shared" si="1"/>
        <v>0.35449912511597731</v>
      </c>
    </row>
    <row r="12" spans="1:16" x14ac:dyDescent="0.25">
      <c r="A12" s="3">
        <v>9.9999999999999995E-7</v>
      </c>
      <c r="B12" s="3">
        <v>-2.1050000000000001E-7</v>
      </c>
      <c r="C12" s="3">
        <v>1.3880000000000001E-4</v>
      </c>
      <c r="D12" s="3">
        <v>-4.1449999999999999E-4</v>
      </c>
      <c r="E12" s="3">
        <v>0</v>
      </c>
      <c r="F12" s="3">
        <v>0</v>
      </c>
      <c r="G12" s="3">
        <v>0</v>
      </c>
      <c r="H12" s="3">
        <v>3.1057228000000001E-5</v>
      </c>
      <c r="I12" s="3">
        <v>1.266033E-5</v>
      </c>
      <c r="J12" s="3">
        <v>-8.7608755999999993E-5</v>
      </c>
      <c r="L12" s="3">
        <f t="shared" si="0"/>
        <v>-5.0784077201447531E-4</v>
      </c>
      <c r="M12" s="3"/>
      <c r="N12" s="2">
        <f>IF('Modell einstellen'!$B$1="Voll",H12/0.35,H12/0.35*2)</f>
        <v>1.774698742857143E-4</v>
      </c>
      <c r="O12" s="2">
        <f>IF('Modell einstellen'!$B$1="Voll",J12/0.35,J12/0.35*2)</f>
        <v>-5.0062146285714283E-4</v>
      </c>
      <c r="P12" s="3">
        <f t="shared" si="1"/>
        <v>0.3544991324839723</v>
      </c>
    </row>
    <row r="13" spans="1:16" x14ac:dyDescent="0.25">
      <c r="A13" s="3">
        <v>1.0000000000000001E-5</v>
      </c>
      <c r="B13" s="3">
        <v>-2.1050000000000001E-7</v>
      </c>
      <c r="C13" s="3">
        <v>1.3880000000000001E-4</v>
      </c>
      <c r="D13" s="3">
        <v>-4.1449999999999999E-4</v>
      </c>
      <c r="E13" s="3">
        <v>0</v>
      </c>
      <c r="F13" s="3">
        <v>0</v>
      </c>
      <c r="G13" s="3">
        <v>0</v>
      </c>
      <c r="H13" s="3">
        <v>3.1057228999999997E-5</v>
      </c>
      <c r="I13" s="3">
        <v>1.266033E-5</v>
      </c>
      <c r="J13" s="3">
        <v>-8.7608757999999999E-5</v>
      </c>
      <c r="L13" s="3">
        <f t="shared" si="0"/>
        <v>-5.0784077201447531E-4</v>
      </c>
      <c r="M13" s="3"/>
      <c r="N13" s="2">
        <f>IF('Modell einstellen'!$B$1="Voll",H13/0.35,H13/0.35*2)</f>
        <v>1.7746987999999998E-4</v>
      </c>
      <c r="O13" s="2">
        <f>IF('Modell einstellen'!$B$1="Voll",J13/0.35,J13/0.35*2)</f>
        <v>-5.0062147428571436E-4</v>
      </c>
      <c r="P13" s="3">
        <f t="shared" si="1"/>
        <v>0.35449913580557774</v>
      </c>
    </row>
    <row r="14" spans="1:16" x14ac:dyDescent="0.25">
      <c r="A14" s="3">
        <v>1E-4</v>
      </c>
      <c r="B14" s="3">
        <v>-2.1059999999999999E-7</v>
      </c>
      <c r="C14" s="3">
        <v>1.3880000000000001E-4</v>
      </c>
      <c r="D14" s="3">
        <v>-4.1449999999999999E-4</v>
      </c>
      <c r="E14" s="3">
        <v>0</v>
      </c>
      <c r="F14" s="3">
        <v>0</v>
      </c>
      <c r="G14" s="3">
        <v>0</v>
      </c>
      <c r="H14" s="3">
        <v>3.1057245999999997E-5</v>
      </c>
      <c r="I14" s="3">
        <v>1.2660333E-5</v>
      </c>
      <c r="J14" s="3">
        <v>-8.7608784000000003E-5</v>
      </c>
      <c r="L14" s="3">
        <f t="shared" si="0"/>
        <v>-5.0808202653799758E-4</v>
      </c>
      <c r="M14" s="3"/>
      <c r="N14" s="2">
        <f>IF('Modell einstellen'!$B$1="Voll",H14/0.35,H14/0.35*2)</f>
        <v>1.7746997714285714E-4</v>
      </c>
      <c r="O14" s="2">
        <f>IF('Modell einstellen'!$B$1="Voll",J14/0.35,J14/0.35*2)</f>
        <v>-5.0062162285714295E-4</v>
      </c>
      <c r="P14" s="3">
        <f t="shared" si="1"/>
        <v>0.354499224643958</v>
      </c>
    </row>
    <row r="15" spans="1:16" x14ac:dyDescent="0.25">
      <c r="A15" s="3">
        <v>1E-3</v>
      </c>
      <c r="B15" s="3">
        <v>-2.114E-7</v>
      </c>
      <c r="C15" s="3">
        <v>1.3880000000000001E-4</v>
      </c>
      <c r="D15" s="3">
        <v>-4.1449999999999999E-4</v>
      </c>
      <c r="E15" s="3">
        <v>0</v>
      </c>
      <c r="F15" s="3">
        <v>0</v>
      </c>
      <c r="G15" s="3">
        <v>0</v>
      </c>
      <c r="H15" s="3">
        <v>3.1057413000000001E-5</v>
      </c>
      <c r="I15" s="3">
        <v>1.2660361999999999E-5</v>
      </c>
      <c r="J15" s="3">
        <v>-8.7609042999999999E-5</v>
      </c>
      <c r="L15" s="3">
        <f t="shared" si="0"/>
        <v>-5.1001206272617615E-4</v>
      </c>
      <c r="M15" s="3"/>
      <c r="N15" s="2">
        <f>IF('Modell einstellen'!$B$1="Voll",H15/0.35,H15/0.35*2)</f>
        <v>1.7747093142857144E-4</v>
      </c>
      <c r="O15" s="2">
        <f>IF('Modell einstellen'!$B$1="Voll",J15/0.35,J15/0.35*2)</f>
        <v>-5.006231028571429E-4</v>
      </c>
      <c r="P15" s="3">
        <f t="shared" si="1"/>
        <v>0.35450008282820761</v>
      </c>
    </row>
    <row r="16" spans="1:16" x14ac:dyDescent="0.25">
      <c r="A16" s="3">
        <v>0.01</v>
      </c>
      <c r="B16" s="3">
        <v>-2.1969999999999999E-7</v>
      </c>
      <c r="C16" s="3">
        <v>1.3880000000000001E-4</v>
      </c>
      <c r="D16" s="3">
        <v>-4.1449999999999999E-4</v>
      </c>
      <c r="E16" s="3">
        <v>0</v>
      </c>
      <c r="F16" s="3">
        <v>0</v>
      </c>
      <c r="G16" s="3">
        <v>0</v>
      </c>
      <c r="H16" s="3">
        <v>3.1059078999999998E-5</v>
      </c>
      <c r="I16" s="3">
        <v>1.2660656E-5</v>
      </c>
      <c r="J16" s="3">
        <v>-8.7611627999999996E-5</v>
      </c>
      <c r="L16" s="3">
        <f t="shared" si="0"/>
        <v>-5.3003618817852832E-4</v>
      </c>
      <c r="M16" s="3"/>
      <c r="N16" s="2">
        <f>IF('Modell einstellen'!$B$1="Voll",H16/0.35,H16/0.35*2)</f>
        <v>1.7748045142857143E-4</v>
      </c>
      <c r="O16" s="2">
        <f>IF('Modell einstellen'!$B$1="Voll",J16/0.35,J16/0.35*2)</f>
        <v>-5.0063787428571431E-4</v>
      </c>
      <c r="P16" s="3">
        <f t="shared" si="1"/>
        <v>0.35450863896742107</v>
      </c>
    </row>
    <row r="17" spans="1:16" x14ac:dyDescent="0.25">
      <c r="A17" s="3">
        <v>0.1</v>
      </c>
      <c r="B17" s="3">
        <v>-3.0129999999999998E-7</v>
      </c>
      <c r="C17" s="3">
        <v>1.3889999999999999E-4</v>
      </c>
      <c r="D17" s="3">
        <v>-4.1449999999999999E-4</v>
      </c>
      <c r="E17" s="3">
        <v>0</v>
      </c>
      <c r="F17" s="3">
        <v>0</v>
      </c>
      <c r="G17" s="3">
        <v>0</v>
      </c>
      <c r="H17" s="3">
        <v>3.1075606000000001E-5</v>
      </c>
      <c r="I17" s="3">
        <v>1.2663564999999999E-5</v>
      </c>
      <c r="J17" s="3">
        <v>-8.7637275E-5</v>
      </c>
      <c r="L17" s="3">
        <f t="shared" si="0"/>
        <v>-7.2689987937273818E-4</v>
      </c>
      <c r="M17" s="3"/>
      <c r="N17" s="2">
        <f>IF('Modell einstellen'!$B$1="Voll",H17/0.35,H17/0.35*2)</f>
        <v>1.7757489142857145E-4</v>
      </c>
      <c r="O17" s="2">
        <f>IF('Modell einstellen'!$B$1="Voll",J17/0.35,J17/0.35*2)</f>
        <v>-5.0078442857142856E-4</v>
      </c>
      <c r="P17" s="3">
        <f t="shared" si="1"/>
        <v>0.35459347634896232</v>
      </c>
    </row>
    <row r="18" spans="1:16" x14ac:dyDescent="0.25">
      <c r="A18" s="3">
        <v>1</v>
      </c>
      <c r="B18" s="3">
        <v>-1.0580000000000001E-6</v>
      </c>
      <c r="C18" s="3">
        <v>1.392E-4</v>
      </c>
      <c r="D18" s="3">
        <v>-4.1439999999999999E-4</v>
      </c>
      <c r="E18" s="3">
        <v>0</v>
      </c>
      <c r="F18" s="3">
        <v>0</v>
      </c>
      <c r="G18" s="3">
        <v>0</v>
      </c>
      <c r="H18" s="3">
        <v>3.1228503999999999E-5</v>
      </c>
      <c r="I18" s="3">
        <v>1.2690472E-5</v>
      </c>
      <c r="J18" s="3">
        <v>-8.7874435999999999E-5</v>
      </c>
      <c r="L18" s="3">
        <f t="shared" si="0"/>
        <v>-2.5530888030888032E-3</v>
      </c>
      <c r="M18" s="3"/>
      <c r="N18" s="2">
        <f>IF('Modell einstellen'!$B$1="Voll",H18/0.35,H18/0.35*2)</f>
        <v>1.7844859428571428E-4</v>
      </c>
      <c r="O18" s="2">
        <f>IF('Modell einstellen'!$B$1="Voll",J18/0.35,J18/0.35*2)</f>
        <v>-5.0213963428571431E-4</v>
      </c>
      <c r="P18" s="3">
        <f t="shared" si="1"/>
        <v>0.35537643735204172</v>
      </c>
    </row>
    <row r="19" spans="1:16" x14ac:dyDescent="0.25">
      <c r="A19" s="3">
        <v>10</v>
      </c>
      <c r="B19" s="3">
        <v>-4.9529999999999998E-6</v>
      </c>
      <c r="C19" s="3">
        <v>1.406E-4</v>
      </c>
      <c r="D19" s="3">
        <v>-4.1379999999999998E-4</v>
      </c>
      <c r="E19" s="3">
        <v>0</v>
      </c>
      <c r="F19" s="3">
        <v>0</v>
      </c>
      <c r="G19" s="3">
        <v>0</v>
      </c>
      <c r="H19" s="3">
        <v>3.2012567000000002E-5</v>
      </c>
      <c r="I19" s="3">
        <v>1.2828450000000001E-5</v>
      </c>
      <c r="J19" s="3">
        <v>-8.9087209999999997E-5</v>
      </c>
      <c r="L19" s="3">
        <f t="shared" si="0"/>
        <v>-1.1969550507491543E-2</v>
      </c>
      <c r="M19" s="3"/>
      <c r="N19" s="2">
        <f>IF('Modell einstellen'!$B$1="Voll",H19/0.35,H19/0.35*2)</f>
        <v>1.8292895428571431E-4</v>
      </c>
      <c r="O19" s="2">
        <f>IF('Modell einstellen'!$B$1="Voll",J19/0.35,J19/0.35*2)</f>
        <v>-5.0906977142857143E-4</v>
      </c>
      <c r="P19" s="3">
        <f t="shared" si="1"/>
        <v>0.3593396515616552</v>
      </c>
    </row>
    <row r="20" spans="1:16" x14ac:dyDescent="0.25">
      <c r="A20" s="3">
        <v>100</v>
      </c>
      <c r="B20" s="3">
        <v>-9.4909999999999994E-6</v>
      </c>
      <c r="C20" s="3">
        <v>1.426E-4</v>
      </c>
      <c r="D20" s="3">
        <v>-4.1340000000000002E-4</v>
      </c>
      <c r="E20" s="3">
        <v>0</v>
      </c>
      <c r="F20" s="3">
        <v>0</v>
      </c>
      <c r="G20" s="3">
        <v>0</v>
      </c>
      <c r="H20" s="3">
        <v>3.3018448E-5</v>
      </c>
      <c r="I20" s="3">
        <v>1.3028255000000001E-5</v>
      </c>
      <c r="J20" s="3">
        <v>-9.0664129999999993E-5</v>
      </c>
      <c r="L20" s="3">
        <f t="shared" si="0"/>
        <v>-2.2958393807450409E-2</v>
      </c>
      <c r="M20" s="3"/>
      <c r="N20" s="2">
        <f>IF('Modell einstellen'!$B$1="Voll",H20/0.35,H20/0.35*2)</f>
        <v>1.8867684571428572E-4</v>
      </c>
      <c r="O20" s="2">
        <f>IF('Modell einstellen'!$B$1="Voll",J20/0.35,J20/0.35*2)</f>
        <v>-5.1808074285714285E-4</v>
      </c>
      <c r="P20" s="3">
        <f t="shared" si="1"/>
        <v>0.36418424794899595</v>
      </c>
    </row>
    <row r="21" spans="1:16" x14ac:dyDescent="0.25">
      <c r="A21" s="3">
        <v>1000</v>
      </c>
      <c r="B21" s="3">
        <v>-9.764E-6</v>
      </c>
      <c r="C21" s="3">
        <v>1.4799999999999999E-4</v>
      </c>
      <c r="D21" s="3">
        <v>-4.1970000000000001E-4</v>
      </c>
      <c r="E21" s="3">
        <v>0</v>
      </c>
      <c r="F21" s="3">
        <v>0</v>
      </c>
      <c r="G21" s="3">
        <v>0</v>
      </c>
      <c r="H21" s="3">
        <v>3.4538732999999999E-5</v>
      </c>
      <c r="I21" s="3">
        <v>1.3608382000000001E-5</v>
      </c>
      <c r="J21" s="3">
        <v>-9.3434165000000005E-5</v>
      </c>
      <c r="L21" s="3">
        <f t="shared" si="0"/>
        <v>-2.3264236359304264E-2</v>
      </c>
      <c r="M21" s="3"/>
      <c r="N21" s="2">
        <f>IF('Modell einstellen'!$B$1="Voll",H21/0.35,H21/0.35*2)</f>
        <v>1.9736418857142858E-4</v>
      </c>
      <c r="O21" s="2">
        <f>IF('Modell einstellen'!$B$1="Voll",J21/0.35,J21/0.35*2)</f>
        <v>-5.3390951428571433E-4</v>
      </c>
      <c r="P21" s="3">
        <f t="shared" si="1"/>
        <v>0.36965849697484854</v>
      </c>
    </row>
    <row r="22" spans="1:16" x14ac:dyDescent="0.25">
      <c r="A22" s="3">
        <v>10000</v>
      </c>
      <c r="B22" s="3">
        <v>1.483E-5</v>
      </c>
      <c r="C22" s="3">
        <v>1.6559999999999999E-4</v>
      </c>
      <c r="D22" s="3">
        <v>-4.571E-4</v>
      </c>
      <c r="E22" s="3">
        <v>0</v>
      </c>
      <c r="F22" s="3">
        <v>0</v>
      </c>
      <c r="G22" s="3">
        <v>0</v>
      </c>
      <c r="H22" s="3">
        <v>3.8008646E-5</v>
      </c>
      <c r="I22" s="3">
        <v>1.5896264E-5</v>
      </c>
      <c r="J22" s="3">
        <v>-1.0110831E-4</v>
      </c>
      <c r="L22" s="3">
        <f t="shared" si="0"/>
        <v>3.2443666593743162E-2</v>
      </c>
      <c r="M22" s="3"/>
      <c r="N22" s="2">
        <f>IF('Modell einstellen'!$B$1="Voll",H22/0.35,H22/0.35*2)</f>
        <v>2.1719226285714288E-4</v>
      </c>
      <c r="O22" s="2">
        <f>IF('Modell einstellen'!$B$1="Voll",J22/0.35,J22/0.35*2)</f>
        <v>-5.7776177142857151E-4</v>
      </c>
      <c r="P22" s="3">
        <f t="shared" si="1"/>
        <v>0.37592009994035108</v>
      </c>
    </row>
    <row r="23" spans="1:16" x14ac:dyDescent="0.25">
      <c r="A23" s="3">
        <v>100000</v>
      </c>
      <c r="B23" s="3">
        <v>8.7880000000000006E-5</v>
      </c>
      <c r="C23" s="3">
        <v>2.042E-4</v>
      </c>
      <c r="D23" s="3">
        <v>-5.5170000000000002E-4</v>
      </c>
      <c r="E23" s="3">
        <v>0</v>
      </c>
      <c r="F23" s="3">
        <v>0</v>
      </c>
      <c r="G23" s="3">
        <v>0</v>
      </c>
      <c r="H23" s="3">
        <v>4.4754742999999998E-5</v>
      </c>
      <c r="I23" s="3">
        <v>2.132142E-5</v>
      </c>
      <c r="J23" s="3">
        <v>-1.1748972E-4</v>
      </c>
      <c r="L23" s="3">
        <f t="shared" si="0"/>
        <v>0.15928946891426501</v>
      </c>
      <c r="M23" s="3"/>
      <c r="N23" s="2">
        <f>IF('Modell einstellen'!$B$1="Voll",H23/0.35,H23/0.35*2)</f>
        <v>2.5574138857142859E-4</v>
      </c>
      <c r="O23" s="2">
        <f>IF('Modell einstellen'!$B$1="Voll",J23/0.35,J23/0.35*2)</f>
        <v>-6.7136982857142859E-4</v>
      </c>
      <c r="P23" s="3">
        <f t="shared" si="1"/>
        <v>0.38092475665105002</v>
      </c>
    </row>
    <row r="24" spans="1:16" x14ac:dyDescent="0.25">
      <c r="A24" s="3">
        <v>1000000</v>
      </c>
      <c r="B24" s="3">
        <v>1.8100000000000001E-4</v>
      </c>
      <c r="C24" s="3">
        <v>2.5609999999999999E-4</v>
      </c>
      <c r="D24" s="3">
        <v>-6.759E-4</v>
      </c>
      <c r="E24" s="3">
        <v>0</v>
      </c>
      <c r="F24" s="3">
        <v>0</v>
      </c>
      <c r="G24" s="3">
        <v>0</v>
      </c>
      <c r="H24" s="3">
        <v>5.3184989999999999E-5</v>
      </c>
      <c r="I24" s="3">
        <v>2.8484888999999999E-5</v>
      </c>
      <c r="J24" s="3">
        <v>-1.3875454999999999E-4</v>
      </c>
      <c r="L24" s="3">
        <f t="shared" si="0"/>
        <v>0.26779109335700546</v>
      </c>
      <c r="M24" s="3"/>
      <c r="N24" s="2">
        <f>IF('Modell einstellen'!$B$1="Voll",H24/0.35,H24/0.35*2)</f>
        <v>3.0391422857142857E-4</v>
      </c>
      <c r="O24" s="2">
        <f>IF('Modell einstellen'!$B$1="Voll",J24/0.35,J24/0.35*2)</f>
        <v>-7.9288314285714287E-4</v>
      </c>
      <c r="P24" s="3">
        <f t="shared" si="1"/>
        <v>0.3833026736780884</v>
      </c>
    </row>
    <row r="25" spans="1:16" x14ac:dyDescent="0.25">
      <c r="A25" s="3">
        <v>10000000</v>
      </c>
      <c r="B25" s="3">
        <v>2.7050000000000002E-4</v>
      </c>
      <c r="C25" s="3">
        <v>3.1129999999999998E-4</v>
      </c>
      <c r="D25" s="3">
        <v>-8.0309999999999995E-4</v>
      </c>
      <c r="E25" s="3">
        <v>0</v>
      </c>
      <c r="F25" s="3">
        <v>0</v>
      </c>
      <c r="G25" s="3">
        <v>0</v>
      </c>
      <c r="H25" s="3">
        <v>6.1801477000000005E-5</v>
      </c>
      <c r="I25" s="3">
        <v>3.5928208000000001E-5</v>
      </c>
      <c r="J25" s="3">
        <v>-1.6098457E-4</v>
      </c>
      <c r="L25" s="3">
        <f t="shared" si="0"/>
        <v>0.33681982318515757</v>
      </c>
      <c r="M25" s="3"/>
      <c r="N25" s="2">
        <f>IF('Modell einstellen'!$B$1="Voll",H25/0.35,H25/0.35*2)</f>
        <v>3.531512971428572E-4</v>
      </c>
      <c r="O25" s="2">
        <f>IF('Modell einstellen'!$B$1="Voll",J25/0.35,J25/0.35*2)</f>
        <v>-9.1991182857142863E-4</v>
      </c>
      <c r="P25" s="3">
        <f t="shared" si="1"/>
        <v>0.38389689769646873</v>
      </c>
    </row>
    <row r="26" spans="1:16" x14ac:dyDescent="0.25">
      <c r="A26" s="3">
        <v>100000000</v>
      </c>
      <c r="B26" s="3">
        <v>3.4850000000000001E-4</v>
      </c>
      <c r="C26" s="3">
        <v>3.6539999999999999E-4</v>
      </c>
      <c r="D26" s="3">
        <v>-9.2210000000000002E-4</v>
      </c>
      <c r="E26" s="3">
        <v>0</v>
      </c>
      <c r="F26" s="3">
        <v>0</v>
      </c>
      <c r="G26" s="3">
        <v>0</v>
      </c>
      <c r="H26" s="3">
        <v>6.9798620999999997E-5</v>
      </c>
      <c r="I26" s="3">
        <v>4.3078177999999997E-5</v>
      </c>
      <c r="J26" s="3">
        <v>-1.8230262999999999E-4</v>
      </c>
      <c r="L26" s="3">
        <f t="shared" si="0"/>
        <v>0.37794165491812171</v>
      </c>
      <c r="M26" s="3"/>
      <c r="N26" s="2">
        <f>IF('Modell einstellen'!$B$1="Voll",H26/0.35,H26/0.35*2)</f>
        <v>3.9884926285714285E-4</v>
      </c>
      <c r="O26" s="2">
        <f>IF('Modell einstellen'!$B$1="Voll",J26/0.35,J26/0.35*2)</f>
        <v>-1.0417293142857143E-3</v>
      </c>
      <c r="P26" s="3">
        <f t="shared" si="1"/>
        <v>0.38287226574844252</v>
      </c>
    </row>
    <row r="27" spans="1:16" x14ac:dyDescent="0.25">
      <c r="A27" s="3">
        <v>1000000000</v>
      </c>
      <c r="B27" s="3">
        <v>4.148E-4</v>
      </c>
      <c r="C27" s="3">
        <v>4.1859999999999998E-4</v>
      </c>
      <c r="D27" s="3">
        <v>-1.0319999999999999E-3</v>
      </c>
      <c r="E27" s="3">
        <v>0</v>
      </c>
      <c r="F27" s="3">
        <v>0</v>
      </c>
      <c r="G27" s="3">
        <v>0</v>
      </c>
      <c r="H27" s="3">
        <v>7.7381785000000004E-5</v>
      </c>
      <c r="I27" s="3">
        <v>5.0071972000000001E-5</v>
      </c>
      <c r="J27" s="3">
        <v>-2.031461E-4</v>
      </c>
      <c r="L27" s="3">
        <f t="shared" si="0"/>
        <v>0.40193798449612406</v>
      </c>
      <c r="M27" s="3"/>
      <c r="N27" s="2">
        <f>IF('Modell einstellen'!$B$1="Voll",H27/0.35,H27/0.35*2)</f>
        <v>4.4218162857142862E-4</v>
      </c>
      <c r="O27" s="2">
        <f>IF('Modell einstellen'!$B$1="Voll",J27/0.35,J27/0.35*2)</f>
        <v>-1.1608348571428573E-3</v>
      </c>
      <c r="P27" s="3">
        <f t="shared" si="1"/>
        <v>0.380916911523283</v>
      </c>
    </row>
    <row r="28" spans="1:16" x14ac:dyDescent="0.25">
      <c r="A28" s="3">
        <v>10000000000</v>
      </c>
      <c r="B28" s="3">
        <v>4.7350000000000002E-4</v>
      </c>
      <c r="C28" s="3">
        <v>4.7370000000000002E-4</v>
      </c>
      <c r="D28" s="3">
        <v>-1.14E-3</v>
      </c>
      <c r="E28" s="3">
        <v>0</v>
      </c>
      <c r="F28" s="3">
        <v>0</v>
      </c>
      <c r="G28" s="3">
        <v>0</v>
      </c>
      <c r="H28" s="3">
        <v>8.5225997999999995E-5</v>
      </c>
      <c r="I28" s="3">
        <v>5.7410473999999997E-5</v>
      </c>
      <c r="J28" s="3">
        <v>-2.2511676999999999E-4</v>
      </c>
      <c r="L28" s="3">
        <f t="shared" si="0"/>
        <v>0.41535087719298247</v>
      </c>
      <c r="M28" s="3"/>
      <c r="N28" s="2">
        <f>IF('Modell einstellen'!$B$1="Voll",H28/0.35,H28/0.35*2)</f>
        <v>4.8700570285714287E-4</v>
      </c>
      <c r="O28" s="2">
        <f>IF('Modell einstellen'!$B$1="Voll",J28/0.35,J28/0.35*2)</f>
        <v>-1.286381542857143E-3</v>
      </c>
      <c r="P28" s="3">
        <f t="shared" si="1"/>
        <v>0.37858573574949567</v>
      </c>
    </row>
    <row r="29" spans="1:16" x14ac:dyDescent="0.25">
      <c r="A29" s="3">
        <v>100000000000</v>
      </c>
      <c r="B29" s="3">
        <v>5.3109999999999995E-4</v>
      </c>
      <c r="C29" s="3">
        <v>5.3700000000000004E-4</v>
      </c>
      <c r="D29" s="3">
        <v>-1.256E-3</v>
      </c>
      <c r="E29" s="3">
        <v>0</v>
      </c>
      <c r="F29" s="3">
        <v>0</v>
      </c>
      <c r="G29" s="3">
        <v>0</v>
      </c>
      <c r="H29" s="3">
        <v>9.4748646000000002E-5</v>
      </c>
      <c r="I29" s="3">
        <v>6.6146807000000001E-5</v>
      </c>
      <c r="J29" s="3">
        <v>-2.5166037E-4</v>
      </c>
      <c r="L29" s="3">
        <f t="shared" si="0"/>
        <v>0.42285031847133758</v>
      </c>
      <c r="M29" s="3"/>
      <c r="N29" s="2">
        <f>IF('Modell einstellen'!$B$1="Voll",H29/0.35,H29/0.35*2)</f>
        <v>5.4142083428571433E-4</v>
      </c>
      <c r="O29" s="2">
        <f>IF('Modell einstellen'!$B$1="Voll",J29/0.35,J29/0.35*2)</f>
        <v>-1.4380592571428571E-3</v>
      </c>
      <c r="P29" s="3">
        <f t="shared" si="1"/>
        <v>0.37649410592537874</v>
      </c>
    </row>
    <row r="30" spans="1:16" x14ac:dyDescent="0.25">
      <c r="A30" s="3">
        <v>1000000000000</v>
      </c>
      <c r="B30" s="3">
        <v>6.001E-4</v>
      </c>
      <c r="C30" s="3">
        <v>6.2589999999999998E-4</v>
      </c>
      <c r="D30" s="3">
        <v>-1.4120000000000001E-3</v>
      </c>
      <c r="E30" s="3">
        <v>0</v>
      </c>
      <c r="F30" s="3">
        <v>0</v>
      </c>
      <c r="G30" s="3">
        <v>0</v>
      </c>
      <c r="H30" s="3">
        <v>1.0932787E-4</v>
      </c>
      <c r="I30" s="3">
        <v>7.9054282000000004E-5</v>
      </c>
      <c r="J30" s="3">
        <v>-2.9155803000000002E-4</v>
      </c>
      <c r="L30" s="3">
        <f t="shared" si="0"/>
        <v>0.42499999999999999</v>
      </c>
      <c r="M30" s="3"/>
      <c r="N30" s="2">
        <f>IF('Modell einstellen'!$B$1="Voll",H30/0.35,H30/0.35*2)</f>
        <v>6.247306857142858E-4</v>
      </c>
      <c r="O30" s="2">
        <f>IF('Modell einstellen'!$B$1="Voll",J30/0.35,J30/0.35*2)</f>
        <v>-1.6660458857142859E-3</v>
      </c>
      <c r="P30" s="3">
        <f t="shared" si="1"/>
        <v>0.37497807897796537</v>
      </c>
    </row>
    <row r="31" spans="1:16" x14ac:dyDescent="0.25">
      <c r="A31" s="3">
        <v>10000000000000</v>
      </c>
      <c r="B31" s="3">
        <v>6.9169999999999995E-4</v>
      </c>
      <c r="C31" s="3">
        <v>7.6289999999999995E-4</v>
      </c>
      <c r="D31" s="3">
        <v>-1.639E-3</v>
      </c>
      <c r="E31" s="3">
        <v>0</v>
      </c>
      <c r="F31" s="3">
        <v>0</v>
      </c>
      <c r="G31" s="3">
        <v>0</v>
      </c>
      <c r="H31" s="3">
        <v>1.3335142000000001E-4</v>
      </c>
      <c r="I31" s="3">
        <v>9.9980936999999998E-5</v>
      </c>
      <c r="J31" s="3">
        <v>-3.5659767999999999E-4</v>
      </c>
      <c r="L31" s="3">
        <f t="shared" si="0"/>
        <v>0.42202562538133004</v>
      </c>
      <c r="M31" s="3"/>
      <c r="N31" s="2">
        <f>IF('Modell einstellen'!$B$1="Voll",H31/0.35,H31/0.35*2)</f>
        <v>7.6200811428571436E-4</v>
      </c>
      <c r="O31" s="2">
        <f>IF('Modell einstellen'!$B$1="Voll",J31/0.35,J31/0.35*2)</f>
        <v>-2.0377010285714285E-3</v>
      </c>
      <c r="P31" s="3">
        <f t="shared" si="1"/>
        <v>0.37395481653161627</v>
      </c>
    </row>
    <row r="32" spans="1:16" x14ac:dyDescent="0.25">
      <c r="A32" s="3">
        <v>100000000000000</v>
      </c>
      <c r="B32" s="3">
        <v>8.2319999999999995E-4</v>
      </c>
      <c r="C32" s="3">
        <v>1.003E-3</v>
      </c>
      <c r="D32" s="3">
        <v>-2.0070000000000001E-3</v>
      </c>
      <c r="E32" s="3">
        <v>0</v>
      </c>
      <c r="F32" s="3">
        <v>0</v>
      </c>
      <c r="G32" s="3">
        <v>0</v>
      </c>
      <c r="H32" s="3">
        <v>1.7787894E-4</v>
      </c>
      <c r="I32" s="3">
        <v>1.384678E-4</v>
      </c>
      <c r="J32" s="3">
        <v>-4.7622516E-4</v>
      </c>
      <c r="L32" s="3">
        <f t="shared" si="0"/>
        <v>0.41016442451420027</v>
      </c>
      <c r="M32" s="3"/>
      <c r="N32" s="2">
        <f>IF('Modell einstellen'!$B$1="Voll",H32/0.35,H32/0.35*2)</f>
        <v>1.0164510857142857E-3</v>
      </c>
      <c r="O32" s="2">
        <f>IF('Modell einstellen'!$B$1="Voll",J32/0.35,J32/0.35*2)</f>
        <v>-2.7212866285714287E-3</v>
      </c>
      <c r="P32" s="3">
        <f t="shared" si="1"/>
        <v>0.3735185684015519</v>
      </c>
    </row>
    <row r="33" spans="1:16" x14ac:dyDescent="0.25">
      <c r="A33" s="3">
        <v>1000000000000000</v>
      </c>
      <c r="B33" s="3">
        <v>1.034E-3</v>
      </c>
      <c r="C33" s="3">
        <v>1.5020000000000001E-3</v>
      </c>
      <c r="D33" s="3">
        <v>-2.709E-3</v>
      </c>
      <c r="E33" s="3">
        <v>0</v>
      </c>
      <c r="F33" s="3">
        <v>0</v>
      </c>
      <c r="G33" s="3">
        <v>0</v>
      </c>
      <c r="H33" s="3">
        <v>2.7562779000000001E-4</v>
      </c>
      <c r="I33" s="3">
        <v>2.2233333E-4</v>
      </c>
      <c r="J33" s="3">
        <v>-7.3649371000000005E-4</v>
      </c>
      <c r="L33" s="3">
        <f t="shared" si="0"/>
        <v>0.38169066076042818</v>
      </c>
      <c r="M33" s="3"/>
      <c r="N33" s="2">
        <f>IF('Modell einstellen'!$B$1="Voll",H33/0.35,H33/0.35*2)</f>
        <v>1.575015942857143E-3</v>
      </c>
      <c r="O33" s="2">
        <f>IF('Modell einstellen'!$B$1="Voll",J33/0.35,J33/0.35*2)</f>
        <v>-4.2085354857142859E-3</v>
      </c>
      <c r="P33" s="3">
        <f t="shared" si="1"/>
        <v>0.3742432369178007</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2.7999999999999999E-6</v>
      </c>
      <c r="C3" s="3">
        <v>1.3980000000000001E-4</v>
      </c>
      <c r="D3" s="3">
        <v>-4.1790000000000002E-4</v>
      </c>
      <c r="E3" s="3">
        <v>0</v>
      </c>
      <c r="F3" s="3">
        <v>0</v>
      </c>
      <c r="G3" s="3">
        <v>0</v>
      </c>
      <c r="H3" s="3">
        <v>3.1235717999999999E-5</v>
      </c>
      <c r="I3" s="3">
        <v>1.2815527999999999E-5</v>
      </c>
      <c r="J3" s="3">
        <v>-8.8120930999999997E-5</v>
      </c>
      <c r="K3" s="3"/>
      <c r="L3" s="3">
        <f>-B3/D3</f>
        <v>6.7001675041876039E-3</v>
      </c>
      <c r="M3" s="3"/>
      <c r="N3" s="2">
        <f>IF('Modell einstellen'!$B$1="Voll",H3/0.35,H3/0.35*2)</f>
        <v>1.7848981714285714E-4</v>
      </c>
      <c r="O3" s="2">
        <f>IF('Modell einstellen'!$B$1="Voll",J3/0.35,J3/0.35*2)</f>
        <v>-5.0354817714285717E-4</v>
      </c>
      <c r="P3" s="3">
        <f>-N3/O3</f>
        <v>0.35446423052430071</v>
      </c>
      <c r="Q3" s="3"/>
      <c r="R3" s="3"/>
      <c r="S3" s="3"/>
      <c r="T3" s="3"/>
      <c r="U3" s="3"/>
    </row>
    <row r="4" spans="1:21" x14ac:dyDescent="0.25">
      <c r="A4" s="3">
        <v>1E-14</v>
      </c>
      <c r="B4" s="3">
        <v>2.791E-6</v>
      </c>
      <c r="C4" s="3">
        <v>1.3990000000000001E-4</v>
      </c>
      <c r="D4" s="3">
        <v>-4.1790000000000002E-4</v>
      </c>
      <c r="E4" s="3">
        <v>0</v>
      </c>
      <c r="F4" s="3">
        <v>0</v>
      </c>
      <c r="G4" s="3">
        <v>0</v>
      </c>
      <c r="H4" s="3">
        <v>3.1235890000000003E-5</v>
      </c>
      <c r="I4" s="3">
        <v>1.2816456E-5</v>
      </c>
      <c r="J4" s="3">
        <v>-8.811956E-5</v>
      </c>
      <c r="K4" s="3"/>
      <c r="L4" s="3">
        <f t="shared" ref="L4:L33" si="0">-B4/D4</f>
        <v>6.6786312514955726E-3</v>
      </c>
      <c r="M4" s="3"/>
      <c r="N4" s="2">
        <f>IF('Modell einstellen'!$B$1="Voll",H4/0.35,H4/0.35*2)</f>
        <v>1.7849080000000004E-4</v>
      </c>
      <c r="O4" s="2">
        <f>IF('Modell einstellen'!$B$1="Voll",J4/0.35,J4/0.35*2)</f>
        <v>-5.0354034285714287E-4</v>
      </c>
      <c r="P4" s="3">
        <f t="shared" ref="P4:P33" si="1">-N4/O4</f>
        <v>0.35447169731669115</v>
      </c>
      <c r="Q4" s="3"/>
      <c r="R4" s="3"/>
      <c r="S4" s="3"/>
      <c r="T4" s="3"/>
      <c r="U4" s="3"/>
    </row>
    <row r="5" spans="1:21" x14ac:dyDescent="0.25">
      <c r="A5" s="3">
        <v>1E-13</v>
      </c>
      <c r="B5" s="3">
        <v>2.7930000000000002E-6</v>
      </c>
      <c r="C5" s="3">
        <v>1.3990000000000001E-4</v>
      </c>
      <c r="D5" s="3">
        <v>-4.1790000000000002E-4</v>
      </c>
      <c r="E5" s="3">
        <v>0</v>
      </c>
      <c r="F5" s="3">
        <v>0</v>
      </c>
      <c r="G5" s="3">
        <v>0</v>
      </c>
      <c r="H5" s="3">
        <v>3.1236063000000003E-5</v>
      </c>
      <c r="I5" s="3">
        <v>1.2816611E-5</v>
      </c>
      <c r="J5" s="3">
        <v>-8.8120023000000006E-5</v>
      </c>
      <c r="K5" s="3"/>
      <c r="L5" s="3">
        <f t="shared" si="0"/>
        <v>6.6834170854271355E-3</v>
      </c>
      <c r="M5" s="3"/>
      <c r="N5" s="2">
        <f>IF('Modell einstellen'!$B$1="Voll",H5/0.35,H5/0.35*2)</f>
        <v>1.7849178857142861E-4</v>
      </c>
      <c r="O5" s="2">
        <f>IF('Modell einstellen'!$B$1="Voll",J5/0.35,J5/0.35*2)</f>
        <v>-5.0354298857142865E-4</v>
      </c>
      <c r="P5" s="3">
        <f t="shared" si="1"/>
        <v>0.35447179808384754</v>
      </c>
      <c r="Q5" s="3"/>
      <c r="R5" s="3"/>
      <c r="S5" s="3"/>
      <c r="T5" s="3"/>
      <c r="U5" s="3"/>
    </row>
    <row r="6" spans="1:21" x14ac:dyDescent="0.25">
      <c r="A6" s="3">
        <v>9.9999999999999998E-13</v>
      </c>
      <c r="B6" s="3">
        <v>2.7930000000000002E-6</v>
      </c>
      <c r="C6" s="3">
        <v>1.3990000000000001E-4</v>
      </c>
      <c r="D6" s="3">
        <v>-4.1790000000000002E-4</v>
      </c>
      <c r="E6" s="3">
        <v>0</v>
      </c>
      <c r="F6" s="3">
        <v>0</v>
      </c>
      <c r="G6" s="3">
        <v>0</v>
      </c>
      <c r="H6" s="3">
        <v>3.1236106E-5</v>
      </c>
      <c r="I6" s="3">
        <v>1.2816653E-5</v>
      </c>
      <c r="J6" s="3">
        <v>-8.8120143999999997E-5</v>
      </c>
      <c r="K6" s="3"/>
      <c r="L6" s="3">
        <f t="shared" si="0"/>
        <v>6.6834170854271355E-3</v>
      </c>
      <c r="M6" s="3"/>
      <c r="N6" s="2">
        <f>IF('Modell einstellen'!$B$1="Voll",H6/0.35,H6/0.35*2)</f>
        <v>1.7849203428571431E-4</v>
      </c>
      <c r="O6" s="2">
        <f>IF('Modell einstellen'!$B$1="Voll",J6/0.35,J6/0.35*2)</f>
        <v>-5.0354368000000006E-4</v>
      </c>
      <c r="P6" s="3">
        <f t="shared" si="1"/>
        <v>0.35447179931980138</v>
      </c>
      <c r="Q6" s="3"/>
      <c r="R6" s="3"/>
      <c r="S6" s="3"/>
      <c r="T6" s="3"/>
      <c r="U6" s="3"/>
    </row>
    <row r="7" spans="1:21" x14ac:dyDescent="0.25">
      <c r="A7" s="3">
        <v>9.9999999999999994E-12</v>
      </c>
      <c r="B7" s="3">
        <v>2.7930000000000002E-6</v>
      </c>
      <c r="C7" s="3">
        <v>1.3990000000000001E-4</v>
      </c>
      <c r="D7" s="3">
        <v>-4.1790000000000002E-4</v>
      </c>
      <c r="E7" s="3">
        <v>0</v>
      </c>
      <c r="F7" s="3">
        <v>0</v>
      </c>
      <c r="G7" s="3">
        <v>0</v>
      </c>
      <c r="H7" s="3">
        <v>3.1236119000000003E-5</v>
      </c>
      <c r="I7" s="3">
        <v>1.2816665E-5</v>
      </c>
      <c r="J7" s="3">
        <v>-8.8120179000000006E-5</v>
      </c>
      <c r="K7" s="3"/>
      <c r="L7" s="3">
        <f t="shared" si="0"/>
        <v>6.6834170854271355E-3</v>
      </c>
      <c r="M7" s="3"/>
      <c r="N7" s="2">
        <f>IF('Modell einstellen'!$B$1="Voll",H7/0.35,H7/0.35*2)</f>
        <v>1.7849210857142861E-4</v>
      </c>
      <c r="O7" s="2">
        <f>IF('Modell einstellen'!$B$1="Voll",J7/0.35,J7/0.35*2)</f>
        <v>-5.0354388000000002E-4</v>
      </c>
      <c r="P7" s="3">
        <f t="shared" si="1"/>
        <v>0.35447180605477441</v>
      </c>
      <c r="Q7" s="3"/>
      <c r="R7" s="3"/>
      <c r="S7" s="3"/>
      <c r="T7" s="3"/>
      <c r="U7" s="3"/>
    </row>
    <row r="8" spans="1:21" x14ac:dyDescent="0.25">
      <c r="A8" s="3">
        <v>1E-10</v>
      </c>
      <c r="B8" s="3">
        <v>2.7930000000000002E-6</v>
      </c>
      <c r="C8" s="3">
        <v>1.3990000000000001E-4</v>
      </c>
      <c r="D8" s="3">
        <v>-4.1790000000000002E-4</v>
      </c>
      <c r="E8" s="3">
        <v>0</v>
      </c>
      <c r="F8" s="3">
        <v>0</v>
      </c>
      <c r="G8" s="3">
        <v>0</v>
      </c>
      <c r="H8" s="3">
        <v>3.1236121999999997E-5</v>
      </c>
      <c r="I8" s="3">
        <v>1.2816669000000001E-5</v>
      </c>
      <c r="J8" s="3">
        <v>-8.8120190000000003E-5</v>
      </c>
      <c r="K8" s="3"/>
      <c r="L8" s="3">
        <f t="shared" si="0"/>
        <v>6.6834170854271355E-3</v>
      </c>
      <c r="M8" s="3"/>
      <c r="N8" s="2">
        <f>IF('Modell einstellen'!$B$1="Voll",H8/0.35,H8/0.35*2)</f>
        <v>1.784921257142857E-4</v>
      </c>
      <c r="O8" s="2">
        <f>IF('Modell einstellen'!$B$1="Voll",J8/0.35,J8/0.35*2)</f>
        <v>-5.0354394285714291E-4</v>
      </c>
      <c r="P8" s="3">
        <f t="shared" si="1"/>
        <v>0.35447179585064437</v>
      </c>
      <c r="Q8" s="3"/>
      <c r="R8" s="3"/>
      <c r="S8" s="3"/>
      <c r="T8" s="3"/>
      <c r="U8" s="3"/>
    </row>
    <row r="9" spans="1:21" x14ac:dyDescent="0.25">
      <c r="A9" s="3">
        <v>1.0000000000000001E-9</v>
      </c>
      <c r="B9" s="3">
        <v>2.7930000000000002E-6</v>
      </c>
      <c r="C9" s="3">
        <v>1.3990000000000001E-4</v>
      </c>
      <c r="D9" s="3">
        <v>-4.1790000000000002E-4</v>
      </c>
      <c r="E9" s="3">
        <v>0</v>
      </c>
      <c r="F9" s="3">
        <v>0</v>
      </c>
      <c r="G9" s="3">
        <v>0</v>
      </c>
      <c r="H9" s="3">
        <v>3.1236123E-5</v>
      </c>
      <c r="I9" s="3">
        <v>1.281667E-5</v>
      </c>
      <c r="J9" s="3">
        <v>-8.8120194000000001E-5</v>
      </c>
      <c r="K9" s="3"/>
      <c r="L9" s="3">
        <f t="shared" si="0"/>
        <v>6.6834170854271355E-3</v>
      </c>
      <c r="M9" s="3"/>
      <c r="N9" s="2">
        <f>IF('Modell einstellen'!$B$1="Voll",H9/0.35,H9/0.35*2)</f>
        <v>1.7849213142857143E-4</v>
      </c>
      <c r="O9" s="2">
        <f>IF('Modell einstellen'!$B$1="Voll",J9/0.35,J9/0.35*2)</f>
        <v>-5.0354396571428573E-4</v>
      </c>
      <c r="P9" s="3">
        <f t="shared" si="1"/>
        <v>0.3544717911084036</v>
      </c>
      <c r="Q9" s="3"/>
      <c r="R9" s="3"/>
      <c r="S9" s="3"/>
      <c r="T9" s="3"/>
      <c r="U9" s="3"/>
    </row>
    <row r="10" spans="1:21" x14ac:dyDescent="0.25">
      <c r="A10" s="3">
        <v>1E-8</v>
      </c>
      <c r="B10" s="3">
        <v>2.7930000000000002E-6</v>
      </c>
      <c r="C10" s="3">
        <v>1.3990000000000001E-4</v>
      </c>
      <c r="D10" s="3">
        <v>-4.1790000000000002E-4</v>
      </c>
      <c r="E10" s="3">
        <v>0</v>
      </c>
      <c r="F10" s="3">
        <v>0</v>
      </c>
      <c r="G10" s="3">
        <v>0</v>
      </c>
      <c r="H10" s="3">
        <v>3.1236124000000003E-5</v>
      </c>
      <c r="I10" s="3">
        <v>1.2816670999999999E-5</v>
      </c>
      <c r="J10" s="3">
        <v>-8.8120194999999997E-5</v>
      </c>
      <c r="K10" s="3"/>
      <c r="L10" s="3">
        <f t="shared" si="0"/>
        <v>6.6834170854271355E-3</v>
      </c>
      <c r="M10" s="3"/>
      <c r="N10" s="2">
        <f>IF('Modell einstellen'!$B$1="Voll",H10/0.35,H10/0.35*2)</f>
        <v>1.7849213714285717E-4</v>
      </c>
      <c r="O10" s="2">
        <f>IF('Modell einstellen'!$B$1="Voll",J10/0.35,J10/0.35*2)</f>
        <v>-5.0354397142857144E-4</v>
      </c>
      <c r="P10" s="3">
        <f t="shared" si="1"/>
        <v>0.35447179843394588</v>
      </c>
      <c r="Q10" s="3"/>
      <c r="R10" s="3"/>
      <c r="S10" s="3"/>
      <c r="T10" s="3"/>
      <c r="U10" s="3"/>
    </row>
    <row r="11" spans="1:21" x14ac:dyDescent="0.25">
      <c r="A11" s="3">
        <v>9.9999999999999995E-8</v>
      </c>
      <c r="B11" s="3">
        <v>2.7930000000000002E-6</v>
      </c>
      <c r="C11" s="3">
        <v>1.3990000000000001E-4</v>
      </c>
      <c r="D11" s="3">
        <v>-4.1790000000000002E-4</v>
      </c>
      <c r="E11" s="3">
        <v>0</v>
      </c>
      <c r="F11" s="3">
        <v>0</v>
      </c>
      <c r="G11" s="3">
        <v>0</v>
      </c>
      <c r="H11" s="3">
        <v>3.1236126000000002E-5</v>
      </c>
      <c r="I11" s="3">
        <v>1.2816670999999999E-5</v>
      </c>
      <c r="J11" s="3">
        <v>-8.8120197999999998E-5</v>
      </c>
      <c r="K11" s="3"/>
      <c r="L11" s="3">
        <f t="shared" si="0"/>
        <v>6.6834170854271355E-3</v>
      </c>
      <c r="M11" s="3"/>
      <c r="N11" s="2">
        <f>IF('Modell einstellen'!$B$1="Voll",H11/0.35,H11/0.35*2)</f>
        <v>1.7849214857142858E-4</v>
      </c>
      <c r="O11" s="2">
        <f>IF('Modell einstellen'!$B$1="Voll",J11/0.35,J11/0.35*2)</f>
        <v>-5.0354398857142856E-4</v>
      </c>
      <c r="P11" s="3">
        <f t="shared" si="1"/>
        <v>0.35447180906243542</v>
      </c>
      <c r="Q11" s="3"/>
      <c r="R11" s="3"/>
      <c r="S11" s="3"/>
      <c r="T11" s="3"/>
      <c r="U11" s="3"/>
    </row>
    <row r="12" spans="1:21" x14ac:dyDescent="0.25">
      <c r="A12" s="3">
        <v>9.9999999999999995E-7</v>
      </c>
      <c r="B12" s="3">
        <v>2.7930000000000002E-6</v>
      </c>
      <c r="C12" s="3">
        <v>1.3990000000000001E-4</v>
      </c>
      <c r="D12" s="3">
        <v>-4.1790000000000002E-4</v>
      </c>
      <c r="E12" s="3">
        <v>0</v>
      </c>
      <c r="F12" s="3">
        <v>0</v>
      </c>
      <c r="G12" s="3">
        <v>0</v>
      </c>
      <c r="H12" s="3">
        <v>3.1236141000000003E-5</v>
      </c>
      <c r="I12" s="3">
        <v>1.2816673999999999E-5</v>
      </c>
      <c r="J12" s="3">
        <v>-8.8120223000000007E-5</v>
      </c>
      <c r="K12" s="3"/>
      <c r="L12" s="3">
        <f t="shared" si="0"/>
        <v>6.6834170854271355E-3</v>
      </c>
      <c r="M12" s="3"/>
      <c r="N12" s="2">
        <f>IF('Modell einstellen'!$B$1="Voll",H12/0.35,H12/0.35*2)</f>
        <v>1.7849223428571432E-4</v>
      </c>
      <c r="O12" s="2">
        <f>IF('Modell einstellen'!$B$1="Voll",J12/0.35,J12/0.35*2)</f>
        <v>-5.0354413142857145E-4</v>
      </c>
      <c r="P12" s="3">
        <f t="shared" si="1"/>
        <v>0.35447187871959884</v>
      </c>
      <c r="Q12" s="3"/>
      <c r="R12" s="3"/>
      <c r="S12" s="3"/>
      <c r="T12" s="3"/>
      <c r="U12" s="3"/>
    </row>
    <row r="13" spans="1:21" x14ac:dyDescent="0.25">
      <c r="A13" s="3">
        <v>1.0000000000000001E-5</v>
      </c>
      <c r="B13" s="3">
        <v>2.7920000000000001E-6</v>
      </c>
      <c r="C13" s="3">
        <v>1.3990000000000001E-4</v>
      </c>
      <c r="D13" s="3">
        <v>-4.1790000000000002E-4</v>
      </c>
      <c r="E13" s="3">
        <v>0</v>
      </c>
      <c r="F13" s="3">
        <v>0</v>
      </c>
      <c r="G13" s="3">
        <v>0</v>
      </c>
      <c r="H13" s="3">
        <v>3.1236297000000003E-5</v>
      </c>
      <c r="I13" s="3">
        <v>1.2816701999999999E-5</v>
      </c>
      <c r="J13" s="3">
        <v>-8.8120465999999998E-5</v>
      </c>
      <c r="K13" s="3"/>
      <c r="L13" s="3">
        <f t="shared" si="0"/>
        <v>6.6810241684613541E-3</v>
      </c>
      <c r="M13" s="3"/>
      <c r="N13" s="2">
        <f>IF('Modell einstellen'!$B$1="Voll",H13/0.35,H13/0.35*2)</f>
        <v>1.7849312571428574E-4</v>
      </c>
      <c r="O13" s="2">
        <f>IF('Modell einstellen'!$B$1="Voll",J13/0.35,J13/0.35*2)</f>
        <v>-5.0354551999999997E-4</v>
      </c>
      <c r="P13" s="3">
        <f t="shared" si="1"/>
        <v>0.35447267153580425</v>
      </c>
      <c r="Q13" s="3"/>
      <c r="R13" s="3"/>
      <c r="S13" s="3"/>
      <c r="T13" s="3"/>
      <c r="U13" s="3"/>
    </row>
    <row r="14" spans="1:21" x14ac:dyDescent="0.25">
      <c r="A14" s="3">
        <v>1E-4</v>
      </c>
      <c r="B14" s="3">
        <v>2.785E-6</v>
      </c>
      <c r="C14" s="3">
        <v>1.3990000000000001E-4</v>
      </c>
      <c r="D14" s="3">
        <v>-4.1790000000000002E-4</v>
      </c>
      <c r="E14" s="3">
        <v>0</v>
      </c>
      <c r="F14" s="3">
        <v>0</v>
      </c>
      <c r="G14" s="3">
        <v>0</v>
      </c>
      <c r="H14" s="3">
        <v>3.1237858E-5</v>
      </c>
      <c r="I14" s="3">
        <v>1.281698E-5</v>
      </c>
      <c r="J14" s="3">
        <v>-8.8122893000000004E-5</v>
      </c>
      <c r="K14" s="3"/>
      <c r="L14" s="3">
        <f t="shared" si="0"/>
        <v>6.6642737497008848E-3</v>
      </c>
      <c r="M14" s="3"/>
      <c r="N14" s="2">
        <f>IF('Modell einstellen'!$B$1="Voll",H14/0.35,H14/0.35*2)</f>
        <v>1.7850204571428572E-4</v>
      </c>
      <c r="O14" s="2">
        <f>IF('Modell einstellen'!$B$1="Voll",J14/0.35,J14/0.35*2)</f>
        <v>-5.0355938857142861E-4</v>
      </c>
      <c r="P14" s="3">
        <f t="shared" si="1"/>
        <v>0.35448062287287818</v>
      </c>
      <c r="Q14" s="3"/>
      <c r="R14" s="3"/>
      <c r="S14" s="3"/>
      <c r="T14" s="3"/>
      <c r="U14" s="3"/>
    </row>
    <row r="15" spans="1:21" x14ac:dyDescent="0.25">
      <c r="A15" s="3">
        <v>1E-3</v>
      </c>
      <c r="B15" s="3">
        <v>2.7089999999999998E-6</v>
      </c>
      <c r="C15" s="3">
        <v>1.3990000000000001E-4</v>
      </c>
      <c r="D15" s="3">
        <v>-4.1790000000000002E-4</v>
      </c>
      <c r="E15" s="3">
        <v>0</v>
      </c>
      <c r="F15" s="3">
        <v>0</v>
      </c>
      <c r="G15" s="3">
        <v>0</v>
      </c>
      <c r="H15" s="3">
        <v>3.1253347999999999E-5</v>
      </c>
      <c r="I15" s="3">
        <v>1.2819741000000001E-5</v>
      </c>
      <c r="J15" s="3">
        <v>-8.8146982999999995E-5</v>
      </c>
      <c r="K15" s="3"/>
      <c r="L15" s="3">
        <f t="shared" si="0"/>
        <v>6.4824120603015067E-3</v>
      </c>
      <c r="M15" s="3"/>
      <c r="N15" s="2">
        <f>IF('Modell einstellen'!$B$1="Voll",H15/0.35,H15/0.35*2)</f>
        <v>1.7859055999999999E-4</v>
      </c>
      <c r="O15" s="2">
        <f>IF('Modell einstellen'!$B$1="Voll",J15/0.35,J15/0.35*2)</f>
        <v>-5.0369704571428576E-4</v>
      </c>
      <c r="P15" s="3">
        <f t="shared" si="1"/>
        <v>0.35455947482626826</v>
      </c>
      <c r="Q15" s="3"/>
      <c r="R15" s="3"/>
      <c r="S15" s="3"/>
      <c r="T15" s="3"/>
      <c r="U15" s="3"/>
    </row>
    <row r="16" spans="1:21" x14ac:dyDescent="0.25">
      <c r="A16" s="3">
        <v>0.01</v>
      </c>
      <c r="B16" s="3">
        <v>2.0020000000000001E-6</v>
      </c>
      <c r="C16" s="3">
        <v>1.4019999999999999E-4</v>
      </c>
      <c r="D16" s="3">
        <v>-4.1780000000000002E-4</v>
      </c>
      <c r="E16" s="3">
        <v>0</v>
      </c>
      <c r="F16" s="3">
        <v>0</v>
      </c>
      <c r="G16" s="3">
        <v>0</v>
      </c>
      <c r="H16" s="3">
        <v>3.1397328999999998E-5</v>
      </c>
      <c r="I16" s="3">
        <v>1.2845382E-5</v>
      </c>
      <c r="J16" s="3">
        <v>-8.8370785999999999E-5</v>
      </c>
      <c r="K16" s="3"/>
      <c r="L16" s="3">
        <f t="shared" si="0"/>
        <v>4.7917663954044993E-3</v>
      </c>
      <c r="M16" s="3"/>
      <c r="N16" s="2">
        <f>IF('Modell einstellen'!$B$1="Voll",H16/0.35,H16/0.35*2)</f>
        <v>1.7941330857142857E-4</v>
      </c>
      <c r="O16" s="2">
        <f>IF('Modell einstellen'!$B$1="Voll",J16/0.35,J16/0.35*2)</f>
        <v>-5.0497592000000007E-4</v>
      </c>
      <c r="P16" s="3">
        <f t="shared" si="1"/>
        <v>0.35529081975122406</v>
      </c>
      <c r="Q16" s="3"/>
      <c r="R16" s="3"/>
      <c r="S16" s="3"/>
      <c r="T16" s="3"/>
      <c r="U16" s="3"/>
    </row>
    <row r="17" spans="1:25" x14ac:dyDescent="0.25">
      <c r="A17" s="3">
        <v>0.1</v>
      </c>
      <c r="B17" s="3">
        <v>-1.7880000000000001E-6</v>
      </c>
      <c r="C17" s="3">
        <v>1.415E-4</v>
      </c>
      <c r="D17" s="3">
        <v>-4.172E-4</v>
      </c>
      <c r="E17" s="3">
        <v>0</v>
      </c>
      <c r="F17" s="3">
        <v>0</v>
      </c>
      <c r="G17" s="3">
        <v>0</v>
      </c>
      <c r="H17" s="3">
        <v>3.2160942000000001E-5</v>
      </c>
      <c r="I17" s="3">
        <v>1.2980250999999999E-5</v>
      </c>
      <c r="J17" s="3">
        <v>-8.9553057000000004E-5</v>
      </c>
      <c r="K17" s="3"/>
      <c r="L17" s="3">
        <f t="shared" si="0"/>
        <v>-4.2857142857142859E-3</v>
      </c>
      <c r="M17" s="3"/>
      <c r="N17" s="2">
        <f>IF('Modell einstellen'!$B$1="Voll",H17/0.35,H17/0.35*2)</f>
        <v>1.8377681142857144E-4</v>
      </c>
      <c r="O17" s="2">
        <f>IF('Modell einstellen'!$B$1="Voll",J17/0.35,J17/0.35*2)</f>
        <v>-5.1173175428571437E-4</v>
      </c>
      <c r="P17" s="3">
        <f t="shared" si="1"/>
        <v>0.35912723783399148</v>
      </c>
      <c r="Q17" s="3"/>
      <c r="R17" s="3"/>
      <c r="S17" s="3"/>
      <c r="T17" s="3"/>
      <c r="U17" s="3"/>
      <c r="V17" s="3"/>
      <c r="W17" s="3"/>
      <c r="X17" s="3"/>
      <c r="Y17" s="3"/>
    </row>
    <row r="18" spans="1:25" x14ac:dyDescent="0.25">
      <c r="A18" s="3">
        <v>1</v>
      </c>
      <c r="B18" s="3">
        <v>-6.6980000000000001E-6</v>
      </c>
      <c r="C18" s="3">
        <v>1.4329999999999999E-4</v>
      </c>
      <c r="D18" s="3">
        <v>-4.1629999999999998E-4</v>
      </c>
      <c r="E18" s="3">
        <v>0</v>
      </c>
      <c r="F18" s="3">
        <v>0</v>
      </c>
      <c r="G18" s="3">
        <v>0</v>
      </c>
      <c r="H18" s="3">
        <v>3.3138130999999999E-5</v>
      </c>
      <c r="I18" s="3">
        <v>1.3154457999999999E-5</v>
      </c>
      <c r="J18" s="3">
        <v>-9.1057651000000007E-5</v>
      </c>
      <c r="K18" s="3"/>
      <c r="L18" s="3">
        <f t="shared" si="0"/>
        <v>-1.6089358635599328E-2</v>
      </c>
      <c r="M18" s="3"/>
      <c r="N18" s="2">
        <f>IF('Modell einstellen'!$B$1="Voll",H18/0.35,H18/0.35*2)</f>
        <v>1.8936074857142857E-4</v>
      </c>
      <c r="O18" s="2">
        <f>IF('Modell einstellen'!$B$1="Voll",J18/0.35,J18/0.35*2)</f>
        <v>-5.2032943428571431E-4</v>
      </c>
      <c r="P18" s="3">
        <f t="shared" si="1"/>
        <v>0.36392472940027848</v>
      </c>
      <c r="Q18" s="3"/>
      <c r="R18" s="3"/>
      <c r="S18" s="3"/>
      <c r="T18" s="3"/>
      <c r="U18" s="3"/>
      <c r="V18" s="3"/>
      <c r="W18" s="3"/>
      <c r="X18" s="3"/>
      <c r="Y18" s="3"/>
    </row>
    <row r="19" spans="1:25" x14ac:dyDescent="0.25">
      <c r="A19" s="3">
        <v>10</v>
      </c>
      <c r="B19" s="3">
        <v>-1.234E-5</v>
      </c>
      <c r="C19" s="3">
        <v>1.4559999999999999E-4</v>
      </c>
      <c r="D19" s="3">
        <v>-4.1540000000000001E-4</v>
      </c>
      <c r="E19" s="3">
        <v>0</v>
      </c>
      <c r="F19" s="3">
        <v>0</v>
      </c>
      <c r="G19" s="3">
        <v>0</v>
      </c>
      <c r="H19" s="3">
        <v>3.4301867999999997E-5</v>
      </c>
      <c r="I19" s="3">
        <v>1.3375047999999999E-5</v>
      </c>
      <c r="J19" s="3">
        <v>-9.2855729000000005E-5</v>
      </c>
      <c r="K19" s="3"/>
      <c r="L19" s="3">
        <f t="shared" si="0"/>
        <v>-2.9706307173808379E-2</v>
      </c>
      <c r="M19" s="3"/>
      <c r="N19" s="2">
        <f>IF('Modell einstellen'!$B$1="Voll",H19/0.35,H19/0.35*2)</f>
        <v>1.9601067428571427E-4</v>
      </c>
      <c r="O19" s="2">
        <f>IF('Modell einstellen'!$B$1="Voll",J19/0.35,J19/0.35*2)</f>
        <v>-5.3060416571428578E-4</v>
      </c>
      <c r="P19" s="3">
        <f t="shared" si="1"/>
        <v>0.36941035700662039</v>
      </c>
      <c r="Q19" s="3"/>
      <c r="R19" s="3"/>
      <c r="S19" s="3"/>
      <c r="T19" s="3"/>
      <c r="U19" s="3"/>
      <c r="V19" s="3"/>
      <c r="W19" s="3"/>
      <c r="X19" s="3"/>
      <c r="Y19" s="3"/>
    </row>
    <row r="20" spans="1:25" x14ac:dyDescent="0.25">
      <c r="A20" s="3">
        <v>100</v>
      </c>
      <c r="B20" s="3">
        <v>-1.5670000000000001E-5</v>
      </c>
      <c r="C20" s="3">
        <v>1.5100000000000001E-4</v>
      </c>
      <c r="D20" s="3">
        <v>-4.1950000000000001E-4</v>
      </c>
      <c r="E20" s="3">
        <v>0</v>
      </c>
      <c r="F20" s="3">
        <v>0</v>
      </c>
      <c r="G20" s="3">
        <v>0</v>
      </c>
      <c r="H20" s="3">
        <v>3.6044205999999999E-5</v>
      </c>
      <c r="I20" s="3">
        <v>1.3933207999999999E-5</v>
      </c>
      <c r="J20" s="3">
        <v>-9.5866473999999997E-5</v>
      </c>
      <c r="K20" s="3"/>
      <c r="L20" s="3">
        <f t="shared" si="0"/>
        <v>-3.7353992848629322E-2</v>
      </c>
      <c r="M20" s="3"/>
      <c r="N20" s="2">
        <f>IF('Modell einstellen'!$B$1="Voll",H20/0.35,H20/0.35*2)</f>
        <v>2.0596689142857145E-4</v>
      </c>
      <c r="O20" s="2">
        <f>IF('Modell einstellen'!$B$1="Voll",J20/0.35,J20/0.35*2)</f>
        <v>-5.4780842285714285E-4</v>
      </c>
      <c r="P20" s="3">
        <f t="shared" si="1"/>
        <v>0.3759834329569689</v>
      </c>
      <c r="Q20" s="3"/>
      <c r="R20" s="3"/>
      <c r="S20" s="3"/>
      <c r="T20" s="3"/>
      <c r="U20" s="3"/>
      <c r="V20" s="3"/>
      <c r="W20" s="3"/>
      <c r="X20" s="3"/>
      <c r="Y20" s="3"/>
    </row>
    <row r="21" spans="1:25" x14ac:dyDescent="0.25">
      <c r="A21" s="3">
        <v>1000</v>
      </c>
      <c r="B21" s="3">
        <v>3.534E-6</v>
      </c>
      <c r="C21" s="3">
        <v>1.6679999999999999E-4</v>
      </c>
      <c r="D21" s="3">
        <v>-4.5110000000000001E-4</v>
      </c>
      <c r="E21" s="3">
        <v>0</v>
      </c>
      <c r="F21" s="3">
        <v>0</v>
      </c>
      <c r="G21" s="3">
        <v>0</v>
      </c>
      <c r="H21" s="3">
        <v>3.9398153999999999E-5</v>
      </c>
      <c r="I21" s="3">
        <v>1.5988501000000001E-5</v>
      </c>
      <c r="J21" s="3">
        <v>-1.0306252000000001E-4</v>
      </c>
      <c r="K21" s="3"/>
      <c r="L21" s="3">
        <f t="shared" si="0"/>
        <v>7.8341831079583243E-3</v>
      </c>
      <c r="M21" s="3"/>
      <c r="N21" s="2">
        <f>IF('Modell einstellen'!$B$1="Voll",H21/0.35,H21/0.35*2)</f>
        <v>2.2513230857142859E-4</v>
      </c>
      <c r="O21" s="2">
        <f>IF('Modell einstellen'!$B$1="Voll",J21/0.35,J21/0.35*2)</f>
        <v>-5.8892868571428576E-4</v>
      </c>
      <c r="P21" s="3">
        <f t="shared" si="1"/>
        <v>0.38227431271814427</v>
      </c>
      <c r="Q21" s="3"/>
      <c r="R21" s="3"/>
      <c r="S21" s="3"/>
      <c r="T21" s="3"/>
      <c r="U21" s="3"/>
      <c r="V21" s="3"/>
      <c r="W21" s="3"/>
      <c r="X21" s="3"/>
      <c r="Y21" s="3"/>
    </row>
    <row r="22" spans="1:25" x14ac:dyDescent="0.25">
      <c r="A22" s="3">
        <v>10000</v>
      </c>
      <c r="B22" s="3">
        <v>7.2730000000000003E-5</v>
      </c>
      <c r="C22" s="3">
        <v>2.051E-4</v>
      </c>
      <c r="D22" s="3">
        <v>-5.4310000000000003E-4</v>
      </c>
      <c r="E22" s="3">
        <v>0</v>
      </c>
      <c r="F22" s="3">
        <v>0</v>
      </c>
      <c r="G22" s="3">
        <v>0</v>
      </c>
      <c r="H22" s="3">
        <v>4.6415724000000002E-5</v>
      </c>
      <c r="I22" s="3">
        <v>2.1418464999999999E-5</v>
      </c>
      <c r="J22" s="3">
        <v>-1.1983088E-4</v>
      </c>
      <c r="K22" s="3"/>
      <c r="L22" s="3">
        <f t="shared" si="0"/>
        <v>0.13391640581844963</v>
      </c>
      <c r="M22" s="3"/>
      <c r="N22" s="2">
        <f>IF('Modell einstellen'!$B$1="Voll",H22/0.35,H22/0.35*2)</f>
        <v>2.6523270857142859E-4</v>
      </c>
      <c r="O22" s="2">
        <f>IF('Modell einstellen'!$B$1="Voll",J22/0.35,J22/0.35*2)</f>
        <v>-6.8474788571428575E-4</v>
      </c>
      <c r="P22" s="3">
        <f t="shared" si="1"/>
        <v>0.38734359624163656</v>
      </c>
      <c r="Q22" s="3"/>
      <c r="R22" s="3"/>
      <c r="S22" s="3"/>
      <c r="T22" s="3"/>
      <c r="U22" s="3"/>
      <c r="V22" s="3"/>
      <c r="W22" s="3"/>
      <c r="X22" s="3"/>
      <c r="Y22" s="3"/>
    </row>
    <row r="23" spans="1:25" x14ac:dyDescent="0.25">
      <c r="A23" s="3">
        <v>100000</v>
      </c>
      <c r="B23" s="3">
        <v>1.6990000000000001E-4</v>
      </c>
      <c r="C23" s="3">
        <v>2.6009999999999998E-4</v>
      </c>
      <c r="D23" s="3">
        <v>-6.7469999999999997E-4</v>
      </c>
      <c r="E23" s="3">
        <v>0</v>
      </c>
      <c r="F23" s="3">
        <v>0</v>
      </c>
      <c r="G23" s="3">
        <v>0</v>
      </c>
      <c r="H23" s="3">
        <v>5.5722096999999998E-5</v>
      </c>
      <c r="I23" s="3">
        <v>2.9189588E-5</v>
      </c>
      <c r="J23" s="3">
        <v>-1.4318073999999999E-4</v>
      </c>
      <c r="K23" s="3"/>
      <c r="L23" s="3">
        <f t="shared" si="0"/>
        <v>0.2518156217578183</v>
      </c>
      <c r="M23" s="3"/>
      <c r="N23" s="2">
        <f>IF('Modell einstellen'!$B$1="Voll",H23/0.35,H23/0.35*2)</f>
        <v>3.1841198285714289E-4</v>
      </c>
      <c r="O23" s="2">
        <f>IF('Modell einstellen'!$B$1="Voll",J23/0.35,J23/0.35*2)</f>
        <v>-8.1817565714285714E-4</v>
      </c>
      <c r="P23" s="3">
        <f t="shared" si="1"/>
        <v>0.38917313180529733</v>
      </c>
      <c r="Q23" s="3"/>
      <c r="R23" s="3"/>
      <c r="S23" s="3"/>
      <c r="T23" s="3"/>
      <c r="U23" s="3"/>
      <c r="V23" s="3"/>
      <c r="W23" s="3"/>
      <c r="X23" s="3"/>
      <c r="Y23" s="3"/>
    </row>
    <row r="24" spans="1:25" x14ac:dyDescent="0.25">
      <c r="A24" s="3">
        <v>1000000</v>
      </c>
      <c r="B24" s="3">
        <v>2.6729999999999999E-4</v>
      </c>
      <c r="C24" s="3">
        <v>3.1990000000000002E-4</v>
      </c>
      <c r="D24" s="3">
        <v>-8.1340000000000004E-4</v>
      </c>
      <c r="E24" s="3">
        <v>0</v>
      </c>
      <c r="F24" s="3">
        <v>0</v>
      </c>
      <c r="G24" s="3">
        <v>0</v>
      </c>
      <c r="H24" s="3">
        <v>6.5148673999999997E-5</v>
      </c>
      <c r="I24" s="3">
        <v>3.7437807000000002E-5</v>
      </c>
      <c r="J24" s="3">
        <v>-1.6773457E-4</v>
      </c>
      <c r="K24" s="3"/>
      <c r="L24" s="3">
        <f t="shared" si="0"/>
        <v>0.3286206048684534</v>
      </c>
      <c r="M24" s="3"/>
      <c r="N24" s="2">
        <f>IF('Modell einstellen'!$B$1="Voll",H24/0.35,H24/0.35*2)</f>
        <v>3.7227813714285716E-4</v>
      </c>
      <c r="O24" s="2">
        <f>IF('Modell einstellen'!$B$1="Voll",J24/0.35,J24/0.35*2)</f>
        <v>-9.5848325714285724E-4</v>
      </c>
      <c r="P24" s="3">
        <f t="shared" si="1"/>
        <v>0.38840338041227873</v>
      </c>
      <c r="Q24" s="3"/>
      <c r="R24" s="3"/>
      <c r="S24" s="3"/>
      <c r="T24" s="3"/>
      <c r="U24" s="3"/>
      <c r="V24" s="3"/>
      <c r="W24" s="3"/>
      <c r="X24" s="3"/>
      <c r="Y24" s="3"/>
    </row>
    <row r="25" spans="1:25" x14ac:dyDescent="0.25">
      <c r="A25" s="3">
        <v>10000000</v>
      </c>
      <c r="B25" s="3">
        <v>3.5300000000000002E-4</v>
      </c>
      <c r="C25" s="3">
        <v>3.7980000000000002E-4</v>
      </c>
      <c r="D25" s="3">
        <v>-9.4499999999999998E-4</v>
      </c>
      <c r="E25" s="3">
        <v>0</v>
      </c>
      <c r="F25" s="3">
        <v>0</v>
      </c>
      <c r="G25" s="3">
        <v>0</v>
      </c>
      <c r="H25" s="3">
        <v>7.4098137000000003E-5</v>
      </c>
      <c r="I25" s="3">
        <v>4.5515710000000003E-5</v>
      </c>
      <c r="J25" s="3">
        <v>-1.9176611999999999E-4</v>
      </c>
      <c r="K25" s="3"/>
      <c r="L25" s="3">
        <f t="shared" si="0"/>
        <v>0.37354497354497357</v>
      </c>
      <c r="M25" s="3"/>
      <c r="N25" s="2">
        <f>IF('Modell einstellen'!$B$1="Voll",H25/0.35,H25/0.35*2)</f>
        <v>4.2341792571428576E-4</v>
      </c>
      <c r="O25" s="2">
        <f>IF('Modell einstellen'!$B$1="Voll",J25/0.35,J25/0.35*2)</f>
        <v>-1.0958064000000001E-3</v>
      </c>
      <c r="P25" s="3">
        <f t="shared" si="1"/>
        <v>0.38639847852164921</v>
      </c>
      <c r="Q25" s="3"/>
      <c r="R25" s="3"/>
      <c r="S25" s="3"/>
      <c r="T25" s="3"/>
      <c r="U25" s="3"/>
      <c r="V25" s="3"/>
      <c r="W25" s="3"/>
      <c r="X25" s="3"/>
      <c r="Y25" s="3"/>
    </row>
    <row r="26" spans="1:25" x14ac:dyDescent="0.25">
      <c r="A26" s="3">
        <v>100000000</v>
      </c>
      <c r="B26" s="3">
        <v>4.2729999999999998E-4</v>
      </c>
      <c r="C26" s="3">
        <v>4.4099999999999999E-4</v>
      </c>
      <c r="D26" s="3">
        <v>-1.07E-3</v>
      </c>
      <c r="E26" s="3">
        <v>0</v>
      </c>
      <c r="F26" s="3">
        <v>0</v>
      </c>
      <c r="G26" s="3">
        <v>0</v>
      </c>
      <c r="H26" s="3">
        <v>8.3008274000000005E-5</v>
      </c>
      <c r="I26" s="3">
        <v>5.3734543999999999E-5</v>
      </c>
      <c r="J26" s="3">
        <v>-2.1630170000000001E-4</v>
      </c>
      <c r="K26" s="3"/>
      <c r="L26" s="3">
        <f t="shared" si="0"/>
        <v>0.39934579439252332</v>
      </c>
      <c r="M26" s="3"/>
      <c r="N26" s="2">
        <f>IF('Modell einstellen'!$B$1="Voll",H26/0.35,H26/0.35*2)</f>
        <v>4.7433299428571436E-4</v>
      </c>
      <c r="O26" s="2">
        <f>IF('Modell einstellen'!$B$1="Voll",J26/0.35,J26/0.35*2)</f>
        <v>-1.2360097142857145E-3</v>
      </c>
      <c r="P26" s="3">
        <f t="shared" si="1"/>
        <v>0.38376154232722165</v>
      </c>
      <c r="Q26" s="3"/>
      <c r="R26" s="3"/>
      <c r="S26" s="3"/>
      <c r="T26" s="3"/>
      <c r="U26" s="3"/>
      <c r="V26" s="3"/>
      <c r="W26" s="3"/>
      <c r="X26" s="3"/>
      <c r="Y26" s="3"/>
    </row>
    <row r="27" spans="1:25" x14ac:dyDescent="0.25">
      <c r="A27" s="3">
        <v>1000000000</v>
      </c>
      <c r="B27" s="3">
        <v>4.952E-4</v>
      </c>
      <c r="C27" s="3">
        <v>5.0869999999999995E-4</v>
      </c>
      <c r="D27" s="3">
        <v>-1.199E-3</v>
      </c>
      <c r="E27" s="3">
        <v>0</v>
      </c>
      <c r="F27" s="3">
        <v>0</v>
      </c>
      <c r="G27" s="3">
        <v>0</v>
      </c>
      <c r="H27" s="3">
        <v>9.3157059999999993E-5</v>
      </c>
      <c r="I27" s="3">
        <v>6.3047382E-5</v>
      </c>
      <c r="J27" s="3">
        <v>-2.4443878000000001E-4</v>
      </c>
      <c r="K27" s="3"/>
      <c r="L27" s="3">
        <f t="shared" si="0"/>
        <v>0.41301084236864055</v>
      </c>
      <c r="M27" s="3"/>
      <c r="N27" s="2">
        <f>IF('Modell einstellen'!$B$1="Voll",H27/0.35,H27/0.35*2)</f>
        <v>5.3232605714285714E-4</v>
      </c>
      <c r="O27" s="2">
        <f>IF('Modell einstellen'!$B$1="Voll",J27/0.35,J27/0.35*2)</f>
        <v>-1.3967930285714288E-3</v>
      </c>
      <c r="P27" s="3">
        <f t="shared" si="1"/>
        <v>0.38110589489932811</v>
      </c>
      <c r="Q27" s="3"/>
      <c r="R27" s="3"/>
      <c r="S27" s="3"/>
      <c r="T27" s="3"/>
      <c r="U27" s="3"/>
      <c r="V27" s="3"/>
      <c r="W27" s="3"/>
      <c r="X27" s="3"/>
      <c r="Y27" s="3"/>
    </row>
    <row r="28" spans="1:25" x14ac:dyDescent="0.25">
      <c r="A28" s="3">
        <v>10000000000</v>
      </c>
      <c r="B28" s="3">
        <v>5.6930000000000001E-4</v>
      </c>
      <c r="C28" s="3">
        <v>5.9969999999999999E-4</v>
      </c>
      <c r="D28" s="3">
        <v>-1.3600000000000001E-3</v>
      </c>
      <c r="E28" s="3">
        <v>0</v>
      </c>
      <c r="F28" s="3">
        <v>0</v>
      </c>
      <c r="G28" s="3">
        <v>0</v>
      </c>
      <c r="H28" s="3">
        <v>1.0797725E-4</v>
      </c>
      <c r="I28" s="3">
        <v>7.6175283000000002E-5</v>
      </c>
      <c r="J28" s="3">
        <v>-2.8490351E-4</v>
      </c>
      <c r="K28" s="3"/>
      <c r="L28" s="3">
        <f t="shared" si="0"/>
        <v>0.41860294117647057</v>
      </c>
      <c r="M28" s="3"/>
      <c r="N28" s="2">
        <f>IF('Modell einstellen'!$B$1="Voll",H28/0.35,H28/0.35*2)</f>
        <v>6.1701285714285724E-4</v>
      </c>
      <c r="O28" s="2">
        <f>IF('Modell einstellen'!$B$1="Voll",J28/0.35,J28/0.35*2)</f>
        <v>-1.6280200571428573E-3</v>
      </c>
      <c r="P28" s="3">
        <f t="shared" si="1"/>
        <v>0.37899585722899659</v>
      </c>
      <c r="Q28" s="3"/>
      <c r="R28" s="3"/>
      <c r="S28" s="3"/>
      <c r="T28" s="3"/>
      <c r="U28" s="3"/>
      <c r="V28" s="3"/>
      <c r="W28" s="3"/>
      <c r="X28" s="3"/>
      <c r="Y28" s="3"/>
    </row>
    <row r="29" spans="1:25" x14ac:dyDescent="0.25">
      <c r="A29" s="3">
        <v>100000000000</v>
      </c>
      <c r="B29" s="3">
        <v>6.6140000000000003E-4</v>
      </c>
      <c r="C29" s="3">
        <v>7.3629999999999995E-4</v>
      </c>
      <c r="D29" s="3">
        <v>-1.586E-3</v>
      </c>
      <c r="E29" s="3">
        <v>0</v>
      </c>
      <c r="F29" s="3">
        <v>0</v>
      </c>
      <c r="G29" s="3">
        <v>0</v>
      </c>
      <c r="H29" s="3">
        <v>1.3184011999999999E-4</v>
      </c>
      <c r="I29" s="3">
        <v>9.6957729999999997E-5</v>
      </c>
      <c r="J29" s="3">
        <v>-3.4943033E-4</v>
      </c>
      <c r="K29" s="3"/>
      <c r="L29" s="3">
        <f t="shared" si="0"/>
        <v>0.41702395964691052</v>
      </c>
      <c r="M29" s="3"/>
      <c r="N29" s="2">
        <f>IF('Modell einstellen'!$B$1="Voll",H29/0.35,H29/0.35*2)</f>
        <v>7.5337211428571434E-4</v>
      </c>
      <c r="O29" s="2">
        <f>IF('Modell einstellen'!$B$1="Voll",J29/0.35,J29/0.35*2)</f>
        <v>-1.9967447428571429E-3</v>
      </c>
      <c r="P29" s="3">
        <f t="shared" si="1"/>
        <v>0.37730016166598934</v>
      </c>
      <c r="Q29" s="3"/>
      <c r="R29" s="3"/>
      <c r="S29" s="3"/>
      <c r="T29" s="3"/>
      <c r="U29" s="3"/>
      <c r="V29" s="3"/>
      <c r="W29" s="3"/>
      <c r="X29" s="3"/>
      <c r="Y29" s="3"/>
    </row>
    <row r="30" spans="1:25" x14ac:dyDescent="0.25">
      <c r="A30" s="3">
        <v>1000000000000</v>
      </c>
      <c r="B30" s="3">
        <v>7.8859999999999998E-4</v>
      </c>
      <c r="C30" s="3">
        <v>9.7050000000000001E-4</v>
      </c>
      <c r="D30" s="3">
        <v>-1.944E-3</v>
      </c>
      <c r="E30" s="3">
        <v>0</v>
      </c>
      <c r="F30" s="3">
        <v>0</v>
      </c>
      <c r="G30" s="3">
        <v>0</v>
      </c>
      <c r="H30" s="3">
        <v>1.7558784E-4</v>
      </c>
      <c r="I30" s="3">
        <v>1.3455543E-4</v>
      </c>
      <c r="J30" s="3">
        <v>-4.6650988E-4</v>
      </c>
      <c r="K30" s="3"/>
      <c r="L30" s="3">
        <f t="shared" si="0"/>
        <v>0.40565843621399178</v>
      </c>
      <c r="M30" s="3"/>
      <c r="N30" s="2">
        <f>IF('Modell einstellen'!$B$1="Voll",H30/0.35,H30/0.35*2)</f>
        <v>1.0033590857142858E-3</v>
      </c>
      <c r="O30" s="2">
        <f>IF('Modell einstellen'!$B$1="Voll",J30/0.35,J30/0.35*2)</f>
        <v>-2.665770742857143E-3</v>
      </c>
      <c r="P30" s="3">
        <f t="shared" si="1"/>
        <v>0.37638611212264145</v>
      </c>
      <c r="Q30" s="3"/>
      <c r="R30" s="3"/>
      <c r="S30" s="3"/>
      <c r="T30" s="3"/>
      <c r="U30" s="3"/>
      <c r="V30" s="3"/>
      <c r="W30" s="3"/>
      <c r="X30" s="3"/>
      <c r="Y30" s="3"/>
    </row>
    <row r="31" spans="1:25" x14ac:dyDescent="0.25">
      <c r="A31" s="3">
        <v>10000000000000</v>
      </c>
      <c r="B31" s="3">
        <v>9.8710000000000009E-4</v>
      </c>
      <c r="C31" s="3">
        <v>1.454E-3</v>
      </c>
      <c r="D31" s="3">
        <v>-2.6180000000000001E-3</v>
      </c>
      <c r="E31" s="3">
        <v>0</v>
      </c>
      <c r="F31" s="3">
        <v>0</v>
      </c>
      <c r="G31" s="3">
        <v>0</v>
      </c>
      <c r="H31" s="3">
        <v>2.7127454000000002E-4</v>
      </c>
      <c r="I31" s="3">
        <v>2.1603844E-4</v>
      </c>
      <c r="J31" s="3">
        <v>-7.2010859000000004E-4</v>
      </c>
      <c r="K31" s="3"/>
      <c r="L31" s="3">
        <f t="shared" si="0"/>
        <v>0.37704354469060353</v>
      </c>
      <c r="M31" s="3"/>
      <c r="N31" s="2">
        <f>IF('Modell einstellen'!$B$1="Voll",H31/0.35,H31/0.35*2)</f>
        <v>1.5501402285714287E-3</v>
      </c>
      <c r="O31" s="2">
        <f>IF('Modell einstellen'!$B$1="Voll",J31/0.35,J31/0.35*2)</f>
        <v>-4.1149062285714289E-3</v>
      </c>
      <c r="P31" s="3">
        <f t="shared" si="1"/>
        <v>0.37671337874194777</v>
      </c>
      <c r="Q31" s="3"/>
      <c r="R31" s="3"/>
      <c r="S31" s="3"/>
      <c r="T31" s="3"/>
      <c r="U31" s="3"/>
      <c r="V31" s="3"/>
      <c r="W31" s="3"/>
      <c r="X31" s="3"/>
      <c r="Y31" s="3"/>
    </row>
    <row r="32" spans="1:25" x14ac:dyDescent="0.25">
      <c r="A32" s="3">
        <v>100000000000000</v>
      </c>
      <c r="B32" s="3">
        <v>1.291E-3</v>
      </c>
      <c r="C32" s="3">
        <v>2.3969999999999998E-3</v>
      </c>
      <c r="D32" s="3">
        <v>-3.852E-3</v>
      </c>
      <c r="E32" s="3">
        <v>0</v>
      </c>
      <c r="F32" s="3">
        <v>0</v>
      </c>
      <c r="G32" s="3">
        <v>0</v>
      </c>
      <c r="H32" s="3">
        <v>4.6724985E-4</v>
      </c>
      <c r="I32" s="3">
        <v>3.8211156000000001E-4</v>
      </c>
      <c r="J32" s="3">
        <v>-1.2351581999999999E-3</v>
      </c>
      <c r="K32" s="3"/>
      <c r="L32" s="3">
        <f t="shared" si="0"/>
        <v>0.33515057113187957</v>
      </c>
      <c r="M32" s="3"/>
      <c r="N32" s="2">
        <f>IF('Modell einstellen'!$B$1="Voll",H32/0.35,H32/0.35*2)</f>
        <v>2.6699991428571429E-3</v>
      </c>
      <c r="O32" s="2">
        <f>IF('Modell einstellen'!$B$1="Voll",J32/0.35,J32/0.35*2)</f>
        <v>-7.0580468571428577E-3</v>
      </c>
      <c r="P32" s="3">
        <f t="shared" si="1"/>
        <v>0.37829150144491613</v>
      </c>
      <c r="Q32" s="3"/>
      <c r="R32" s="3"/>
      <c r="S32" s="3"/>
      <c r="T32" s="3"/>
      <c r="U32" s="3"/>
      <c r="V32" s="3"/>
      <c r="W32" s="3"/>
      <c r="X32" s="3"/>
      <c r="Y32" s="3"/>
    </row>
    <row r="33" spans="1:25" x14ac:dyDescent="0.25">
      <c r="A33" s="2">
        <v>1000000000000000</v>
      </c>
      <c r="B33" s="3">
        <v>1.8220000000000001E-3</v>
      </c>
      <c r="C33" s="3">
        <v>4.0879999999999996E-3</v>
      </c>
      <c r="D33" s="3">
        <v>-6.0619999999999997E-3</v>
      </c>
      <c r="E33" s="3">
        <v>0</v>
      </c>
      <c r="F33" s="3">
        <v>0</v>
      </c>
      <c r="G33" s="3">
        <v>0</v>
      </c>
      <c r="H33" s="3">
        <v>8.3934517999999995E-4</v>
      </c>
      <c r="I33" s="3">
        <v>6.9401762999999998E-4</v>
      </c>
      <c r="J33" s="3">
        <v>-2.1993592999999998E-3</v>
      </c>
      <c r="K33" s="3"/>
      <c r="L33" s="3">
        <f t="shared" si="0"/>
        <v>0.3005608709996701</v>
      </c>
      <c r="M33" s="3"/>
      <c r="N33" s="2">
        <f>IF('Modell einstellen'!$B$1="Voll",H33/0.35,H33/0.35*2)</f>
        <v>4.7962581714285713E-3</v>
      </c>
      <c r="O33" s="2">
        <f>IF('Modell einstellen'!$B$1="Voll",J33/0.35,J33/0.35*2)</f>
        <v>-1.2567767428571429E-2</v>
      </c>
      <c r="P33" s="3">
        <f t="shared" si="1"/>
        <v>0.38163167791638225</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5.9159999999999998E-6</v>
      </c>
      <c r="C3" s="3">
        <v>1.4090000000000001E-4</v>
      </c>
      <c r="D3" s="3">
        <v>-4.214E-4</v>
      </c>
      <c r="E3" s="3">
        <v>0</v>
      </c>
      <c r="F3" s="3">
        <v>0</v>
      </c>
      <c r="G3" s="3">
        <v>0</v>
      </c>
      <c r="H3" s="3">
        <v>3.1421168000000002E-5</v>
      </c>
      <c r="I3" s="3">
        <v>1.2977613999999999E-5</v>
      </c>
      <c r="J3" s="3">
        <v>-8.8651691000000006E-5</v>
      </c>
      <c r="K3" s="3"/>
      <c r="L3" s="3">
        <f>-B3/D3</f>
        <v>1.403891789273849E-2</v>
      </c>
      <c r="M3" s="3"/>
      <c r="N3" s="2">
        <f>IF('Modell einstellen'!$B$1="Voll",H3/0.35,H3/0.35*2)</f>
        <v>1.7954953142857146E-4</v>
      </c>
      <c r="O3" s="2">
        <f>IF('Modell einstellen'!$B$1="Voll",J3/0.35,J3/0.35*2)</f>
        <v>-5.0658109142857151E-4</v>
      </c>
      <c r="P3" s="3">
        <f>-N3/O3</f>
        <v>0.35443393854720717</v>
      </c>
      <c r="Q3" s="3"/>
      <c r="R3" s="3"/>
      <c r="S3" s="3"/>
      <c r="T3" s="3"/>
      <c r="U3" s="3"/>
    </row>
    <row r="4" spans="1:21" x14ac:dyDescent="0.25">
      <c r="A4" s="3">
        <v>1E-14</v>
      </c>
      <c r="B4" s="3">
        <v>5.9070000000000004E-6</v>
      </c>
      <c r="C4" s="3">
        <v>1.4090000000000001E-4</v>
      </c>
      <c r="D4" s="3">
        <v>-4.214E-4</v>
      </c>
      <c r="E4" s="3">
        <v>0</v>
      </c>
      <c r="F4" s="3">
        <v>0</v>
      </c>
      <c r="G4" s="3">
        <v>0</v>
      </c>
      <c r="H4" s="3">
        <v>3.1421370000000002E-5</v>
      </c>
      <c r="I4" s="3">
        <v>1.2978518E-5</v>
      </c>
      <c r="J4" s="3">
        <v>-8.8650295E-5</v>
      </c>
      <c r="K4" s="3"/>
      <c r="L4" s="3">
        <f t="shared" ref="L4:L33" si="0">-B4/D4</f>
        <v>1.4017560512577125E-2</v>
      </c>
      <c r="M4" s="3"/>
      <c r="N4" s="2">
        <f>IF('Modell einstellen'!$B$1="Voll",H4/0.35,H4/0.35*2)</f>
        <v>1.7955068571428573E-4</v>
      </c>
      <c r="O4" s="2">
        <f>IF('Modell einstellen'!$B$1="Voll",J4/0.35,J4/0.35*2)</f>
        <v>-5.0657311428571432E-4</v>
      </c>
      <c r="P4" s="3">
        <f t="shared" ref="P4:P33" si="1">-N4/O4</f>
        <v>0.35444179852983004</v>
      </c>
      <c r="Q4" s="3"/>
      <c r="R4" s="3"/>
      <c r="S4" s="3"/>
      <c r="T4" s="3"/>
      <c r="U4" s="3"/>
    </row>
    <row r="5" spans="1:21" x14ac:dyDescent="0.25">
      <c r="A5" s="3">
        <v>1E-13</v>
      </c>
      <c r="B5" s="3">
        <v>5.9100000000000002E-6</v>
      </c>
      <c r="C5" s="3">
        <v>1.4090000000000001E-4</v>
      </c>
      <c r="D5" s="3">
        <v>-4.214E-4</v>
      </c>
      <c r="E5" s="3">
        <v>0</v>
      </c>
      <c r="F5" s="3">
        <v>0</v>
      </c>
      <c r="G5" s="3">
        <v>0</v>
      </c>
      <c r="H5" s="3">
        <v>3.1421545E-5</v>
      </c>
      <c r="I5" s="3">
        <v>1.2978672E-5</v>
      </c>
      <c r="J5" s="3">
        <v>-8.8650759999999999E-5</v>
      </c>
      <c r="K5" s="3"/>
      <c r="L5" s="3">
        <f t="shared" si="0"/>
        <v>1.402467963929758E-2</v>
      </c>
      <c r="M5" s="3"/>
      <c r="N5" s="2">
        <f>IF('Modell einstellen'!$B$1="Voll",H5/0.35,H5/0.35*2)</f>
        <v>1.7955168571428572E-4</v>
      </c>
      <c r="O5" s="2">
        <f>IF('Modell einstellen'!$B$1="Voll",J5/0.35,J5/0.35*2)</f>
        <v>-5.0657577142857141E-4</v>
      </c>
      <c r="P5" s="3">
        <f t="shared" si="1"/>
        <v>0.35444191341394027</v>
      </c>
      <c r="Q5" s="3"/>
      <c r="R5" s="3"/>
      <c r="S5" s="3"/>
      <c r="T5" s="3"/>
      <c r="U5" s="3"/>
    </row>
    <row r="6" spans="1:21" x14ac:dyDescent="0.25">
      <c r="A6" s="3">
        <v>9.9999999999999998E-13</v>
      </c>
      <c r="B6" s="3">
        <v>5.9100000000000002E-6</v>
      </c>
      <c r="C6" s="3">
        <v>1.4090000000000001E-4</v>
      </c>
      <c r="D6" s="3">
        <v>-4.214E-4</v>
      </c>
      <c r="E6" s="3">
        <v>0</v>
      </c>
      <c r="F6" s="3">
        <v>0</v>
      </c>
      <c r="G6" s="3">
        <v>0</v>
      </c>
      <c r="H6" s="3">
        <v>3.1421589000000001E-5</v>
      </c>
      <c r="I6" s="3">
        <v>1.2978714E-5</v>
      </c>
      <c r="J6" s="3">
        <v>-8.8650881000000003E-5</v>
      </c>
      <c r="K6" s="3"/>
      <c r="L6" s="3">
        <f t="shared" si="0"/>
        <v>1.402467963929758E-2</v>
      </c>
      <c r="M6" s="3"/>
      <c r="N6" s="2">
        <f>IF('Modell einstellen'!$B$1="Voll",H6/0.35,H6/0.35*2)</f>
        <v>1.7955193714285715E-4</v>
      </c>
      <c r="O6" s="2">
        <f>IF('Modell einstellen'!$B$1="Voll",J6/0.35,J6/0.35*2)</f>
        <v>-5.0657646285714292E-4</v>
      </c>
      <c r="P6" s="3">
        <f t="shared" si="1"/>
        <v>0.35444192596348811</v>
      </c>
      <c r="Q6" s="3"/>
      <c r="R6" s="3"/>
      <c r="S6" s="3"/>
      <c r="T6" s="3"/>
      <c r="U6" s="3"/>
    </row>
    <row r="7" spans="1:21" x14ac:dyDescent="0.25">
      <c r="A7" s="3">
        <v>9.9999999999999994E-12</v>
      </c>
      <c r="B7" s="3">
        <v>5.9100000000000002E-6</v>
      </c>
      <c r="C7" s="3">
        <v>1.4090000000000001E-4</v>
      </c>
      <c r="D7" s="3">
        <v>-4.214E-4</v>
      </c>
      <c r="E7" s="3">
        <v>0</v>
      </c>
      <c r="F7" s="3">
        <v>0</v>
      </c>
      <c r="G7" s="3">
        <v>0</v>
      </c>
      <c r="H7" s="3">
        <v>3.1421601E-5</v>
      </c>
      <c r="I7" s="3">
        <v>1.2978725999999999E-5</v>
      </c>
      <c r="J7" s="3">
        <v>-8.8650915999999999E-5</v>
      </c>
      <c r="K7" s="3"/>
      <c r="L7" s="3">
        <f t="shared" si="0"/>
        <v>1.402467963929758E-2</v>
      </c>
      <c r="M7" s="3"/>
      <c r="N7" s="2">
        <f>IF('Modell einstellen'!$B$1="Voll",H7/0.35,H7/0.35*2)</f>
        <v>1.7955200571428574E-4</v>
      </c>
      <c r="O7" s="2">
        <f>IF('Modell einstellen'!$B$1="Voll",J7/0.35,J7/0.35*2)</f>
        <v>-5.0657666285714288E-4</v>
      </c>
      <c r="P7" s="3">
        <f t="shared" si="1"/>
        <v>0.35444192138973502</v>
      </c>
      <c r="Q7" s="3"/>
      <c r="R7" s="3"/>
      <c r="S7" s="3"/>
      <c r="T7" s="3"/>
      <c r="U7" s="3"/>
    </row>
    <row r="8" spans="1:21" x14ac:dyDescent="0.25">
      <c r="A8" s="3">
        <v>1E-10</v>
      </c>
      <c r="B8" s="3">
        <v>5.9100000000000002E-6</v>
      </c>
      <c r="C8" s="3">
        <v>1.4090000000000001E-4</v>
      </c>
      <c r="D8" s="3">
        <v>-4.214E-4</v>
      </c>
      <c r="E8" s="3">
        <v>0</v>
      </c>
      <c r="F8" s="3">
        <v>0</v>
      </c>
      <c r="G8" s="3">
        <v>0</v>
      </c>
      <c r="H8" s="3">
        <v>3.1421606000000001E-5</v>
      </c>
      <c r="I8" s="3">
        <v>1.297873E-5</v>
      </c>
      <c r="J8" s="3">
        <v>-8.8650929000000001E-5</v>
      </c>
      <c r="K8" s="3"/>
      <c r="L8" s="3">
        <f t="shared" si="0"/>
        <v>1.402467963929758E-2</v>
      </c>
      <c r="M8" s="3"/>
      <c r="N8" s="2">
        <f>IF('Modell einstellen'!$B$1="Voll",H8/0.35,H8/0.35*2)</f>
        <v>1.795520342857143E-4</v>
      </c>
      <c r="O8" s="2">
        <f>IF('Modell einstellen'!$B$1="Voll",J8/0.35,J8/0.35*2)</f>
        <v>-5.0657673714285718E-4</v>
      </c>
      <c r="P8" s="3">
        <f t="shared" si="1"/>
        <v>0.35444192581444917</v>
      </c>
      <c r="Q8" s="3"/>
      <c r="R8" s="3"/>
      <c r="S8" s="3"/>
      <c r="T8" s="3"/>
      <c r="U8" s="3"/>
    </row>
    <row r="9" spans="1:21" x14ac:dyDescent="0.25">
      <c r="A9" s="3">
        <v>1.0000000000000001E-9</v>
      </c>
      <c r="B9" s="3">
        <v>5.9100000000000002E-6</v>
      </c>
      <c r="C9" s="3">
        <v>1.4090000000000001E-4</v>
      </c>
      <c r="D9" s="3">
        <v>-4.214E-4</v>
      </c>
      <c r="E9" s="3">
        <v>0</v>
      </c>
      <c r="F9" s="3">
        <v>0</v>
      </c>
      <c r="G9" s="3">
        <v>0</v>
      </c>
      <c r="H9" s="3">
        <v>3.1421621000000002E-5</v>
      </c>
      <c r="I9" s="3">
        <v>1.2978734E-5</v>
      </c>
      <c r="J9" s="3">
        <v>-8.8650955000000006E-5</v>
      </c>
      <c r="K9" s="3"/>
      <c r="L9" s="3">
        <f t="shared" si="0"/>
        <v>1.402467963929758E-2</v>
      </c>
      <c r="M9" s="3"/>
      <c r="N9" s="2">
        <f>IF('Modell einstellen'!$B$1="Voll",H9/0.35,H9/0.35*2)</f>
        <v>1.7955212000000001E-4</v>
      </c>
      <c r="O9" s="2">
        <f>IF('Modell einstellen'!$B$1="Voll",J9/0.35,J9/0.35*2)</f>
        <v>-5.0657688571428578E-4</v>
      </c>
      <c r="P9" s="3">
        <f t="shared" si="1"/>
        <v>0.35444199106484525</v>
      </c>
      <c r="Q9" s="3"/>
      <c r="R9" s="3"/>
      <c r="S9" s="3"/>
      <c r="T9" s="3"/>
      <c r="U9" s="3"/>
    </row>
    <row r="10" spans="1:21" x14ac:dyDescent="0.25">
      <c r="A10" s="3">
        <v>1E-8</v>
      </c>
      <c r="B10" s="3">
        <v>5.9089999999999997E-6</v>
      </c>
      <c r="C10" s="3">
        <v>1.4090000000000001E-4</v>
      </c>
      <c r="D10" s="3">
        <v>-4.214E-4</v>
      </c>
      <c r="E10" s="3">
        <v>0</v>
      </c>
      <c r="F10" s="3">
        <v>0</v>
      </c>
      <c r="G10" s="3">
        <v>0</v>
      </c>
      <c r="H10" s="3">
        <v>3.1421762000000001E-5</v>
      </c>
      <c r="I10" s="3">
        <v>1.2978760000000001E-5</v>
      </c>
      <c r="J10" s="3">
        <v>-8.8651174999999994E-5</v>
      </c>
      <c r="K10" s="3"/>
      <c r="L10" s="3">
        <f t="shared" si="0"/>
        <v>1.4022306597057426E-2</v>
      </c>
      <c r="M10" s="3"/>
      <c r="N10" s="2">
        <f>IF('Modell einstellen'!$B$1="Voll",H10/0.35,H10/0.35*2)</f>
        <v>1.7955292571428572E-4</v>
      </c>
      <c r="O10" s="2">
        <f>IF('Modell einstellen'!$B$1="Voll",J10/0.35,J10/0.35*2)</f>
        <v>-5.0657814285714282E-4</v>
      </c>
      <c r="P10" s="3">
        <f t="shared" si="1"/>
        <v>0.35444270197208333</v>
      </c>
      <c r="Q10" s="3"/>
      <c r="R10" s="3"/>
      <c r="S10" s="3"/>
      <c r="T10" s="3"/>
      <c r="U10" s="3"/>
    </row>
    <row r="11" spans="1:21" x14ac:dyDescent="0.25">
      <c r="A11" s="3">
        <v>9.9999999999999995E-8</v>
      </c>
      <c r="B11" s="3">
        <v>5.9020000000000004E-6</v>
      </c>
      <c r="C11" s="3">
        <v>1.4090000000000001E-4</v>
      </c>
      <c r="D11" s="3">
        <v>-4.214E-4</v>
      </c>
      <c r="E11" s="3">
        <v>0</v>
      </c>
      <c r="F11" s="3">
        <v>0</v>
      </c>
      <c r="G11" s="3">
        <v>0</v>
      </c>
      <c r="H11" s="3">
        <v>3.1423166000000001E-5</v>
      </c>
      <c r="I11" s="3">
        <v>1.2979015999999999E-5</v>
      </c>
      <c r="J11" s="3">
        <v>-8.8653367000000004E-5</v>
      </c>
      <c r="K11" s="3"/>
      <c r="L11" s="3">
        <f t="shared" si="0"/>
        <v>1.4005695301376365E-2</v>
      </c>
      <c r="M11" s="3"/>
      <c r="N11" s="2">
        <f>IF('Modell einstellen'!$B$1="Voll",H11/0.35,H11/0.35*2)</f>
        <v>1.7956094857142859E-4</v>
      </c>
      <c r="O11" s="2">
        <f>IF('Modell einstellen'!$B$1="Voll",J11/0.35,J11/0.35*2)</f>
        <v>-5.0659066857142859E-4</v>
      </c>
      <c r="P11" s="3">
        <f t="shared" si="1"/>
        <v>0.35444977515631193</v>
      </c>
      <c r="Q11" s="3"/>
      <c r="R11" s="3"/>
      <c r="S11" s="3"/>
      <c r="T11" s="3"/>
      <c r="U11" s="3"/>
    </row>
    <row r="12" spans="1:21" x14ac:dyDescent="0.25">
      <c r="A12" s="3">
        <v>9.9999999999999995E-7</v>
      </c>
      <c r="B12" s="3">
        <v>5.835E-6</v>
      </c>
      <c r="C12" s="3">
        <v>1.4090000000000001E-4</v>
      </c>
      <c r="D12" s="3">
        <v>-4.214E-4</v>
      </c>
      <c r="E12" s="3">
        <v>0</v>
      </c>
      <c r="F12" s="3">
        <v>0</v>
      </c>
      <c r="G12" s="3">
        <v>0</v>
      </c>
      <c r="H12" s="3">
        <v>3.1437114999999999E-5</v>
      </c>
      <c r="I12" s="3">
        <v>1.2981552999999999E-5</v>
      </c>
      <c r="J12" s="3">
        <v>-8.8675135000000003E-5</v>
      </c>
      <c r="K12" s="3"/>
      <c r="L12" s="3">
        <f t="shared" si="0"/>
        <v>1.3846701471286188E-2</v>
      </c>
      <c r="M12" s="3"/>
      <c r="N12" s="2">
        <f>IF('Modell einstellen'!$B$1="Voll",H12/0.35,H12/0.35*2)</f>
        <v>1.7964065714285715E-4</v>
      </c>
      <c r="O12" s="2">
        <f>IF('Modell einstellen'!$B$1="Voll",J12/0.35,J12/0.35*2)</f>
        <v>-5.0671505714285721E-4</v>
      </c>
      <c r="P12" s="3">
        <f t="shared" si="1"/>
        <v>0.35452006923925178</v>
      </c>
      <c r="Q12" s="3"/>
      <c r="R12" s="3"/>
      <c r="S12" s="3"/>
      <c r="T12" s="3"/>
      <c r="U12" s="3"/>
    </row>
    <row r="13" spans="1:21" x14ac:dyDescent="0.25">
      <c r="A13" s="3">
        <v>1.0000000000000001E-5</v>
      </c>
      <c r="B13" s="3">
        <v>5.2039999999999996E-6</v>
      </c>
      <c r="C13" s="3">
        <v>1.4119999999999999E-4</v>
      </c>
      <c r="D13" s="3">
        <v>-4.214E-4</v>
      </c>
      <c r="E13" s="3">
        <v>0</v>
      </c>
      <c r="F13" s="3">
        <v>0</v>
      </c>
      <c r="G13" s="3">
        <v>0</v>
      </c>
      <c r="H13" s="3">
        <v>3.1567722E-5</v>
      </c>
      <c r="I13" s="3">
        <v>1.300529E-5</v>
      </c>
      <c r="J13" s="3">
        <v>-8.8878864000000002E-5</v>
      </c>
      <c r="K13" s="3"/>
      <c r="L13" s="3">
        <f t="shared" si="0"/>
        <v>1.2349311817750355E-2</v>
      </c>
      <c r="M13" s="3"/>
      <c r="N13" s="2">
        <f>IF('Modell einstellen'!$B$1="Voll",H13/0.35,H13/0.35*2)</f>
        <v>1.8038698285714286E-4</v>
      </c>
      <c r="O13" s="2">
        <f>IF('Modell einstellen'!$B$1="Voll",J13/0.35,J13/0.35*2)</f>
        <v>-5.0787922285714293E-4</v>
      </c>
      <c r="P13" s="3">
        <f t="shared" si="1"/>
        <v>0.35517692935409251</v>
      </c>
      <c r="Q13" s="3"/>
      <c r="R13" s="3"/>
      <c r="S13" s="3"/>
      <c r="T13" s="3"/>
      <c r="U13" s="3"/>
    </row>
    <row r="14" spans="1:21" x14ac:dyDescent="0.25">
      <c r="A14" s="3">
        <v>1E-4</v>
      </c>
      <c r="B14" s="3">
        <v>1.629E-6</v>
      </c>
      <c r="C14" s="3">
        <v>1.4249999999999999E-4</v>
      </c>
      <c r="D14" s="3">
        <v>-4.2089999999999999E-4</v>
      </c>
      <c r="E14" s="3">
        <v>0</v>
      </c>
      <c r="F14" s="3">
        <v>0</v>
      </c>
      <c r="G14" s="3">
        <v>0</v>
      </c>
      <c r="H14" s="3">
        <v>3.2299377999999998E-5</v>
      </c>
      <c r="I14" s="3">
        <v>1.3137156E-5</v>
      </c>
      <c r="J14" s="3">
        <v>-9.0015840000000002E-5</v>
      </c>
      <c r="K14" s="3"/>
      <c r="L14" s="3">
        <f t="shared" si="0"/>
        <v>3.8702779757662153E-3</v>
      </c>
      <c r="M14" s="3"/>
      <c r="N14" s="2">
        <f>IF('Modell einstellen'!$B$1="Voll",H14/0.35,H14/0.35*2)</f>
        <v>1.8456787428571428E-4</v>
      </c>
      <c r="O14" s="2">
        <f>IF('Modell einstellen'!$B$1="Voll",J14/0.35,J14/0.35*2)</f>
        <v>-5.1437622857142859E-4</v>
      </c>
      <c r="P14" s="3">
        <f t="shared" si="1"/>
        <v>0.35881882566446083</v>
      </c>
      <c r="Q14" s="3"/>
      <c r="R14" s="3"/>
      <c r="S14" s="3"/>
      <c r="T14" s="3"/>
      <c r="U14" s="3"/>
    </row>
    <row r="15" spans="1:21" x14ac:dyDescent="0.25">
      <c r="A15" s="3">
        <v>1E-3</v>
      </c>
      <c r="B15" s="3">
        <v>-3.2150000000000001E-6</v>
      </c>
      <c r="C15" s="3">
        <v>1.4430000000000001E-4</v>
      </c>
      <c r="D15" s="3">
        <v>-4.2000000000000002E-4</v>
      </c>
      <c r="E15" s="3">
        <v>0</v>
      </c>
      <c r="F15" s="3">
        <v>0</v>
      </c>
      <c r="G15" s="3">
        <v>0</v>
      </c>
      <c r="H15" s="3">
        <v>3.3271052000000003E-5</v>
      </c>
      <c r="I15" s="3">
        <v>1.3311990999999999E-5</v>
      </c>
      <c r="J15" s="3">
        <v>-9.1515075000000006E-5</v>
      </c>
      <c r="K15" s="3"/>
      <c r="L15" s="3">
        <f t="shared" si="0"/>
        <v>-7.6547619047619047E-3</v>
      </c>
      <c r="M15" s="3"/>
      <c r="N15" s="2">
        <f>IF('Modell einstellen'!$B$1="Voll",H15/0.35,H15/0.35*2)</f>
        <v>1.9012029714285717E-4</v>
      </c>
      <c r="O15" s="2">
        <f>IF('Modell einstellen'!$B$1="Voll",J15/0.35,J15/0.35*2)</f>
        <v>-5.2294328571428578E-4</v>
      </c>
      <c r="P15" s="3">
        <f t="shared" si="1"/>
        <v>0.36355815694845905</v>
      </c>
      <c r="Q15" s="3"/>
      <c r="R15" s="3"/>
      <c r="S15" s="3"/>
      <c r="T15" s="3"/>
      <c r="U15" s="3"/>
    </row>
    <row r="16" spans="1:21" x14ac:dyDescent="0.25">
      <c r="A16" s="3">
        <v>0.01</v>
      </c>
      <c r="B16" s="3">
        <v>-9.0750000000000004E-6</v>
      </c>
      <c r="C16" s="3">
        <v>1.4640000000000001E-4</v>
      </c>
      <c r="D16" s="3">
        <v>-4.1869999999999999E-4</v>
      </c>
      <c r="E16" s="3">
        <v>0</v>
      </c>
      <c r="F16" s="3">
        <v>0</v>
      </c>
      <c r="G16" s="3">
        <v>0</v>
      </c>
      <c r="H16" s="3">
        <v>3.4403468999999999E-5</v>
      </c>
      <c r="I16" s="3">
        <v>1.3512015E-5</v>
      </c>
      <c r="J16" s="3">
        <v>-9.3244852999999997E-5</v>
      </c>
      <c r="K16" s="3"/>
      <c r="L16" s="3">
        <f t="shared" si="0"/>
        <v>-2.1674229758777169E-2</v>
      </c>
      <c r="M16" s="3"/>
      <c r="N16" s="2">
        <f>IF('Modell einstellen'!$B$1="Voll",H16/0.35,H16/0.35*2)</f>
        <v>1.9659125142857143E-4</v>
      </c>
      <c r="O16" s="2">
        <f>IF('Modell einstellen'!$B$1="Voll",J16/0.35,J16/0.35*2)</f>
        <v>-5.328277314285714E-4</v>
      </c>
      <c r="P16" s="3">
        <f t="shared" si="1"/>
        <v>0.36895837028130662</v>
      </c>
      <c r="Q16" s="3"/>
      <c r="R16" s="3"/>
      <c r="S16" s="3"/>
      <c r="T16" s="3"/>
      <c r="U16" s="3"/>
    </row>
    <row r="17" spans="1:21" x14ac:dyDescent="0.25">
      <c r="A17" s="3">
        <v>0.1</v>
      </c>
      <c r="B17" s="3">
        <v>-1.6860000000000001E-5</v>
      </c>
      <c r="C17" s="3">
        <v>1.4889999999999999E-4</v>
      </c>
      <c r="D17" s="3">
        <v>-4.1649999999999999E-4</v>
      </c>
      <c r="E17" s="3">
        <v>0</v>
      </c>
      <c r="F17" s="3">
        <v>0</v>
      </c>
      <c r="G17" s="3">
        <v>0</v>
      </c>
      <c r="H17" s="3">
        <v>3.5835713999999998E-5</v>
      </c>
      <c r="I17" s="3">
        <v>1.3755352000000001E-5</v>
      </c>
      <c r="J17" s="3">
        <v>-9.5401093999999994E-5</v>
      </c>
      <c r="K17" s="3"/>
      <c r="L17" s="3">
        <f t="shared" si="0"/>
        <v>-4.0480192076830734E-2</v>
      </c>
      <c r="M17" s="3"/>
      <c r="N17" s="2">
        <f>IF('Modell einstellen'!$B$1="Voll",H17/0.35,H17/0.35*2)</f>
        <v>2.0477550857142857E-4</v>
      </c>
      <c r="O17" s="2">
        <f>IF('Modell einstellen'!$B$1="Voll",J17/0.35,J17/0.35*2)</f>
        <v>-5.4514910857142852E-4</v>
      </c>
      <c r="P17" s="3">
        <f t="shared" si="1"/>
        <v>0.37563210753117782</v>
      </c>
      <c r="Q17" s="3"/>
      <c r="R17" s="3"/>
      <c r="S17" s="3"/>
      <c r="T17" s="3"/>
      <c r="U17" s="3"/>
    </row>
    <row r="18" spans="1:21" x14ac:dyDescent="0.25">
      <c r="A18" s="3">
        <v>1</v>
      </c>
      <c r="B18" s="3">
        <v>-2.5780000000000001E-5</v>
      </c>
      <c r="C18" s="3">
        <v>1.527E-4</v>
      </c>
      <c r="D18" s="3">
        <v>-4.1449999999999999E-4</v>
      </c>
      <c r="E18" s="3">
        <v>0</v>
      </c>
      <c r="F18" s="3">
        <v>0</v>
      </c>
      <c r="G18" s="3">
        <v>0</v>
      </c>
      <c r="H18" s="3">
        <v>3.7514695999999997E-5</v>
      </c>
      <c r="I18" s="3">
        <v>1.4083832E-5</v>
      </c>
      <c r="J18" s="3">
        <v>-9.7978825999999996E-5</v>
      </c>
      <c r="K18" s="3"/>
      <c r="L18" s="3">
        <f t="shared" si="0"/>
        <v>-6.219541616405308E-2</v>
      </c>
      <c r="M18" s="3"/>
      <c r="N18" s="2">
        <f>IF('Modell einstellen'!$B$1="Voll",H18/0.35,H18/0.35*2)</f>
        <v>2.1436969142857144E-4</v>
      </c>
      <c r="O18" s="2">
        <f>IF('Modell einstellen'!$B$1="Voll",J18/0.35,J18/0.35*2)</f>
        <v>-5.598790057142857E-4</v>
      </c>
      <c r="P18" s="3">
        <f t="shared" si="1"/>
        <v>0.38288574717153689</v>
      </c>
      <c r="Q18" s="3"/>
      <c r="R18" s="3"/>
      <c r="S18" s="3"/>
      <c r="T18" s="3"/>
      <c r="U18" s="3"/>
    </row>
    <row r="19" spans="1:21" x14ac:dyDescent="0.25">
      <c r="A19" s="3">
        <v>10</v>
      </c>
      <c r="B19" s="3">
        <v>-3.5469999999999998E-5</v>
      </c>
      <c r="C19" s="3">
        <v>1.5750000000000001E-4</v>
      </c>
      <c r="D19" s="3">
        <v>-4.1290000000000001E-4</v>
      </c>
      <c r="E19" s="3">
        <v>0</v>
      </c>
      <c r="F19" s="3">
        <v>0</v>
      </c>
      <c r="G19" s="3">
        <v>0</v>
      </c>
      <c r="H19" s="3">
        <v>3.9737704999999998E-5</v>
      </c>
      <c r="I19" s="3">
        <v>1.4586018E-5</v>
      </c>
      <c r="J19" s="3">
        <v>-1.0145647E-4</v>
      </c>
      <c r="K19" s="3"/>
      <c r="L19" s="3">
        <f t="shared" si="0"/>
        <v>-8.5904577379510766E-2</v>
      </c>
      <c r="M19" s="3"/>
      <c r="N19" s="2">
        <f>IF('Modell einstellen'!$B$1="Voll",H19/0.35,H19/0.35*2)</f>
        <v>2.270726E-4</v>
      </c>
      <c r="O19" s="2">
        <f>IF('Modell einstellen'!$B$1="Voll",J19/0.35,J19/0.35*2)</f>
        <v>-5.7975125714285723E-4</v>
      </c>
      <c r="P19" s="3">
        <f t="shared" si="1"/>
        <v>0.39167245814880008</v>
      </c>
      <c r="Q19" s="3"/>
      <c r="R19" s="3"/>
      <c r="S19" s="3"/>
      <c r="T19" s="3"/>
      <c r="U19" s="3"/>
    </row>
    <row r="20" spans="1:21" x14ac:dyDescent="0.25">
      <c r="A20" s="3">
        <v>100</v>
      </c>
      <c r="B20" s="3">
        <v>-3.006E-5</v>
      </c>
      <c r="C20" s="3">
        <v>1.7149999999999999E-4</v>
      </c>
      <c r="D20" s="3">
        <v>-4.3219999999999999E-4</v>
      </c>
      <c r="E20" s="3">
        <v>0</v>
      </c>
      <c r="F20" s="3">
        <v>0</v>
      </c>
      <c r="G20" s="3">
        <v>0</v>
      </c>
      <c r="H20" s="3">
        <v>4.3721570000000003E-5</v>
      </c>
      <c r="I20" s="3">
        <v>1.6386037E-5</v>
      </c>
      <c r="J20" s="3">
        <v>-1.0901854E-4</v>
      </c>
      <c r="K20" s="3"/>
      <c r="L20" s="3">
        <f t="shared" si="0"/>
        <v>-6.9551133734382237E-2</v>
      </c>
      <c r="M20" s="3"/>
      <c r="N20" s="2">
        <f>IF('Modell einstellen'!$B$1="Voll",H20/0.35,H20/0.35*2)</f>
        <v>2.498375428571429E-4</v>
      </c>
      <c r="O20" s="2">
        <f>IF('Modell einstellen'!$B$1="Voll",J20/0.35,J20/0.35*2)</f>
        <v>-6.2296308571428574E-4</v>
      </c>
      <c r="P20" s="3">
        <f t="shared" si="1"/>
        <v>0.40104710629953405</v>
      </c>
      <c r="Q20" s="3"/>
      <c r="R20" s="3"/>
      <c r="S20" s="3"/>
      <c r="T20" s="3"/>
      <c r="U20" s="3"/>
    </row>
    <row r="21" spans="1:21" x14ac:dyDescent="0.25">
      <c r="A21" s="3">
        <v>1000</v>
      </c>
      <c r="B21" s="3">
        <v>3.0729999999999999E-5</v>
      </c>
      <c r="C21" s="3">
        <v>2.087E-4</v>
      </c>
      <c r="D21" s="3">
        <v>-5.1780000000000001E-4</v>
      </c>
      <c r="E21" s="3">
        <v>0</v>
      </c>
      <c r="F21" s="3">
        <v>0</v>
      </c>
      <c r="G21" s="3">
        <v>0</v>
      </c>
      <c r="H21" s="3">
        <v>5.1444511000000002E-5</v>
      </c>
      <c r="I21" s="3">
        <v>2.1865081999999999E-5</v>
      </c>
      <c r="J21" s="3">
        <v>-1.2678462E-4</v>
      </c>
      <c r="K21" s="3"/>
      <c r="L21" s="3">
        <f t="shared" si="0"/>
        <v>5.9347238315952101E-2</v>
      </c>
      <c r="M21" s="3"/>
      <c r="N21" s="2">
        <f>IF('Modell einstellen'!$B$1="Voll",H21/0.35,H21/0.35*2)</f>
        <v>2.9396863428571431E-4</v>
      </c>
      <c r="O21" s="2">
        <f>IF('Modell einstellen'!$B$1="Voll",J21/0.35,J21/0.35*2)</f>
        <v>-7.2448354285714286E-4</v>
      </c>
      <c r="P21" s="3">
        <f t="shared" si="1"/>
        <v>0.40576302551523996</v>
      </c>
      <c r="Q21" s="3"/>
      <c r="R21" s="3"/>
      <c r="S21" s="3"/>
      <c r="T21" s="3"/>
      <c r="U21" s="3"/>
    </row>
    <row r="22" spans="1:21" x14ac:dyDescent="0.25">
      <c r="A22" s="3">
        <v>10000</v>
      </c>
      <c r="B22" s="3">
        <v>1.3640000000000001E-4</v>
      </c>
      <c r="C22" s="3">
        <v>2.6840000000000002E-4</v>
      </c>
      <c r="D22" s="3">
        <v>-6.623E-4</v>
      </c>
      <c r="E22" s="3">
        <v>0</v>
      </c>
      <c r="F22" s="3">
        <v>0</v>
      </c>
      <c r="G22" s="3">
        <v>0</v>
      </c>
      <c r="H22" s="3">
        <v>6.2130706000000001E-5</v>
      </c>
      <c r="I22" s="3">
        <v>3.0746203000000002E-5</v>
      </c>
      <c r="J22" s="3">
        <v>-1.5366901000000001E-4</v>
      </c>
      <c r="K22" s="3"/>
      <c r="L22" s="3">
        <f t="shared" si="0"/>
        <v>0.20594896572550206</v>
      </c>
      <c r="M22" s="3"/>
      <c r="N22" s="2">
        <f>IF('Modell einstellen'!$B$1="Voll",H22/0.35,H22/0.35*2)</f>
        <v>3.5503260571428572E-4</v>
      </c>
      <c r="O22" s="2">
        <f>IF('Modell einstellen'!$B$1="Voll",J22/0.35,J22/0.35*2)</f>
        <v>-8.7810862857142869E-4</v>
      </c>
      <c r="P22" s="3">
        <f t="shared" si="1"/>
        <v>0.40431513159354637</v>
      </c>
      <c r="Q22" s="3"/>
      <c r="R22" s="3"/>
      <c r="S22" s="3"/>
      <c r="T22" s="3"/>
      <c r="U22" s="3"/>
    </row>
    <row r="23" spans="1:21" x14ac:dyDescent="0.25">
      <c r="A23" s="3">
        <v>100000</v>
      </c>
      <c r="B23" s="3">
        <v>2.5080000000000002E-4</v>
      </c>
      <c r="C23" s="3">
        <v>3.3930000000000001E-4</v>
      </c>
      <c r="D23" s="3">
        <v>-8.275E-4</v>
      </c>
      <c r="E23" s="3">
        <v>0</v>
      </c>
      <c r="F23" s="3">
        <v>0</v>
      </c>
      <c r="G23" s="3">
        <v>0</v>
      </c>
      <c r="H23" s="3">
        <v>7.3947766000000004E-5</v>
      </c>
      <c r="I23" s="3">
        <v>4.1059712999999998E-5</v>
      </c>
      <c r="J23" s="3">
        <v>-1.8456561999999999E-4</v>
      </c>
      <c r="K23" s="3"/>
      <c r="L23" s="3">
        <f t="shared" si="0"/>
        <v>0.30308157099697886</v>
      </c>
      <c r="M23" s="3"/>
      <c r="N23" s="2">
        <f>IF('Modell einstellen'!$B$1="Voll",H23/0.35,H23/0.35*2)</f>
        <v>4.2255866285714289E-4</v>
      </c>
      <c r="O23" s="2">
        <f>IF('Modell einstellen'!$B$1="Voll",J23/0.35,J23/0.35*2)</f>
        <v>-1.0546606857142857E-3</v>
      </c>
      <c r="P23" s="3">
        <f t="shared" si="1"/>
        <v>0.40065839997720054</v>
      </c>
      <c r="Q23" s="3"/>
      <c r="R23" s="3"/>
      <c r="S23" s="3"/>
      <c r="T23" s="3"/>
      <c r="U23" s="3"/>
    </row>
    <row r="24" spans="1:21" x14ac:dyDescent="0.25">
      <c r="A24" s="3">
        <v>1000000</v>
      </c>
      <c r="B24" s="3">
        <v>3.5629999999999999E-4</v>
      </c>
      <c r="C24" s="3">
        <v>4.1750000000000001E-4</v>
      </c>
      <c r="D24" s="3">
        <v>-9.9599999999999992E-4</v>
      </c>
      <c r="E24" s="3">
        <v>0</v>
      </c>
      <c r="F24" s="3">
        <v>0</v>
      </c>
      <c r="G24" s="3">
        <v>0</v>
      </c>
      <c r="H24" s="3">
        <v>8.6690040000000001E-5</v>
      </c>
      <c r="I24" s="3">
        <v>5.2251915999999997E-5</v>
      </c>
      <c r="J24" s="3">
        <v>-2.1842049999999999E-4</v>
      </c>
      <c r="K24" s="3"/>
      <c r="L24" s="3">
        <f t="shared" si="0"/>
        <v>0.35773092369477916</v>
      </c>
      <c r="M24" s="3"/>
      <c r="N24" s="2">
        <f>IF('Modell einstellen'!$B$1="Voll",H24/0.35,H24/0.35*2)</f>
        <v>4.9537165714285715E-4</v>
      </c>
      <c r="O24" s="2">
        <f>IF('Modell einstellen'!$B$1="Voll",J24/0.35,J24/0.35*2)</f>
        <v>-1.248117142857143E-3</v>
      </c>
      <c r="P24" s="3">
        <f t="shared" si="1"/>
        <v>0.3968951632287262</v>
      </c>
      <c r="Q24" s="3"/>
      <c r="R24" s="3"/>
      <c r="S24" s="3"/>
      <c r="T24" s="3"/>
      <c r="U24" s="3"/>
    </row>
    <row r="25" spans="1:21" x14ac:dyDescent="0.25">
      <c r="A25" s="3">
        <v>10000000</v>
      </c>
      <c r="B25" s="3">
        <v>4.5530000000000001E-4</v>
      </c>
      <c r="C25" s="3">
        <v>5.1409999999999997E-4</v>
      </c>
      <c r="D25" s="3">
        <v>-1.181E-3</v>
      </c>
      <c r="E25" s="3">
        <v>0</v>
      </c>
      <c r="F25" s="3">
        <v>0</v>
      </c>
      <c r="G25" s="3">
        <v>0</v>
      </c>
      <c r="H25" s="3">
        <v>1.0327638E-4</v>
      </c>
      <c r="I25" s="3">
        <v>6.6386481999999996E-5</v>
      </c>
      <c r="J25" s="3">
        <v>-2.6223260999999999E-4</v>
      </c>
      <c r="K25" s="3"/>
      <c r="L25" s="3">
        <f t="shared" si="0"/>
        <v>0.38552074513124474</v>
      </c>
      <c r="M25" s="3"/>
      <c r="N25" s="2">
        <f>IF('Modell einstellen'!$B$1="Voll",H25/0.35,H25/0.35*2)</f>
        <v>5.9015074285714288E-4</v>
      </c>
      <c r="O25" s="2">
        <f>IF('Modell einstellen'!$B$1="Voll",J25/0.35,J25/0.35*2)</f>
        <v>-1.4984720571428571E-3</v>
      </c>
      <c r="P25" s="3">
        <f t="shared" si="1"/>
        <v>0.39383500015501505</v>
      </c>
      <c r="Q25" s="3"/>
      <c r="R25" s="3"/>
      <c r="S25" s="3"/>
      <c r="T25" s="3"/>
      <c r="U25" s="3"/>
    </row>
    <row r="26" spans="1:21" x14ac:dyDescent="0.25">
      <c r="A26" s="3">
        <v>100000000</v>
      </c>
      <c r="B26" s="3">
        <v>5.5699999999999999E-4</v>
      </c>
      <c r="C26" s="3">
        <v>6.4990000000000002E-4</v>
      </c>
      <c r="D26" s="3">
        <v>-1.4109999999999999E-3</v>
      </c>
      <c r="E26" s="3">
        <v>0</v>
      </c>
      <c r="F26" s="3">
        <v>0</v>
      </c>
      <c r="G26" s="3">
        <v>0</v>
      </c>
      <c r="H26" s="3">
        <v>1.2783229000000001E-4</v>
      </c>
      <c r="I26" s="3">
        <v>8.7155153E-5</v>
      </c>
      <c r="J26" s="3">
        <v>-3.2717534000000002E-4</v>
      </c>
      <c r="K26" s="3"/>
      <c r="L26" s="3">
        <f t="shared" si="0"/>
        <v>0.3947554925584692</v>
      </c>
      <c r="M26" s="3"/>
      <c r="N26" s="2">
        <f>IF('Modell einstellen'!$B$1="Voll",H26/0.35,H26/0.35*2)</f>
        <v>7.304702285714287E-4</v>
      </c>
      <c r="O26" s="2">
        <f>IF('Modell einstellen'!$B$1="Voll",J26/0.35,J26/0.35*2)</f>
        <v>-1.8695733714285717E-3</v>
      </c>
      <c r="P26" s="3">
        <f t="shared" si="1"/>
        <v>0.39071492979880451</v>
      </c>
      <c r="Q26" s="3"/>
      <c r="R26" s="3"/>
      <c r="S26" s="3"/>
      <c r="T26" s="3"/>
      <c r="U26" s="3"/>
    </row>
    <row r="27" spans="1:21" x14ac:dyDescent="0.25">
      <c r="A27" s="3">
        <v>1000000000</v>
      </c>
      <c r="B27" s="3">
        <v>6.7469999999999997E-4</v>
      </c>
      <c r="C27" s="3">
        <v>8.719E-4</v>
      </c>
      <c r="D27" s="3">
        <v>-1.7440000000000001E-3</v>
      </c>
      <c r="E27" s="3">
        <v>0</v>
      </c>
      <c r="F27" s="3">
        <v>0</v>
      </c>
      <c r="G27" s="3">
        <v>0</v>
      </c>
      <c r="H27" s="3">
        <v>1.7068718999999999E-4</v>
      </c>
      <c r="I27" s="3">
        <v>1.2305441999999999E-4</v>
      </c>
      <c r="J27" s="3">
        <v>-4.3990875999999998E-4</v>
      </c>
      <c r="K27" s="3"/>
      <c r="L27" s="3">
        <f t="shared" si="0"/>
        <v>0.38686926605504585</v>
      </c>
      <c r="M27" s="3"/>
      <c r="N27" s="2">
        <f>IF('Modell einstellen'!$B$1="Voll",H27/0.35,H27/0.35*2)</f>
        <v>9.753553714285714E-4</v>
      </c>
      <c r="O27" s="2">
        <f>IF('Modell einstellen'!$B$1="Voll",J27/0.35,J27/0.35*2)</f>
        <v>-2.5137643428571428E-3</v>
      </c>
      <c r="P27" s="3">
        <f t="shared" si="1"/>
        <v>0.38800589013048981</v>
      </c>
      <c r="Q27" s="3"/>
      <c r="R27" s="3"/>
      <c r="S27" s="3"/>
      <c r="T27" s="3"/>
      <c r="U27" s="3"/>
    </row>
    <row r="28" spans="1:21" x14ac:dyDescent="0.25">
      <c r="A28" s="3">
        <v>10000000000</v>
      </c>
      <c r="B28" s="3">
        <v>8.3339999999999998E-4</v>
      </c>
      <c r="C28" s="3">
        <v>1.3190000000000001E-3</v>
      </c>
      <c r="D28" s="3">
        <v>-2.3410000000000002E-3</v>
      </c>
      <c r="E28" s="3">
        <v>0</v>
      </c>
      <c r="F28" s="3">
        <v>0</v>
      </c>
      <c r="G28" s="3">
        <v>0</v>
      </c>
      <c r="H28" s="3">
        <v>2.6275638E-4</v>
      </c>
      <c r="I28" s="3">
        <v>1.9931851E-4</v>
      </c>
      <c r="J28" s="3">
        <v>-6.7975323000000001E-4</v>
      </c>
      <c r="K28" s="3"/>
      <c r="L28" s="3">
        <f t="shared" si="0"/>
        <v>0.35600170867150788</v>
      </c>
      <c r="M28" s="3"/>
      <c r="N28" s="2">
        <f>IF('Modell einstellen'!$B$1="Voll",H28/0.35,H28/0.35*2)</f>
        <v>1.5014650285714286E-3</v>
      </c>
      <c r="O28" s="2">
        <f>IF('Modell einstellen'!$B$1="Voll",J28/0.35,J28/0.35*2)</f>
        <v>-3.8843041714285717E-3</v>
      </c>
      <c r="P28" s="3">
        <f t="shared" si="1"/>
        <v>0.38654671784347389</v>
      </c>
      <c r="Q28" s="3"/>
      <c r="R28" s="3"/>
      <c r="S28" s="3"/>
      <c r="T28" s="3"/>
      <c r="U28" s="3"/>
    </row>
    <row r="29" spans="1:21" x14ac:dyDescent="0.25">
      <c r="A29" s="3">
        <v>100000000000</v>
      </c>
      <c r="B29" s="3">
        <v>1.059E-3</v>
      </c>
      <c r="C29" s="3">
        <v>2.1909999999999998E-3</v>
      </c>
      <c r="D29" s="3">
        <v>-3.4229999999999998E-3</v>
      </c>
      <c r="E29" s="3">
        <v>0</v>
      </c>
      <c r="F29" s="3">
        <v>0</v>
      </c>
      <c r="G29" s="3">
        <v>0</v>
      </c>
      <c r="H29" s="3">
        <v>4.5099427999999999E-4</v>
      </c>
      <c r="I29" s="3">
        <v>3.5489464000000001E-4</v>
      </c>
      <c r="J29" s="3">
        <v>-1.1670462E-3</v>
      </c>
      <c r="K29" s="3"/>
      <c r="L29" s="3">
        <f t="shared" si="0"/>
        <v>0.30937773882559161</v>
      </c>
      <c r="M29" s="3"/>
      <c r="N29" s="2">
        <f>IF('Modell einstellen'!$B$1="Voll",H29/0.35,H29/0.35*2)</f>
        <v>2.5771101714285715E-3</v>
      </c>
      <c r="O29" s="2">
        <f>IF('Modell einstellen'!$B$1="Voll",J29/0.35,J29/0.35*2)</f>
        <v>-6.6688354285714289E-3</v>
      </c>
      <c r="P29" s="3">
        <f t="shared" si="1"/>
        <v>0.38644081099788508</v>
      </c>
      <c r="Q29" s="3"/>
      <c r="R29" s="3"/>
      <c r="S29" s="3"/>
      <c r="T29" s="3"/>
      <c r="U29" s="3"/>
    </row>
    <row r="30" spans="1:21" x14ac:dyDescent="0.25">
      <c r="A30" s="3">
        <v>1000000000000</v>
      </c>
      <c r="B30" s="3">
        <v>1.462E-3</v>
      </c>
      <c r="C30" s="3">
        <v>3.774E-3</v>
      </c>
      <c r="D30" s="3">
        <v>-5.3969999999999999E-3</v>
      </c>
      <c r="E30" s="3">
        <v>0</v>
      </c>
      <c r="F30" s="3">
        <v>0</v>
      </c>
      <c r="G30" s="3">
        <v>0</v>
      </c>
      <c r="H30" s="3">
        <v>8.0981333000000003E-4</v>
      </c>
      <c r="I30" s="3">
        <v>6.4990255000000002E-4</v>
      </c>
      <c r="J30" s="3">
        <v>-2.0864999999999998E-3</v>
      </c>
      <c r="K30" s="3"/>
      <c r="L30" s="3">
        <f t="shared" si="0"/>
        <v>0.2708912358717806</v>
      </c>
      <c r="M30" s="3"/>
      <c r="N30" s="2">
        <f>IF('Modell einstellen'!$B$1="Voll",H30/0.35,H30/0.35*2)</f>
        <v>4.6275047428571432E-3</v>
      </c>
      <c r="O30" s="2">
        <f>IF('Modell einstellen'!$B$1="Voll",J30/0.35,J30/0.35*2)</f>
        <v>-1.1922857142857143E-2</v>
      </c>
      <c r="P30" s="3">
        <f t="shared" si="1"/>
        <v>0.38812045530793199</v>
      </c>
      <c r="Q30" s="3"/>
      <c r="R30" s="3"/>
      <c r="S30" s="3"/>
      <c r="T30" s="3"/>
      <c r="U30" s="3"/>
    </row>
    <row r="31" spans="1:21" x14ac:dyDescent="0.25">
      <c r="A31" s="3">
        <v>10000000000000</v>
      </c>
      <c r="B31" s="3">
        <v>2.3189999999999999E-3</v>
      </c>
      <c r="C31" s="3">
        <v>6.4910000000000002E-3</v>
      </c>
      <c r="D31" s="3">
        <v>-8.9610000000000002E-3</v>
      </c>
      <c r="E31" s="3">
        <v>0</v>
      </c>
      <c r="F31" s="3">
        <v>0</v>
      </c>
      <c r="G31" s="3">
        <v>0</v>
      </c>
      <c r="H31" s="3">
        <v>1.4683027999999999E-3</v>
      </c>
      <c r="I31" s="3">
        <v>1.1844543E-3</v>
      </c>
      <c r="J31" s="3">
        <v>-3.7413925999999998E-3</v>
      </c>
      <c r="K31" s="3"/>
      <c r="L31" s="3">
        <f t="shared" si="0"/>
        <v>0.25878808168731166</v>
      </c>
      <c r="M31" s="3"/>
      <c r="N31" s="2">
        <f>IF('Modell einstellen'!$B$1="Voll",H31/0.35,H31/0.35*2)</f>
        <v>8.390301714285715E-3</v>
      </c>
      <c r="O31" s="2">
        <f>IF('Modell einstellen'!$B$1="Voll",J31/0.35,J31/0.35*2)</f>
        <v>-2.1379386285714286E-2</v>
      </c>
      <c r="P31" s="3">
        <f t="shared" si="1"/>
        <v>0.39244820230841321</v>
      </c>
      <c r="Q31" s="3"/>
      <c r="R31" s="3"/>
      <c r="S31" s="3"/>
      <c r="T31" s="3"/>
      <c r="U31" s="3"/>
    </row>
    <row r="32" spans="1:21" x14ac:dyDescent="0.25">
      <c r="A32" s="3">
        <v>100000000000000</v>
      </c>
      <c r="B32" s="3">
        <v>3.5100000000000001E-3</v>
      </c>
      <c r="C32" s="3">
        <v>9.1649999999999995E-3</v>
      </c>
      <c r="D32" s="3">
        <v>-1.282E-2</v>
      </c>
      <c r="E32" s="3">
        <v>0</v>
      </c>
      <c r="F32" s="3">
        <v>0</v>
      </c>
      <c r="G32" s="3">
        <v>0</v>
      </c>
      <c r="H32" s="3">
        <v>2.1488995999999999E-3</v>
      </c>
      <c r="I32" s="3">
        <v>1.7352221000000001E-3</v>
      </c>
      <c r="J32" s="3">
        <v>-5.4231942999999998E-3</v>
      </c>
      <c r="K32" s="3"/>
      <c r="L32" s="3">
        <f t="shared" si="0"/>
        <v>0.27379095163806555</v>
      </c>
      <c r="M32" s="3"/>
      <c r="N32" s="2">
        <f>IF('Modell einstellen'!$B$1="Voll",H32/0.35,H32/0.35*2)</f>
        <v>1.2279426285714285E-2</v>
      </c>
      <c r="O32" s="2">
        <f>IF('Modell einstellen'!$B$1="Voll",J32/0.35,J32/0.35*2)</f>
        <v>-3.0989681714285715E-2</v>
      </c>
      <c r="P32" s="3">
        <f t="shared" si="1"/>
        <v>0.39624241381135833</v>
      </c>
      <c r="Q32" s="3"/>
      <c r="R32" s="3"/>
      <c r="S32" s="3"/>
      <c r="T32" s="3"/>
      <c r="U32" s="3"/>
    </row>
    <row r="33" spans="1:21" x14ac:dyDescent="0.25">
      <c r="A33" s="2">
        <v>1000000000000000</v>
      </c>
      <c r="B33" s="3">
        <v>4.372E-3</v>
      </c>
      <c r="C33" s="3">
        <v>1.047E-2</v>
      </c>
      <c r="D33" s="3">
        <v>-1.498E-2</v>
      </c>
      <c r="E33" s="3">
        <v>0</v>
      </c>
      <c r="F33" s="3">
        <v>0</v>
      </c>
      <c r="G33" s="3">
        <v>0</v>
      </c>
      <c r="H33" s="3">
        <v>2.4733943E-3</v>
      </c>
      <c r="I33" s="3">
        <v>2.0055725999999999E-3</v>
      </c>
      <c r="J33" s="3">
        <v>-6.2303406999999998E-3</v>
      </c>
      <c r="K33" s="3"/>
      <c r="L33" s="3">
        <f t="shared" si="0"/>
        <v>0.29185580774365821</v>
      </c>
      <c r="M33" s="3"/>
      <c r="N33" s="2">
        <f>IF('Modell einstellen'!$B$1="Voll",H33/0.35,H33/0.35*2)</f>
        <v>1.4133681714285714E-2</v>
      </c>
      <c r="O33" s="2">
        <f>IF('Modell einstellen'!$B$1="Voll",J33/0.35,J33/0.35*2)</f>
        <v>-3.5601946857142859E-2</v>
      </c>
      <c r="P33" s="3">
        <f t="shared" si="1"/>
        <v>0.3969918210090822</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115</v>
      </c>
      <c r="P1" s="100" t="s">
        <v>116</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9.815E-6</v>
      </c>
      <c r="C3" s="3">
        <v>1.4219999999999999E-4</v>
      </c>
      <c r="D3" s="3">
        <v>-4.258E-4</v>
      </c>
      <c r="E3" s="3">
        <v>0</v>
      </c>
      <c r="F3" s="3">
        <v>0</v>
      </c>
      <c r="G3" s="3">
        <v>0</v>
      </c>
      <c r="H3" s="3">
        <v>3.1652941999999998E-5</v>
      </c>
      <c r="I3" s="3">
        <v>1.3180135E-5</v>
      </c>
      <c r="J3" s="3">
        <v>-8.9315717000000003E-5</v>
      </c>
      <c r="K3" s="2"/>
      <c r="L3" s="3"/>
      <c r="M3" s="3"/>
      <c r="N3" s="2">
        <f>IF('Modell einstellen'!$B$1="Voll",H3/0.35,H3/0.35*2)</f>
        <v>1.8087395428571429E-4</v>
      </c>
      <c r="O3" s="2">
        <f>IF('Modell einstellen'!$B$1="Voll",J3/0.35,J3/0.35*2)</f>
        <v>-5.1037552571428578E-4</v>
      </c>
      <c r="P3" s="3">
        <f>-N3/O3</f>
        <v>0.35439386328836164</v>
      </c>
      <c r="Q3" s="3"/>
      <c r="R3" s="3"/>
      <c r="S3" s="3"/>
      <c r="T3" s="3"/>
      <c r="U3" s="3"/>
    </row>
    <row r="4" spans="1:21" x14ac:dyDescent="0.25">
      <c r="A4" s="3">
        <v>1E-14</v>
      </c>
      <c r="B4" s="3">
        <v>9.8060000000000006E-6</v>
      </c>
      <c r="C4" s="3">
        <v>1.4219999999999999E-4</v>
      </c>
      <c r="D4" s="3">
        <v>-4.258E-4</v>
      </c>
      <c r="E4" s="3">
        <v>0</v>
      </c>
      <c r="F4" s="3">
        <v>0</v>
      </c>
      <c r="G4" s="3">
        <v>0</v>
      </c>
      <c r="H4" s="3">
        <v>3.1653221000000001E-5</v>
      </c>
      <c r="I4" s="3">
        <v>1.3181014E-5</v>
      </c>
      <c r="J4" s="3">
        <v>-8.9314347999999998E-5</v>
      </c>
      <c r="K4" s="2"/>
      <c r="L4" s="3"/>
      <c r="M4" s="3"/>
      <c r="N4" s="2">
        <f>IF('Modell einstellen'!$B$1="Voll",H4/0.35,H4/0.35*2)</f>
        <v>1.8087554857142859E-4</v>
      </c>
      <c r="O4" s="2">
        <f>IF('Modell einstellen'!$B$1="Voll",J4/0.35,J4/0.35*2)</f>
        <v>-5.1036770285714289E-4</v>
      </c>
      <c r="P4" s="3">
        <f t="shared" ref="P4:P33" si="0">-N4/O4</f>
        <v>0.35440241919473009</v>
      </c>
      <c r="Q4" s="3"/>
      <c r="R4" s="3"/>
      <c r="S4" s="3"/>
      <c r="T4" s="3"/>
      <c r="U4" s="3"/>
    </row>
    <row r="5" spans="1:21" x14ac:dyDescent="0.25">
      <c r="A5" s="3">
        <v>1E-13</v>
      </c>
      <c r="B5" s="3">
        <v>9.8060000000000006E-6</v>
      </c>
      <c r="C5" s="3">
        <v>1.4219999999999999E-4</v>
      </c>
      <c r="D5" s="3">
        <v>-4.258E-4</v>
      </c>
      <c r="E5" s="3">
        <v>0</v>
      </c>
      <c r="F5" s="3">
        <v>0</v>
      </c>
      <c r="G5" s="3">
        <v>0</v>
      </c>
      <c r="H5" s="3">
        <v>3.1653772000000002E-5</v>
      </c>
      <c r="I5" s="3">
        <v>1.3181237E-5</v>
      </c>
      <c r="J5" s="3">
        <v>-8.9315401000000005E-5</v>
      </c>
      <c r="K5" s="2"/>
      <c r="L5" s="3"/>
      <c r="M5" s="3"/>
      <c r="N5" s="2">
        <f>IF('Modell einstellen'!$B$1="Voll",H5/0.35,H5/0.35*2)</f>
        <v>1.8087869714285715E-4</v>
      </c>
      <c r="O5" s="2">
        <f>IF('Modell einstellen'!$B$1="Voll",J5/0.35,J5/0.35*2)</f>
        <v>-5.1037372000000011E-4</v>
      </c>
      <c r="P5" s="3">
        <f t="shared" si="0"/>
        <v>0.35440441005241635</v>
      </c>
      <c r="Q5" s="3"/>
      <c r="R5" s="3"/>
      <c r="S5" s="3"/>
      <c r="T5" s="3"/>
      <c r="U5" s="3"/>
    </row>
    <row r="6" spans="1:21" x14ac:dyDescent="0.25">
      <c r="A6" s="3">
        <v>9.9999999999999998E-13</v>
      </c>
      <c r="B6" s="3">
        <v>9.7890000000000006E-6</v>
      </c>
      <c r="C6" s="3">
        <v>1.4219999999999999E-4</v>
      </c>
      <c r="D6" s="3">
        <v>-4.258E-4</v>
      </c>
      <c r="E6" s="3">
        <v>0</v>
      </c>
      <c r="F6" s="3">
        <v>0</v>
      </c>
      <c r="G6" s="3">
        <v>0</v>
      </c>
      <c r="H6" s="3">
        <v>3.1657552999999998E-5</v>
      </c>
      <c r="I6" s="3">
        <v>1.3181976E-5</v>
      </c>
      <c r="J6" s="3">
        <v>-8.9321379999999994E-5</v>
      </c>
      <c r="K6" s="2"/>
      <c r="L6" s="3"/>
      <c r="M6" s="3"/>
      <c r="N6" s="2">
        <f>IF('Modell einstellen'!$B$1="Voll",H6/0.35,H6/0.35*2)</f>
        <v>1.8090030285714285E-4</v>
      </c>
      <c r="O6" s="2">
        <f>IF('Modell einstellen'!$B$1="Voll",J6/0.35,J6/0.35*2)</f>
        <v>-5.1040788571428571E-4</v>
      </c>
      <c r="P6" s="3">
        <f t="shared" si="0"/>
        <v>0.35442301719924163</v>
      </c>
      <c r="Q6" s="3"/>
      <c r="R6" s="3"/>
      <c r="S6" s="3"/>
      <c r="T6" s="3"/>
      <c r="U6" s="3"/>
    </row>
    <row r="7" spans="1:21" x14ac:dyDescent="0.25">
      <c r="A7" s="3">
        <v>9.9999999999999994E-12</v>
      </c>
      <c r="B7" s="3">
        <v>9.6150000000000003E-6</v>
      </c>
      <c r="C7" s="3">
        <v>1.4229999999999999E-4</v>
      </c>
      <c r="D7" s="3">
        <v>-4.258E-4</v>
      </c>
      <c r="E7" s="3">
        <v>0</v>
      </c>
      <c r="F7" s="3">
        <v>0</v>
      </c>
      <c r="G7" s="3">
        <v>0</v>
      </c>
      <c r="H7" s="3">
        <v>3.1694277999999999E-5</v>
      </c>
      <c r="I7" s="3">
        <v>1.3188841E-5</v>
      </c>
      <c r="J7" s="3">
        <v>-8.9378961000000006E-5</v>
      </c>
      <c r="K7" s="2"/>
      <c r="L7" s="3"/>
      <c r="M7" s="3"/>
      <c r="N7" s="2">
        <f>IF('Modell einstellen'!$B$1="Voll",H7/0.35,H7/0.35*2)</f>
        <v>1.8111016000000002E-4</v>
      </c>
      <c r="O7" s="2">
        <f>IF('Modell einstellen'!$B$1="Voll",J7/0.35,J7/0.35*2)</f>
        <v>-5.1073692000000003E-4</v>
      </c>
      <c r="P7" s="3">
        <f t="shared" si="0"/>
        <v>0.35460557658529956</v>
      </c>
      <c r="Q7" s="3"/>
      <c r="R7" s="3"/>
      <c r="S7" s="3"/>
      <c r="T7" s="3"/>
      <c r="U7" s="3"/>
    </row>
    <row r="8" spans="1:21" x14ac:dyDescent="0.25">
      <c r="A8" s="3">
        <v>1E-10</v>
      </c>
      <c r="B8" s="3">
        <v>8.1470000000000001E-6</v>
      </c>
      <c r="C8" s="3">
        <v>1.429E-4</v>
      </c>
      <c r="D8" s="3">
        <v>-4.2569999999999999E-4</v>
      </c>
      <c r="E8" s="3">
        <v>0</v>
      </c>
      <c r="F8" s="3">
        <v>0</v>
      </c>
      <c r="G8" s="3">
        <v>0</v>
      </c>
      <c r="H8" s="3">
        <v>3.2003678E-5</v>
      </c>
      <c r="I8" s="3">
        <v>1.3246435999999999E-5</v>
      </c>
      <c r="J8" s="3">
        <v>-8.986334E-5</v>
      </c>
      <c r="K8" s="2"/>
      <c r="L8" s="3"/>
      <c r="M8" s="3"/>
      <c r="N8" s="2">
        <f>IF('Modell einstellen'!$B$1="Voll",H8/0.35,H8/0.35*2)</f>
        <v>1.8287816000000002E-4</v>
      </c>
      <c r="O8" s="2">
        <f>IF('Modell einstellen'!$B$1="Voll",J8/0.35,J8/0.35*2)</f>
        <v>-5.1350480000000008E-4</v>
      </c>
      <c r="P8" s="3">
        <f t="shared" si="0"/>
        <v>0.35613719677011779</v>
      </c>
      <c r="Q8" s="3"/>
      <c r="R8" s="3"/>
      <c r="S8" s="3"/>
      <c r="T8" s="3"/>
      <c r="U8" s="3"/>
    </row>
    <row r="9" spans="1:21" x14ac:dyDescent="0.25">
      <c r="A9" s="3">
        <v>1.0000000000000001E-9</v>
      </c>
      <c r="B9" s="3">
        <v>3.6550000000000002E-6</v>
      </c>
      <c r="C9" s="3">
        <v>1.4459999999999999E-4</v>
      </c>
      <c r="D9" s="3">
        <v>-4.2509999999999998E-4</v>
      </c>
      <c r="E9" s="3">
        <v>0</v>
      </c>
      <c r="F9" s="3">
        <v>0</v>
      </c>
      <c r="G9" s="3">
        <v>0</v>
      </c>
      <c r="H9" s="3">
        <v>3.2933245999999998E-5</v>
      </c>
      <c r="I9" s="3">
        <v>1.3417502E-5</v>
      </c>
      <c r="J9" s="3">
        <v>-9.1309432999999994E-5</v>
      </c>
      <c r="K9" s="2"/>
      <c r="L9" s="3"/>
      <c r="M9" s="3"/>
      <c r="N9" s="2">
        <f>IF('Modell einstellen'!$B$1="Voll",H9/0.35,H9/0.35*2)</f>
        <v>1.8818997714285714E-4</v>
      </c>
      <c r="O9" s="2">
        <f>IF('Modell einstellen'!$B$1="Voll",J9/0.35,J9/0.35*2)</f>
        <v>-5.2176818857142858E-4</v>
      </c>
      <c r="P9" s="3">
        <f t="shared" si="0"/>
        <v>0.36067736835032149</v>
      </c>
      <c r="Q9" s="3"/>
      <c r="R9" s="3"/>
      <c r="S9" s="3"/>
      <c r="T9" s="3"/>
      <c r="U9" s="3"/>
    </row>
    <row r="10" spans="1:21" x14ac:dyDescent="0.25">
      <c r="A10" s="3">
        <v>1E-8</v>
      </c>
      <c r="B10" s="3">
        <v>-1.4619999999999999E-6</v>
      </c>
      <c r="C10" s="3">
        <v>1.4650000000000001E-4</v>
      </c>
      <c r="D10" s="3">
        <v>-4.2420000000000001E-4</v>
      </c>
      <c r="E10" s="3">
        <v>0</v>
      </c>
      <c r="F10" s="3">
        <v>0</v>
      </c>
      <c r="G10" s="3">
        <v>0</v>
      </c>
      <c r="H10" s="3">
        <v>3.3966993000000003E-5</v>
      </c>
      <c r="I10" s="3">
        <v>1.3607483999999999E-5</v>
      </c>
      <c r="J10" s="3">
        <v>-9.2905826999999995E-5</v>
      </c>
      <c r="K10" s="2"/>
      <c r="L10" s="3"/>
      <c r="M10" s="3"/>
      <c r="N10" s="2">
        <f>IF('Modell einstellen'!$B$1="Voll",H10/0.35,H10/0.35*2)</f>
        <v>1.940971028571429E-4</v>
      </c>
      <c r="O10" s="2">
        <f>IF('Modell einstellen'!$B$1="Voll",J10/0.35,J10/0.35*2)</f>
        <v>-5.3089043999999998E-4</v>
      </c>
      <c r="P10" s="3">
        <f t="shared" si="0"/>
        <v>0.3656067019348529</v>
      </c>
      <c r="Q10" s="3"/>
      <c r="R10" s="3"/>
      <c r="S10" s="3"/>
      <c r="T10" s="3"/>
      <c r="U10" s="3"/>
    </row>
    <row r="11" spans="1:21" x14ac:dyDescent="0.25">
      <c r="A11" s="3">
        <v>9.9999999999999995E-8</v>
      </c>
      <c r="B11" s="3">
        <v>-7.9859999999999994E-6</v>
      </c>
      <c r="C11" s="3">
        <v>1.4880000000000001E-4</v>
      </c>
      <c r="D11" s="3">
        <v>-4.2269999999999997E-4</v>
      </c>
      <c r="E11" s="3">
        <v>0</v>
      </c>
      <c r="F11" s="3">
        <v>0</v>
      </c>
      <c r="G11" s="3">
        <v>0</v>
      </c>
      <c r="H11" s="3">
        <v>3.5224342999999998E-5</v>
      </c>
      <c r="I11" s="3">
        <v>1.3831321E-5</v>
      </c>
      <c r="J11" s="3">
        <v>-9.4823137000000005E-5</v>
      </c>
      <c r="K11" s="2"/>
      <c r="L11" s="3"/>
      <c r="M11" s="3"/>
      <c r="N11" s="2">
        <f>IF('Modell einstellen'!$B$1="Voll",H11/0.35,H11/0.35*2)</f>
        <v>2.0128196E-4</v>
      </c>
      <c r="O11" s="2">
        <f>IF('Modell einstellen'!$B$1="Voll",J11/0.35,J11/0.35*2)</f>
        <v>-5.4184649714285717E-4</v>
      </c>
      <c r="P11" s="3">
        <f t="shared" si="0"/>
        <v>0.37147413716127109</v>
      </c>
      <c r="Q11" s="3"/>
      <c r="R11" s="3"/>
      <c r="S11" s="3"/>
      <c r="T11" s="3"/>
      <c r="U11" s="3"/>
    </row>
    <row r="12" spans="1:21" x14ac:dyDescent="0.25">
      <c r="A12" s="3">
        <v>9.9999999999999995E-7</v>
      </c>
      <c r="B12" s="3">
        <v>-1.643E-5</v>
      </c>
      <c r="C12" s="3">
        <v>1.5239999999999999E-4</v>
      </c>
      <c r="D12" s="3">
        <v>-4.2099999999999999E-4</v>
      </c>
      <c r="E12" s="3">
        <v>0</v>
      </c>
      <c r="F12" s="3">
        <v>0</v>
      </c>
      <c r="G12" s="3">
        <v>0</v>
      </c>
      <c r="H12" s="3">
        <v>3.6837091000000002E-5</v>
      </c>
      <c r="I12" s="3">
        <v>1.4144876999999999E-5</v>
      </c>
      <c r="J12" s="3">
        <v>-9.7308816999999999E-5</v>
      </c>
      <c r="K12" s="2"/>
      <c r="L12" s="3"/>
      <c r="M12" s="3"/>
      <c r="N12" s="2">
        <f>IF('Modell einstellen'!$B$1="Voll",H12/0.35,H12/0.35*2)</f>
        <v>2.1049766285714287E-4</v>
      </c>
      <c r="O12" s="2">
        <f>IF('Modell einstellen'!$B$1="Voll",J12/0.35,J12/0.35*2)</f>
        <v>-5.560503828571429E-4</v>
      </c>
      <c r="P12" s="3">
        <f t="shared" si="0"/>
        <v>0.37855861509445748</v>
      </c>
      <c r="Q12" s="3"/>
      <c r="R12" s="3"/>
      <c r="S12" s="3"/>
      <c r="T12" s="3"/>
      <c r="U12" s="3"/>
    </row>
    <row r="13" spans="1:21" x14ac:dyDescent="0.25">
      <c r="A13" s="3">
        <v>1.0000000000000001E-5</v>
      </c>
      <c r="B13" s="3">
        <v>-2.6769999999999999E-5</v>
      </c>
      <c r="C13" s="3">
        <v>1.548E-4</v>
      </c>
      <c r="D13" s="3">
        <v>-4.1649999999999999E-4</v>
      </c>
      <c r="E13" s="3">
        <v>0</v>
      </c>
      <c r="F13" s="3">
        <v>0</v>
      </c>
      <c r="G13" s="3">
        <v>0</v>
      </c>
      <c r="H13" s="3">
        <v>3.8559917000000003E-5</v>
      </c>
      <c r="I13" s="3">
        <v>1.4399725E-5</v>
      </c>
      <c r="J13" s="3">
        <v>-9.9806980999999996E-5</v>
      </c>
      <c r="K13" s="2"/>
      <c r="L13" s="3"/>
      <c r="M13" s="3"/>
      <c r="N13" s="2">
        <f>IF('Modell einstellen'!$B$1="Voll",H13/0.35,H13/0.35*2)</f>
        <v>2.2034238285714288E-4</v>
      </c>
      <c r="O13" s="2">
        <f>IF('Modell einstellen'!$B$1="Voll",J13/0.35,J13/0.35*2)</f>
        <v>-5.7032560571428569E-4</v>
      </c>
      <c r="P13" s="3">
        <f t="shared" si="0"/>
        <v>0.38634488904137881</v>
      </c>
      <c r="Q13" s="3"/>
      <c r="R13" s="3"/>
      <c r="S13" s="3"/>
      <c r="T13" s="3"/>
      <c r="U13" s="3"/>
    </row>
    <row r="14" spans="1:21" x14ac:dyDescent="0.25">
      <c r="A14" s="3">
        <v>1E-4</v>
      </c>
      <c r="B14" s="3">
        <v>-4.1480000000000003E-5</v>
      </c>
      <c r="C14" s="3">
        <v>1.594E-4</v>
      </c>
      <c r="D14" s="3">
        <v>-4.1070000000000001E-4</v>
      </c>
      <c r="E14" s="3">
        <v>0</v>
      </c>
      <c r="F14" s="3">
        <v>0</v>
      </c>
      <c r="G14" s="3">
        <v>0</v>
      </c>
      <c r="H14" s="3">
        <v>4.0987532000000001E-5</v>
      </c>
      <c r="I14" s="3">
        <v>1.4807876E-5</v>
      </c>
      <c r="J14" s="3">
        <v>-1.0338152E-4</v>
      </c>
      <c r="K14" s="2"/>
      <c r="L14" s="3"/>
      <c r="M14" s="3"/>
      <c r="N14" s="2">
        <f>IF('Modell einstellen'!$B$1="Voll",H14/0.35,H14/0.35*2)</f>
        <v>2.342144685714286E-4</v>
      </c>
      <c r="O14" s="2">
        <f>IF('Modell einstellen'!$B$1="Voll",J14/0.35,J14/0.35*2)</f>
        <v>-5.9075154285714285E-4</v>
      </c>
      <c r="P14" s="3">
        <f t="shared" si="0"/>
        <v>0.39646865319836666</v>
      </c>
      <c r="Q14" s="3"/>
      <c r="R14" s="3"/>
      <c r="S14" s="3"/>
      <c r="T14" s="3"/>
      <c r="U14" s="3"/>
    </row>
    <row r="15" spans="1:21" x14ac:dyDescent="0.25">
      <c r="A15" s="3">
        <v>1E-3</v>
      </c>
      <c r="B15" s="3">
        <v>-6.1130000000000006E-5</v>
      </c>
      <c r="C15" s="3">
        <v>1.638E-4</v>
      </c>
      <c r="D15" s="3">
        <v>-4.0030000000000003E-4</v>
      </c>
      <c r="E15" s="3">
        <v>0</v>
      </c>
      <c r="F15" s="3">
        <v>0</v>
      </c>
      <c r="G15" s="3">
        <v>0</v>
      </c>
      <c r="H15" s="3">
        <v>4.3931526000000002E-5</v>
      </c>
      <c r="I15" s="3">
        <v>1.5227194000000001E-5</v>
      </c>
      <c r="J15" s="3">
        <v>-1.0753779E-4</v>
      </c>
      <c r="K15" s="2"/>
      <c r="L15" s="3"/>
      <c r="M15" s="3"/>
      <c r="N15" s="2">
        <f>IF('Modell einstellen'!$B$1="Voll",H15/0.35,H15/0.35*2)</f>
        <v>2.5103729142857145E-4</v>
      </c>
      <c r="O15" s="2">
        <f>IF('Modell einstellen'!$B$1="Voll",J15/0.35,J15/0.35*2)</f>
        <v>-6.1450165714285721E-4</v>
      </c>
      <c r="P15" s="3">
        <f t="shared" si="0"/>
        <v>0.40852174849418049</v>
      </c>
      <c r="Q15" s="3"/>
      <c r="R15" s="3"/>
      <c r="S15" s="3"/>
      <c r="T15" s="3"/>
      <c r="U15" s="3"/>
    </row>
    <row r="16" spans="1:21" x14ac:dyDescent="0.25">
      <c r="A16" s="3">
        <v>0.01</v>
      </c>
      <c r="B16" s="3">
        <v>-8.4530000000000006E-5</v>
      </c>
      <c r="C16" s="3">
        <v>1.683E-4</v>
      </c>
      <c r="D16" s="3">
        <v>-3.8620000000000001E-4</v>
      </c>
      <c r="E16" s="3">
        <v>0</v>
      </c>
      <c r="F16" s="3">
        <v>0</v>
      </c>
      <c r="G16" s="3">
        <v>0</v>
      </c>
      <c r="H16" s="3">
        <v>4.7196700000000002E-5</v>
      </c>
      <c r="I16" s="3">
        <v>1.5647878E-5</v>
      </c>
      <c r="J16" s="3">
        <v>-1.1201673E-4</v>
      </c>
      <c r="K16" s="2"/>
      <c r="L16" s="3"/>
      <c r="M16" s="3"/>
      <c r="N16" s="2">
        <f>IF('Modell einstellen'!$B$1="Voll",H16/0.35,H16/0.35*2)</f>
        <v>2.6969542857142859E-4</v>
      </c>
      <c r="O16" s="2">
        <f>IF('Modell einstellen'!$B$1="Voll",J16/0.35,J16/0.35*2)</f>
        <v>-6.4009560000000002E-4</v>
      </c>
      <c r="P16" s="3">
        <f t="shared" si="0"/>
        <v>0.42133617005245555</v>
      </c>
      <c r="Q16" s="3"/>
      <c r="R16" s="3"/>
      <c r="S16" s="3"/>
      <c r="T16" s="3"/>
      <c r="U16" s="3"/>
    </row>
    <row r="17" spans="1:21" x14ac:dyDescent="0.25">
      <c r="A17" s="3">
        <v>0.1</v>
      </c>
      <c r="B17" s="3">
        <v>-1.1510000000000001E-4</v>
      </c>
      <c r="C17" s="3">
        <v>1.7330000000000001E-4</v>
      </c>
      <c r="D17" s="3">
        <v>-3.6600000000000001E-4</v>
      </c>
      <c r="E17" s="3">
        <v>0</v>
      </c>
      <c r="F17" s="3">
        <v>0</v>
      </c>
      <c r="G17" s="3">
        <v>0</v>
      </c>
      <c r="H17" s="3">
        <v>5.1226999E-5</v>
      </c>
      <c r="I17" s="3">
        <v>1.6126944999999999E-5</v>
      </c>
      <c r="J17" s="3">
        <v>-1.1741195E-4</v>
      </c>
      <c r="K17" s="2"/>
      <c r="L17" s="3"/>
      <c r="M17" s="3"/>
      <c r="N17" s="2">
        <f>IF('Modell einstellen'!$B$1="Voll",H17/0.35,H17/0.35*2)</f>
        <v>2.9272570857142861E-4</v>
      </c>
      <c r="O17" s="2">
        <f>IF('Modell einstellen'!$B$1="Voll",J17/0.35,J17/0.35*2)</f>
        <v>-6.7092542857142862E-4</v>
      </c>
      <c r="P17" s="3">
        <f t="shared" si="0"/>
        <v>0.43630140713956289</v>
      </c>
      <c r="Q17" s="3"/>
      <c r="R17" s="3"/>
      <c r="S17" s="3"/>
      <c r="T17" s="3"/>
      <c r="U17" s="3"/>
    </row>
    <row r="18" spans="1:21" x14ac:dyDescent="0.25">
      <c r="A18" s="3">
        <v>1</v>
      </c>
      <c r="B18" s="3">
        <v>-1.5249999999999999E-4</v>
      </c>
      <c r="C18" s="3">
        <v>1.797E-4</v>
      </c>
      <c r="D18" s="3">
        <v>-3.4029999999999998E-4</v>
      </c>
      <c r="E18" s="3">
        <v>0</v>
      </c>
      <c r="F18" s="3">
        <v>0</v>
      </c>
      <c r="G18" s="3">
        <v>0</v>
      </c>
      <c r="H18" s="3">
        <v>5.6306510999999997E-5</v>
      </c>
      <c r="I18" s="3">
        <v>1.6805689000000001E-5</v>
      </c>
      <c r="J18" s="3">
        <v>-1.2424822E-4</v>
      </c>
      <c r="K18" s="2"/>
      <c r="L18" s="3"/>
      <c r="M18" s="3"/>
      <c r="N18" s="2">
        <f>IF('Modell einstellen'!$B$1="Voll",H18/0.35,H18/0.35*2)</f>
        <v>3.2175149142857145E-4</v>
      </c>
      <c r="O18" s="2">
        <f>IF('Modell einstellen'!$B$1="Voll",J18/0.35,J18/0.35*2)</f>
        <v>-7.0998982857142855E-4</v>
      </c>
      <c r="P18" s="3">
        <f t="shared" si="0"/>
        <v>0.45317760689046493</v>
      </c>
      <c r="Q18" s="3"/>
      <c r="R18" s="3"/>
      <c r="S18" s="3"/>
      <c r="T18" s="3"/>
      <c r="U18" s="3"/>
    </row>
    <row r="19" spans="1:21" x14ac:dyDescent="0.25">
      <c r="A19" s="3">
        <v>10</v>
      </c>
      <c r="B19" s="3">
        <v>-1.9100000000000001E-4</v>
      </c>
      <c r="C19" s="3">
        <v>1.962E-4</v>
      </c>
      <c r="D19" s="3">
        <v>-3.2180000000000002E-4</v>
      </c>
      <c r="E19" s="3">
        <v>0</v>
      </c>
      <c r="F19" s="3">
        <v>0</v>
      </c>
      <c r="G19" s="3">
        <v>0</v>
      </c>
      <c r="H19" s="3">
        <v>6.5207122999999997E-5</v>
      </c>
      <c r="I19" s="3">
        <v>1.9079733999999999E-5</v>
      </c>
      <c r="J19" s="3">
        <v>-1.3792549E-4</v>
      </c>
      <c r="K19" s="2"/>
      <c r="L19" s="3"/>
      <c r="M19" s="3"/>
      <c r="N19" s="2">
        <f>IF('Modell einstellen'!$B$1="Voll",H19/0.35,H19/0.35*2)</f>
        <v>3.7261213142857145E-4</v>
      </c>
      <c r="O19" s="2">
        <f>IF('Modell einstellen'!$B$1="Voll",J19/0.35,J19/0.35*2)</f>
        <v>-7.8814565714285714E-4</v>
      </c>
      <c r="P19" s="3">
        <f t="shared" si="0"/>
        <v>0.47277064594804052</v>
      </c>
      <c r="Q19" s="3"/>
      <c r="R19" s="3"/>
      <c r="S19" s="3"/>
      <c r="T19" s="3"/>
      <c r="U19" s="3"/>
    </row>
    <row r="20" spans="1:21" x14ac:dyDescent="0.25">
      <c r="A20" s="3">
        <v>100</v>
      </c>
      <c r="B20" s="3">
        <v>-1.8330000000000001E-4</v>
      </c>
      <c r="C20" s="3">
        <v>2.4369999999999999E-4</v>
      </c>
      <c r="D20" s="3">
        <v>-3.6989999999999999E-4</v>
      </c>
      <c r="E20" s="3">
        <v>0</v>
      </c>
      <c r="F20" s="3">
        <v>0</v>
      </c>
      <c r="G20" s="3">
        <v>0</v>
      </c>
      <c r="H20" s="3">
        <v>8.3454366000000006E-5</v>
      </c>
      <c r="I20" s="3">
        <v>2.7358458000000001E-5</v>
      </c>
      <c r="J20" s="3">
        <v>-1.7207672000000001E-4</v>
      </c>
      <c r="K20" s="2"/>
      <c r="L20" s="3"/>
      <c r="M20" s="3"/>
      <c r="N20" s="2">
        <f>IF('Modell einstellen'!$B$1="Voll",H20/0.35,H20/0.35*2)</f>
        <v>4.7688209142857151E-4</v>
      </c>
      <c r="O20" s="2">
        <f>IF('Modell einstellen'!$B$1="Voll",J20/0.35,J20/0.35*2)</f>
        <v>-9.8329554285714305E-4</v>
      </c>
      <c r="P20" s="3">
        <f t="shared" si="0"/>
        <v>0.48498347713740708</v>
      </c>
      <c r="Q20" s="3"/>
      <c r="R20" s="3"/>
      <c r="S20" s="3"/>
      <c r="T20" s="3"/>
      <c r="U20" s="3"/>
    </row>
    <row r="21" spans="1:21" x14ac:dyDescent="0.25">
      <c r="A21" s="3">
        <v>1000</v>
      </c>
      <c r="B21" s="3">
        <v>-1.2870000000000001E-4</v>
      </c>
      <c r="C21" s="3">
        <v>3.3950000000000001E-4</v>
      </c>
      <c r="D21" s="3">
        <v>-5.0409999999999995E-4</v>
      </c>
      <c r="E21" s="3">
        <v>0</v>
      </c>
      <c r="F21" s="3">
        <v>0</v>
      </c>
      <c r="G21" s="3">
        <v>0</v>
      </c>
      <c r="H21" s="3">
        <v>1.1632172E-4</v>
      </c>
      <c r="I21" s="3">
        <v>4.5574551000000002E-5</v>
      </c>
      <c r="J21" s="3">
        <v>-2.3971225E-4</v>
      </c>
      <c r="K21" s="2"/>
      <c r="L21" s="3"/>
      <c r="M21" s="3"/>
      <c r="N21" s="2">
        <f>IF('Modell einstellen'!$B$1="Voll",H21/0.35,H21/0.35*2)</f>
        <v>6.646955428571429E-4</v>
      </c>
      <c r="O21" s="2">
        <f>IF('Modell einstellen'!$B$1="Voll",J21/0.35,J21/0.35*2)</f>
        <v>-1.3697842857142858E-3</v>
      </c>
      <c r="P21" s="3">
        <f t="shared" si="0"/>
        <v>0.48525563462025828</v>
      </c>
      <c r="Q21" s="3"/>
      <c r="R21" s="3"/>
      <c r="S21" s="3"/>
      <c r="T21" s="3"/>
      <c r="U21" s="3"/>
    </row>
    <row r="22" spans="1:21" x14ac:dyDescent="0.25">
      <c r="A22" s="3">
        <v>10000</v>
      </c>
      <c r="B22" s="3">
        <v>-1.0450000000000001E-4</v>
      </c>
      <c r="C22" s="3">
        <v>5.1139999999999996E-4</v>
      </c>
      <c r="D22" s="3">
        <v>-6.8320000000000002E-4</v>
      </c>
      <c r="E22" s="3">
        <v>0</v>
      </c>
      <c r="F22" s="3">
        <v>0</v>
      </c>
      <c r="G22" s="3">
        <v>0</v>
      </c>
      <c r="H22" s="3">
        <v>1.7684100000000001E-4</v>
      </c>
      <c r="I22" s="3">
        <v>7.9905722000000003E-5</v>
      </c>
      <c r="J22" s="3">
        <v>-3.6632057E-4</v>
      </c>
      <c r="K22" s="2"/>
      <c r="L22" s="3"/>
      <c r="M22" s="3"/>
      <c r="N22" s="2">
        <f>IF('Modell einstellen'!$B$1="Voll",H22/0.35,H22/0.35*2)</f>
        <v>1.0105200000000002E-3</v>
      </c>
      <c r="O22" s="2">
        <f>IF('Modell einstellen'!$B$1="Voll",J22/0.35,J22/0.35*2)</f>
        <v>-2.0932604000000001E-3</v>
      </c>
      <c r="P22" s="3">
        <f t="shared" si="0"/>
        <v>0.48274930343114508</v>
      </c>
      <c r="Q22" s="3"/>
      <c r="R22" s="3"/>
      <c r="S22" s="3"/>
      <c r="T22" s="3"/>
      <c r="U22" s="3"/>
    </row>
    <row r="23" spans="1:21" x14ac:dyDescent="0.25">
      <c r="A23" s="3">
        <v>100000</v>
      </c>
      <c r="B23" s="3">
        <v>-2.195E-4</v>
      </c>
      <c r="C23" s="3">
        <v>8.6390000000000002E-4</v>
      </c>
      <c r="D23" s="3">
        <v>-9.0140000000000001E-4</v>
      </c>
      <c r="E23" s="3">
        <v>0</v>
      </c>
      <c r="F23" s="3">
        <v>0</v>
      </c>
      <c r="G23" s="3">
        <v>0</v>
      </c>
      <c r="H23" s="3">
        <v>2.9911602000000002E-4</v>
      </c>
      <c r="I23" s="3">
        <v>1.5278574999999999E-4</v>
      </c>
      <c r="J23" s="3">
        <v>-6.2907773000000003E-4</v>
      </c>
      <c r="K23" s="2"/>
      <c r="L23" s="3"/>
      <c r="M23" s="3"/>
      <c r="N23" s="2">
        <f>IF('Modell einstellen'!$B$1="Voll",H23/0.35,H23/0.35*2)</f>
        <v>1.7092344000000002E-3</v>
      </c>
      <c r="O23" s="2">
        <f>IF('Modell einstellen'!$B$1="Voll",J23/0.35,J23/0.35*2)</f>
        <v>-3.5947298857142863E-3</v>
      </c>
      <c r="P23" s="3">
        <f t="shared" si="0"/>
        <v>0.47548340329898497</v>
      </c>
      <c r="Q23" s="3"/>
      <c r="R23" s="3"/>
      <c r="S23" s="3"/>
      <c r="T23" s="3"/>
      <c r="U23" s="3"/>
    </row>
    <row r="24" spans="1:21" x14ac:dyDescent="0.25">
      <c r="A24" s="3">
        <v>1000000</v>
      </c>
      <c r="B24" s="3">
        <v>-5.4109999999999998E-4</v>
      </c>
      <c r="C24" s="3">
        <v>1.621E-3</v>
      </c>
      <c r="D24" s="3">
        <v>-1.312E-3</v>
      </c>
      <c r="E24" s="3">
        <v>0</v>
      </c>
      <c r="F24" s="3">
        <v>0</v>
      </c>
      <c r="G24" s="3">
        <v>0</v>
      </c>
      <c r="H24" s="3">
        <v>5.4113543999999996E-4</v>
      </c>
      <c r="I24" s="3">
        <v>3.1056739E-4</v>
      </c>
      <c r="J24" s="3">
        <v>-1.1734592E-3</v>
      </c>
      <c r="K24" s="2"/>
      <c r="L24" s="3"/>
      <c r="M24" s="3"/>
      <c r="N24" s="2">
        <f>IF('Modell einstellen'!$B$1="Voll",H24/0.35,H24/0.35*2)</f>
        <v>3.0922025142857143E-3</v>
      </c>
      <c r="O24" s="2">
        <f>IF('Modell einstellen'!$B$1="Voll",J24/0.35,J24/0.35*2)</f>
        <v>-6.7054811428571438E-3</v>
      </c>
      <c r="P24" s="3">
        <f t="shared" si="0"/>
        <v>0.46114550893631406</v>
      </c>
      <c r="Q24" s="3"/>
      <c r="R24" s="3"/>
      <c r="S24" s="3"/>
      <c r="T24" s="3"/>
      <c r="U24" s="3"/>
    </row>
    <row r="25" spans="1:21" x14ac:dyDescent="0.25">
      <c r="A25" s="3">
        <v>10000000</v>
      </c>
      <c r="B25" s="3">
        <v>-9.7570000000000003E-4</v>
      </c>
      <c r="C25" s="3">
        <v>3.124E-3</v>
      </c>
      <c r="D25" s="3">
        <v>-2.356E-3</v>
      </c>
      <c r="E25" s="3">
        <v>0</v>
      </c>
      <c r="F25" s="3">
        <v>0</v>
      </c>
      <c r="G25" s="3">
        <v>0</v>
      </c>
      <c r="H25" s="3">
        <v>9.9570147999999991E-4</v>
      </c>
      <c r="I25" s="3">
        <v>6.2772071999999996E-4</v>
      </c>
      <c r="J25" s="3">
        <v>-2.2287062000000001E-3</v>
      </c>
      <c r="K25" s="2"/>
      <c r="L25" s="3"/>
      <c r="M25" s="3"/>
      <c r="N25" s="2">
        <f>IF('Modell einstellen'!$B$1="Voll",H25/0.35,H25/0.35*2)</f>
        <v>5.6897227428571425E-3</v>
      </c>
      <c r="O25" s="2">
        <f>IF('Modell einstellen'!$B$1="Voll",J25/0.35,J25/0.35*2)</f>
        <v>-1.2735464000000002E-2</v>
      </c>
      <c r="P25" s="3">
        <f t="shared" si="0"/>
        <v>0.4467621079889309</v>
      </c>
      <c r="Q25" s="3"/>
      <c r="R25" s="3"/>
      <c r="S25" s="3"/>
      <c r="T25" s="3"/>
      <c r="U25" s="3"/>
    </row>
    <row r="26" spans="1:21" x14ac:dyDescent="0.25">
      <c r="A26" s="3">
        <v>100000000</v>
      </c>
      <c r="B26" s="3">
        <v>-1.0510000000000001E-3</v>
      </c>
      <c r="C26" s="3">
        <v>5.6959999999999997E-3</v>
      </c>
      <c r="D26" s="3">
        <v>-4.8339999999999998E-3</v>
      </c>
      <c r="E26" s="3">
        <v>0</v>
      </c>
      <c r="F26" s="3">
        <v>0</v>
      </c>
      <c r="G26" s="3">
        <v>0</v>
      </c>
      <c r="H26" s="3">
        <v>1.7423353999999999E-3</v>
      </c>
      <c r="I26" s="3">
        <v>1.1784457E-3</v>
      </c>
      <c r="J26" s="3">
        <v>-3.9970075999999997E-3</v>
      </c>
      <c r="K26" s="2"/>
      <c r="L26" s="3"/>
      <c r="M26" s="3"/>
      <c r="N26" s="2">
        <f>IF('Modell einstellen'!$B$1="Voll",H26/0.35,H26/0.35*2)</f>
        <v>9.9562022857142864E-3</v>
      </c>
      <c r="O26" s="2">
        <f>IF('Modell einstellen'!$B$1="Voll",J26/0.35,J26/0.35*2)</f>
        <v>-2.2840043428571429E-2</v>
      </c>
      <c r="P26" s="3">
        <f t="shared" si="0"/>
        <v>0.43590995423676454</v>
      </c>
      <c r="Q26" s="3"/>
      <c r="R26" s="3"/>
      <c r="S26" s="3"/>
      <c r="T26" s="3"/>
      <c r="U26" s="3"/>
    </row>
    <row r="27" spans="1:21" x14ac:dyDescent="0.25">
      <c r="A27" s="3">
        <v>1000000000</v>
      </c>
      <c r="B27" s="3">
        <v>3.1070000000000002E-4</v>
      </c>
      <c r="C27" s="3">
        <v>7.9909999999999998E-3</v>
      </c>
      <c r="D27" s="3">
        <v>-8.4729999999999996E-3</v>
      </c>
      <c r="E27" s="3">
        <v>0</v>
      </c>
      <c r="F27" s="3">
        <v>0</v>
      </c>
      <c r="G27" s="3">
        <v>0</v>
      </c>
      <c r="H27" s="3">
        <v>2.2717483000000002E-3</v>
      </c>
      <c r="I27" s="3">
        <v>1.6430052E-3</v>
      </c>
      <c r="J27" s="3">
        <v>-5.3711554999999996E-3</v>
      </c>
      <c r="K27" s="2"/>
      <c r="L27" s="3"/>
      <c r="M27" s="3"/>
      <c r="N27" s="2">
        <f>IF('Modell einstellen'!$B$1="Voll",H27/0.35,H27/0.35*2)</f>
        <v>1.2981418857142858E-2</v>
      </c>
      <c r="O27" s="2">
        <f>IF('Modell einstellen'!$B$1="Voll",J27/0.35,J27/0.35*2)</f>
        <v>-3.0692317142857143E-2</v>
      </c>
      <c r="P27" s="3">
        <f t="shared" si="0"/>
        <v>0.42295336636595238</v>
      </c>
      <c r="Q27" s="3"/>
      <c r="R27" s="3"/>
      <c r="S27" s="3"/>
      <c r="T27" s="3"/>
      <c r="U27" s="3"/>
    </row>
    <row r="28" spans="1:21" x14ac:dyDescent="0.25">
      <c r="A28" s="3">
        <v>10000000000</v>
      </c>
      <c r="B28" s="3">
        <v>1.933E-3</v>
      </c>
      <c r="C28" s="3">
        <v>9.4789999999999996E-3</v>
      </c>
      <c r="D28" s="3">
        <v>-1.157E-2</v>
      </c>
      <c r="E28" s="3">
        <v>0</v>
      </c>
      <c r="F28" s="3">
        <v>0</v>
      </c>
      <c r="G28" s="3">
        <v>0</v>
      </c>
      <c r="H28" s="3">
        <v>2.5303447000000001E-3</v>
      </c>
      <c r="I28" s="3">
        <v>1.9196551E-3</v>
      </c>
      <c r="J28" s="3">
        <v>-6.1274346000000004E-3</v>
      </c>
      <c r="K28" s="2"/>
      <c r="L28" s="3"/>
      <c r="M28" s="3"/>
      <c r="N28" s="2">
        <f>IF('Modell einstellen'!$B$1="Voll",H28/0.35,H28/0.35*2)</f>
        <v>1.4459112571428573E-2</v>
      </c>
      <c r="O28" s="2">
        <f>IF('Modell einstellen'!$B$1="Voll",J28/0.35,J28/0.35*2)</f>
        <v>-3.5013912000000001E-2</v>
      </c>
      <c r="P28" s="3">
        <f t="shared" si="0"/>
        <v>0.4129533589799555</v>
      </c>
      <c r="Q28" s="3"/>
      <c r="R28" s="3"/>
      <c r="S28" s="3"/>
      <c r="T28" s="3"/>
      <c r="U28" s="3"/>
    </row>
    <row r="29" spans="1:21" x14ac:dyDescent="0.25">
      <c r="A29" s="3">
        <v>100000000000</v>
      </c>
      <c r="B29" s="3">
        <v>3.1970000000000002E-3</v>
      </c>
      <c r="C29" s="3">
        <v>1.059E-2</v>
      </c>
      <c r="D29" s="3">
        <v>-1.3939999999999999E-2</v>
      </c>
      <c r="E29" s="3">
        <v>0</v>
      </c>
      <c r="F29" s="3">
        <v>0</v>
      </c>
      <c r="G29" s="3">
        <v>0</v>
      </c>
      <c r="H29" s="3">
        <v>2.7226395E-3</v>
      </c>
      <c r="I29" s="3">
        <v>2.1217938000000001E-3</v>
      </c>
      <c r="J29" s="3">
        <v>-6.6799088000000003E-3</v>
      </c>
      <c r="K29" s="2"/>
      <c r="L29" s="3"/>
      <c r="M29" s="3"/>
      <c r="N29" s="2">
        <f>IF('Modell einstellen'!$B$1="Voll",H29/0.35,H29/0.35*2)</f>
        <v>1.5557940000000001E-2</v>
      </c>
      <c r="O29" s="2">
        <f>IF('Modell einstellen'!$B$1="Voll",J29/0.35,J29/0.35*2)</f>
        <v>-3.8170907428571432E-2</v>
      </c>
      <c r="P29" s="3">
        <f t="shared" si="0"/>
        <v>0.40758632812471929</v>
      </c>
      <c r="Q29" s="3"/>
      <c r="R29" s="3"/>
      <c r="S29" s="3"/>
      <c r="T29" s="3"/>
      <c r="U29" s="3"/>
    </row>
    <row r="30" spans="1:21" x14ac:dyDescent="0.25">
      <c r="A30" s="3">
        <v>1000000000000</v>
      </c>
      <c r="B30" s="3">
        <v>3.434E-3</v>
      </c>
      <c r="C30" s="3">
        <v>1.0699999999999999E-2</v>
      </c>
      <c r="D30" s="3">
        <v>-1.4279999999999999E-2</v>
      </c>
      <c r="E30" s="3">
        <v>0</v>
      </c>
      <c r="F30" s="3">
        <v>0</v>
      </c>
      <c r="G30" s="3">
        <v>0</v>
      </c>
      <c r="H30" s="3">
        <v>2.7290113E-3</v>
      </c>
      <c r="I30" s="3">
        <v>2.1388269999999998E-3</v>
      </c>
      <c r="J30" s="3">
        <v>-6.7169717000000002E-3</v>
      </c>
      <c r="K30" s="2"/>
      <c r="L30" s="3"/>
      <c r="M30" s="3"/>
      <c r="N30" s="2">
        <f>IF('Modell einstellen'!$B$1="Voll",H30/0.35,H30/0.35*2)</f>
        <v>1.5594350285714287E-2</v>
      </c>
      <c r="O30" s="2">
        <f>IF('Modell einstellen'!$B$1="Voll",J30/0.35,J30/0.35*2)</f>
        <v>-3.838269542857143E-2</v>
      </c>
      <c r="P30" s="3">
        <f t="shared" si="0"/>
        <v>0.40628596068076334</v>
      </c>
      <c r="Q30" s="3"/>
      <c r="R30" s="3"/>
      <c r="S30" s="3"/>
      <c r="T30" s="3"/>
      <c r="U30" s="3"/>
    </row>
    <row r="31" spans="1:21" x14ac:dyDescent="0.25">
      <c r="A31" s="3">
        <v>10000000000000</v>
      </c>
      <c r="B31" s="3">
        <v>4.4270000000000004E-3</v>
      </c>
      <c r="C31" s="3">
        <v>1.115E-2</v>
      </c>
      <c r="D31" s="3">
        <v>-1.5720000000000001E-2</v>
      </c>
      <c r="E31" s="3">
        <v>0</v>
      </c>
      <c r="F31" s="3">
        <v>0</v>
      </c>
      <c r="G31" s="3">
        <v>0</v>
      </c>
      <c r="H31" s="3">
        <v>2.7446698999999998E-3</v>
      </c>
      <c r="I31" s="3">
        <v>2.2017149999999999E-3</v>
      </c>
      <c r="J31" s="3">
        <v>-6.8463387999999998E-3</v>
      </c>
      <c r="K31" s="2"/>
      <c r="L31" s="3"/>
      <c r="M31" s="3"/>
      <c r="N31" s="2">
        <f>IF('Modell einstellen'!$B$1="Voll",H31/0.35,H31/0.35*2)</f>
        <v>1.5683828E-2</v>
      </c>
      <c r="O31" s="2">
        <f>IF('Modell einstellen'!$B$1="Voll",J31/0.35,J31/0.35*2)</f>
        <v>-3.9121936000000003E-2</v>
      </c>
      <c r="P31" s="3">
        <f t="shared" si="0"/>
        <v>0.40089600882737497</v>
      </c>
      <c r="Q31" s="3"/>
      <c r="R31" s="3"/>
      <c r="S31" s="3"/>
      <c r="T31" s="3"/>
      <c r="U31" s="3"/>
    </row>
    <row r="32" spans="1:21" x14ac:dyDescent="0.25">
      <c r="A32" s="3">
        <v>100000000000000</v>
      </c>
      <c r="B32" s="3">
        <v>4.4429999999999999E-3</v>
      </c>
      <c r="C32" s="3">
        <v>1.115E-2</v>
      </c>
      <c r="D32" s="3">
        <v>-1.5740000000000001E-2</v>
      </c>
      <c r="E32" s="3">
        <v>0</v>
      </c>
      <c r="F32" s="3">
        <v>0</v>
      </c>
      <c r="G32" s="3">
        <v>0</v>
      </c>
      <c r="H32" s="3">
        <v>2.7449293999999998E-3</v>
      </c>
      <c r="I32" s="3">
        <v>2.2026876999999999E-3</v>
      </c>
      <c r="J32" s="3">
        <v>-6.8483262999999997E-3</v>
      </c>
      <c r="K32" s="2"/>
      <c r="L32" s="3"/>
      <c r="M32" s="3"/>
      <c r="N32" s="2">
        <f>IF('Modell einstellen'!$B$1="Voll",H32/0.35,H32/0.35*2)</f>
        <v>1.5685310857142858E-2</v>
      </c>
      <c r="O32" s="2">
        <f>IF('Modell einstellen'!$B$1="Voll",J32/0.35,J32/0.35*2)</f>
        <v>-3.9133293142857142E-2</v>
      </c>
      <c r="P32" s="3">
        <f t="shared" si="0"/>
        <v>0.40081755450233147</v>
      </c>
      <c r="Q32" s="3"/>
      <c r="R32" s="3"/>
      <c r="S32" s="3"/>
      <c r="T32" s="3"/>
      <c r="U32" s="3"/>
    </row>
    <row r="33" spans="1:21" x14ac:dyDescent="0.25">
      <c r="A33" s="2">
        <v>1000000000000000</v>
      </c>
      <c r="B33" s="3">
        <v>5.169E-3</v>
      </c>
      <c r="C33" s="3">
        <v>1.153E-2</v>
      </c>
      <c r="D33" s="3">
        <v>-1.6840000000000001E-2</v>
      </c>
      <c r="E33" s="3">
        <v>0</v>
      </c>
      <c r="F33" s="3">
        <v>0</v>
      </c>
      <c r="G33" s="3">
        <v>0</v>
      </c>
      <c r="H33" s="3">
        <v>2.7574240000000001E-3</v>
      </c>
      <c r="I33" s="3">
        <v>2.2423740000000001E-3</v>
      </c>
      <c r="J33" s="3">
        <v>-6.9323309999999999E-3</v>
      </c>
      <c r="K33" s="2"/>
      <c r="L33" s="3"/>
      <c r="M33" s="3"/>
      <c r="N33" s="2">
        <f>IF('Modell einstellen'!$B$1="Voll",H33/0.35,H33/0.35*2)</f>
        <v>1.5756708571428572E-2</v>
      </c>
      <c r="O33" s="2">
        <f>IF('Modell einstellen'!$B$1="Voll",J33/0.35,J33/0.35*2)</f>
        <v>-3.961332E-2</v>
      </c>
      <c r="P33" s="3">
        <f t="shared" si="0"/>
        <v>0.39776288812522081</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-3.9820000000000002E-6</v>
      </c>
      <c r="C3" s="3">
        <v>1.529E-4</v>
      </c>
      <c r="D3" s="3">
        <v>-4.305E-4</v>
      </c>
      <c r="E3" s="3">
        <v>0</v>
      </c>
      <c r="F3" s="3">
        <v>0</v>
      </c>
      <c r="G3" s="3">
        <v>0</v>
      </c>
      <c r="H3" s="3">
        <v>3.6088516000000002E-5</v>
      </c>
      <c r="I3" s="3">
        <v>1.4323003999999999E-5</v>
      </c>
      <c r="J3" s="3">
        <v>-9.6774266999999996E-5</v>
      </c>
      <c r="L3" s="3">
        <f>-B3/D3</f>
        <v>-9.2497096399535433E-3</v>
      </c>
      <c r="M3" s="3"/>
      <c r="N3" s="2">
        <f>IF('Modell einstellen'!$B$1="Voll",H3/0.35,H3/0.35*2)</f>
        <v>2.0622009142857146E-4</v>
      </c>
      <c r="O3" s="2">
        <f>IF('Modell einstellen'!$B$1="Voll",J3/0.35,J3/0.35*2)</f>
        <v>-5.5299581142857139E-4</v>
      </c>
      <c r="P3" s="3">
        <f>-N3/O3</f>
        <v>0.37291438229131724</v>
      </c>
    </row>
    <row r="4" spans="1:16" x14ac:dyDescent="0.25">
      <c r="A4" s="3">
        <v>1E-14</v>
      </c>
      <c r="B4" s="3">
        <v>-1.5299999999999999E-5</v>
      </c>
      <c r="C4" s="3">
        <v>1.5669999999999999E-4</v>
      </c>
      <c r="D4" s="3">
        <v>-4.2709999999999997E-4</v>
      </c>
      <c r="E4" s="3">
        <v>0</v>
      </c>
      <c r="F4" s="3">
        <v>0</v>
      </c>
      <c r="G4" s="3">
        <v>0</v>
      </c>
      <c r="H4" s="3">
        <v>3.8194961000000003E-5</v>
      </c>
      <c r="I4" s="3">
        <v>1.4693423E-5</v>
      </c>
      <c r="J4" s="3">
        <v>-9.9940050999999995E-5</v>
      </c>
      <c r="L4" s="3">
        <f t="shared" ref="L4:L33" si="0">-B4/D4</f>
        <v>-3.5822992273472257E-2</v>
      </c>
      <c r="M4" s="3"/>
      <c r="N4" s="2">
        <f>IF('Modell einstellen'!$B$1="Voll",H4/0.35,H4/0.35*2)</f>
        <v>2.1825692000000004E-4</v>
      </c>
      <c r="O4" s="2">
        <f>IF('Modell einstellen'!$B$1="Voll",J4/0.35,J4/0.35*2)</f>
        <v>-5.7108600571428576E-4</v>
      </c>
      <c r="P4" s="3">
        <f t="shared" ref="P4:P33" si="1">-N4/O4</f>
        <v>0.38217872232224498</v>
      </c>
    </row>
    <row r="5" spans="1:16" x14ac:dyDescent="0.25">
      <c r="A5" s="3">
        <v>1E-13</v>
      </c>
      <c r="B5" s="3">
        <v>-2.7990000000000001E-5</v>
      </c>
      <c r="C5" s="3">
        <v>1.6029999999999999E-4</v>
      </c>
      <c r="D5" s="3">
        <v>-4.2200000000000001E-4</v>
      </c>
      <c r="E5" s="3">
        <v>0</v>
      </c>
      <c r="F5" s="3">
        <v>0</v>
      </c>
      <c r="G5" s="3">
        <v>0</v>
      </c>
      <c r="H5" s="3">
        <v>4.0366698000000002E-5</v>
      </c>
      <c r="I5" s="3">
        <v>1.5049380000000001E-5</v>
      </c>
      <c r="J5" s="3">
        <v>-1.0312975999999999E-4</v>
      </c>
      <c r="L5" s="3">
        <f t="shared" si="0"/>
        <v>-6.6327014218009475E-2</v>
      </c>
      <c r="M5" s="3"/>
      <c r="N5" s="2">
        <f>IF('Modell einstellen'!$B$1="Voll",H5/0.35,H5/0.35*2)</f>
        <v>2.3066684571428574E-4</v>
      </c>
      <c r="O5" s="2">
        <f>IF('Modell einstellen'!$B$1="Voll",J5/0.35,J5/0.35*2)</f>
        <v>-5.8931291428571423E-4</v>
      </c>
      <c r="P5" s="3">
        <f t="shared" si="1"/>
        <v>0.39141658043226329</v>
      </c>
    </row>
    <row r="6" spans="1:16" x14ac:dyDescent="0.25">
      <c r="A6" s="3">
        <v>9.9999999999999998E-13</v>
      </c>
      <c r="B6" s="3">
        <v>-4.5380000000000003E-5</v>
      </c>
      <c r="C6" s="3">
        <v>1.6459999999999999E-4</v>
      </c>
      <c r="D6" s="3">
        <v>-4.1360000000000002E-4</v>
      </c>
      <c r="E6" s="3">
        <v>0</v>
      </c>
      <c r="F6" s="3">
        <v>0</v>
      </c>
      <c r="G6" s="3">
        <v>0</v>
      </c>
      <c r="H6" s="3">
        <v>4.3124345E-5</v>
      </c>
      <c r="I6" s="3">
        <v>1.5467859999999999E-5</v>
      </c>
      <c r="J6" s="3">
        <v>-1.0708143E-4</v>
      </c>
      <c r="L6" s="3">
        <f t="shared" si="0"/>
        <v>-0.10971953578336557</v>
      </c>
      <c r="M6" s="3"/>
      <c r="N6" s="2">
        <f>IF('Modell einstellen'!$B$1="Voll",H6/0.35,H6/0.35*2)</f>
        <v>2.4642482857142856E-4</v>
      </c>
      <c r="O6" s="2">
        <f>IF('Modell einstellen'!$B$1="Voll",J6/0.35,J6/0.35*2)</f>
        <v>-6.1189388571428573E-4</v>
      </c>
      <c r="P6" s="3">
        <f t="shared" si="1"/>
        <v>0.40272477683572211</v>
      </c>
    </row>
    <row r="7" spans="1:16" x14ac:dyDescent="0.25">
      <c r="A7" s="3">
        <v>9.9999999999999994E-12</v>
      </c>
      <c r="B7" s="3">
        <v>-6.6870000000000002E-5</v>
      </c>
      <c r="C7" s="3">
        <v>1.6899999999999999E-4</v>
      </c>
      <c r="D7" s="3">
        <v>-4.014E-4</v>
      </c>
      <c r="E7" s="3">
        <v>0</v>
      </c>
      <c r="F7" s="3">
        <v>0</v>
      </c>
      <c r="G7" s="3">
        <v>0</v>
      </c>
      <c r="H7" s="3">
        <v>4.6274225E-5</v>
      </c>
      <c r="I7" s="3">
        <v>1.5903182000000001E-5</v>
      </c>
      <c r="J7" s="3">
        <v>-1.114706E-4</v>
      </c>
      <c r="L7" s="3">
        <f t="shared" si="0"/>
        <v>-0.16659192825112107</v>
      </c>
      <c r="M7" s="3"/>
      <c r="N7" s="2">
        <f>IF('Modell einstellen'!$B$1="Voll",H7/0.35,H7/0.35*2)</f>
        <v>2.6442414285714286E-4</v>
      </c>
      <c r="O7" s="2">
        <f>IF('Modell einstellen'!$B$1="Voll",J7/0.35,J7/0.35*2)</f>
        <v>-6.3697485714285724E-4</v>
      </c>
      <c r="P7" s="3">
        <f t="shared" si="1"/>
        <v>0.41512492980211818</v>
      </c>
    </row>
    <row r="8" spans="1:16" x14ac:dyDescent="0.25">
      <c r="A8" s="3">
        <v>1E-10</v>
      </c>
      <c r="B8" s="3">
        <v>-9.3900000000000006E-5</v>
      </c>
      <c r="C8" s="3">
        <v>1.7369999999999999E-4</v>
      </c>
      <c r="D8" s="3">
        <v>-3.8420000000000001E-4</v>
      </c>
      <c r="E8" s="3">
        <v>0</v>
      </c>
      <c r="F8" s="3">
        <v>0</v>
      </c>
      <c r="G8" s="3">
        <v>0</v>
      </c>
      <c r="H8" s="3">
        <v>4.9963563000000003E-5</v>
      </c>
      <c r="I8" s="3">
        <v>1.6364337E-5</v>
      </c>
      <c r="J8" s="3">
        <v>-1.1647065000000001E-4</v>
      </c>
      <c r="L8" s="3">
        <f t="shared" si="0"/>
        <v>-0.24440395627277461</v>
      </c>
      <c r="M8" s="3"/>
      <c r="N8" s="2">
        <f>IF('Modell einstellen'!$B$1="Voll",H8/0.35,H8/0.35*2)</f>
        <v>2.8550607428571434E-4</v>
      </c>
      <c r="O8" s="2">
        <f>IF('Modell einstellen'!$B$1="Voll",J8/0.35,J8/0.35*2)</f>
        <v>-6.6554657142857149E-4</v>
      </c>
      <c r="P8" s="3">
        <f t="shared" si="1"/>
        <v>0.42897985887431728</v>
      </c>
    </row>
    <row r="9" spans="1:16" x14ac:dyDescent="0.25">
      <c r="A9" s="3">
        <v>1.0000000000000001E-9</v>
      </c>
      <c r="B9" s="3">
        <v>-1.2980000000000001E-4</v>
      </c>
      <c r="C9" s="3">
        <v>1.7890000000000001E-4</v>
      </c>
      <c r="D9" s="3">
        <v>-3.59E-4</v>
      </c>
      <c r="E9" s="3">
        <v>0</v>
      </c>
      <c r="F9" s="3">
        <v>0</v>
      </c>
      <c r="G9" s="3">
        <v>0</v>
      </c>
      <c r="H9" s="3">
        <v>5.4530251000000001E-5</v>
      </c>
      <c r="I9" s="3">
        <v>1.6870294E-5</v>
      </c>
      <c r="J9" s="3">
        <v>-1.2247336999999999E-4</v>
      </c>
      <c r="L9" s="3">
        <f t="shared" si="0"/>
        <v>-0.3615598885793872</v>
      </c>
      <c r="M9" s="3"/>
      <c r="N9" s="2">
        <f>IF('Modell einstellen'!$B$1="Voll",H9/0.35,H9/0.35*2)</f>
        <v>3.1160143428571432E-4</v>
      </c>
      <c r="O9" s="2">
        <f>IF('Modell einstellen'!$B$1="Voll",J9/0.35,J9/0.35*2)</f>
        <v>-6.9984782857142856E-4</v>
      </c>
      <c r="P9" s="3">
        <f t="shared" si="1"/>
        <v>0.4452416962152671</v>
      </c>
    </row>
    <row r="10" spans="1:16" x14ac:dyDescent="0.25">
      <c r="A10" s="3">
        <v>1E-8</v>
      </c>
      <c r="B10" s="3">
        <v>-1.8320000000000001E-4</v>
      </c>
      <c r="C10" s="3">
        <v>1.85E-4</v>
      </c>
      <c r="D10" s="3">
        <v>-3.1859999999999999E-4</v>
      </c>
      <c r="E10" s="3">
        <v>0</v>
      </c>
      <c r="F10" s="3">
        <v>0</v>
      </c>
      <c r="G10" s="3">
        <v>0</v>
      </c>
      <c r="H10" s="3">
        <v>6.0834756999999998E-5</v>
      </c>
      <c r="I10" s="3">
        <v>1.7475927E-5</v>
      </c>
      <c r="J10" s="3">
        <v>-1.3049458E-4</v>
      </c>
      <c r="L10" s="3">
        <f t="shared" si="0"/>
        <v>-0.57501569365976146</v>
      </c>
      <c r="M10" s="3"/>
      <c r="N10" s="2">
        <f>IF('Modell einstellen'!$B$1="Voll",H10/0.35,H10/0.35*2)</f>
        <v>3.4762718285714288E-4</v>
      </c>
      <c r="O10" s="2">
        <f>IF('Modell einstellen'!$B$1="Voll",J10/0.35,J10/0.35*2)</f>
        <v>-7.4568331428571434E-4</v>
      </c>
      <c r="P10" s="3">
        <f t="shared" si="1"/>
        <v>0.46618608221123053</v>
      </c>
    </row>
    <row r="11" spans="1:16" x14ac:dyDescent="0.25">
      <c r="A11" s="3">
        <v>9.9999999999999995E-8</v>
      </c>
      <c r="B11" s="3">
        <v>-2.7920000000000001E-4</v>
      </c>
      <c r="C11" s="3">
        <v>1.931E-4</v>
      </c>
      <c r="D11" s="3">
        <v>-2.398E-4</v>
      </c>
      <c r="E11" s="3">
        <v>0</v>
      </c>
      <c r="F11" s="3">
        <v>0</v>
      </c>
      <c r="G11" s="3">
        <v>0</v>
      </c>
      <c r="H11" s="3">
        <v>7.1269202000000004E-5</v>
      </c>
      <c r="I11" s="3">
        <v>1.8289100000000001E-5</v>
      </c>
      <c r="J11" s="3">
        <v>-1.4322974999999999E-4</v>
      </c>
      <c r="L11" s="3">
        <f t="shared" si="0"/>
        <v>-1.1643035863219351</v>
      </c>
      <c r="M11" s="3"/>
      <c r="N11" s="2">
        <f>IF('Modell einstellen'!$B$1="Voll",H11/0.35,H11/0.35*2)</f>
        <v>4.072525828571429E-4</v>
      </c>
      <c r="O11" s="2">
        <f>IF('Modell einstellen'!$B$1="Voll",J11/0.35,J11/0.35*2)</f>
        <v>-8.1845571428571429E-4</v>
      </c>
      <c r="P11" s="3">
        <f t="shared" si="1"/>
        <v>0.49758658379282245</v>
      </c>
    </row>
    <row r="12" spans="1:16" x14ac:dyDescent="0.25">
      <c r="A12" s="3">
        <v>9.9999999999999995E-7</v>
      </c>
      <c r="B12" s="3">
        <v>-4.5980000000000001E-4</v>
      </c>
      <c r="C12" s="3">
        <v>2.031E-4</v>
      </c>
      <c r="D12" s="3">
        <v>-8.0469999999999994E-5</v>
      </c>
      <c r="E12" s="3">
        <v>0</v>
      </c>
      <c r="F12" s="3">
        <v>0</v>
      </c>
      <c r="G12" s="3">
        <v>0</v>
      </c>
      <c r="H12" s="3">
        <v>8.9070209000000004E-5</v>
      </c>
      <c r="I12" s="3">
        <v>1.9298368000000001E-5</v>
      </c>
      <c r="J12" s="3">
        <v>-1.6387481000000001E-4</v>
      </c>
      <c r="L12" s="3">
        <f t="shared" si="0"/>
        <v>-5.7139306573878468</v>
      </c>
      <c r="M12" s="3"/>
      <c r="N12" s="2">
        <f>IF('Modell einstellen'!$B$1="Voll",H12/0.35,H12/0.35*2)</f>
        <v>5.0897262285714293E-4</v>
      </c>
      <c r="O12" s="2">
        <f>IF('Modell einstellen'!$B$1="Voll",J12/0.35,J12/0.35*2)</f>
        <v>-9.3642748571428583E-4</v>
      </c>
      <c r="P12" s="3">
        <f t="shared" si="1"/>
        <v>0.54352593299726781</v>
      </c>
    </row>
    <row r="13" spans="1:16" x14ac:dyDescent="0.25">
      <c r="A13" s="3">
        <v>1.0000000000000001E-5</v>
      </c>
      <c r="B13" s="3">
        <v>-8.3750000000000003E-4</v>
      </c>
      <c r="C13" s="3">
        <v>2.1450000000000001E-4</v>
      </c>
      <c r="D13" s="3">
        <v>2.7250000000000001E-4</v>
      </c>
      <c r="E13" s="3">
        <v>0</v>
      </c>
      <c r="F13" s="3">
        <v>0</v>
      </c>
      <c r="G13" s="3">
        <v>0</v>
      </c>
      <c r="H13" s="3">
        <v>1.2280542E-4</v>
      </c>
      <c r="I13" s="3">
        <v>2.0484498000000001E-5</v>
      </c>
      <c r="J13" s="3">
        <v>-2.0091921000000001E-4</v>
      </c>
      <c r="L13" s="3">
        <f t="shared" si="0"/>
        <v>3.073394495412844</v>
      </c>
      <c r="M13" s="3"/>
      <c r="N13" s="2">
        <f>IF('Modell einstellen'!$B$1="Voll",H13/0.35,H13/0.35*2)</f>
        <v>7.0174525714285718E-4</v>
      </c>
      <c r="O13" s="2">
        <f>IF('Modell einstellen'!$B$1="Voll",J13/0.35,J13/0.35*2)</f>
        <v>-1.1481097714285714E-3</v>
      </c>
      <c r="P13" s="3">
        <f t="shared" si="1"/>
        <v>0.61121791191593877</v>
      </c>
    </row>
    <row r="14" spans="1:16" x14ac:dyDescent="0.25">
      <c r="A14" s="3">
        <v>1E-4</v>
      </c>
      <c r="B14" s="3">
        <v>-1.758E-3</v>
      </c>
      <c r="C14" s="3">
        <v>2.2580000000000001E-4</v>
      </c>
      <c r="D14" s="3">
        <v>1.168E-3</v>
      </c>
      <c r="E14" s="3">
        <v>0</v>
      </c>
      <c r="F14" s="3">
        <v>0</v>
      </c>
      <c r="G14" s="3">
        <v>0</v>
      </c>
      <c r="H14" s="3">
        <v>1.9808076E-4</v>
      </c>
      <c r="I14" s="3">
        <v>2.1716536E-5</v>
      </c>
      <c r="J14" s="3">
        <v>-2.7949974000000003E-4</v>
      </c>
      <c r="L14" s="3">
        <f t="shared" si="0"/>
        <v>1.5051369863013699</v>
      </c>
      <c r="M14" s="3"/>
      <c r="N14" s="2">
        <f>IF('Modell einstellen'!$B$1="Voll",H14/0.35,H14/0.35*2)</f>
        <v>1.1318900571428573E-3</v>
      </c>
      <c r="O14" s="2">
        <f>IF('Modell einstellen'!$B$1="Voll",J14/0.35,J14/0.35*2)</f>
        <v>-1.5971413714285718E-3</v>
      </c>
      <c r="P14" s="3">
        <f t="shared" si="1"/>
        <v>0.70869747499586222</v>
      </c>
    </row>
    <row r="15" spans="1:16" x14ac:dyDescent="0.25">
      <c r="A15" s="3">
        <v>1E-3</v>
      </c>
      <c r="B15" s="3">
        <v>-3.7780000000000001E-3</v>
      </c>
      <c r="C15" s="3">
        <v>2.329E-4</v>
      </c>
      <c r="D15" s="3">
        <v>3.1719999999999999E-3</v>
      </c>
      <c r="E15" s="3">
        <v>0</v>
      </c>
      <c r="F15" s="3">
        <v>0</v>
      </c>
      <c r="G15" s="3">
        <v>0</v>
      </c>
      <c r="H15" s="3">
        <v>3.5425465999999999E-4</v>
      </c>
      <c r="I15" s="3">
        <v>2.2581611000000001E-5</v>
      </c>
      <c r="J15" s="3">
        <v>-4.3750034000000001E-4</v>
      </c>
      <c r="L15" s="3">
        <f t="shared" si="0"/>
        <v>1.1910466582597732</v>
      </c>
      <c r="M15" s="3"/>
      <c r="N15" s="2">
        <f>IF('Modell einstellen'!$B$1="Voll",H15/0.35,H15/0.35*2)</f>
        <v>2.0243123428571427E-3</v>
      </c>
      <c r="O15" s="2">
        <f>IF('Modell einstellen'!$B$1="Voll",J15/0.35,J15/0.35*2)</f>
        <v>-2.500001942857143E-3</v>
      </c>
      <c r="P15" s="3">
        <f t="shared" si="1"/>
        <v>0.80972430787139493</v>
      </c>
    </row>
    <row r="16" spans="1:16" x14ac:dyDescent="0.25">
      <c r="A16" s="3">
        <v>0.01</v>
      </c>
      <c r="B16" s="3">
        <v>-7.7359999999999998E-3</v>
      </c>
      <c r="C16" s="3">
        <v>2.363E-4</v>
      </c>
      <c r="D16" s="3">
        <v>7.123E-3</v>
      </c>
      <c r="E16" s="3">
        <v>0</v>
      </c>
      <c r="F16" s="3">
        <v>0</v>
      </c>
      <c r="G16" s="3">
        <v>0</v>
      </c>
      <c r="H16" s="3">
        <v>6.5204946000000004E-4</v>
      </c>
      <c r="I16" s="3">
        <v>2.3130958000000001E-5</v>
      </c>
      <c r="J16" s="3">
        <v>-7.3481703999999997E-4</v>
      </c>
      <c r="L16" s="3">
        <f t="shared" si="0"/>
        <v>1.0860592447002668</v>
      </c>
      <c r="M16" s="3"/>
      <c r="N16" s="2">
        <f>IF('Modell einstellen'!$B$1="Voll",H16/0.35,H16/0.35*2)</f>
        <v>3.7259969142857149E-3</v>
      </c>
      <c r="O16" s="2">
        <f>IF('Modell einstellen'!$B$1="Voll",J16/0.35,J16/0.35*2)</f>
        <v>-4.1989545142857142E-3</v>
      </c>
      <c r="P16" s="3">
        <f t="shared" si="1"/>
        <v>0.88736300943701596</v>
      </c>
    </row>
    <row r="17" spans="1:16" x14ac:dyDescent="0.25">
      <c r="A17" s="3">
        <v>0.1</v>
      </c>
      <c r="B17" s="3">
        <v>-1.5049999999999999E-2</v>
      </c>
      <c r="C17" s="3">
        <v>2.3939999999999999E-4</v>
      </c>
      <c r="D17" s="3">
        <v>1.444E-2</v>
      </c>
      <c r="E17" s="3">
        <v>0</v>
      </c>
      <c r="F17" s="3">
        <v>0</v>
      </c>
      <c r="G17" s="3">
        <v>0</v>
      </c>
      <c r="H17" s="3">
        <v>1.1954507000000001E-3</v>
      </c>
      <c r="I17" s="3">
        <v>2.4191381000000002E-5</v>
      </c>
      <c r="J17" s="3">
        <v>-1.2742957E-3</v>
      </c>
      <c r="L17" s="3">
        <f t="shared" si="0"/>
        <v>1.0422437673130194</v>
      </c>
      <c r="M17" s="3"/>
      <c r="N17" s="2">
        <f>IF('Modell einstellen'!$B$1="Voll",H17/0.35,H17/0.35*2)</f>
        <v>6.8311468571428582E-3</v>
      </c>
      <c r="O17" s="2">
        <f>IF('Modell einstellen'!$B$1="Voll",J17/0.35,J17/0.35*2)</f>
        <v>-7.2816897142857148E-3</v>
      </c>
      <c r="P17" s="3">
        <f t="shared" si="1"/>
        <v>0.93812660593612618</v>
      </c>
    </row>
    <row r="18" spans="1:16" x14ac:dyDescent="0.25">
      <c r="A18" s="3">
        <v>1</v>
      </c>
      <c r="B18" s="3">
        <v>-2.2040000000000001E-2</v>
      </c>
      <c r="C18" s="3">
        <v>2.4830000000000002E-4</v>
      </c>
      <c r="D18" s="3">
        <v>2.1430000000000001E-2</v>
      </c>
      <c r="E18" s="3">
        <v>0</v>
      </c>
      <c r="F18" s="3">
        <v>0</v>
      </c>
      <c r="G18" s="3">
        <v>0</v>
      </c>
      <c r="H18" s="3">
        <v>1.7218644E-3</v>
      </c>
      <c r="I18" s="3">
        <v>3.0265786999999999E-5</v>
      </c>
      <c r="J18" s="3">
        <v>-1.8031843999999999E-3</v>
      </c>
      <c r="L18" s="3">
        <f t="shared" si="0"/>
        <v>1.028464769015399</v>
      </c>
      <c r="M18" s="3"/>
      <c r="N18" s="2">
        <f>IF('Modell einstellen'!$B$1="Voll",H18/0.35,H18/0.35*2)</f>
        <v>9.8392251428571428E-3</v>
      </c>
      <c r="O18" s="2">
        <f>IF('Modell einstellen'!$B$1="Voll",J18/0.35,J18/0.35*2)</f>
        <v>-1.0303910857142858E-2</v>
      </c>
      <c r="P18" s="3">
        <f t="shared" si="1"/>
        <v>0.9549020055852302</v>
      </c>
    </row>
    <row r="19" spans="1:16" x14ac:dyDescent="0.25">
      <c r="A19" s="3">
        <v>10</v>
      </c>
      <c r="B19" s="3">
        <v>-2.477E-2</v>
      </c>
      <c r="C19" s="3">
        <v>2.855E-4</v>
      </c>
      <c r="D19" s="3">
        <v>2.4119999999999999E-2</v>
      </c>
      <c r="E19" s="3">
        <v>0</v>
      </c>
      <c r="F19" s="3">
        <v>0</v>
      </c>
      <c r="G19" s="3">
        <v>0</v>
      </c>
      <c r="H19" s="3">
        <v>1.9756383000000001E-3</v>
      </c>
      <c r="I19" s="3">
        <v>5.6931766000000003E-5</v>
      </c>
      <c r="J19" s="3">
        <v>-2.1021944000000001E-3</v>
      </c>
      <c r="L19" s="3">
        <f t="shared" si="0"/>
        <v>1.0269485903814262</v>
      </c>
      <c r="M19" s="3"/>
      <c r="N19" s="2">
        <f>IF('Modell einstellen'!$B$1="Voll",H19/0.35,H19/0.35*2)</f>
        <v>1.1289361714285715E-2</v>
      </c>
      <c r="O19" s="2">
        <f>IF('Modell einstellen'!$B$1="Voll",J19/0.35,J19/0.35*2)</f>
        <v>-1.2012539428571429E-2</v>
      </c>
      <c r="P19" s="3">
        <f t="shared" si="1"/>
        <v>0.93979809859640007</v>
      </c>
    </row>
    <row r="20" spans="1:16" x14ac:dyDescent="0.25">
      <c r="A20" s="3">
        <v>100</v>
      </c>
      <c r="B20" s="3">
        <v>-2.5479999999999999E-2</v>
      </c>
      <c r="C20" s="3">
        <v>4.5249999999999999E-4</v>
      </c>
      <c r="D20" s="3">
        <v>2.4680000000000001E-2</v>
      </c>
      <c r="E20" s="3">
        <v>0</v>
      </c>
      <c r="F20" s="3">
        <v>0</v>
      </c>
      <c r="G20" s="3">
        <v>0</v>
      </c>
      <c r="H20" s="3">
        <v>2.2039817000000001E-3</v>
      </c>
      <c r="I20" s="3">
        <v>1.5254369999999999E-4</v>
      </c>
      <c r="J20" s="3">
        <v>-2.5072618000000001E-3</v>
      </c>
      <c r="L20" s="3">
        <f t="shared" si="0"/>
        <v>1.0324149108589951</v>
      </c>
      <c r="M20" s="3"/>
      <c r="N20" s="2">
        <f>IF('Modell einstellen'!$B$1="Voll",H20/0.35,H20/0.35*2)</f>
        <v>1.2594181142857144E-2</v>
      </c>
      <c r="O20" s="2">
        <f>IF('Modell einstellen'!$B$1="Voll",J20/0.35,J20/0.35*2)</f>
        <v>-1.4327210285714287E-2</v>
      </c>
      <c r="P20" s="3">
        <f t="shared" si="1"/>
        <v>0.87903931691536952</v>
      </c>
    </row>
    <row r="21" spans="1:16" x14ac:dyDescent="0.25">
      <c r="A21" s="3">
        <v>1000</v>
      </c>
      <c r="B21" s="3">
        <v>-2.1049999999999999E-2</v>
      </c>
      <c r="C21" s="3">
        <v>1.1800000000000001E-3</v>
      </c>
      <c r="D21" s="3">
        <v>1.9539999999999998E-2</v>
      </c>
      <c r="E21" s="3">
        <v>0</v>
      </c>
      <c r="F21" s="3">
        <v>0</v>
      </c>
      <c r="G21" s="3">
        <v>0</v>
      </c>
      <c r="H21" s="3">
        <v>2.3460327999999999E-3</v>
      </c>
      <c r="I21" s="3">
        <v>4.3811729E-4</v>
      </c>
      <c r="J21" s="3">
        <v>-3.1885587E-3</v>
      </c>
      <c r="L21" s="3">
        <f t="shared" si="0"/>
        <v>1.0772773797338793</v>
      </c>
      <c r="M21" s="3"/>
      <c r="N21" s="2">
        <f>IF('Modell einstellen'!$B$1="Voll",H21/0.35,H21/0.35*2)</f>
        <v>1.3405901714285715E-2</v>
      </c>
      <c r="O21" s="2">
        <f>IF('Modell einstellen'!$B$1="Voll",J21/0.35,J21/0.35*2)</f>
        <v>-1.8220335428571429E-2</v>
      </c>
      <c r="P21" s="3">
        <f t="shared" si="1"/>
        <v>0.73576591204044639</v>
      </c>
    </row>
    <row r="22" spans="1:16" x14ac:dyDescent="0.25">
      <c r="A22" s="3">
        <v>10000</v>
      </c>
      <c r="B22" s="3">
        <v>-1.4540000000000001E-2</v>
      </c>
      <c r="C22" s="3">
        <v>2.7260000000000001E-3</v>
      </c>
      <c r="D22" s="3">
        <v>1.154E-2</v>
      </c>
      <c r="E22" s="3">
        <v>0</v>
      </c>
      <c r="F22" s="3">
        <v>0</v>
      </c>
      <c r="G22" s="3">
        <v>0</v>
      </c>
      <c r="H22" s="3">
        <v>2.4849113999999999E-3</v>
      </c>
      <c r="I22" s="3">
        <v>8.6106205000000002E-4</v>
      </c>
      <c r="J22" s="3">
        <v>-4.1206532999999998E-3</v>
      </c>
      <c r="L22" s="3">
        <f t="shared" si="0"/>
        <v>1.2599653379549394</v>
      </c>
      <c r="M22" s="3"/>
      <c r="N22" s="2">
        <f>IF('Modell einstellen'!$B$1="Voll",H22/0.35,H22/0.35*2)</f>
        <v>1.4199493714285714E-2</v>
      </c>
      <c r="O22" s="2">
        <f>IF('Modell einstellen'!$B$1="Voll",J22/0.35,J22/0.35*2)</f>
        <v>-2.3546590285714285E-2</v>
      </c>
      <c r="P22" s="3">
        <f t="shared" si="1"/>
        <v>0.6030382124116096</v>
      </c>
    </row>
    <row r="23" spans="1:16" x14ac:dyDescent="0.25">
      <c r="A23" s="3">
        <v>100000</v>
      </c>
      <c r="B23" s="3">
        <v>-8.7290000000000006E-3</v>
      </c>
      <c r="C23" s="3">
        <v>4.6360000000000004E-3</v>
      </c>
      <c r="D23" s="3">
        <v>3.859E-3</v>
      </c>
      <c r="E23" s="3">
        <v>0</v>
      </c>
      <c r="F23" s="3">
        <v>0</v>
      </c>
      <c r="G23" s="3">
        <v>0</v>
      </c>
      <c r="H23" s="3">
        <v>2.5886529999999998E-3</v>
      </c>
      <c r="I23" s="3">
        <v>1.2665103999999999E-3</v>
      </c>
      <c r="J23" s="3">
        <v>-4.9776906999999997E-3</v>
      </c>
      <c r="L23" s="3">
        <f t="shared" si="0"/>
        <v>2.2619849701995336</v>
      </c>
      <c r="M23" s="3"/>
      <c r="N23" s="2">
        <f>IF('Modell einstellen'!$B$1="Voll",H23/0.35,H23/0.35*2)</f>
        <v>1.4792302857142857E-2</v>
      </c>
      <c r="O23" s="2">
        <f>IF('Modell einstellen'!$B$1="Voll",J23/0.35,J23/0.35*2)</f>
        <v>-2.8443946857142858E-2</v>
      </c>
      <c r="P23" s="3">
        <f t="shared" si="1"/>
        <v>0.52005099473135197</v>
      </c>
    </row>
    <row r="24" spans="1:16" x14ac:dyDescent="0.25">
      <c r="A24" s="3">
        <v>1000000</v>
      </c>
      <c r="B24" s="3">
        <v>-4.3810000000000003E-3</v>
      </c>
      <c r="C24" s="3">
        <v>6.4270000000000004E-3</v>
      </c>
      <c r="D24" s="3">
        <v>-2.248E-3</v>
      </c>
      <c r="E24" s="3">
        <v>0</v>
      </c>
      <c r="F24" s="3">
        <v>0</v>
      </c>
      <c r="G24" s="3">
        <v>0</v>
      </c>
      <c r="H24" s="3">
        <v>2.6513077000000001E-3</v>
      </c>
      <c r="I24" s="3">
        <v>1.5844959999999999E-3</v>
      </c>
      <c r="J24" s="3">
        <v>-5.6265682999999999E-3</v>
      </c>
      <c r="L24" s="3">
        <f t="shared" si="0"/>
        <v>-1.9488434163701069</v>
      </c>
      <c r="M24" s="3"/>
      <c r="N24" s="2">
        <f>IF('Modell einstellen'!$B$1="Voll",H24/0.35,H24/0.35*2)</f>
        <v>1.5150329714285716E-2</v>
      </c>
      <c r="O24" s="2">
        <f>IF('Modell einstellen'!$B$1="Voll",J24/0.35,J24/0.35*2)</f>
        <v>-3.2151818857142855E-2</v>
      </c>
      <c r="P24" s="3">
        <f t="shared" si="1"/>
        <v>0.47121221295758564</v>
      </c>
    </row>
    <row r="25" spans="1:16" x14ac:dyDescent="0.25">
      <c r="A25" s="3">
        <v>10000000</v>
      </c>
      <c r="B25" s="3">
        <v>-1.3209999999999999E-3</v>
      </c>
      <c r="C25" s="3">
        <v>7.9150000000000002E-3</v>
      </c>
      <c r="D25" s="3">
        <v>-6.7730000000000004E-3</v>
      </c>
      <c r="E25" s="3">
        <v>0</v>
      </c>
      <c r="F25" s="3">
        <v>0</v>
      </c>
      <c r="G25" s="3">
        <v>0</v>
      </c>
      <c r="H25" s="3">
        <v>2.6878577999999999E-3</v>
      </c>
      <c r="I25" s="3">
        <v>1.8132357999999999E-3</v>
      </c>
      <c r="J25" s="3">
        <v>-6.0823963999999996E-3</v>
      </c>
      <c r="L25" s="3">
        <f t="shared" si="0"/>
        <v>-0.19503912594123723</v>
      </c>
      <c r="M25" s="3"/>
      <c r="N25" s="2">
        <f>IF('Modell einstellen'!$B$1="Voll",H25/0.35,H25/0.35*2)</f>
        <v>1.535918742857143E-2</v>
      </c>
      <c r="O25" s="2">
        <f>IF('Modell einstellen'!$B$1="Voll",J25/0.35,J25/0.35*2)</f>
        <v>-3.4756550857142854E-2</v>
      </c>
      <c r="P25" s="3">
        <f t="shared" si="1"/>
        <v>0.44190769940610913</v>
      </c>
    </row>
    <row r="26" spans="1:16" x14ac:dyDescent="0.25">
      <c r="A26" s="3">
        <v>100000000</v>
      </c>
      <c r="B26" s="3">
        <v>7.7749999999999998E-4</v>
      </c>
      <c r="C26" s="3">
        <v>9.0430000000000007E-3</v>
      </c>
      <c r="D26" s="3">
        <v>-9.9860000000000001E-3</v>
      </c>
      <c r="E26" s="3">
        <v>0</v>
      </c>
      <c r="F26" s="3">
        <v>0</v>
      </c>
      <c r="G26" s="3">
        <v>0</v>
      </c>
      <c r="H26" s="3">
        <v>2.7103927000000001E-3</v>
      </c>
      <c r="I26" s="3">
        <v>1.9688056999999999E-3</v>
      </c>
      <c r="J26" s="3">
        <v>-6.3888968999999997E-3</v>
      </c>
      <c r="L26" s="3">
        <f t="shared" si="0"/>
        <v>7.7859002603645103E-2</v>
      </c>
      <c r="M26" s="3"/>
      <c r="N26" s="2">
        <f>IF('Modell einstellen'!$B$1="Voll",H26/0.35,H26/0.35*2)</f>
        <v>1.5487958285714287E-2</v>
      </c>
      <c r="O26" s="2">
        <f>IF('Modell einstellen'!$B$1="Voll",J26/0.35,J26/0.35*2)</f>
        <v>-3.6507982285714287E-2</v>
      </c>
      <c r="P26" s="3">
        <f t="shared" si="1"/>
        <v>0.42423484717682641</v>
      </c>
    </row>
    <row r="27" spans="1:16" x14ac:dyDescent="0.25">
      <c r="A27" s="3">
        <v>1000000000</v>
      </c>
      <c r="B27" s="3">
        <v>2.2529999999999998E-3</v>
      </c>
      <c r="C27" s="3">
        <v>9.9000000000000008E-3</v>
      </c>
      <c r="D27" s="3">
        <v>-1.231E-2</v>
      </c>
      <c r="E27" s="3">
        <v>0</v>
      </c>
      <c r="F27" s="3">
        <v>0</v>
      </c>
      <c r="G27" s="3">
        <v>0</v>
      </c>
      <c r="H27" s="3">
        <v>2.7259112999999998E-3</v>
      </c>
      <c r="I27" s="3">
        <v>2.0742222999999998E-3</v>
      </c>
      <c r="J27" s="3">
        <v>-6.5962043999999997E-3</v>
      </c>
      <c r="L27" s="3">
        <f t="shared" si="0"/>
        <v>0.18302193338748984</v>
      </c>
      <c r="M27" s="3"/>
      <c r="N27" s="2">
        <f>IF('Modell einstellen'!$B$1="Voll",H27/0.35,H27/0.35*2)</f>
        <v>1.5576636E-2</v>
      </c>
      <c r="O27" s="2">
        <f>IF('Modell einstellen'!$B$1="Voll",J27/0.35,J27/0.35*2)</f>
        <v>-3.7692596571428573E-2</v>
      </c>
      <c r="P27" s="3">
        <f t="shared" si="1"/>
        <v>0.41325452255542594</v>
      </c>
    </row>
    <row r="28" spans="1:16" x14ac:dyDescent="0.25">
      <c r="A28" s="3">
        <v>10000000000</v>
      </c>
      <c r="B28" s="3">
        <v>3.3050000000000002E-3</v>
      </c>
      <c r="C28" s="3">
        <v>1.052E-2</v>
      </c>
      <c r="D28" s="3">
        <v>-1.397E-2</v>
      </c>
      <c r="E28" s="3">
        <v>0</v>
      </c>
      <c r="F28" s="3">
        <v>0</v>
      </c>
      <c r="G28" s="3">
        <v>0</v>
      </c>
      <c r="H28" s="3">
        <v>2.7376398999999999E-3</v>
      </c>
      <c r="I28" s="3">
        <v>2.1436985E-3</v>
      </c>
      <c r="J28" s="3">
        <v>-6.7339888000000001E-3</v>
      </c>
      <c r="L28" s="3">
        <f t="shared" si="0"/>
        <v>0.23657838224767361</v>
      </c>
      <c r="M28" s="3"/>
      <c r="N28" s="2">
        <f>IF('Modell einstellen'!$B$1="Voll",H28/0.35,H28/0.35*2)</f>
        <v>1.5643656571428573E-2</v>
      </c>
      <c r="O28" s="2">
        <f>IF('Modell einstellen'!$B$1="Voll",J28/0.35,J28/0.35*2)</f>
        <v>-3.8479935999999999E-2</v>
      </c>
      <c r="P28" s="3">
        <f t="shared" si="1"/>
        <v>0.40654060784894686</v>
      </c>
    </row>
    <row r="29" spans="1:16" x14ac:dyDescent="0.25">
      <c r="A29" s="3">
        <v>100000000000</v>
      </c>
      <c r="B29" s="3">
        <v>3.4970000000000001E-3</v>
      </c>
      <c r="C29" s="3">
        <v>1.0630000000000001E-2</v>
      </c>
      <c r="D29" s="3">
        <v>-1.427E-2</v>
      </c>
      <c r="E29" s="3">
        <v>0</v>
      </c>
      <c r="F29" s="3">
        <v>0</v>
      </c>
      <c r="G29" s="3">
        <v>0</v>
      </c>
      <c r="H29" s="3">
        <v>2.7396120000000002E-3</v>
      </c>
      <c r="I29" s="3">
        <v>2.1559679999999999E-3</v>
      </c>
      <c r="J29" s="3">
        <v>-6.7581941E-3</v>
      </c>
      <c r="L29" s="3">
        <f t="shared" si="0"/>
        <v>0.24505956552207431</v>
      </c>
      <c r="M29" s="3"/>
      <c r="N29" s="2">
        <f>IF('Modell einstellen'!$B$1="Voll",H29/0.35,H29/0.35*2)</f>
        <v>1.5654925714285717E-2</v>
      </c>
      <c r="O29" s="2">
        <f>IF('Modell einstellen'!$B$1="Voll",J29/0.35,J29/0.35*2)</f>
        <v>-3.8618251999999999E-2</v>
      </c>
      <c r="P29" s="3">
        <f t="shared" si="1"/>
        <v>0.40537634158805835</v>
      </c>
    </row>
    <row r="30" spans="1:16" x14ac:dyDescent="0.25">
      <c r="A30" s="3">
        <v>1000000000000</v>
      </c>
      <c r="B30" s="3">
        <v>4.3140000000000001E-3</v>
      </c>
      <c r="C30" s="3">
        <v>1.11E-2</v>
      </c>
      <c r="D30" s="3">
        <v>-1.5559999999999999E-2</v>
      </c>
      <c r="E30" s="3">
        <v>0</v>
      </c>
      <c r="F30" s="3">
        <v>0</v>
      </c>
      <c r="G30" s="3">
        <v>0</v>
      </c>
      <c r="H30" s="3">
        <v>2.7493212E-3</v>
      </c>
      <c r="I30" s="3">
        <v>2.2051655E-3</v>
      </c>
      <c r="J30" s="3">
        <v>-6.8569566000000002E-3</v>
      </c>
      <c r="L30" s="3">
        <f t="shared" si="0"/>
        <v>0.27724935732647815</v>
      </c>
      <c r="M30" s="3"/>
      <c r="N30" s="2">
        <f>IF('Modell einstellen'!$B$1="Voll",H30/0.35,H30/0.35*2)</f>
        <v>1.5710406857142856E-2</v>
      </c>
      <c r="O30" s="2">
        <f>IF('Modell einstellen'!$B$1="Voll",J30/0.35,J30/0.35*2)</f>
        <v>-3.918260914285715E-2</v>
      </c>
      <c r="P30" s="3">
        <f t="shared" si="1"/>
        <v>0.40095356590123371</v>
      </c>
    </row>
    <row r="31" spans="1:16" x14ac:dyDescent="0.25">
      <c r="A31" s="3">
        <v>10000000000000</v>
      </c>
      <c r="B31" s="3">
        <v>4.4860000000000004E-3</v>
      </c>
      <c r="C31" s="3">
        <v>1.12E-2</v>
      </c>
      <c r="D31" s="3">
        <v>-1.583E-2</v>
      </c>
      <c r="E31" s="3">
        <v>0</v>
      </c>
      <c r="F31" s="3">
        <v>0</v>
      </c>
      <c r="G31" s="3">
        <v>0</v>
      </c>
      <c r="H31" s="3">
        <v>2.7512914E-3</v>
      </c>
      <c r="I31" s="3">
        <v>2.2146653999999999E-3</v>
      </c>
      <c r="J31" s="3">
        <v>-6.8760825999999997E-3</v>
      </c>
      <c r="L31" s="3">
        <f t="shared" si="0"/>
        <v>0.2833859759949463</v>
      </c>
      <c r="M31" s="3"/>
      <c r="N31" s="2">
        <f>IF('Modell einstellen'!$B$1="Voll",H31/0.35,H31/0.35*2)</f>
        <v>1.5721665142857146E-2</v>
      </c>
      <c r="O31" s="2">
        <f>IF('Modell einstellen'!$B$1="Voll",J31/0.35,J31/0.35*2)</f>
        <v>-3.9291900571428576E-2</v>
      </c>
      <c r="P31" s="3">
        <f t="shared" si="1"/>
        <v>0.40012483270634358</v>
      </c>
    </row>
    <row r="32" spans="1:16" x14ac:dyDescent="0.25">
      <c r="A32" s="3">
        <v>100000000000000</v>
      </c>
      <c r="B32" s="3">
        <v>5.0619999999999997E-3</v>
      </c>
      <c r="C32" s="3">
        <v>1.1509999999999999E-2</v>
      </c>
      <c r="D32" s="3">
        <v>-1.6719999999999999E-2</v>
      </c>
      <c r="E32" s="3">
        <v>0</v>
      </c>
      <c r="F32" s="3">
        <v>0</v>
      </c>
      <c r="G32" s="3">
        <v>0</v>
      </c>
      <c r="H32" s="3">
        <v>2.7584379000000002E-3</v>
      </c>
      <c r="I32" s="3">
        <v>2.2419889999999998E-3</v>
      </c>
      <c r="J32" s="3">
        <v>-6.9325254000000003E-3</v>
      </c>
      <c r="L32" s="3">
        <f t="shared" si="0"/>
        <v>0.30275119617224883</v>
      </c>
      <c r="M32" s="3"/>
      <c r="N32" s="2">
        <f>IF('Modell einstellen'!$B$1="Voll",H32/0.35,H32/0.35*2)</f>
        <v>1.5762502285714287E-2</v>
      </c>
      <c r="O32" s="2">
        <f>IF('Modell einstellen'!$B$1="Voll",J32/0.35,J32/0.35*2)</f>
        <v>-3.9614430857142863E-2</v>
      </c>
      <c r="P32" s="3">
        <f t="shared" si="1"/>
        <v>0.39789798678559474</v>
      </c>
    </row>
    <row r="33" spans="1:16" x14ac:dyDescent="0.25">
      <c r="A33" s="3">
        <v>1000000000000000</v>
      </c>
      <c r="B33" s="3">
        <v>5.3249999999999999E-3</v>
      </c>
      <c r="C33" s="3">
        <v>1.1639999999999999E-2</v>
      </c>
      <c r="D33" s="3">
        <v>-1.711E-2</v>
      </c>
      <c r="E33" s="3">
        <v>0</v>
      </c>
      <c r="F33" s="3">
        <v>0</v>
      </c>
      <c r="G33" s="3">
        <v>0</v>
      </c>
      <c r="H33" s="3">
        <v>2.7616021000000002E-3</v>
      </c>
      <c r="I33" s="3">
        <v>2.2524566000000001E-3</v>
      </c>
      <c r="J33" s="3">
        <v>-6.954539E-3</v>
      </c>
      <c r="L33" s="3">
        <f t="shared" si="0"/>
        <v>0.31122150789012271</v>
      </c>
      <c r="M33" s="3"/>
      <c r="N33" s="2">
        <f>IF('Modell einstellen'!$B$1="Voll",H33/0.35,H33/0.35*2)</f>
        <v>1.5780583428571429E-2</v>
      </c>
      <c r="O33" s="2">
        <f>IF('Modell einstellen'!$B$1="Voll",J33/0.35,J33/0.35*2)</f>
        <v>-3.9740222857142862E-2</v>
      </c>
      <c r="P33" s="3">
        <f t="shared" si="1"/>
        <v>0.39709348096257707</v>
      </c>
    </row>
  </sheetData>
  <pageMargins left="0.7" right="0.7" top="0.78740157499999996" bottom="0.78740157499999996"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-1.56E-5</v>
      </c>
      <c r="C3" s="3">
        <v>1.605E-4</v>
      </c>
      <c r="D3" s="3">
        <v>-4.3150000000000003E-4</v>
      </c>
      <c r="E3" s="3">
        <v>0</v>
      </c>
      <c r="F3" s="3">
        <v>0</v>
      </c>
      <c r="G3" s="3">
        <v>0</v>
      </c>
      <c r="H3" s="3">
        <v>3.9528162000000002E-5</v>
      </c>
      <c r="I3" s="3">
        <v>1.5186251E-5</v>
      </c>
      <c r="J3" s="3">
        <v>-1.0242702E-4</v>
      </c>
      <c r="L3" s="3">
        <f>-B3/D3</f>
        <v>-3.6152954808806488E-2</v>
      </c>
      <c r="M3" s="3"/>
      <c r="N3" s="2">
        <f>IF('Modell einstellen'!$B$1="Voll",H3/0.35,H3/0.35*2)</f>
        <v>2.2587521142857146E-4</v>
      </c>
      <c r="O3" s="2">
        <f>IF('Modell einstellen'!$B$1="Voll",J3/0.35,J3/0.35*2)</f>
        <v>-5.8529725714285717E-4</v>
      </c>
      <c r="P3" s="3">
        <f>-N3/O3</f>
        <v>0.38591537662620667</v>
      </c>
    </row>
    <row r="4" spans="1:16" x14ac:dyDescent="0.25">
      <c r="A4" s="3">
        <v>1E-14</v>
      </c>
      <c r="B4" s="3">
        <v>-3.451E-5</v>
      </c>
      <c r="C4" s="3">
        <v>1.6559999999999999E-4</v>
      </c>
      <c r="D4" s="3">
        <v>-4.2319999999999999E-4</v>
      </c>
      <c r="E4" s="3">
        <v>0</v>
      </c>
      <c r="F4" s="3">
        <v>0</v>
      </c>
      <c r="G4" s="3">
        <v>0</v>
      </c>
      <c r="H4" s="3">
        <v>4.2715893000000003E-5</v>
      </c>
      <c r="I4" s="3">
        <v>1.5699430999999999E-5</v>
      </c>
      <c r="J4" s="3">
        <v>-1.070612E-4</v>
      </c>
      <c r="L4" s="3">
        <f t="shared" ref="L4:L33" si="0">-B4/D4</f>
        <v>-8.1545368620037806E-2</v>
      </c>
      <c r="M4" s="3"/>
      <c r="N4" s="2">
        <f>IF('Modell einstellen'!$B$1="Voll",H4/0.35,H4/0.35*2)</f>
        <v>2.4409081714285718E-4</v>
      </c>
      <c r="O4" s="2">
        <f>IF('Modell einstellen'!$B$1="Voll",J4/0.35,J4/0.35*2)</f>
        <v>-6.1177828571428578E-4</v>
      </c>
      <c r="P4" s="3">
        <f t="shared" ref="P4:P33" si="1">-N4/O4</f>
        <v>0.39898574833833361</v>
      </c>
    </row>
    <row r="5" spans="1:16" x14ac:dyDescent="0.25">
      <c r="A5" s="3">
        <v>1E-13</v>
      </c>
      <c r="B5" s="3">
        <v>-5.5390000000000003E-5</v>
      </c>
      <c r="C5" s="3">
        <v>1.7019999999999999E-4</v>
      </c>
      <c r="D5" s="3">
        <v>-4.1189999999999998E-4</v>
      </c>
      <c r="E5" s="3">
        <v>0</v>
      </c>
      <c r="F5" s="3">
        <v>0</v>
      </c>
      <c r="G5" s="3">
        <v>0</v>
      </c>
      <c r="H5" s="3">
        <v>4.5898932999999999E-5</v>
      </c>
      <c r="I5" s="3">
        <v>1.6161128999999999E-5</v>
      </c>
      <c r="J5" s="3">
        <v>-1.1154370999999999E-4</v>
      </c>
      <c r="L5" s="3">
        <f t="shared" si="0"/>
        <v>-0.13447438698713282</v>
      </c>
      <c r="M5" s="3"/>
      <c r="N5" s="2">
        <f>IF('Modell einstellen'!$B$1="Voll",H5/0.35,H5/0.35*2)</f>
        <v>2.6227961714285714E-4</v>
      </c>
      <c r="O5" s="2">
        <f>IF('Modell einstellen'!$B$1="Voll",J5/0.35,J5/0.35*2)</f>
        <v>-6.373926285714286E-4</v>
      </c>
      <c r="P5" s="3">
        <f t="shared" si="1"/>
        <v>0.41148831251892193</v>
      </c>
    </row>
    <row r="6" spans="1:16" x14ac:dyDescent="0.25">
      <c r="A6" s="3">
        <v>9.9999999999999998E-13</v>
      </c>
      <c r="B6" s="3">
        <v>-8.0560000000000001E-5</v>
      </c>
      <c r="C6" s="3">
        <v>1.7479999999999999E-4</v>
      </c>
      <c r="D6" s="3">
        <v>-3.9639999999999999E-4</v>
      </c>
      <c r="E6" s="3">
        <v>0</v>
      </c>
      <c r="F6" s="3">
        <v>0</v>
      </c>
      <c r="G6" s="3">
        <v>0</v>
      </c>
      <c r="H6" s="3">
        <v>4.9451974000000002E-5</v>
      </c>
      <c r="I6" s="3">
        <v>1.6628665999999999E-5</v>
      </c>
      <c r="J6" s="3">
        <v>-1.1640967E-4</v>
      </c>
      <c r="L6" s="3">
        <f t="shared" si="0"/>
        <v>-0.20322906155398587</v>
      </c>
      <c r="M6" s="3"/>
      <c r="N6" s="2">
        <f>IF('Modell einstellen'!$B$1="Voll",H6/0.35,H6/0.35*2)</f>
        <v>2.8258270857142861E-4</v>
      </c>
      <c r="O6" s="2">
        <f>IF('Modell einstellen'!$B$1="Voll",J6/0.35,J6/0.35*2)</f>
        <v>-6.6519811428571434E-4</v>
      </c>
      <c r="P6" s="3">
        <f t="shared" si="1"/>
        <v>0.42480984612360811</v>
      </c>
    </row>
    <row r="7" spans="1:16" x14ac:dyDescent="0.25">
      <c r="A7" s="3">
        <v>9.9999999999999994E-12</v>
      </c>
      <c r="B7" s="3">
        <v>-1.144E-4</v>
      </c>
      <c r="C7" s="3">
        <v>1.8000000000000001E-4</v>
      </c>
      <c r="D7" s="3">
        <v>-3.7330000000000002E-4</v>
      </c>
      <c r="E7" s="3">
        <v>0</v>
      </c>
      <c r="F7" s="3">
        <v>0</v>
      </c>
      <c r="G7" s="3">
        <v>0</v>
      </c>
      <c r="H7" s="3">
        <v>5.3883111000000003E-5</v>
      </c>
      <c r="I7" s="3">
        <v>1.7149515999999999E-5</v>
      </c>
      <c r="J7" s="3">
        <v>-1.2230077E-4</v>
      </c>
      <c r="L7" s="3">
        <f t="shared" si="0"/>
        <v>-0.30645593356549689</v>
      </c>
      <c r="M7" s="3"/>
      <c r="N7" s="2">
        <f>IF('Modell einstellen'!$B$1="Voll",H7/0.35,H7/0.35*2)</f>
        <v>3.0790349142857144E-4</v>
      </c>
      <c r="O7" s="2">
        <f>IF('Modell einstellen'!$B$1="Voll",J7/0.35,J7/0.35*2)</f>
        <v>-6.9886154285714298E-4</v>
      </c>
      <c r="P7" s="3">
        <f t="shared" si="1"/>
        <v>0.44057867338038831</v>
      </c>
    </row>
    <row r="8" spans="1:16" x14ac:dyDescent="0.25">
      <c r="A8" s="3">
        <v>1E-10</v>
      </c>
      <c r="B8" s="3">
        <v>-1.617E-4</v>
      </c>
      <c r="C8" s="3">
        <v>1.8579999999999999E-4</v>
      </c>
      <c r="D8" s="3">
        <v>-3.3819999999999998E-4</v>
      </c>
      <c r="E8" s="3">
        <v>0</v>
      </c>
      <c r="F8" s="3">
        <v>0</v>
      </c>
      <c r="G8" s="3">
        <v>0</v>
      </c>
      <c r="H8" s="3">
        <v>5.9640411999999999E-5</v>
      </c>
      <c r="I8" s="3">
        <v>1.7740571000000002E-5</v>
      </c>
      <c r="J8" s="3">
        <v>-1.297119E-4</v>
      </c>
      <c r="L8" s="3">
        <f t="shared" si="0"/>
        <v>-0.47811945594322891</v>
      </c>
      <c r="M8" s="3"/>
      <c r="N8" s="2">
        <f>IF('Modell einstellen'!$B$1="Voll",H8/0.35,H8/0.35*2)</f>
        <v>3.4080235428571429E-4</v>
      </c>
      <c r="O8" s="2">
        <f>IF('Modell einstellen'!$B$1="Voll",J8/0.35,J8/0.35*2)</f>
        <v>-7.4121085714285719E-4</v>
      </c>
      <c r="P8" s="3">
        <f t="shared" si="1"/>
        <v>0.45979136840952911</v>
      </c>
    </row>
    <row r="9" spans="1:16" x14ac:dyDescent="0.25">
      <c r="A9" s="3">
        <v>1.0000000000000001E-9</v>
      </c>
      <c r="B9" s="3">
        <v>-2.4640000000000003E-4</v>
      </c>
      <c r="C9" s="3">
        <v>1.9359999999999999E-4</v>
      </c>
      <c r="D9" s="3">
        <v>-2.7E-4</v>
      </c>
      <c r="E9" s="3">
        <v>0</v>
      </c>
      <c r="F9" s="3">
        <v>0</v>
      </c>
      <c r="G9" s="3">
        <v>0</v>
      </c>
      <c r="H9" s="3">
        <v>6.9119901000000005E-5</v>
      </c>
      <c r="I9" s="3">
        <v>1.8547626E-5</v>
      </c>
      <c r="J9" s="3">
        <v>-1.4144556000000001E-4</v>
      </c>
      <c r="L9" s="3">
        <f t="shared" si="0"/>
        <v>-0.91259259259259273</v>
      </c>
      <c r="M9" s="3"/>
      <c r="N9" s="2">
        <f>IF('Modell einstellen'!$B$1="Voll",H9/0.35,H9/0.35*2)</f>
        <v>3.9497086285714291E-4</v>
      </c>
      <c r="O9" s="2">
        <f>IF('Modell einstellen'!$B$1="Voll",J9/0.35,J9/0.35*2)</f>
        <v>-8.0826034285714295E-4</v>
      </c>
      <c r="P9" s="3">
        <f t="shared" si="1"/>
        <v>0.48866787335000123</v>
      </c>
    </row>
    <row r="10" spans="1:16" x14ac:dyDescent="0.25">
      <c r="A10" s="3">
        <v>1E-8</v>
      </c>
      <c r="B10" s="3">
        <v>-4.038E-4</v>
      </c>
      <c r="C10" s="3">
        <v>2.0330000000000001E-4</v>
      </c>
      <c r="D10" s="3">
        <v>-1.3339999999999999E-4</v>
      </c>
      <c r="E10" s="3">
        <v>0</v>
      </c>
      <c r="F10" s="3">
        <v>0</v>
      </c>
      <c r="G10" s="3">
        <v>0</v>
      </c>
      <c r="H10" s="3">
        <v>8.5082203999999994E-5</v>
      </c>
      <c r="I10" s="3">
        <v>1.9564406000000002E-5</v>
      </c>
      <c r="J10" s="3">
        <v>-1.6023761999999999E-4</v>
      </c>
      <c r="L10" s="3">
        <f t="shared" si="0"/>
        <v>-3.0269865067466268</v>
      </c>
      <c r="M10" s="3"/>
      <c r="N10" s="2">
        <f>IF('Modell einstellen'!$B$1="Voll",H10/0.35,H10/0.35*2)</f>
        <v>4.8618402285714285E-4</v>
      </c>
      <c r="O10" s="2">
        <f>IF('Modell einstellen'!$B$1="Voll",J10/0.35,J10/0.35*2)</f>
        <v>-9.1564354285714287E-4</v>
      </c>
      <c r="P10" s="3">
        <f t="shared" si="1"/>
        <v>0.53097521044059437</v>
      </c>
    </row>
    <row r="11" spans="1:16" x14ac:dyDescent="0.25">
      <c r="A11" s="3">
        <v>9.9999999999999995E-8</v>
      </c>
      <c r="B11" s="3">
        <v>-7.2179999999999998E-4</v>
      </c>
      <c r="C11" s="3">
        <v>2.1440000000000001E-4</v>
      </c>
      <c r="D11" s="3">
        <v>1.604E-4</v>
      </c>
      <c r="E11" s="3">
        <v>0</v>
      </c>
      <c r="F11" s="3">
        <v>0</v>
      </c>
      <c r="G11" s="3">
        <v>0</v>
      </c>
      <c r="H11" s="3">
        <v>1.1422035E-4</v>
      </c>
      <c r="I11" s="3">
        <v>2.0766750999999998E-5</v>
      </c>
      <c r="J11" s="3">
        <v>-1.9269544999999999E-4</v>
      </c>
      <c r="L11" s="3">
        <f t="shared" si="0"/>
        <v>4.5</v>
      </c>
      <c r="M11" s="3"/>
      <c r="N11" s="2">
        <f>IF('Modell einstellen'!$B$1="Voll",H11/0.35,H11/0.35*2)</f>
        <v>6.5268771428571434E-4</v>
      </c>
      <c r="O11" s="2">
        <f>IF('Modell einstellen'!$B$1="Voll",J11/0.35,J11/0.35*2)</f>
        <v>-1.1011168571428572E-3</v>
      </c>
      <c r="P11" s="3">
        <f t="shared" si="1"/>
        <v>0.59275063318827714</v>
      </c>
    </row>
    <row r="12" spans="1:16" x14ac:dyDescent="0.25">
      <c r="A12" s="3">
        <v>9.9999999999999995E-7</v>
      </c>
      <c r="B12" s="3">
        <v>-1.48E-3</v>
      </c>
      <c r="C12" s="3">
        <v>2.2589999999999999E-4</v>
      </c>
      <c r="D12" s="3">
        <v>8.9240000000000001E-4</v>
      </c>
      <c r="E12" s="3">
        <v>0</v>
      </c>
      <c r="F12" s="3">
        <v>0</v>
      </c>
      <c r="G12" s="3">
        <v>0</v>
      </c>
      <c r="H12" s="3">
        <v>1.7745976000000001E-4</v>
      </c>
      <c r="I12" s="3">
        <v>2.2086192E-5</v>
      </c>
      <c r="J12" s="3">
        <v>-2.5948056000000001E-4</v>
      </c>
      <c r="L12" s="3">
        <f t="shared" si="0"/>
        <v>1.6584491259524876</v>
      </c>
      <c r="M12" s="3"/>
      <c r="N12" s="2">
        <f>IF('Modell einstellen'!$B$1="Voll",H12/0.35,H12/0.35*2)</f>
        <v>1.0140557714285714E-3</v>
      </c>
      <c r="O12" s="2">
        <f>IF('Modell einstellen'!$B$1="Voll",J12/0.35,J12/0.35*2)</f>
        <v>-1.4827460571428574E-3</v>
      </c>
      <c r="P12" s="3">
        <f t="shared" si="1"/>
        <v>0.68390387318417989</v>
      </c>
    </row>
    <row r="13" spans="1:16" x14ac:dyDescent="0.25">
      <c r="A13" s="3">
        <v>1.0000000000000001E-5</v>
      </c>
      <c r="B13" s="3">
        <v>-3.1619999999999999E-3</v>
      </c>
      <c r="C13" s="3">
        <v>2.3360000000000001E-4</v>
      </c>
      <c r="D13" s="3">
        <v>2.5569999999999998E-3</v>
      </c>
      <c r="E13" s="3">
        <v>0</v>
      </c>
      <c r="F13" s="3">
        <v>0</v>
      </c>
      <c r="G13" s="3">
        <v>0</v>
      </c>
      <c r="H13" s="3">
        <v>3.0883351999999998E-4</v>
      </c>
      <c r="I13" s="3">
        <v>2.3063506999999999E-5</v>
      </c>
      <c r="J13" s="3">
        <v>-3.9311707E-4</v>
      </c>
      <c r="L13" s="3">
        <f t="shared" si="0"/>
        <v>1.2366053969495503</v>
      </c>
      <c r="M13" s="3"/>
      <c r="N13" s="2">
        <f>IF('Modell einstellen'!$B$1="Voll",H13/0.35,H13/0.35*2)</f>
        <v>1.7647629714285715E-3</v>
      </c>
      <c r="O13" s="2">
        <f>IF('Modell einstellen'!$B$1="Voll",J13/0.35,J13/0.35*2)</f>
        <v>-2.2463832571428572E-3</v>
      </c>
      <c r="P13" s="3">
        <f t="shared" si="1"/>
        <v>0.78560190734022317</v>
      </c>
    </row>
    <row r="14" spans="1:16" x14ac:dyDescent="0.25">
      <c r="A14" s="3">
        <v>1E-4</v>
      </c>
      <c r="B14" s="3">
        <v>-6.5389999999999997E-3</v>
      </c>
      <c r="C14" s="3">
        <v>2.3709999999999999E-4</v>
      </c>
      <c r="D14" s="3">
        <v>5.9259999999999998E-3</v>
      </c>
      <c r="E14" s="3">
        <v>0</v>
      </c>
      <c r="F14" s="3">
        <v>0</v>
      </c>
      <c r="G14" s="3">
        <v>0</v>
      </c>
      <c r="H14" s="3">
        <v>5.6409511999999998E-4</v>
      </c>
      <c r="I14" s="3">
        <v>2.3620962999999998E-5</v>
      </c>
      <c r="J14" s="3">
        <v>-6.4844822999999998E-4</v>
      </c>
      <c r="L14" s="3">
        <f t="shared" si="0"/>
        <v>1.1034424569692878</v>
      </c>
      <c r="M14" s="3"/>
      <c r="N14" s="2">
        <f>IF('Modell einstellen'!$B$1="Voll",H14/0.35,H14/0.35*2)</f>
        <v>3.2234006857142857E-3</v>
      </c>
      <c r="O14" s="2">
        <f>IF('Modell einstellen'!$B$1="Voll",J14/0.35,J14/0.35*2)</f>
        <v>-3.7054184571428572E-3</v>
      </c>
      <c r="P14" s="3">
        <f t="shared" si="1"/>
        <v>0.86991542871510341</v>
      </c>
    </row>
    <row r="15" spans="1:16" x14ac:dyDescent="0.25">
      <c r="A15" s="3">
        <v>1E-3</v>
      </c>
      <c r="B15" s="3">
        <v>-1.2959999999999999E-2</v>
      </c>
      <c r="C15" s="3">
        <v>2.385E-4</v>
      </c>
      <c r="D15" s="3">
        <v>1.234E-2</v>
      </c>
      <c r="E15" s="3">
        <v>0</v>
      </c>
      <c r="F15" s="3">
        <v>0</v>
      </c>
      <c r="G15" s="3">
        <v>0</v>
      </c>
      <c r="H15" s="3">
        <v>1.0407458000000001E-3</v>
      </c>
      <c r="I15" s="3">
        <v>2.3938111E-5</v>
      </c>
      <c r="J15" s="3">
        <v>-1.1212088999999999E-3</v>
      </c>
      <c r="L15" s="3">
        <f t="shared" si="0"/>
        <v>1.0502431118314424</v>
      </c>
      <c r="M15" s="3"/>
      <c r="N15" s="2">
        <f>IF('Modell einstellen'!$B$1="Voll",H15/0.35,H15/0.35*2)</f>
        <v>5.9471188571428579E-3</v>
      </c>
      <c r="O15" s="2">
        <f>IF('Modell einstellen'!$B$1="Voll",J15/0.35,J15/0.35*2)</f>
        <v>-6.4069080000000002E-3</v>
      </c>
      <c r="P15" s="3">
        <f t="shared" si="1"/>
        <v>0.92823540733577847</v>
      </c>
    </row>
    <row r="16" spans="1:16" x14ac:dyDescent="0.25">
      <c r="A16" s="3">
        <v>0.01</v>
      </c>
      <c r="B16" s="3">
        <v>-2.0760000000000001E-2</v>
      </c>
      <c r="C16" s="3">
        <v>2.3890000000000001E-4</v>
      </c>
      <c r="D16" s="3">
        <v>2.0150000000000001E-2</v>
      </c>
      <c r="E16" s="3">
        <v>0</v>
      </c>
      <c r="F16" s="3">
        <v>0</v>
      </c>
      <c r="G16" s="3">
        <v>0</v>
      </c>
      <c r="H16" s="3">
        <v>1.614388E-3</v>
      </c>
      <c r="I16" s="3">
        <v>2.4345226E-5</v>
      </c>
      <c r="J16" s="3">
        <v>-1.6866044000000001E-3</v>
      </c>
      <c r="L16" s="3">
        <f t="shared" si="0"/>
        <v>1.0302729528535979</v>
      </c>
      <c r="M16" s="3"/>
      <c r="N16" s="2">
        <f>IF('Modell einstellen'!$B$1="Voll",H16/0.35,H16/0.35*2)</f>
        <v>9.2250742857142871E-3</v>
      </c>
      <c r="O16" s="2">
        <f>IF('Modell einstellen'!$B$1="Voll",J16/0.35,J16/0.35*2)</f>
        <v>-9.6377394285714294E-3</v>
      </c>
      <c r="P16" s="3">
        <f t="shared" si="1"/>
        <v>0.95718237187096167</v>
      </c>
    </row>
    <row r="17" spans="1:16" x14ac:dyDescent="0.25">
      <c r="A17" s="3">
        <v>0.1</v>
      </c>
      <c r="B17" s="3">
        <v>-2.478E-2</v>
      </c>
      <c r="C17" s="3">
        <v>2.4369999999999999E-4</v>
      </c>
      <c r="D17" s="3">
        <v>2.4160000000000001E-2</v>
      </c>
      <c r="E17" s="3">
        <v>0</v>
      </c>
      <c r="F17" s="3">
        <v>0</v>
      </c>
      <c r="G17" s="3">
        <v>0</v>
      </c>
      <c r="H17" s="3">
        <v>1.9140813000000001E-3</v>
      </c>
      <c r="I17" s="3">
        <v>2.7028480999999998E-5</v>
      </c>
      <c r="J17" s="3">
        <v>-1.9851928E-3</v>
      </c>
      <c r="L17" s="3">
        <f t="shared" si="0"/>
        <v>1.0256622516556291</v>
      </c>
      <c r="M17" s="3"/>
      <c r="N17" s="2">
        <f>IF('Modell einstellen'!$B$1="Voll",H17/0.35,H17/0.35*2)</f>
        <v>1.093760742857143E-2</v>
      </c>
      <c r="O17" s="2">
        <f>IF('Modell einstellen'!$B$1="Voll",J17/0.35,J17/0.35*2)</f>
        <v>-1.1343958857142858E-2</v>
      </c>
      <c r="P17" s="3">
        <f t="shared" si="1"/>
        <v>0.9641790459848536</v>
      </c>
    </row>
    <row r="18" spans="1:16" x14ac:dyDescent="0.25">
      <c r="A18" s="3">
        <v>1</v>
      </c>
      <c r="B18" s="3">
        <v>-2.7060000000000001E-2</v>
      </c>
      <c r="C18" s="3">
        <v>2.6259999999999999E-4</v>
      </c>
      <c r="D18" s="3">
        <v>2.6429999999999999E-2</v>
      </c>
      <c r="E18" s="3">
        <v>0</v>
      </c>
      <c r="F18" s="3">
        <v>0</v>
      </c>
      <c r="G18" s="3">
        <v>0</v>
      </c>
      <c r="H18" s="3">
        <v>2.1131793999999999E-3</v>
      </c>
      <c r="I18" s="3">
        <v>4.1968645E-5</v>
      </c>
      <c r="J18" s="3">
        <v>-2.2079793000000002E-3</v>
      </c>
      <c r="L18" s="3">
        <f t="shared" si="0"/>
        <v>1.0238365493757096</v>
      </c>
      <c r="M18" s="3"/>
      <c r="N18" s="2">
        <f>IF('Modell einstellen'!$B$1="Voll",H18/0.35,H18/0.35*2)</f>
        <v>1.2075310857142857E-2</v>
      </c>
      <c r="O18" s="2">
        <f>IF('Modell einstellen'!$B$1="Voll",J18/0.35,J18/0.35*2)</f>
        <v>-1.2617024571428574E-2</v>
      </c>
      <c r="P18" s="3">
        <f t="shared" si="1"/>
        <v>0.95706486016422332</v>
      </c>
    </row>
    <row r="19" spans="1:16" x14ac:dyDescent="0.25">
      <c r="A19" s="3">
        <v>10</v>
      </c>
      <c r="B19" s="3">
        <v>-2.6839999999999999E-2</v>
      </c>
      <c r="C19" s="3">
        <v>3.5110000000000002E-4</v>
      </c>
      <c r="D19" s="3">
        <v>2.613E-2</v>
      </c>
      <c r="E19" s="3">
        <v>0</v>
      </c>
      <c r="F19" s="3">
        <v>0</v>
      </c>
      <c r="G19" s="3">
        <v>0</v>
      </c>
      <c r="H19" s="3">
        <v>2.2048676999999999E-3</v>
      </c>
      <c r="I19" s="3">
        <v>9.8150253000000006E-5</v>
      </c>
      <c r="J19" s="3">
        <v>-2.4043322E-3</v>
      </c>
      <c r="L19" s="3">
        <f t="shared" si="0"/>
        <v>1.0271718331419823</v>
      </c>
      <c r="M19" s="3"/>
      <c r="N19" s="2">
        <f>IF('Modell einstellen'!$B$1="Voll",H19/0.35,H19/0.35*2)</f>
        <v>1.2599244000000001E-2</v>
      </c>
      <c r="O19" s="2">
        <f>IF('Modell einstellen'!$B$1="Voll",J19/0.35,J19/0.35*2)</f>
        <v>-1.3739041142857143E-2</v>
      </c>
      <c r="P19" s="3">
        <f t="shared" si="1"/>
        <v>0.91703954220635575</v>
      </c>
    </row>
    <row r="20" spans="1:16" x14ac:dyDescent="0.25">
      <c r="A20" s="3">
        <v>100</v>
      </c>
      <c r="B20" s="3">
        <v>-2.341E-2</v>
      </c>
      <c r="C20" s="3">
        <v>7.7280000000000003E-4</v>
      </c>
      <c r="D20" s="3">
        <v>2.23E-2</v>
      </c>
      <c r="E20" s="3">
        <v>0</v>
      </c>
      <c r="F20" s="3">
        <v>0</v>
      </c>
      <c r="G20" s="3">
        <v>0</v>
      </c>
      <c r="H20" s="3">
        <v>2.2903513E-3</v>
      </c>
      <c r="I20" s="3">
        <v>2.9405417E-4</v>
      </c>
      <c r="J20" s="3">
        <v>-2.8608623000000001E-3</v>
      </c>
      <c r="L20" s="3">
        <f t="shared" si="0"/>
        <v>1.0497757847533633</v>
      </c>
      <c r="M20" s="3"/>
      <c r="N20" s="2">
        <f>IF('Modell einstellen'!$B$1="Voll",H20/0.35,H20/0.35*2)</f>
        <v>1.3087721714285716E-2</v>
      </c>
      <c r="O20" s="2">
        <f>IF('Modell einstellen'!$B$1="Voll",J20/0.35,J20/0.35*2)</f>
        <v>-1.6347784571428572E-2</v>
      </c>
      <c r="P20" s="3">
        <f t="shared" si="1"/>
        <v>0.80058075497027603</v>
      </c>
    </row>
    <row r="21" spans="1:16" x14ac:dyDescent="0.25">
      <c r="A21" s="3">
        <v>1000</v>
      </c>
      <c r="B21" s="3">
        <v>-1.7299999999999999E-2</v>
      </c>
      <c r="C21" s="3">
        <v>1.9940000000000001E-3</v>
      </c>
      <c r="D21" s="3">
        <v>1.5010000000000001E-2</v>
      </c>
      <c r="E21" s="3">
        <v>0</v>
      </c>
      <c r="F21" s="3">
        <v>0</v>
      </c>
      <c r="G21" s="3">
        <v>0</v>
      </c>
      <c r="H21" s="3">
        <v>2.4284323E-3</v>
      </c>
      <c r="I21" s="3">
        <v>6.7749719999999995E-4</v>
      </c>
      <c r="J21" s="3">
        <v>-3.7208227000000002E-3</v>
      </c>
      <c r="L21" s="3">
        <f t="shared" si="0"/>
        <v>1.1525649566955363</v>
      </c>
      <c r="M21" s="3"/>
      <c r="N21" s="2">
        <f>IF('Modell einstellen'!$B$1="Voll",H21/0.35,H21/0.35*2)</f>
        <v>1.3876756000000001E-2</v>
      </c>
      <c r="O21" s="2">
        <f>IF('Modell einstellen'!$B$1="Voll",J21/0.35,J21/0.35*2)</f>
        <v>-2.1261844000000002E-2</v>
      </c>
      <c r="P21" s="3">
        <f t="shared" si="1"/>
        <v>0.65266004209230388</v>
      </c>
    </row>
    <row r="22" spans="1:16" x14ac:dyDescent="0.25">
      <c r="A22" s="3">
        <v>10000</v>
      </c>
      <c r="B22" s="3">
        <v>-1.1010000000000001E-2</v>
      </c>
      <c r="C22" s="3">
        <v>3.8219999999999999E-3</v>
      </c>
      <c r="D22" s="3">
        <v>6.9430000000000004E-3</v>
      </c>
      <c r="E22" s="3">
        <v>0</v>
      </c>
      <c r="F22" s="3">
        <v>0</v>
      </c>
      <c r="G22" s="3">
        <v>0</v>
      </c>
      <c r="H22" s="3">
        <v>2.5502474E-3</v>
      </c>
      <c r="I22" s="3">
        <v>1.1042630000000001E-3</v>
      </c>
      <c r="J22" s="3">
        <v>-4.6386066999999998E-3</v>
      </c>
      <c r="L22" s="3">
        <f t="shared" si="0"/>
        <v>1.5857698401267464</v>
      </c>
      <c r="M22" s="3"/>
      <c r="N22" s="2">
        <f>IF('Modell einstellen'!$B$1="Voll",H22/0.35,H22/0.35*2)</f>
        <v>1.4572842285714286E-2</v>
      </c>
      <c r="O22" s="2">
        <f>IF('Modell einstellen'!$B$1="Voll",J22/0.35,J22/0.35*2)</f>
        <v>-2.6506324000000001E-2</v>
      </c>
      <c r="P22" s="3">
        <f t="shared" si="1"/>
        <v>0.5497873747304336</v>
      </c>
    </row>
    <row r="23" spans="1:16" x14ac:dyDescent="0.25">
      <c r="A23" s="3">
        <v>100000</v>
      </c>
      <c r="B23" s="3">
        <v>-6.0439999999999999E-3</v>
      </c>
      <c r="C23" s="3">
        <v>5.7019999999999996E-3</v>
      </c>
      <c r="D23" s="3">
        <v>1.281E-4</v>
      </c>
      <c r="E23" s="3">
        <v>0</v>
      </c>
      <c r="F23" s="3">
        <v>0</v>
      </c>
      <c r="G23" s="3">
        <v>0</v>
      </c>
      <c r="H23" s="3">
        <v>2.6287938000000002E-3</v>
      </c>
      <c r="I23" s="3">
        <v>1.4618589E-3</v>
      </c>
      <c r="J23" s="3">
        <v>-5.3783956000000004E-3</v>
      </c>
      <c r="L23" s="3">
        <f t="shared" si="0"/>
        <v>47.181889149102261</v>
      </c>
      <c r="M23" s="3"/>
      <c r="N23" s="2">
        <f>IF('Modell einstellen'!$B$1="Voll",H23/0.35,H23/0.35*2)</f>
        <v>1.5021678857142859E-2</v>
      </c>
      <c r="O23" s="2">
        <f>IF('Modell einstellen'!$B$1="Voll",J23/0.35,J23/0.35*2)</f>
        <v>-3.0733689142857148E-2</v>
      </c>
      <c r="P23" s="3">
        <f t="shared" si="1"/>
        <v>0.48876914148896</v>
      </c>
    </row>
    <row r="24" spans="1:16" x14ac:dyDescent="0.25">
      <c r="A24" s="3">
        <v>1000000</v>
      </c>
      <c r="B24" s="3">
        <v>-2.483E-3</v>
      </c>
      <c r="C24" s="3">
        <v>7.3270000000000002E-3</v>
      </c>
      <c r="D24" s="3">
        <v>-5.032E-3</v>
      </c>
      <c r="E24" s="3">
        <v>0</v>
      </c>
      <c r="F24" s="3">
        <v>0</v>
      </c>
      <c r="G24" s="3">
        <v>0</v>
      </c>
      <c r="H24" s="3">
        <v>2.6745401E-3</v>
      </c>
      <c r="I24" s="3">
        <v>1.7264957E-3</v>
      </c>
      <c r="J24" s="3">
        <v>-5.9102924000000003E-3</v>
      </c>
      <c r="L24" s="3">
        <f t="shared" si="0"/>
        <v>-0.49344197138314783</v>
      </c>
      <c r="M24" s="3"/>
      <c r="N24" s="2">
        <f>IF('Modell einstellen'!$B$1="Voll",H24/0.35,H24/0.35*2)</f>
        <v>1.5283086285714287E-2</v>
      </c>
      <c r="O24" s="2">
        <f>IF('Modell einstellen'!$B$1="Voll",J24/0.35,J24/0.35*2)</f>
        <v>-3.3773099428571429E-2</v>
      </c>
      <c r="P24" s="3">
        <f t="shared" si="1"/>
        <v>0.45252246741633295</v>
      </c>
    </row>
    <row r="25" spans="1:16" x14ac:dyDescent="0.25">
      <c r="A25" s="3">
        <v>10000000</v>
      </c>
      <c r="B25" s="3">
        <v>-3.0499999999999999E-5</v>
      </c>
      <c r="C25" s="3">
        <v>8.5920000000000007E-3</v>
      </c>
      <c r="D25" s="3">
        <v>-8.7320000000000002E-3</v>
      </c>
      <c r="E25" s="3">
        <v>0</v>
      </c>
      <c r="F25" s="3">
        <v>0</v>
      </c>
      <c r="G25" s="3">
        <v>0</v>
      </c>
      <c r="H25" s="3">
        <v>2.7019044999999999E-3</v>
      </c>
      <c r="I25" s="3">
        <v>1.9095472E-3</v>
      </c>
      <c r="J25" s="3">
        <v>-6.2723357999999998E-3</v>
      </c>
      <c r="L25" s="3">
        <f t="shared" si="0"/>
        <v>-3.4928996793403572E-3</v>
      </c>
      <c r="M25" s="3"/>
      <c r="N25" s="2">
        <f>IF('Modell einstellen'!$B$1="Voll",H25/0.35,H25/0.35*2)</f>
        <v>1.5439454285714286E-2</v>
      </c>
      <c r="O25" s="2">
        <f>IF('Modell einstellen'!$B$1="Voll",J25/0.35,J25/0.35*2)</f>
        <v>-3.5841918857142857E-2</v>
      </c>
      <c r="P25" s="3">
        <f t="shared" si="1"/>
        <v>0.43076528205010961</v>
      </c>
    </row>
    <row r="26" spans="1:16" x14ac:dyDescent="0.25">
      <c r="A26" s="3">
        <v>100000000</v>
      </c>
      <c r="B26" s="3">
        <v>1.686E-3</v>
      </c>
      <c r="C26" s="3">
        <v>9.5670000000000009E-3</v>
      </c>
      <c r="D26" s="3">
        <v>-1.141E-2</v>
      </c>
      <c r="E26" s="3">
        <v>0</v>
      </c>
      <c r="F26" s="3">
        <v>0</v>
      </c>
      <c r="G26" s="3">
        <v>0</v>
      </c>
      <c r="H26" s="3">
        <v>2.7199062999999999E-3</v>
      </c>
      <c r="I26" s="3">
        <v>2.0348168999999999E-3</v>
      </c>
      <c r="J26" s="3">
        <v>-6.5185399999999998E-3</v>
      </c>
      <c r="L26" s="3">
        <f t="shared" si="0"/>
        <v>0.14776511831726555</v>
      </c>
      <c r="M26" s="3"/>
      <c r="N26" s="2">
        <f>IF('Modell einstellen'!$B$1="Voll",H26/0.35,H26/0.35*2)</f>
        <v>1.5542321714285715E-2</v>
      </c>
      <c r="O26" s="2">
        <f>IF('Modell einstellen'!$B$1="Voll",J26/0.35,J26/0.35*2)</f>
        <v>-3.7248799999999999E-2</v>
      </c>
      <c r="P26" s="3">
        <f t="shared" si="1"/>
        <v>0.41725697778950505</v>
      </c>
    </row>
    <row r="27" spans="1:16" x14ac:dyDescent="0.25">
      <c r="A27" s="3">
        <v>1000000000</v>
      </c>
      <c r="B27" s="3">
        <v>2.8999999999999998E-3</v>
      </c>
      <c r="C27" s="3">
        <v>1.0279999999999999E-2</v>
      </c>
      <c r="D27" s="3">
        <v>-1.333E-2</v>
      </c>
      <c r="E27" s="3">
        <v>0</v>
      </c>
      <c r="F27" s="3">
        <v>0</v>
      </c>
      <c r="G27" s="3">
        <v>0</v>
      </c>
      <c r="H27" s="3">
        <v>2.7330431000000001E-3</v>
      </c>
      <c r="I27" s="3">
        <v>2.1179617E-3</v>
      </c>
      <c r="J27" s="3">
        <v>-6.6827008999999996E-3</v>
      </c>
      <c r="L27" s="3">
        <f t="shared" si="0"/>
        <v>0.21755438859714926</v>
      </c>
      <c r="M27" s="3"/>
      <c r="N27" s="2">
        <f>IF('Modell einstellen'!$B$1="Voll",H27/0.35,H27/0.35*2)</f>
        <v>1.5617389142857145E-2</v>
      </c>
      <c r="O27" s="2">
        <f>IF('Modell einstellen'!$B$1="Voll",J27/0.35,J27/0.35*2)</f>
        <v>-3.8186862285714288E-2</v>
      </c>
      <c r="P27" s="3">
        <f t="shared" si="1"/>
        <v>0.40897283013220004</v>
      </c>
    </row>
    <row r="28" spans="1:16" x14ac:dyDescent="0.25">
      <c r="A28" s="3">
        <v>10000000000</v>
      </c>
      <c r="B28" s="3">
        <v>3.5760000000000002E-3</v>
      </c>
      <c r="C28" s="3">
        <v>1.068E-2</v>
      </c>
      <c r="D28" s="3">
        <v>-1.44E-2</v>
      </c>
      <c r="E28" s="3">
        <v>0</v>
      </c>
      <c r="F28" s="3">
        <v>0</v>
      </c>
      <c r="G28" s="3">
        <v>0</v>
      </c>
      <c r="H28" s="3">
        <v>2.7404955000000001E-3</v>
      </c>
      <c r="I28" s="3">
        <v>2.1618522999999998E-3</v>
      </c>
      <c r="J28" s="3">
        <v>-6.7697343999999996E-3</v>
      </c>
      <c r="L28" s="3">
        <f t="shared" si="0"/>
        <v>0.24833333333333335</v>
      </c>
      <c r="M28" s="3"/>
      <c r="N28" s="2">
        <f>IF('Modell einstellen'!$B$1="Voll",H28/0.35,H28/0.35*2)</f>
        <v>1.5659974285714286E-2</v>
      </c>
      <c r="O28" s="2">
        <f>IF('Modell einstellen'!$B$1="Voll",J28/0.35,J28/0.35*2)</f>
        <v>-3.8684196571428568E-2</v>
      </c>
      <c r="P28" s="3">
        <f t="shared" si="1"/>
        <v>0.40481580784026033</v>
      </c>
    </row>
    <row r="29" spans="1:16" x14ac:dyDescent="0.25">
      <c r="A29" s="3">
        <v>100000000000</v>
      </c>
      <c r="B29" s="3">
        <v>3.7580000000000001E-3</v>
      </c>
      <c r="C29" s="3">
        <v>1.0789999999999999E-2</v>
      </c>
      <c r="D29" s="3">
        <v>-1.469E-2</v>
      </c>
      <c r="E29" s="3">
        <v>0</v>
      </c>
      <c r="F29" s="3">
        <v>0</v>
      </c>
      <c r="G29" s="3">
        <v>0</v>
      </c>
      <c r="H29" s="3">
        <v>2.7425311999999999E-3</v>
      </c>
      <c r="I29" s="3">
        <v>2.1735116000000001E-3</v>
      </c>
      <c r="J29" s="3">
        <v>-6.7928746999999998E-3</v>
      </c>
      <c r="L29" s="3">
        <f t="shared" si="0"/>
        <v>0.25582028590878148</v>
      </c>
      <c r="M29" s="3"/>
      <c r="N29" s="2">
        <f>IF('Modell einstellen'!$B$1="Voll",H29/0.35,H29/0.35*2)</f>
        <v>1.5671606857142858E-2</v>
      </c>
      <c r="O29" s="2">
        <f>IF('Modell einstellen'!$B$1="Voll",J29/0.35,J29/0.35*2)</f>
        <v>-3.8816426857142858E-2</v>
      </c>
      <c r="P29" s="3">
        <f t="shared" si="1"/>
        <v>0.4037364622668515</v>
      </c>
    </row>
    <row r="30" spans="1:16" x14ac:dyDescent="0.25">
      <c r="A30" s="3">
        <v>1000000000000</v>
      </c>
      <c r="B30" s="3">
        <v>4.542E-3</v>
      </c>
      <c r="C30" s="3">
        <v>1.124E-2</v>
      </c>
      <c r="D30" s="3">
        <v>-1.593E-2</v>
      </c>
      <c r="E30" s="3">
        <v>0</v>
      </c>
      <c r="F30" s="3">
        <v>0</v>
      </c>
      <c r="G30" s="3">
        <v>0</v>
      </c>
      <c r="H30" s="3">
        <v>2.7528019999999999E-3</v>
      </c>
      <c r="I30" s="3">
        <v>2.2175544999999998E-3</v>
      </c>
      <c r="J30" s="3">
        <v>-6.8827463999999996E-3</v>
      </c>
      <c r="L30" s="3">
        <f t="shared" si="0"/>
        <v>0.28512241054613935</v>
      </c>
      <c r="M30" s="3"/>
      <c r="N30" s="2">
        <f>IF('Modell einstellen'!$B$1="Voll",H30/0.35,H30/0.35*2)</f>
        <v>1.5730297142857144E-2</v>
      </c>
      <c r="O30" s="2">
        <f>IF('Modell einstellen'!$B$1="Voll",J30/0.35,J30/0.35*2)</f>
        <v>-3.9329979428571429E-2</v>
      </c>
      <c r="P30" s="3">
        <f t="shared" si="1"/>
        <v>0.39995691254874655</v>
      </c>
    </row>
    <row r="31" spans="1:16" x14ac:dyDescent="0.25">
      <c r="A31" s="3">
        <v>10000000000000</v>
      </c>
      <c r="B31" s="3">
        <v>4.5570000000000003E-3</v>
      </c>
      <c r="C31" s="3">
        <v>1.125E-2</v>
      </c>
      <c r="D31" s="3">
        <v>-1.5949999999999999E-2</v>
      </c>
      <c r="E31" s="3">
        <v>0</v>
      </c>
      <c r="F31" s="3">
        <v>0</v>
      </c>
      <c r="G31" s="3">
        <v>0</v>
      </c>
      <c r="H31" s="3">
        <v>2.7529590000000001E-3</v>
      </c>
      <c r="I31" s="3">
        <v>2.2182738E-3</v>
      </c>
      <c r="J31" s="3">
        <v>-6.8841952999999997E-3</v>
      </c>
      <c r="L31" s="3">
        <f t="shared" si="0"/>
        <v>0.28570532915360508</v>
      </c>
      <c r="M31" s="3"/>
      <c r="N31" s="2">
        <f>IF('Modell einstellen'!$B$1="Voll",H31/0.35,H31/0.35*2)</f>
        <v>1.5731194285714286E-2</v>
      </c>
      <c r="O31" s="2">
        <f>IF('Modell einstellen'!$B$1="Voll",J31/0.35,J31/0.35*2)</f>
        <v>-3.9338258857142858E-2</v>
      </c>
      <c r="P31" s="3">
        <f t="shared" si="1"/>
        <v>0.39989554044174197</v>
      </c>
    </row>
    <row r="32" spans="1:16" x14ac:dyDescent="0.25">
      <c r="A32" s="3">
        <v>100000000000000</v>
      </c>
      <c r="B32" s="3">
        <v>5.2449999999999997E-3</v>
      </c>
      <c r="C32" s="3">
        <v>1.159E-2</v>
      </c>
      <c r="D32" s="3">
        <v>-1.6969999999999999E-2</v>
      </c>
      <c r="E32" s="3">
        <v>0</v>
      </c>
      <c r="F32" s="3">
        <v>0</v>
      </c>
      <c r="G32" s="3">
        <v>0</v>
      </c>
      <c r="H32" s="3">
        <v>2.7614880999999999E-3</v>
      </c>
      <c r="I32" s="3">
        <v>2.2465963000000001E-3</v>
      </c>
      <c r="J32" s="3">
        <v>-6.9437474999999999E-3</v>
      </c>
      <c r="L32" s="3">
        <f t="shared" si="0"/>
        <v>0.30907483794932233</v>
      </c>
      <c r="M32" s="3"/>
      <c r="N32" s="2">
        <f>IF('Modell einstellen'!$B$1="Voll",H32/0.35,H32/0.35*2)</f>
        <v>1.5779932E-2</v>
      </c>
      <c r="O32" s="2">
        <f>IF('Modell einstellen'!$B$1="Voll",J32/0.35,J32/0.35*2)</f>
        <v>-3.9678557142857146E-2</v>
      </c>
      <c r="P32" s="3">
        <f t="shared" si="1"/>
        <v>0.39769419898981057</v>
      </c>
    </row>
    <row r="33" spans="1:16" x14ac:dyDescent="0.25">
      <c r="A33" s="3">
        <v>1000000000000000</v>
      </c>
      <c r="B33" s="3">
        <v>5.5230000000000001E-3</v>
      </c>
      <c r="C33" s="3">
        <v>1.174E-2</v>
      </c>
      <c r="D33" s="3">
        <v>-1.7399999999999999E-2</v>
      </c>
      <c r="E33" s="3">
        <v>0</v>
      </c>
      <c r="F33" s="3">
        <v>0</v>
      </c>
      <c r="G33" s="3">
        <v>0</v>
      </c>
      <c r="H33" s="3">
        <v>2.7630939999999998E-3</v>
      </c>
      <c r="I33" s="3">
        <v>2.2593770999999999E-3</v>
      </c>
      <c r="J33" s="3">
        <v>-6.9684884000000002E-3</v>
      </c>
      <c r="L33" s="3">
        <f t="shared" si="0"/>
        <v>0.31741379310344831</v>
      </c>
      <c r="M33" s="3"/>
      <c r="N33" s="2">
        <f>IF('Modell einstellen'!$B$1="Voll",H33/0.35,H33/0.35*2)</f>
        <v>1.5789108571428571E-2</v>
      </c>
      <c r="O33" s="2">
        <f>IF('Modell einstellen'!$B$1="Voll",J33/0.35,J33/0.35*2)</f>
        <v>-3.9819933714285716E-2</v>
      </c>
      <c r="P33" s="3">
        <f t="shared" si="1"/>
        <v>0.39651267841674243</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15</vt:i4>
      </vt:variant>
      <vt:variant>
        <vt:lpstr>Benannte Bereiche</vt:lpstr>
      </vt:variant>
      <vt:variant>
        <vt:i4>9</vt:i4>
      </vt:variant>
    </vt:vector>
  </HeadingPairs>
  <TitlesOfParts>
    <vt:vector size="24" baseType="lpstr">
      <vt:lpstr>Modell einstellen</vt:lpstr>
      <vt:lpstr>Output</vt:lpstr>
      <vt:lpstr>CTE</vt:lpstr>
      <vt:lpstr>STUTT</vt:lpstr>
      <vt:lpstr>Comparison</vt:lpstr>
      <vt:lpstr>Mastercurve bestimmen</vt:lpstr>
      <vt:lpstr>Universal Mastercurve</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2022-01-21T13:24:18Z</dcterms:modified>
</cp:coreProperties>
</file>