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firstSheet="4" activeTab="5"/>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bestimmen'!$B$17:$B$48</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1</definedName>
    <definedName name="solver_nod" localSheetId="5" hidden="1">2147483647</definedName>
    <definedName name="solver_num" localSheetId="5" hidden="1">0</definedName>
    <definedName name="solver_nwt" localSheetId="5" hidden="1">1</definedName>
    <definedName name="solver_opt" localSheetId="5" hidden="1">'Mastercurve bestimmen'!$G$53</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I404" i="43" l="1"/>
  <c r="J404" i="43"/>
  <c r="K404" i="43"/>
  <c r="L404" i="43"/>
  <c r="M404" i="43"/>
  <c r="N404" i="43"/>
  <c r="O404" i="43"/>
  <c r="P404" i="43"/>
  <c r="I405" i="43"/>
  <c r="J405" i="43"/>
  <c r="K405" i="43"/>
  <c r="L405" i="43"/>
  <c r="M405" i="43"/>
  <c r="N405" i="43"/>
  <c r="O405" i="43"/>
  <c r="P405" i="43"/>
  <c r="I406" i="43"/>
  <c r="J406" i="43"/>
  <c r="K406" i="43"/>
  <c r="L406" i="43"/>
  <c r="M406" i="43"/>
  <c r="N406" i="43"/>
  <c r="O406" i="43"/>
  <c r="P406" i="43"/>
  <c r="I407" i="43"/>
  <c r="J407" i="43"/>
  <c r="K407" i="43"/>
  <c r="L407" i="43"/>
  <c r="M407" i="43"/>
  <c r="N407" i="43"/>
  <c r="O407" i="43"/>
  <c r="P407" i="43"/>
  <c r="I408" i="43"/>
  <c r="J408" i="43"/>
  <c r="K408" i="43"/>
  <c r="L408" i="43"/>
  <c r="M408" i="43"/>
  <c r="N408" i="43"/>
  <c r="O408" i="43"/>
  <c r="P408" i="43"/>
  <c r="I409" i="43"/>
  <c r="J409" i="43"/>
  <c r="K409" i="43"/>
  <c r="L409" i="43"/>
  <c r="M409" i="43"/>
  <c r="N409" i="43"/>
  <c r="O409" i="43"/>
  <c r="P409" i="43"/>
  <c r="I410" i="43"/>
  <c r="J410" i="43"/>
  <c r="K410" i="43"/>
  <c r="L410" i="43"/>
  <c r="M410" i="43"/>
  <c r="N410" i="43"/>
  <c r="O410" i="43"/>
  <c r="P410" i="43"/>
  <c r="I411" i="43"/>
  <c r="J411" i="43"/>
  <c r="K411" i="43"/>
  <c r="L411" i="43"/>
  <c r="M411" i="43"/>
  <c r="N411" i="43"/>
  <c r="O411" i="43"/>
  <c r="P411" i="43"/>
  <c r="I412" i="43"/>
  <c r="J412" i="43"/>
  <c r="K412" i="43"/>
  <c r="L412" i="43"/>
  <c r="M412" i="43"/>
  <c r="N412" i="43"/>
  <c r="O412" i="43"/>
  <c r="P412" i="43"/>
  <c r="I413" i="43"/>
  <c r="J413" i="43"/>
  <c r="K413" i="43"/>
  <c r="L413" i="43"/>
  <c r="M413" i="43"/>
  <c r="N413" i="43"/>
  <c r="O413" i="43"/>
  <c r="P413" i="43"/>
  <c r="I414" i="43"/>
  <c r="J414" i="43"/>
  <c r="K414" i="43"/>
  <c r="L414" i="43"/>
  <c r="M414" i="43"/>
  <c r="N414" i="43"/>
  <c r="O414" i="43"/>
  <c r="P414" i="43"/>
  <c r="I415" i="43"/>
  <c r="J415" i="43"/>
  <c r="K415" i="43"/>
  <c r="L415" i="43"/>
  <c r="M415" i="43"/>
  <c r="N415" i="43"/>
  <c r="O415" i="43"/>
  <c r="P415" i="43"/>
  <c r="I416" i="43"/>
  <c r="J416" i="43"/>
  <c r="K416" i="43"/>
  <c r="L416" i="43"/>
  <c r="M416" i="43"/>
  <c r="N416" i="43"/>
  <c r="O416" i="43"/>
  <c r="P416" i="43"/>
  <c r="I417" i="43"/>
  <c r="J417" i="43"/>
  <c r="K417" i="43"/>
  <c r="L417" i="43"/>
  <c r="M417" i="43"/>
  <c r="N417" i="43"/>
  <c r="O417" i="43"/>
  <c r="P417" i="43"/>
  <c r="I418" i="43"/>
  <c r="J418" i="43"/>
  <c r="K418" i="43"/>
  <c r="L418" i="43"/>
  <c r="M418" i="43"/>
  <c r="N418" i="43"/>
  <c r="O418" i="43"/>
  <c r="P418" i="43"/>
  <c r="I419" i="43"/>
  <c r="J419" i="43"/>
  <c r="K419" i="43"/>
  <c r="L419" i="43"/>
  <c r="M419" i="43"/>
  <c r="N419" i="43"/>
  <c r="O419" i="43"/>
  <c r="P419" i="43"/>
  <c r="I420" i="43"/>
  <c r="J420" i="43"/>
  <c r="K420" i="43"/>
  <c r="L420" i="43"/>
  <c r="M420" i="43"/>
  <c r="N420" i="43"/>
  <c r="O420" i="43"/>
  <c r="P420" i="43"/>
  <c r="I421" i="43"/>
  <c r="J421" i="43"/>
  <c r="K421" i="43"/>
  <c r="L421" i="43"/>
  <c r="M421" i="43"/>
  <c r="N421" i="43"/>
  <c r="O421" i="43"/>
  <c r="P421" i="43"/>
  <c r="I422" i="43"/>
  <c r="J422" i="43"/>
  <c r="K422" i="43"/>
  <c r="L422" i="43"/>
  <c r="M422" i="43"/>
  <c r="N422" i="43"/>
  <c r="O422" i="43"/>
  <c r="P422" i="43"/>
  <c r="I423" i="43"/>
  <c r="J423" i="43"/>
  <c r="K423" i="43"/>
  <c r="L423" i="43"/>
  <c r="M423" i="43"/>
  <c r="N423" i="43"/>
  <c r="O423" i="43"/>
  <c r="P423" i="43"/>
  <c r="I424" i="43"/>
  <c r="J424" i="43"/>
  <c r="K424" i="43"/>
  <c r="L424" i="43"/>
  <c r="M424" i="43"/>
  <c r="N424" i="43"/>
  <c r="O424" i="43"/>
  <c r="P424" i="43"/>
  <c r="I425" i="43"/>
  <c r="J425" i="43"/>
  <c r="K425" i="43"/>
  <c r="L425" i="43"/>
  <c r="M425" i="43"/>
  <c r="N425" i="43"/>
  <c r="O425" i="43"/>
  <c r="P425" i="43"/>
  <c r="I426" i="43"/>
  <c r="J426" i="43"/>
  <c r="K426" i="43"/>
  <c r="L426" i="43"/>
  <c r="M426" i="43"/>
  <c r="N426" i="43"/>
  <c r="O426" i="43"/>
  <c r="P426" i="43"/>
  <c r="I427" i="43"/>
  <c r="J427" i="43"/>
  <c r="K427" i="43"/>
  <c r="L427" i="43"/>
  <c r="M427" i="43"/>
  <c r="N427" i="43"/>
  <c r="O427" i="43"/>
  <c r="P427" i="43"/>
  <c r="I428" i="43"/>
  <c r="J428" i="43"/>
  <c r="K428" i="43"/>
  <c r="L428" i="43"/>
  <c r="M428" i="43"/>
  <c r="N428" i="43"/>
  <c r="O428" i="43"/>
  <c r="P428" i="43"/>
  <c r="I429" i="43"/>
  <c r="J429" i="43"/>
  <c r="K429" i="43"/>
  <c r="L429" i="43"/>
  <c r="M429" i="43"/>
  <c r="N429" i="43"/>
  <c r="O429" i="43"/>
  <c r="P429" i="43"/>
  <c r="I430" i="43"/>
  <c r="J430" i="43"/>
  <c r="K430" i="43"/>
  <c r="L430" i="43"/>
  <c r="M430" i="43"/>
  <c r="N430" i="43"/>
  <c r="O430" i="43"/>
  <c r="P430" i="43"/>
  <c r="I431" i="43"/>
  <c r="J431" i="43"/>
  <c r="K431" i="43"/>
  <c r="L431" i="43"/>
  <c r="M431" i="43"/>
  <c r="N431" i="43"/>
  <c r="O431" i="43"/>
  <c r="P431" i="43"/>
  <c r="I432" i="43"/>
  <c r="J432" i="43"/>
  <c r="K432" i="43"/>
  <c r="L432" i="43"/>
  <c r="M432" i="43"/>
  <c r="N432" i="43"/>
  <c r="O432" i="43"/>
  <c r="P432" i="43"/>
  <c r="I433" i="43"/>
  <c r="J433" i="43"/>
  <c r="K433" i="43"/>
  <c r="L433" i="43"/>
  <c r="M433" i="43"/>
  <c r="N433" i="43"/>
  <c r="O433" i="43"/>
  <c r="P433" i="43"/>
  <c r="I434" i="43"/>
  <c r="J434" i="43"/>
  <c r="K434" i="43"/>
  <c r="L434" i="43"/>
  <c r="M434" i="43"/>
  <c r="N434" i="43"/>
  <c r="O434" i="43"/>
  <c r="P434" i="43"/>
  <c r="J403" i="43"/>
  <c r="K403" i="43"/>
  <c r="L403" i="43"/>
  <c r="M403" i="43"/>
  <c r="N403" i="43"/>
  <c r="O403" i="43"/>
  <c r="P403" i="43"/>
  <c r="I403" i="43"/>
  <c r="C403" i="43"/>
  <c r="C406" i="43" s="1"/>
  <c r="D403" i="43"/>
  <c r="E403" i="43"/>
  <c r="E405" i="43" s="1"/>
  <c r="F403" i="43"/>
  <c r="F415" i="43" s="1"/>
  <c r="G403" i="43"/>
  <c r="G410" i="43" s="1"/>
  <c r="H403" i="43"/>
  <c r="H434" i="43" s="1"/>
  <c r="B403" i="43"/>
  <c r="B405" i="43" s="1"/>
  <c r="C405" i="43"/>
  <c r="D405" i="43"/>
  <c r="D406" i="43"/>
  <c r="E406" i="43"/>
  <c r="C407" i="43"/>
  <c r="D407" i="43"/>
  <c r="C408" i="43"/>
  <c r="D408" i="43"/>
  <c r="E408" i="43"/>
  <c r="C409" i="43"/>
  <c r="D409" i="43"/>
  <c r="C410" i="43"/>
  <c r="D410" i="43"/>
  <c r="E410" i="43"/>
  <c r="F410" i="43"/>
  <c r="D411" i="43"/>
  <c r="E411" i="43"/>
  <c r="C412" i="43"/>
  <c r="D412" i="43"/>
  <c r="D413" i="43"/>
  <c r="E413" i="43"/>
  <c r="G413" i="43"/>
  <c r="C414" i="43"/>
  <c r="D414" i="43"/>
  <c r="C415" i="43"/>
  <c r="D415" i="43"/>
  <c r="E415" i="43"/>
  <c r="D416" i="43"/>
  <c r="E416" i="43"/>
  <c r="F416" i="43"/>
  <c r="G416" i="43"/>
  <c r="C417" i="43"/>
  <c r="D417" i="43"/>
  <c r="E417" i="43"/>
  <c r="C418" i="43"/>
  <c r="D418" i="43"/>
  <c r="E418" i="43"/>
  <c r="C419" i="43"/>
  <c r="D419" i="43"/>
  <c r="E419" i="43"/>
  <c r="F419" i="43"/>
  <c r="C420" i="43"/>
  <c r="D420" i="43"/>
  <c r="E420" i="43"/>
  <c r="F420" i="43"/>
  <c r="C421" i="43"/>
  <c r="D421" i="43"/>
  <c r="C422" i="43"/>
  <c r="D422" i="43"/>
  <c r="E422" i="43"/>
  <c r="C423" i="43"/>
  <c r="D423" i="43"/>
  <c r="E423" i="43"/>
  <c r="F423" i="43"/>
  <c r="C424" i="43"/>
  <c r="D424" i="43"/>
  <c r="E424" i="43"/>
  <c r="F424" i="43"/>
  <c r="C425" i="43"/>
  <c r="D425" i="43"/>
  <c r="E425" i="43"/>
  <c r="C426" i="43"/>
  <c r="D426" i="43"/>
  <c r="E426" i="43"/>
  <c r="C427" i="43"/>
  <c r="D427" i="43"/>
  <c r="E427" i="43"/>
  <c r="F427" i="43"/>
  <c r="C428" i="43"/>
  <c r="D428" i="43"/>
  <c r="C429" i="43"/>
  <c r="D429" i="43"/>
  <c r="E429" i="43"/>
  <c r="C430" i="43"/>
  <c r="D430" i="43"/>
  <c r="E430" i="43"/>
  <c r="F430" i="43"/>
  <c r="C431" i="43"/>
  <c r="D431" i="43"/>
  <c r="E431" i="43"/>
  <c r="F431" i="43"/>
  <c r="G431" i="43"/>
  <c r="C432" i="43"/>
  <c r="D432" i="43"/>
  <c r="C433" i="43"/>
  <c r="D433" i="43"/>
  <c r="E433" i="43"/>
  <c r="C434" i="43"/>
  <c r="D434" i="43"/>
  <c r="E434" i="43"/>
  <c r="F434" i="43"/>
  <c r="G434" i="43"/>
  <c r="C404" i="43"/>
  <c r="D404" i="43"/>
  <c r="E404" i="43"/>
  <c r="F404" i="43"/>
  <c r="B65" i="43"/>
  <c r="A65" i="43"/>
  <c r="A67" i="43"/>
  <c r="G428" i="43" l="1"/>
  <c r="F417" i="43"/>
  <c r="G406" i="43"/>
  <c r="F432" i="43"/>
  <c r="F428" i="43"/>
  <c r="G425" i="43"/>
  <c r="F421" i="43"/>
  <c r="F414" i="43"/>
  <c r="H416" i="43"/>
  <c r="E432" i="43"/>
  <c r="F429" i="43"/>
  <c r="E428" i="43"/>
  <c r="F425" i="43"/>
  <c r="G422" i="43"/>
  <c r="E421" i="43"/>
  <c r="F418" i="43"/>
  <c r="C416" i="43"/>
  <c r="E414" i="43"/>
  <c r="C413" i="43"/>
  <c r="C411" i="43"/>
  <c r="E409" i="43"/>
  <c r="G407" i="43"/>
  <c r="F406" i="43"/>
  <c r="F433" i="43"/>
  <c r="F426" i="43"/>
  <c r="F422" i="43"/>
  <c r="G419" i="43"/>
  <c r="E412" i="43"/>
  <c r="E407" i="43"/>
  <c r="B433" i="43"/>
  <c r="B424" i="43"/>
  <c r="B415" i="43"/>
  <c r="B411" i="43"/>
  <c r="B410" i="43"/>
  <c r="B434" i="43"/>
  <c r="B426" i="43"/>
  <c r="B425" i="43"/>
  <c r="B417" i="43"/>
  <c r="B416" i="43"/>
  <c r="B407" i="43"/>
  <c r="B430" i="43"/>
  <c r="B421" i="43"/>
  <c r="B413" i="43"/>
  <c r="B409" i="43"/>
  <c r="B432" i="43"/>
  <c r="B431" i="43"/>
  <c r="B423" i="43"/>
  <c r="B422" i="43"/>
  <c r="B414" i="43"/>
  <c r="B406" i="43"/>
  <c r="B404" i="43"/>
  <c r="B427" i="43"/>
  <c r="B418" i="43"/>
  <c r="B412" i="43"/>
  <c r="B408" i="43"/>
  <c r="B429" i="43"/>
  <c r="B428" i="43"/>
  <c r="B420" i="43"/>
  <c r="B419" i="43"/>
  <c r="H419" i="43"/>
  <c r="H418" i="43"/>
  <c r="H417" i="43"/>
  <c r="H404" i="43"/>
  <c r="H433" i="43"/>
  <c r="H432" i="43"/>
  <c r="H431" i="43"/>
  <c r="H415" i="43"/>
  <c r="H414" i="43"/>
  <c r="H413" i="43"/>
  <c r="H428" i="43"/>
  <c r="H412" i="43"/>
  <c r="H411" i="43"/>
  <c r="H410" i="43"/>
  <c r="H430" i="43"/>
  <c r="H427" i="43"/>
  <c r="H426" i="43"/>
  <c r="H425" i="43"/>
  <c r="F413" i="43"/>
  <c r="F412" i="43"/>
  <c r="F411" i="43"/>
  <c r="H409" i="43"/>
  <c r="H408" i="43"/>
  <c r="H407" i="43"/>
  <c r="H429" i="43"/>
  <c r="H424" i="43"/>
  <c r="H423" i="43"/>
  <c r="H422" i="43"/>
  <c r="F409" i="43"/>
  <c r="F408" i="43"/>
  <c r="H406" i="43"/>
  <c r="H405" i="43"/>
  <c r="F405" i="43"/>
  <c r="H421" i="43"/>
  <c r="H420" i="43"/>
  <c r="F407" i="43"/>
  <c r="G432" i="43"/>
  <c r="G429" i="43"/>
  <c r="G426" i="43"/>
  <c r="G423" i="43"/>
  <c r="G420" i="43"/>
  <c r="G417" i="43"/>
  <c r="G414" i="43"/>
  <c r="G411" i="43"/>
  <c r="G408" i="43"/>
  <c r="G405" i="43"/>
  <c r="G404" i="43"/>
  <c r="G433" i="43"/>
  <c r="G430" i="43"/>
  <c r="G427" i="43"/>
  <c r="G424" i="43"/>
  <c r="G421" i="43"/>
  <c r="G418" i="43"/>
  <c r="G415" i="43"/>
  <c r="G412" i="43"/>
  <c r="G409" i="43"/>
  <c r="N122" i="43"/>
  <c r="P33" i="11"/>
  <c r="O33" i="11"/>
  <c r="N33" i="11"/>
  <c r="O32" i="11"/>
  <c r="N32" i="11"/>
  <c r="P32" i="11" s="1"/>
  <c r="P31" i="11"/>
  <c r="O31" i="11"/>
  <c r="N31" i="11"/>
  <c r="O30" i="11"/>
  <c r="N30" i="11"/>
  <c r="P30" i="11" s="1"/>
  <c r="P29" i="11"/>
  <c r="O29" i="11"/>
  <c r="N29" i="11"/>
  <c r="O28" i="11"/>
  <c r="N28" i="11"/>
  <c r="P28" i="11" s="1"/>
  <c r="P27" i="11"/>
  <c r="O27" i="11"/>
  <c r="N27" i="11"/>
  <c r="O26" i="11"/>
  <c r="N26" i="11"/>
  <c r="P26" i="11" s="1"/>
  <c r="P25" i="11"/>
  <c r="O25" i="11"/>
  <c r="N25" i="11"/>
  <c r="O24" i="11"/>
  <c r="N24" i="11"/>
  <c r="P24" i="11" s="1"/>
  <c r="P23" i="11"/>
  <c r="O23" i="11"/>
  <c r="N23" i="11"/>
  <c r="O22" i="11"/>
  <c r="N22" i="11"/>
  <c r="P22" i="11" s="1"/>
  <c r="P21" i="11"/>
  <c r="O21" i="11"/>
  <c r="N21" i="11"/>
  <c r="O20" i="11"/>
  <c r="N20" i="11"/>
  <c r="P20" i="11" s="1"/>
  <c r="P19" i="11"/>
  <c r="O19" i="11"/>
  <c r="N19" i="11"/>
  <c r="O18" i="11"/>
  <c r="N18" i="11"/>
  <c r="P18" i="11" s="1"/>
  <c r="P17" i="11"/>
  <c r="O17" i="11"/>
  <c r="N17" i="11"/>
  <c r="O16" i="11"/>
  <c r="N16" i="11"/>
  <c r="P16" i="11" s="1"/>
  <c r="P15" i="11"/>
  <c r="O15" i="11"/>
  <c r="N15" i="11"/>
  <c r="O14" i="11"/>
  <c r="N14" i="11"/>
  <c r="P14" i="11" s="1"/>
  <c r="P13" i="11"/>
  <c r="O13" i="11"/>
  <c r="N13" i="11"/>
  <c r="O12" i="11"/>
  <c r="N12" i="11"/>
  <c r="P12" i="11" s="1"/>
  <c r="P11" i="11"/>
  <c r="O11" i="11"/>
  <c r="N11" i="11"/>
  <c r="O10" i="11"/>
  <c r="N10" i="11"/>
  <c r="P10" i="11" s="1"/>
  <c r="P9" i="11"/>
  <c r="O9" i="11"/>
  <c r="N9" i="11"/>
  <c r="O8" i="11"/>
  <c r="N8" i="11"/>
  <c r="P8" i="11" s="1"/>
  <c r="P7" i="11"/>
  <c r="O7" i="11"/>
  <c r="N7" i="11"/>
  <c r="O6" i="11"/>
  <c r="N6" i="11"/>
  <c r="P6" i="11" s="1"/>
  <c r="P5" i="11"/>
  <c r="O5" i="11"/>
  <c r="N5" i="11"/>
  <c r="O4" i="11"/>
  <c r="N4" i="11"/>
  <c r="P4" i="11" s="1"/>
  <c r="P3" i="11"/>
  <c r="O3" i="11"/>
  <c r="N3" i="11"/>
  <c r="A18" i="43" l="1"/>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P8" i="37" l="1"/>
  <c r="B32" i="39" s="1"/>
  <c r="P5" i="37"/>
  <c r="B30" i="39" s="1"/>
  <c r="R4" i="37"/>
  <c r="R5" i="37"/>
  <c r="R6" i="37"/>
  <c r="R7" i="37"/>
  <c r="P6" i="37" s="1"/>
  <c r="B31" i="39" s="1"/>
  <c r="R8" i="37"/>
  <c r="R9" i="37"/>
  <c r="P7" i="37" s="1"/>
  <c r="R10" i="37"/>
  <c r="R11" i="37"/>
  <c r="R12" i="37"/>
  <c r="R13" i="37"/>
  <c r="P9" i="37" s="1"/>
  <c r="B33" i="39" s="1"/>
  <c r="R14" i="37"/>
  <c r="R3" i="37"/>
  <c r="L4" i="37"/>
  <c r="L5" i="37"/>
  <c r="L6" i="37"/>
  <c r="L7" i="37"/>
  <c r="L8" i="37"/>
  <c r="L9" i="37"/>
  <c r="L10" i="37"/>
  <c r="L11" i="37"/>
  <c r="L12" i="37"/>
  <c r="L13" i="37"/>
  <c r="L14" i="37"/>
  <c r="L3" i="37"/>
  <c r="B7" i="44" l="1"/>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B42" i="39" l="1"/>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I175" i="44" l="1"/>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BE31" i="8"/>
  <c r="BE30" i="8"/>
  <c r="AS29" i="8"/>
  <c r="BE28" i="8"/>
  <c r="BE27" i="8"/>
  <c r="AS26" i="8"/>
  <c r="BE25" i="8"/>
  <c r="BE24" i="8"/>
  <c r="BE23" i="8"/>
  <c r="BE22" i="8"/>
  <c r="BE21" i="8"/>
  <c r="AS20" i="8"/>
  <c r="BE19" i="8"/>
  <c r="BE18" i="8"/>
  <c r="AS17" i="8"/>
  <c r="BE16" i="8"/>
  <c r="BE15" i="8"/>
  <c r="AS14" i="8"/>
  <c r="BE13" i="8"/>
  <c r="BE12" i="8"/>
  <c r="AS11" i="8"/>
  <c r="BE10" i="8"/>
  <c r="BE9" i="8"/>
  <c r="AS8" i="8"/>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S32" i="8"/>
  <c r="AQ32" i="8" s="1"/>
  <c r="S31" i="8"/>
  <c r="AQ31" i="8" s="1"/>
  <c r="S30" i="8"/>
  <c r="AQ30" i="8" s="1"/>
  <c r="S29" i="8"/>
  <c r="AQ29" i="8" s="1"/>
  <c r="S28" i="8"/>
  <c r="AQ28" i="8" s="1"/>
  <c r="S27" i="8"/>
  <c r="AQ27" i="8" s="1"/>
  <c r="S26" i="8"/>
  <c r="AQ26" i="8" s="1"/>
  <c r="S25" i="8"/>
  <c r="AQ25" i="8" s="1"/>
  <c r="S24" i="8"/>
  <c r="AQ24" i="8" s="1"/>
  <c r="S23" i="8"/>
  <c r="AQ23" i="8" s="1"/>
  <c r="S22" i="8"/>
  <c r="AQ22" i="8" s="1"/>
  <c r="S21" i="8"/>
  <c r="AQ21" i="8" s="1"/>
  <c r="S20" i="8"/>
  <c r="AQ20" i="8" s="1"/>
  <c r="S19" i="8"/>
  <c r="AQ19" i="8" s="1"/>
  <c r="S18" i="8"/>
  <c r="AQ18" i="8" s="1"/>
  <c r="S17" i="8"/>
  <c r="AQ17" i="8" s="1"/>
  <c r="S16" i="8"/>
  <c r="AQ16" i="8" s="1"/>
  <c r="S15" i="8"/>
  <c r="AQ15" i="8" s="1"/>
  <c r="S14" i="8"/>
  <c r="AQ14" i="8" s="1"/>
  <c r="S13" i="8"/>
  <c r="AQ13" i="8" s="1"/>
  <c r="S12" i="8"/>
  <c r="AQ12" i="8" s="1"/>
  <c r="S11" i="8"/>
  <c r="AQ11" i="8" s="1"/>
  <c r="S10" i="8"/>
  <c r="AQ10" i="8" s="1"/>
  <c r="S9" i="8"/>
  <c r="AQ9" i="8" s="1"/>
  <c r="S8" i="8"/>
  <c r="AQ8" i="8" s="1"/>
  <c r="S7" i="8"/>
  <c r="AQ7" i="8" s="1"/>
  <c r="S6" i="8"/>
  <c r="AQ6" i="8" s="1"/>
  <c r="S5" i="8"/>
  <c r="AQ5" i="8" s="1"/>
  <c r="S4" i="8"/>
  <c r="AQ4" i="8"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AS22" i="8"/>
  <c r="AS23" i="8"/>
  <c r="AO4" i="8"/>
  <c r="AO6" i="8"/>
  <c r="AO10" i="8"/>
  <c r="AO30" i="8"/>
  <c r="BA13" i="8"/>
  <c r="BA15" i="8"/>
  <c r="BA19" i="8"/>
  <c r="AS28" i="8"/>
  <c r="AS9" i="8"/>
  <c r="AS5" i="8"/>
  <c r="BE32" i="8"/>
  <c r="AS18" i="8"/>
  <c r="AS7" i="8"/>
  <c r="BA12" i="8"/>
  <c r="BA16" i="8"/>
  <c r="BA18" i="8"/>
  <c r="BA22" i="8"/>
  <c r="BA24" i="8"/>
  <c r="BA28" i="8"/>
  <c r="AO7" i="8"/>
  <c r="AO9" i="8"/>
  <c r="AO21" i="8"/>
  <c r="AO25" i="8"/>
  <c r="AO27" i="8"/>
  <c r="AO31" i="8"/>
  <c r="AO33" i="8"/>
  <c r="AS15" i="8"/>
  <c r="BE11" i="8"/>
  <c r="BE29" i="8"/>
  <c r="AS24" i="8"/>
  <c r="AS13" i="8"/>
  <c r="AS21" i="8"/>
  <c r="AS30" i="8"/>
  <c r="BE8" i="8"/>
  <c r="AS19" i="8"/>
  <c r="AS27" i="8"/>
  <c r="AS4" i="8"/>
  <c r="BE20" i="8"/>
  <c r="BE17" i="8"/>
  <c r="AS31" i="8"/>
  <c r="AS25" i="8"/>
  <c r="AS33" i="8"/>
  <c r="AS10" i="8"/>
  <c r="AS6" i="8"/>
  <c r="BE26" i="8"/>
  <c r="BE14" i="8"/>
  <c r="AS16" i="8"/>
  <c r="AS12" i="8"/>
  <c r="AR3" i="8"/>
  <c r="BD3" i="8"/>
  <c r="T5" i="8"/>
  <c r="AR7" i="8"/>
  <c r="BD7" i="8"/>
  <c r="AR9" i="8"/>
  <c r="BD9" i="8"/>
  <c r="T11" i="8"/>
  <c r="AR13" i="8"/>
  <c r="BD13" i="8"/>
  <c r="AR15" i="8"/>
  <c r="BD15" i="8"/>
  <c r="T17" i="8"/>
  <c r="AR19" i="8"/>
  <c r="BD19" i="8"/>
  <c r="AR21" i="8"/>
  <c r="BD21" i="8"/>
  <c r="T23" i="8"/>
  <c r="AR25" i="8"/>
  <c r="BD25" i="8"/>
  <c r="AR27" i="8"/>
  <c r="BD27" i="8"/>
  <c r="T29" i="8"/>
  <c r="AR31" i="8"/>
  <c r="BD31" i="8"/>
  <c r="AR33" i="8"/>
  <c r="BD33" i="8"/>
  <c r="AR4" i="8"/>
  <c r="BD4" i="8"/>
  <c r="AR6" i="8"/>
  <c r="BD6" i="8"/>
  <c r="T8" i="8"/>
  <c r="AR10" i="8"/>
  <c r="BD10" i="8"/>
  <c r="AR12" i="8"/>
  <c r="BD12" i="8"/>
  <c r="T14" i="8"/>
  <c r="AR16" i="8"/>
  <c r="BD16" i="8"/>
  <c r="AR18" i="8"/>
  <c r="BD18" i="8"/>
  <c r="T20" i="8"/>
  <c r="AR22" i="8"/>
  <c r="BD22" i="8"/>
  <c r="AR24" i="8"/>
  <c r="BD24" i="8"/>
  <c r="T26" i="8"/>
  <c r="AR28" i="8"/>
  <c r="BD28" i="8"/>
  <c r="AR30" i="8"/>
  <c r="BD30" i="8"/>
  <c r="T32" i="8"/>
  <c r="BC6" i="8"/>
  <c r="BC12" i="8"/>
  <c r="BC18" i="8"/>
  <c r="BC24" i="8"/>
  <c r="BC30" i="8"/>
  <c r="BC5" i="8"/>
  <c r="BC7" i="8"/>
  <c r="BC11" i="8"/>
  <c r="BC13" i="8"/>
  <c r="BC17" i="8"/>
  <c r="BC19" i="8"/>
  <c r="BC23" i="8"/>
  <c r="BC25" i="8"/>
  <c r="BC29" i="8"/>
  <c r="BC31" i="8"/>
  <c r="AQ3" i="8"/>
  <c r="BC3" i="8"/>
  <c r="BC9" i="8"/>
  <c r="BC15" i="8"/>
  <c r="BC21" i="8"/>
  <c r="BC27" i="8"/>
  <c r="BC33" i="8"/>
  <c r="BC4" i="8"/>
  <c r="BC8" i="8"/>
  <c r="BC10" i="8"/>
  <c r="BC14" i="8"/>
  <c r="BC16" i="8"/>
  <c r="BC20" i="8"/>
  <c r="BC22" i="8"/>
  <c r="BC26" i="8"/>
  <c r="BC28" i="8"/>
  <c r="BC32" i="8"/>
  <c r="AP21" i="8"/>
  <c r="BB21" i="8"/>
  <c r="AP4" i="8"/>
  <c r="BB4" i="8"/>
  <c r="AP6" i="8"/>
  <c r="BB6" i="8"/>
  <c r="AP8" i="8"/>
  <c r="BB8" i="8"/>
  <c r="AP29" i="8"/>
  <c r="BB29" i="8"/>
  <c r="AP31" i="8"/>
  <c r="BB31" i="8"/>
  <c r="AP33" i="8"/>
  <c r="AF286" i="43" s="1"/>
  <c r="BB33" i="8"/>
  <c r="AP23" i="8"/>
  <c r="BB23" i="8"/>
  <c r="AP10" i="8"/>
  <c r="BB10" i="8"/>
  <c r="AP12" i="8"/>
  <c r="BB12" i="8"/>
  <c r="AP14" i="8"/>
  <c r="BB14" i="8"/>
  <c r="AP16" i="8"/>
  <c r="BB16" i="8"/>
  <c r="AP18" i="8"/>
  <c r="BB18" i="8"/>
  <c r="AP25" i="8"/>
  <c r="BB25" i="8"/>
  <c r="AP20" i="8"/>
  <c r="BB20" i="8"/>
  <c r="AP22" i="8"/>
  <c r="BB22" i="8"/>
  <c r="AP24" i="8"/>
  <c r="BB24" i="8"/>
  <c r="AP26" i="8"/>
  <c r="Y286" i="43" s="1"/>
  <c r="BB26" i="8"/>
  <c r="AP27" i="8"/>
  <c r="BB27" i="8"/>
  <c r="AP3" i="8"/>
  <c r="BB3" i="8"/>
  <c r="AP5" i="8"/>
  <c r="BB5" i="8"/>
  <c r="AP7" i="8"/>
  <c r="BB7" i="8"/>
  <c r="AP9" i="8"/>
  <c r="BB9" i="8"/>
  <c r="AP28" i="8"/>
  <c r="BB28" i="8"/>
  <c r="AP30" i="8"/>
  <c r="BB30" i="8"/>
  <c r="AP32" i="8"/>
  <c r="BB32" i="8"/>
  <c r="AP19" i="8"/>
  <c r="R286" i="43" s="1"/>
  <c r="BB19" i="8"/>
  <c r="AP11" i="8"/>
  <c r="BB11" i="8"/>
  <c r="AP13" i="8"/>
  <c r="BB13" i="8"/>
  <c r="AP15" i="8"/>
  <c r="BB15" i="8"/>
  <c r="AP17" i="8"/>
  <c r="BB17" i="8"/>
  <c r="AO8" i="8"/>
  <c r="BA8" i="8"/>
  <c r="BA7" i="8"/>
  <c r="BA9" i="8"/>
  <c r="AO12" i="8"/>
  <c r="Q14" i="8"/>
  <c r="AO16" i="8"/>
  <c r="AO18" i="8"/>
  <c r="AO20" i="8"/>
  <c r="BA20" i="8"/>
  <c r="BA30" i="8"/>
  <c r="Q23" i="8"/>
  <c r="AO22" i="8"/>
  <c r="AO24" i="8"/>
  <c r="AO26" i="8"/>
  <c r="Y247" i="43" s="1"/>
  <c r="BA26" i="8"/>
  <c r="AO28" i="8"/>
  <c r="AO3" i="8"/>
  <c r="BA3" i="8"/>
  <c r="AO11" i="8"/>
  <c r="BA11" i="8"/>
  <c r="BA21" i="8"/>
  <c r="BA25" i="8"/>
  <c r="BA27" i="8"/>
  <c r="Q32" i="8"/>
  <c r="AO29" i="8"/>
  <c r="BA29" i="8"/>
  <c r="Q5" i="8"/>
  <c r="BA4" i="8"/>
  <c r="BA6" i="8"/>
  <c r="BA10" i="8"/>
  <c r="AO13" i="8"/>
  <c r="AO15" i="8"/>
  <c r="N247" i="43" s="1"/>
  <c r="AO17" i="8"/>
  <c r="BA17" i="8"/>
  <c r="AO19" i="8"/>
  <c r="BA31" i="8"/>
  <c r="BA33" i="8"/>
  <c r="AN3" i="8"/>
  <c r="AZ3" i="8"/>
  <c r="AN7" i="8"/>
  <c r="F169" i="43" s="1"/>
  <c r="AZ7" i="8"/>
  <c r="AN9" i="8"/>
  <c r="H169" i="43" s="1"/>
  <c r="AZ9" i="8"/>
  <c r="AN11" i="8"/>
  <c r="AZ11" i="8"/>
  <c r="AN13" i="8"/>
  <c r="L169" i="43" s="1"/>
  <c r="AZ13" i="8"/>
  <c r="AN15" i="8"/>
  <c r="N169" i="43" s="1"/>
  <c r="AZ15" i="8"/>
  <c r="AN17" i="8"/>
  <c r="AZ17" i="8"/>
  <c r="AN19" i="8"/>
  <c r="R169" i="43" s="1"/>
  <c r="AZ19" i="8"/>
  <c r="AN21" i="8"/>
  <c r="AZ21" i="8"/>
  <c r="AN23" i="8"/>
  <c r="AZ23" i="8"/>
  <c r="AN25" i="8"/>
  <c r="AZ25" i="8"/>
  <c r="AN27" i="8"/>
  <c r="Z169" i="43" s="1"/>
  <c r="AZ27" i="8"/>
  <c r="AN29" i="8"/>
  <c r="AZ29" i="8"/>
  <c r="AN31" i="8"/>
  <c r="AD169" i="43" s="1"/>
  <c r="AZ31" i="8"/>
  <c r="AN33" i="8"/>
  <c r="AZ33" i="8"/>
  <c r="AN5" i="8"/>
  <c r="D169" i="43" s="1"/>
  <c r="AZ5" i="8"/>
  <c r="AN4" i="8"/>
  <c r="AZ4" i="8"/>
  <c r="AN8" i="8"/>
  <c r="G208" i="43" s="1"/>
  <c r="AZ8" i="8"/>
  <c r="AN10" i="8"/>
  <c r="AZ10" i="8"/>
  <c r="AN12" i="8"/>
  <c r="K208" i="43" s="1"/>
  <c r="AZ12" i="8"/>
  <c r="AN14" i="8"/>
  <c r="AZ14" i="8"/>
  <c r="AN16" i="8"/>
  <c r="AZ16" i="8"/>
  <c r="AN18" i="8"/>
  <c r="AZ18" i="8"/>
  <c r="AN20" i="8"/>
  <c r="AZ20" i="8"/>
  <c r="AN22" i="8"/>
  <c r="AZ22" i="8"/>
  <c r="AN24" i="8"/>
  <c r="AZ24" i="8"/>
  <c r="AN26" i="8"/>
  <c r="Y169" i="43" s="1"/>
  <c r="AZ26" i="8"/>
  <c r="AN28" i="8"/>
  <c r="AZ28" i="8"/>
  <c r="AN30" i="8"/>
  <c r="AZ30" i="8"/>
  <c r="AN32" i="8"/>
  <c r="AZ32" i="8"/>
  <c r="AN6" i="8"/>
  <c r="AZ6" i="8"/>
  <c r="C169" i="43"/>
  <c r="B286" i="43" l="1"/>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F130" i="43" s="1"/>
  <c r="AY33" i="8"/>
  <c r="AY5" i="8"/>
  <c r="AM25" i="8"/>
  <c r="X130" i="43" s="1"/>
  <c r="AY26" i="8"/>
  <c r="AM26" i="8"/>
  <c r="Y130" i="43" s="1"/>
  <c r="AY29" i="8"/>
  <c r="AM29" i="8"/>
  <c r="AB130" i="43" s="1"/>
  <c r="AM30" i="8"/>
  <c r="AC130" i="43" s="1"/>
  <c r="AY18" i="8"/>
  <c r="AY30" i="8"/>
  <c r="S364" i="43"/>
  <c r="AY6" i="8"/>
  <c r="AM6" i="8"/>
  <c r="E130" i="43" s="1"/>
  <c r="AM32" i="8"/>
  <c r="AE130" i="43" s="1"/>
  <c r="AY32" i="8"/>
  <c r="AY13" i="8"/>
  <c r="AM13" i="8"/>
  <c r="L130" i="43" s="1"/>
  <c r="AY27" i="8"/>
  <c r="AM27" i="8"/>
  <c r="Z130" i="43" s="1"/>
  <c r="AM14" i="8"/>
  <c r="M130" i="43" s="1"/>
  <c r="AY14" i="8"/>
  <c r="AM22" i="8"/>
  <c r="U130" i="43" s="1"/>
  <c r="AY22" i="8"/>
  <c r="AY15" i="8"/>
  <c r="AM15" i="8"/>
  <c r="N130" i="43" s="1"/>
  <c r="AY10" i="8"/>
  <c r="AM10" i="8"/>
  <c r="I130" i="43" s="1"/>
  <c r="AY25" i="8"/>
  <c r="AM18" i="8"/>
  <c r="Q130" i="43" s="1"/>
  <c r="AM5" i="8"/>
  <c r="D130" i="43" s="1"/>
  <c r="AY31" i="8"/>
  <c r="AM31" i="8"/>
  <c r="AD130" i="43" s="1"/>
  <c r="AM3" i="8"/>
  <c r="AY3" i="8"/>
  <c r="AY24" i="8"/>
  <c r="AM24" i="8"/>
  <c r="W130" i="43" s="1"/>
  <c r="AM19" i="8"/>
  <c r="R130" i="43" s="1"/>
  <c r="AY19" i="8"/>
  <c r="AM21" i="8"/>
  <c r="T130" i="43" s="1"/>
  <c r="AY21" i="8"/>
  <c r="AM12" i="8"/>
  <c r="K130" i="43" s="1"/>
  <c r="AY12" i="8"/>
  <c r="AM7" i="8"/>
  <c r="F130" i="43" s="1"/>
  <c r="AY7" i="8"/>
  <c r="AY9" i="8"/>
  <c r="AM9" i="8"/>
  <c r="H130" i="43" s="1"/>
  <c r="AM23" i="8"/>
  <c r="V130" i="43" s="1"/>
  <c r="AY23" i="8"/>
  <c r="AY11" i="8"/>
  <c r="AM11" i="8"/>
  <c r="J130" i="43" s="1"/>
  <c r="AY28" i="8"/>
  <c r="AM28" i="8"/>
  <c r="AA130" i="43" s="1"/>
  <c r="AY20" i="8"/>
  <c r="AM20" i="8"/>
  <c r="S130" i="43" s="1"/>
  <c r="AM16" i="8"/>
  <c r="O130" i="43" s="1"/>
  <c r="AY16" i="8"/>
  <c r="AM8" i="8"/>
  <c r="G130" i="43" s="1"/>
  <c r="AY8" i="8"/>
  <c r="AM4" i="8"/>
  <c r="C130" i="43" s="1"/>
  <c r="AY4" i="8"/>
  <c r="AM17" i="8"/>
  <c r="P130" i="43" s="1"/>
  <c r="AY17" i="8"/>
  <c r="AD325" i="43"/>
  <c r="AC325" i="43"/>
  <c r="I325" i="43"/>
  <c r="Q325" i="43"/>
  <c r="B325" i="43"/>
  <c r="O325" i="43"/>
  <c r="W325" i="43"/>
  <c r="E325" i="43"/>
  <c r="H325" i="43"/>
  <c r="U325" i="43"/>
  <c r="C364" i="43"/>
  <c r="X325" i="43"/>
  <c r="R325" i="43"/>
  <c r="L325" i="43"/>
  <c r="F325" i="43"/>
  <c r="AF325" i="43"/>
  <c r="Z325" i="43"/>
  <c r="T325" i="43"/>
  <c r="AR29" i="8"/>
  <c r="BD29" i="8"/>
  <c r="AR23" i="8"/>
  <c r="BD23" i="8"/>
  <c r="AR17" i="8"/>
  <c r="BD17" i="8"/>
  <c r="AR11" i="8"/>
  <c r="BD11" i="8"/>
  <c r="AR5" i="8"/>
  <c r="BD5" i="8"/>
  <c r="AR32" i="8"/>
  <c r="BD32" i="8"/>
  <c r="AR26" i="8"/>
  <c r="BD26" i="8"/>
  <c r="AR20" i="8"/>
  <c r="W16" i="43" s="1"/>
  <c r="BD20" i="8"/>
  <c r="AR14" i="8"/>
  <c r="BD14" i="8"/>
  <c r="AR8" i="8"/>
  <c r="BD8" i="8"/>
  <c r="AO5" i="8"/>
  <c r="D247" i="43" s="1"/>
  <c r="BA5" i="8"/>
  <c r="AO23" i="8"/>
  <c r="V247" i="43" s="1"/>
  <c r="BA23" i="8"/>
  <c r="AO32" i="8"/>
  <c r="AE247" i="43" s="1"/>
  <c r="BA32" i="8"/>
  <c r="AO14" i="8"/>
  <c r="M247" i="43" s="1"/>
  <c r="BA14" i="8"/>
  <c r="A103" i="39" l="1"/>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<sst xmlns="http://schemas.openxmlformats.org/spreadsheetml/2006/main" count="311" uniqueCount="164">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</sst>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0" fontId="7" fillId="0" borderId="0" xfId="0"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1" fontId="0" fillId="2" borderId="0" xfId="0" applyNumberFormat="1" applyFont="1" applyFill="1" applyAlignment="1">
      <alignment horizontal="center"/>
    </xf>
    <xf numFmtId="1" fontId="3" fillId="2" borderId="0" xfId="0" applyNumberFormat="1" applyFont="1" applyFill="1"/>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-6.1953560000000004E-4</c:v>
                </c:pt>
                <c:pt idx="1">
                  <c:v>-6.1952405714285716E-4</c:v>
                </c:pt>
                <c:pt idx="2">
                  <c:v>-6.1952640000000005E-4</c:v>
                </c:pt>
                <c:pt idx="3">
                  <c:v>-6.1952705714285721E-4</c:v>
                </c:pt>
                <c:pt idx="4">
                  <c:v>-6.1952725714285717E-4</c:v>
                </c:pt>
                <c:pt idx="5">
                  <c:v>-6.1952734285714288E-4</c:v>
                </c:pt>
                <c:pt idx="6">
                  <c:v>-6.1952737142857142E-4</c:v>
                </c:pt>
                <c:pt idx="7">
                  <c:v>-6.1952737142857142E-4</c:v>
                </c:pt>
                <c:pt idx="8">
                  <c:v>-6.1952737142857142E-4</c:v>
                </c:pt>
                <c:pt idx="9">
                  <c:v>-6.1952737142857142E-4</c:v>
                </c:pt>
                <c:pt idx="10">
                  <c:v>-6.1952737142857142E-4</c:v>
                </c:pt>
                <c:pt idx="11">
                  <c:v>-6.1952737142857142E-4</c:v>
                </c:pt>
                <c:pt idx="12">
                  <c:v>-6.195274285714286E-4</c:v>
                </c:pt>
                <c:pt idx="13">
                  <c:v>-6.1952805714285723E-4</c:v>
                </c:pt>
                <c:pt idx="14">
                  <c:v>-6.1953428571428571E-4</c:v>
                </c:pt>
                <c:pt idx="15">
                  <c:v>-6.195964285714286E-4</c:v>
                </c:pt>
                <c:pt idx="16">
                  <c:v>-6.2020457142857152E-4</c:v>
                </c:pt>
                <c:pt idx="17">
                  <c:v>-6.2514277142857149E-4</c:v>
                </c:pt>
                <c:pt idx="18">
                  <c:v>-6.3898228571428574E-4</c:v>
                </c:pt>
                <c:pt idx="19">
                  <c:v>-6.5406977142857148E-4</c:v>
                </c:pt>
                <c:pt idx="20">
                  <c:v>-6.7496257142857143E-4</c:v>
                </c:pt>
                <c:pt idx="21">
                  <c:v>-7.0784651428571431E-4</c:v>
                </c:pt>
                <c:pt idx="22">
                  <c:v>-7.4948245714285731E-4</c:v>
                </c:pt>
                <c:pt idx="23">
                  <c:v>-8.0181628571428579E-4</c:v>
                </c:pt>
                <c:pt idx="24">
                  <c:v>-8.5946594285714285E-4</c:v>
                </c:pt>
                <c:pt idx="25">
                  <c:v>-9.1906580000000011E-4</c:v>
                </c:pt>
                <c:pt idx="26">
                  <c:v>-9.8779891428571421E-4</c:v>
                </c:pt>
                <c:pt idx="27">
                  <c:v>-1.0683100285714287E-3</c:v>
                </c:pt>
                <c:pt idx="28">
                  <c:v>-1.1885513428571428E-3</c:v>
                </c:pt>
                <c:pt idx="29">
                  <c:v>-1.3798511142857142E-3</c:v>
                </c:pt>
                <c:pt idx="30">
                  <c:v>-1.701471342857143E-3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-6.206781142857143E-4</c:v>
                </c:pt>
                <c:pt idx="1">
                  <c:v>-6.2066645714285718E-4</c:v>
                </c:pt>
                <c:pt idx="2">
                  <c:v>-6.2066877142857152E-4</c:v>
                </c:pt>
                <c:pt idx="3">
                  <c:v>-6.2066945714285722E-4</c:v>
                </c:pt>
                <c:pt idx="4">
                  <c:v>-6.2066965714285718E-4</c:v>
                </c:pt>
                <c:pt idx="5">
                  <c:v>-6.2066971428571425E-4</c:v>
                </c:pt>
                <c:pt idx="6">
                  <c:v>-6.2066974285714289E-4</c:v>
                </c:pt>
                <c:pt idx="7">
                  <c:v>-6.2066974285714289E-4</c:v>
                </c:pt>
                <c:pt idx="8">
                  <c:v>-6.2066977142857143E-4</c:v>
                </c:pt>
                <c:pt idx="9">
                  <c:v>-6.2066977142857143E-4</c:v>
                </c:pt>
                <c:pt idx="10">
                  <c:v>-6.2066980000000007E-4</c:v>
                </c:pt>
                <c:pt idx="11">
                  <c:v>-6.2067000000000003E-4</c:v>
                </c:pt>
                <c:pt idx="12">
                  <c:v>-6.2067228571428574E-4</c:v>
                </c:pt>
                <c:pt idx="13">
                  <c:v>-6.2069502857142864E-4</c:v>
                </c:pt>
                <c:pt idx="14">
                  <c:v>-6.2092060000000005E-4</c:v>
                </c:pt>
                <c:pt idx="15">
                  <c:v>-6.230076285714286E-4</c:v>
                </c:pt>
                <c:pt idx="16">
                  <c:v>-6.3449151428571432E-4</c:v>
                </c:pt>
                <c:pt idx="17">
                  <c:v>-6.4859785714285723E-4</c:v>
                </c:pt>
                <c:pt idx="18">
                  <c:v>-6.665313428571429E-4</c:v>
                </c:pt>
                <c:pt idx="19">
                  <c:v>-6.9502094285714292E-4</c:v>
                </c:pt>
                <c:pt idx="20">
                  <c:v>-7.3337408571428567E-4</c:v>
                </c:pt>
                <c:pt idx="21">
                  <c:v>-7.8033254285714293E-4</c:v>
                </c:pt>
                <c:pt idx="22">
                  <c:v>-8.349933714285714E-4</c:v>
                </c:pt>
                <c:pt idx="23">
                  <c:v>-8.9258854285714285E-4</c:v>
                </c:pt>
                <c:pt idx="24">
                  <c:v>-9.5556454285714292E-4</c:v>
                </c:pt>
                <c:pt idx="25">
                  <c:v>-1.0291650285714285E-3</c:v>
                </c:pt>
                <c:pt idx="26">
                  <c:v>-1.1262674571428572E-3</c:v>
                </c:pt>
                <c:pt idx="27">
                  <c:v>-1.2804857714285715E-3</c:v>
                </c:pt>
                <c:pt idx="28">
                  <c:v>-1.5340936E-3</c:v>
                </c:pt>
                <c:pt idx="29">
                  <c:v>-1.9957457428571431E-3</c:v>
                </c:pt>
                <c:pt idx="30">
                  <c:v>-2.978228857142857E-3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-6.2141817142857142E-4</c:v>
                </c:pt>
                <c:pt idx="1">
                  <c:v>-6.2140645714285723E-4</c:v>
                </c:pt>
                <c:pt idx="2">
                  <c:v>-6.2140877142857146E-4</c:v>
                </c:pt>
                <c:pt idx="3">
                  <c:v>-6.2140945714285716E-4</c:v>
                </c:pt>
                <c:pt idx="4">
                  <c:v>-6.2140965714285723E-4</c:v>
                </c:pt>
                <c:pt idx="5">
                  <c:v>-6.2140974285714284E-4</c:v>
                </c:pt>
                <c:pt idx="6">
                  <c:v>-6.2140974285714284E-4</c:v>
                </c:pt>
                <c:pt idx="7">
                  <c:v>-6.2140977142857148E-4</c:v>
                </c:pt>
                <c:pt idx="8">
                  <c:v>-6.2140980000000001E-4</c:v>
                </c:pt>
                <c:pt idx="9">
                  <c:v>-6.2141000000000008E-4</c:v>
                </c:pt>
                <c:pt idx="10">
                  <c:v>-6.214121428571429E-4</c:v>
                </c:pt>
                <c:pt idx="11">
                  <c:v>-6.2143345714285722E-4</c:v>
                </c:pt>
                <c:pt idx="12">
                  <c:v>-6.2164505714285717E-4</c:v>
                </c:pt>
                <c:pt idx="13">
                  <c:v>-6.2361234285714291E-4</c:v>
                </c:pt>
                <c:pt idx="14">
                  <c:v>-6.3481440000000007E-4</c:v>
                </c:pt>
                <c:pt idx="15">
                  <c:v>-6.4871805714285724E-4</c:v>
                </c:pt>
                <c:pt idx="16">
                  <c:v>-6.6495991428571432E-4</c:v>
                </c:pt>
                <c:pt idx="17">
                  <c:v>-6.8659568571428572E-4</c:v>
                </c:pt>
                <c:pt idx="18">
                  <c:v>-7.1666468571428569E-4</c:v>
                </c:pt>
                <c:pt idx="19">
                  <c:v>-7.6131068571428577E-4</c:v>
                </c:pt>
                <c:pt idx="20">
                  <c:v>-8.1763514285714293E-4</c:v>
                </c:pt>
                <c:pt idx="21">
                  <c:v>-8.7882385714285716E-4</c:v>
                </c:pt>
                <c:pt idx="22">
                  <c:v>-9.4455039999999997E-4</c:v>
                </c:pt>
                <c:pt idx="23">
                  <c:v>-1.0202113142857142E-3</c:v>
                </c:pt>
                <c:pt idx="24">
                  <c:v>-1.1177940285714287E-3</c:v>
                </c:pt>
                <c:pt idx="25">
                  <c:v>-1.2711824857142859E-3</c:v>
                </c:pt>
                <c:pt idx="26">
                  <c:v>-1.5219878857142858E-3</c:v>
                </c:pt>
                <c:pt idx="27">
                  <c:v>-1.9756241714285715E-3</c:v>
                </c:pt>
                <c:pt idx="28">
                  <c:v>-2.9386628571428574E-3</c:v>
                </c:pt>
                <c:pt idx="29">
                  <c:v>-4.8502194285714286E-3</c:v>
                </c:pt>
                <c:pt idx="30">
                  <c:v>-8.3903105714285726E-3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-6.2217942857142861E-4</c:v>
                </c:pt>
                <c:pt idx="1">
                  <c:v>-6.221676285714286E-4</c:v>
                </c:pt>
                <c:pt idx="2">
                  <c:v>-6.2216994285714284E-4</c:v>
                </c:pt>
                <c:pt idx="3">
                  <c:v>-6.2217062857142865E-4</c:v>
                </c:pt>
                <c:pt idx="4">
                  <c:v>-6.2217082857142861E-4</c:v>
                </c:pt>
                <c:pt idx="5">
                  <c:v>-6.2217091428571432E-4</c:v>
                </c:pt>
                <c:pt idx="6">
                  <c:v>-6.2217114285714292E-4</c:v>
                </c:pt>
                <c:pt idx="7">
                  <c:v>-6.2217305714285724E-4</c:v>
                </c:pt>
                <c:pt idx="8">
                  <c:v>-6.2219222857142864E-4</c:v>
                </c:pt>
                <c:pt idx="9">
                  <c:v>-6.2238277142857151E-4</c:v>
                </c:pt>
                <c:pt idx="10">
                  <c:v>-6.241672857142858E-4</c:v>
                </c:pt>
                <c:pt idx="11">
                  <c:v>-6.3489737142857143E-4</c:v>
                </c:pt>
                <c:pt idx="12">
                  <c:v>-6.4874699999999997E-4</c:v>
                </c:pt>
                <c:pt idx="13">
                  <c:v>-6.6470451428571429E-4</c:v>
                </c:pt>
                <c:pt idx="14">
                  <c:v>-6.8470391428571435E-4</c:v>
                </c:pt>
                <c:pt idx="15">
                  <c:v>-7.0731608571428576E-4</c:v>
                </c:pt>
                <c:pt idx="16">
                  <c:v>-7.3649559999999998E-4</c:v>
                </c:pt>
                <c:pt idx="17">
                  <c:v>-7.7964925714285723E-4</c:v>
                </c:pt>
                <c:pt idx="18">
                  <c:v>-8.3844428571428571E-4</c:v>
                </c:pt>
                <c:pt idx="19">
                  <c:v>-9.0886000000000005E-4</c:v>
                </c:pt>
                <c:pt idx="20">
                  <c:v>-9.9127794285714288E-4</c:v>
                </c:pt>
                <c:pt idx="21">
                  <c:v>-1.0927976285714286E-3</c:v>
                </c:pt>
                <c:pt idx="22">
                  <c:v>-1.2470880857142859E-3</c:v>
                </c:pt>
                <c:pt idx="23">
                  <c:v>-1.4947720285714288E-3</c:v>
                </c:pt>
                <c:pt idx="24">
                  <c:v>-1.9359241142857142E-3</c:v>
                </c:pt>
                <c:pt idx="25">
                  <c:v>-2.8654377142857141E-3</c:v>
                </c:pt>
                <c:pt idx="26">
                  <c:v>-4.7087302857142859E-3</c:v>
                </c:pt>
                <c:pt idx="27">
                  <c:v>-8.1325860000000007E-3</c:v>
                </c:pt>
                <c:pt idx="28">
                  <c:v>-1.4301890857142858E-2</c:v>
                </c:pt>
                <c:pt idx="29">
                  <c:v>-2.0572484000000002E-2</c:v>
                </c:pt>
                <c:pt idx="30">
                  <c:v>-2.3518056857142859E-2</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-6.2312237142857143E-4</c:v>
                </c:pt>
                <c:pt idx="1">
                  <c:v>-6.2311097142857144E-4</c:v>
                </c:pt>
                <c:pt idx="2">
                  <c:v>-6.2311840000000012E-4</c:v>
                </c:pt>
                <c:pt idx="3">
                  <c:v>-6.2317011428571439E-4</c:v>
                </c:pt>
                <c:pt idx="4">
                  <c:v>-6.2367177142857153E-4</c:v>
                </c:pt>
                <c:pt idx="5">
                  <c:v>-6.2789734285714294E-4</c:v>
                </c:pt>
                <c:pt idx="6">
                  <c:v>-6.4159802857142859E-4</c:v>
                </c:pt>
                <c:pt idx="7">
                  <c:v>-6.5623828571428574E-4</c:v>
                </c:pt>
                <c:pt idx="8">
                  <c:v>-6.7388657142857151E-4</c:v>
                </c:pt>
                <c:pt idx="9">
                  <c:v>-6.9584814285714289E-4</c:v>
                </c:pt>
                <c:pt idx="10">
                  <c:v>-7.1980254285714288E-4</c:v>
                </c:pt>
                <c:pt idx="11">
                  <c:v>-7.5238042857142854E-4</c:v>
                </c:pt>
                <c:pt idx="12">
                  <c:v>-7.9162271428571431E-4</c:v>
                </c:pt>
                <c:pt idx="13">
                  <c:v>-8.3435134285714284E-4</c:v>
                </c:pt>
                <c:pt idx="14">
                  <c:v>-8.8610754285714283E-4</c:v>
                </c:pt>
                <c:pt idx="15">
                  <c:v>-9.4997799999999998E-4</c:v>
                </c:pt>
                <c:pt idx="16">
                  <c:v>-1.0555970285714286E-3</c:v>
                </c:pt>
                <c:pt idx="17">
                  <c:v>-1.240269E-3</c:v>
                </c:pt>
                <c:pt idx="18">
                  <c:v>-1.5493837142857142E-3</c:v>
                </c:pt>
                <c:pt idx="19">
                  <c:v>-2.1293292000000002E-3</c:v>
                </c:pt>
                <c:pt idx="20">
                  <c:v>-3.3221765714285716E-3</c:v>
                </c:pt>
                <c:pt idx="21">
                  <c:v>-5.6721531428571429E-3</c:v>
                </c:pt>
                <c:pt idx="22">
                  <c:v>-1.0032045714285715E-2</c:v>
                </c:pt>
                <c:pt idx="23">
                  <c:v>-1.7054402857142856E-2</c:v>
                </c:pt>
                <c:pt idx="24">
                  <c:v>-2.1908498571428573E-2</c:v>
                </c:pt>
                <c:pt idx="25">
                  <c:v>-2.4215067428571428E-2</c:v>
                </c:pt>
                <c:pt idx="26">
                  <c:v>-2.5915531714285719E-2</c:v>
                </c:pt>
                <c:pt idx="27">
                  <c:v>-2.5940484571428574E-2</c:v>
                </c:pt>
                <c:pt idx="28">
                  <c:v>-2.5945272857142859E-2</c:v>
                </c:pt>
                <c:pt idx="29">
                  <c:v>-2.594922828571429E-2</c:v>
                </c:pt>
                <c:pt idx="30">
                  <c:v>-2.595281942857143E-2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-6.8221225714285721E-4</c:v>
                </c:pt>
                <c:pt idx="1">
                  <c:v>-7.1116868571428579E-4</c:v>
                </c:pt>
                <c:pt idx="2">
                  <c:v>-7.4067305714285725E-4</c:v>
                </c:pt>
                <c:pt idx="3">
                  <c:v>-7.7760822857142866E-4</c:v>
                </c:pt>
                <c:pt idx="4">
                  <c:v>-8.190924571428572E-4</c:v>
                </c:pt>
                <c:pt idx="5">
                  <c:v>-8.6683934285714296E-4</c:v>
                </c:pt>
                <c:pt idx="6">
                  <c:v>-9.2476508571428574E-4</c:v>
                </c:pt>
                <c:pt idx="7">
                  <c:v>-1.0029450000000001E-3</c:v>
                </c:pt>
                <c:pt idx="8">
                  <c:v>-1.1283940285714287E-3</c:v>
                </c:pt>
                <c:pt idx="9">
                  <c:v>-1.3335056285714287E-3</c:v>
                </c:pt>
                <c:pt idx="10">
                  <c:v>-1.7015873428571429E-3</c:v>
                </c:pt>
                <c:pt idx="11">
                  <c:v>-2.4700689428571432E-3</c:v>
                </c:pt>
                <c:pt idx="12">
                  <c:v>-3.9745942857142861E-3</c:v>
                </c:pt>
                <c:pt idx="13">
                  <c:v>-6.7902885714285714E-3</c:v>
                </c:pt>
                <c:pt idx="14">
                  <c:v>-1.2002249428571428E-2</c:v>
                </c:pt>
                <c:pt idx="15">
                  <c:v>-1.7315724571428572E-2</c:v>
                </c:pt>
                <c:pt idx="16">
                  <c:v>-2.0362101428571429E-2</c:v>
                </c:pt>
                <c:pt idx="17">
                  <c:v>-2.3023530571428572E-2</c:v>
                </c:pt>
                <c:pt idx="18">
                  <c:v>-2.4109917714285715E-2</c:v>
                </c:pt>
                <c:pt idx="19">
                  <c:v>-2.4720074000000002E-2</c:v>
                </c:pt>
                <c:pt idx="20">
                  <c:v>-2.5134670571428576E-2</c:v>
                </c:pt>
                <c:pt idx="21">
                  <c:v>-2.5445166000000005E-2</c:v>
                </c:pt>
                <c:pt idx="22">
                  <c:v>-2.5669595428571428E-2</c:v>
                </c:pt>
                <c:pt idx="23">
                  <c:v>-2.5825078857142861E-2</c:v>
                </c:pt>
                <c:pt idx="24">
                  <c:v>-2.5863216285714287E-2</c:v>
                </c:pt>
                <c:pt idx="25">
                  <c:v>-2.5912107428571432E-2</c:v>
                </c:pt>
                <c:pt idx="26">
                  <c:v>-2.5958522285714283E-2</c:v>
                </c:pt>
                <c:pt idx="27">
                  <c:v>-2.5996258285714287E-2</c:v>
                </c:pt>
                <c:pt idx="28">
                  <c:v>-2.5998281142857144E-2</c:v>
                </c:pt>
                <c:pt idx="29">
                  <c:v>-2.5999255142857142E-2</c:v>
                </c:pt>
                <c:pt idx="30">
                  <c:v>-2.5999937428571429E-2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-7.2659245714285707E-4</c:v>
                </c:pt>
                <c:pt idx="1">
                  <c:v>-7.6944214285714285E-4</c:v>
                </c:pt>
                <c:pt idx="2">
                  <c:v>-8.1148822857142868E-4</c:v>
                </c:pt>
                <c:pt idx="3">
                  <c:v>-8.5763660000000004E-4</c:v>
                </c:pt>
                <c:pt idx="4">
                  <c:v>-9.1411340000000006E-4</c:v>
                </c:pt>
                <c:pt idx="5">
                  <c:v>-9.859250571428572E-4</c:v>
                </c:pt>
                <c:pt idx="6">
                  <c:v>-1.1008914E-3</c:v>
                </c:pt>
                <c:pt idx="7">
                  <c:v>-1.2869660000000001E-3</c:v>
                </c:pt>
                <c:pt idx="8">
                  <c:v>-1.6095891714285717E-3</c:v>
                </c:pt>
                <c:pt idx="9">
                  <c:v>-2.2664522285714287E-3</c:v>
                </c:pt>
                <c:pt idx="10">
                  <c:v>-3.5457385714285717E-3</c:v>
                </c:pt>
                <c:pt idx="11">
                  <c:v>-5.9282531428571442E-3</c:v>
                </c:pt>
                <c:pt idx="12">
                  <c:v>-1.0308408000000002E-2</c:v>
                </c:pt>
                <c:pt idx="13">
                  <c:v>-1.5675806E-2</c:v>
                </c:pt>
                <c:pt idx="14">
                  <c:v>-1.8852515428571429E-2</c:v>
                </c:pt>
                <c:pt idx="15">
                  <c:v>-2.1389056571428575E-2</c:v>
                </c:pt>
                <c:pt idx="16">
                  <c:v>-2.2954753142857144E-2</c:v>
                </c:pt>
                <c:pt idx="17">
                  <c:v>-2.3821136E-2</c:v>
                </c:pt>
                <c:pt idx="18">
                  <c:v>-2.4494131714285713E-2</c:v>
                </c:pt>
                <c:pt idx="19">
                  <c:v>-2.4967701714285716E-2</c:v>
                </c:pt>
                <c:pt idx="20">
                  <c:v>-2.5325042857142856E-2</c:v>
                </c:pt>
                <c:pt idx="21">
                  <c:v>-2.5585562571428574E-2</c:v>
                </c:pt>
                <c:pt idx="22">
                  <c:v>-2.5768378857142858E-2</c:v>
                </c:pt>
                <c:pt idx="23">
                  <c:v>-2.5890898857142859E-2</c:v>
                </c:pt>
                <c:pt idx="24">
                  <c:v>-2.5892521714285716E-2</c:v>
                </c:pt>
                <c:pt idx="25">
                  <c:v>-2.5934564857142857E-2</c:v>
                </c:pt>
                <c:pt idx="26">
                  <c:v>-2.5979272000000001E-2</c:v>
                </c:pt>
                <c:pt idx="27">
                  <c:v>-2.6014335142857146E-2</c:v>
                </c:pt>
                <c:pt idx="28">
                  <c:v>-2.6016274000000002E-2</c:v>
                </c:pt>
                <c:pt idx="29">
                  <c:v>-2.6017058285714288E-2</c:v>
                </c:pt>
                <c:pt idx="30">
                  <c:v>-2.6017475428571427E-2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449085440"/>
        <c:axId val="44908975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5="http://schemas.microsoft.com/office/drawing/2012/chart" xmlns:c16r2="http://schemas.microsoft.com/office/drawing/2015/06/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908544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9089752"/>
        <c:crossesAt val="-8.0000000000000019E-3"/>
        <c:crossBetween val="midCat"/>
      </c:valAx>
      <c:valAx>
        <c:axId val="4490897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90854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16141.122479483018</c:v>
                </c:pt>
                <c:pt idx="1">
                  <c:v>16141.423217878499</c:v>
                </c:pt>
                <c:pt idx="2">
                  <c:v>16141.362176010578</c:v>
                </c:pt>
                <c:pt idx="3">
                  <c:v>16141.345054593947</c:v>
                </c:pt>
                <c:pt idx="4">
                  <c:v>16141.339843735226</c:v>
                </c:pt>
                <c:pt idx="5">
                  <c:v>16141.337610511091</c:v>
                </c:pt>
                <c:pt idx="6">
                  <c:v>16141.336866103184</c:v>
                </c:pt>
                <c:pt idx="7">
                  <c:v>16141.336866103184</c:v>
                </c:pt>
                <c:pt idx="8">
                  <c:v>16141.336866103184</c:v>
                </c:pt>
                <c:pt idx="9">
                  <c:v>16141.336866103184</c:v>
                </c:pt>
                <c:pt idx="10">
                  <c:v>16141.336866103184</c:v>
                </c:pt>
                <c:pt idx="11">
                  <c:v>16141.336866103184</c:v>
                </c:pt>
                <c:pt idx="12">
                  <c:v>16141.335377287573</c:v>
                </c:pt>
                <c:pt idx="13">
                  <c:v>16141.319000333984</c:v>
                </c:pt>
                <c:pt idx="14">
                  <c:v>16141.156721408246</c:v>
                </c:pt>
                <c:pt idx="15">
                  <c:v>16139.537832805916</c:v>
                </c:pt>
                <c:pt idx="16">
                  <c:v>16123.712176074619</c:v>
                </c:pt>
                <c:pt idx="17">
                  <c:v>15996.345886153456</c:v>
                </c:pt>
                <c:pt idx="18">
                  <c:v>15649.886113543052</c:v>
                </c:pt>
                <c:pt idx="19">
                  <c:v>15288.888795699469</c:v>
                </c:pt>
                <c:pt idx="20">
                  <c:v>14815.636337930273</c:v>
                </c:pt>
                <c:pt idx="21">
                  <c:v>14127.356422869396</c:v>
                </c:pt>
                <c:pt idx="22">
                  <c:v>13342.540448673799</c:v>
                </c:pt>
                <c:pt idx="23">
                  <c:v>12471.684821282537</c:v>
                </c:pt>
                <c:pt idx="24">
                  <c:v>11635.132355281892</c:v>
                </c:pt>
                <c:pt idx="25">
                  <c:v>10880.613771070579</c:v>
                </c:pt>
                <c:pt idx="26">
                  <c:v>10123.51790974693</c:v>
                </c:pt>
                <c:pt idx="27">
                  <c:v>9360.5786078524925</c:v>
                </c:pt>
                <c:pt idx="28">
                  <c:v>8413.6037202744083</c:v>
                </c:pt>
                <c:pt idx="29">
                  <c:v>7247.1586944918636</c:v>
                </c:pt>
                <c:pt idx="30">
                  <c:v>5877.2661919817056</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16111.410681055107</c:v>
                </c:pt>
                <c:pt idx="1">
                  <c:v>16111.713280001413</c:v>
                </c:pt>
                <c:pt idx="2">
                  <c:v>16111.653204306302</c:v>
                </c:pt>
                <c:pt idx="3">
                  <c:v>16111.635404186381</c:v>
                </c:pt>
                <c:pt idx="4">
                  <c:v>16111.630212492148</c:v>
                </c:pt>
                <c:pt idx="5">
                  <c:v>16111.628729151553</c:v>
                </c:pt>
                <c:pt idx="6">
                  <c:v>16111.627987481355</c:v>
                </c:pt>
                <c:pt idx="7">
                  <c:v>16111.627987481355</c:v>
                </c:pt>
                <c:pt idx="8">
                  <c:v>16111.627245811231</c:v>
                </c:pt>
                <c:pt idx="9">
                  <c:v>16111.627245811231</c:v>
                </c:pt>
                <c:pt idx="10">
                  <c:v>16111.62650414117</c:v>
                </c:pt>
                <c:pt idx="11">
                  <c:v>16111.621312452671</c:v>
                </c:pt>
                <c:pt idx="12">
                  <c:v>16111.561979107446</c:v>
                </c:pt>
                <c:pt idx="13">
                  <c:v>16110.971636128088</c:v>
                </c:pt>
                <c:pt idx="14">
                  <c:v>16105.118754314157</c:v>
                </c:pt>
                <c:pt idx="15">
                  <c:v>16051.167821059013</c:v>
                </c:pt>
                <c:pt idx="16">
                  <c:v>15760.652073113393</c:v>
                </c:pt>
                <c:pt idx="17">
                  <c:v>15417.873941260101</c:v>
                </c:pt>
                <c:pt idx="18">
                  <c:v>15003.045403887769</c:v>
                </c:pt>
                <c:pt idx="19">
                  <c:v>14388.05564461305</c:v>
                </c:pt>
                <c:pt idx="20">
                  <c:v>13635.605886265101</c:v>
                </c:pt>
                <c:pt idx="21">
                  <c:v>12815.049290890231</c:v>
                </c:pt>
                <c:pt idx="22">
                  <c:v>11976.142975711562</c:v>
                </c:pt>
                <c:pt idx="23">
                  <c:v>11203.370332303808</c:v>
                </c:pt>
                <c:pt idx="24">
                  <c:v>10465.017852273953</c:v>
                </c:pt>
                <c:pt idx="25">
                  <c:v>9716.6146559418939</c:v>
                </c:pt>
                <c:pt idx="26">
                  <c:v>8878.8856825964267</c:v>
                </c:pt>
                <c:pt idx="27">
                  <c:v>7809.5362112798175</c:v>
                </c:pt>
                <c:pt idx="28">
                  <c:v>6518.5070845742393</c:v>
                </c:pt>
                <c:pt idx="29">
                  <c:v>5010.6583144623582</c:v>
                </c:pt>
                <c:pt idx="30">
                  <c:v>3357.700324478566</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16092.223336519288</c:v>
                </c:pt>
                <c:pt idx="1">
                  <c:v>16092.526694972959</c:v>
                </c:pt>
                <c:pt idx="2">
                  <c:v>16092.466762274309</c:v>
                </c:pt>
                <c:pt idx="3">
                  <c:v>16092.449004523403</c:v>
                </c:pt>
                <c:pt idx="4">
                  <c:v>16092.443825186769</c:v>
                </c:pt>
                <c:pt idx="5">
                  <c:v>16092.441605472093</c:v>
                </c:pt>
                <c:pt idx="6">
                  <c:v>16092.441605472093</c:v>
                </c:pt>
                <c:pt idx="7">
                  <c:v>16092.440865567334</c:v>
                </c:pt>
                <c:pt idx="8">
                  <c:v>16092.440125662646</c:v>
                </c:pt>
                <c:pt idx="9">
                  <c:v>16092.434946331727</c:v>
                </c:pt>
                <c:pt idx="10">
                  <c:v>16092.379453709695</c:v>
                </c:pt>
                <c:pt idx="11">
                  <c:v>16091.827507930855</c:v>
                </c:pt>
                <c:pt idx="12">
                  <c:v>16086.350056350484</c:v>
                </c:pt>
                <c:pt idx="13">
                  <c:v>16035.603070625559</c:v>
                </c:pt>
                <c:pt idx="14">
                  <c:v>15752.63573101051</c:v>
                </c:pt>
                <c:pt idx="15">
                  <c:v>15415.017186422874</c:v>
                </c:pt>
                <c:pt idx="16">
                  <c:v>15038.50049478815</c:v>
                </c:pt>
                <c:pt idx="17">
                  <c:v>14564.612344740712</c:v>
                </c:pt>
                <c:pt idx="18">
                  <c:v>13953.526941310351</c:v>
                </c:pt>
                <c:pt idx="19">
                  <c:v>13135.241876472131</c:v>
                </c:pt>
                <c:pt idx="20">
                  <c:v>12230.394066791228</c:v>
                </c:pt>
                <c:pt idx="21">
                  <c:v>11378.84448484476</c:v>
                </c:pt>
                <c:pt idx="22">
                  <c:v>10587.047551935821</c:v>
                </c:pt>
                <c:pt idx="23">
                  <c:v>9801.8909023777596</c:v>
                </c:pt>
                <c:pt idx="24">
                  <c:v>8946.1920035306266</c:v>
                </c:pt>
                <c:pt idx="25">
                  <c:v>7866.6911418158297</c:v>
                </c:pt>
                <c:pt idx="26">
                  <c:v>6570.354530323275</c:v>
                </c:pt>
                <c:pt idx="27">
                  <c:v>5061.6914616756339</c:v>
                </c:pt>
                <c:pt idx="28">
                  <c:v>3402.9082225929769</c:v>
                </c:pt>
                <c:pt idx="29">
                  <c:v>2061.7623897781828</c:v>
                </c:pt>
                <c:pt idx="30">
                  <c:v>1191.8509946524368</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16072.533968152502</c:v>
                </c:pt>
                <c:pt idx="1">
                  <c:v>16072.838799024626</c:v>
                </c:pt>
                <c:pt idx="2">
                  <c:v>16072.779012881552</c:v>
                </c:pt>
                <c:pt idx="3">
                  <c:v>16072.761298554202</c:v>
                </c:pt>
                <c:pt idx="4">
                  <c:v>16072.75613188275</c:v>
                </c:pt>
                <c:pt idx="5">
                  <c:v>16072.753917596001</c:v>
                </c:pt>
                <c:pt idx="6">
                  <c:v>16072.748012834318</c:v>
                </c:pt>
                <c:pt idx="7">
                  <c:v>16072.698560625551</c:v>
                </c:pt>
                <c:pt idx="8">
                  <c:v>16072.20331722929</c:v>
                </c:pt>
                <c:pt idx="9">
                  <c:v>16067.282802585838</c:v>
                </c:pt>
                <c:pt idx="10">
                  <c:v>16021.345925806061</c:v>
                </c:pt>
                <c:pt idx="11">
                  <c:v>15750.577101144985</c:v>
                </c:pt>
                <c:pt idx="12">
                  <c:v>15414.329468960936</c:v>
                </c:pt>
                <c:pt idx="13">
                  <c:v>15044.278751056645</c:v>
                </c:pt>
                <c:pt idx="14">
                  <c:v>14604.852975657423</c:v>
                </c:pt>
                <c:pt idx="15">
                  <c:v>14137.950771897777</c:v>
                </c:pt>
                <c:pt idx="16">
                  <c:v>13577.813635274942</c:v>
                </c:pt>
                <c:pt idx="17">
                  <c:v>12826.28041825694</c:v>
                </c:pt>
                <c:pt idx="18">
                  <c:v>11926.850919475015</c:v>
                </c:pt>
                <c:pt idx="19">
                  <c:v>11002.794709856304</c:v>
                </c:pt>
                <c:pt idx="20">
                  <c:v>10087.98800786102</c:v>
                </c:pt>
                <c:pt idx="21">
                  <c:v>9150.8251285945844</c:v>
                </c:pt>
                <c:pt idx="22">
                  <c:v>8018.6797665317845</c:v>
                </c:pt>
                <c:pt idx="23">
                  <c:v>6689.9833612468101</c:v>
                </c:pt>
                <c:pt idx="24">
                  <c:v>5165.4917288375409</c:v>
                </c:pt>
                <c:pt idx="25">
                  <c:v>3489.8682145993753</c:v>
                </c:pt>
                <c:pt idx="26">
                  <c:v>2123.7147581671393</c:v>
                </c:pt>
                <c:pt idx="27">
                  <c:v>1229.6211807658719</c:v>
                </c:pt>
                <c:pt idx="28">
                  <c:v>699.20824455219883</c:v>
                </c:pt>
                <c:pt idx="29">
                  <c:v>486.08617218999899</c:v>
                </c:pt>
                <c:pt idx="30">
                  <c:v>425.20519704257879</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16048.212130586779</c:v>
                </c:pt>
                <c:pt idx="1">
                  <c:v>16048.505737386653</c:v>
                </c:pt>
                <c:pt idx="2">
                  <c:v>16048.314413440525</c:v>
                </c:pt>
                <c:pt idx="3">
                  <c:v>16046.982630837694</c:v>
                </c:pt>
                <c:pt idx="4">
                  <c:v>16034.075066591802</c:v>
                </c:pt>
                <c:pt idx="5">
                  <c:v>15926.170278881345</c:v>
                </c:pt>
                <c:pt idx="6">
                  <c:v>15586.082803692263</c:v>
                </c:pt>
                <c:pt idx="7">
                  <c:v>15238.367248133734</c:v>
                </c:pt>
                <c:pt idx="8">
                  <c:v>14839.292581244064</c:v>
                </c:pt>
                <c:pt idx="9">
                  <c:v>14370.951625939731</c:v>
                </c:pt>
                <c:pt idx="10">
                  <c:v>13892.69890643422</c:v>
                </c:pt>
                <c:pt idx="11">
                  <c:v>13291.14849383756</c:v>
                </c:pt>
                <c:pt idx="12">
                  <c:v>12632.280276372638</c:v>
                </c:pt>
                <c:pt idx="13">
                  <c:v>11985.35854902099</c:v>
                </c:pt>
                <c:pt idx="14">
                  <c:v>11285.311902160602</c:v>
                </c:pt>
                <c:pt idx="15">
                  <c:v>10526.559562431972</c:v>
                </c:pt>
                <c:pt idx="16">
                  <c:v>9473.3120019609214</c:v>
                </c:pt>
                <c:pt idx="17">
                  <c:v>8062.7670287655337</c:v>
                </c:pt>
                <c:pt idx="18">
                  <c:v>6454.1791086336079</c:v>
                </c:pt>
                <c:pt idx="19">
                  <c:v>4696.31468915187</c:v>
                </c:pt>
                <c:pt idx="20">
                  <c:v>3010.0748063790879</c:v>
                </c:pt>
                <c:pt idx="21">
                  <c:v>1762.9989438125185</c:v>
                </c:pt>
                <c:pt idx="22">
                  <c:v>996.80566504595549</c:v>
                </c:pt>
                <c:pt idx="23">
                  <c:v>586.35884725871381</c:v>
                </c:pt>
                <c:pt idx="24">
                  <c:v>456.44387575884605</c:v>
                </c:pt>
                <c:pt idx="25">
                  <c:v>412.96601917370549</c:v>
                </c:pt>
                <c:pt idx="26">
                  <c:v>385.86898815151778</c:v>
                </c:pt>
                <c:pt idx="27">
                  <c:v>385.49781028432375</c:v>
                </c:pt>
                <c:pt idx="28">
                  <c:v>385.426665391455</c:v>
                </c:pt>
                <c:pt idx="29">
                  <c:v>385.36791498748556</c:v>
                </c:pt>
                <c:pt idx="30">
                  <c:v>385.3145908683436</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14658.194565252397</c:v>
                </c:pt>
                <c:pt idx="1">
                  <c:v>14061.361531907398</c:v>
                </c:pt>
                <c:pt idx="2">
                  <c:v>13501.233646293213</c:v>
                </c:pt>
                <c:pt idx="3">
                  <c:v>12859.946220439759</c:v>
                </c:pt>
                <c:pt idx="4">
                  <c:v>12208.633973851756</c:v>
                </c:pt>
                <c:pt idx="5">
                  <c:v>11536.163053051483</c:v>
                </c:pt>
                <c:pt idx="6">
                  <c:v>10813.5570367863</c:v>
                </c:pt>
                <c:pt idx="7">
                  <c:v>9970.6364755794184</c:v>
                </c:pt>
                <c:pt idx="8">
                  <c:v>8862.152534305962</c:v>
                </c:pt>
                <c:pt idx="9">
                  <c:v>7499.0309645058651</c:v>
                </c:pt>
                <c:pt idx="10">
                  <c:v>5876.8655291058731</c:v>
                </c:pt>
                <c:pt idx="11">
                  <c:v>4048.4699947010149</c:v>
                </c:pt>
                <c:pt idx="12">
                  <c:v>2515.9800676870523</c:v>
                </c:pt>
                <c:pt idx="13">
                  <c:v>1472.6914614611371</c:v>
                </c:pt>
                <c:pt idx="14">
                  <c:v>833.17715229238104</c:v>
                </c:pt>
                <c:pt idx="15">
                  <c:v>577.50976338005967</c:v>
                </c:pt>
                <c:pt idx="16">
                  <c:v>491.10844649699709</c:v>
                </c:pt>
                <c:pt idx="17">
                  <c:v>434.33825098960557</c:v>
                </c:pt>
                <c:pt idx="18">
                  <c:v>414.76707297407143</c:v>
                </c:pt>
                <c:pt idx="19">
                  <c:v>404.5295333662836</c:v>
                </c:pt>
                <c:pt idx="20">
                  <c:v>397.85681581072066</c:v>
                </c:pt>
                <c:pt idx="21">
                  <c:v>393.00195565633163</c:v>
                </c:pt>
                <c:pt idx="22">
                  <c:v>389.56593717365507</c:v>
                </c:pt>
                <c:pt idx="23">
                  <c:v>387.22050202894684</c:v>
                </c:pt>
                <c:pt idx="24">
                  <c:v>386.64951371587779</c:v>
                </c:pt>
                <c:pt idx="25">
                  <c:v>385.91998074898817</c:v>
                </c:pt>
                <c:pt idx="26">
                  <c:v>385.22994066974627</c:v>
                </c:pt>
                <c:pt idx="27">
                  <c:v>384.67074338522389</c:v>
                </c:pt>
                <c:pt idx="28">
                  <c:v>384.6408131772755</c:v>
                </c:pt>
                <c:pt idx="29">
                  <c:v>384.62640352784615</c:v>
                </c:pt>
                <c:pt idx="30">
                  <c:v>384.6163102304609</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13762.873398552052</c:v>
                </c:pt>
                <c:pt idx="1">
                  <c:v>12996.428767038085</c:v>
                </c:pt>
                <c:pt idx="2">
                  <c:v>12323.037658358075</c:v>
                </c:pt>
                <c:pt idx="3">
                  <c:v>11659.950146717152</c:v>
                </c:pt>
                <c:pt idx="4">
                  <c:v>10939.561765531496</c:v>
                </c:pt>
                <c:pt idx="5">
                  <c:v>10142.758749817465</c:v>
                </c:pt>
                <c:pt idx="6">
                  <c:v>9083.5481138284849</c:v>
                </c:pt>
                <c:pt idx="7">
                  <c:v>7770.213043701232</c:v>
                </c:pt>
                <c:pt idx="8">
                  <c:v>6212.7654543827603</c:v>
                </c:pt>
                <c:pt idx="9">
                  <c:v>4412.1821205572542</c:v>
                </c:pt>
                <c:pt idx="10">
                  <c:v>2820.2868876401731</c:v>
                </c:pt>
                <c:pt idx="11">
                  <c:v>1686.8375487724975</c:v>
                </c:pt>
                <c:pt idx="12">
                  <c:v>970.08189819417305</c:v>
                </c:pt>
                <c:pt idx="13">
                  <c:v>637.92573090021654</c:v>
                </c:pt>
                <c:pt idx="14">
                  <c:v>530.43319539443348</c:v>
                </c:pt>
                <c:pt idx="15">
                  <c:v>467.52880224544191</c:v>
                </c:pt>
                <c:pt idx="16">
                  <c:v>435.63962277292933</c:v>
                </c:pt>
                <c:pt idx="17">
                  <c:v>419.79526081375803</c:v>
                </c:pt>
                <c:pt idx="18">
                  <c:v>408.26105275524833</c:v>
                </c:pt>
                <c:pt idx="19">
                  <c:v>400.51744106980908</c:v>
                </c:pt>
                <c:pt idx="20">
                  <c:v>394.86606425147778</c:v>
                </c:pt>
                <c:pt idx="21">
                  <c:v>390.84542198681265</c:v>
                </c:pt>
                <c:pt idx="22">
                  <c:v>388.07253088907657</c:v>
                </c:pt>
                <c:pt idx="23">
                  <c:v>386.23610772173595</c:v>
                </c:pt>
                <c:pt idx="24">
                  <c:v>386.21189972712028</c:v>
                </c:pt>
                <c:pt idx="25">
                  <c:v>385.58580238703394</c:v>
                </c:pt>
                <c:pt idx="26">
                  <c:v>384.92225648201378</c:v>
                </c:pt>
                <c:pt idx="27">
                  <c:v>384.4034431433754</c:v>
                </c:pt>
                <c:pt idx="28">
                  <c:v>384.37479556065557</c:v>
                </c:pt>
                <c:pt idx="29">
                  <c:v>384.3632085603968</c:v>
                </c:pt>
                <c:pt idx="30">
                  <c:v>384.35704599602968</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602049936"/>
        <c:axId val="60202367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02049936"/>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2023672"/>
        <c:crosses val="autoZero"/>
        <c:crossBetween val="midCat"/>
      </c:valAx>
      <c:valAx>
        <c:axId val="602023672"/>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2049936"/>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18868.788525551143</c:v>
                </c:pt>
                <c:pt idx="1">
                  <c:v>18871.364508460858</c:v>
                </c:pt>
                <c:pt idx="2">
                  <c:v>18871.300405566886</c:v>
                </c:pt>
                <c:pt idx="3">
                  <c:v>18871.290027044066</c:v>
                </c:pt>
                <c:pt idx="4">
                  <c:v>18871.288195541227</c:v>
                </c:pt>
                <c:pt idx="5">
                  <c:v>18871.285753537995</c:v>
                </c:pt>
                <c:pt idx="6">
                  <c:v>18871.284532536614</c:v>
                </c:pt>
                <c:pt idx="7">
                  <c:v>18871.285753537988</c:v>
                </c:pt>
                <c:pt idx="8">
                  <c:v>18871.285753537988</c:v>
                </c:pt>
                <c:pt idx="9">
                  <c:v>18871.285753537988</c:v>
                </c:pt>
                <c:pt idx="10">
                  <c:v>18871.285753537988</c:v>
                </c:pt>
                <c:pt idx="11">
                  <c:v>18871.286974539533</c:v>
                </c:pt>
                <c:pt idx="12">
                  <c:v>18871.288195541223</c:v>
                </c:pt>
                <c:pt idx="13">
                  <c:v>18871.296132056101</c:v>
                </c:pt>
                <c:pt idx="14">
                  <c:v>18871.380381625688</c:v>
                </c:pt>
                <c:pt idx="15">
                  <c:v>18872.226582066036</c:v>
                </c:pt>
                <c:pt idx="16">
                  <c:v>18880.533875038498</c:v>
                </c:pt>
                <c:pt idx="17">
                  <c:v>18948.720031827786</c:v>
                </c:pt>
                <c:pt idx="18">
                  <c:v>19118.564685664354</c:v>
                </c:pt>
                <c:pt idx="19">
                  <c:v>19295.884784293998</c:v>
                </c:pt>
                <c:pt idx="20">
                  <c:v>19283.18176642276</c:v>
                </c:pt>
                <c:pt idx="21">
                  <c:v>18651.906294101758</c:v>
                </c:pt>
                <c:pt idx="22">
                  <c:v>17649.447935858225</c:v>
                </c:pt>
                <c:pt idx="23">
                  <c:v>16815.420682429347</c:v>
                </c:pt>
                <c:pt idx="24">
                  <c:v>16179.214664618288</c:v>
                </c:pt>
                <c:pt idx="25">
                  <c:v>15717.836983127349</c:v>
                </c:pt>
                <c:pt idx="26">
                  <c:v>15355.245356200901</c:v>
                </c:pt>
                <c:pt idx="27">
                  <c:v>15008.202411423625</c:v>
                </c:pt>
                <c:pt idx="28">
                  <c:v>14583.043495343869</c:v>
                </c:pt>
                <c:pt idx="29">
                  <c:v>14012.345997811763</c:v>
                </c:pt>
                <c:pt idx="30">
                  <c:v>13392.356125248529</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18779.802809280354</c:v>
                </c:pt>
                <c:pt idx="1">
                  <c:v>18782.392651005717</c:v>
                </c:pt>
                <c:pt idx="2">
                  <c:v>18782.332779683817</c:v>
                </c:pt>
                <c:pt idx="3">
                  <c:v>18782.319474997461</c:v>
                </c:pt>
                <c:pt idx="4">
                  <c:v>18782.318265481463</c:v>
                </c:pt>
                <c:pt idx="5">
                  <c:v>18782.31826548147</c:v>
                </c:pt>
                <c:pt idx="6">
                  <c:v>18782.317660723515</c:v>
                </c:pt>
                <c:pt idx="7">
                  <c:v>18782.318265481459</c:v>
                </c:pt>
                <c:pt idx="8">
                  <c:v>18782.31584644991</c:v>
                </c:pt>
                <c:pt idx="9">
                  <c:v>18782.31584644991</c:v>
                </c:pt>
                <c:pt idx="10">
                  <c:v>18782.315846449907</c:v>
                </c:pt>
                <c:pt idx="11">
                  <c:v>18782.321289271767</c:v>
                </c:pt>
                <c:pt idx="12">
                  <c:v>18782.349712948275</c:v>
                </c:pt>
                <c:pt idx="13">
                  <c:v>18782.642421344921</c:v>
                </c:pt>
                <c:pt idx="14">
                  <c:v>18785.556092929808</c:v>
                </c:pt>
                <c:pt idx="15">
                  <c:v>18812.624337337409</c:v>
                </c:pt>
                <c:pt idx="16">
                  <c:v>18945.60662208495</c:v>
                </c:pt>
                <c:pt idx="17">
                  <c:v>19112.275642088352</c:v>
                </c:pt>
                <c:pt idx="18">
                  <c:v>19181.062876400953</c:v>
                </c:pt>
                <c:pt idx="19">
                  <c:v>18753.707875957185</c:v>
                </c:pt>
                <c:pt idx="20">
                  <c:v>17835.205917847718</c:v>
                </c:pt>
                <c:pt idx="21">
                  <c:v>16961.469115224347</c:v>
                </c:pt>
                <c:pt idx="22">
                  <c:v>16327.621278305334</c:v>
                </c:pt>
                <c:pt idx="23">
                  <c:v>15851.283439924156</c:v>
                </c:pt>
                <c:pt idx="24">
                  <c:v>15487.425338994295</c:v>
                </c:pt>
                <c:pt idx="25">
                  <c:v>15155.550070689824</c:v>
                </c:pt>
                <c:pt idx="26">
                  <c:v>14780.926607842799</c:v>
                </c:pt>
                <c:pt idx="27">
                  <c:v>14269.699605699665</c:v>
                </c:pt>
                <c:pt idx="28">
                  <c:v>13639.283505835199</c:v>
                </c:pt>
                <c:pt idx="29">
                  <c:v>13128.624320851572</c:v>
                </c:pt>
                <c:pt idx="30">
                  <c:v>14021.161859170812</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18723.496222400907</c:v>
                </c:pt>
                <c:pt idx="1">
                  <c:v>18726.093399740123</c:v>
                </c:pt>
                <c:pt idx="2">
                  <c:v>18726.034487941026</c:v>
                </c:pt>
                <c:pt idx="3">
                  <c:v>18726.021262894224</c:v>
                </c:pt>
                <c:pt idx="4">
                  <c:v>18726.020060618161</c:v>
                </c:pt>
                <c:pt idx="5">
                  <c:v>18726.0170549287</c:v>
                </c:pt>
                <c:pt idx="6">
                  <c:v>18726.019459480198</c:v>
                </c:pt>
                <c:pt idx="7">
                  <c:v>18726.017656066506</c:v>
                </c:pt>
                <c:pt idx="8">
                  <c:v>18726.017054928692</c:v>
                </c:pt>
                <c:pt idx="9">
                  <c:v>18726.021262894217</c:v>
                </c:pt>
                <c:pt idx="10">
                  <c:v>18726.047111866774</c:v>
                </c:pt>
                <c:pt idx="11">
                  <c:v>18726.314021709637</c:v>
                </c:pt>
                <c:pt idx="12">
                  <c:v>18728.965498848247</c:v>
                </c:pt>
                <c:pt idx="13">
                  <c:v>18753.713302211381</c:v>
                </c:pt>
                <c:pt idx="14">
                  <c:v>18880.347491608816</c:v>
                </c:pt>
                <c:pt idx="15">
                  <c:v>19056.575793806016</c:v>
                </c:pt>
                <c:pt idx="16">
                  <c:v>19269.921900438017</c:v>
                </c:pt>
                <c:pt idx="17">
                  <c:v>19441.854141411004</c:v>
                </c:pt>
                <c:pt idx="18">
                  <c:v>19075.329194401118</c:v>
                </c:pt>
                <c:pt idx="19">
                  <c:v>18108.254456363815</c:v>
                </c:pt>
                <c:pt idx="20">
                  <c:v>17091.457757778491</c:v>
                </c:pt>
                <c:pt idx="21">
                  <c:v>16308.12781714172</c:v>
                </c:pt>
                <c:pt idx="22">
                  <c:v>15731.589949545645</c:v>
                </c:pt>
                <c:pt idx="23">
                  <c:v>15295.270833360655</c:v>
                </c:pt>
                <c:pt idx="24">
                  <c:v>14899.034563844589</c:v>
                </c:pt>
                <c:pt idx="25">
                  <c:v>14421.532749343662</c:v>
                </c:pt>
                <c:pt idx="26">
                  <c:v>13828.897813137615</c:v>
                </c:pt>
                <c:pt idx="27">
                  <c:v>13353.098971948728</c:v>
                </c:pt>
                <c:pt idx="28">
                  <c:v>14308.864276007014</c:v>
                </c:pt>
                <c:pt idx="29">
                  <c:v>28243.116748975397</c:v>
                </c:pt>
                <c:pt idx="30">
                  <c:v>-15374.647206756053</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18666.649941348311</c:v>
                </c:pt>
                <c:pt idx="1">
                  <c:v>18669.257660921885</c:v>
                </c:pt>
                <c:pt idx="2">
                  <c:v>18669.199703682465</c:v>
                </c:pt>
                <c:pt idx="3">
                  <c:v>18669.186558791618</c:v>
                </c:pt>
                <c:pt idx="4">
                  <c:v>18669.185363802473</c:v>
                </c:pt>
                <c:pt idx="5">
                  <c:v>18669.184766307942</c:v>
                </c:pt>
                <c:pt idx="6">
                  <c:v>18669.185363802462</c:v>
                </c:pt>
                <c:pt idx="7">
                  <c:v>18669.209861110783</c:v>
                </c:pt>
                <c:pt idx="8">
                  <c:v>18669.442289990799</c:v>
                </c:pt>
                <c:pt idx="9">
                  <c:v>18671.742393118806</c:v>
                </c:pt>
                <c:pt idx="10">
                  <c:v>18693.372167692403</c:v>
                </c:pt>
                <c:pt idx="11">
                  <c:v>18810.164445336726</c:v>
                </c:pt>
                <c:pt idx="12">
                  <c:v>18979.94755525967</c:v>
                </c:pt>
                <c:pt idx="13">
                  <c:v>19196.640767765603</c:v>
                </c:pt>
                <c:pt idx="14">
                  <c:v>19500.733963053262</c:v>
                </c:pt>
                <c:pt idx="15">
                  <c:v>19883.049267616963</c:v>
                </c:pt>
                <c:pt idx="16">
                  <c:v>20315.074028710202</c:v>
                </c:pt>
                <c:pt idx="17">
                  <c:v>20247.585157293637</c:v>
                </c:pt>
                <c:pt idx="18">
                  <c:v>19077.707317445413</c:v>
                </c:pt>
                <c:pt idx="19">
                  <c:v>17613.609542912749</c:v>
                </c:pt>
                <c:pt idx="20">
                  <c:v>16453.151765752249</c:v>
                </c:pt>
                <c:pt idx="21">
                  <c:v>15627.280606263477</c:v>
                </c:pt>
                <c:pt idx="22">
                  <c:v>15030.817685500569</c:v>
                </c:pt>
                <c:pt idx="23">
                  <c:v>14510.301173738246</c:v>
                </c:pt>
                <c:pt idx="24">
                  <c:v>14214.308561611075</c:v>
                </c:pt>
                <c:pt idx="25">
                  <c:v>15697.726726976471</c:v>
                </c:pt>
                <c:pt idx="26">
                  <c:v>36104.039877015442</c:v>
                </c:pt>
                <c:pt idx="27">
                  <c:v>-13587.837410266889</c:v>
                </c:pt>
                <c:pt idx="28">
                  <c:v>-3330.4463121587378</c:v>
                </c:pt>
                <c:pt idx="29">
                  <c:v>-1786.8228451937523</c:v>
                </c:pt>
                <c:pt idx="30">
                  <c:v>-1472.3001244261891</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18597.725938086842</c:v>
                </c:pt>
                <c:pt idx="1">
                  <c:v>18600.3517996138</c:v>
                </c:pt>
                <c:pt idx="2">
                  <c:v>18600.35357890412</c:v>
                </c:pt>
                <c:pt idx="3">
                  <c:v>18600.927714360827</c:v>
                </c:pt>
                <c:pt idx="4">
                  <c:v>18606.708409487917</c:v>
                </c:pt>
                <c:pt idx="5">
                  <c:v>18655.928016005801</c:v>
                </c:pt>
                <c:pt idx="6">
                  <c:v>18800.684564080409</c:v>
                </c:pt>
                <c:pt idx="7">
                  <c:v>18979.84257207538</c:v>
                </c:pt>
                <c:pt idx="8">
                  <c:v>19220.391697744119</c:v>
                </c:pt>
                <c:pt idx="9">
                  <c:v>19560.27124261664</c:v>
                </c:pt>
                <c:pt idx="10">
                  <c:v>19987.546045595358</c:v>
                </c:pt>
                <c:pt idx="11">
                  <c:v>20668.842564304166</c:v>
                </c:pt>
                <c:pt idx="12">
                  <c:v>21678.58524313927</c:v>
                </c:pt>
                <c:pt idx="13">
                  <c:v>23067.48974106348</c:v>
                </c:pt>
                <c:pt idx="14">
                  <c:v>25232.361209757648</c:v>
                </c:pt>
                <c:pt idx="15">
                  <c:v>28364.407757649318</c:v>
                </c:pt>
                <c:pt idx="16">
                  <c:v>31171.975432208354</c:v>
                </c:pt>
                <c:pt idx="17">
                  <c:v>30483.086372431768</c:v>
                </c:pt>
                <c:pt idx="18">
                  <c:v>29715.300255279948</c:v>
                </c:pt>
                <c:pt idx="19">
                  <c:v>39390.673549005092</c:v>
                </c:pt>
                <c:pt idx="20">
                  <c:v>-100288.88930914762</c:v>
                </c:pt>
                <c:pt idx="21">
                  <c:v>-9677.1910266448958</c:v>
                </c:pt>
                <c:pt idx="22">
                  <c:v>-3404.6460773127037</c:v>
                </c:pt>
                <c:pt idx="23">
                  <c:v>-1620.30960876004</c:v>
                </c:pt>
                <c:pt idx="24">
                  <c:v>-1274.3170179612785</c:v>
                </c:pt>
                <c:pt idx="25">
                  <c:v>-1222.5153231817048</c:v>
                </c:pt>
                <c:pt idx="26">
                  <c:v>-1174.3938257217701</c:v>
                </c:pt>
                <c:pt idx="27">
                  <c:v>-1172.9702085675094</c:v>
                </c:pt>
                <c:pt idx="28">
                  <c:v>-1178.3820229001365</c:v>
                </c:pt>
                <c:pt idx="29">
                  <c:v>-1182.88364659641</c:v>
                </c:pt>
                <c:pt idx="30">
                  <c:v>-1186.9994931851288</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19182.996192175262</c:v>
                </c:pt>
                <c:pt idx="1">
                  <c:v>19625.065699112787</c:v>
                </c:pt>
                <c:pt idx="2">
                  <c:v>20160.459981054919</c:v>
                </c:pt>
                <c:pt idx="3">
                  <c:v>20973.224742364902</c:v>
                </c:pt>
                <c:pt idx="4">
                  <c:v>22115.821949687881</c:v>
                </c:pt>
                <c:pt idx="5">
                  <c:v>23803.36893841259</c:v>
                </c:pt>
                <c:pt idx="6">
                  <c:v>26602.771370310296</c:v>
                </c:pt>
                <c:pt idx="7">
                  <c:v>32488.27614143609</c:v>
                </c:pt>
                <c:pt idx="8">
                  <c:v>55891.784562401474</c:v>
                </c:pt>
                <c:pt idx="9">
                  <c:v>-125452.21041418209</c:v>
                </c:pt>
                <c:pt idx="10">
                  <c:v>-15013.200678407917</c:v>
                </c:pt>
                <c:pt idx="11">
                  <c:v>-4459.4119297041279</c:v>
                </c:pt>
                <c:pt idx="12">
                  <c:v>-1666.4033749334276</c:v>
                </c:pt>
                <c:pt idx="13">
                  <c:v>-748.42715894185017</c:v>
                </c:pt>
                <c:pt idx="14">
                  <c:v>-387.56477383906753</c:v>
                </c:pt>
                <c:pt idx="15">
                  <c:v>-286.9797986884268</c:v>
                </c:pt>
                <c:pt idx="16">
                  <c:v>-299.5158155689432</c:v>
                </c:pt>
                <c:pt idx="17">
                  <c:v>-343.00242468413995</c:v>
                </c:pt>
                <c:pt idx="18">
                  <c:v>-446.48678556022952</c:v>
                </c:pt>
                <c:pt idx="19">
                  <c:v>-582.90154901090352</c:v>
                </c:pt>
                <c:pt idx="20">
                  <c:v>-730.95114683833287</c:v>
                </c:pt>
                <c:pt idx="21">
                  <c:v>-892.80095561332928</c:v>
                </c:pt>
                <c:pt idx="22">
                  <c:v>-1048.7351415205135</c:v>
                </c:pt>
                <c:pt idx="23">
                  <c:v>-1175.441336241712</c:v>
                </c:pt>
                <c:pt idx="24">
                  <c:v>-1207.7500978708922</c:v>
                </c:pt>
                <c:pt idx="25">
                  <c:v>-1247.1729262275853</c:v>
                </c:pt>
                <c:pt idx="26">
                  <c:v>-1278.3129891647243</c:v>
                </c:pt>
                <c:pt idx="27">
                  <c:v>-1294.2956029154343</c:v>
                </c:pt>
                <c:pt idx="28">
                  <c:v>-1294.8417573888285</c:v>
                </c:pt>
                <c:pt idx="29">
                  <c:v>-1294.9292826169442</c:v>
                </c:pt>
                <c:pt idx="30">
                  <c:v>-1294.8384520702036</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19725.603331530423</c:v>
                </c:pt>
                <c:pt idx="1">
                  <c:v>20548.498124949547</c:v>
                </c:pt>
                <c:pt idx="2">
                  <c:v>21580.87160330953</c:v>
                </c:pt>
                <c:pt idx="3">
                  <c:v>23027.095983844181</c:v>
                </c:pt>
                <c:pt idx="4">
                  <c:v>25398.88771739545</c:v>
                </c:pt>
                <c:pt idx="5">
                  <c:v>29875.423750876511</c:v>
                </c:pt>
                <c:pt idx="6">
                  <c:v>44624.967312211462</c:v>
                </c:pt>
                <c:pt idx="7">
                  <c:v>1949773.826236272</c:v>
                </c:pt>
                <c:pt idx="8">
                  <c:v>-21112.176170131828</c:v>
                </c:pt>
                <c:pt idx="9">
                  <c:v>-5776.2884415709104</c:v>
                </c:pt>
                <c:pt idx="10">
                  <c:v>-2078.9091177437581</c:v>
                </c:pt>
                <c:pt idx="11">
                  <c:v>-878.07330045525862</c:v>
                </c:pt>
                <c:pt idx="12">
                  <c:v>-417.20769564627085</c:v>
                </c:pt>
                <c:pt idx="13">
                  <c:v>-262.96642552119516</c:v>
                </c:pt>
                <c:pt idx="14">
                  <c:v>-238.73416868465253</c:v>
                </c:pt>
                <c:pt idx="15">
                  <c:v>-251.81162274676265</c:v>
                </c:pt>
                <c:pt idx="16">
                  <c:v>-307.3591654836851</c:v>
                </c:pt>
                <c:pt idx="17">
                  <c:v>-401.8141241843515</c:v>
                </c:pt>
                <c:pt idx="18">
                  <c:v>-524.93336758298562</c:v>
                </c:pt>
                <c:pt idx="19">
                  <c:v>-665.42206124331733</c:v>
                </c:pt>
                <c:pt idx="20">
                  <c:v>-825.37343195555366</c:v>
                </c:pt>
                <c:pt idx="21">
                  <c:v>-987.77381548774645</c:v>
                </c:pt>
                <c:pt idx="22">
                  <c:v>-1129.4617450016162</c:v>
                </c:pt>
                <c:pt idx="23">
                  <c:v>-1229.5365595670069</c:v>
                </c:pt>
                <c:pt idx="24">
                  <c:v>-1230.488408974971</c:v>
                </c:pt>
                <c:pt idx="25">
                  <c:v>-1261.3650341035277</c:v>
                </c:pt>
                <c:pt idx="26">
                  <c:v>-1287.3091619337808</c:v>
                </c:pt>
                <c:pt idx="27">
                  <c:v>-1298.2741448296031</c:v>
                </c:pt>
                <c:pt idx="28">
                  <c:v>-1298.7730565150696</c:v>
                </c:pt>
                <c:pt idx="29">
                  <c:v>-1298.7789844795204</c:v>
                </c:pt>
                <c:pt idx="30">
                  <c:v>-1298.5716824554424</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602042488"/>
        <c:axId val="60203072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60204248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2030728"/>
        <c:crosses val="autoZero"/>
        <c:crossBetween val="midCat"/>
        <c:majorUnit val="10000"/>
      </c:valAx>
      <c:valAx>
        <c:axId val="602030728"/>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2042488"/>
        <c:crosses val="max"/>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0.35742661346429722</c:v>
                </c:pt>
                <c:pt idx="1">
                  <c:v>0.35744341900801085</c:v>
                </c:pt>
                <c:pt idx="2">
                  <c:v>0.35744347387202313</c:v>
                </c:pt>
                <c:pt idx="3">
                  <c:v>0.35744354668332945</c:v>
                </c:pt>
                <c:pt idx="4">
                  <c:v>0.35744357886893852</c:v>
                </c:pt>
                <c:pt idx="5">
                  <c:v>0.35744358014499261</c:v>
                </c:pt>
                <c:pt idx="6">
                  <c:v>0.35744357749580352</c:v>
                </c:pt>
                <c:pt idx="7">
                  <c:v>0.35744358671942456</c:v>
                </c:pt>
                <c:pt idx="8">
                  <c:v>0.35744358671942456</c:v>
                </c:pt>
                <c:pt idx="9">
                  <c:v>0.35744358671942456</c:v>
                </c:pt>
                <c:pt idx="10">
                  <c:v>0.35744358671942456</c:v>
                </c:pt>
                <c:pt idx="11">
                  <c:v>0.35744359594304564</c:v>
                </c:pt>
                <c:pt idx="12">
                  <c:v>0.35744361831552712</c:v>
                </c:pt>
                <c:pt idx="13">
                  <c:v>0.35744382290630256</c:v>
                </c:pt>
                <c:pt idx="14">
                  <c:v>0.35744589253679038</c:v>
                </c:pt>
                <c:pt idx="15">
                  <c:v>0.357466581357681</c:v>
                </c:pt>
                <c:pt idx="16">
                  <c:v>0.35766899493070486</c:v>
                </c:pt>
                <c:pt idx="17">
                  <c:v>0.35930143866107478</c:v>
                </c:pt>
                <c:pt idx="18">
                  <c:v>0.36357164383720897</c:v>
                </c:pt>
                <c:pt idx="19">
                  <c:v>0.36794344176999549</c:v>
                </c:pt>
                <c:pt idx="20">
                  <c:v>0.37194682117823258</c:v>
                </c:pt>
                <c:pt idx="21">
                  <c:v>0.37376306921742675</c:v>
                </c:pt>
                <c:pt idx="22">
                  <c:v>0.37400417568145877</c:v>
                </c:pt>
                <c:pt idx="23">
                  <c:v>0.3763864326598505</c:v>
                </c:pt>
                <c:pt idx="24">
                  <c:v>0.38014321052794647</c:v>
                </c:pt>
                <c:pt idx="25">
                  <c:v>0.38462562434904785</c:v>
                </c:pt>
                <c:pt idx="26">
                  <c:v>0.39011878704520608</c:v>
                </c:pt>
                <c:pt idx="27">
                  <c:v>0.39605041350890891</c:v>
                </c:pt>
                <c:pt idx="28">
                  <c:v>0.40384261782116176</c:v>
                </c:pt>
                <c:pt idx="29">
                  <c:v>0.41380031704869863</c:v>
                </c:pt>
                <c:pt idx="30">
                  <c:v>0.42685795119474496</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0.35701473328664396</c:v>
                </c:pt>
                <c:pt idx="1">
                  <c:v>0.35703176392049729</c:v>
                </c:pt>
                <c:pt idx="2">
                  <c:v>0.35703184127609444</c:v>
                </c:pt>
                <c:pt idx="3">
                  <c:v>0.35703189795387291</c:v>
                </c:pt>
                <c:pt idx="4">
                  <c:v>0.35703193481621098</c:v>
                </c:pt>
                <c:pt idx="5">
                  <c:v>0.35703194797877325</c:v>
                </c:pt>
                <c:pt idx="6">
                  <c:v>0.3570319499567311</c:v>
                </c:pt>
                <c:pt idx="7">
                  <c:v>0.35703195456005338</c:v>
                </c:pt>
                <c:pt idx="8">
                  <c:v>0.35703194272804467</c:v>
                </c:pt>
                <c:pt idx="9">
                  <c:v>0.35703194272804467</c:v>
                </c:pt>
                <c:pt idx="10">
                  <c:v>0.35703194930932447</c:v>
                </c:pt>
                <c:pt idx="11">
                  <c:v>0.35703203680814971</c:v>
                </c:pt>
                <c:pt idx="12">
                  <c:v>0.35703277966334201</c:v>
                </c:pt>
                <c:pt idx="13">
                  <c:v>0.35704024603571133</c:v>
                </c:pt>
                <c:pt idx="14">
                  <c:v>0.35711434648119955</c:v>
                </c:pt>
                <c:pt idx="15">
                  <c:v>0.35779790268103578</c:v>
                </c:pt>
                <c:pt idx="16">
                  <c:v>0.36135174249544172</c:v>
                </c:pt>
                <c:pt idx="17">
                  <c:v>0.36554998970306268</c:v>
                </c:pt>
                <c:pt idx="18">
                  <c:v>0.36963665238848264</c:v>
                </c:pt>
                <c:pt idx="19">
                  <c:v>0.37213145848472479</c:v>
                </c:pt>
                <c:pt idx="20">
                  <c:v>0.37257781090320979</c:v>
                </c:pt>
                <c:pt idx="21">
                  <c:v>0.37407685419392078</c:v>
                </c:pt>
                <c:pt idx="22">
                  <c:v>0.37775170704520222</c:v>
                </c:pt>
                <c:pt idx="23">
                  <c:v>0.38220333099246911</c:v>
                </c:pt>
                <c:pt idx="24">
                  <c:v>0.38738156253420752</c:v>
                </c:pt>
                <c:pt idx="25">
                  <c:v>0.39314569458470305</c:v>
                </c:pt>
                <c:pt idx="26">
                  <c:v>0.39988352424079121</c:v>
                </c:pt>
                <c:pt idx="27">
                  <c:v>0.40878649134094247</c:v>
                </c:pt>
                <c:pt idx="28">
                  <c:v>0.42034641358072472</c:v>
                </c:pt>
                <c:pt idx="29">
                  <c:v>0.43639015797331526</c:v>
                </c:pt>
                <c:pt idx="30">
                  <c:v>0.46008770696984719</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0.35675553374778324</c:v>
                </c:pt>
                <c:pt idx="1">
                  <c:v>0.3567727007848463</c:v>
                </c:pt>
                <c:pt idx="2">
                  <c:v>0.35677278361099046</c:v>
                </c:pt>
                <c:pt idx="3">
                  <c:v>0.35677284050714025</c:v>
                </c:pt>
                <c:pt idx="4">
                  <c:v>0.35677287740895841</c:v>
                </c:pt>
                <c:pt idx="5">
                  <c:v>0.35677287417581988</c:v>
                </c:pt>
                <c:pt idx="6">
                  <c:v>0.35677289256718175</c:v>
                </c:pt>
                <c:pt idx="7">
                  <c:v>0.35677288535901452</c:v>
                </c:pt>
                <c:pt idx="8">
                  <c:v>0.35677288734652812</c:v>
                </c:pt>
                <c:pt idx="9">
                  <c:v>0.35677296562885791</c:v>
                </c:pt>
                <c:pt idx="10">
                  <c:v>0.35677365723461657</c:v>
                </c:pt>
                <c:pt idx="11">
                  <c:v>0.35678061105818432</c:v>
                </c:pt>
                <c:pt idx="12">
                  <c:v>0.35684962990134428</c:v>
                </c:pt>
                <c:pt idx="13">
                  <c:v>0.35748952920935495</c:v>
                </c:pt>
                <c:pt idx="14">
                  <c:v>0.36094327502877782</c:v>
                </c:pt>
                <c:pt idx="15">
                  <c:v>0.36518199497805165</c:v>
                </c:pt>
                <c:pt idx="16">
                  <c:v>0.36993114128426302</c:v>
                </c:pt>
                <c:pt idx="17">
                  <c:v>0.37514383282921049</c:v>
                </c:pt>
                <c:pt idx="18">
                  <c:v>0.37808400055112451</c:v>
                </c:pt>
                <c:pt idx="19">
                  <c:v>0.37910447223461313</c:v>
                </c:pt>
                <c:pt idx="20">
                  <c:v>0.38073580147344799</c:v>
                </c:pt>
                <c:pt idx="21">
                  <c:v>0.38370988368057507</c:v>
                </c:pt>
                <c:pt idx="22">
                  <c:v>0.38783664391318573</c:v>
                </c:pt>
                <c:pt idx="23">
                  <c:v>0.39319257556613768</c:v>
                </c:pt>
                <c:pt idx="24">
                  <c:v>0.39992425387033348</c:v>
                </c:pt>
                <c:pt idx="25">
                  <c:v>0.4090862800029138</c:v>
                </c:pt>
                <c:pt idx="26">
                  <c:v>0.42081371175171361</c:v>
                </c:pt>
                <c:pt idx="27">
                  <c:v>0.43682251248307119</c:v>
                </c:pt>
                <c:pt idx="28">
                  <c:v>0.46036363477266623</c:v>
                </c:pt>
                <c:pt idx="29">
                  <c:v>0.48783324560043478</c:v>
                </c:pt>
                <c:pt idx="30">
                  <c:v>0.51292009044310194</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0.356495103846938</c:v>
                </c:pt>
                <c:pt idx="1">
                  <c:v>0.35651242726638627</c:v>
                </c:pt>
                <c:pt idx="2">
                  <c:v>0.35651251555156177</c:v>
                </c:pt>
                <c:pt idx="3">
                  <c:v>0.35651257266495379</c:v>
                </c:pt>
                <c:pt idx="4">
                  <c:v>0.35651260960529035</c:v>
                </c:pt>
                <c:pt idx="5">
                  <c:v>0.35651262478082502</c:v>
                </c:pt>
                <c:pt idx="6">
                  <c:v>0.35651268208701414</c:v>
                </c:pt>
                <c:pt idx="7">
                  <c:v>0.35651331184520685</c:v>
                </c:pt>
                <c:pt idx="8">
                  <c:v>0.35651951936948467</c:v>
                </c:pt>
                <c:pt idx="9">
                  <c:v>0.35658111542474297</c:v>
                </c:pt>
                <c:pt idx="10">
                  <c:v>0.35715662765316347</c:v>
                </c:pt>
                <c:pt idx="11">
                  <c:v>0.360442677619708</c:v>
                </c:pt>
                <c:pt idx="12">
                  <c:v>0.36464372970400755</c:v>
                </c:pt>
                <c:pt idx="13">
                  <c:v>0.369384450009968</c:v>
                </c:pt>
                <c:pt idx="14">
                  <c:v>0.37517689502244495</c:v>
                </c:pt>
                <c:pt idx="15">
                  <c:v>0.38149075642601166</c:v>
                </c:pt>
                <c:pt idx="16">
                  <c:v>0.38860641432985388</c:v>
                </c:pt>
                <c:pt idx="17">
                  <c:v>0.39442131560697397</c:v>
                </c:pt>
                <c:pt idx="18">
                  <c:v>0.39580464499728235</c:v>
                </c:pt>
                <c:pt idx="19">
                  <c:v>0.39588737539334995</c:v>
                </c:pt>
                <c:pt idx="20">
                  <c:v>0.39781098730619824</c:v>
                </c:pt>
                <c:pt idx="21">
                  <c:v>0.40240544341277462</c:v>
                </c:pt>
                <c:pt idx="22">
                  <c:v>0.41108623258437255</c:v>
                </c:pt>
                <c:pt idx="23">
                  <c:v>0.42315822989997837</c:v>
                </c:pt>
                <c:pt idx="24">
                  <c:v>0.43943319265879138</c:v>
                </c:pt>
                <c:pt idx="25">
                  <c:v>0.46294720168407089</c:v>
                </c:pt>
                <c:pt idx="26">
                  <c:v>0.49019631983289891</c:v>
                </c:pt>
                <c:pt idx="27">
                  <c:v>0.51508237530912238</c:v>
                </c:pt>
                <c:pt idx="28">
                  <c:v>0.53499071791066666</c:v>
                </c:pt>
                <c:pt idx="29">
                  <c:v>0.54533989603366739</c:v>
                </c:pt>
                <c:pt idx="30">
                  <c:v>0.54813389041045524</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0.35618123255129486</c:v>
                </c:pt>
                <c:pt idx="1">
                  <c:v>0.35619890499669771</c:v>
                </c:pt>
                <c:pt idx="2">
                  <c:v>0.35620063309224786</c:v>
                </c:pt>
                <c:pt idx="3">
                  <c:v>0.35621700453817834</c:v>
                </c:pt>
                <c:pt idx="4">
                  <c:v>0.35637729223137143</c:v>
                </c:pt>
                <c:pt idx="5">
                  <c:v>0.35772019966685181</c:v>
                </c:pt>
                <c:pt idx="6">
                  <c:v>0.36183053822172867</c:v>
                </c:pt>
                <c:pt idx="7">
                  <c:v>0.36618814855579462</c:v>
                </c:pt>
                <c:pt idx="8">
                  <c:v>0.37132335963279961</c:v>
                </c:pt>
                <c:pt idx="9">
                  <c:v>0.3775498266555285</c:v>
                </c:pt>
                <c:pt idx="10">
                  <c:v>0.38415537292786922</c:v>
                </c:pt>
                <c:pt idx="11">
                  <c:v>0.39282460259940688</c:v>
                </c:pt>
                <c:pt idx="12">
                  <c:v>0.40288203669893974</c:v>
                </c:pt>
                <c:pt idx="13">
                  <c:v>0.41340367848460691</c:v>
                </c:pt>
                <c:pt idx="14">
                  <c:v>0.42545741948639326</c:v>
                </c:pt>
                <c:pt idx="15">
                  <c:v>0.43814689843945259</c:v>
                </c:pt>
                <c:pt idx="16">
                  <c:v>0.44934920511874987</c:v>
                </c:pt>
                <c:pt idx="17">
                  <c:v>0.45591671760607699</c:v>
                </c:pt>
                <c:pt idx="18">
                  <c:v>0.46379991085856631</c:v>
                </c:pt>
                <c:pt idx="19">
                  <c:v>0.48012932899243571</c:v>
                </c:pt>
                <c:pt idx="20">
                  <c:v>0.50500234011815659</c:v>
                </c:pt>
                <c:pt idx="21">
                  <c:v>0.53036347598110389</c:v>
                </c:pt>
                <c:pt idx="22">
                  <c:v>0.54879634291937607</c:v>
                </c:pt>
                <c:pt idx="23">
                  <c:v>0.56031345738787863</c:v>
                </c:pt>
                <c:pt idx="24">
                  <c:v>0.55969784458725058</c:v>
                </c:pt>
                <c:pt idx="25">
                  <c:v>0.55630004676191225</c:v>
                </c:pt>
                <c:pt idx="26">
                  <c:v>0.55476144085288237</c:v>
                </c:pt>
                <c:pt idx="27">
                  <c:v>0.55477516357883649</c:v>
                </c:pt>
                <c:pt idx="28">
                  <c:v>0.55451354171811429</c:v>
                </c:pt>
                <c:pt idx="29">
                  <c:v>0.55429780521191163</c:v>
                </c:pt>
                <c:pt idx="30">
                  <c:v>0.55410204372180083</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0.3726459410684459</c:v>
                </c:pt>
                <c:pt idx="1">
                  <c:v>0.38058331670075135</c:v>
                </c:pt>
                <c:pt idx="2">
                  <c:v>0.38838520500871077</c:v>
                </c:pt>
                <c:pt idx="3">
                  <c:v>0.39780663696680457</c:v>
                </c:pt>
                <c:pt idx="4">
                  <c:v>0.40799472280052385</c:v>
                </c:pt>
                <c:pt idx="5">
                  <c:v>0.41922597817351359</c:v>
                </c:pt>
                <c:pt idx="6">
                  <c:v>0.4322529415810249</c:v>
                </c:pt>
                <c:pt idx="7">
                  <c:v>0.44885007937338817</c:v>
                </c:pt>
                <c:pt idx="8">
                  <c:v>0.47357347892989043</c:v>
                </c:pt>
                <c:pt idx="9">
                  <c:v>0.50996266618147224</c:v>
                </c:pt>
                <c:pt idx="10">
                  <c:v>0.56524109076840645</c:v>
                </c:pt>
                <c:pt idx="11">
                  <c:v>0.65130806701716915</c:v>
                </c:pt>
                <c:pt idx="12">
                  <c:v>0.75163775925377463</c:v>
                </c:pt>
                <c:pt idx="13">
                  <c:v>0.82795252547651055</c:v>
                </c:pt>
                <c:pt idx="14">
                  <c:v>0.85829587229993787</c:v>
                </c:pt>
                <c:pt idx="15">
                  <c:v>0.83539513119008801</c:v>
                </c:pt>
                <c:pt idx="16">
                  <c:v>0.77327908409116641</c:v>
                </c:pt>
                <c:pt idx="17">
                  <c:v>0.71104722091958672</c:v>
                </c:pt>
                <c:pt idx="18">
                  <c:v>0.65482618462927267</c:v>
                </c:pt>
                <c:pt idx="19">
                  <c:v>0.61566548246232133</c:v>
                </c:pt>
                <c:pt idx="20">
                  <c:v>0.59071669096984492</c:v>
                </c:pt>
                <c:pt idx="21">
                  <c:v>0.57336498189310858</c:v>
                </c:pt>
                <c:pt idx="22">
                  <c:v>0.56191044204113683</c:v>
                </c:pt>
                <c:pt idx="23">
                  <c:v>0.55490427156875721</c:v>
                </c:pt>
                <c:pt idx="24">
                  <c:v>0.55335672150465165</c:v>
                </c:pt>
                <c:pt idx="25">
                  <c:v>0.55157263715309424</c:v>
                </c:pt>
                <c:pt idx="26">
                  <c:v>0.55022634570394002</c:v>
                </c:pt>
                <c:pt idx="27">
                  <c:v>0.54953411756927129</c:v>
                </c:pt>
                <c:pt idx="28">
                  <c:v>0.54950937196023864</c:v>
                </c:pt>
                <c:pt idx="29">
                  <c:v>0.54950417096015058</c:v>
                </c:pt>
                <c:pt idx="30">
                  <c:v>0.54950634441636736</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0.38371396329229329</c:v>
                </c:pt>
                <c:pt idx="1">
                  <c:v>0.39458735874506484</c:v>
                </c:pt>
                <c:pt idx="2">
                  <c:v>0.40483055330298245</c:v>
                </c:pt>
                <c:pt idx="3">
                  <c:v>0.41560702983058323</c:v>
                </c:pt>
                <c:pt idx="4">
                  <c:v>0.4282149551373261</c:v>
                </c:pt>
                <c:pt idx="5">
                  <c:v>0.44341637441756293</c:v>
                </c:pt>
                <c:pt idx="6">
                  <c:v>0.46607449199802997</c:v>
                </c:pt>
                <c:pt idx="7">
                  <c:v>0.49933580218902446</c:v>
                </c:pt>
                <c:pt idx="8">
                  <c:v>0.54904567396177273</c:v>
                </c:pt>
                <c:pt idx="9">
                  <c:v>0.62730730021500691</c:v>
                </c:pt>
                <c:pt idx="10">
                  <c:v>0.72610310888281582</c:v>
                </c:pt>
                <c:pt idx="11">
                  <c:v>0.82017781581141258</c:v>
                </c:pt>
                <c:pt idx="12">
                  <c:v>0.88752956393876303</c:v>
                </c:pt>
                <c:pt idx="13">
                  <c:v>0.90431380142658779</c:v>
                </c:pt>
                <c:pt idx="14">
                  <c:v>0.87030950807261731</c:v>
                </c:pt>
                <c:pt idx="15">
                  <c:v>0.80944348871167726</c:v>
                </c:pt>
                <c:pt idx="16">
                  <c:v>0.73622722843234112</c:v>
                </c:pt>
                <c:pt idx="17">
                  <c:v>0.67412498115719</c:v>
                </c:pt>
                <c:pt idx="18">
                  <c:v>0.6296231350387238</c:v>
                </c:pt>
                <c:pt idx="19">
                  <c:v>0.60031664222289649</c:v>
                </c:pt>
                <c:pt idx="20">
                  <c:v>0.57973483051502384</c:v>
                </c:pt>
                <c:pt idx="21">
                  <c:v>0.56594718613016004</c:v>
                </c:pt>
                <c:pt idx="22">
                  <c:v>0.55726511361222497</c:v>
                </c:pt>
                <c:pt idx="23">
                  <c:v>0.55235524240365719</c:v>
                </c:pt>
                <c:pt idx="24">
                  <c:v>0.55231146387485341</c:v>
                </c:pt>
                <c:pt idx="25">
                  <c:v>0.55094821773263492</c:v>
                </c:pt>
                <c:pt idx="26">
                  <c:v>0.54983551062224867</c:v>
                </c:pt>
                <c:pt idx="27">
                  <c:v>0.54934800618116342</c:v>
                </c:pt>
                <c:pt idx="28">
                  <c:v>0.54932537336328136</c:v>
                </c:pt>
                <c:pt idx="29">
                  <c:v>0.54932366132004984</c:v>
                </c:pt>
                <c:pt idx="30">
                  <c:v>0.54933074433355589</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54341152"/>
        <c:axId val="45434624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434115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54346248"/>
        <c:crosses val="autoZero"/>
        <c:crossBetween val="midCat"/>
        <c:majorUnit val="10000"/>
      </c:valAx>
      <c:valAx>
        <c:axId val="454346248"/>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layout/>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54341152"/>
        <c:crosses val="max"/>
        <c:crossBetween val="midCat"/>
        <c:majorUnit val="0.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5945.4862308501361</c:v>
                </c:pt>
                <c:pt idx="1">
                  <c:v>5945.5233978276192</c:v>
                </c:pt>
                <c:pt idx="2">
                  <c:v>5945.5006733975988</c:v>
                </c:pt>
                <c:pt idx="3">
                  <c:v>5945.4940479964844</c:v>
                </c:pt>
                <c:pt idx="4">
                  <c:v>5945.491987661344</c:v>
                </c:pt>
                <c:pt idx="5">
                  <c:v>5945.4911594878167</c:v>
                </c:pt>
                <c:pt idx="6">
                  <c:v>5945.4908968962591</c:v>
                </c:pt>
                <c:pt idx="7">
                  <c:v>5945.4908564975603</c:v>
                </c:pt>
                <c:pt idx="8">
                  <c:v>5945.4908564975603</c:v>
                </c:pt>
                <c:pt idx="9">
                  <c:v>5945.4908564975603</c:v>
                </c:pt>
                <c:pt idx="10">
                  <c:v>5945.4908564975603</c:v>
                </c:pt>
                <c:pt idx="11">
                  <c:v>5945.4908160988625</c:v>
                </c:pt>
                <c:pt idx="12">
                  <c:v>5945.4901697197583</c:v>
                </c:pt>
                <c:pt idx="13">
                  <c:v>5945.4832413525728</c:v>
                </c:pt>
                <c:pt idx="14">
                  <c:v>5945.4144029430536</c:v>
                </c:pt>
                <c:pt idx="15">
                  <c:v>5944.7274999078909</c:v>
                </c:pt>
                <c:pt idx="16">
                  <c:v>5938.0129605513939</c:v>
                </c:pt>
                <c:pt idx="17">
                  <c:v>5884.0318384088569</c:v>
                </c:pt>
                <c:pt idx="18">
                  <c:v>5738.5639340162998</c:v>
                </c:pt>
                <c:pt idx="19">
                  <c:v>5588.2751906456833</c:v>
                </c:pt>
                <c:pt idx="20">
                  <c:v>5399.4936644871386</c:v>
                </c:pt>
                <c:pt idx="21">
                  <c:v>5141.8460502498219</c:v>
                </c:pt>
                <c:pt idx="22">
                  <c:v>4855.3493085479013</c:v>
                </c:pt>
                <c:pt idx="23">
                  <c:v>4530.5898566513597</c:v>
                </c:pt>
                <c:pt idx="24">
                  <c:v>4215.1902304511941</c:v>
                </c:pt>
                <c:pt idx="25">
                  <c:v>3929.081471457625</c:v>
                </c:pt>
                <c:pt idx="26">
                  <c:v>3641.242030569621</c:v>
                </c:pt>
                <c:pt idx="27">
                  <c:v>3352.5216988135498</c:v>
                </c:pt>
                <c:pt idx="28">
                  <c:v>2996.6335305209523</c:v>
                </c:pt>
                <c:pt idx="29">
                  <c:v>2563.0064610610193</c:v>
                </c:pt>
                <c:pt idx="30">
                  <c:v>2059.5134179476377</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5936.3433151657146</c:v>
                </c:pt>
                <c:pt idx="1">
                  <c:v>5936.3803075081632</c:v>
                </c:pt>
                <c:pt idx="2">
                  <c:v>5936.3578341520697</c:v>
                </c:pt>
                <c:pt idx="3">
                  <c:v>5936.3510277390824</c:v>
                </c:pt>
                <c:pt idx="4">
                  <c:v>5936.3489535985827</c:v>
                </c:pt>
                <c:pt idx="5">
                  <c:v>5936.3483494802622</c:v>
                </c:pt>
                <c:pt idx="6">
                  <c:v>5936.3480675584215</c:v>
                </c:pt>
                <c:pt idx="7">
                  <c:v>5936.3480474211492</c:v>
                </c:pt>
                <c:pt idx="8">
                  <c:v>5936.3478259111525</c:v>
                </c:pt>
                <c:pt idx="9">
                  <c:v>5936.3478259111525</c:v>
                </c:pt>
                <c:pt idx="10">
                  <c:v>5936.3475238520905</c:v>
                </c:pt>
                <c:pt idx="11">
                  <c:v>5936.3452282042372</c:v>
                </c:pt>
                <c:pt idx="12">
                  <c:v>5936.3201171545998</c:v>
                </c:pt>
                <c:pt idx="13">
                  <c:v>5936.0699445696901</c:v>
                </c:pt>
                <c:pt idx="14">
                  <c:v>5933.5894562136173</c:v>
                </c:pt>
                <c:pt idx="15">
                  <c:v>5910.7352387881974</c:v>
                </c:pt>
                <c:pt idx="16">
                  <c:v>5788.6039225333288</c:v>
                </c:pt>
                <c:pt idx="17">
                  <c:v>5645.2982525424422</c:v>
                </c:pt>
                <c:pt idx="18">
                  <c:v>5477.0166152184411</c:v>
                </c:pt>
                <c:pt idx="19">
                  <c:v>5242.9581566849647</c:v>
                </c:pt>
                <c:pt idx="20">
                  <c:v>4967.1522364522052</c:v>
                </c:pt>
                <c:pt idx="21">
                  <c:v>4663.1486629646943</c:v>
                </c:pt>
                <c:pt idx="22">
                  <c:v>4346.263159926043</c:v>
                </c:pt>
                <c:pt idx="23">
                  <c:v>4052.7215067045913</c:v>
                </c:pt>
                <c:pt idx="24">
                  <c:v>3771.4995408899726</c:v>
                </c:pt>
                <c:pt idx="25">
                  <c:v>3487.2930712528305</c:v>
                </c:pt>
                <c:pt idx="26">
                  <c:v>3171.2944430186703</c:v>
                </c:pt>
                <c:pt idx="27">
                  <c:v>2771.7245513357993</c:v>
                </c:pt>
                <c:pt idx="28">
                  <c:v>2294.6891766146468</c:v>
                </c:pt>
                <c:pt idx="29">
                  <c:v>1744.1842965326991</c:v>
                </c:pt>
                <c:pt idx="30">
                  <c:v>1149.8282974544306</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5930.406376183163</c:v>
                </c:pt>
                <c:pt idx="1">
                  <c:v>5930.4431337924134</c:v>
                </c:pt>
                <c:pt idx="2">
                  <c:v>5930.4206852693951</c:v>
                </c:pt>
                <c:pt idx="3">
                  <c:v>5930.413892464232</c:v>
                </c:pt>
                <c:pt idx="4">
                  <c:v>5930.4118224704844</c:v>
                </c:pt>
                <c:pt idx="5">
                  <c:v>5930.4110185898089</c:v>
                </c:pt>
                <c:pt idx="6">
                  <c:v>5930.4109382017532</c:v>
                </c:pt>
                <c:pt idx="7">
                  <c:v>5930.4106970375988</c:v>
                </c:pt>
                <c:pt idx="8">
                  <c:v>5930.4104156794438</c:v>
                </c:pt>
                <c:pt idx="9">
                  <c:v>5930.408164815165</c:v>
                </c:pt>
                <c:pt idx="10">
                  <c:v>5930.384691618081</c:v>
                </c:pt>
                <c:pt idx="11">
                  <c:v>5930.150894248286</c:v>
                </c:pt>
                <c:pt idx="12">
                  <c:v>5927.8308007940832</c:v>
                </c:pt>
                <c:pt idx="13">
                  <c:v>5906.3450308766669</c:v>
                </c:pt>
                <c:pt idx="14">
                  <c:v>5787.3961464989843</c:v>
                </c:pt>
                <c:pt idx="15">
                  <c:v>5645.7736928586964</c:v>
                </c:pt>
                <c:pt idx="16">
                  <c:v>5488.7797063617654</c:v>
                </c:pt>
                <c:pt idx="17">
                  <c:v>5295.6687137139643</c:v>
                </c:pt>
                <c:pt idx="18">
                  <c:v>5062.6547205141496</c:v>
                </c:pt>
                <c:pt idx="19">
                  <c:v>4762.2359802766141</c:v>
                </c:pt>
                <c:pt idx="20">
                  <c:v>4428.9407335348296</c:v>
                </c:pt>
                <c:pt idx="21">
                  <c:v>4111.7161259908762</c:v>
                </c:pt>
                <c:pt idx="22">
                  <c:v>3814.2268394370481</c:v>
                </c:pt>
                <c:pt idx="23">
                  <c:v>3517.7803393025779</c:v>
                </c:pt>
                <c:pt idx="24">
                  <c:v>3195.2414492417452</c:v>
                </c:pt>
                <c:pt idx="25">
                  <c:v>2791.4157044377589</c:v>
                </c:pt>
                <c:pt idx="26">
                  <c:v>2312.1801528163464</c:v>
                </c:pt>
                <c:pt idx="27">
                  <c:v>1761.4184833894965</c:v>
                </c:pt>
                <c:pt idx="28">
                  <c:v>1165.0893454090649</c:v>
                </c:pt>
                <c:pt idx="29">
                  <c:v>692.87414966525068</c:v>
                </c:pt>
                <c:pt idx="30">
                  <c:v>393.89092728068977</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5924.2874974527258</c:v>
                </c:pt>
                <c:pt idx="1">
                  <c:v>5924.3241993050724</c:v>
                </c:pt>
                <c:pt idx="2">
                  <c:v>5924.3017770264787</c:v>
                </c:pt>
                <c:pt idx="3">
                  <c:v>5924.2949982314785</c:v>
                </c:pt>
                <c:pt idx="4">
                  <c:v>5924.2929325070927</c:v>
                </c:pt>
                <c:pt idx="5">
                  <c:v>5924.292050062164</c:v>
                </c:pt>
                <c:pt idx="6">
                  <c:v>5924.2896233399624</c:v>
                </c:pt>
                <c:pt idx="7">
                  <c:v>5924.2686453119095</c:v>
                </c:pt>
                <c:pt idx="8">
                  <c:v>5924.0589935262078</c:v>
                </c:pt>
                <c:pt idx="9">
                  <c:v>5921.976437640149</c:v>
                </c:pt>
                <c:pt idx="10">
                  <c:v>5902.5412392933085</c:v>
                </c:pt>
                <c:pt idx="11">
                  <c:v>5788.7691117948852</c:v>
                </c:pt>
                <c:pt idx="12">
                  <c:v>5647.748615055857</c:v>
                </c:pt>
                <c:pt idx="13">
                  <c:v>5493.0807600988655</c:v>
                </c:pt>
                <c:pt idx="14">
                  <c:v>5310.1724689095536</c:v>
                </c:pt>
                <c:pt idx="15">
                  <c:v>5116.9183384452708</c:v>
                </c:pt>
                <c:pt idx="16">
                  <c:v>4889.0072432178858</c:v>
                </c:pt>
                <c:pt idx="17">
                  <c:v>4599.1409750767552</c:v>
                </c:pt>
                <c:pt idx="18">
                  <c:v>4272.3926167684576</c:v>
                </c:pt>
                <c:pt idx="19">
                  <c:v>3941.1470093551798</c:v>
                </c:pt>
                <c:pt idx="20">
                  <c:v>3608.495032401398</c:v>
                </c:pt>
                <c:pt idx="21">
                  <c:v>3262.5462100054015</c:v>
                </c:pt>
                <c:pt idx="22">
                  <c:v>2841.314577864513</c:v>
                </c:pt>
                <c:pt idx="23">
                  <c:v>2350.4004054830193</c:v>
                </c:pt>
                <c:pt idx="24">
                  <c:v>1794.2797745605371</c:v>
                </c:pt>
                <c:pt idx="25">
                  <c:v>1192.7526197056241</c:v>
                </c:pt>
                <c:pt idx="26">
                  <c:v>712.56207316539314</c:v>
                </c:pt>
                <c:pt idx="27">
                  <c:v>405.79350694215293</c:v>
                </c:pt>
                <c:pt idx="28">
                  <c:v>227.75650575396227</c:v>
                </c:pt>
                <c:pt idx="29">
                  <c:v>157.27484077697326</c:v>
                </c:pt>
                <c:pt idx="30">
                  <c:v>137.32830205333357</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5916.6915694579875</c:v>
                </c:pt>
                <c:pt idx="1">
                  <c:v>5916.7227160627044</c:v>
                </c:pt>
                <c:pt idx="2">
                  <c:v>5916.6446401256508</c:v>
                </c:pt>
                <c:pt idx="3">
                  <c:v>5916.0822262002403</c:v>
                </c:pt>
                <c:pt idx="4">
                  <c:v>5910.6250002955303</c:v>
                </c:pt>
                <c:pt idx="5">
                  <c:v>5865.0413696390469</c:v>
                </c:pt>
                <c:pt idx="6">
                  <c:v>5722.4751414535358</c:v>
                </c:pt>
                <c:pt idx="7">
                  <c:v>5576.9650996615301</c:v>
                </c:pt>
                <c:pt idx="8">
                  <c:v>5410.5738362167167</c:v>
                </c:pt>
                <c:pt idx="9">
                  <c:v>5216.1277029195053</c:v>
                </c:pt>
                <c:pt idx="10">
                  <c:v>5018.4752297884525</c:v>
                </c:pt>
                <c:pt idx="11">
                  <c:v>4771.2929786824907</c:v>
                </c:pt>
                <c:pt idx="12">
                  <c:v>4502.260327638488</c:v>
                </c:pt>
                <c:pt idx="13">
                  <c:v>4239.8922301770135</c:v>
                </c:pt>
                <c:pt idx="14">
                  <c:v>3958.4879028609685</c:v>
                </c:pt>
                <c:pt idx="15">
                  <c:v>3659.7650677599231</c:v>
                </c:pt>
                <c:pt idx="16">
                  <c:v>3268.126124643903</c:v>
                </c:pt>
                <c:pt idx="17">
                  <c:v>2768.9657420868534</c:v>
                </c:pt>
                <c:pt idx="18">
                  <c:v>2204.5974524100161</c:v>
                </c:pt>
                <c:pt idx="19">
                  <c:v>1586.454168957242</c:v>
                </c:pt>
                <c:pt idx="20">
                  <c:v>1000.0232976856266</c:v>
                </c:pt>
                <c:pt idx="21">
                  <c:v>576.00660610456418</c:v>
                </c:pt>
                <c:pt idx="22">
                  <c:v>321.80010935687142</c:v>
                </c:pt>
                <c:pt idx="23">
                  <c:v>187.89777287454069</c:v>
                </c:pt>
                <c:pt idx="24">
                  <c:v>146.32445551645827</c:v>
                </c:pt>
                <c:pt idx="25">
                  <c:v>132.67557886184474</c:v>
                </c:pt>
                <c:pt idx="26">
                  <c:v>124.09266721325585</c:v>
                </c:pt>
                <c:pt idx="27">
                  <c:v>123.97220489326934</c:v>
                </c:pt>
                <c:pt idx="28">
                  <c:v>123.97018586453261</c:v>
                </c:pt>
                <c:pt idx="29">
                  <c:v>123.96849358445334</c:v>
                </c:pt>
                <c:pt idx="30">
                  <c:v>123.96695327212331</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5339.3938402799959</c:v>
                </c:pt>
                <c:pt idx="1">
                  <c:v>5092.5436233397832</c:v>
                </c:pt>
                <c:pt idx="2">
                  <c:v>4862.2074038193541</c:v>
                </c:pt>
                <c:pt idx="3">
                  <c:v>4600.0447702643005</c:v>
                </c:pt>
                <c:pt idx="4">
                  <c:v>4335.4686548713016</c:v>
                </c:pt>
                <c:pt idx="5">
                  <c:v>4064.2446060274551</c:v>
                </c:pt>
                <c:pt idx="6">
                  <c:v>3775.0165221687416</c:v>
                </c:pt>
                <c:pt idx="7">
                  <c:v>3440.8792936987693</c:v>
                </c:pt>
                <c:pt idx="8">
                  <c:v>3007.0276986600152</c:v>
                </c:pt>
                <c:pt idx="9">
                  <c:v>2483.1842311274095</c:v>
                </c:pt>
                <c:pt idx="10">
                  <c:v>1877.3036191571002</c:v>
                </c:pt>
                <c:pt idx="11">
                  <c:v>1225.8372848665197</c:v>
                </c:pt>
                <c:pt idx="12">
                  <c:v>718.17933085631228</c:v>
                </c:pt>
                <c:pt idx="13">
                  <c:v>402.8254128419544</c:v>
                </c:pt>
                <c:pt idx="14">
                  <c:v>224.17774389747507</c:v>
                </c:pt>
                <c:pt idx="15">
                  <c:v>157.32573154577258</c:v>
                </c:pt>
                <c:pt idx="16">
                  <c:v>138.47466281617423</c:v>
                </c:pt>
                <c:pt idx="17">
                  <c:v>126.92176045152465</c:v>
                </c:pt>
                <c:pt idx="18">
                  <c:v>125.32043450442224</c:v>
                </c:pt>
                <c:pt idx="19">
                  <c:v>125.18975547765271</c:v>
                </c:pt>
                <c:pt idx="20">
                  <c:v>125.05583743141311</c:v>
                </c:pt>
                <c:pt idx="21">
                  <c:v>124.89217701523481</c:v>
                </c:pt>
                <c:pt idx="22">
                  <c:v>124.70815441395035</c:v>
                </c:pt>
                <c:pt idx="23">
                  <c:v>124.51586541667818</c:v>
                </c:pt>
                <c:pt idx="24">
                  <c:v>124.45612407089325</c:v>
                </c:pt>
                <c:pt idx="25">
                  <c:v>124.36413594438419</c:v>
                </c:pt>
                <c:pt idx="26">
                  <c:v>124.24957869452857</c:v>
                </c:pt>
                <c:pt idx="27">
                  <c:v>124.12464463468883</c:v>
                </c:pt>
                <c:pt idx="28">
                  <c:v>124.11696893794122</c:v>
                </c:pt>
                <c:pt idx="29">
                  <c:v>124.11273578228328</c:v>
                </c:pt>
                <c:pt idx="30">
                  <c:v>124.10930475258213</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4973.1641667493986</c:v>
                </c:pt>
                <c:pt idx="1">
                  <c:v>4659.596505568883</c:v>
                </c:pt>
                <c:pt idx="2">
                  <c:v>4385.9516115251872</c:v>
                </c:pt>
                <c:pt idx="3">
                  <c:v>4118.3569666620651</c:v>
                </c:pt>
                <c:pt idx="4">
                  <c:v>3829.8022738739742</c:v>
                </c:pt>
                <c:pt idx="5">
                  <c:v>3513.4556215320054</c:v>
                </c:pt>
                <c:pt idx="6">
                  <c:v>3097.9149297690292</c:v>
                </c:pt>
                <c:pt idx="7">
                  <c:v>2591.2184022941196</c:v>
                </c:pt>
                <c:pt idx="8">
                  <c:v>2005.3525724949279</c:v>
                </c:pt>
                <c:pt idx="9">
                  <c:v>1355.6696144527521</c:v>
                </c:pt>
                <c:pt idx="10">
                  <c:v>816.95203291347548</c:v>
                </c:pt>
                <c:pt idx="11">
                  <c:v>463.37163713330017</c:v>
                </c:pt>
                <c:pt idx="12">
                  <c:v>256.97131232473913</c:v>
                </c:pt>
                <c:pt idx="13">
                  <c:v>167.49490825050054</c:v>
                </c:pt>
                <c:pt idx="14">
                  <c:v>141.80358734877336</c:v>
                </c:pt>
                <c:pt idx="15">
                  <c:v>129.19132461504012</c:v>
                </c:pt>
                <c:pt idx="16">
                  <c:v>125.45582042457461</c:v>
                </c:pt>
                <c:pt idx="17">
                  <c:v>125.37751528072498</c:v>
                </c:pt>
                <c:pt idx="18">
                  <c:v>125.26241312398497</c:v>
                </c:pt>
                <c:pt idx="19">
                  <c:v>125.1369355609138</c:v>
                </c:pt>
                <c:pt idx="20">
                  <c:v>124.97859027478171</c:v>
                </c:pt>
                <c:pt idx="21">
                  <c:v>124.79521194858673</c:v>
                </c:pt>
                <c:pt idx="22">
                  <c:v>124.60066288549459</c:v>
                </c:pt>
                <c:pt idx="23">
                  <c:v>124.40326066206676</c:v>
                </c:pt>
                <c:pt idx="24">
                  <c:v>124.39897169961779</c:v>
                </c:pt>
                <c:pt idx="25">
                  <c:v>124.30647199515475</c:v>
                </c:pt>
                <c:pt idx="26">
                  <c:v>124.18164826003697</c:v>
                </c:pt>
                <c:pt idx="27">
                  <c:v>124.05329261398603</c:v>
                </c:pt>
                <c:pt idx="28">
                  <c:v>124.04585962671396</c:v>
                </c:pt>
                <c:pt idx="29">
                  <c:v>124.04225732695286</c:v>
                </c:pt>
                <c:pt idx="30">
                  <c:v>124.03970146521578</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118884792"/>
        <c:axId val="11888244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118884792"/>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18882440"/>
        <c:crosses val="autoZero"/>
        <c:crossBetween val="midCat"/>
        <c:majorUnit val="10000"/>
      </c:valAx>
      <c:valAx>
        <c:axId val="118882440"/>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18884792"/>
        <c:crosses val="autoZero"/>
        <c:crossBetween val="midCat"/>
        <c:majorUnit val="10"/>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5.8822277032040659E-6</c:v>
                </c:pt>
                <c:pt idx="1">
                  <c:v>3.1292460163817796E-7</c:v>
                </c:pt>
                <c:pt idx="2">
                  <c:v>3.4718330964651326E-6</c:v>
                </c:pt>
                <c:pt idx="3">
                  <c:v>4.6156941511685394E-6</c:v>
                </c:pt>
                <c:pt idx="4">
                  <c:v>4.9605879372074826E-6</c:v>
                </c:pt>
                <c:pt idx="5">
                  <c:v>5.0715933726541635E-6</c:v>
                </c:pt>
                <c:pt idx="6">
                  <c:v>5.101733771300321E-6</c:v>
                </c:pt>
                <c:pt idx="7">
                  <c:v>4.8484833132307447E-6</c:v>
                </c:pt>
                <c:pt idx="8">
                  <c:v>2.3494290079813154E-6</c:v>
                </c:pt>
                <c:pt idx="9">
                  <c:v>1.9635941321651737E-5</c:v>
                </c:pt>
                <c:pt idx="10">
                  <c:v>5.6438230560157287E-5</c:v>
                </c:pt>
                <c:pt idx="11">
                  <c:v>9.6370424747464401E-5</c:v>
                </c:pt>
                <c:pt idx="12">
                  <c:v>1.2158075574748361E-4</c:v>
                </c:pt>
                <c:pt idx="13">
                  <c:v>1.3192310963620831E-4</c:v>
                </c:pt>
                <c:pt idx="14">
                  <c:v>1.2397952283339808E-4</c:v>
                </c:pt>
                <c:pt idx="15">
                  <c:v>9.9573991067723118E-5</c:v>
                </c:pt>
                <c:pt idx="16">
                  <c:v>6.9148170083638413E-5</c:v>
                </c:pt>
                <c:pt idx="17">
                  <c:v>4.2395387991534269E-5</c:v>
                </c:pt>
                <c:pt idx="18">
                  <c:v>2.2662255004447853E-5</c:v>
                </c:pt>
                <c:pt idx="19">
                  <c:v>1.0238187651819631E-5</c:v>
                </c:pt>
                <c:pt idx="20">
                  <c:v>3.7673055354275083E-6</c:v>
                </c:pt>
                <c:pt idx="21">
                  <c:v>1.0874723665866416E-6</c:v>
                </c:pt>
                <c:pt idx="22">
                  <c:v>4.3265634545997811E-7</c:v>
                </c:pt>
                <c:pt idx="23">
                  <c:v>4.4314099117206064E-7</c:v>
                </c:pt>
                <c:pt idx="24">
                  <c:v>3.6912463764745561E-6</c:v>
                </c:pt>
                <c:pt idx="25">
                  <c:v>6.8933953209469683E-6</c:v>
                </c:pt>
                <c:pt idx="26">
                  <c:v>3.5096578114306925E-6</c:v>
                </c:pt>
                <c:pt idx="27">
                  <c:v>9.9295200893702312E-6</c:v>
                </c:pt>
                <c:pt idx="28">
                  <c:v>2.6026622173401142E-5</c:v>
                </c:pt>
                <c:pt idx="29">
                  <c:v>2.383951423653847E-5</c:v>
                </c:pt>
                <c:pt idx="30">
                  <c:v>8.705901078462246E-6</c:v>
                </c:pt>
              </c:numCache>
            </c:numRef>
          </c:yVal>
          <c:smooth val="1"/>
        </c:ser>
        <c:dLbls>
          <c:showLegendKey val="0"/>
          <c:showVal val="0"/>
          <c:showCatName val="0"/>
          <c:showSerName val="0"/>
          <c:showPercent val="0"/>
          <c:showBubbleSize val="0"/>
        </c:dLbls>
        <c:axId val="456217632"/>
        <c:axId val="456218416"/>
      </c:scatterChart>
      <c:valAx>
        <c:axId val="45621763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6218416"/>
        <c:crossesAt val="-1.5000000000000005E-3"/>
        <c:crossBetween val="midCat"/>
      </c:valAx>
      <c:valAx>
        <c:axId val="456218416"/>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6217632"/>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5924.2874974527258</c:v>
                </c:pt>
                <c:pt idx="1">
                  <c:v>5924.3241993050724</c:v>
                </c:pt>
                <c:pt idx="2">
                  <c:v>5924.3017770264787</c:v>
                </c:pt>
                <c:pt idx="3">
                  <c:v>5924.2949982314785</c:v>
                </c:pt>
                <c:pt idx="4">
                  <c:v>5924.2929325070927</c:v>
                </c:pt>
                <c:pt idx="5">
                  <c:v>5924.292050062164</c:v>
                </c:pt>
                <c:pt idx="6">
                  <c:v>5924.2896233399624</c:v>
                </c:pt>
                <c:pt idx="7">
                  <c:v>5924.2686453119095</c:v>
                </c:pt>
                <c:pt idx="8">
                  <c:v>5924.0589935262078</c:v>
                </c:pt>
                <c:pt idx="9">
                  <c:v>5921.976437640149</c:v>
                </c:pt>
                <c:pt idx="10">
                  <c:v>5902.5412392933085</c:v>
                </c:pt>
                <c:pt idx="11">
                  <c:v>5788.7691117948852</c:v>
                </c:pt>
                <c:pt idx="12">
                  <c:v>5647.748615055857</c:v>
                </c:pt>
                <c:pt idx="13">
                  <c:v>5493.0807600988655</c:v>
                </c:pt>
                <c:pt idx="14">
                  <c:v>5310.1724689095536</c:v>
                </c:pt>
                <c:pt idx="15">
                  <c:v>5116.9183384452708</c:v>
                </c:pt>
                <c:pt idx="16">
                  <c:v>4889.0072432178858</c:v>
                </c:pt>
                <c:pt idx="17">
                  <c:v>4599.1409750767552</c:v>
                </c:pt>
                <c:pt idx="18">
                  <c:v>4272.3926167684576</c:v>
                </c:pt>
                <c:pt idx="19">
                  <c:v>3941.1470093551798</c:v>
                </c:pt>
                <c:pt idx="20">
                  <c:v>3608.495032401398</c:v>
                </c:pt>
                <c:pt idx="21">
                  <c:v>3262.5462100054015</c:v>
                </c:pt>
                <c:pt idx="22">
                  <c:v>2841.314577864513</c:v>
                </c:pt>
                <c:pt idx="23">
                  <c:v>2350.4004054830193</c:v>
                </c:pt>
                <c:pt idx="24">
                  <c:v>1794.2797745605371</c:v>
                </c:pt>
                <c:pt idx="25">
                  <c:v>1192.7526197056241</c:v>
                </c:pt>
                <c:pt idx="26">
                  <c:v>712.56207316539314</c:v>
                </c:pt>
                <c:pt idx="27">
                  <c:v>405.79350694215293</c:v>
                </c:pt>
                <c:pt idx="28">
                  <c:v>227.75650575396227</c:v>
                </c:pt>
                <c:pt idx="29">
                  <c:v>157.27484077697326</c:v>
                </c:pt>
                <c:pt idx="30">
                  <c:v>137.32830205333357</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5924.3223454607651</c:v>
                </c:pt>
                <c:pt idx="1">
                  <c:v>5924.3223454382824</c:v>
                </c:pt>
                <c:pt idx="2">
                  <c:v>5924.3223452134616</c:v>
                </c:pt>
                <c:pt idx="3">
                  <c:v>5924.3223429652517</c:v>
                </c:pt>
                <c:pt idx="4">
                  <c:v>5924.3223204831502</c:v>
                </c:pt>
                <c:pt idx="5">
                  <c:v>5924.3220956624627</c:v>
                </c:pt>
                <c:pt idx="6">
                  <c:v>5924.3198474884048</c:v>
                </c:pt>
                <c:pt idx="7">
                  <c:v>5924.2973690295794</c:v>
                </c:pt>
                <c:pt idx="8">
                  <c:v>5924.0729116822522</c:v>
                </c:pt>
                <c:pt idx="9">
                  <c:v>5921.8601540583113</c:v>
                </c:pt>
                <c:pt idx="10">
                  <c:v>5902.2081103099545</c:v>
                </c:pt>
                <c:pt idx="11">
                  <c:v>5789.3269779329539</c:v>
                </c:pt>
                <c:pt idx="12">
                  <c:v>5647.0619575109667</c:v>
                </c:pt>
                <c:pt idx="13">
                  <c:v>5493.8054243942206</c:v>
                </c:pt>
                <c:pt idx="14">
                  <c:v>5309.5141162606951</c:v>
                </c:pt>
                <c:pt idx="15">
                  <c:v>5117.4278504261974</c:v>
                </c:pt>
                <c:pt idx="16">
                  <c:v>4888.6691773134917</c:v>
                </c:pt>
                <c:pt idx="17">
                  <c:v>4599.3359574428214</c:v>
                </c:pt>
                <c:pt idx="18">
                  <c:v>4272.2957947174973</c:v>
                </c:pt>
                <c:pt idx="19">
                  <c:v>3941.1873595578249</c:v>
                </c:pt>
                <c:pt idx="20">
                  <c:v>3608.4814380980879</c:v>
                </c:pt>
                <c:pt idx="21">
                  <c:v>3262.5497579342496</c:v>
                </c:pt>
                <c:pt idx="22">
                  <c:v>2841.3133485517315</c:v>
                </c:pt>
                <c:pt idx="23">
                  <c:v>2350.399363924254</c:v>
                </c:pt>
                <c:pt idx="24">
                  <c:v>1794.2863976892534</c:v>
                </c:pt>
                <c:pt idx="25">
                  <c:v>1192.7443975902963</c:v>
                </c:pt>
                <c:pt idx="26">
                  <c:v>712.56457401443936</c:v>
                </c:pt>
                <c:pt idx="27">
                  <c:v>405.79753627693225</c:v>
                </c:pt>
                <c:pt idx="28">
                  <c:v>227.75057802143948</c:v>
                </c:pt>
                <c:pt idx="29">
                  <c:v>157.27859013277902</c:v>
                </c:pt>
                <c:pt idx="30">
                  <c:v>137.32710648672062</c:v>
                </c:pt>
              </c:numCache>
            </c:numRef>
          </c:yVal>
          <c:smooth val="1"/>
        </c:ser>
        <c:dLbls>
          <c:showLegendKey val="0"/>
          <c:showVal val="0"/>
          <c:showCatName val="0"/>
          <c:showSerName val="0"/>
          <c:showPercent val="0"/>
          <c:showBubbleSize val="0"/>
        </c:dLbls>
        <c:axId val="395079808"/>
        <c:axId val="395079024"/>
      </c:scatterChart>
      <c:valAx>
        <c:axId val="39507980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95079024"/>
        <c:crosses val="autoZero"/>
        <c:crossBetween val="midCat"/>
      </c:valAx>
      <c:valAx>
        <c:axId val="3950790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95079808"/>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2.5912227231022918E-3</c:v>
                </c:pt>
                <c:pt idx="1">
                  <c:v>2.977476313620889E-3</c:v>
                </c:pt>
                <c:pt idx="2">
                  <c:v>3.55804184186451E-3</c:v>
                </c:pt>
                <c:pt idx="3">
                  <c:v>3.5609660630906178E-3</c:v>
                </c:pt>
                <c:pt idx="4">
                  <c:v>3.5606207597331605E-3</c:v>
                </c:pt>
                <c:pt idx="5">
                  <c:v>3.5604819613449827E-3</c:v>
                </c:pt>
                <c:pt idx="6">
                  <c:v>3.5604379523025836E-3</c:v>
                </c:pt>
                <c:pt idx="7">
                  <c:v>3.560431183741971E-3</c:v>
                </c:pt>
                <c:pt idx="8">
                  <c:v>3.5604312046762141E-3</c:v>
                </c:pt>
                <c:pt idx="9">
                  <c:v>3.5604314140177257E-3</c:v>
                </c:pt>
                <c:pt idx="10">
                  <c:v>3.5604335074332994E-3</c:v>
                </c:pt>
                <c:pt idx="11">
                  <c:v>3.5604476709171677E-3</c:v>
                </c:pt>
                <c:pt idx="12">
                  <c:v>3.5605486801658539E-3</c:v>
                </c:pt>
                <c:pt idx="13">
                  <c:v>3.5614807436193138E-3</c:v>
                </c:pt>
                <c:pt idx="14">
                  <c:v>3.5708592287695086E-3</c:v>
                </c:pt>
                <c:pt idx="15">
                  <c:v>3.6632410127314008E-3</c:v>
                </c:pt>
                <c:pt idx="16">
                  <c:v>4.4703848647995037E-3</c:v>
                </c:pt>
                <c:pt idx="17">
                  <c:v>8.6305644188585055E-3</c:v>
                </c:pt>
                <c:pt idx="18">
                  <c:v>1.0454334578862188E-2</c:v>
                </c:pt>
                <c:pt idx="19">
                  <c:v>8.8520024972939277E-3</c:v>
                </c:pt>
                <c:pt idx="20">
                  <c:v>8.4780680945316465E-3</c:v>
                </c:pt>
                <c:pt idx="21">
                  <c:v>4.3627234066218297E-3</c:v>
                </c:pt>
                <c:pt idx="22">
                  <c:v>1.9173763361477032E-2</c:v>
                </c:pt>
                <c:pt idx="23">
                  <c:v>3.0800294895267324E-2</c:v>
                </c:pt>
                <c:pt idx="24">
                  <c:v>3.1187177108281214E-2</c:v>
                </c:pt>
                <c:pt idx="25">
                  <c:v>2.1968816392443968E-2</c:v>
                </c:pt>
                <c:pt idx="26">
                  <c:v>1.2784393975259463E-2</c:v>
                </c:pt>
                <c:pt idx="27">
                  <c:v>3.1351447610273317E-3</c:v>
                </c:pt>
                <c:pt idx="28">
                  <c:v>7.3484892965274161E-3</c:v>
                </c:pt>
                <c:pt idx="29">
                  <c:v>3.0295134823547124E-2</c:v>
                </c:pt>
                <c:pt idx="30">
                  <c:v>5.6272354051935869E-2</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5.8822277032040659E-6</c:v>
                </c:pt>
                <c:pt idx="1">
                  <c:v>3.1292460194521538E-7</c:v>
                </c:pt>
                <c:pt idx="2">
                  <c:v>3.4718330909384375E-6</c:v>
                </c:pt>
                <c:pt idx="3">
                  <c:v>4.6156940943663304E-6</c:v>
                </c:pt>
                <c:pt idx="4">
                  <c:v>4.9605873708739145E-6</c:v>
                </c:pt>
                <c:pt idx="5">
                  <c:v>5.0715877099317177E-6</c:v>
                </c:pt>
                <c:pt idx="6">
                  <c:v>5.1016771463554579E-6</c:v>
                </c:pt>
                <c:pt idx="7">
                  <c:v>4.847917211459166E-6</c:v>
                </c:pt>
                <c:pt idx="8">
                  <c:v>2.3437827562121742E-6</c:v>
                </c:pt>
                <c:pt idx="9">
                  <c:v>1.9690987949275783E-5</c:v>
                </c:pt>
                <c:pt idx="10">
                  <c:v>5.6890513971184819E-5</c:v>
                </c:pt>
                <c:pt idx="11">
                  <c:v>9.4513887548242374E-5</c:v>
                </c:pt>
                <c:pt idx="12">
                  <c:v>1.2298056803359067E-4</c:v>
                </c:pt>
                <c:pt idx="13">
                  <c:v>1.2985679469243889E-4</c:v>
                </c:pt>
                <c:pt idx="14">
                  <c:v>1.2606127474142767E-4</c:v>
                </c:pt>
                <c:pt idx="15">
                  <c:v>9.7279463750948601E-5</c:v>
                </c:pt>
                <c:pt idx="16">
                  <c:v>7.2210643701427638E-5</c:v>
                </c:pt>
                <c:pt idx="17">
                  <c:v>3.8653242421412938E-5</c:v>
                </c:pt>
                <c:pt idx="18">
                  <c:v>2.6697501521095692E-5</c:v>
                </c:pt>
                <c:pt idx="19">
                  <c:v>6.0428549461299315E-6</c:v>
                </c:pt>
                <c:pt idx="20">
                  <c:v>8.6200376858590996E-6</c:v>
                </c:pt>
                <c:pt idx="21">
                  <c:v>4.0054269599130844E-6</c:v>
                </c:pt>
                <c:pt idx="22">
                  <c:v>1.1165000795255913E-5</c:v>
                </c:pt>
                <c:pt idx="23">
                  <c:v>1.4631336897258769E-5</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1.2896299420176716E-3</c:v>
                </c:pt>
                <c:pt idx="1">
                  <c:v>1.2836997555339901E-3</c:v>
                </c:pt>
                <c:pt idx="2">
                  <c:v>1.2903219331548332E-3</c:v>
                </c:pt>
                <c:pt idx="3">
                  <c:v>1.3197622731507964E-3</c:v>
                </c:pt>
                <c:pt idx="4">
                  <c:v>1.602030614077822E-3</c:v>
                </c:pt>
                <c:pt idx="5">
                  <c:v>3.9871019497986718E-3</c:v>
                </c:pt>
                <c:pt idx="6">
                  <c:v>4.0429862310043556E-3</c:v>
                </c:pt>
                <c:pt idx="7">
                  <c:v>6.4024511654383262E-3</c:v>
                </c:pt>
                <c:pt idx="8">
                  <c:v>6.3311078548779296E-3</c:v>
                </c:pt>
                <c:pt idx="9">
                  <c:v>8.5792847205800292E-3</c:v>
                </c:pt>
                <c:pt idx="10">
                  <c:v>9.1906928853432383E-3</c:v>
                </c:pt>
                <c:pt idx="11">
                  <c:v>1.0372633649862831E-2</c:v>
                </c:pt>
                <c:pt idx="12">
                  <c:v>4.2425948881966826E-3</c:v>
                </c:pt>
                <c:pt idx="13">
                  <c:v>1.0625630900614158E-2</c:v>
                </c:pt>
                <c:pt idx="14">
                  <c:v>2.2912603601421652E-2</c:v>
                </c:pt>
                <c:pt idx="15">
                  <c:v>3.4997547803359598E-2</c:v>
                </c:pt>
                <c:pt idx="16">
                  <c:v>2.3599411097076518E-2</c:v>
                </c:pt>
                <c:pt idx="17">
                  <c:v>1.8271912121769721E-2</c:v>
                </c:pt>
                <c:pt idx="18">
                  <c:v>2.4662786017610027E-3</c:v>
                </c:pt>
                <c:pt idx="19">
                  <c:v>3.3432050897673878E-2</c:v>
                </c:pt>
                <c:pt idx="20">
                  <c:v>3.8554138135911339E-2</c:v>
                </c:pt>
                <c:pt idx="21">
                  <c:v>7.3171819191501675E-2</c:v>
                </c:pt>
                <c:pt idx="22">
                  <c:v>6.7183287614640846E-2</c:v>
                </c:pt>
                <c:pt idx="23">
                  <c:v>6.21383081470753E-2</c:v>
                </c:pt>
                <c:pt idx="24">
                  <c:v>2.1297328380498533E-2</c:v>
                </c:pt>
                <c:pt idx="25">
                  <c:v>2.6188404283128586E-3</c:v>
                </c:pt>
                <c:pt idx="26">
                  <c:v>0.2787521040335264</c:v>
                </c:pt>
                <c:pt idx="27">
                  <c:v>0.37105146512575843</c:v>
                </c:pt>
                <c:pt idx="28">
                  <c:v>0.37104123719809567</c:v>
                </c:pt>
                <c:pt idx="29">
                  <c:v>0.37103265135217472</c:v>
                </c:pt>
                <c:pt idx="30">
                  <c:v>0.37102483631649996</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2.5021701412077115E-3</c:v>
                </c:pt>
                <c:pt idx="1">
                  <c:v>1.2418336048727198E-2</c:v>
                </c:pt>
                <c:pt idx="2">
                  <c:v>3.3796473948505472E-3</c:v>
                </c:pt>
                <c:pt idx="3">
                  <c:v>1.1315120632180266E-2</c:v>
                </c:pt>
                <c:pt idx="4">
                  <c:v>2.1706835920773972E-2</c:v>
                </c:pt>
                <c:pt idx="5">
                  <c:v>3.1091670943440574E-2</c:v>
                </c:pt>
                <c:pt idx="6">
                  <c:v>1.3202546994643854E-2</c:v>
                </c:pt>
                <c:pt idx="7">
                  <c:v>1.1180391268734897E-2</c:v>
                </c:pt>
                <c:pt idx="8">
                  <c:v>1.2127605628294024E-2</c:v>
                </c:pt>
                <c:pt idx="9">
                  <c:v>6.3787526942570213E-2</c:v>
                </c:pt>
                <c:pt idx="10">
                  <c:v>6.6135748882085704E-2</c:v>
                </c:pt>
                <c:pt idx="11">
                  <c:v>0.10541790253647661</c:v>
                </c:pt>
                <c:pt idx="12">
                  <c:v>8.6999760512066232E-2</c:v>
                </c:pt>
                <c:pt idx="13">
                  <c:v>3.3187103148704093E-2</c:v>
                </c:pt>
                <c:pt idx="14">
                  <c:v>2.9289673026032179E-3</c:v>
                </c:pt>
                <c:pt idx="15">
                  <c:v>4.8782857103041727E-2</c:v>
                </c:pt>
                <c:pt idx="16">
                  <c:v>0.36628345502171189</c:v>
                </c:pt>
                <c:pt idx="17">
                  <c:v>0.37810113279804586</c:v>
                </c:pt>
                <c:pt idx="18">
                  <c:v>0.37752967725041675</c:v>
                </c:pt>
                <c:pt idx="19">
                  <c:v>0.37690551253971288</c:v>
                </c:pt>
                <c:pt idx="20">
                  <c:v>0.37611606472559289</c:v>
                </c:pt>
                <c:pt idx="21">
                  <c:v>0.3751993084654433</c:v>
                </c:pt>
                <c:pt idx="22">
                  <c:v>0.37422375676016006</c:v>
                </c:pt>
                <c:pt idx="23">
                  <c:v>0.37323077939665333</c:v>
                </c:pt>
                <c:pt idx="24">
                  <c:v>0.37320916997645792</c:v>
                </c:pt>
                <c:pt idx="25">
                  <c:v>0.37274275848873117</c:v>
                </c:pt>
                <c:pt idx="26">
                  <c:v>0.37211225798513692</c:v>
                </c:pt>
                <c:pt idx="27">
                  <c:v>0.37146259415860267</c:v>
                </c:pt>
                <c:pt idx="28">
                  <c:v>0.37142493138975491</c:v>
                </c:pt>
                <c:pt idx="29">
                  <c:v>0.37140667699912805</c:v>
                </c:pt>
                <c:pt idx="30">
                  <c:v>0.3713937247136625</c:v>
                </c:pt>
              </c:numCache>
            </c:numRef>
          </c:yVal>
          <c:smooth val="1"/>
        </c:ser>
        <c:dLbls>
          <c:showLegendKey val="0"/>
          <c:showVal val="0"/>
          <c:showCatName val="0"/>
          <c:showSerName val="0"/>
          <c:showPercent val="0"/>
          <c:showBubbleSize val="0"/>
        </c:dLbls>
        <c:axId val="451372800"/>
        <c:axId val="451373192"/>
      </c:scatterChart>
      <c:valAx>
        <c:axId val="45137280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373192"/>
        <c:crossesAt val="1.0000000000000005E-9"/>
        <c:crossBetween val="midCat"/>
      </c:valAx>
      <c:valAx>
        <c:axId val="4513731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372800"/>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-14.406800109604639</c:v>
                </c:pt>
                <c:pt idx="1">
                  <c:v>-10.950515452938541</c:v>
                </c:pt>
                <c:pt idx="2">
                  <c:v>-6.5770330385822291</c:v>
                </c:pt>
                <c:pt idx="3">
                  <c:v>0</c:v>
                </c:pt>
                <c:pt idx="4">
                  <c:v>12.063922953615501</c:v>
                </c:pt>
                <c:pt idx="5">
                  <c:v>31.8000897176249</c:v>
                </c:pt>
                <c:pt idx="6">
                  <c:v>35.861537922668312</c:v>
                </c:pt>
              </c:numCache>
            </c:numRef>
          </c:yVal>
          <c:smooth val="0"/>
        </c:ser>
        <c:dLbls>
          <c:showLegendKey val="0"/>
          <c:showVal val="0"/>
          <c:showCatName val="0"/>
          <c:showSerName val="0"/>
          <c:showPercent val="0"/>
          <c:showBubbleSize val="0"/>
        </c:dLbls>
        <c:axId val="454362000"/>
        <c:axId val="567455000"/>
      </c:scatterChart>
      <c:valAx>
        <c:axId val="4543620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67455000"/>
        <c:crossesAt val="-100"/>
        <c:crossBetween val="midCat"/>
      </c:valAx>
      <c:valAx>
        <c:axId val="56745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362000"/>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5945.4862308501361</c:v>
                </c:pt>
                <c:pt idx="1">
                  <c:v>5945.5233978276192</c:v>
                </c:pt>
                <c:pt idx="2">
                  <c:v>5945.5006733975988</c:v>
                </c:pt>
                <c:pt idx="3">
                  <c:v>5945.4940479964844</c:v>
                </c:pt>
                <c:pt idx="4">
                  <c:v>5945.491987661344</c:v>
                </c:pt>
                <c:pt idx="5">
                  <c:v>5945.4911594878167</c:v>
                </c:pt>
                <c:pt idx="6">
                  <c:v>5945.4908968962591</c:v>
                </c:pt>
                <c:pt idx="7">
                  <c:v>5945.4908564975603</c:v>
                </c:pt>
                <c:pt idx="8">
                  <c:v>5945.4908564975603</c:v>
                </c:pt>
                <c:pt idx="9">
                  <c:v>5945.4908564975603</c:v>
                </c:pt>
                <c:pt idx="10">
                  <c:v>5945.4908564975603</c:v>
                </c:pt>
                <c:pt idx="11">
                  <c:v>5945.4908160988625</c:v>
                </c:pt>
                <c:pt idx="12">
                  <c:v>5945.4901697197583</c:v>
                </c:pt>
                <c:pt idx="13">
                  <c:v>5945.4832413525728</c:v>
                </c:pt>
                <c:pt idx="14">
                  <c:v>5945.4144029430536</c:v>
                </c:pt>
                <c:pt idx="15">
                  <c:v>5944.7274999078909</c:v>
                </c:pt>
                <c:pt idx="16">
                  <c:v>5938.0129605513939</c:v>
                </c:pt>
                <c:pt idx="17">
                  <c:v>5884.0318384088569</c:v>
                </c:pt>
                <c:pt idx="18">
                  <c:v>5738.5639340162998</c:v>
                </c:pt>
                <c:pt idx="19">
                  <c:v>5588.2751906456833</c:v>
                </c:pt>
                <c:pt idx="20">
                  <c:v>5399.4936644871386</c:v>
                </c:pt>
                <c:pt idx="21">
                  <c:v>5141.8460502498219</c:v>
                </c:pt>
                <c:pt idx="22">
                  <c:v>4855.3493085479013</c:v>
                </c:pt>
                <c:pt idx="23">
                  <c:v>4530.5898566513597</c:v>
                </c:pt>
                <c:pt idx="24">
                  <c:v>4215.1902304511941</c:v>
                </c:pt>
                <c:pt idx="25">
                  <c:v>3929.081471457625</c:v>
                </c:pt>
                <c:pt idx="26">
                  <c:v>3641.242030569621</c:v>
                </c:pt>
                <c:pt idx="27">
                  <c:v>3352.5216988135498</c:v>
                </c:pt>
                <c:pt idx="28">
                  <c:v>2996.6335305209523</c:v>
                </c:pt>
                <c:pt idx="29">
                  <c:v>2563.0064610610193</c:v>
                </c:pt>
                <c:pt idx="30">
                  <c:v>2059.5134179476377</c:v>
                </c:pt>
              </c:numCache>
            </c:numRef>
          </c:yVal>
          <c:smooth val="0"/>
        </c:ser>
        <c:dLbls>
          <c:showLegendKey val="0"/>
          <c:showVal val="0"/>
          <c:showCatName val="0"/>
          <c:showSerName val="0"/>
          <c:showPercent val="0"/>
          <c:showBubbleSize val="0"/>
        </c:dLbls>
        <c:axId val="444853984"/>
        <c:axId val="444857904"/>
      </c:scatterChart>
      <c:valAx>
        <c:axId val="444853984"/>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857904"/>
        <c:crosses val="autoZero"/>
        <c:crossBetween val="midCat"/>
      </c:valAx>
      <c:valAx>
        <c:axId val="444857904"/>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853984"/>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5.5361291178458031E-22</c:v>
                </c:pt>
                <c:pt idx="1">
                  <c:v>5.536129117845803E-21</c:v>
                </c:pt>
                <c:pt idx="2">
                  <c:v>5.5361291178458031E-20</c:v>
                </c:pt>
                <c:pt idx="3">
                  <c:v>5.5361291178458031E-19</c:v>
                </c:pt>
                <c:pt idx="4">
                  <c:v>5.5361291178458027E-18</c:v>
                </c:pt>
                <c:pt idx="5">
                  <c:v>5.5361291178458029E-17</c:v>
                </c:pt>
                <c:pt idx="6">
                  <c:v>5.5361291178458028E-16</c:v>
                </c:pt>
                <c:pt idx="7">
                  <c:v>5.5361291178458028E-15</c:v>
                </c:pt>
                <c:pt idx="8">
                  <c:v>5.5361291178458024E-14</c:v>
                </c:pt>
                <c:pt idx="9">
                  <c:v>5.5361291178458022E-13</c:v>
                </c:pt>
                <c:pt idx="10">
                  <c:v>5.536129117845803E-12</c:v>
                </c:pt>
                <c:pt idx="11">
                  <c:v>5.5361291178458032E-11</c:v>
                </c:pt>
                <c:pt idx="12">
                  <c:v>5.5361291178458029E-10</c:v>
                </c:pt>
                <c:pt idx="13">
                  <c:v>5.5361291178458027E-9</c:v>
                </c:pt>
                <c:pt idx="14">
                  <c:v>5.5361291178458029E-8</c:v>
                </c:pt>
                <c:pt idx="15">
                  <c:v>5.5361291178458027E-7</c:v>
                </c:pt>
                <c:pt idx="16">
                  <c:v>5.5361291178458029E-6</c:v>
                </c:pt>
                <c:pt idx="17">
                  <c:v>5.5361291178458028E-5</c:v>
                </c:pt>
                <c:pt idx="18">
                  <c:v>5.5361291178458033E-4</c:v>
                </c:pt>
                <c:pt idx="19">
                  <c:v>5.5361291178458024E-3</c:v>
                </c:pt>
                <c:pt idx="20">
                  <c:v>5.5361291178458026E-2</c:v>
                </c:pt>
                <c:pt idx="21">
                  <c:v>0.55361291178458027</c:v>
                </c:pt>
                <c:pt idx="22">
                  <c:v>5.5361291178458032</c:v>
                </c:pt>
                <c:pt idx="23">
                  <c:v>55.361291178458032</c:v>
                </c:pt>
                <c:pt idx="24">
                  <c:v>553.61291178458032</c:v>
                </c:pt>
                <c:pt idx="25">
                  <c:v>5536.1291178458032</c:v>
                </c:pt>
                <c:pt idx="26">
                  <c:v>55361.291178458028</c:v>
                </c:pt>
                <c:pt idx="27">
                  <c:v>553612.91178458033</c:v>
                </c:pt>
                <c:pt idx="28">
                  <c:v>5536129.1178458026</c:v>
                </c:pt>
                <c:pt idx="29">
                  <c:v>55361291.178458028</c:v>
                </c:pt>
                <c:pt idx="30">
                  <c:v>553612911.78458023</c:v>
                </c:pt>
              </c:numCache>
            </c:numRef>
          </c:xVal>
          <c:yVal>
            <c:numRef>
              <c:f>'Mastercurve bestimmen'!$J$404:$J$434</c:f>
              <c:numCache>
                <c:formatCode>0.00E+00</c:formatCode>
                <c:ptCount val="31"/>
                <c:pt idx="0">
                  <c:v>5945.4862308501361</c:v>
                </c:pt>
                <c:pt idx="1">
                  <c:v>5945.5233978276192</c:v>
                </c:pt>
                <c:pt idx="2">
                  <c:v>5945.5006733975988</c:v>
                </c:pt>
                <c:pt idx="3">
                  <c:v>5945.4940479964844</c:v>
                </c:pt>
                <c:pt idx="4">
                  <c:v>5945.491987661344</c:v>
                </c:pt>
                <c:pt idx="5">
                  <c:v>5945.4911594878167</c:v>
                </c:pt>
                <c:pt idx="6">
                  <c:v>5945.4908968962591</c:v>
                </c:pt>
                <c:pt idx="7">
                  <c:v>5945.4908564975603</c:v>
                </c:pt>
                <c:pt idx="8">
                  <c:v>5945.4908564975603</c:v>
                </c:pt>
                <c:pt idx="9">
                  <c:v>5945.4908564975603</c:v>
                </c:pt>
                <c:pt idx="10">
                  <c:v>5945.4908564975603</c:v>
                </c:pt>
                <c:pt idx="11">
                  <c:v>5945.4908160988625</c:v>
                </c:pt>
                <c:pt idx="12">
                  <c:v>5945.4901697197583</c:v>
                </c:pt>
                <c:pt idx="13">
                  <c:v>5945.4832413525728</c:v>
                </c:pt>
                <c:pt idx="14">
                  <c:v>5945.4144029430536</c:v>
                </c:pt>
                <c:pt idx="15">
                  <c:v>5944.7274999078909</c:v>
                </c:pt>
                <c:pt idx="16">
                  <c:v>5938.0129605513939</c:v>
                </c:pt>
                <c:pt idx="17">
                  <c:v>5884.0318384088569</c:v>
                </c:pt>
                <c:pt idx="18">
                  <c:v>5738.5639340162998</c:v>
                </c:pt>
                <c:pt idx="19">
                  <c:v>5588.2751906456833</c:v>
                </c:pt>
                <c:pt idx="20">
                  <c:v>5399.4936644871386</c:v>
                </c:pt>
                <c:pt idx="21">
                  <c:v>5141.8460502498219</c:v>
                </c:pt>
                <c:pt idx="22">
                  <c:v>4855.3493085479013</c:v>
                </c:pt>
                <c:pt idx="23">
                  <c:v>4530.5898566513597</c:v>
                </c:pt>
                <c:pt idx="24">
                  <c:v>4215.1902304511941</c:v>
                </c:pt>
                <c:pt idx="25">
                  <c:v>3929.081471457625</c:v>
                </c:pt>
                <c:pt idx="26">
                  <c:v>3641.242030569621</c:v>
                </c:pt>
                <c:pt idx="27">
                  <c:v>3352.5216988135498</c:v>
                </c:pt>
                <c:pt idx="28">
                  <c:v>2996.6335305209523</c:v>
                </c:pt>
                <c:pt idx="29">
                  <c:v>2563.0064610610193</c:v>
                </c:pt>
                <c:pt idx="30">
                  <c:v>2059.5134179476377</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1.7548967302632991E-20</c:v>
                </c:pt>
                <c:pt idx="1">
                  <c:v>1.7548967302632989E-19</c:v>
                </c:pt>
                <c:pt idx="2">
                  <c:v>1.754896730263299E-18</c:v>
                </c:pt>
                <c:pt idx="3">
                  <c:v>1.7548967302632987E-17</c:v>
                </c:pt>
                <c:pt idx="4">
                  <c:v>1.7548967302632987E-16</c:v>
                </c:pt>
                <c:pt idx="5">
                  <c:v>1.7548967302632989E-15</c:v>
                </c:pt>
                <c:pt idx="6">
                  <c:v>1.7548967302632989E-14</c:v>
                </c:pt>
                <c:pt idx="7">
                  <c:v>1.754896730263299E-13</c:v>
                </c:pt>
                <c:pt idx="8">
                  <c:v>1.7548967302632988E-12</c:v>
                </c:pt>
                <c:pt idx="9">
                  <c:v>1.7548967302632989E-11</c:v>
                </c:pt>
                <c:pt idx="10">
                  <c:v>1.754896730263299E-10</c:v>
                </c:pt>
                <c:pt idx="11">
                  <c:v>1.754896730263299E-9</c:v>
                </c:pt>
                <c:pt idx="12">
                  <c:v>1.754896730263299E-8</c:v>
                </c:pt>
                <c:pt idx="13">
                  <c:v>1.7548967302632988E-7</c:v>
                </c:pt>
                <c:pt idx="14">
                  <c:v>1.7548967302632988E-6</c:v>
                </c:pt>
                <c:pt idx="15">
                  <c:v>1.7548967302632987E-5</c:v>
                </c:pt>
                <c:pt idx="16">
                  <c:v>1.7548967302632987E-4</c:v>
                </c:pt>
                <c:pt idx="17">
                  <c:v>1.7548967302632988E-3</c:v>
                </c:pt>
                <c:pt idx="18">
                  <c:v>1.7548967302632987E-2</c:v>
                </c:pt>
                <c:pt idx="19">
                  <c:v>0.1754896730263299</c:v>
                </c:pt>
                <c:pt idx="20">
                  <c:v>1.7548967302632987</c:v>
                </c:pt>
                <c:pt idx="21">
                  <c:v>17.548967302632988</c:v>
                </c:pt>
                <c:pt idx="22">
                  <c:v>175.48967302632988</c:v>
                </c:pt>
                <c:pt idx="23">
                  <c:v>1754.8967302632989</c:v>
                </c:pt>
                <c:pt idx="24">
                  <c:v>17548.967302632987</c:v>
                </c:pt>
                <c:pt idx="25">
                  <c:v>175489.6730263299</c:v>
                </c:pt>
                <c:pt idx="26">
                  <c:v>1754896.7302632988</c:v>
                </c:pt>
                <c:pt idx="27">
                  <c:v>17548967.302632987</c:v>
                </c:pt>
                <c:pt idx="28">
                  <c:v>175489673.02632987</c:v>
                </c:pt>
                <c:pt idx="29">
                  <c:v>1754896730.2632987</c:v>
                </c:pt>
                <c:pt idx="30">
                  <c:v>17548967302.632988</c:v>
                </c:pt>
              </c:numCache>
            </c:numRef>
          </c:xVal>
          <c:yVal>
            <c:numRef>
              <c:f>'Mastercurve bestimmen'!$K$404:$K$434</c:f>
              <c:numCache>
                <c:formatCode>0.00E+00</c:formatCode>
                <c:ptCount val="31"/>
                <c:pt idx="0">
                  <c:v>5936.3433151657146</c:v>
                </c:pt>
                <c:pt idx="1">
                  <c:v>5936.3803075081632</c:v>
                </c:pt>
                <c:pt idx="2">
                  <c:v>5936.3578341520697</c:v>
                </c:pt>
                <c:pt idx="3">
                  <c:v>5936.3510277390824</c:v>
                </c:pt>
                <c:pt idx="4">
                  <c:v>5936.3489535985827</c:v>
                </c:pt>
                <c:pt idx="5">
                  <c:v>5936.3483494802622</c:v>
                </c:pt>
                <c:pt idx="6">
                  <c:v>5936.3480675584215</c:v>
                </c:pt>
                <c:pt idx="7">
                  <c:v>5936.3480474211492</c:v>
                </c:pt>
                <c:pt idx="8">
                  <c:v>5936.3478259111525</c:v>
                </c:pt>
                <c:pt idx="9">
                  <c:v>5936.3478259111525</c:v>
                </c:pt>
                <c:pt idx="10">
                  <c:v>5936.3475238520905</c:v>
                </c:pt>
                <c:pt idx="11">
                  <c:v>5936.3452282042372</c:v>
                </c:pt>
                <c:pt idx="12">
                  <c:v>5936.3201171545998</c:v>
                </c:pt>
                <c:pt idx="13">
                  <c:v>5936.0699445696901</c:v>
                </c:pt>
                <c:pt idx="14">
                  <c:v>5933.5894562136173</c:v>
                </c:pt>
                <c:pt idx="15">
                  <c:v>5910.7352387881974</c:v>
                </c:pt>
                <c:pt idx="16">
                  <c:v>5788.6039225333288</c:v>
                </c:pt>
                <c:pt idx="17">
                  <c:v>5645.2982525424422</c:v>
                </c:pt>
                <c:pt idx="18">
                  <c:v>5477.0166152184411</c:v>
                </c:pt>
                <c:pt idx="19">
                  <c:v>5242.9581566849647</c:v>
                </c:pt>
                <c:pt idx="20">
                  <c:v>4967.1522364522052</c:v>
                </c:pt>
                <c:pt idx="21">
                  <c:v>4663.1486629646943</c:v>
                </c:pt>
                <c:pt idx="22">
                  <c:v>4346.263159926043</c:v>
                </c:pt>
                <c:pt idx="23">
                  <c:v>4052.7215067045913</c:v>
                </c:pt>
                <c:pt idx="24">
                  <c:v>3771.4995408899726</c:v>
                </c:pt>
                <c:pt idx="25">
                  <c:v>3487.2930712528305</c:v>
                </c:pt>
                <c:pt idx="26">
                  <c:v>3171.2944430186703</c:v>
                </c:pt>
                <c:pt idx="27">
                  <c:v>2771.7245513357993</c:v>
                </c:pt>
                <c:pt idx="28">
                  <c:v>2294.6891766146468</c:v>
                </c:pt>
                <c:pt idx="29">
                  <c:v>1744.1842965326991</c:v>
                </c:pt>
                <c:pt idx="30">
                  <c:v>1149.8282974544306</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1.3919731047146803E-18</c:v>
                </c:pt>
                <c:pt idx="1">
                  <c:v>1.3919731047146802E-17</c:v>
                </c:pt>
                <c:pt idx="2">
                  <c:v>1.3919731047146801E-16</c:v>
                </c:pt>
                <c:pt idx="3">
                  <c:v>1.3919731047146801E-15</c:v>
                </c:pt>
                <c:pt idx="4">
                  <c:v>1.3919731047146801E-14</c:v>
                </c:pt>
                <c:pt idx="5">
                  <c:v>1.3919731047146803E-13</c:v>
                </c:pt>
                <c:pt idx="6">
                  <c:v>1.3919731047146802E-12</c:v>
                </c:pt>
                <c:pt idx="7">
                  <c:v>1.3919731047146802E-11</c:v>
                </c:pt>
                <c:pt idx="8">
                  <c:v>1.3919731047146801E-10</c:v>
                </c:pt>
                <c:pt idx="9">
                  <c:v>1.3919731047146802E-9</c:v>
                </c:pt>
                <c:pt idx="10">
                  <c:v>1.3919731047146804E-8</c:v>
                </c:pt>
                <c:pt idx="11">
                  <c:v>1.3919731047146803E-7</c:v>
                </c:pt>
                <c:pt idx="12">
                  <c:v>1.3919731047146803E-6</c:v>
                </c:pt>
                <c:pt idx="13">
                  <c:v>1.3919731047146802E-5</c:v>
                </c:pt>
                <c:pt idx="14">
                  <c:v>1.3919731047146804E-4</c:v>
                </c:pt>
                <c:pt idx="15">
                  <c:v>1.3919731047146802E-3</c:v>
                </c:pt>
                <c:pt idx="16">
                  <c:v>1.3919731047146802E-2</c:v>
                </c:pt>
                <c:pt idx="17">
                  <c:v>0.13919731047146802</c:v>
                </c:pt>
                <c:pt idx="18">
                  <c:v>1.3919731047146802</c:v>
                </c:pt>
                <c:pt idx="19">
                  <c:v>13.919731047146803</c:v>
                </c:pt>
                <c:pt idx="20">
                  <c:v>139.19731047146803</c:v>
                </c:pt>
                <c:pt idx="21">
                  <c:v>1391.9731047146802</c:v>
                </c:pt>
                <c:pt idx="22">
                  <c:v>13919.731047146801</c:v>
                </c:pt>
                <c:pt idx="23">
                  <c:v>139197.31047146802</c:v>
                </c:pt>
                <c:pt idx="24">
                  <c:v>1391973.1047146802</c:v>
                </c:pt>
                <c:pt idx="25">
                  <c:v>13919731.047146801</c:v>
                </c:pt>
                <c:pt idx="26">
                  <c:v>139197310.47146803</c:v>
                </c:pt>
                <c:pt idx="27">
                  <c:v>1391973104.7146802</c:v>
                </c:pt>
                <c:pt idx="28">
                  <c:v>13919731047.146801</c:v>
                </c:pt>
                <c:pt idx="29">
                  <c:v>139197310471.46802</c:v>
                </c:pt>
                <c:pt idx="30">
                  <c:v>1391973104714.6802</c:v>
                </c:pt>
              </c:numCache>
            </c:numRef>
          </c:xVal>
          <c:yVal>
            <c:numRef>
              <c:f>'Mastercurve bestimmen'!$L$404:$L$434</c:f>
              <c:numCache>
                <c:formatCode>0.00E+00</c:formatCode>
                <c:ptCount val="31"/>
                <c:pt idx="0">
                  <c:v>5930.406376183163</c:v>
                </c:pt>
                <c:pt idx="1">
                  <c:v>5930.4431337924134</c:v>
                </c:pt>
                <c:pt idx="2">
                  <c:v>5930.4206852693951</c:v>
                </c:pt>
                <c:pt idx="3">
                  <c:v>5930.413892464232</c:v>
                </c:pt>
                <c:pt idx="4">
                  <c:v>5930.4118224704844</c:v>
                </c:pt>
                <c:pt idx="5">
                  <c:v>5930.4110185898089</c:v>
                </c:pt>
                <c:pt idx="6">
                  <c:v>5930.4109382017532</c:v>
                </c:pt>
                <c:pt idx="7">
                  <c:v>5930.4106970375988</c:v>
                </c:pt>
                <c:pt idx="8">
                  <c:v>5930.4104156794438</c:v>
                </c:pt>
                <c:pt idx="9">
                  <c:v>5930.408164815165</c:v>
                </c:pt>
                <c:pt idx="10">
                  <c:v>5930.384691618081</c:v>
                </c:pt>
                <c:pt idx="11">
                  <c:v>5930.150894248286</c:v>
                </c:pt>
                <c:pt idx="12">
                  <c:v>5927.8308007940832</c:v>
                </c:pt>
                <c:pt idx="13">
                  <c:v>5906.3450308766669</c:v>
                </c:pt>
                <c:pt idx="14">
                  <c:v>5787.3961464989843</c:v>
                </c:pt>
                <c:pt idx="15">
                  <c:v>5645.7736928586964</c:v>
                </c:pt>
                <c:pt idx="16">
                  <c:v>5488.7797063617654</c:v>
                </c:pt>
                <c:pt idx="17">
                  <c:v>5295.6687137139643</c:v>
                </c:pt>
                <c:pt idx="18">
                  <c:v>5062.6547205141496</c:v>
                </c:pt>
                <c:pt idx="19">
                  <c:v>4762.2359802766141</c:v>
                </c:pt>
                <c:pt idx="20">
                  <c:v>4428.9407335348296</c:v>
                </c:pt>
                <c:pt idx="21">
                  <c:v>4111.7161259908762</c:v>
                </c:pt>
                <c:pt idx="22">
                  <c:v>3814.2268394370481</c:v>
                </c:pt>
                <c:pt idx="23">
                  <c:v>3517.7803393025779</c:v>
                </c:pt>
                <c:pt idx="24">
                  <c:v>3195.2414492417452</c:v>
                </c:pt>
                <c:pt idx="25">
                  <c:v>2791.4157044377589</c:v>
                </c:pt>
                <c:pt idx="26">
                  <c:v>2312.1801528163464</c:v>
                </c:pt>
                <c:pt idx="27">
                  <c:v>1761.4184833894965</c:v>
                </c:pt>
                <c:pt idx="28">
                  <c:v>1165.0893454090649</c:v>
                </c:pt>
                <c:pt idx="29">
                  <c:v>692.87414966525068</c:v>
                </c:pt>
                <c:pt idx="30">
                  <c:v>393.89092728068977</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bestimmen'!$M$404:$M$434</c:f>
              <c:numCache>
                <c:formatCode>0.00E+00</c:formatCode>
                <c:ptCount val="31"/>
                <c:pt idx="0">
                  <c:v>5924.2874974527258</c:v>
                </c:pt>
                <c:pt idx="1">
                  <c:v>5924.3241993050724</c:v>
                </c:pt>
                <c:pt idx="2">
                  <c:v>5924.3017770264787</c:v>
                </c:pt>
                <c:pt idx="3">
                  <c:v>5924.2949982314785</c:v>
                </c:pt>
                <c:pt idx="4">
                  <c:v>5924.2929325070927</c:v>
                </c:pt>
                <c:pt idx="5">
                  <c:v>5924.292050062164</c:v>
                </c:pt>
                <c:pt idx="6">
                  <c:v>5924.2896233399624</c:v>
                </c:pt>
                <c:pt idx="7">
                  <c:v>5924.2686453119095</c:v>
                </c:pt>
                <c:pt idx="8">
                  <c:v>5924.0589935262078</c:v>
                </c:pt>
                <c:pt idx="9">
                  <c:v>5921.976437640149</c:v>
                </c:pt>
                <c:pt idx="10">
                  <c:v>5902.5412392933085</c:v>
                </c:pt>
                <c:pt idx="11">
                  <c:v>5788.7691117948852</c:v>
                </c:pt>
                <c:pt idx="12">
                  <c:v>5647.748615055857</c:v>
                </c:pt>
                <c:pt idx="13">
                  <c:v>5493.0807600988655</c:v>
                </c:pt>
                <c:pt idx="14">
                  <c:v>5310.1724689095536</c:v>
                </c:pt>
                <c:pt idx="15">
                  <c:v>5116.9183384452708</c:v>
                </c:pt>
                <c:pt idx="16">
                  <c:v>4889.0072432178858</c:v>
                </c:pt>
                <c:pt idx="17">
                  <c:v>4599.1409750767552</c:v>
                </c:pt>
                <c:pt idx="18">
                  <c:v>4272.3926167684576</c:v>
                </c:pt>
                <c:pt idx="19">
                  <c:v>3941.1470093551798</c:v>
                </c:pt>
                <c:pt idx="20">
                  <c:v>3608.495032401398</c:v>
                </c:pt>
                <c:pt idx="21">
                  <c:v>3262.5462100054015</c:v>
                </c:pt>
                <c:pt idx="22">
                  <c:v>2841.314577864513</c:v>
                </c:pt>
                <c:pt idx="23">
                  <c:v>2350.4004054830193</c:v>
                </c:pt>
                <c:pt idx="24">
                  <c:v>1794.2797745605371</c:v>
                </c:pt>
                <c:pt idx="25">
                  <c:v>1192.7526197056241</c:v>
                </c:pt>
                <c:pt idx="26">
                  <c:v>712.56207316539314</c:v>
                </c:pt>
                <c:pt idx="27">
                  <c:v>405.79350694215293</c:v>
                </c:pt>
                <c:pt idx="28">
                  <c:v>227.75650575396227</c:v>
                </c:pt>
                <c:pt idx="29">
                  <c:v>157.27484077697326</c:v>
                </c:pt>
                <c:pt idx="30">
                  <c:v>137.32830205333357</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1.73498278063804E-10</c:v>
                </c:pt>
                <c:pt idx="1">
                  <c:v>1.7349827806380399E-9</c:v>
                </c:pt>
                <c:pt idx="2">
                  <c:v>1.7349827806380399E-8</c:v>
                </c:pt>
                <c:pt idx="3">
                  <c:v>1.7349827806380399E-7</c:v>
                </c:pt>
                <c:pt idx="4">
                  <c:v>1.7349827806380398E-6</c:v>
                </c:pt>
                <c:pt idx="5">
                  <c:v>1.7349827806380399E-5</c:v>
                </c:pt>
                <c:pt idx="6">
                  <c:v>1.7349827806380401E-4</c:v>
                </c:pt>
                <c:pt idx="7">
                  <c:v>1.73498278063804E-3</c:v>
                </c:pt>
                <c:pt idx="8">
                  <c:v>1.7349827806380398E-2</c:v>
                </c:pt>
                <c:pt idx="9">
                  <c:v>0.173498278063804</c:v>
                </c:pt>
                <c:pt idx="10">
                  <c:v>1.73498278063804</c:v>
                </c:pt>
                <c:pt idx="11">
                  <c:v>17.3498278063804</c:v>
                </c:pt>
                <c:pt idx="12">
                  <c:v>173.49827806380401</c:v>
                </c:pt>
                <c:pt idx="13">
                  <c:v>1734.9827806380399</c:v>
                </c:pt>
                <c:pt idx="14">
                  <c:v>17349.827806380399</c:v>
                </c:pt>
                <c:pt idx="15">
                  <c:v>173498.278063804</c:v>
                </c:pt>
                <c:pt idx="16">
                  <c:v>1734982.78063804</c:v>
                </c:pt>
                <c:pt idx="17">
                  <c:v>17349827.806380399</c:v>
                </c:pt>
                <c:pt idx="18">
                  <c:v>173498278.063804</c:v>
                </c:pt>
                <c:pt idx="19">
                  <c:v>1734982780.6380401</c:v>
                </c:pt>
                <c:pt idx="20">
                  <c:v>17349827806.380398</c:v>
                </c:pt>
                <c:pt idx="21">
                  <c:v>173498278063.80399</c:v>
                </c:pt>
                <c:pt idx="22">
                  <c:v>1734982780638.04</c:v>
                </c:pt>
                <c:pt idx="23">
                  <c:v>17349827806380.4</c:v>
                </c:pt>
                <c:pt idx="24">
                  <c:v>173498278063804</c:v>
                </c:pt>
                <c:pt idx="25">
                  <c:v>1734982780638040</c:v>
                </c:pt>
                <c:pt idx="26">
                  <c:v>1.73498278063804E+16</c:v>
                </c:pt>
                <c:pt idx="27">
                  <c:v>1.73498278063804E+17</c:v>
                </c:pt>
                <c:pt idx="28">
                  <c:v>1.7349827806380401E+18</c:v>
                </c:pt>
                <c:pt idx="29">
                  <c:v>1.7349827806380401E+19</c:v>
                </c:pt>
                <c:pt idx="30">
                  <c:v>1.7349827806380399E+20</c:v>
                </c:pt>
              </c:numCache>
            </c:numRef>
          </c:xVal>
          <c:yVal>
            <c:numRef>
              <c:f>'Mastercurve bestimmen'!$N$404:$N$434</c:f>
              <c:numCache>
                <c:formatCode>0.00E+00</c:formatCode>
                <c:ptCount val="31"/>
                <c:pt idx="0">
                  <c:v>5916.6915694579875</c:v>
                </c:pt>
                <c:pt idx="1">
                  <c:v>5916.7227160627044</c:v>
                </c:pt>
                <c:pt idx="2">
                  <c:v>5916.6446401256508</c:v>
                </c:pt>
                <c:pt idx="3">
                  <c:v>5916.0822262002403</c:v>
                </c:pt>
                <c:pt idx="4">
                  <c:v>5910.6250002955303</c:v>
                </c:pt>
                <c:pt idx="5">
                  <c:v>5865.0413696390469</c:v>
                </c:pt>
                <c:pt idx="6">
                  <c:v>5722.4751414535358</c:v>
                </c:pt>
                <c:pt idx="7">
                  <c:v>5576.9650996615301</c:v>
                </c:pt>
                <c:pt idx="8">
                  <c:v>5410.5738362167167</c:v>
                </c:pt>
                <c:pt idx="9">
                  <c:v>5216.1277029195053</c:v>
                </c:pt>
                <c:pt idx="10">
                  <c:v>5018.4752297884525</c:v>
                </c:pt>
                <c:pt idx="11">
                  <c:v>4771.2929786824907</c:v>
                </c:pt>
                <c:pt idx="12">
                  <c:v>4502.260327638488</c:v>
                </c:pt>
                <c:pt idx="13">
                  <c:v>4239.8922301770135</c:v>
                </c:pt>
                <c:pt idx="14">
                  <c:v>3958.4879028609685</c:v>
                </c:pt>
                <c:pt idx="15">
                  <c:v>3659.7650677599231</c:v>
                </c:pt>
                <c:pt idx="16">
                  <c:v>3268.126124643903</c:v>
                </c:pt>
                <c:pt idx="17">
                  <c:v>2768.9657420868534</c:v>
                </c:pt>
                <c:pt idx="18">
                  <c:v>2204.5974524100161</c:v>
                </c:pt>
                <c:pt idx="19">
                  <c:v>1586.454168957242</c:v>
                </c:pt>
                <c:pt idx="20">
                  <c:v>1000.0232976856266</c:v>
                </c:pt>
                <c:pt idx="21">
                  <c:v>576.00660610456418</c:v>
                </c:pt>
                <c:pt idx="22">
                  <c:v>321.80010935687142</c:v>
                </c:pt>
                <c:pt idx="23">
                  <c:v>187.89777287454069</c:v>
                </c:pt>
                <c:pt idx="24">
                  <c:v>146.32445551645827</c:v>
                </c:pt>
                <c:pt idx="25">
                  <c:v>132.67557886184474</c:v>
                </c:pt>
                <c:pt idx="26">
                  <c:v>124.09266721325585</c:v>
                </c:pt>
                <c:pt idx="27">
                  <c:v>123.97220489326934</c:v>
                </c:pt>
                <c:pt idx="28">
                  <c:v>123.97018586453261</c:v>
                </c:pt>
                <c:pt idx="29">
                  <c:v>123.96849358445334</c:v>
                </c:pt>
                <c:pt idx="30">
                  <c:v>123.96695327212331</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6.4655204306795444E-2</c:v>
                </c:pt>
                <c:pt idx="1">
                  <c:v>0.64655204306795433</c:v>
                </c:pt>
                <c:pt idx="2">
                  <c:v>6.4655204306795442</c:v>
                </c:pt>
                <c:pt idx="3">
                  <c:v>64.65520430679544</c:v>
                </c:pt>
                <c:pt idx="4">
                  <c:v>646.55204306795429</c:v>
                </c:pt>
                <c:pt idx="5">
                  <c:v>6465.520430679544</c:v>
                </c:pt>
                <c:pt idx="6">
                  <c:v>64655.204306795444</c:v>
                </c:pt>
                <c:pt idx="7">
                  <c:v>646552.04306795436</c:v>
                </c:pt>
                <c:pt idx="8">
                  <c:v>6465520.4306795439</c:v>
                </c:pt>
                <c:pt idx="9">
                  <c:v>64655204.306795433</c:v>
                </c:pt>
                <c:pt idx="10">
                  <c:v>646552043.06795442</c:v>
                </c:pt>
                <c:pt idx="11">
                  <c:v>6465520430.6795444</c:v>
                </c:pt>
                <c:pt idx="12">
                  <c:v>64655204306.795441</c:v>
                </c:pt>
                <c:pt idx="13">
                  <c:v>646552043067.95435</c:v>
                </c:pt>
                <c:pt idx="14">
                  <c:v>6465520430679.5439</c:v>
                </c:pt>
                <c:pt idx="15">
                  <c:v>64655204306795.437</c:v>
                </c:pt>
                <c:pt idx="16">
                  <c:v>646552043067954.37</c:v>
                </c:pt>
                <c:pt idx="17">
                  <c:v>6465520430679544</c:v>
                </c:pt>
                <c:pt idx="18">
                  <c:v>6.465520430679544E+16</c:v>
                </c:pt>
                <c:pt idx="19">
                  <c:v>6.4655204306795443E+17</c:v>
                </c:pt>
                <c:pt idx="20">
                  <c:v>6.4655204306795438E+18</c:v>
                </c:pt>
                <c:pt idx="21">
                  <c:v>6.4655204306795438E+19</c:v>
                </c:pt>
                <c:pt idx="22">
                  <c:v>6.4655204306795443E+20</c:v>
                </c:pt>
                <c:pt idx="23">
                  <c:v>6.4655204306795438E+21</c:v>
                </c:pt>
                <c:pt idx="24">
                  <c:v>6.4655204306795436E+22</c:v>
                </c:pt>
                <c:pt idx="25">
                  <c:v>6.4655204306795436E+23</c:v>
                </c:pt>
                <c:pt idx="26">
                  <c:v>6.4655204306795436E+24</c:v>
                </c:pt>
                <c:pt idx="27">
                  <c:v>6.465520430679544E+25</c:v>
                </c:pt>
                <c:pt idx="28">
                  <c:v>6.4655204306795438E+26</c:v>
                </c:pt>
                <c:pt idx="29">
                  <c:v>6.4655204306795435E+27</c:v>
                </c:pt>
                <c:pt idx="30">
                  <c:v>6.465520430679544E+28</c:v>
                </c:pt>
              </c:numCache>
            </c:numRef>
          </c:xVal>
          <c:yVal>
            <c:numRef>
              <c:f>'Mastercurve bestimmen'!$O$404:$O$434</c:f>
              <c:numCache>
                <c:formatCode>0.00E+00</c:formatCode>
                <c:ptCount val="31"/>
                <c:pt idx="0">
                  <c:v>5339.3938402799959</c:v>
                </c:pt>
                <c:pt idx="1">
                  <c:v>5092.5436233397832</c:v>
                </c:pt>
                <c:pt idx="2">
                  <c:v>4862.2074038193541</c:v>
                </c:pt>
                <c:pt idx="3">
                  <c:v>4600.0447702643005</c:v>
                </c:pt>
                <c:pt idx="4">
                  <c:v>4335.4686548713016</c:v>
                </c:pt>
                <c:pt idx="5">
                  <c:v>4064.2446060274551</c:v>
                </c:pt>
                <c:pt idx="6">
                  <c:v>3775.0165221687416</c:v>
                </c:pt>
                <c:pt idx="7">
                  <c:v>3440.8792936987693</c:v>
                </c:pt>
                <c:pt idx="8">
                  <c:v>3007.0276986600152</c:v>
                </c:pt>
                <c:pt idx="9">
                  <c:v>2483.1842311274095</c:v>
                </c:pt>
                <c:pt idx="10">
                  <c:v>1877.3036191571002</c:v>
                </c:pt>
                <c:pt idx="11">
                  <c:v>1225.8372848665197</c:v>
                </c:pt>
                <c:pt idx="12">
                  <c:v>718.17933085631228</c:v>
                </c:pt>
                <c:pt idx="13">
                  <c:v>402.8254128419544</c:v>
                </c:pt>
                <c:pt idx="14">
                  <c:v>224.17774389747507</c:v>
                </c:pt>
                <c:pt idx="15">
                  <c:v>157.32573154577258</c:v>
                </c:pt>
                <c:pt idx="16">
                  <c:v>138.47466281617423</c:v>
                </c:pt>
                <c:pt idx="17">
                  <c:v>126.92176045152465</c:v>
                </c:pt>
                <c:pt idx="18">
                  <c:v>125.32043450442224</c:v>
                </c:pt>
                <c:pt idx="19">
                  <c:v>125.18975547765271</c:v>
                </c:pt>
                <c:pt idx="20">
                  <c:v>125.05583743141311</c:v>
                </c:pt>
                <c:pt idx="21">
                  <c:v>124.89217701523481</c:v>
                </c:pt>
                <c:pt idx="22">
                  <c:v>124.70815441395035</c:v>
                </c:pt>
                <c:pt idx="23">
                  <c:v>124.51586541667818</c:v>
                </c:pt>
                <c:pt idx="24">
                  <c:v>124.45612407089325</c:v>
                </c:pt>
                <c:pt idx="25">
                  <c:v>124.36413594438419</c:v>
                </c:pt>
                <c:pt idx="26">
                  <c:v>124.24957869452857</c:v>
                </c:pt>
                <c:pt idx="27">
                  <c:v>124.12464463468883</c:v>
                </c:pt>
                <c:pt idx="28">
                  <c:v>124.11696893794122</c:v>
                </c:pt>
                <c:pt idx="29">
                  <c:v>124.11273578228328</c:v>
                </c:pt>
                <c:pt idx="30">
                  <c:v>124.10930475258213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3.7537732261831018</c:v>
                </c:pt>
                <c:pt idx="1">
                  <c:v>37.537732261831017</c:v>
                </c:pt>
                <c:pt idx="2">
                  <c:v>375.37732261831019</c:v>
                </c:pt>
                <c:pt idx="3">
                  <c:v>3753.7732261831015</c:v>
                </c:pt>
                <c:pt idx="4">
                  <c:v>37537.732261831014</c:v>
                </c:pt>
                <c:pt idx="5">
                  <c:v>375377.32261831017</c:v>
                </c:pt>
                <c:pt idx="6">
                  <c:v>3753773.226183102</c:v>
                </c:pt>
                <c:pt idx="7">
                  <c:v>37537732.261831015</c:v>
                </c:pt>
                <c:pt idx="8">
                  <c:v>375377322.61831015</c:v>
                </c:pt>
                <c:pt idx="9">
                  <c:v>3753773226.1831017</c:v>
                </c:pt>
                <c:pt idx="10">
                  <c:v>37537732261.831017</c:v>
                </c:pt>
                <c:pt idx="11">
                  <c:v>375377322618.31018</c:v>
                </c:pt>
                <c:pt idx="12">
                  <c:v>3753773226183.1016</c:v>
                </c:pt>
                <c:pt idx="13">
                  <c:v>37537732261831.016</c:v>
                </c:pt>
                <c:pt idx="14">
                  <c:v>375377322618310.19</c:v>
                </c:pt>
                <c:pt idx="15">
                  <c:v>3753773226183101.5</c:v>
                </c:pt>
                <c:pt idx="16">
                  <c:v>3.7537732261831016E+16</c:v>
                </c:pt>
                <c:pt idx="17">
                  <c:v>3.7537732261831014E+17</c:v>
                </c:pt>
                <c:pt idx="18">
                  <c:v>3.753773226183102E+18</c:v>
                </c:pt>
                <c:pt idx="19">
                  <c:v>3.7537732261831016E+19</c:v>
                </c:pt>
                <c:pt idx="20">
                  <c:v>3.7537732261831016E+20</c:v>
                </c:pt>
                <c:pt idx="21">
                  <c:v>3.7537732261831015E+21</c:v>
                </c:pt>
                <c:pt idx="22">
                  <c:v>3.7537732261831017E+22</c:v>
                </c:pt>
                <c:pt idx="23">
                  <c:v>3.753773226183102E+23</c:v>
                </c:pt>
                <c:pt idx="24">
                  <c:v>3.7537732261831014E+24</c:v>
                </c:pt>
                <c:pt idx="25">
                  <c:v>3.7537732261831017E+25</c:v>
                </c:pt>
                <c:pt idx="26">
                  <c:v>3.7537732261831014E+26</c:v>
                </c:pt>
                <c:pt idx="27">
                  <c:v>3.7537732261831019E+27</c:v>
                </c:pt>
                <c:pt idx="28">
                  <c:v>3.7537732261831017E+28</c:v>
                </c:pt>
                <c:pt idx="29">
                  <c:v>3.7537732261831018E+29</c:v>
                </c:pt>
                <c:pt idx="30">
                  <c:v>3.7537732261831017E+30</c:v>
                </c:pt>
              </c:numCache>
            </c:numRef>
          </c:xVal>
          <c:yVal>
            <c:numRef>
              <c:f>'Mastercurve bestimmen'!$P$404:$P$434</c:f>
              <c:numCache>
                <c:formatCode>0.00E+00</c:formatCode>
                <c:ptCount val="31"/>
                <c:pt idx="0">
                  <c:v>4973.1641667493986</c:v>
                </c:pt>
                <c:pt idx="1">
                  <c:v>4659.596505568883</c:v>
                </c:pt>
                <c:pt idx="2">
                  <c:v>4385.9516115251872</c:v>
                </c:pt>
                <c:pt idx="3">
                  <c:v>4118.3569666620651</c:v>
                </c:pt>
                <c:pt idx="4">
                  <c:v>3829.8022738739742</c:v>
                </c:pt>
                <c:pt idx="5">
                  <c:v>3513.4556215320054</c:v>
                </c:pt>
                <c:pt idx="6">
                  <c:v>3097.9149297690292</c:v>
                </c:pt>
                <c:pt idx="7">
                  <c:v>2591.2184022941196</c:v>
                </c:pt>
                <c:pt idx="8">
                  <c:v>2005.3525724949279</c:v>
                </c:pt>
                <c:pt idx="9">
                  <c:v>1355.6696144527521</c:v>
                </c:pt>
                <c:pt idx="10">
                  <c:v>816.95203291347548</c:v>
                </c:pt>
                <c:pt idx="11">
                  <c:v>463.37163713330017</c:v>
                </c:pt>
                <c:pt idx="12">
                  <c:v>256.97131232473913</c:v>
                </c:pt>
                <c:pt idx="13">
                  <c:v>167.49490825050054</c:v>
                </c:pt>
                <c:pt idx="14">
                  <c:v>141.80358734877336</c:v>
                </c:pt>
                <c:pt idx="15">
                  <c:v>129.19132461504012</c:v>
                </c:pt>
                <c:pt idx="16">
                  <c:v>125.45582042457461</c:v>
                </c:pt>
                <c:pt idx="17">
                  <c:v>125.37751528072498</c:v>
                </c:pt>
                <c:pt idx="18">
                  <c:v>125.26241312398497</c:v>
                </c:pt>
                <c:pt idx="19">
                  <c:v>125.1369355609138</c:v>
                </c:pt>
                <c:pt idx="20">
                  <c:v>124.97859027478171</c:v>
                </c:pt>
                <c:pt idx="21">
                  <c:v>124.79521194858673</c:v>
                </c:pt>
                <c:pt idx="22">
                  <c:v>124.60066288549459</c:v>
                </c:pt>
                <c:pt idx="23">
                  <c:v>124.40326066206676</c:v>
                </c:pt>
                <c:pt idx="24">
                  <c:v>124.39897169961779</c:v>
                </c:pt>
                <c:pt idx="25">
                  <c:v>124.30647199515475</c:v>
                </c:pt>
                <c:pt idx="26">
                  <c:v>124.18164826003697</c:v>
                </c:pt>
                <c:pt idx="27">
                  <c:v>124.05329261398603</c:v>
                </c:pt>
                <c:pt idx="28">
                  <c:v>124.04585962671396</c:v>
                </c:pt>
                <c:pt idx="29">
                  <c:v>124.04225732695286</c:v>
                </c:pt>
                <c:pt idx="30">
                  <c:v>124.03970146521578</c:v>
                </c:pt>
              </c:numCache>
            </c:numRef>
          </c:yVal>
          <c:smooth val="1"/>
        </c:ser>
        <c:dLbls>
          <c:showLegendKey val="0"/>
          <c:showVal val="0"/>
          <c:showCatName val="0"/>
          <c:showSerName val="0"/>
          <c:showPercent val="0"/>
          <c:showBubbleSize val="0"/>
        </c:dLbls>
        <c:axId val="602967496"/>
        <c:axId val="602970632"/>
      </c:scatterChart>
      <c:valAx>
        <c:axId val="602967496"/>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2970632"/>
        <c:crosses val="autoZero"/>
        <c:crossBetween val="midCat"/>
      </c:valAx>
      <c:valAx>
        <c:axId val="6029706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2967496"/>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5.5361291178458031E-22</c:v>
                </c:pt>
                <c:pt idx="1">
                  <c:v>5.536129117845803E-21</c:v>
                </c:pt>
                <c:pt idx="2">
                  <c:v>5.5361291178458031E-20</c:v>
                </c:pt>
                <c:pt idx="3">
                  <c:v>5.5361291178458031E-19</c:v>
                </c:pt>
                <c:pt idx="4">
                  <c:v>5.5361291178458027E-18</c:v>
                </c:pt>
                <c:pt idx="5">
                  <c:v>5.5361291178458029E-17</c:v>
                </c:pt>
                <c:pt idx="6">
                  <c:v>5.5361291178458028E-16</c:v>
                </c:pt>
                <c:pt idx="7">
                  <c:v>5.5361291178458028E-15</c:v>
                </c:pt>
                <c:pt idx="8">
                  <c:v>5.5361291178458024E-14</c:v>
                </c:pt>
                <c:pt idx="9">
                  <c:v>5.5361291178458022E-13</c:v>
                </c:pt>
                <c:pt idx="10">
                  <c:v>5.536129117845803E-12</c:v>
                </c:pt>
                <c:pt idx="11">
                  <c:v>5.5361291178458032E-11</c:v>
                </c:pt>
                <c:pt idx="12">
                  <c:v>5.5361291178458029E-10</c:v>
                </c:pt>
                <c:pt idx="13">
                  <c:v>5.5361291178458027E-9</c:v>
                </c:pt>
                <c:pt idx="14">
                  <c:v>5.5361291178458029E-8</c:v>
                </c:pt>
                <c:pt idx="15">
                  <c:v>5.5361291178458027E-7</c:v>
                </c:pt>
                <c:pt idx="16">
                  <c:v>5.5361291178458029E-6</c:v>
                </c:pt>
                <c:pt idx="17">
                  <c:v>5.5361291178458028E-5</c:v>
                </c:pt>
                <c:pt idx="18">
                  <c:v>5.5361291178458033E-4</c:v>
                </c:pt>
                <c:pt idx="19">
                  <c:v>5.5361291178458024E-3</c:v>
                </c:pt>
                <c:pt idx="20">
                  <c:v>5.5361291178458026E-2</c:v>
                </c:pt>
                <c:pt idx="21">
                  <c:v>0.55361291178458027</c:v>
                </c:pt>
                <c:pt idx="22">
                  <c:v>5.5361291178458032</c:v>
                </c:pt>
                <c:pt idx="23">
                  <c:v>55.361291178458032</c:v>
                </c:pt>
                <c:pt idx="24">
                  <c:v>553.61291178458032</c:v>
                </c:pt>
                <c:pt idx="25">
                  <c:v>5536.1291178458032</c:v>
                </c:pt>
                <c:pt idx="26">
                  <c:v>55361.291178458028</c:v>
                </c:pt>
                <c:pt idx="27">
                  <c:v>553612.91178458033</c:v>
                </c:pt>
                <c:pt idx="28">
                  <c:v>5536129.1178458026</c:v>
                </c:pt>
                <c:pt idx="29">
                  <c:v>55361291.178458028</c:v>
                </c:pt>
                <c:pt idx="30">
                  <c:v>553612911.78458023</c:v>
                </c:pt>
              </c:numCache>
            </c:numRef>
          </c:xVal>
          <c:yVal>
            <c:numRef>
              <c:f>'Mastercurve bestimmen'!$J$404:$J$434</c:f>
              <c:numCache>
                <c:formatCode>0.00E+00</c:formatCode>
                <c:ptCount val="31"/>
                <c:pt idx="0">
                  <c:v>5945.4862308501361</c:v>
                </c:pt>
                <c:pt idx="1">
                  <c:v>5945.5233978276192</c:v>
                </c:pt>
                <c:pt idx="2">
                  <c:v>5945.5006733975988</c:v>
                </c:pt>
                <c:pt idx="3">
                  <c:v>5945.4940479964844</c:v>
                </c:pt>
                <c:pt idx="4">
                  <c:v>5945.491987661344</c:v>
                </c:pt>
                <c:pt idx="5">
                  <c:v>5945.4911594878167</c:v>
                </c:pt>
                <c:pt idx="6">
                  <c:v>5945.4908968962591</c:v>
                </c:pt>
                <c:pt idx="7">
                  <c:v>5945.4908564975603</c:v>
                </c:pt>
                <c:pt idx="8">
                  <c:v>5945.4908564975603</c:v>
                </c:pt>
                <c:pt idx="9">
                  <c:v>5945.4908564975603</c:v>
                </c:pt>
                <c:pt idx="10">
                  <c:v>5945.4908564975603</c:v>
                </c:pt>
                <c:pt idx="11">
                  <c:v>5945.4908160988625</c:v>
                </c:pt>
                <c:pt idx="12">
                  <c:v>5945.4901697197583</c:v>
                </c:pt>
                <c:pt idx="13">
                  <c:v>5945.4832413525728</c:v>
                </c:pt>
                <c:pt idx="14">
                  <c:v>5945.4144029430536</c:v>
                </c:pt>
                <c:pt idx="15">
                  <c:v>5944.7274999078909</c:v>
                </c:pt>
                <c:pt idx="16">
                  <c:v>5938.0129605513939</c:v>
                </c:pt>
                <c:pt idx="17">
                  <c:v>5884.0318384088569</c:v>
                </c:pt>
                <c:pt idx="18">
                  <c:v>5738.5639340162998</c:v>
                </c:pt>
                <c:pt idx="19">
                  <c:v>5588.2751906456833</c:v>
                </c:pt>
                <c:pt idx="20">
                  <c:v>5399.4936644871386</c:v>
                </c:pt>
                <c:pt idx="21">
                  <c:v>5141.8460502498219</c:v>
                </c:pt>
                <c:pt idx="22">
                  <c:v>4855.3493085479013</c:v>
                </c:pt>
                <c:pt idx="23">
                  <c:v>4530.5898566513597</c:v>
                </c:pt>
                <c:pt idx="24">
                  <c:v>4215.1902304511941</c:v>
                </c:pt>
                <c:pt idx="25">
                  <c:v>3929.081471457625</c:v>
                </c:pt>
                <c:pt idx="26">
                  <c:v>3641.242030569621</c:v>
                </c:pt>
                <c:pt idx="27">
                  <c:v>3352.5216988135498</c:v>
                </c:pt>
                <c:pt idx="28">
                  <c:v>2996.6335305209523</c:v>
                </c:pt>
                <c:pt idx="29">
                  <c:v>2563.0064610610193</c:v>
                </c:pt>
                <c:pt idx="30">
                  <c:v>2059.5134179476377</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1.7548967302632991E-20</c:v>
                </c:pt>
                <c:pt idx="1">
                  <c:v>1.7548967302632989E-19</c:v>
                </c:pt>
                <c:pt idx="2">
                  <c:v>1.754896730263299E-18</c:v>
                </c:pt>
                <c:pt idx="3">
                  <c:v>1.7548967302632987E-17</c:v>
                </c:pt>
                <c:pt idx="4">
                  <c:v>1.7548967302632987E-16</c:v>
                </c:pt>
                <c:pt idx="5">
                  <c:v>1.7548967302632989E-15</c:v>
                </c:pt>
                <c:pt idx="6">
                  <c:v>1.7548967302632989E-14</c:v>
                </c:pt>
                <c:pt idx="7">
                  <c:v>1.754896730263299E-13</c:v>
                </c:pt>
                <c:pt idx="8">
                  <c:v>1.7548967302632988E-12</c:v>
                </c:pt>
                <c:pt idx="9">
                  <c:v>1.7548967302632989E-11</c:v>
                </c:pt>
                <c:pt idx="10">
                  <c:v>1.754896730263299E-10</c:v>
                </c:pt>
                <c:pt idx="11">
                  <c:v>1.754896730263299E-9</c:v>
                </c:pt>
                <c:pt idx="12">
                  <c:v>1.754896730263299E-8</c:v>
                </c:pt>
                <c:pt idx="13">
                  <c:v>1.7548967302632988E-7</c:v>
                </c:pt>
                <c:pt idx="14">
                  <c:v>1.7548967302632988E-6</c:v>
                </c:pt>
                <c:pt idx="15">
                  <c:v>1.7548967302632987E-5</c:v>
                </c:pt>
                <c:pt idx="16">
                  <c:v>1.7548967302632987E-4</c:v>
                </c:pt>
                <c:pt idx="17">
                  <c:v>1.7548967302632988E-3</c:v>
                </c:pt>
                <c:pt idx="18">
                  <c:v>1.7548967302632987E-2</c:v>
                </c:pt>
                <c:pt idx="19">
                  <c:v>0.1754896730263299</c:v>
                </c:pt>
                <c:pt idx="20">
                  <c:v>1.7548967302632987</c:v>
                </c:pt>
                <c:pt idx="21">
                  <c:v>17.548967302632988</c:v>
                </c:pt>
                <c:pt idx="22">
                  <c:v>175.48967302632988</c:v>
                </c:pt>
                <c:pt idx="23">
                  <c:v>1754.8967302632989</c:v>
                </c:pt>
                <c:pt idx="24">
                  <c:v>17548.967302632987</c:v>
                </c:pt>
                <c:pt idx="25">
                  <c:v>175489.6730263299</c:v>
                </c:pt>
                <c:pt idx="26">
                  <c:v>1754896.7302632988</c:v>
                </c:pt>
                <c:pt idx="27">
                  <c:v>17548967.302632987</c:v>
                </c:pt>
                <c:pt idx="28">
                  <c:v>175489673.02632987</c:v>
                </c:pt>
                <c:pt idx="29">
                  <c:v>1754896730.2632987</c:v>
                </c:pt>
                <c:pt idx="30">
                  <c:v>17548967302.632988</c:v>
                </c:pt>
              </c:numCache>
            </c:numRef>
          </c:xVal>
          <c:yVal>
            <c:numRef>
              <c:f>'Mastercurve bestimmen'!$K$404:$K$434</c:f>
              <c:numCache>
                <c:formatCode>0.00E+00</c:formatCode>
                <c:ptCount val="31"/>
                <c:pt idx="0">
                  <c:v>5936.3433151657146</c:v>
                </c:pt>
                <c:pt idx="1">
                  <c:v>5936.3803075081632</c:v>
                </c:pt>
                <c:pt idx="2">
                  <c:v>5936.3578341520697</c:v>
                </c:pt>
                <c:pt idx="3">
                  <c:v>5936.3510277390824</c:v>
                </c:pt>
                <c:pt idx="4">
                  <c:v>5936.3489535985827</c:v>
                </c:pt>
                <c:pt idx="5">
                  <c:v>5936.3483494802622</c:v>
                </c:pt>
                <c:pt idx="6">
                  <c:v>5936.3480675584215</c:v>
                </c:pt>
                <c:pt idx="7">
                  <c:v>5936.3480474211492</c:v>
                </c:pt>
                <c:pt idx="8">
                  <c:v>5936.3478259111525</c:v>
                </c:pt>
                <c:pt idx="9">
                  <c:v>5936.3478259111525</c:v>
                </c:pt>
                <c:pt idx="10">
                  <c:v>5936.3475238520905</c:v>
                </c:pt>
                <c:pt idx="11">
                  <c:v>5936.3452282042372</c:v>
                </c:pt>
                <c:pt idx="12">
                  <c:v>5936.3201171545998</c:v>
                </c:pt>
                <c:pt idx="13">
                  <c:v>5936.0699445696901</c:v>
                </c:pt>
                <c:pt idx="14">
                  <c:v>5933.5894562136173</c:v>
                </c:pt>
                <c:pt idx="15">
                  <c:v>5910.7352387881974</c:v>
                </c:pt>
                <c:pt idx="16">
                  <c:v>5788.6039225333288</c:v>
                </c:pt>
                <c:pt idx="17">
                  <c:v>5645.2982525424422</c:v>
                </c:pt>
                <c:pt idx="18">
                  <c:v>5477.0166152184411</c:v>
                </c:pt>
                <c:pt idx="19">
                  <c:v>5242.9581566849647</c:v>
                </c:pt>
                <c:pt idx="20">
                  <c:v>4967.1522364522052</c:v>
                </c:pt>
                <c:pt idx="21">
                  <c:v>4663.1486629646943</c:v>
                </c:pt>
                <c:pt idx="22">
                  <c:v>4346.263159926043</c:v>
                </c:pt>
                <c:pt idx="23">
                  <c:v>4052.7215067045913</c:v>
                </c:pt>
                <c:pt idx="24">
                  <c:v>3771.4995408899726</c:v>
                </c:pt>
                <c:pt idx="25">
                  <c:v>3487.2930712528305</c:v>
                </c:pt>
                <c:pt idx="26">
                  <c:v>3171.2944430186703</c:v>
                </c:pt>
                <c:pt idx="27">
                  <c:v>2771.7245513357993</c:v>
                </c:pt>
                <c:pt idx="28">
                  <c:v>2294.6891766146468</c:v>
                </c:pt>
                <c:pt idx="29">
                  <c:v>1744.1842965326991</c:v>
                </c:pt>
                <c:pt idx="30">
                  <c:v>1149.8282974544306</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1.3919731047146803E-18</c:v>
                </c:pt>
                <c:pt idx="1">
                  <c:v>1.3919731047146802E-17</c:v>
                </c:pt>
                <c:pt idx="2">
                  <c:v>1.3919731047146801E-16</c:v>
                </c:pt>
                <c:pt idx="3">
                  <c:v>1.3919731047146801E-15</c:v>
                </c:pt>
                <c:pt idx="4">
                  <c:v>1.3919731047146801E-14</c:v>
                </c:pt>
                <c:pt idx="5">
                  <c:v>1.3919731047146803E-13</c:v>
                </c:pt>
                <c:pt idx="6">
                  <c:v>1.3919731047146802E-12</c:v>
                </c:pt>
                <c:pt idx="7">
                  <c:v>1.3919731047146802E-11</c:v>
                </c:pt>
                <c:pt idx="8">
                  <c:v>1.3919731047146801E-10</c:v>
                </c:pt>
                <c:pt idx="9">
                  <c:v>1.3919731047146802E-9</c:v>
                </c:pt>
                <c:pt idx="10">
                  <c:v>1.3919731047146804E-8</c:v>
                </c:pt>
                <c:pt idx="11">
                  <c:v>1.3919731047146803E-7</c:v>
                </c:pt>
                <c:pt idx="12">
                  <c:v>1.3919731047146803E-6</c:v>
                </c:pt>
                <c:pt idx="13">
                  <c:v>1.3919731047146802E-5</c:v>
                </c:pt>
                <c:pt idx="14">
                  <c:v>1.3919731047146804E-4</c:v>
                </c:pt>
                <c:pt idx="15">
                  <c:v>1.3919731047146802E-3</c:v>
                </c:pt>
                <c:pt idx="16">
                  <c:v>1.3919731047146802E-2</c:v>
                </c:pt>
                <c:pt idx="17">
                  <c:v>0.13919731047146802</c:v>
                </c:pt>
                <c:pt idx="18">
                  <c:v>1.3919731047146802</c:v>
                </c:pt>
                <c:pt idx="19">
                  <c:v>13.919731047146803</c:v>
                </c:pt>
                <c:pt idx="20">
                  <c:v>139.19731047146803</c:v>
                </c:pt>
                <c:pt idx="21">
                  <c:v>1391.9731047146802</c:v>
                </c:pt>
                <c:pt idx="22">
                  <c:v>13919.731047146801</c:v>
                </c:pt>
                <c:pt idx="23">
                  <c:v>139197.31047146802</c:v>
                </c:pt>
                <c:pt idx="24">
                  <c:v>1391973.1047146802</c:v>
                </c:pt>
                <c:pt idx="25">
                  <c:v>13919731.047146801</c:v>
                </c:pt>
                <c:pt idx="26">
                  <c:v>139197310.47146803</c:v>
                </c:pt>
                <c:pt idx="27">
                  <c:v>1391973104.7146802</c:v>
                </c:pt>
                <c:pt idx="28">
                  <c:v>13919731047.146801</c:v>
                </c:pt>
                <c:pt idx="29">
                  <c:v>139197310471.46802</c:v>
                </c:pt>
                <c:pt idx="30">
                  <c:v>1391973104714.6802</c:v>
                </c:pt>
              </c:numCache>
            </c:numRef>
          </c:xVal>
          <c:yVal>
            <c:numRef>
              <c:f>'Mastercurve bestimmen'!$L$404:$L$434</c:f>
              <c:numCache>
                <c:formatCode>0.00E+00</c:formatCode>
                <c:ptCount val="31"/>
                <c:pt idx="0">
                  <c:v>5930.406376183163</c:v>
                </c:pt>
                <c:pt idx="1">
                  <c:v>5930.4431337924134</c:v>
                </c:pt>
                <c:pt idx="2">
                  <c:v>5930.4206852693951</c:v>
                </c:pt>
                <c:pt idx="3">
                  <c:v>5930.413892464232</c:v>
                </c:pt>
                <c:pt idx="4">
                  <c:v>5930.4118224704844</c:v>
                </c:pt>
                <c:pt idx="5">
                  <c:v>5930.4110185898089</c:v>
                </c:pt>
                <c:pt idx="6">
                  <c:v>5930.4109382017532</c:v>
                </c:pt>
                <c:pt idx="7">
                  <c:v>5930.4106970375988</c:v>
                </c:pt>
                <c:pt idx="8">
                  <c:v>5930.4104156794438</c:v>
                </c:pt>
                <c:pt idx="9">
                  <c:v>5930.408164815165</c:v>
                </c:pt>
                <c:pt idx="10">
                  <c:v>5930.384691618081</c:v>
                </c:pt>
                <c:pt idx="11">
                  <c:v>5930.150894248286</c:v>
                </c:pt>
                <c:pt idx="12">
                  <c:v>5927.8308007940832</c:v>
                </c:pt>
                <c:pt idx="13">
                  <c:v>5906.3450308766669</c:v>
                </c:pt>
                <c:pt idx="14">
                  <c:v>5787.3961464989843</c:v>
                </c:pt>
                <c:pt idx="15">
                  <c:v>5645.7736928586964</c:v>
                </c:pt>
                <c:pt idx="16">
                  <c:v>5488.7797063617654</c:v>
                </c:pt>
                <c:pt idx="17">
                  <c:v>5295.6687137139643</c:v>
                </c:pt>
                <c:pt idx="18">
                  <c:v>5062.6547205141496</c:v>
                </c:pt>
                <c:pt idx="19">
                  <c:v>4762.2359802766141</c:v>
                </c:pt>
                <c:pt idx="20">
                  <c:v>4428.9407335348296</c:v>
                </c:pt>
                <c:pt idx="21">
                  <c:v>4111.7161259908762</c:v>
                </c:pt>
                <c:pt idx="22">
                  <c:v>3814.2268394370481</c:v>
                </c:pt>
                <c:pt idx="23">
                  <c:v>3517.7803393025779</c:v>
                </c:pt>
                <c:pt idx="24">
                  <c:v>3195.2414492417452</c:v>
                </c:pt>
                <c:pt idx="25">
                  <c:v>2791.4157044377589</c:v>
                </c:pt>
                <c:pt idx="26">
                  <c:v>2312.1801528163464</c:v>
                </c:pt>
                <c:pt idx="27">
                  <c:v>1761.4184833894965</c:v>
                </c:pt>
                <c:pt idx="28">
                  <c:v>1165.0893454090649</c:v>
                </c:pt>
                <c:pt idx="29">
                  <c:v>692.87414966525068</c:v>
                </c:pt>
                <c:pt idx="30">
                  <c:v>393.89092728068977</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bestimmen'!$M$404:$M$434</c:f>
              <c:numCache>
                <c:formatCode>0.00E+00</c:formatCode>
                <c:ptCount val="31"/>
                <c:pt idx="0">
                  <c:v>5924.2874974527258</c:v>
                </c:pt>
                <c:pt idx="1">
                  <c:v>5924.3241993050724</c:v>
                </c:pt>
                <c:pt idx="2">
                  <c:v>5924.3017770264787</c:v>
                </c:pt>
                <c:pt idx="3">
                  <c:v>5924.2949982314785</c:v>
                </c:pt>
                <c:pt idx="4">
                  <c:v>5924.2929325070927</c:v>
                </c:pt>
                <c:pt idx="5">
                  <c:v>5924.292050062164</c:v>
                </c:pt>
                <c:pt idx="6">
                  <c:v>5924.2896233399624</c:v>
                </c:pt>
                <c:pt idx="7">
                  <c:v>5924.2686453119095</c:v>
                </c:pt>
                <c:pt idx="8">
                  <c:v>5924.0589935262078</c:v>
                </c:pt>
                <c:pt idx="9">
                  <c:v>5921.976437640149</c:v>
                </c:pt>
                <c:pt idx="10">
                  <c:v>5902.5412392933085</c:v>
                </c:pt>
                <c:pt idx="11">
                  <c:v>5788.7691117948852</c:v>
                </c:pt>
                <c:pt idx="12">
                  <c:v>5647.748615055857</c:v>
                </c:pt>
                <c:pt idx="13">
                  <c:v>5493.0807600988655</c:v>
                </c:pt>
                <c:pt idx="14">
                  <c:v>5310.1724689095536</c:v>
                </c:pt>
                <c:pt idx="15">
                  <c:v>5116.9183384452708</c:v>
                </c:pt>
                <c:pt idx="16">
                  <c:v>4889.0072432178858</c:v>
                </c:pt>
                <c:pt idx="17">
                  <c:v>4599.1409750767552</c:v>
                </c:pt>
                <c:pt idx="18">
                  <c:v>4272.3926167684576</c:v>
                </c:pt>
                <c:pt idx="19">
                  <c:v>3941.1470093551798</c:v>
                </c:pt>
                <c:pt idx="20">
                  <c:v>3608.495032401398</c:v>
                </c:pt>
                <c:pt idx="21">
                  <c:v>3262.5462100054015</c:v>
                </c:pt>
                <c:pt idx="22">
                  <c:v>2841.314577864513</c:v>
                </c:pt>
                <c:pt idx="23">
                  <c:v>2350.4004054830193</c:v>
                </c:pt>
                <c:pt idx="24">
                  <c:v>1794.2797745605371</c:v>
                </c:pt>
                <c:pt idx="25">
                  <c:v>1192.7526197056241</c:v>
                </c:pt>
                <c:pt idx="26">
                  <c:v>712.56207316539314</c:v>
                </c:pt>
                <c:pt idx="27">
                  <c:v>405.79350694215293</c:v>
                </c:pt>
                <c:pt idx="28">
                  <c:v>227.75650575396227</c:v>
                </c:pt>
                <c:pt idx="29">
                  <c:v>157.27484077697326</c:v>
                </c:pt>
                <c:pt idx="30">
                  <c:v>137.32830205333357</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1.73498278063804E-10</c:v>
                </c:pt>
                <c:pt idx="1">
                  <c:v>1.7349827806380399E-9</c:v>
                </c:pt>
                <c:pt idx="2">
                  <c:v>1.7349827806380399E-8</c:v>
                </c:pt>
                <c:pt idx="3">
                  <c:v>1.7349827806380399E-7</c:v>
                </c:pt>
                <c:pt idx="4">
                  <c:v>1.7349827806380398E-6</c:v>
                </c:pt>
                <c:pt idx="5">
                  <c:v>1.7349827806380399E-5</c:v>
                </c:pt>
                <c:pt idx="6">
                  <c:v>1.7349827806380401E-4</c:v>
                </c:pt>
                <c:pt idx="7">
                  <c:v>1.73498278063804E-3</c:v>
                </c:pt>
                <c:pt idx="8">
                  <c:v>1.7349827806380398E-2</c:v>
                </c:pt>
                <c:pt idx="9">
                  <c:v>0.173498278063804</c:v>
                </c:pt>
                <c:pt idx="10">
                  <c:v>1.73498278063804</c:v>
                </c:pt>
                <c:pt idx="11">
                  <c:v>17.3498278063804</c:v>
                </c:pt>
                <c:pt idx="12">
                  <c:v>173.49827806380401</c:v>
                </c:pt>
                <c:pt idx="13">
                  <c:v>1734.9827806380399</c:v>
                </c:pt>
                <c:pt idx="14">
                  <c:v>17349.827806380399</c:v>
                </c:pt>
                <c:pt idx="15">
                  <c:v>173498.278063804</c:v>
                </c:pt>
                <c:pt idx="16">
                  <c:v>1734982.78063804</c:v>
                </c:pt>
                <c:pt idx="17">
                  <c:v>17349827.806380399</c:v>
                </c:pt>
                <c:pt idx="18">
                  <c:v>173498278.063804</c:v>
                </c:pt>
                <c:pt idx="19">
                  <c:v>1734982780.6380401</c:v>
                </c:pt>
                <c:pt idx="20">
                  <c:v>17349827806.380398</c:v>
                </c:pt>
                <c:pt idx="21">
                  <c:v>173498278063.80399</c:v>
                </c:pt>
                <c:pt idx="22">
                  <c:v>1734982780638.04</c:v>
                </c:pt>
                <c:pt idx="23">
                  <c:v>17349827806380.4</c:v>
                </c:pt>
                <c:pt idx="24">
                  <c:v>173498278063804</c:v>
                </c:pt>
                <c:pt idx="25">
                  <c:v>1734982780638040</c:v>
                </c:pt>
                <c:pt idx="26">
                  <c:v>1.73498278063804E+16</c:v>
                </c:pt>
                <c:pt idx="27">
                  <c:v>1.73498278063804E+17</c:v>
                </c:pt>
                <c:pt idx="28">
                  <c:v>1.7349827806380401E+18</c:v>
                </c:pt>
                <c:pt idx="29">
                  <c:v>1.7349827806380401E+19</c:v>
                </c:pt>
                <c:pt idx="30">
                  <c:v>1.7349827806380399E+20</c:v>
                </c:pt>
              </c:numCache>
            </c:numRef>
          </c:xVal>
          <c:yVal>
            <c:numRef>
              <c:f>'Mastercurve bestimmen'!$N$404:$N$434</c:f>
              <c:numCache>
                <c:formatCode>0.00E+00</c:formatCode>
                <c:ptCount val="31"/>
                <c:pt idx="0">
                  <c:v>5916.6915694579875</c:v>
                </c:pt>
                <c:pt idx="1">
                  <c:v>5916.7227160627044</c:v>
                </c:pt>
                <c:pt idx="2">
                  <c:v>5916.6446401256508</c:v>
                </c:pt>
                <c:pt idx="3">
                  <c:v>5916.0822262002403</c:v>
                </c:pt>
                <c:pt idx="4">
                  <c:v>5910.6250002955303</c:v>
                </c:pt>
                <c:pt idx="5">
                  <c:v>5865.0413696390469</c:v>
                </c:pt>
                <c:pt idx="6">
                  <c:v>5722.4751414535358</c:v>
                </c:pt>
                <c:pt idx="7">
                  <c:v>5576.9650996615301</c:v>
                </c:pt>
                <c:pt idx="8">
                  <c:v>5410.5738362167167</c:v>
                </c:pt>
                <c:pt idx="9">
                  <c:v>5216.1277029195053</c:v>
                </c:pt>
                <c:pt idx="10">
                  <c:v>5018.4752297884525</c:v>
                </c:pt>
                <c:pt idx="11">
                  <c:v>4771.2929786824907</c:v>
                </c:pt>
                <c:pt idx="12">
                  <c:v>4502.260327638488</c:v>
                </c:pt>
                <c:pt idx="13">
                  <c:v>4239.8922301770135</c:v>
                </c:pt>
                <c:pt idx="14">
                  <c:v>3958.4879028609685</c:v>
                </c:pt>
                <c:pt idx="15">
                  <c:v>3659.7650677599231</c:v>
                </c:pt>
                <c:pt idx="16">
                  <c:v>3268.126124643903</c:v>
                </c:pt>
                <c:pt idx="17">
                  <c:v>2768.9657420868534</c:v>
                </c:pt>
                <c:pt idx="18">
                  <c:v>2204.5974524100161</c:v>
                </c:pt>
                <c:pt idx="19">
                  <c:v>1586.454168957242</c:v>
                </c:pt>
                <c:pt idx="20">
                  <c:v>1000.0232976856266</c:v>
                </c:pt>
                <c:pt idx="21">
                  <c:v>576.00660610456418</c:v>
                </c:pt>
                <c:pt idx="22">
                  <c:v>321.80010935687142</c:v>
                </c:pt>
                <c:pt idx="23">
                  <c:v>187.89777287454069</c:v>
                </c:pt>
                <c:pt idx="24">
                  <c:v>146.32445551645827</c:v>
                </c:pt>
                <c:pt idx="25">
                  <c:v>132.67557886184474</c:v>
                </c:pt>
                <c:pt idx="26">
                  <c:v>124.09266721325585</c:v>
                </c:pt>
                <c:pt idx="27">
                  <c:v>123.97220489326934</c:v>
                </c:pt>
                <c:pt idx="28">
                  <c:v>123.97018586453261</c:v>
                </c:pt>
                <c:pt idx="29">
                  <c:v>123.96849358445334</c:v>
                </c:pt>
                <c:pt idx="30">
                  <c:v>123.96695327212331</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6.4655204306795444E-2</c:v>
                </c:pt>
                <c:pt idx="1">
                  <c:v>0.64655204306795433</c:v>
                </c:pt>
                <c:pt idx="2">
                  <c:v>6.4655204306795442</c:v>
                </c:pt>
                <c:pt idx="3">
                  <c:v>64.65520430679544</c:v>
                </c:pt>
                <c:pt idx="4">
                  <c:v>646.55204306795429</c:v>
                </c:pt>
                <c:pt idx="5">
                  <c:v>6465.520430679544</c:v>
                </c:pt>
                <c:pt idx="6">
                  <c:v>64655.204306795444</c:v>
                </c:pt>
                <c:pt idx="7">
                  <c:v>646552.04306795436</c:v>
                </c:pt>
                <c:pt idx="8">
                  <c:v>6465520.4306795439</c:v>
                </c:pt>
                <c:pt idx="9">
                  <c:v>64655204.306795433</c:v>
                </c:pt>
                <c:pt idx="10">
                  <c:v>646552043.06795442</c:v>
                </c:pt>
                <c:pt idx="11">
                  <c:v>6465520430.6795444</c:v>
                </c:pt>
                <c:pt idx="12">
                  <c:v>64655204306.795441</c:v>
                </c:pt>
                <c:pt idx="13">
                  <c:v>646552043067.95435</c:v>
                </c:pt>
                <c:pt idx="14">
                  <c:v>6465520430679.5439</c:v>
                </c:pt>
                <c:pt idx="15">
                  <c:v>64655204306795.437</c:v>
                </c:pt>
                <c:pt idx="16">
                  <c:v>646552043067954.37</c:v>
                </c:pt>
                <c:pt idx="17">
                  <c:v>6465520430679544</c:v>
                </c:pt>
                <c:pt idx="18">
                  <c:v>6.465520430679544E+16</c:v>
                </c:pt>
                <c:pt idx="19">
                  <c:v>6.4655204306795443E+17</c:v>
                </c:pt>
                <c:pt idx="20">
                  <c:v>6.4655204306795438E+18</c:v>
                </c:pt>
                <c:pt idx="21">
                  <c:v>6.4655204306795438E+19</c:v>
                </c:pt>
                <c:pt idx="22">
                  <c:v>6.4655204306795443E+20</c:v>
                </c:pt>
                <c:pt idx="23">
                  <c:v>6.4655204306795438E+21</c:v>
                </c:pt>
                <c:pt idx="24">
                  <c:v>6.4655204306795436E+22</c:v>
                </c:pt>
                <c:pt idx="25">
                  <c:v>6.4655204306795436E+23</c:v>
                </c:pt>
                <c:pt idx="26">
                  <c:v>6.4655204306795436E+24</c:v>
                </c:pt>
                <c:pt idx="27">
                  <c:v>6.465520430679544E+25</c:v>
                </c:pt>
                <c:pt idx="28">
                  <c:v>6.4655204306795438E+26</c:v>
                </c:pt>
                <c:pt idx="29">
                  <c:v>6.4655204306795435E+27</c:v>
                </c:pt>
                <c:pt idx="30">
                  <c:v>6.465520430679544E+28</c:v>
                </c:pt>
              </c:numCache>
            </c:numRef>
          </c:xVal>
          <c:yVal>
            <c:numRef>
              <c:f>'Mastercurve bestimmen'!$O$404:$O$434</c:f>
              <c:numCache>
                <c:formatCode>0.00E+00</c:formatCode>
                <c:ptCount val="31"/>
                <c:pt idx="0">
                  <c:v>5339.3938402799959</c:v>
                </c:pt>
                <c:pt idx="1">
                  <c:v>5092.5436233397832</c:v>
                </c:pt>
                <c:pt idx="2">
                  <c:v>4862.2074038193541</c:v>
                </c:pt>
                <c:pt idx="3">
                  <c:v>4600.0447702643005</c:v>
                </c:pt>
                <c:pt idx="4">
                  <c:v>4335.4686548713016</c:v>
                </c:pt>
                <c:pt idx="5">
                  <c:v>4064.2446060274551</c:v>
                </c:pt>
                <c:pt idx="6">
                  <c:v>3775.0165221687416</c:v>
                </c:pt>
                <c:pt idx="7">
                  <c:v>3440.8792936987693</c:v>
                </c:pt>
                <c:pt idx="8">
                  <c:v>3007.0276986600152</c:v>
                </c:pt>
                <c:pt idx="9">
                  <c:v>2483.1842311274095</c:v>
                </c:pt>
                <c:pt idx="10">
                  <c:v>1877.3036191571002</c:v>
                </c:pt>
                <c:pt idx="11">
                  <c:v>1225.8372848665197</c:v>
                </c:pt>
                <c:pt idx="12">
                  <c:v>718.17933085631228</c:v>
                </c:pt>
                <c:pt idx="13">
                  <c:v>402.8254128419544</c:v>
                </c:pt>
                <c:pt idx="14">
                  <c:v>224.17774389747507</c:v>
                </c:pt>
                <c:pt idx="15">
                  <c:v>157.32573154577258</c:v>
                </c:pt>
                <c:pt idx="16">
                  <c:v>138.47466281617423</c:v>
                </c:pt>
                <c:pt idx="17">
                  <c:v>126.92176045152465</c:v>
                </c:pt>
                <c:pt idx="18">
                  <c:v>125.32043450442224</c:v>
                </c:pt>
                <c:pt idx="19">
                  <c:v>125.18975547765271</c:v>
                </c:pt>
                <c:pt idx="20">
                  <c:v>125.05583743141311</c:v>
                </c:pt>
                <c:pt idx="21">
                  <c:v>124.89217701523481</c:v>
                </c:pt>
                <c:pt idx="22">
                  <c:v>124.70815441395035</c:v>
                </c:pt>
                <c:pt idx="23">
                  <c:v>124.51586541667818</c:v>
                </c:pt>
                <c:pt idx="24">
                  <c:v>124.45612407089325</c:v>
                </c:pt>
                <c:pt idx="25">
                  <c:v>124.36413594438419</c:v>
                </c:pt>
                <c:pt idx="26">
                  <c:v>124.24957869452857</c:v>
                </c:pt>
                <c:pt idx="27">
                  <c:v>124.12464463468883</c:v>
                </c:pt>
                <c:pt idx="28">
                  <c:v>124.11696893794122</c:v>
                </c:pt>
                <c:pt idx="29">
                  <c:v>124.11273578228328</c:v>
                </c:pt>
                <c:pt idx="30">
                  <c:v>124.10930475258213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3.7537732261831018</c:v>
                </c:pt>
                <c:pt idx="1">
                  <c:v>37.537732261831017</c:v>
                </c:pt>
                <c:pt idx="2">
                  <c:v>375.37732261831019</c:v>
                </c:pt>
                <c:pt idx="3">
                  <c:v>3753.7732261831015</c:v>
                </c:pt>
                <c:pt idx="4">
                  <c:v>37537.732261831014</c:v>
                </c:pt>
                <c:pt idx="5">
                  <c:v>375377.32261831017</c:v>
                </c:pt>
                <c:pt idx="6">
                  <c:v>3753773.226183102</c:v>
                </c:pt>
                <c:pt idx="7">
                  <c:v>37537732.261831015</c:v>
                </c:pt>
                <c:pt idx="8">
                  <c:v>375377322.61831015</c:v>
                </c:pt>
                <c:pt idx="9">
                  <c:v>3753773226.1831017</c:v>
                </c:pt>
                <c:pt idx="10">
                  <c:v>37537732261.831017</c:v>
                </c:pt>
                <c:pt idx="11">
                  <c:v>375377322618.31018</c:v>
                </c:pt>
                <c:pt idx="12">
                  <c:v>3753773226183.1016</c:v>
                </c:pt>
                <c:pt idx="13">
                  <c:v>37537732261831.016</c:v>
                </c:pt>
                <c:pt idx="14">
                  <c:v>375377322618310.19</c:v>
                </c:pt>
                <c:pt idx="15">
                  <c:v>3753773226183101.5</c:v>
                </c:pt>
                <c:pt idx="16">
                  <c:v>3.7537732261831016E+16</c:v>
                </c:pt>
                <c:pt idx="17">
                  <c:v>3.7537732261831014E+17</c:v>
                </c:pt>
                <c:pt idx="18">
                  <c:v>3.753773226183102E+18</c:v>
                </c:pt>
                <c:pt idx="19">
                  <c:v>3.7537732261831016E+19</c:v>
                </c:pt>
                <c:pt idx="20">
                  <c:v>3.7537732261831016E+20</c:v>
                </c:pt>
                <c:pt idx="21">
                  <c:v>3.7537732261831015E+21</c:v>
                </c:pt>
                <c:pt idx="22">
                  <c:v>3.7537732261831017E+22</c:v>
                </c:pt>
                <c:pt idx="23">
                  <c:v>3.753773226183102E+23</c:v>
                </c:pt>
                <c:pt idx="24">
                  <c:v>3.7537732261831014E+24</c:v>
                </c:pt>
                <c:pt idx="25">
                  <c:v>3.7537732261831017E+25</c:v>
                </c:pt>
                <c:pt idx="26">
                  <c:v>3.7537732261831014E+26</c:v>
                </c:pt>
                <c:pt idx="27">
                  <c:v>3.7537732261831019E+27</c:v>
                </c:pt>
                <c:pt idx="28">
                  <c:v>3.7537732261831017E+28</c:v>
                </c:pt>
                <c:pt idx="29">
                  <c:v>3.7537732261831018E+29</c:v>
                </c:pt>
                <c:pt idx="30">
                  <c:v>3.7537732261831017E+30</c:v>
                </c:pt>
              </c:numCache>
            </c:numRef>
          </c:xVal>
          <c:yVal>
            <c:numRef>
              <c:f>'Mastercurve bestimmen'!$P$404:$P$434</c:f>
              <c:numCache>
                <c:formatCode>0.00E+00</c:formatCode>
                <c:ptCount val="31"/>
                <c:pt idx="0">
                  <c:v>4973.1641667493986</c:v>
                </c:pt>
                <c:pt idx="1">
                  <c:v>4659.596505568883</c:v>
                </c:pt>
                <c:pt idx="2">
                  <c:v>4385.9516115251872</c:v>
                </c:pt>
                <c:pt idx="3">
                  <c:v>4118.3569666620651</c:v>
                </c:pt>
                <c:pt idx="4">
                  <c:v>3829.8022738739742</c:v>
                </c:pt>
                <c:pt idx="5">
                  <c:v>3513.4556215320054</c:v>
                </c:pt>
                <c:pt idx="6">
                  <c:v>3097.9149297690292</c:v>
                </c:pt>
                <c:pt idx="7">
                  <c:v>2591.2184022941196</c:v>
                </c:pt>
                <c:pt idx="8">
                  <c:v>2005.3525724949279</c:v>
                </c:pt>
                <c:pt idx="9">
                  <c:v>1355.6696144527521</c:v>
                </c:pt>
                <c:pt idx="10">
                  <c:v>816.95203291347548</c:v>
                </c:pt>
                <c:pt idx="11">
                  <c:v>463.37163713330017</c:v>
                </c:pt>
                <c:pt idx="12">
                  <c:v>256.97131232473913</c:v>
                </c:pt>
                <c:pt idx="13">
                  <c:v>167.49490825050054</c:v>
                </c:pt>
                <c:pt idx="14">
                  <c:v>141.80358734877336</c:v>
                </c:pt>
                <c:pt idx="15">
                  <c:v>129.19132461504012</c:v>
                </c:pt>
                <c:pt idx="16">
                  <c:v>125.45582042457461</c:v>
                </c:pt>
                <c:pt idx="17">
                  <c:v>125.37751528072498</c:v>
                </c:pt>
                <c:pt idx="18">
                  <c:v>125.26241312398497</c:v>
                </c:pt>
                <c:pt idx="19">
                  <c:v>125.1369355609138</c:v>
                </c:pt>
                <c:pt idx="20">
                  <c:v>124.97859027478171</c:v>
                </c:pt>
                <c:pt idx="21">
                  <c:v>124.79521194858673</c:v>
                </c:pt>
                <c:pt idx="22">
                  <c:v>124.60066288549459</c:v>
                </c:pt>
                <c:pt idx="23">
                  <c:v>124.40326066206676</c:v>
                </c:pt>
                <c:pt idx="24">
                  <c:v>124.39897169961779</c:v>
                </c:pt>
                <c:pt idx="25">
                  <c:v>124.30647199515475</c:v>
                </c:pt>
                <c:pt idx="26">
                  <c:v>124.18164826003697</c:v>
                </c:pt>
                <c:pt idx="27">
                  <c:v>124.05329261398603</c:v>
                </c:pt>
                <c:pt idx="28">
                  <c:v>124.04585962671396</c:v>
                </c:pt>
                <c:pt idx="29">
                  <c:v>124.04225732695286</c:v>
                </c:pt>
                <c:pt idx="30">
                  <c:v>124.03970146521578</c:v>
                </c:pt>
              </c:numCache>
            </c:numRef>
          </c:yVal>
          <c:smooth val="1"/>
        </c:ser>
        <c:dLbls>
          <c:showLegendKey val="0"/>
          <c:showVal val="0"/>
          <c:showCatName val="0"/>
          <c:showSerName val="0"/>
          <c:showPercent val="0"/>
          <c:showBubbleSize val="0"/>
        </c:dLbls>
        <c:axId val="671146528"/>
        <c:axId val="671145352"/>
      </c:scatterChart>
      <c:valAx>
        <c:axId val="671146528"/>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71145352"/>
        <c:crosses val="autoZero"/>
        <c:crossBetween val="midCat"/>
      </c:valAx>
      <c:valAx>
        <c:axId val="6711453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71146528"/>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-45.801625734711926</c:v>
                </c:pt>
                <c:pt idx="1">
                  <c:v>-45.738092888466561</c:v>
                </c:pt>
                <c:pt idx="2">
                  <c:v>-45.67441338219669</c:v>
                </c:pt>
                <c:pt idx="3">
                  <c:v>-45.610440555877801</c:v>
                </c:pt>
                <c:pt idx="4">
                  <c:v>-45.54602774948539</c:v>
                </c:pt>
                <c:pt idx="5">
                  <c:v>-45.481028302994957</c:v>
                </c:pt>
                <c:pt idx="6">
                  <c:v>-45.415295556381992</c:v>
                </c:pt>
                <c:pt idx="7">
                  <c:v>-45.34868284962198</c:v>
                </c:pt>
                <c:pt idx="8">
                  <c:v>-45.281043522690418</c:v>
                </c:pt>
                <c:pt idx="9">
                  <c:v>-45.212230915562813</c:v>
                </c:pt>
                <c:pt idx="10">
                  <c:v>-45.14209836821464</c:v>
                </c:pt>
                <c:pt idx="11">
                  <c:v>-45.0704992206214</c:v>
                </c:pt>
                <c:pt idx="12">
                  <c:v>-44.997286812758588</c:v>
                </c:pt>
                <c:pt idx="13">
                  <c:v>-44.922314484601692</c:v>
                </c:pt>
                <c:pt idx="14">
                  <c:v>-44.845435576126206</c:v>
                </c:pt>
                <c:pt idx="15">
                  <c:v>-44.766503427307626</c:v>
                </c:pt>
                <c:pt idx="16">
                  <c:v>-44.685371378121459</c:v>
                </c:pt>
                <c:pt idx="17">
                  <c:v>-44.601892768543166</c:v>
                </c:pt>
                <c:pt idx="18">
                  <c:v>-44.515920938548263</c:v>
                </c:pt>
                <c:pt idx="19">
                  <c:v>-44.427309228112236</c:v>
                </c:pt>
                <c:pt idx="20">
                  <c:v>-44.335910977210588</c:v>
                </c:pt>
                <c:pt idx="21">
                  <c:v>-44.2415795258188</c:v>
                </c:pt>
                <c:pt idx="22">
                  <c:v>-44.144168213912366</c:v>
                </c:pt>
                <c:pt idx="23">
                  <c:v>-44.043530381466795</c:v>
                </c:pt>
                <c:pt idx="24">
                  <c:v>-43.939519368457553</c:v>
                </c:pt>
                <c:pt idx="25">
                  <c:v>-43.831988514860157</c:v>
                </c:pt>
                <c:pt idx="26">
                  <c:v>-43.720791160650094</c:v>
                </c:pt>
                <c:pt idx="27">
                  <c:v>-43.605780645802852</c:v>
                </c:pt>
                <c:pt idx="28">
                  <c:v>-43.486810310293926</c:v>
                </c:pt>
                <c:pt idx="29">
                  <c:v>-43.36373349409881</c:v>
                </c:pt>
                <c:pt idx="30">
                  <c:v>-43.236403537192999</c:v>
                </c:pt>
                <c:pt idx="31">
                  <c:v>-43.104673779551987</c:v>
                </c:pt>
                <c:pt idx="32">
                  <c:v>-42.968397561151264</c:v>
                </c:pt>
                <c:pt idx="33">
                  <c:v>-42.827428221966329</c:v>
                </c:pt>
                <c:pt idx="34">
                  <c:v>-42.681619101972665</c:v>
                </c:pt>
                <c:pt idx="35">
                  <c:v>-42.530823541145764</c:v>
                </c:pt>
                <c:pt idx="36">
                  <c:v>-42.374894879461138</c:v>
                </c:pt>
                <c:pt idx="37">
                  <c:v>-42.213686456894266</c:v>
                </c:pt>
                <c:pt idx="38">
                  <c:v>-42.047051613420642</c:v>
                </c:pt>
                <c:pt idx="39">
                  <c:v>-41.874843689015755</c:v>
                </c:pt>
                <c:pt idx="40">
                  <c:v>-41.696916023655113</c:v>
                </c:pt>
                <c:pt idx="41">
                  <c:v>-41.565532961159505</c:v>
                </c:pt>
                <c:pt idx="42">
                  <c:v>-41.428597079596727</c:v>
                </c:pt>
                <c:pt idx="43">
                  <c:v>-41.286421960879899</c:v>
                </c:pt>
                <c:pt idx="44">
                  <c:v>-41.139321186922089</c:v>
                </c:pt>
                <c:pt idx="45">
                  <c:v>-40.987608339636431</c:v>
                </c:pt>
                <c:pt idx="46">
                  <c:v>-40.831597000936014</c:v>
                </c:pt>
                <c:pt idx="47">
                  <c:v>-40.671600752733944</c:v>
                </c:pt>
                <c:pt idx="48">
                  <c:v>-40.507933176943325</c:v>
                </c:pt>
                <c:pt idx="49">
                  <c:v>-40.340907855477255</c:v>
                </c:pt>
                <c:pt idx="50">
                  <c:v>-40.170838370248845</c:v>
                </c:pt>
                <c:pt idx="51">
                  <c:v>-39.998038303171192</c:v>
                </c:pt>
                <c:pt idx="52">
                  <c:v>-39.822821236157395</c:v>
                </c:pt>
                <c:pt idx="53">
                  <c:v>-39.645500751120565</c:v>
                </c:pt>
                <c:pt idx="54">
                  <c:v>-39.466390429973806</c:v>
                </c:pt>
                <c:pt idx="55">
                  <c:v>-39.285803854630217</c:v>
                </c:pt>
                <c:pt idx="56">
                  <c:v>-39.104054607002894</c:v>
                </c:pt>
                <c:pt idx="57">
                  <c:v>-38.921456269004949</c:v>
                </c:pt>
                <c:pt idx="58">
                  <c:v>-38.738322422549487</c:v>
                </c:pt>
                <c:pt idx="59">
                  <c:v>-38.554966649549606</c:v>
                </c:pt>
                <c:pt idx="60">
                  <c:v>-38.371702531918402</c:v>
                </c:pt>
                <c:pt idx="61">
                  <c:v>-38.188843651568995</c:v>
                </c:pt>
                <c:pt idx="62">
                  <c:v>-38.006703590414475</c:v>
                </c:pt>
                <c:pt idx="63">
                  <c:v>-37.825595930367939</c:v>
                </c:pt>
                <c:pt idx="64">
                  <c:v>-37.645834253342514</c:v>
                </c:pt>
                <c:pt idx="65">
                  <c:v>-37.467732141251275</c:v>
                </c:pt>
                <c:pt idx="66">
                  <c:v>-37.291414253640276</c:v>
                </c:pt>
                <c:pt idx="67">
                  <c:v>-37.116249560587271</c:v>
                </c:pt>
                <c:pt idx="68">
                  <c:v>-36.941418109802967</c:v>
                </c:pt>
                <c:pt idx="69">
                  <c:v>-36.766099948998033</c:v>
                </c:pt>
                <c:pt idx="70">
                  <c:v>-36.589475125883204</c:v>
                </c:pt>
                <c:pt idx="71">
                  <c:v>-36.410723688169142</c:v>
                </c:pt>
                <c:pt idx="72">
                  <c:v>-36.229025683566562</c:v>
                </c:pt>
                <c:pt idx="73">
                  <c:v>-36.043561159786151</c:v>
                </c:pt>
                <c:pt idx="74">
                  <c:v>-35.853510164538605</c:v>
                </c:pt>
                <c:pt idx="75">
                  <c:v>-35.658052745534626</c:v>
                </c:pt>
                <c:pt idx="76">
                  <c:v>-35.456368950484901</c:v>
                </c:pt>
                <c:pt idx="77">
                  <c:v>-35.247638827100133</c:v>
                </c:pt>
                <c:pt idx="78">
                  <c:v>-35.031042423091009</c:v>
                </c:pt>
                <c:pt idx="79">
                  <c:v>-34.805759786168238</c:v>
                </c:pt>
                <c:pt idx="80">
                  <c:v>-34.570970964042495</c:v>
                </c:pt>
                <c:pt idx="81">
                  <c:v>-34.325856004424494</c:v>
                </c:pt>
                <c:pt idx="82">
                  <c:v>-34.069594955024925</c:v>
                </c:pt>
                <c:pt idx="83">
                  <c:v>-33.801367863554489</c:v>
                </c:pt>
                <c:pt idx="84">
                  <c:v>-33.520354777723867</c:v>
                </c:pt>
                <c:pt idx="85">
                  <c:v>-33.225735745243767</c:v>
                </c:pt>
                <c:pt idx="86">
                  <c:v>-32.916690813824886</c:v>
                </c:pt>
                <c:pt idx="87">
                  <c:v>-32.592400031177917</c:v>
                </c:pt>
                <c:pt idx="88">
                  <c:v>-32.252043445013541</c:v>
                </c:pt>
                <c:pt idx="89">
                  <c:v>-31.894801103042475</c:v>
                </c:pt>
                <c:pt idx="90">
                  <c:v>-31.519853052975407</c:v>
                </c:pt>
                <c:pt idx="91">
                  <c:v>-31.126667810396924</c:v>
                </c:pt>
                <c:pt idx="92">
                  <c:v>-30.715867762387184</c:v>
                </c:pt>
                <c:pt idx="93">
                  <c:v>-30.288363763900247</c:v>
                </c:pt>
                <c:pt idx="94">
                  <c:v>-29.845066669890162</c:v>
                </c:pt>
                <c:pt idx="95">
                  <c:v>-29.386887335310995</c:v>
                </c:pt>
                <c:pt idx="96">
                  <c:v>-28.914736615116791</c:v>
                </c:pt>
                <c:pt idx="97">
                  <c:v>-28.429525364261607</c:v>
                </c:pt>
                <c:pt idx="98">
                  <c:v>-27.932164437699502</c:v>
                </c:pt>
                <c:pt idx="99">
                  <c:v>-27.42356469038452</c:v>
                </c:pt>
                <c:pt idx="100">
                  <c:v>-26.904636977270727</c:v>
                </c:pt>
                <c:pt idx="101">
                  <c:v>-26.376292153312171</c:v>
                </c:pt>
                <c:pt idx="102">
                  <c:v>-25.839441073462908</c:v>
                </c:pt>
                <c:pt idx="103">
                  <c:v>-25.294994592676993</c:v>
                </c:pt>
                <c:pt idx="104">
                  <c:v>-24.743863565908484</c:v>
                </c:pt>
                <c:pt idx="105">
                  <c:v>-24.186958848111431</c:v>
                </c:pt>
                <c:pt idx="106">
                  <c:v>-23.62519129423989</c:v>
                </c:pt>
                <c:pt idx="107">
                  <c:v>-23.059471759247913</c:v>
                </c:pt>
                <c:pt idx="108">
                  <c:v>-22.490711098089562</c:v>
                </c:pt>
                <c:pt idx="109">
                  <c:v>-21.919820165718889</c:v>
                </c:pt>
                <c:pt idx="110">
                  <c:v>-21.347709817089942</c:v>
                </c:pt>
                <c:pt idx="111">
                  <c:v>-20.77529090715678</c:v>
                </c:pt>
                <c:pt idx="112">
                  <c:v>-20.203474290873459</c:v>
                </c:pt>
                <c:pt idx="113">
                  <c:v>-19.633170823194035</c:v>
                </c:pt>
                <c:pt idx="114">
                  <c:v>-19.06529135907256</c:v>
                </c:pt>
                <c:pt idx="115">
                  <c:v>-18.500746753463087</c:v>
                </c:pt>
                <c:pt idx="116">
                  <c:v>-17.940447861319676</c:v>
                </c:pt>
                <c:pt idx="117">
                  <c:v>-17.385305537596373</c:v>
                </c:pt>
                <c:pt idx="118">
                  <c:v>-16.836230637247244</c:v>
                </c:pt>
                <c:pt idx="119">
                  <c:v>-16.294134015226334</c:v>
                </c:pt>
                <c:pt idx="120">
                  <c:v>-15.759926526487703</c:v>
                </c:pt>
                <c:pt idx="121">
                  <c:v>-15.234358199038235</c:v>
                </c:pt>
                <c:pt idx="122">
                  <c:v>-14.717535753096168</c:v>
                </c:pt>
                <c:pt idx="123">
                  <c:v>-14.209405081932562</c:v>
                </c:pt>
                <c:pt idx="124">
                  <c:v>-13.709912078818485</c:v>
                </c:pt>
                <c:pt idx="125">
                  <c:v>-13.219002637025</c:v>
                </c:pt>
                <c:pt idx="126">
                  <c:v>-12.736622649823172</c:v>
                </c:pt>
                <c:pt idx="127">
                  <c:v>-12.262718010484072</c:v>
                </c:pt>
                <c:pt idx="128">
                  <c:v>-11.797234612278755</c:v>
                </c:pt>
                <c:pt idx="129">
                  <c:v>-11.340118348478292</c:v>
                </c:pt>
                <c:pt idx="130">
                  <c:v>-10.891315112353752</c:v>
                </c:pt>
                <c:pt idx="131">
                  <c:v>-10.450770797176192</c:v>
                </c:pt>
                <c:pt idx="132">
                  <c:v>-10.018431296216681</c:v>
                </c:pt>
                <c:pt idx="133">
                  <c:v>-9.594242502746285</c:v>
                </c:pt>
                <c:pt idx="134">
                  <c:v>-9.1781503100360666</c:v>
                </c:pt>
                <c:pt idx="135">
                  <c:v>-8.7701006113570976</c:v>
                </c:pt>
                <c:pt idx="136">
                  <c:v>-8.3700392999804354</c:v>
                </c:pt>
                <c:pt idx="137">
                  <c:v>-7.977912269177148</c:v>
                </c:pt>
                <c:pt idx="138">
                  <c:v>-7.5936654122183009</c:v>
                </c:pt>
                <c:pt idx="139">
                  <c:v>-7.2172446223749596</c:v>
                </c:pt>
                <c:pt idx="140">
                  <c:v>-6.8485957929181875</c:v>
                </c:pt>
                <c:pt idx="141">
                  <c:v>-6.4876648171190521</c:v>
                </c:pt>
                <c:pt idx="142">
                  <c:v>-6.1343975882486186</c:v>
                </c:pt>
                <c:pt idx="143">
                  <c:v>-5.7887399995779507</c:v>
                </c:pt>
                <c:pt idx="144">
                  <c:v>-5.4506379443781121</c:v>
                </c:pt>
                <c:pt idx="145">
                  <c:v>-5.1200373159201717</c:v>
                </c:pt>
                <c:pt idx="146">
                  <c:v>-4.7968840074751924</c:v>
                </c:pt>
                <c:pt idx="147">
                  <c:v>-4.4811239123142403</c:v>
                </c:pt>
                <c:pt idx="148">
                  <c:v>-4.1727029237083801</c:v>
                </c:pt>
                <c:pt idx="149">
                  <c:v>-3.8715669349286768</c:v>
                </c:pt>
                <c:pt idx="150">
                  <c:v>-3.577661839246197</c:v>
                </c:pt>
                <c:pt idx="151">
                  <c:v>-3.2909335299320035</c:v>
                </c:pt>
                <c:pt idx="152">
                  <c:v>-3.0113279002571627</c:v>
                </c:pt>
                <c:pt idx="153">
                  <c:v>-2.7387908434927408</c:v>
                </c:pt>
                <c:pt idx="154">
                  <c:v>-2.4732682529098016</c:v>
                </c:pt>
                <c:pt idx="155">
                  <c:v>-2.2147060217794103</c:v>
                </c:pt>
                <c:pt idx="156">
                  <c:v>-1.963050043372633</c:v>
                </c:pt>
                <c:pt idx="157">
                  <c:v>-1.7182462109605345</c:v>
                </c:pt>
                <c:pt idx="158">
                  <c:v>-1.4802404178141799</c:v>
                </c:pt>
                <c:pt idx="159">
                  <c:v>-1.2489785572046341</c:v>
                </c:pt>
                <c:pt idx="160">
                  <c:v>-1.0244065224029626</c:v>
                </c:pt>
                <c:pt idx="161">
                  <c:v>-0.80647020668023028</c:v>
                </c:pt>
                <c:pt idx="162">
                  <c:v>-0.59511550330750262</c:v>
                </c:pt>
                <c:pt idx="163">
                  <c:v>-0.39028830555584504</c:v>
                </c:pt>
                <c:pt idx="164">
                  <c:v>-0.19193450669632295</c:v>
                </c:pt>
                <c:pt idx="165">
                  <c:v>0</c:v>
                </c:pt>
                <c:pt idx="166">
                  <c:v>0.1855906138807312</c:v>
                </c:pt>
                <c:pt idx="167">
                  <c:v>0.36499790476817601</c:v>
                </c:pt>
                <c:pt idx="168">
                  <c:v>0.53840373510331363</c:v>
                </c:pt>
                <c:pt idx="169">
                  <c:v>0.70598996732712282</c:v>
                </c:pt>
                <c:pt idx="170">
                  <c:v>0.8679384638805826</c:v>
                </c:pt>
                <c:pt idx="171">
                  <c:v>1.0244310872046722</c:v>
                </c:pt>
                <c:pt idx="172">
                  <c:v>1.1756496997403705</c:v>
                </c:pt>
                <c:pt idx="173">
                  <c:v>1.3217761639286563</c:v>
                </c:pt>
                <c:pt idx="174">
                  <c:v>1.4629923422105091</c:v>
                </c:pt>
                <c:pt idx="175">
                  <c:v>1.5994800970269076</c:v>
                </c:pt>
                <c:pt idx="176">
                  <c:v>1.7314212908188309</c:v>
                </c:pt>
                <c:pt idx="177">
                  <c:v>1.8589977860272577</c:v>
                </c:pt>
                <c:pt idx="178">
                  <c:v>1.9823914450931674</c:v>
                </c:pt>
                <c:pt idx="179">
                  <c:v>2.1017841304575389</c:v>
                </c:pt>
                <c:pt idx="180">
                  <c:v>2.2173577045613508</c:v>
                </c:pt>
                <c:pt idx="181">
                  <c:v>2.3292940298455829</c:v>
                </c:pt>
                <c:pt idx="182">
                  <c:v>2.437774968751214</c:v>
                </c:pt>
                <c:pt idx="183">
                  <c:v>2.5429823837192229</c:v>
                </c:pt>
                <c:pt idx="184">
                  <c:v>2.6450981371905882</c:v>
                </c:pt>
                <c:pt idx="185">
                  <c:v>2.7443040916062893</c:v>
                </c:pt>
                <c:pt idx="186">
                  <c:v>2.8407821094073058</c:v>
                </c:pt>
                <c:pt idx="187">
                  <c:v>2.9347140530346154</c:v>
                </c:pt>
                <c:pt idx="188">
                  <c:v>3.0262817849291981</c:v>
                </c:pt>
                <c:pt idx="189">
                  <c:v>3.1156671675320333</c:v>
                </c:pt>
                <c:pt idx="190">
                  <c:v>3.2030520632840989</c:v>
                </c:pt>
                <c:pt idx="191">
                  <c:v>3.2886183346263742</c:v>
                </c:pt>
                <c:pt idx="192">
                  <c:v>3.3725478439998384</c:v>
                </c:pt>
                <c:pt idx="193">
                  <c:v>3.455022453845471</c:v>
                </c:pt>
                <c:pt idx="194">
                  <c:v>3.5362240266042502</c:v>
                </c:pt>
                <c:pt idx="195">
                  <c:v>3.6163344247171554</c:v>
                </c:pt>
                <c:pt idx="196">
                  <c:v>3.6955355106251657</c:v>
                </c:pt>
                <c:pt idx="197">
                  <c:v>3.7740091467692598</c:v>
                </c:pt>
                <c:pt idx="198">
                  <c:v>3.8519371955904167</c:v>
                </c:pt>
                <c:pt idx="199">
                  <c:v>3.9295015195296163</c:v>
                </c:pt>
                <c:pt idx="200">
                  <c:v>4.0068839810278361</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-14.406800109604639</c:v>
                </c:pt>
                <c:pt idx="1">
                  <c:v>-10.950515452938541</c:v>
                </c:pt>
                <c:pt idx="2">
                  <c:v>-6.5770330385822291</c:v>
                </c:pt>
                <c:pt idx="3">
                  <c:v>0</c:v>
                </c:pt>
                <c:pt idx="4">
                  <c:v>12.063922953615501</c:v>
                </c:pt>
                <c:pt idx="5">
                  <c:v>31.8000897176249</c:v>
                </c:pt>
                <c:pt idx="6">
                  <c:v>35.861537922668312</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-90</c:v>
                </c:pt>
                <c:pt idx="1">
                  <c:v>-89</c:v>
                </c:pt>
                <c:pt idx="2">
                  <c:v>-88</c:v>
                </c:pt>
                <c:pt idx="3">
                  <c:v>-87</c:v>
                </c:pt>
                <c:pt idx="4">
                  <c:v>-86</c:v>
                </c:pt>
                <c:pt idx="5">
                  <c:v>-85</c:v>
                </c:pt>
                <c:pt idx="6">
                  <c:v>-84</c:v>
                </c:pt>
                <c:pt idx="7">
                  <c:v>-83</c:v>
                </c:pt>
                <c:pt idx="8">
                  <c:v>-82</c:v>
                </c:pt>
                <c:pt idx="9">
                  <c:v>-81</c:v>
                </c:pt>
                <c:pt idx="10">
                  <c:v>-80</c:v>
                </c:pt>
                <c:pt idx="11">
                  <c:v>-79</c:v>
                </c:pt>
                <c:pt idx="12">
                  <c:v>-78</c:v>
                </c:pt>
                <c:pt idx="13">
                  <c:v>-77</c:v>
                </c:pt>
                <c:pt idx="14">
                  <c:v>-76</c:v>
                </c:pt>
                <c:pt idx="15">
                  <c:v>-75</c:v>
                </c:pt>
                <c:pt idx="16">
                  <c:v>-74</c:v>
                </c:pt>
                <c:pt idx="17">
                  <c:v>-73</c:v>
                </c:pt>
                <c:pt idx="18">
                  <c:v>-72</c:v>
                </c:pt>
                <c:pt idx="19">
                  <c:v>-71</c:v>
                </c:pt>
                <c:pt idx="20">
                  <c:v>-70</c:v>
                </c:pt>
                <c:pt idx="21">
                  <c:v>-69</c:v>
                </c:pt>
                <c:pt idx="22">
                  <c:v>-68</c:v>
                </c:pt>
                <c:pt idx="23">
                  <c:v>-67</c:v>
                </c:pt>
                <c:pt idx="24">
                  <c:v>-66</c:v>
                </c:pt>
                <c:pt idx="25">
                  <c:v>-65</c:v>
                </c:pt>
                <c:pt idx="26">
                  <c:v>-64</c:v>
                </c:pt>
                <c:pt idx="27">
                  <c:v>-63</c:v>
                </c:pt>
                <c:pt idx="28">
                  <c:v>-62</c:v>
                </c:pt>
                <c:pt idx="29">
                  <c:v>-61</c:v>
                </c:pt>
                <c:pt idx="30">
                  <c:v>-60</c:v>
                </c:pt>
                <c:pt idx="31">
                  <c:v>-59</c:v>
                </c:pt>
                <c:pt idx="32">
                  <c:v>-58</c:v>
                </c:pt>
                <c:pt idx="33">
                  <c:v>-57</c:v>
                </c:pt>
                <c:pt idx="34">
                  <c:v>-56</c:v>
                </c:pt>
                <c:pt idx="35">
                  <c:v>-55</c:v>
                </c:pt>
                <c:pt idx="36">
                  <c:v>-54</c:v>
                </c:pt>
                <c:pt idx="37">
                  <c:v>-53</c:v>
                </c:pt>
                <c:pt idx="38">
                  <c:v>-52</c:v>
                </c:pt>
                <c:pt idx="39">
                  <c:v>-51</c:v>
                </c:pt>
                <c:pt idx="40">
                  <c:v>-50</c:v>
                </c:pt>
                <c:pt idx="41">
                  <c:v>-49</c:v>
                </c:pt>
                <c:pt idx="42">
                  <c:v>-48</c:v>
                </c:pt>
                <c:pt idx="43">
                  <c:v>-47</c:v>
                </c:pt>
                <c:pt idx="44">
                  <c:v>-46</c:v>
                </c:pt>
                <c:pt idx="45">
                  <c:v>-45</c:v>
                </c:pt>
                <c:pt idx="46">
                  <c:v>-44</c:v>
                </c:pt>
                <c:pt idx="47">
                  <c:v>-43</c:v>
                </c:pt>
                <c:pt idx="48">
                  <c:v>-42</c:v>
                </c:pt>
                <c:pt idx="49">
                  <c:v>-41</c:v>
                </c:pt>
                <c:pt idx="50">
                  <c:v>-40</c:v>
                </c:pt>
                <c:pt idx="51">
                  <c:v>-39</c:v>
                </c:pt>
                <c:pt idx="52">
                  <c:v>-38</c:v>
                </c:pt>
                <c:pt idx="53">
                  <c:v>-37</c:v>
                </c:pt>
                <c:pt idx="54">
                  <c:v>-36</c:v>
                </c:pt>
                <c:pt idx="55">
                  <c:v>-35</c:v>
                </c:pt>
                <c:pt idx="56">
                  <c:v>-34</c:v>
                </c:pt>
                <c:pt idx="57">
                  <c:v>-33</c:v>
                </c:pt>
                <c:pt idx="58">
                  <c:v>-32</c:v>
                </c:pt>
                <c:pt idx="59">
                  <c:v>-31</c:v>
                </c:pt>
                <c:pt idx="60">
                  <c:v>-30</c:v>
                </c:pt>
                <c:pt idx="61">
                  <c:v>-29</c:v>
                </c:pt>
                <c:pt idx="62">
                  <c:v>-28</c:v>
                </c:pt>
                <c:pt idx="63">
                  <c:v>-27</c:v>
                </c:pt>
                <c:pt idx="64">
                  <c:v>-26</c:v>
                </c:pt>
                <c:pt idx="65">
                  <c:v>-25</c:v>
                </c:pt>
                <c:pt idx="66">
                  <c:v>-24</c:v>
                </c:pt>
                <c:pt idx="67">
                  <c:v>-23</c:v>
                </c:pt>
                <c:pt idx="68">
                  <c:v>-22</c:v>
                </c:pt>
                <c:pt idx="69">
                  <c:v>-21</c:v>
                </c:pt>
                <c:pt idx="70">
                  <c:v>-20</c:v>
                </c:pt>
                <c:pt idx="71">
                  <c:v>-19</c:v>
                </c:pt>
                <c:pt idx="72">
                  <c:v>-18</c:v>
                </c:pt>
                <c:pt idx="73">
                  <c:v>-17</c:v>
                </c:pt>
                <c:pt idx="74">
                  <c:v>-16</c:v>
                </c:pt>
                <c:pt idx="75">
                  <c:v>-15</c:v>
                </c:pt>
                <c:pt idx="76">
                  <c:v>-14</c:v>
                </c:pt>
                <c:pt idx="77">
                  <c:v>-13</c:v>
                </c:pt>
                <c:pt idx="78">
                  <c:v>-12</c:v>
                </c:pt>
                <c:pt idx="79">
                  <c:v>-11</c:v>
                </c:pt>
                <c:pt idx="80">
                  <c:v>-10</c:v>
                </c:pt>
                <c:pt idx="81">
                  <c:v>-9</c:v>
                </c:pt>
                <c:pt idx="82">
                  <c:v>-8</c:v>
                </c:pt>
                <c:pt idx="83">
                  <c:v>-7</c:v>
                </c:pt>
                <c:pt idx="84">
                  <c:v>-6</c:v>
                </c:pt>
                <c:pt idx="85">
                  <c:v>-5</c:v>
                </c:pt>
                <c:pt idx="86">
                  <c:v>-4</c:v>
                </c:pt>
                <c:pt idx="87">
                  <c:v>-3</c:v>
                </c:pt>
                <c:pt idx="88">
                  <c:v>-2</c:v>
                </c:pt>
                <c:pt idx="89">
                  <c:v>-1</c:v>
                </c:pt>
                <c:pt idx="90">
                  <c:v>0</c:v>
                </c:pt>
                <c:pt idx="91">
                  <c:v>1</c:v>
                </c:pt>
                <c:pt idx="92">
                  <c:v>2</c:v>
                </c:pt>
                <c:pt idx="93">
                  <c:v>3</c:v>
                </c:pt>
                <c:pt idx="94">
                  <c:v>4</c:v>
                </c:pt>
                <c:pt idx="95">
                  <c:v>5</c:v>
                </c:pt>
                <c:pt idx="96">
                  <c:v>6</c:v>
                </c:pt>
                <c:pt idx="97">
                  <c:v>7</c:v>
                </c:pt>
                <c:pt idx="98">
                  <c:v>8</c:v>
                </c:pt>
                <c:pt idx="99">
                  <c:v>9</c:v>
                </c:pt>
                <c:pt idx="100">
                  <c:v>10</c:v>
                </c:pt>
                <c:pt idx="101">
                  <c:v>11</c:v>
                </c:pt>
                <c:pt idx="102">
                  <c:v>12</c:v>
                </c:pt>
                <c:pt idx="103">
                  <c:v>13</c:v>
                </c:pt>
                <c:pt idx="104">
                  <c:v>14</c:v>
                </c:pt>
                <c:pt idx="105">
                  <c:v>15</c:v>
                </c:pt>
                <c:pt idx="106">
                  <c:v>16</c:v>
                </c:pt>
                <c:pt idx="107">
                  <c:v>17</c:v>
                </c:pt>
                <c:pt idx="108">
                  <c:v>18</c:v>
                </c:pt>
                <c:pt idx="109">
                  <c:v>19</c:v>
                </c:pt>
                <c:pt idx="110">
                  <c:v>20</c:v>
                </c:pt>
                <c:pt idx="111">
                  <c:v>21</c:v>
                </c:pt>
                <c:pt idx="112">
                  <c:v>22</c:v>
                </c:pt>
                <c:pt idx="113">
                  <c:v>23</c:v>
                </c:pt>
                <c:pt idx="114">
                  <c:v>24</c:v>
                </c:pt>
                <c:pt idx="115">
                  <c:v>25</c:v>
                </c:pt>
                <c:pt idx="116">
                  <c:v>26</c:v>
                </c:pt>
                <c:pt idx="117">
                  <c:v>27</c:v>
                </c:pt>
                <c:pt idx="118">
                  <c:v>28</c:v>
                </c:pt>
                <c:pt idx="119">
                  <c:v>29</c:v>
                </c:pt>
                <c:pt idx="120">
                  <c:v>30</c:v>
                </c:pt>
                <c:pt idx="121">
                  <c:v>31</c:v>
                </c:pt>
                <c:pt idx="122">
                  <c:v>32</c:v>
                </c:pt>
                <c:pt idx="123">
                  <c:v>33</c:v>
                </c:pt>
                <c:pt idx="124">
                  <c:v>34</c:v>
                </c:pt>
                <c:pt idx="125">
                  <c:v>35</c:v>
                </c:pt>
                <c:pt idx="126">
                  <c:v>36</c:v>
                </c:pt>
                <c:pt idx="127">
                  <c:v>37</c:v>
                </c:pt>
                <c:pt idx="128">
                  <c:v>38</c:v>
                </c:pt>
                <c:pt idx="129">
                  <c:v>39</c:v>
                </c:pt>
                <c:pt idx="130">
                  <c:v>40</c:v>
                </c:pt>
                <c:pt idx="131">
                  <c:v>41</c:v>
                </c:pt>
                <c:pt idx="132">
                  <c:v>42</c:v>
                </c:pt>
                <c:pt idx="133">
                  <c:v>43</c:v>
                </c:pt>
                <c:pt idx="134">
                  <c:v>44</c:v>
                </c:pt>
                <c:pt idx="135">
                  <c:v>45</c:v>
                </c:pt>
                <c:pt idx="136">
                  <c:v>46</c:v>
                </c:pt>
                <c:pt idx="137">
                  <c:v>47</c:v>
                </c:pt>
                <c:pt idx="138">
                  <c:v>48</c:v>
                </c:pt>
                <c:pt idx="139">
                  <c:v>49</c:v>
                </c:pt>
                <c:pt idx="140">
                  <c:v>50</c:v>
                </c:pt>
                <c:pt idx="141">
                  <c:v>51</c:v>
                </c:pt>
                <c:pt idx="142">
                  <c:v>52</c:v>
                </c:pt>
                <c:pt idx="143">
                  <c:v>53</c:v>
                </c:pt>
                <c:pt idx="144">
                  <c:v>54</c:v>
                </c:pt>
                <c:pt idx="145">
                  <c:v>55</c:v>
                </c:pt>
                <c:pt idx="146">
                  <c:v>56</c:v>
                </c:pt>
                <c:pt idx="147">
                  <c:v>57</c:v>
                </c:pt>
                <c:pt idx="148">
                  <c:v>58</c:v>
                </c:pt>
                <c:pt idx="149">
                  <c:v>59</c:v>
                </c:pt>
                <c:pt idx="150">
                  <c:v>60</c:v>
                </c:pt>
                <c:pt idx="151">
                  <c:v>61</c:v>
                </c:pt>
                <c:pt idx="152">
                  <c:v>62</c:v>
                </c:pt>
                <c:pt idx="153">
                  <c:v>63</c:v>
                </c:pt>
                <c:pt idx="154">
                  <c:v>64</c:v>
                </c:pt>
                <c:pt idx="155">
                  <c:v>65</c:v>
                </c:pt>
                <c:pt idx="156">
                  <c:v>66</c:v>
                </c:pt>
                <c:pt idx="157">
                  <c:v>67</c:v>
                </c:pt>
                <c:pt idx="158">
                  <c:v>68</c:v>
                </c:pt>
                <c:pt idx="159">
                  <c:v>69</c:v>
                </c:pt>
                <c:pt idx="160">
                  <c:v>70</c:v>
                </c:pt>
                <c:pt idx="161">
                  <c:v>71</c:v>
                </c:pt>
                <c:pt idx="162">
                  <c:v>72</c:v>
                </c:pt>
                <c:pt idx="163">
                  <c:v>73</c:v>
                </c:pt>
                <c:pt idx="164">
                  <c:v>74</c:v>
                </c:pt>
                <c:pt idx="165">
                  <c:v>75</c:v>
                </c:pt>
                <c:pt idx="166">
                  <c:v>76</c:v>
                </c:pt>
                <c:pt idx="167">
                  <c:v>77</c:v>
                </c:pt>
                <c:pt idx="168">
                  <c:v>78</c:v>
                </c:pt>
                <c:pt idx="169">
                  <c:v>79</c:v>
                </c:pt>
                <c:pt idx="170">
                  <c:v>80</c:v>
                </c:pt>
                <c:pt idx="171">
                  <c:v>81</c:v>
                </c:pt>
                <c:pt idx="172">
                  <c:v>82</c:v>
                </c:pt>
                <c:pt idx="173">
                  <c:v>83</c:v>
                </c:pt>
                <c:pt idx="174">
                  <c:v>84</c:v>
                </c:pt>
                <c:pt idx="175">
                  <c:v>85</c:v>
                </c:pt>
                <c:pt idx="176">
                  <c:v>86</c:v>
                </c:pt>
                <c:pt idx="177">
                  <c:v>87</c:v>
                </c:pt>
                <c:pt idx="178">
                  <c:v>88</c:v>
                </c:pt>
                <c:pt idx="179">
                  <c:v>89</c:v>
                </c:pt>
                <c:pt idx="180">
                  <c:v>90</c:v>
                </c:pt>
                <c:pt idx="181">
                  <c:v>91</c:v>
                </c:pt>
                <c:pt idx="182">
                  <c:v>92</c:v>
                </c:pt>
                <c:pt idx="183">
                  <c:v>93</c:v>
                </c:pt>
                <c:pt idx="184">
                  <c:v>94</c:v>
                </c:pt>
                <c:pt idx="185">
                  <c:v>95</c:v>
                </c:pt>
                <c:pt idx="186">
                  <c:v>96</c:v>
                </c:pt>
                <c:pt idx="187">
                  <c:v>97</c:v>
                </c:pt>
                <c:pt idx="188">
                  <c:v>98</c:v>
                </c:pt>
                <c:pt idx="189">
                  <c:v>99</c:v>
                </c:pt>
                <c:pt idx="190">
                  <c:v>100</c:v>
                </c:pt>
                <c:pt idx="191">
                  <c:v>101</c:v>
                </c:pt>
                <c:pt idx="192">
                  <c:v>102</c:v>
                </c:pt>
                <c:pt idx="193">
                  <c:v>103</c:v>
                </c:pt>
                <c:pt idx="194">
                  <c:v>104</c:v>
                </c:pt>
                <c:pt idx="195">
                  <c:v>105</c:v>
                </c:pt>
                <c:pt idx="196">
                  <c:v>106</c:v>
                </c:pt>
                <c:pt idx="197">
                  <c:v>107</c:v>
                </c:pt>
                <c:pt idx="198">
                  <c:v>108</c:v>
                </c:pt>
                <c:pt idx="199">
                  <c:v>109</c:v>
                </c:pt>
                <c:pt idx="200">
                  <c:v>110</c:v>
                </c:pt>
              </c:numCache>
            </c:numRef>
          </c:xVal>
          <c:yVal>
            <c:numRef>
              <c:f>'Shiftfunktion bestimmen'!$F$222:$F$422</c:f>
              <c:numCache>
                <c:formatCode>General</c:formatCode>
                <c:ptCount val="201"/>
                <c:pt idx="0">
                  <c:v>-47.415745212709396</c:v>
                </c:pt>
                <c:pt idx="1">
                  <c:v>-47.475947395315245</c:v>
                </c:pt>
                <c:pt idx="2">
                  <c:v>-47.362952852895148</c:v>
                </c:pt>
                <c:pt idx="3">
                  <c:v>-47.113737422063565</c:v>
                </c:pt>
                <c:pt idx="4">
                  <c:v>-46.761183583043703</c:v>
                </c:pt>
                <c:pt idx="5">
                  <c:v>-46.334353342722551</c:v>
                </c:pt>
                <c:pt idx="6">
                  <c:v>-45.858749765387756</c:v>
                </c:pt>
                <c:pt idx="7">
                  <c:v>-45.356567428183752</c:v>
                </c:pt>
                <c:pt idx="8">
                  <c:v>-44.846932075239607</c:v>
                </c:pt>
                <c:pt idx="9">
                  <c:v>-44.346129741353366</c:v>
                </c:pt>
                <c:pt idx="10">
                  <c:v>-43.867825613032181</c:v>
                </c:pt>
                <c:pt idx="11">
                  <c:v>-43.423272891616307</c:v>
                </c:pt>
                <c:pt idx="12">
                  <c:v>-43.021511920134046</c:v>
                </c:pt>
                <c:pt idx="13">
                  <c:v>-42.669559832462085</c:v>
                </c:pt>
                <c:pt idx="14">
                  <c:v>-42.372590980283519</c:v>
                </c:pt>
                <c:pt idx="15">
                  <c:v>-42.134108390262938</c:v>
                </c:pt>
                <c:pt idx="16">
                  <c:v>-41.956106500779029</c:v>
                </c:pt>
                <c:pt idx="17">
                  <c:v>-41.839225424479444</c:v>
                </c:pt>
                <c:pt idx="18">
                  <c:v>-41.78289697984281</c:v>
                </c:pt>
                <c:pt idx="19">
                  <c:v>-41.785482731859574</c:v>
                </c:pt>
                <c:pt idx="20">
                  <c:v>-41.844404278864836</c:v>
                </c:pt>
                <c:pt idx="21">
                  <c:v>-41.956266019476502</c:v>
                </c:pt>
                <c:pt idx="22">
                  <c:v>-42.116970630520505</c:v>
                </c:pt>
                <c:pt idx="23">
                  <c:v>-42.32182748374322</c:v>
                </c:pt>
                <c:pt idx="24">
                  <c:v>-42.565654226036578</c:v>
                </c:pt>
                <c:pt idx="25">
                  <c:v>-42.842871744823206</c:v>
                </c:pt>
                <c:pt idx="26">
                  <c:v>-43.147592737173014</c:v>
                </c:pt>
                <c:pt idx="27">
                  <c:v>-43.473704098144609</c:v>
                </c:pt>
                <c:pt idx="28">
                  <c:v>-43.814943340768146</c:v>
                </c:pt>
                <c:pt idx="29">
                  <c:v>-44.164969257010583</c:v>
                </c:pt>
                <c:pt idx="30">
                  <c:v>-44.517427025984112</c:v>
                </c:pt>
                <c:pt idx="31">
                  <c:v>-44.866007972585635</c:v>
                </c:pt>
                <c:pt idx="32">
                  <c:v>-45.204504176674618</c:v>
                </c:pt>
                <c:pt idx="33">
                  <c:v>-45.526858129821797</c:v>
                </c:pt>
                <c:pt idx="34">
                  <c:v>-45.827207633582987</c:v>
                </c:pt>
                <c:pt idx="35">
                  <c:v>-46.099926130176542</c:v>
                </c:pt>
                <c:pt idx="36">
                  <c:v>-46.339658653364175</c:v>
                </c:pt>
                <c:pt idx="37">
                  <c:v>-46.541353584259596</c:v>
                </c:pt>
                <c:pt idx="38">
                  <c:v>-46.700290393711498</c:v>
                </c:pt>
                <c:pt idx="39">
                  <c:v>-46.81210354983056</c:v>
                </c:pt>
                <c:pt idx="40">
                  <c:v>-46.872802766153285</c:v>
                </c:pt>
                <c:pt idx="41">
                  <c:v>-46.878789762858041</c:v>
                </c:pt>
                <c:pt idx="42">
                  <c:v>-46.826871710372565</c:v>
                </c:pt>
                <c:pt idx="43">
                  <c:v>-46.714271521633989</c:v>
                </c:pt>
                <c:pt idx="44">
                  <c:v>-46.538635156186757</c:v>
                </c:pt>
                <c:pt idx="45">
                  <c:v>-46.298036096225204</c:v>
                </c:pt>
                <c:pt idx="46">
                  <c:v>-45.990977151612526</c:v>
                </c:pt>
                <c:pt idx="47">
                  <c:v>-45.616389747828755</c:v>
                </c:pt>
                <c:pt idx="48">
                  <c:v>-45.173630847725271</c:v>
                </c:pt>
                <c:pt idx="49">
                  <c:v>-44.662477654884718</c:v>
                </c:pt>
                <c:pt idx="50">
                  <c:v>-44.083120243309644</c:v>
                </c:pt>
                <c:pt idx="51">
                  <c:v>-43.436152255085027</c:v>
                </c:pt>
                <c:pt idx="52">
                  <c:v>-42.722559804583319</c:v>
                </c:pt>
                <c:pt idx="53">
                  <c:v>-41.943708724704052</c:v>
                </c:pt>
                <c:pt idx="54">
                  <c:v>-41.101330287561986</c:v>
                </c:pt>
                <c:pt idx="55">
                  <c:v>-40.197505528961855</c:v>
                </c:pt>
                <c:pt idx="56">
                  <c:v>-39.234648302920093</c:v>
                </c:pt>
                <c:pt idx="57">
                  <c:v>-38.215487189417203</c:v>
                </c:pt>
                <c:pt idx="58">
                  <c:v>-37.143046375487224</c:v>
                </c:pt>
                <c:pt idx="59">
                  <c:v>-36.020625626673976</c:v>
                </c:pt>
                <c:pt idx="60">
                  <c:v>-34.851779462806583</c:v>
                </c:pt>
                <c:pt idx="61">
                  <c:v>-33.640295648969804</c:v>
                </c:pt>
                <c:pt idx="62">
                  <c:v>-32.390173109467725</c:v>
                </c:pt>
                <c:pt idx="63">
                  <c:v>-31.105599369502425</c:v>
                </c:pt>
                <c:pt idx="64">
                  <c:v>-29.790927626211872</c:v>
                </c:pt>
                <c:pt idx="65">
                  <c:v>-28.45065354763501</c:v>
                </c:pt>
                <c:pt idx="66">
                  <c:v>-27.089391895094</c:v>
                </c:pt>
                <c:pt idx="67">
                  <c:v>-25.711853061407652</c:v>
                </c:pt>
                <c:pt idx="68">
                  <c:v>-24.322819614272092</c:v>
                </c:pt>
                <c:pt idx="69">
                  <c:v>-22.927122931068453</c:v>
                </c:pt>
                <c:pt idx="70">
                  <c:v>-21.529620008279867</c:v>
                </c:pt>
                <c:pt idx="71">
                  <c:v>-20.135170525623419</c:v>
                </c:pt>
                <c:pt idx="72">
                  <c:v>-18.748614241925264</c:v>
                </c:pt>
                <c:pt idx="73">
                  <c:v>-17.374748796690639</c:v>
                </c:pt>
                <c:pt idx="74">
                  <c:v>-16.018307988243023</c:v>
                </c:pt>
                <c:pt idx="75">
                  <c:v>-14.683940596229945</c:v>
                </c:pt>
                <c:pt idx="76">
                  <c:v>-13.376189813215868</c:v>
                </c:pt>
                <c:pt idx="77">
                  <c:v>-12.099473347005583</c:v>
                </c:pt>
                <c:pt idx="78">
                  <c:v>-10.858064252264485</c:v>
                </c:pt>
                <c:pt idx="79">
                  <c:v>-9.6560725469251789</c:v>
                </c:pt>
                <c:pt idx="80">
                  <c:v>-8.4974276657927934</c:v>
                </c:pt>
                <c:pt idx="81">
                  <c:v>-7.3858618006844159</c:v>
                </c:pt>
                <c:pt idx="82">
                  <c:v>-6.3248941733609643</c:v>
                </c:pt>
                <c:pt idx="83">
                  <c:v>-5.3178162844329604</c:v>
                </c:pt>
                <c:pt idx="84">
                  <c:v>-4.3676781783445122</c:v>
                </c:pt>
                <c:pt idx="85">
                  <c:v>-3.4772757614628818</c:v>
                </c:pt>
                <c:pt idx="86">
                  <c:v>-2.6491392072239903</c:v>
                </c:pt>
                <c:pt idx="87">
                  <c:v>-1.8855224792071983</c:v>
                </c:pt>
                <c:pt idx="88">
                  <c:v>-1.1883939999357116</c:v>
                </c:pt>
                <c:pt idx="89">
                  <c:v>-0.55942849012191875</c:v>
                </c:pt>
                <c:pt idx="90">
                  <c:v>0</c:v>
                </c:pt>
                <c:pt idx="91">
                  <c:v>0.48882384868888967</c:v>
                </c:pt>
                <c:pt idx="92">
                  <c:v>0.90628639457055582</c:v>
                </c:pt>
                <c:pt idx="93">
                  <c:v>1.2519452299595217</c:v>
                </c:pt>
                <c:pt idx="94">
                  <c:v>1.5256742462943162</c:v>
                </c:pt>
                <c:pt idx="95">
                  <c:v>1.7276644254290132</c:v>
                </c:pt>
                <c:pt idx="96">
                  <c:v>1.8584233736007487</c:v>
                </c:pt>
                <c:pt idx="97">
                  <c:v>1.9187735979699458</c:v>
                </c:pt>
                <c:pt idx="98">
                  <c:v>1.9098495287069925</c:v>
                </c:pt>
                <c:pt idx="99">
                  <c:v>1.8330932926761228</c:v>
                </c:pt>
                <c:pt idx="100">
                  <c:v>1.6902492478442541</c:v>
                </c:pt>
                <c:pt idx="101">
                  <c:v>1.4833572906195498</c:v>
                </c:pt>
                <c:pt idx="102">
                  <c:v>1.2147449514014743</c:v>
                </c:pt>
                <c:pt idx="103">
                  <c:v>0.8870182967011323</c:v>
                </c:pt>
                <c:pt idx="104">
                  <c:v>0.50305165926766104</c:v>
                </c:pt>
                <c:pt idx="105">
                  <c:v>6.5976220733492144E-2</c:v>
                </c:pt>
                <c:pt idx="106">
                  <c:v>-0.42083252563172369</c:v>
                </c:pt>
                <c:pt idx="107">
                  <c:v>-0.95376840139172059</c:v>
                </c:pt>
                <c:pt idx="108">
                  <c:v>-1.5290092248949285</c:v>
                </c:pt>
                <c:pt idx="109">
                  <c:v>-2.14253251188565</c:v>
                </c:pt>
                <c:pt idx="110">
                  <c:v>-2.7901321548772979</c:v>
                </c:pt>
                <c:pt idx="111">
                  <c:v>-3.4674360383128278</c:v>
                </c:pt>
                <c:pt idx="112">
                  <c:v>-4.1699245434605219</c:v>
                </c:pt>
                <c:pt idx="113">
                  <c:v>-4.8929498939162546</c:v>
                </c:pt>
                <c:pt idx="114">
                  <c:v>-5.6317562895064128</c:v>
                </c:pt>
                <c:pt idx="115">
                  <c:v>-6.3815007733085523</c:v>
                </c:pt>
                <c:pt idx="116">
                  <c:v>-7.137274773429934</c:v>
                </c:pt>
                <c:pt idx="117">
                  <c:v>-7.8941262581070299</c:v>
                </c:pt>
                <c:pt idx="118">
                  <c:v>-8.6470824396121451</c:v>
                </c:pt>
                <c:pt idx="119">
                  <c:v>-9.3911729593762097</c:v>
                </c:pt>
                <c:pt idx="120">
                  <c:v>-10.121453483659824</c:v>
                </c:pt>
                <c:pt idx="121">
                  <c:v>-10.833029636027705</c:v>
                </c:pt>
                <c:pt idx="122">
                  <c:v>-11.521081189804487</c:v>
                </c:pt>
                <c:pt idx="123">
                  <c:v>-12.180886440613079</c:v>
                </c:pt>
                <c:pt idx="124">
                  <c:v>-12.807846676019533</c:v>
                </c:pt>
                <c:pt idx="125">
                  <c:v>-13.397510656231505</c:v>
                </c:pt>
                <c:pt idx="126">
                  <c:v>-13.945599016720379</c:v>
                </c:pt>
                <c:pt idx="127">
                  <c:v>-14.448028500559998</c:v>
                </c:pt>
                <c:pt idx="128">
                  <c:v>-14.900935925198233</c:v>
                </c:pt>
                <c:pt idx="129">
                  <c:v>-15.30070178530003</c:v>
                </c:pt>
                <c:pt idx="130">
                  <c:v>-15.643973390224449</c:v>
                </c:pt>
                <c:pt idx="131">
                  <c:v>-15.927687431620239</c:v>
                </c:pt>
                <c:pt idx="132">
                  <c:v>-16.149091873548201</c:v>
                </c:pt>
                <c:pt idx="133">
                  <c:v>-16.305767054461292</c:v>
                </c:pt>
                <c:pt idx="134">
                  <c:v>-16.395645887296343</c:v>
                </c:pt>
                <c:pt idx="135">
                  <c:v>-16.417033040854463</c:v>
                </c:pt>
                <c:pt idx="136">
                  <c:v>-16.368622982570191</c:v>
                </c:pt>
                <c:pt idx="137">
                  <c:v>-16.249516759691964</c:v>
                </c:pt>
                <c:pt idx="138">
                  <c:v>-16.059237392820414</c:v>
                </c:pt>
                <c:pt idx="139">
                  <c:v>-15.797743752672861</c:v>
                </c:pt>
                <c:pt idx="140">
                  <c:v>-15.465442787866511</c:v>
                </c:pt>
                <c:pt idx="141">
                  <c:v>-15.063199968434597</c:v>
                </c:pt>
                <c:pt idx="142">
                  <c:v>-14.59234780671412</c:v>
                </c:pt>
                <c:pt idx="143">
                  <c:v>-14.05469231416558</c:v>
                </c:pt>
                <c:pt idx="144">
                  <c:v>-13.45251724960878</c:v>
                </c:pt>
                <c:pt idx="145">
                  <c:v>-12.788586011281492</c:v>
                </c:pt>
                <c:pt idx="146">
                  <c:v>-12.066141022051283</c:v>
                </c:pt>
                <c:pt idx="147">
                  <c:v>-11.288900454032595</c:v>
                </c:pt>
                <c:pt idx="148">
                  <c:v>-10.461052135785714</c:v>
                </c:pt>
                <c:pt idx="149">
                  <c:v>-9.5872444821962706</c:v>
                </c:pt>
                <c:pt idx="150">
                  <c:v>-8.672574284056596</c:v>
                </c:pt>
                <c:pt idx="151">
                  <c:v>-7.7225711912948327</c:v>
                </c:pt>
                <c:pt idx="152">
                  <c:v>-6.7431787207186282</c:v>
                </c:pt>
                <c:pt idx="153">
                  <c:v>-5.7407316160646076</c:v>
                </c:pt>
                <c:pt idx="154">
                  <c:v>-4.7219293850679485</c:v>
                </c:pt>
                <c:pt idx="155">
                  <c:v>-3.6938058351878702</c:v>
                </c:pt>
                <c:pt idx="156">
                  <c:v>-2.6636944265498101</c:v>
                </c:pt>
                <c:pt idx="157">
                  <c:v>-1.6391892575863416</c:v>
                </c:pt>
                <c:pt idx="158">
                  <c:v>-0.62810149578346142</c:v>
                </c:pt>
                <c:pt idx="159">
                  <c:v>0.36158893714010532</c:v>
                </c:pt>
                <c:pt idx="160">
                  <c:v>1.3217866193679058</c:v>
                </c:pt>
                <c:pt idx="161">
                  <c:v>2.2443390192599253</c:v>
                </c:pt>
                <c:pt idx="162">
                  <c:v>3.1211002216700976</c:v>
                </c:pt>
                <c:pt idx="163">
                  <c:v>3.9440001932839337</c:v>
                </c:pt>
                <c:pt idx="164">
                  <c:v>4.705119793034207</c:v>
                </c:pt>
                <c:pt idx="165">
                  <c:v>5.396771736727132</c:v>
                </c:pt>
                <c:pt idx="166">
                  <c:v>6.011587728090376</c:v>
                </c:pt>
                <c:pt idx="167">
                  <c:v>6.542611971528288</c:v>
                </c:pt>
                <c:pt idx="168">
                  <c:v>6.9834012849501619</c:v>
                </c:pt>
                <c:pt idx="169">
                  <c:v>7.3281320341133949</c:v>
                </c:pt>
                <c:pt idx="170">
                  <c:v>7.571714112997185</c:v>
                </c:pt>
                <c:pt idx="171">
                  <c:v>7.7099121978047265</c:v>
                </c:pt>
                <c:pt idx="172">
                  <c:v>7.7394745052654628</c:v>
                </c:pt>
                <c:pt idx="173">
                  <c:v>7.6582692889858492</c:v>
                </c:pt>
                <c:pt idx="174">
                  <c:v>7.4654293106760861</c:v>
                </c:pt>
                <c:pt idx="175">
                  <c:v>7.161504526154971</c:v>
                </c:pt>
                <c:pt idx="176">
                  <c:v>6.7486232291150543</c:v>
                </c:pt>
                <c:pt idx="177">
                  <c:v>6.230661898703346</c:v>
                </c:pt>
                <c:pt idx="178">
                  <c:v>5.6134240000534419</c:v>
                </c:pt>
                <c:pt idx="179">
                  <c:v>4.9048279899793101</c:v>
                </c:pt>
                <c:pt idx="180">
                  <c:v>4.115104783121069</c:v>
                </c:pt>
                <c:pt idx="181">
                  <c:v>3.2570049369044227</c:v>
                </c:pt>
                <c:pt idx="182">
                  <c:v>2.3460158167612235</c:v>
                </c:pt>
                <c:pt idx="183">
                  <c:v>1.4005890061264381</c:v>
                </c:pt>
                <c:pt idx="184">
                  <c:v>0.44237822880808153</c:v>
                </c:pt>
                <c:pt idx="185">
                  <c:v>-0.5035119455919812</c:v>
                </c:pt>
                <c:pt idx="186">
                  <c:v>-1.4082663394622159</c:v>
                </c:pt>
                <c:pt idx="187">
                  <c:v>-2.2390880713381875</c:v>
                </c:pt>
                <c:pt idx="188">
                  <c:v>-2.9589158465313403</c:v>
                </c:pt>
                <c:pt idx="189">
                  <c:v>-3.526129351244208</c:v>
                </c:pt>
                <c:pt idx="190">
                  <c:v>-3.8942424641161324</c:v>
                </c:pt>
                <c:pt idx="191">
                  <c:v>-4.0115839960662925</c:v>
                </c:pt>
                <c:pt idx="192">
                  <c:v>-3.8209656662148745</c:v>
                </c:pt>
                <c:pt idx="193">
                  <c:v>-3.2593370186016273</c:v>
                </c:pt>
                <c:pt idx="194">
                  <c:v>-2.2574269813246701</c:v>
                </c:pt>
                <c:pt idx="195">
                  <c:v>-0.73937176666936466</c:v>
                </c:pt>
                <c:pt idx="196">
                  <c:v>1.3776711923060247</c:v>
                </c:pt>
                <c:pt idx="197">
                  <c:v>4.1839235763193301</c:v>
                </c:pt>
                <c:pt idx="198">
                  <c:v>7.7774010962193643</c:v>
                </c:pt>
                <c:pt idx="199">
                  <c:v>12.26434330490747</c:v>
                </c:pt>
                <c:pt idx="200">
                  <c:v>17.759658621644348</c:v>
                </c:pt>
              </c:numCache>
            </c:numRef>
          </c:yVal>
          <c:smooth val="1"/>
        </c:ser>
        <c:dLbls>
          <c:showLegendKey val="0"/>
          <c:showVal val="0"/>
          <c:showCatName val="0"/>
          <c:showSerName val="0"/>
          <c:showPercent val="0"/>
          <c:showBubbleSize val="0"/>
        </c:dLbls>
        <c:axId val="590227200"/>
        <c:axId val="449284584"/>
      </c:scatterChart>
      <c:valAx>
        <c:axId val="590227200"/>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9284584"/>
        <c:crossesAt val="-1000"/>
        <c:crossBetween val="midCat"/>
      </c:valAx>
      <c:valAx>
        <c:axId val="4492845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0227200"/>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01" t="s">
        <v>107</v>
      </c>
      <c r="E2" s="101"/>
      <c r="F2" s="101"/>
      <c r="G2" s="101"/>
      <c r="H2" s="101"/>
      <c r="I2" s="101"/>
      <c r="J2" s="101"/>
      <c r="K2" s="101"/>
      <c r="L2" s="101"/>
      <c r="M2" s="101"/>
    </row>
    <row r="3" spans="1:13" x14ac:dyDescent="0.25">
      <c r="D3" s="101"/>
      <c r="E3" s="101"/>
      <c r="F3" s="101"/>
      <c r="G3" s="101"/>
      <c r="H3" s="101"/>
      <c r="I3" s="101"/>
      <c r="J3" s="101"/>
      <c r="K3" s="101"/>
      <c r="L3" s="101"/>
      <c r="M3" s="10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99">
        <f>CTE!N5</f>
        <v>0.5</v>
      </c>
    </row>
    <row r="21" spans="1:2" s="11" customFormat="1" x14ac:dyDescent="0.25">
      <c r="A21" s="61" t="s">
        <v>156</v>
      </c>
      <c r="B21" s="99">
        <f>CTE!N6-0.5</f>
        <v>85</v>
      </c>
    </row>
    <row r="22" spans="1:2" s="11" customFormat="1" x14ac:dyDescent="0.25">
      <c r="A22" s="61" t="s">
        <v>157</v>
      </c>
      <c r="B22" s="99">
        <f>CTE!N8-0.5</f>
        <v>95</v>
      </c>
    </row>
    <row r="23" spans="1:2" s="11" customFormat="1" x14ac:dyDescent="0.25">
      <c r="A23" s="61" t="s">
        <v>158</v>
      </c>
      <c r="B23" s="99">
        <f>CTE!N9</f>
        <v>180.5</v>
      </c>
    </row>
    <row r="24" spans="1:2" s="11" customFormat="1" x14ac:dyDescent="0.25"/>
    <row r="25" spans="1:2" s="11" customFormat="1" x14ac:dyDescent="0.25">
      <c r="A25" s="61" t="s">
        <v>147</v>
      </c>
      <c r="B25" s="53">
        <f>CTE!O5</f>
        <v>2.5181388285714289E-5</v>
      </c>
    </row>
    <row r="26" spans="1:2" s="11" customFormat="1" x14ac:dyDescent="0.25">
      <c r="A26" s="61" t="s">
        <v>148</v>
      </c>
      <c r="B26" s="53">
        <f>CTE!O6</f>
        <v>2.7886904000000003E-5</v>
      </c>
    </row>
    <row r="27" spans="1:2" s="11" customFormat="1" x14ac:dyDescent="0.25">
      <c r="A27" s="61" t="s">
        <v>149</v>
      </c>
      <c r="B27" s="53">
        <f>CTE!O8</f>
        <v>7.1150880000000002E-5</v>
      </c>
    </row>
    <row r="28" spans="1:2" s="11" customFormat="1" x14ac:dyDescent="0.25">
      <c r="A28" s="61" t="s">
        <v>150</v>
      </c>
      <c r="B28" s="53">
        <f>CTE!O9</f>
        <v>7.0799597142857145E-5</v>
      </c>
    </row>
    <row r="29" spans="1:2" s="11" customFormat="1" x14ac:dyDescent="0.25">
      <c r="A29" s="61"/>
    </row>
    <row r="30" spans="1:2" s="11" customFormat="1" x14ac:dyDescent="0.25">
      <c r="A30" s="61" t="s">
        <v>151</v>
      </c>
      <c r="B30" s="52">
        <f>CTE!P5</f>
        <v>2.503583894736842E-5</v>
      </c>
    </row>
    <row r="31" spans="1:2" s="11" customFormat="1" x14ac:dyDescent="0.25">
      <c r="A31" s="61" t="s">
        <v>152</v>
      </c>
      <c r="B31" s="52">
        <f>CTE!P6</f>
        <v>2.7577463157894738E-5</v>
      </c>
    </row>
    <row r="32" spans="1:2" s="11" customFormat="1" x14ac:dyDescent="0.25">
      <c r="A32" s="61" t="s">
        <v>153</v>
      </c>
      <c r="B32" s="52">
        <f>CTE!P8</f>
        <v>6.5041527368421044E-5</v>
      </c>
    </row>
    <row r="33" spans="1:2" s="11" customFormat="1" x14ac:dyDescent="0.25">
      <c r="A33" s="61" t="s">
        <v>154</v>
      </c>
      <c r="B33" s="52">
        <f>CTE!P9</f>
        <v>6.6264183157894736E-5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323.14999999999998</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0.52427832349594095</v>
      </c>
      <c r="D59" s="55">
        <v>1</v>
      </c>
    </row>
    <row r="60" spans="1:4" s="11" customFormat="1" x14ac:dyDescent="0.25">
      <c r="A60" s="54">
        <v>2</v>
      </c>
      <c r="B60" s="56">
        <f>'Shiftfunktion bestimmen'!N2</f>
        <v>-3.5315284282063972E-2</v>
      </c>
      <c r="D60" s="55">
        <v>2</v>
      </c>
    </row>
    <row r="61" spans="1:4" s="11" customFormat="1" x14ac:dyDescent="0.25">
      <c r="A61" s="54">
        <v>3</v>
      </c>
      <c r="B61" s="56">
        <f>'Shiftfunktion bestimmen'!N3</f>
        <v>-1.5218672356373552E-4</v>
      </c>
      <c r="D61" s="55">
        <v>3</v>
      </c>
    </row>
    <row r="62" spans="1:4" s="11" customFormat="1" x14ac:dyDescent="0.25">
      <c r="A62" s="54">
        <v>4</v>
      </c>
      <c r="B62" s="56">
        <f>'Shiftfunktion bestimmen'!N4</f>
        <v>1.2965286752905169E-5</v>
      </c>
      <c r="D62" s="55">
        <v>4</v>
      </c>
    </row>
    <row r="63" spans="1:4" s="11" customFormat="1" x14ac:dyDescent="0.25">
      <c r="A63" s="54">
        <v>5</v>
      </c>
      <c r="B63" s="56">
        <f>'Shiftfunktion bestimmen'!N5</f>
        <v>3.2635184253375725E-8</v>
      </c>
      <c r="D63" s="55">
        <v>5</v>
      </c>
    </row>
    <row r="64" spans="1:4" s="11" customFormat="1" x14ac:dyDescent="0.25">
      <c r="A64" s="54">
        <v>6</v>
      </c>
      <c r="B64" s="56">
        <f>'Shiftfunktion bestimmen'!N6</f>
        <v>-1.7212797645557277E-9</v>
      </c>
      <c r="D64" s="55">
        <v>6</v>
      </c>
    </row>
    <row r="65" spans="1:5" s="11" customFormat="1" x14ac:dyDescent="0.25">
      <c r="A65" s="54">
        <v>7</v>
      </c>
      <c r="B65" s="56">
        <f>'Shiftfunktion bestimmen'!N7</f>
        <v>-2.1573002487892906E-12</v>
      </c>
      <c r="D65" s="55">
        <v>7</v>
      </c>
    </row>
    <row r="66" spans="1:5" x14ac:dyDescent="0.25">
      <c r="A66" s="54">
        <v>8</v>
      </c>
      <c r="B66" s="56">
        <f>'Shiftfunktion bestimmen'!N8</f>
        <v>7.6314676318104761E-14</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1.0261612083607946E-3</v>
      </c>
      <c r="D74" s="51">
        <v>1</v>
      </c>
      <c r="E74" s="56">
        <f>'Mastercurve bestimmen'!A18</f>
        <v>1.0000000000000001E-20</v>
      </c>
    </row>
    <row r="75" spans="1:5" x14ac:dyDescent="0.25">
      <c r="A75" s="50">
        <f>A74+1</f>
        <v>2</v>
      </c>
      <c r="B75" s="56">
        <f>'Mastercurve bestimmen'!C19</f>
        <v>0</v>
      </c>
      <c r="D75" s="51">
        <v>2</v>
      </c>
      <c r="E75" s="56">
        <f>'Mastercurve bestimmen'!A19</f>
        <v>3.9038946506297401E-14</v>
      </c>
    </row>
    <row r="76" spans="1:5" x14ac:dyDescent="0.25">
      <c r="A76" s="50">
        <f t="shared" ref="A76:A104" si="0">A75+1</f>
        <v>3</v>
      </c>
      <c r="B76" s="56">
        <f>'Mastercurve bestimmen'!C20</f>
        <v>0</v>
      </c>
      <c r="D76" s="51">
        <v>3</v>
      </c>
      <c r="E76" s="56">
        <f>'Mastercurve bestimmen'!A20</f>
        <v>4.3276437088188502E-13</v>
      </c>
    </row>
    <row r="77" spans="1:5" x14ac:dyDescent="0.25">
      <c r="A77" s="50">
        <f t="shared" si="0"/>
        <v>4</v>
      </c>
      <c r="B77" s="56">
        <f>'Mastercurve bestimmen'!C21</f>
        <v>0</v>
      </c>
      <c r="D77" s="51">
        <v>4</v>
      </c>
      <c r="E77" s="56">
        <f>'Mastercurve bestimmen'!A21</f>
        <v>4.7973886968128502E-12</v>
      </c>
    </row>
    <row r="78" spans="1:5" x14ac:dyDescent="0.25">
      <c r="A78" s="50">
        <f t="shared" si="0"/>
        <v>5</v>
      </c>
      <c r="B78" s="56">
        <f>'Mastercurve bestimmen'!C22</f>
        <v>0</v>
      </c>
      <c r="D78" s="51">
        <v>5</v>
      </c>
      <c r="E78" s="56">
        <f>'Mastercurve bestimmen'!A22</f>
        <v>5.31812225239524E-11</v>
      </c>
    </row>
    <row r="79" spans="1:5" x14ac:dyDescent="0.25">
      <c r="A79" s="50">
        <f t="shared" si="0"/>
        <v>6</v>
      </c>
      <c r="B79" s="56">
        <f>'Mastercurve bestimmen'!C23</f>
        <v>0</v>
      </c>
      <c r="D79" s="51">
        <v>6</v>
      </c>
      <c r="E79" s="56">
        <f>'Mastercurve bestimmen'!A23</f>
        <v>5.8953789402578301E-10</v>
      </c>
    </row>
    <row r="80" spans="1:5" x14ac:dyDescent="0.25">
      <c r="A80" s="50">
        <f t="shared" si="0"/>
        <v>7</v>
      </c>
      <c r="B80" s="56">
        <f>'Mastercurve bestimmen'!C24</f>
        <v>0</v>
      </c>
      <c r="D80" s="51">
        <v>7</v>
      </c>
      <c r="E80" s="56">
        <f>'Mastercurve bestimmen'!A24</f>
        <v>6.5352940755699598E-9</v>
      </c>
    </row>
    <row r="81" spans="1:5" x14ac:dyDescent="0.25">
      <c r="A81" s="50">
        <f t="shared" si="0"/>
        <v>8</v>
      </c>
      <c r="B81" s="56">
        <f>'Mastercurve bestimmen'!C25</f>
        <v>0</v>
      </c>
      <c r="D81" s="51">
        <v>8</v>
      </c>
      <c r="E81" s="56">
        <f>'Mastercurve bestimmen'!A25</f>
        <v>7.2446689325643296E-8</v>
      </c>
    </row>
    <row r="82" spans="1:5" x14ac:dyDescent="0.25">
      <c r="A82" s="50">
        <f t="shared" si="0"/>
        <v>9</v>
      </c>
      <c r="B82" s="56">
        <f>'Mastercurve bestimmen'!C26</f>
        <v>0</v>
      </c>
      <c r="D82" s="51">
        <f>A82</f>
        <v>9</v>
      </c>
      <c r="E82" s="56">
        <f>'Mastercurve bestimmen'!A26</f>
        <v>8.03104303120212E-7</v>
      </c>
    </row>
    <row r="83" spans="1:5" x14ac:dyDescent="0.25">
      <c r="A83" s="50">
        <f t="shared" si="0"/>
        <v>10</v>
      </c>
      <c r="B83" s="56">
        <f>'Mastercurve bestimmen'!C27</f>
        <v>7.2761897872501713E-4</v>
      </c>
      <c r="C83" s="11"/>
      <c r="D83" s="51">
        <f t="shared" ref="D83:D104" si="1">A83</f>
        <v>10</v>
      </c>
      <c r="E83" s="56">
        <f>'Mastercurve bestimmen'!A27</f>
        <v>8.9027742702096099E-6</v>
      </c>
    </row>
    <row r="84" spans="1:5" x14ac:dyDescent="0.25">
      <c r="A84" s="50">
        <f t="shared" si="0"/>
        <v>11</v>
      </c>
      <c r="B84" s="56">
        <f>'Mastercurve bestimmen'!C28</f>
        <v>3.1446025257017021E-2</v>
      </c>
      <c r="C84" s="11"/>
      <c r="D84" s="51">
        <f t="shared" si="1"/>
        <v>11</v>
      </c>
      <c r="E84" s="56">
        <f>'Mastercurve bestimmen'!A28</f>
        <v>9.86912775817142E-5</v>
      </c>
    </row>
    <row r="85" spans="1:5" x14ac:dyDescent="0.25">
      <c r="A85" s="50">
        <f t="shared" si="0"/>
        <v>12</v>
      </c>
      <c r="B85" s="56">
        <f>'Mastercurve bestimmen'!C29</f>
        <v>1.9599632072183452E-2</v>
      </c>
      <c r="C85" s="11"/>
      <c r="D85" s="51">
        <f t="shared" si="1"/>
        <v>12</v>
      </c>
      <c r="E85" s="56">
        <f>'Mastercurve bestimmen'!A29</f>
        <v>1.0940374286813801E-3</v>
      </c>
    </row>
    <row r="86" spans="1:5" x14ac:dyDescent="0.25">
      <c r="A86" s="50">
        <f t="shared" si="0"/>
        <v>13</v>
      </c>
      <c r="B86" s="56">
        <f>'Mastercurve bestimmen'!C30</f>
        <v>3.2516214564493037E-2</v>
      </c>
      <c r="C86" s="11"/>
      <c r="D86" s="51">
        <f t="shared" si="1"/>
        <v>13</v>
      </c>
      <c r="E86" s="56">
        <f>'Mastercurve bestimmen'!A30</f>
        <v>1.2127899493091E-2</v>
      </c>
    </row>
    <row r="87" spans="1:5" x14ac:dyDescent="0.25">
      <c r="A87" s="50">
        <f t="shared" si="0"/>
        <v>14</v>
      </c>
      <c r="B87" s="56">
        <f>'Mastercurve bestimmen'!C31</f>
        <v>3.2163923063268561E-2</v>
      </c>
      <c r="C87" s="11"/>
      <c r="D87" s="51">
        <f t="shared" si="1"/>
        <v>14</v>
      </c>
      <c r="E87" s="56">
        <f>'Mastercurve bestimmen'!A31</f>
        <v>0.13444324870292301</v>
      </c>
    </row>
    <row r="88" spans="1:5" x14ac:dyDescent="0.25">
      <c r="A88" s="50">
        <f t="shared" si="0"/>
        <v>15</v>
      </c>
      <c r="B88" s="56">
        <f>'Mastercurve bestimmen'!C32</f>
        <v>3.3900572605001088E-2</v>
      </c>
      <c r="C88" s="11"/>
      <c r="D88" s="51">
        <f t="shared" si="1"/>
        <v>15</v>
      </c>
      <c r="E88" s="56">
        <f>'Mastercurve bestimmen'!A32</f>
        <v>1.49036419143257</v>
      </c>
    </row>
    <row r="89" spans="1:5" x14ac:dyDescent="0.25">
      <c r="A89" s="50">
        <f t="shared" si="0"/>
        <v>16</v>
      </c>
      <c r="B89" s="56">
        <f>'Mastercurve bestimmen'!C33</f>
        <v>4.6234934193755559E-2</v>
      </c>
      <c r="C89" s="11"/>
      <c r="D89" s="51">
        <f t="shared" si="1"/>
        <v>16</v>
      </c>
      <c r="E89" s="56">
        <f>'Mastercurve bestimmen'!A33</f>
        <v>16.521360830937301</v>
      </c>
    </row>
    <row r="90" spans="1:5" x14ac:dyDescent="0.25">
      <c r="A90" s="50">
        <f t="shared" si="0"/>
        <v>17</v>
      </c>
      <c r="B90" s="56">
        <f>'Mastercurve bestimmen'!C34</f>
        <v>5.6671396993887152E-2</v>
      </c>
      <c r="C90" s="11"/>
      <c r="D90" s="51">
        <f t="shared" si="1"/>
        <v>17</v>
      </c>
      <c r="E90" s="56">
        <f>'Mastercurve bestimmen'!A34</f>
        <v>183.146753843879</v>
      </c>
    </row>
    <row r="91" spans="1:5" x14ac:dyDescent="0.25">
      <c r="A91" s="50">
        <f t="shared" si="0"/>
        <v>18</v>
      </c>
      <c r="B91" s="56">
        <f>'Mastercurve bestimmen'!C35</f>
        <v>5.870573738309863E-2</v>
      </c>
      <c r="C91" s="11"/>
      <c r="D91" s="51">
        <f t="shared" si="1"/>
        <v>18</v>
      </c>
      <c r="E91" s="56">
        <f>'Mastercurve bestimmen'!A35</f>
        <v>2030.26456396616</v>
      </c>
    </row>
    <row r="92" spans="1:5" x14ac:dyDescent="0.25">
      <c r="A92" s="50">
        <f t="shared" si="0"/>
        <v>19</v>
      </c>
      <c r="B92" s="56">
        <f>'Mastercurve bestimmen'!C36</f>
        <v>5.620235606497212E-2</v>
      </c>
      <c r="C92" s="11"/>
      <c r="D92" s="51">
        <f t="shared" si="1"/>
        <v>19</v>
      </c>
      <c r="E92" s="56">
        <f>'Mastercurve bestimmen'!A36</f>
        <v>22506.400540467101</v>
      </c>
    </row>
    <row r="93" spans="1:5" x14ac:dyDescent="0.25">
      <c r="A93" s="50">
        <f t="shared" si="0"/>
        <v>20</v>
      </c>
      <c r="B93" s="56">
        <f>'Mastercurve bestimmen'!C37</f>
        <v>6.3415296184233166E-2</v>
      </c>
      <c r="C93" s="11"/>
      <c r="D93" s="51">
        <f t="shared" si="1"/>
        <v>20</v>
      </c>
      <c r="E93" s="56">
        <f>'Mastercurve bestimmen'!A37</f>
        <v>249493.62476110301</v>
      </c>
    </row>
    <row r="94" spans="1:5" x14ac:dyDescent="0.25">
      <c r="A94" s="50">
        <f t="shared" si="0"/>
        <v>21</v>
      </c>
      <c r="B94" s="56">
        <f>'Mastercurve bestimmen'!C38</f>
        <v>3.5348869965799563E-2</v>
      </c>
      <c r="C94" s="11"/>
      <c r="D94" s="51">
        <f t="shared" si="1"/>
        <v>21</v>
      </c>
      <c r="E94" s="56">
        <f>'Mastercurve bestimmen'!A38</f>
        <v>2765749.6224023802</v>
      </c>
    </row>
    <row r="95" spans="1:5" x14ac:dyDescent="0.25">
      <c r="A95" s="50">
        <f t="shared" si="0"/>
        <v>22</v>
      </c>
      <c r="B95" s="56">
        <f>'Mastercurve bestimmen'!C39</f>
        <v>7.0460456800535406E-2</v>
      </c>
      <c r="C95" s="11"/>
      <c r="D95" s="51">
        <f t="shared" si="1"/>
        <v>22</v>
      </c>
      <c r="E95" s="56">
        <f>'Mastercurve bestimmen'!A39</f>
        <v>10000000</v>
      </c>
    </row>
    <row r="96" spans="1:5" x14ac:dyDescent="0.25">
      <c r="A96" s="50">
        <f t="shared" si="0"/>
        <v>23</v>
      </c>
      <c r="B96" s="56">
        <f>'Mastercurve bestimmen'!C40</f>
        <v>8.6875447409324694E-2</v>
      </c>
      <c r="C96" s="11"/>
      <c r="D96" s="51">
        <f t="shared" si="1"/>
        <v>23</v>
      </c>
      <c r="E96" s="56">
        <f>'Mastercurve bestimmen'!A40</f>
        <v>100000000</v>
      </c>
    </row>
    <row r="97" spans="1:5" x14ac:dyDescent="0.25">
      <c r="A97" s="50">
        <f t="shared" si="0"/>
        <v>24</v>
      </c>
      <c r="B97" s="56">
        <f>'Mastercurve bestimmen'!C41</f>
        <v>9.6215979999175721E-2</v>
      </c>
      <c r="C97" s="11"/>
      <c r="D97" s="51">
        <f t="shared" si="1"/>
        <v>24</v>
      </c>
      <c r="E97" s="56">
        <f>'Mastercurve bestimmen'!A41</f>
        <v>1000000000</v>
      </c>
    </row>
    <row r="98" spans="1:5" x14ac:dyDescent="0.25">
      <c r="A98" s="50">
        <f t="shared" si="0"/>
        <v>25</v>
      </c>
      <c r="B98" s="56">
        <f>'Mastercurve bestimmen'!C42</f>
        <v>0.11161416834614406</v>
      </c>
      <c r="C98" s="11"/>
      <c r="D98" s="51">
        <f t="shared" si="1"/>
        <v>25</v>
      </c>
      <c r="E98" s="56">
        <f>'Mastercurve bestimmen'!A42</f>
        <v>10000000000</v>
      </c>
    </row>
    <row r="99" spans="1:5" x14ac:dyDescent="0.25">
      <c r="A99" s="50">
        <f t="shared" si="0"/>
        <v>26</v>
      </c>
      <c r="B99" s="56">
        <f>'Mastercurve bestimmen'!C43</f>
        <v>6.6462351022397975E-2</v>
      </c>
      <c r="C99" s="11"/>
      <c r="D99" s="51">
        <f t="shared" si="1"/>
        <v>26</v>
      </c>
      <c r="E99" s="56">
        <f>'Mastercurve bestimmen'!A43</f>
        <v>100000000000</v>
      </c>
    </row>
    <row r="100" spans="1:5" x14ac:dyDescent="0.25">
      <c r="A100" s="50">
        <f t="shared" si="0"/>
        <v>27</v>
      </c>
      <c r="B100" s="56">
        <f>'Mastercurve bestimmen'!C44</f>
        <v>4.7100906601755713E-2</v>
      </c>
      <c r="C100" s="11"/>
      <c r="D100" s="51">
        <f t="shared" si="1"/>
        <v>27</v>
      </c>
      <c r="E100" s="56">
        <f>'Mastercurve bestimmen'!A44</f>
        <v>1000000000000</v>
      </c>
    </row>
    <row r="101" spans="1:5" x14ac:dyDescent="0.25">
      <c r="A101" s="50">
        <f t="shared" si="0"/>
        <v>28</v>
      </c>
      <c r="B101" s="56">
        <f>'Mastercurve bestimmen'!C45</f>
        <v>2.2598128773559236E-2</v>
      </c>
      <c r="C101" s="11"/>
      <c r="D101" s="51">
        <f t="shared" si="1"/>
        <v>28</v>
      </c>
      <c r="E101" s="56">
        <f>'Mastercurve bestimmen'!A45</f>
        <v>10000000000000</v>
      </c>
    </row>
    <row r="102" spans="1:5" x14ac:dyDescent="0.25">
      <c r="A102" s="50">
        <f t="shared" si="0"/>
        <v>29</v>
      </c>
      <c r="B102" s="56">
        <f>'Mastercurve bestimmen'!C46</f>
        <v>6.4467605952010509E-3</v>
      </c>
      <c r="C102" s="11"/>
      <c r="D102" s="51">
        <f t="shared" si="1"/>
        <v>29</v>
      </c>
      <c r="E102" s="56">
        <f>'Mastercurve bestimmen'!A46</f>
        <v>100000000000000</v>
      </c>
    </row>
    <row r="103" spans="1:5" x14ac:dyDescent="0.25">
      <c r="A103" s="50">
        <f t="shared" si="0"/>
        <v>30</v>
      </c>
      <c r="B103" s="56">
        <f>'Mastercurve bestimmen'!C47</f>
        <v>9.8307104636690784E-5</v>
      </c>
      <c r="C103" s="11"/>
      <c r="D103" s="51">
        <f t="shared" si="1"/>
        <v>30</v>
      </c>
      <c r="E103" s="56">
        <f>'Mastercurve bestimmen'!A47</f>
        <v>1000000000000000</v>
      </c>
    </row>
    <row r="104" spans="1:5" x14ac:dyDescent="0.25">
      <c r="A104" s="50">
        <f t="shared" si="0"/>
        <v>31</v>
      </c>
      <c r="B104" s="56">
        <f>'Mastercurve bestimmen'!C48</f>
        <v>1.1020901234699522E-2</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16092.433999999999</v>
      </c>
    </row>
    <row r="108" spans="1:5" s="11" customFormat="1" x14ac:dyDescent="0.25">
      <c r="A108" s="61" t="str">
        <f>STUTT!B3</f>
        <v>mp,PRXY,MatID,</v>
      </c>
      <c r="B108" s="52">
        <f>STUTT!C3</f>
        <v>0.31931748999999998</v>
      </c>
    </row>
    <row r="109" spans="1:5" s="11" customFormat="1" x14ac:dyDescent="0.25">
      <c r="A109" s="61" t="str">
        <f>STUTT!B4</f>
        <v>mp,ey,MatID,</v>
      </c>
      <c r="B109" s="52">
        <f>STUTT!C4</f>
        <v>17332.542000000001</v>
      </c>
    </row>
    <row r="110" spans="1:5" s="11" customFormat="1" x14ac:dyDescent="0.25">
      <c r="A110" s="61" t="str">
        <f>STUTT!B5</f>
        <v>mp,PRYZ,MatID,</v>
      </c>
      <c r="B110" s="52">
        <f>STUTT!C5</f>
        <v>0.34394524999999998</v>
      </c>
    </row>
    <row r="111" spans="1:5" s="11" customFormat="1" x14ac:dyDescent="0.25">
      <c r="A111" s="61" t="str">
        <f>STUTT!B6</f>
        <v>mp,ez,MatID,</v>
      </c>
      <c r="B111" s="52">
        <f>STUTT!C6</f>
        <v>16092.433999999999</v>
      </c>
    </row>
    <row r="112" spans="1:5" s="11" customFormat="1" x14ac:dyDescent="0.25">
      <c r="A112" s="61" t="str">
        <f>STUTT!B7</f>
        <v>mp,PRXZ,MatID,</v>
      </c>
      <c r="B112" s="52">
        <f>STUTT!C7</f>
        <v>0.35677292999999999</v>
      </c>
    </row>
    <row r="113" spans="1:4" s="11" customFormat="1" x14ac:dyDescent="0.25">
      <c r="A113" s="61" t="str">
        <f>STUTT!B8</f>
        <v>MP,GXZ,</v>
      </c>
      <c r="B113" s="52" t="str">
        <f>STUTT!C8</f>
        <v>MatID,</v>
      </c>
      <c r="C113" s="102">
        <f>STUTT!D8</f>
        <v>5930.4079000000002</v>
      </c>
      <c r="D113" s="102"/>
    </row>
    <row r="114" spans="1:4" s="11" customFormat="1" x14ac:dyDescent="0.25">
      <c r="A114" s="61" t="str">
        <f>STUTT!B9</f>
        <v>MP,GXY,</v>
      </c>
      <c r="B114" s="52" t="str">
        <f>STUTT!C9</f>
        <v>MatID,</v>
      </c>
      <c r="C114" s="102">
        <f>STUTT!D9</f>
        <v>6613.9741000000004</v>
      </c>
      <c r="D114" s="102"/>
    </row>
    <row r="115" spans="1:4" x14ac:dyDescent="0.25">
      <c r="A115" s="61" t="str">
        <f>STUTT!B10</f>
        <v>MP,GYZ,</v>
      </c>
      <c r="B115" s="52" t="str">
        <f>STUTT!C10</f>
        <v>MatID,</v>
      </c>
      <c r="C115" s="102">
        <f>STUTT!D10</f>
        <v>6613.9741000000004</v>
      </c>
      <c r="D115" s="10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1.236E-7</v>
      </c>
      <c r="C3" s="3">
        <v>1.327E-6</v>
      </c>
      <c r="D3" s="3">
        <v>1.236E-7</v>
      </c>
      <c r="E3" s="3">
        <v>-1.415E-5</v>
      </c>
      <c r="F3" s="3">
        <v>-1.415E-5</v>
      </c>
      <c r="G3" s="3">
        <v>-1.415E-5</v>
      </c>
      <c r="H3" s="3">
        <v>-4.4104515000000002E-6</v>
      </c>
      <c r="I3" s="3">
        <v>-1.1860229E-6</v>
      </c>
      <c r="J3" s="3">
        <v>-4.4104515000000002E-6</v>
      </c>
      <c r="L3" s="48">
        <f>ABS(H3/(-0.5)/$L$1)</f>
        <v>2.5202580000000004E-5</v>
      </c>
      <c r="R3">
        <f>ABS(I3/(-0.5)/$R$1)</f>
        <v>2.4968903157894736E-5</v>
      </c>
    </row>
    <row r="4" spans="1:18" x14ac:dyDescent="0.25">
      <c r="A4">
        <v>-39</v>
      </c>
      <c r="B4" s="3">
        <v>-1.2380000000000001E-7</v>
      </c>
      <c r="C4" s="3">
        <v>-1.327E-6</v>
      </c>
      <c r="D4" s="3">
        <v>-1.2380000000000001E-7</v>
      </c>
      <c r="E4" s="3">
        <v>1.415E-5</v>
      </c>
      <c r="F4" s="3">
        <v>1.415E-5</v>
      </c>
      <c r="G4" s="3">
        <v>1.415E-5</v>
      </c>
      <c r="H4" s="3">
        <v>4.4103614999999998E-6</v>
      </c>
      <c r="I4" s="3">
        <v>1.1861000999999999E-6</v>
      </c>
      <c r="J4" s="3">
        <v>4.4103614999999998E-6</v>
      </c>
      <c r="L4" s="48">
        <f t="shared" ref="L4:L14" si="0">ABS(H4/(-0.5)/$L$1)</f>
        <v>2.5202065714285715E-5</v>
      </c>
      <c r="N4" s="39" t="s">
        <v>27</v>
      </c>
      <c r="O4" s="39" t="s">
        <v>131</v>
      </c>
      <c r="P4" s="85" t="s">
        <v>132</v>
      </c>
      <c r="R4" s="11">
        <f t="shared" ref="R4:R14" si="1">ABS(I4/(-0.5)/$R$1)</f>
        <v>2.4970528421052628E-5</v>
      </c>
    </row>
    <row r="5" spans="1:18" x14ac:dyDescent="0.25">
      <c r="A5">
        <v>0</v>
      </c>
      <c r="B5" s="3">
        <v>1.3260000000000001E-7</v>
      </c>
      <c r="C5" s="3">
        <v>1.2979999999999999E-6</v>
      </c>
      <c r="D5" s="3">
        <v>1.3260000000000001E-7</v>
      </c>
      <c r="E5" s="3">
        <v>-1.415E-5</v>
      </c>
      <c r="F5" s="3">
        <v>-1.415E-5</v>
      </c>
      <c r="G5" s="3">
        <v>-1.415E-5</v>
      </c>
      <c r="H5" s="3">
        <v>-4.4067895000000003E-6</v>
      </c>
      <c r="I5" s="3">
        <v>-1.1891624E-6</v>
      </c>
      <c r="J5" s="3">
        <v>-4.4067895000000003E-6</v>
      </c>
      <c r="L5" s="48">
        <f t="shared" si="0"/>
        <v>2.518165428571429E-5</v>
      </c>
      <c r="M5" s="48"/>
      <c r="N5" s="10">
        <f>(INDEX(A:A,ROW(A2)*2+1)+INDEX(A:A,ROW(A2)*2+2))/2</f>
        <v>0.5</v>
      </c>
      <c r="O5" s="89">
        <f>(INDEX(L:L,ROW(L2)*2+1)+INDEX(L:L,ROW(L2)*2+2))/2</f>
        <v>2.5181388285714289E-5</v>
      </c>
      <c r="P5" s="89">
        <f>(INDEX(R:R,ROW(M2)*2+1)+INDEX(R:R,ROW(R2)*2+2))/2</f>
        <v>2.503583894736842E-5</v>
      </c>
      <c r="R5" s="11">
        <f t="shared" si="1"/>
        <v>2.5034997894736842E-5</v>
      </c>
    </row>
    <row r="6" spans="1:18" x14ac:dyDescent="0.25">
      <c r="A6">
        <v>1</v>
      </c>
      <c r="B6" s="3">
        <v>-1.328E-7</v>
      </c>
      <c r="C6" s="3">
        <v>-1.2979999999999999E-6</v>
      </c>
      <c r="D6" s="3">
        <v>-1.328E-7</v>
      </c>
      <c r="E6" s="3">
        <v>1.415E-5</v>
      </c>
      <c r="F6" s="3">
        <v>1.415E-5</v>
      </c>
      <c r="G6" s="3">
        <v>1.415E-5</v>
      </c>
      <c r="H6" s="3">
        <v>4.4066964000000002E-6</v>
      </c>
      <c r="I6" s="3">
        <v>1.1892422999999999E-6</v>
      </c>
      <c r="J6" s="3">
        <v>4.4066964000000002E-6</v>
      </c>
      <c r="L6" s="48">
        <f t="shared" si="0"/>
        <v>2.5181122285714288E-5</v>
      </c>
      <c r="M6" s="49"/>
      <c r="N6" s="10">
        <f>(INDEX(A:A,ROW(A3)*2+1)+INDEX(A:A,ROW(A3)*2+2))/2</f>
        <v>85.5</v>
      </c>
      <c r="O6" s="89">
        <f t="shared" ref="O6:O7" si="2">(INDEX(L:L,ROW(L3)*2+1)+INDEX(L:L,ROW(L3)*2+2))/2</f>
        <v>2.7886904000000003E-5</v>
      </c>
      <c r="P6" s="89">
        <f t="shared" ref="P6:P9" si="3">(INDEX(R:R,ROW(M3)*2+1)+INDEX(R:R,ROW(R3)*2+2))/2</f>
        <v>2.7577463157894738E-5</v>
      </c>
      <c r="R6" s="11">
        <f t="shared" si="1"/>
        <v>2.5036679999999999E-5</v>
      </c>
    </row>
    <row r="7" spans="1:18" x14ac:dyDescent="0.25">
      <c r="A7">
        <v>85</v>
      </c>
      <c r="B7" s="3">
        <v>1.525E-7</v>
      </c>
      <c r="C7" s="3">
        <v>1.57E-6</v>
      </c>
      <c r="D7" s="3">
        <v>1.525E-7</v>
      </c>
      <c r="E7" s="3">
        <v>-1.525E-5</v>
      </c>
      <c r="F7" s="3">
        <v>-1.525E-5</v>
      </c>
      <c r="G7" s="3">
        <v>-1.525E-5</v>
      </c>
      <c r="H7" s="3">
        <v>-4.6795758000000004E-6</v>
      </c>
      <c r="I7" s="3">
        <v>-1.2625096000000001E-6</v>
      </c>
      <c r="J7" s="3">
        <v>-4.6795758000000004E-6</v>
      </c>
      <c r="L7" s="48">
        <f t="shared" si="0"/>
        <v>2.6740433142857147E-5</v>
      </c>
      <c r="M7" s="48"/>
      <c r="N7" s="10">
        <f>(INDEX(A:A,ROW(A4)*2+1)+INDEX(A:A,ROW(A4)*2+2))/2</f>
        <v>90.5</v>
      </c>
      <c r="O7" s="89">
        <f t="shared" si="2"/>
        <v>5.0859113714285718E-5</v>
      </c>
      <c r="P7" s="89">
        <f t="shared" si="3"/>
        <v>4.7508056842105268E-5</v>
      </c>
      <c r="R7" s="11">
        <f t="shared" si="1"/>
        <v>2.6579149473684211E-5</v>
      </c>
    </row>
    <row r="8" spans="1:18" x14ac:dyDescent="0.25">
      <c r="A8">
        <v>86</v>
      </c>
      <c r="B8" s="3">
        <v>-1.525E-7</v>
      </c>
      <c r="C8" s="3">
        <v>-2.0499999999999999E-6</v>
      </c>
      <c r="D8" s="3">
        <v>-1.525E-7</v>
      </c>
      <c r="E8" s="3">
        <v>1.681E-5</v>
      </c>
      <c r="F8" s="3">
        <v>1.681E-5</v>
      </c>
      <c r="G8" s="3">
        <v>1.681E-5</v>
      </c>
      <c r="H8" s="3">
        <v>5.0808405999999996E-6</v>
      </c>
      <c r="I8" s="3">
        <v>1.3573494E-6</v>
      </c>
      <c r="J8" s="3">
        <v>5.0808405999999996E-6</v>
      </c>
      <c r="L8" s="48">
        <f t="shared" si="0"/>
        <v>2.9033374857142856E-5</v>
      </c>
      <c r="M8" s="49"/>
      <c r="N8" s="10">
        <f>(INDEX(A:A,ROW(A5)*2+1)+INDEX(A:A,ROW(A5)*2+2))/2</f>
        <v>95.5</v>
      </c>
      <c r="O8" s="89">
        <f t="shared" ref="O8:O9" si="4">(INDEX(L:L,ROW(L5)*2+1)+INDEX(L:L,ROW(L5)*2+2))/2</f>
        <v>7.1150880000000002E-5</v>
      </c>
      <c r="P8" s="89">
        <f t="shared" si="3"/>
        <v>6.5041527368421044E-5</v>
      </c>
      <c r="R8" s="11">
        <f t="shared" si="1"/>
        <v>2.8575776842105261E-5</v>
      </c>
    </row>
    <row r="9" spans="1:18" x14ac:dyDescent="0.25">
      <c r="A9">
        <v>90</v>
      </c>
      <c r="B9" s="3">
        <v>1.5230000000000001E-7</v>
      </c>
      <c r="C9" s="3">
        <v>6.3740000000000003E-6</v>
      </c>
      <c r="D9" s="3">
        <v>1.5230000000000001E-7</v>
      </c>
      <c r="E9" s="3">
        <v>-3.0899999999999999E-5</v>
      </c>
      <c r="F9" s="3">
        <v>-3.0899999999999999E-5</v>
      </c>
      <c r="G9" s="3">
        <v>-3.0899999999999999E-5</v>
      </c>
      <c r="H9" s="3">
        <v>-8.6983006000000007E-6</v>
      </c>
      <c r="I9" s="3">
        <v>-2.2094638000000002E-6</v>
      </c>
      <c r="J9" s="3">
        <v>-8.6983006000000007E-6</v>
      </c>
      <c r="L9" s="48">
        <f t="shared" si="0"/>
        <v>4.9704574857142862E-5</v>
      </c>
      <c r="M9" s="48"/>
      <c r="N9" s="10">
        <f>(INDEX(A:A,ROW(A6)*2+1)+INDEX(A:A,ROW(A6)*2+2))/2</f>
        <v>180.5</v>
      </c>
      <c r="O9" s="89">
        <f t="shared" si="4"/>
        <v>7.0799597142857145E-5</v>
      </c>
      <c r="P9" s="89">
        <f t="shared" si="3"/>
        <v>6.6264183157894736E-5</v>
      </c>
      <c r="R9" s="11">
        <f t="shared" si="1"/>
        <v>4.6515027368421058E-5</v>
      </c>
    </row>
    <row r="10" spans="1:18" x14ac:dyDescent="0.25">
      <c r="A10">
        <v>91</v>
      </c>
      <c r="B10" s="3">
        <v>-1.5090000000000001E-7</v>
      </c>
      <c r="C10" s="3">
        <v>-6.8560000000000001E-6</v>
      </c>
      <c r="D10" s="3">
        <v>-1.5090000000000001E-7</v>
      </c>
      <c r="E10" s="3">
        <v>3.2459999999999998E-5</v>
      </c>
      <c r="F10" s="3">
        <v>3.2459999999999998E-5</v>
      </c>
      <c r="G10" s="3">
        <v>3.2459999999999998E-5</v>
      </c>
      <c r="H10" s="3">
        <v>9.1023891999999992E-6</v>
      </c>
      <c r="I10" s="3">
        <v>2.3038016000000002E-6</v>
      </c>
      <c r="J10" s="3">
        <v>9.1023891999999992E-6</v>
      </c>
      <c r="L10" s="48">
        <f t="shared" si="0"/>
        <v>5.2013652571428567E-5</v>
      </c>
      <c r="M10" s="49"/>
      <c r="N10" s="10"/>
      <c r="O10" s="3"/>
      <c r="R10" s="11">
        <f t="shared" si="1"/>
        <v>4.8501086315789479E-5</v>
      </c>
    </row>
    <row r="11" spans="1:18" x14ac:dyDescent="0.25">
      <c r="A11">
        <v>95</v>
      </c>
      <c r="B11" s="3">
        <v>1.3610000000000001E-7</v>
      </c>
      <c r="C11" s="3">
        <v>1.0849999999999999E-5</v>
      </c>
      <c r="D11" s="3">
        <v>1.3610000000000001E-7</v>
      </c>
      <c r="E11" s="3">
        <v>-4.545E-5</v>
      </c>
      <c r="F11" s="3">
        <v>-4.545E-5</v>
      </c>
      <c r="G11" s="3">
        <v>-4.545E-5</v>
      </c>
      <c r="H11" s="3">
        <v>-1.2451768000000001E-5</v>
      </c>
      <c r="I11" s="3">
        <v>-3.0891478E-6</v>
      </c>
      <c r="J11" s="3">
        <v>-1.2451768000000001E-5</v>
      </c>
      <c r="L11" s="48">
        <f t="shared" si="0"/>
        <v>7.1152960000000012E-5</v>
      </c>
      <c r="M11" s="48"/>
      <c r="N11" s="10"/>
      <c r="O11" s="3"/>
      <c r="R11" s="11">
        <f t="shared" si="1"/>
        <v>6.5034690526315789E-5</v>
      </c>
    </row>
    <row r="12" spans="1:18" x14ac:dyDescent="0.25">
      <c r="A12">
        <v>96</v>
      </c>
      <c r="B12" s="3">
        <v>-1.378E-7</v>
      </c>
      <c r="C12" s="3">
        <v>-1.084E-5</v>
      </c>
      <c r="D12" s="3">
        <v>-1.378E-7</v>
      </c>
      <c r="E12" s="3">
        <v>4.545E-5</v>
      </c>
      <c r="F12" s="3">
        <v>4.545E-5</v>
      </c>
      <c r="G12" s="3">
        <v>4.545E-5</v>
      </c>
      <c r="H12" s="3">
        <v>1.2451039999999999E-5</v>
      </c>
      <c r="I12" s="3">
        <v>3.0897973E-6</v>
      </c>
      <c r="J12" s="3">
        <v>1.2451039999999999E-5</v>
      </c>
      <c r="L12" s="48">
        <f t="shared" si="0"/>
        <v>7.1148800000000006E-5</v>
      </c>
      <c r="M12" s="49"/>
      <c r="N12" s="10"/>
      <c r="O12" s="3"/>
      <c r="R12" s="11">
        <f t="shared" si="1"/>
        <v>6.5048364210526312E-5</v>
      </c>
    </row>
    <row r="13" spans="1:18" x14ac:dyDescent="0.25">
      <c r="A13">
        <v>180</v>
      </c>
      <c r="B13" s="3">
        <v>2.9989999999999998E-7</v>
      </c>
      <c r="C13" s="3">
        <v>1.031E-5</v>
      </c>
      <c r="D13" s="3">
        <v>2.9989999999999998E-7</v>
      </c>
      <c r="E13" s="3">
        <v>-4.545E-5</v>
      </c>
      <c r="F13" s="3">
        <v>-4.545E-5</v>
      </c>
      <c r="G13" s="3">
        <v>-4.545E-5</v>
      </c>
      <c r="H13" s="3">
        <v>-1.2390254E-5</v>
      </c>
      <c r="I13" s="3">
        <v>-3.1472086E-6</v>
      </c>
      <c r="J13" s="3">
        <v>-1.2390254E-5</v>
      </c>
      <c r="L13" s="48">
        <f t="shared" si="0"/>
        <v>7.0801451428571433E-5</v>
      </c>
      <c r="M13" s="48"/>
      <c r="N13" s="10"/>
      <c r="O13" s="3"/>
      <c r="R13" s="11">
        <f t="shared" si="1"/>
        <v>6.6257023157894736E-5</v>
      </c>
    </row>
    <row r="14" spans="1:18" x14ac:dyDescent="0.25">
      <c r="A14" s="11">
        <v>181</v>
      </c>
      <c r="B14" s="3">
        <v>-3.016E-7</v>
      </c>
      <c r="C14" s="3">
        <v>-1.03E-5</v>
      </c>
      <c r="D14" s="3">
        <v>-3.016E-7</v>
      </c>
      <c r="E14" s="3">
        <v>4.545E-5</v>
      </c>
      <c r="F14" s="3">
        <v>4.545E-5</v>
      </c>
      <c r="G14" s="3">
        <v>4.545E-5</v>
      </c>
      <c r="H14" s="3">
        <v>1.2389604999999999E-5</v>
      </c>
      <c r="I14" s="3">
        <v>3.1478888E-6</v>
      </c>
      <c r="J14" s="3">
        <v>1.2389604999999999E-5</v>
      </c>
      <c r="L14" s="48">
        <f t="shared" si="0"/>
        <v>7.0797742857142858E-5</v>
      </c>
      <c r="M14" s="49"/>
      <c r="N14" s="10"/>
      <c r="O14" s="3"/>
      <c r="R14" s="11">
        <f t="shared" si="1"/>
        <v>6.6271343157894735E-5</v>
      </c>
    </row>
    <row r="15" spans="1:18" x14ac:dyDescent="0.25">
      <c r="L15" s="48"/>
      <c r="M15" s="48"/>
      <c r="N15" s="10"/>
      <c r="O15" s="3"/>
    </row>
    <row r="16" spans="1:18" x14ac:dyDescent="0.25">
      <c r="L16" s="48"/>
      <c r="M16" s="49"/>
      <c r="N16" s="10"/>
      <c r="O16" s="3"/>
    </row>
    <row r="17" spans="2:15" x14ac:dyDescent="0.25">
      <c r="B17" s="88" t="s">
        <v>128</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16092.433999999999</v>
      </c>
    </row>
    <row r="3" spans="2:4" x14ac:dyDescent="0.25">
      <c r="B3" t="s">
        <v>119</v>
      </c>
      <c r="C3" s="3">
        <v>0.31931748999999998</v>
      </c>
    </row>
    <row r="4" spans="2:4" x14ac:dyDescent="0.25">
      <c r="B4" t="s">
        <v>120</v>
      </c>
      <c r="C4" s="3">
        <v>17332.542000000001</v>
      </c>
    </row>
    <row r="5" spans="2:4" x14ac:dyDescent="0.25">
      <c r="B5" t="s">
        <v>121</v>
      </c>
      <c r="C5" s="3">
        <v>0.34394524999999998</v>
      </c>
    </row>
    <row r="6" spans="2:4" x14ac:dyDescent="0.25">
      <c r="B6" t="s">
        <v>122</v>
      </c>
      <c r="C6" s="3">
        <v>16092.433999999999</v>
      </c>
    </row>
    <row r="7" spans="2:4" x14ac:dyDescent="0.25">
      <c r="B7" t="s">
        <v>123</v>
      </c>
      <c r="C7" s="3">
        <v>0.35677292999999999</v>
      </c>
    </row>
    <row r="8" spans="2:4" x14ac:dyDescent="0.25">
      <c r="B8" t="s">
        <v>124</v>
      </c>
      <c r="C8" t="s">
        <v>125</v>
      </c>
      <c r="D8" s="3">
        <v>5930.4079000000002</v>
      </c>
    </row>
    <row r="9" spans="2:4" x14ac:dyDescent="0.25">
      <c r="B9" t="s">
        <v>126</v>
      </c>
      <c r="C9" t="s">
        <v>125</v>
      </c>
      <c r="D9" s="3">
        <v>6613.9741000000004</v>
      </c>
    </row>
    <row r="10" spans="2:4" x14ac:dyDescent="0.25">
      <c r="B10" t="s">
        <v>127</v>
      </c>
      <c r="C10" t="s">
        <v>125</v>
      </c>
      <c r="D10" s="3">
        <v>6613.9741000000004</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03" t="s">
        <v>7</v>
      </c>
      <c r="B1" s="103"/>
      <c r="C1" s="103"/>
      <c r="D1" s="103"/>
      <c r="E1" s="103"/>
      <c r="F1" s="103"/>
      <c r="G1" s="103"/>
      <c r="H1" s="103"/>
      <c r="I1" s="103"/>
      <c r="J1" s="103"/>
      <c r="K1" s="103"/>
      <c r="M1" s="103" t="s">
        <v>8</v>
      </c>
      <c r="N1" s="103"/>
      <c r="O1" s="103"/>
      <c r="P1" s="103"/>
      <c r="Q1" s="103"/>
      <c r="R1" s="103"/>
      <c r="S1" s="103"/>
      <c r="T1" s="103"/>
      <c r="U1" s="103"/>
      <c r="V1" s="103"/>
      <c r="W1" s="103"/>
      <c r="X1" s="103"/>
      <c r="Z1" s="104" t="s">
        <v>10</v>
      </c>
      <c r="AA1" s="104"/>
      <c r="AB1" s="104"/>
      <c r="AC1" s="104"/>
      <c r="AD1" s="104"/>
      <c r="AE1" s="104"/>
      <c r="AF1" s="104"/>
      <c r="AG1" s="104"/>
      <c r="AH1" s="104"/>
      <c r="AI1" s="104"/>
      <c r="AJ1" s="104"/>
      <c r="AL1" s="103" t="s">
        <v>11</v>
      </c>
      <c r="AM1" s="103"/>
      <c r="AN1" s="103"/>
      <c r="AO1" s="103"/>
      <c r="AP1" s="103"/>
      <c r="AQ1" s="103"/>
      <c r="AR1" s="103"/>
      <c r="AS1" s="103"/>
      <c r="AT1" s="103"/>
      <c r="AU1" s="103"/>
      <c r="AV1" s="103"/>
      <c r="AX1" s="103" t="s">
        <v>12</v>
      </c>
      <c r="AY1" s="103"/>
      <c r="AZ1" s="103"/>
      <c r="BA1" s="103"/>
      <c r="BB1" s="103"/>
      <c r="BC1" s="103"/>
      <c r="BD1" s="103"/>
      <c r="BE1" s="103"/>
      <c r="BF1" s="103"/>
      <c r="BG1" s="103"/>
      <c r="BH1" s="10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-6.1953560000000004E-4</v>
      </c>
      <c r="C3" s="2">
        <f>IF('Modell einstellen'!$B$2="Ja",creep_res0!O3,creep_res0!C3)</f>
        <v>-6.206781142857143E-4</v>
      </c>
      <c r="D3" s="2">
        <f>IF('Modell einstellen'!$B$2="Ja",creep_res25!O3,creep_res25!C3)</f>
        <v>-6.2141817142857142E-4</v>
      </c>
      <c r="E3" s="2">
        <f>IF('Modell einstellen'!$B$2="Ja",creep_res50!O3,creep_res50!C3)</f>
        <v>-6.2217942857142861E-4</v>
      </c>
      <c r="F3" s="2">
        <f>IF('Modell einstellen'!$B$2="Ja",creep_res80!O3,creep_res80!C3)</f>
        <v>-6.2312237142857143E-4</v>
      </c>
      <c r="G3" s="2">
        <f>IF('Modell einstellen'!$B$2="Ja",creep_res125!O3,creep_res125!C3)</f>
        <v>-6.8221225714285721E-4</v>
      </c>
      <c r="H3" s="2">
        <f>IF('Modell einstellen'!$B$2="Ja",creep_res160!O3,creep_res160!C3)</f>
        <v>-7.2659245714285707E-4</v>
      </c>
      <c r="M3" s="9">
        <v>-10</v>
      </c>
      <c r="N3" s="2">
        <f t="shared" ref="N3:N33" si="4">A3</f>
        <v>1.0000000000000001E-15</v>
      </c>
      <c r="O3" s="2">
        <f t="shared" ref="O3:O33" si="5">$M$3/B3</f>
        <v>16141.122479483018</v>
      </c>
      <c r="P3" s="2">
        <f t="shared" ref="P3:P33" si="6">$M$3/C3</f>
        <v>16111.410681055107</v>
      </c>
      <c r="Q3" s="2">
        <f t="shared" ref="Q3:Q33" si="7">$M$3/D3</f>
        <v>16092.223336519288</v>
      </c>
      <c r="R3" s="2">
        <f t="shared" ref="R3:R33" si="8">$M$3/E3</f>
        <v>16072.533968152502</v>
      </c>
      <c r="S3" s="2">
        <f t="shared" ref="S3:S33" si="9">$M$3/F3</f>
        <v>16048.212130586779</v>
      </c>
      <c r="T3" s="2">
        <f t="shared" ref="T3:T33" si="10">$M$3/G3</f>
        <v>14658.194565252397</v>
      </c>
      <c r="U3" s="2">
        <f t="shared" ref="U3:U33" si="11">$M$3/H3</f>
        <v>13762.873398552052</v>
      </c>
      <c r="Z3" s="2">
        <v>1.0000000000000001E-15</v>
      </c>
      <c r="AA3" s="3">
        <f>IF('Modell einstellen'!$B$2="Ja",'creep_res-40'!P3,'creep_res-40'!L3)</f>
        <v>0.35742661346429722</v>
      </c>
      <c r="AB3" s="2">
        <f>IF('Modell einstellen'!$B$2="Ja",creep_res0!P3,creep_res0!L3)</f>
        <v>0.35701473328664396</v>
      </c>
      <c r="AC3" s="2">
        <f>IF('Modell einstellen'!$B$2="Ja",creep_res25!P3,creep_res25!L3)</f>
        <v>0.35675553374778324</v>
      </c>
      <c r="AD3" s="2">
        <f>IF('Modell einstellen'!$B$2="Ja",creep_res50!P3,creep_res50!L3)</f>
        <v>0.356495103846938</v>
      </c>
      <c r="AE3" s="2">
        <f>IF('Modell einstellen'!$B$2="Ja",creep_res80!P3,creep_res80!L3)</f>
        <v>0.35618123255129486</v>
      </c>
      <c r="AF3" s="2">
        <f>IF('Modell einstellen'!$B$2="Ja",creep_res125!P3,creep_res125!L3)</f>
        <v>0.3726459410684459</v>
      </c>
      <c r="AG3" s="2">
        <f>IF('Modell einstellen'!$B$2="Ja",creep_res160!P3,creep_res160!L3)</f>
        <v>0.38371396329229329</v>
      </c>
      <c r="AL3" s="2">
        <f t="shared" ref="AL3:AL33" si="12">Z3</f>
        <v>1.0000000000000001E-15</v>
      </c>
      <c r="AM3" s="2">
        <f t="shared" ref="AM3:AM33" si="13">O3/(2*(1+AA3))</f>
        <v>5945.4862308501361</v>
      </c>
      <c r="AN3" s="2">
        <f t="shared" ref="AN3:AN33" si="14">P3/(2*(1+AB3))</f>
        <v>5936.3433151657146</v>
      </c>
      <c r="AO3" s="2">
        <f t="shared" ref="AO3:AO33" si="15">Q3/(2*(1+AC3))</f>
        <v>5930.406376183163</v>
      </c>
      <c r="AP3" s="2">
        <f t="shared" ref="AP3:AP33" si="16">R3/(2*(1+AD3))</f>
        <v>5924.2874974527258</v>
      </c>
      <c r="AQ3" s="2">
        <f t="shared" ref="AQ3:AQ33" si="17">S3/(2*(1+AE3))</f>
        <v>5916.6915694579875</v>
      </c>
      <c r="AR3" s="2">
        <f t="shared" ref="AR3:AR33" si="18">T3/(2*(1+AF3))</f>
        <v>5339.3938402799959</v>
      </c>
      <c r="AS3" s="2">
        <f t="shared" ref="AS3:AS33" si="19">U3/(2*(1+AG3))</f>
        <v>4973.1641667493986</v>
      </c>
      <c r="AX3" s="2">
        <f>AL3</f>
        <v>1.0000000000000001E-15</v>
      </c>
      <c r="AY3" s="37">
        <f t="shared" ref="AY3:AY33" si="20">O3/(3*(1-(2*AA3)))</f>
        <v>18868.788525551143</v>
      </c>
      <c r="AZ3" s="37">
        <f t="shared" ref="AZ3:AZ33" si="21">P3/(3*(1-(2*AB3)))</f>
        <v>18779.802809280354</v>
      </c>
      <c r="BA3" s="37">
        <f t="shared" ref="BA3:BA33" si="22">Q3/(3*(1-(2*AC3)))</f>
        <v>18723.496222400907</v>
      </c>
      <c r="BB3" s="37">
        <f t="shared" ref="BB3:BB33" si="23">R3/(3*(1-(2*AD3)))</f>
        <v>18666.649941348311</v>
      </c>
      <c r="BC3" s="37">
        <f t="shared" ref="BC3:BC33" si="24">S3/(3*(1-(2*AE3)))</f>
        <v>18597.725938086842</v>
      </c>
      <c r="BD3" s="37">
        <f t="shared" ref="BD3:BD33" si="25">T3/(3*(1-(2*AF3)))</f>
        <v>19182.996192175262</v>
      </c>
      <c r="BE3" s="37">
        <f t="shared" ref="BE3:BE33" si="26">U3/(3*(1-(2*AG3)))</f>
        <v>19725.603331530423</v>
      </c>
    </row>
    <row r="4" spans="1:308" x14ac:dyDescent="0.25">
      <c r="A4" s="2">
        <f>'creep_res-40'!A4</f>
        <v>1E-14</v>
      </c>
      <c r="B4" s="3">
        <f>'creep_res-40'!O4</f>
        <v>-6.1952405714285716E-4</v>
      </c>
      <c r="C4" s="2">
        <f>IF('Modell einstellen'!$B$2="Ja",creep_res0!O4,creep_res0!C4)</f>
        <v>-6.2066645714285718E-4</v>
      </c>
      <c r="D4" s="2">
        <f>IF('Modell einstellen'!$B$2="Ja",creep_res25!O4,creep_res25!C4)</f>
        <v>-6.2140645714285723E-4</v>
      </c>
      <c r="E4" s="2">
        <f>IF('Modell einstellen'!$B$2="Ja",creep_res50!O4,creep_res50!C4)</f>
        <v>-6.221676285714286E-4</v>
      </c>
      <c r="F4" s="2">
        <f>IF('Modell einstellen'!$B$2="Ja",creep_res80!O4,creep_res80!C4)</f>
        <v>-6.2311097142857144E-4</v>
      </c>
      <c r="G4" s="2">
        <f>IF('Modell einstellen'!$B$2="Ja",creep_res125!O4,creep_res125!C4)</f>
        <v>-7.1116868571428579E-4</v>
      </c>
      <c r="H4" s="2">
        <f>IF('Modell einstellen'!$B$2="Ja",creep_res160!O4,creep_res160!C4)</f>
        <v>-7.6944214285714285E-4</v>
      </c>
      <c r="M4" s="9">
        <f t="shared" ref="M4:M31" si="27">M3</f>
        <v>-10</v>
      </c>
      <c r="N4" s="2">
        <f t="shared" si="4"/>
        <v>1E-14</v>
      </c>
      <c r="O4" s="2">
        <f t="shared" si="5"/>
        <v>16141.423217878499</v>
      </c>
      <c r="P4" s="2">
        <f t="shared" si="6"/>
        <v>16111.713280001413</v>
      </c>
      <c r="Q4" s="2">
        <f t="shared" si="7"/>
        <v>16092.526694972959</v>
      </c>
      <c r="R4" s="2">
        <f t="shared" si="8"/>
        <v>16072.838799024626</v>
      </c>
      <c r="S4" s="2">
        <f t="shared" si="9"/>
        <v>16048.505737386653</v>
      </c>
      <c r="T4" s="2">
        <f t="shared" si="10"/>
        <v>14061.361531907398</v>
      </c>
      <c r="U4" s="2">
        <f t="shared" si="11"/>
        <v>12996.428767038085</v>
      </c>
      <c r="Z4" s="2">
        <v>1E-14</v>
      </c>
      <c r="AA4" s="3">
        <f>IF('Modell einstellen'!$B$2="Ja",'creep_res-40'!P4,'creep_res-40'!L4)</f>
        <v>0.35744341900801085</v>
      </c>
      <c r="AB4" s="2">
        <f>IF('Modell einstellen'!$B$2="Ja",creep_res0!P4,creep_res0!L4)</f>
        <v>0.35703176392049729</v>
      </c>
      <c r="AC4" s="2">
        <f>IF('Modell einstellen'!$B$2="Ja",creep_res25!P4,creep_res25!L4)</f>
        <v>0.3567727007848463</v>
      </c>
      <c r="AD4" s="2">
        <f>IF('Modell einstellen'!$B$2="Ja",creep_res50!P4,creep_res50!L4)</f>
        <v>0.35651242726638627</v>
      </c>
      <c r="AE4" s="2">
        <f>IF('Modell einstellen'!$B$2="Ja",creep_res80!P4,creep_res80!L4)</f>
        <v>0.35619890499669771</v>
      </c>
      <c r="AF4" s="2">
        <f>IF('Modell einstellen'!$B$2="Ja",creep_res125!P4,creep_res125!L4)</f>
        <v>0.38058331670075135</v>
      </c>
      <c r="AG4" s="2">
        <f>IF('Modell einstellen'!$B$2="Ja",creep_res160!P4,creep_res160!L4)</f>
        <v>0.39458735874506484</v>
      </c>
      <c r="AL4" s="2">
        <f t="shared" si="12"/>
        <v>1E-14</v>
      </c>
      <c r="AM4" s="2">
        <f t="shared" si="13"/>
        <v>5945.5233978276192</v>
      </c>
      <c r="AN4" s="2">
        <f t="shared" si="14"/>
        <v>5936.3803075081632</v>
      </c>
      <c r="AO4" s="2">
        <f t="shared" si="15"/>
        <v>5930.4431337924134</v>
      </c>
      <c r="AP4" s="2">
        <f t="shared" si="16"/>
        <v>5924.3241993050724</v>
      </c>
      <c r="AQ4" s="2">
        <f t="shared" si="17"/>
        <v>5916.7227160627044</v>
      </c>
      <c r="AR4" s="2">
        <f t="shared" si="18"/>
        <v>5092.5436233397832</v>
      </c>
      <c r="AS4" s="2">
        <f t="shared" si="19"/>
        <v>4659.596505568883</v>
      </c>
      <c r="AX4" s="2">
        <f t="shared" ref="AX4:AX32" si="28">AL4</f>
        <v>1E-14</v>
      </c>
      <c r="AY4" s="37">
        <f t="shared" si="20"/>
        <v>18871.364508460858</v>
      </c>
      <c r="AZ4" s="37">
        <f t="shared" si="21"/>
        <v>18782.392651005717</v>
      </c>
      <c r="BA4" s="37">
        <f t="shared" si="22"/>
        <v>18726.093399740123</v>
      </c>
      <c r="BB4" s="37">
        <f t="shared" si="23"/>
        <v>18669.257660921885</v>
      </c>
      <c r="BC4" s="37">
        <f t="shared" si="24"/>
        <v>18600.3517996138</v>
      </c>
      <c r="BD4" s="37">
        <f t="shared" si="25"/>
        <v>19625.065699112787</v>
      </c>
      <c r="BE4" s="37">
        <f t="shared" si="26"/>
        <v>20548.498124949547</v>
      </c>
      <c r="BF4" s="5"/>
      <c r="BG4" s="5"/>
    </row>
    <row r="5" spans="1:308" x14ac:dyDescent="0.25">
      <c r="A5" s="2">
        <f>'creep_res-40'!A5</f>
        <v>1E-13</v>
      </c>
      <c r="B5" s="3">
        <f>'creep_res-40'!O5</f>
        <v>-6.1952640000000005E-4</v>
      </c>
      <c r="C5" s="2">
        <f>IF('Modell einstellen'!$B$2="Ja",creep_res0!O5,creep_res0!C5)</f>
        <v>-6.2066877142857152E-4</v>
      </c>
      <c r="D5" s="2">
        <f>IF('Modell einstellen'!$B$2="Ja",creep_res25!O5,creep_res25!C5)</f>
        <v>-6.2140877142857146E-4</v>
      </c>
      <c r="E5" s="2">
        <f>IF('Modell einstellen'!$B$2="Ja",creep_res50!O5,creep_res50!C5)</f>
        <v>-6.2216994285714284E-4</v>
      </c>
      <c r="F5" s="2">
        <f>IF('Modell einstellen'!$B$2="Ja",creep_res80!O5,creep_res80!C5)</f>
        <v>-6.2311840000000012E-4</v>
      </c>
      <c r="G5" s="2">
        <f>IF('Modell einstellen'!$B$2="Ja",creep_res125!O5,creep_res125!C5)</f>
        <v>-7.4067305714285725E-4</v>
      </c>
      <c r="H5" s="2">
        <f>IF('Modell einstellen'!$B$2="Ja",creep_res160!O5,creep_res160!C5)</f>
        <v>-8.1148822857142868E-4</v>
      </c>
      <c r="M5" s="9">
        <f t="shared" si="27"/>
        <v>-10</v>
      </c>
      <c r="N5" s="2">
        <f t="shared" si="4"/>
        <v>1E-13</v>
      </c>
      <c r="O5" s="2">
        <f t="shared" si="5"/>
        <v>16141.362176010578</v>
      </c>
      <c r="P5" s="2">
        <f t="shared" si="6"/>
        <v>16111.653204306302</v>
      </c>
      <c r="Q5" s="2">
        <f t="shared" si="7"/>
        <v>16092.466762274309</v>
      </c>
      <c r="R5" s="2">
        <f t="shared" si="8"/>
        <v>16072.779012881552</v>
      </c>
      <c r="S5" s="2">
        <f t="shared" si="9"/>
        <v>16048.314413440525</v>
      </c>
      <c r="T5" s="2">
        <f t="shared" si="10"/>
        <v>13501.233646293213</v>
      </c>
      <c r="U5" s="2">
        <f t="shared" si="11"/>
        <v>12323.037658358075</v>
      </c>
      <c r="Z5" s="2">
        <v>1E-13</v>
      </c>
      <c r="AA5" s="3">
        <f>IF('Modell einstellen'!$B$2="Ja",'creep_res-40'!P5,'creep_res-40'!L5)</f>
        <v>0.35744347387202313</v>
      </c>
      <c r="AB5" s="2">
        <f>IF('Modell einstellen'!$B$2="Ja",creep_res0!P5,creep_res0!L5)</f>
        <v>0.35703184127609444</v>
      </c>
      <c r="AC5" s="2">
        <f>IF('Modell einstellen'!$B$2="Ja",creep_res25!P5,creep_res25!L5)</f>
        <v>0.35677278361099046</v>
      </c>
      <c r="AD5" s="2">
        <f>IF('Modell einstellen'!$B$2="Ja",creep_res50!P5,creep_res50!L5)</f>
        <v>0.35651251555156177</v>
      </c>
      <c r="AE5" s="2">
        <f>IF('Modell einstellen'!$B$2="Ja",creep_res80!P5,creep_res80!L5)</f>
        <v>0.35620063309224786</v>
      </c>
      <c r="AF5" s="2">
        <f>IF('Modell einstellen'!$B$2="Ja",creep_res125!P5,creep_res125!L5)</f>
        <v>0.38838520500871077</v>
      </c>
      <c r="AG5" s="2">
        <f>IF('Modell einstellen'!$B$2="Ja",creep_res160!P5,creep_res160!L5)</f>
        <v>0.40483055330298245</v>
      </c>
      <c r="AL5" s="2">
        <f t="shared" si="12"/>
        <v>1E-13</v>
      </c>
      <c r="AM5" s="2">
        <f t="shared" si="13"/>
        <v>5945.5006733975988</v>
      </c>
      <c r="AN5" s="2">
        <f t="shared" si="14"/>
        <v>5936.3578341520697</v>
      </c>
      <c r="AO5" s="2">
        <f t="shared" si="15"/>
        <v>5930.4206852693951</v>
      </c>
      <c r="AP5" s="2">
        <f t="shared" si="16"/>
        <v>5924.3017770264787</v>
      </c>
      <c r="AQ5" s="2">
        <f t="shared" si="17"/>
        <v>5916.6446401256508</v>
      </c>
      <c r="AR5" s="2">
        <f t="shared" si="18"/>
        <v>4862.2074038193541</v>
      </c>
      <c r="AS5" s="2">
        <f t="shared" si="19"/>
        <v>4385.9516115251872</v>
      </c>
      <c r="AX5" s="2">
        <f t="shared" si="28"/>
        <v>1E-13</v>
      </c>
      <c r="AY5" s="37">
        <f t="shared" si="20"/>
        <v>18871.300405566886</v>
      </c>
      <c r="AZ5" s="37">
        <f t="shared" si="21"/>
        <v>18782.332779683817</v>
      </c>
      <c r="BA5" s="37">
        <f t="shared" si="22"/>
        <v>18726.034487941026</v>
      </c>
      <c r="BB5" s="37">
        <f t="shared" si="23"/>
        <v>18669.199703682465</v>
      </c>
      <c r="BC5" s="37">
        <f t="shared" si="24"/>
        <v>18600.35357890412</v>
      </c>
      <c r="BD5" s="37">
        <f t="shared" si="25"/>
        <v>20160.459981054919</v>
      </c>
      <c r="BE5" s="37">
        <f t="shared" si="26"/>
        <v>21580.87160330953</v>
      </c>
    </row>
    <row r="6" spans="1:308" x14ac:dyDescent="0.25">
      <c r="A6" s="2">
        <f>'creep_res-40'!A6</f>
        <v>9.9999999999999998E-13</v>
      </c>
      <c r="B6" s="3">
        <f>'creep_res-40'!O6</f>
        <v>-6.1952705714285721E-4</v>
      </c>
      <c r="C6" s="2">
        <f>IF('Modell einstellen'!$B$2="Ja",creep_res0!O6,creep_res0!C6)</f>
        <v>-6.2066945714285722E-4</v>
      </c>
      <c r="D6" s="2">
        <f>IF('Modell einstellen'!$B$2="Ja",creep_res25!O6,creep_res25!C6)</f>
        <v>-6.2140945714285716E-4</v>
      </c>
      <c r="E6" s="2">
        <f>IF('Modell einstellen'!$B$2="Ja",creep_res50!O6,creep_res50!C6)</f>
        <v>-6.2217062857142865E-4</v>
      </c>
      <c r="F6" s="2">
        <f>IF('Modell einstellen'!$B$2="Ja",creep_res80!O6,creep_res80!C6)</f>
        <v>-6.2317011428571439E-4</v>
      </c>
      <c r="G6" s="2">
        <f>IF('Modell einstellen'!$B$2="Ja",creep_res125!O6,creep_res125!C6)</f>
        <v>-7.7760822857142866E-4</v>
      </c>
      <c r="H6" s="2">
        <f>IF('Modell einstellen'!$B$2="Ja",creep_res160!O6,creep_res160!C6)</f>
        <v>-8.5763660000000004E-4</v>
      </c>
      <c r="M6" s="9">
        <f t="shared" si="27"/>
        <v>-10</v>
      </c>
      <c r="N6" s="2">
        <f t="shared" si="4"/>
        <v>9.9999999999999998E-13</v>
      </c>
      <c r="O6" s="2">
        <f t="shared" si="5"/>
        <v>16141.345054593947</v>
      </c>
      <c r="P6" s="2">
        <f t="shared" si="6"/>
        <v>16111.635404186381</v>
      </c>
      <c r="Q6" s="2">
        <f t="shared" si="7"/>
        <v>16092.449004523403</v>
      </c>
      <c r="R6" s="2">
        <f t="shared" si="8"/>
        <v>16072.761298554202</v>
      </c>
      <c r="S6" s="2">
        <f t="shared" si="9"/>
        <v>16046.982630837694</v>
      </c>
      <c r="T6" s="2">
        <f t="shared" si="10"/>
        <v>12859.946220439759</v>
      </c>
      <c r="U6" s="2">
        <f t="shared" si="11"/>
        <v>11659.950146717152</v>
      </c>
      <c r="Z6" s="2">
        <v>9.9999999999999998E-13</v>
      </c>
      <c r="AA6" s="3">
        <f>IF('Modell einstellen'!$B$2="Ja",'creep_res-40'!P6,'creep_res-40'!L6)</f>
        <v>0.35744354668332945</v>
      </c>
      <c r="AB6" s="2">
        <f>IF('Modell einstellen'!$B$2="Ja",creep_res0!P6,creep_res0!L6)</f>
        <v>0.35703189795387291</v>
      </c>
      <c r="AC6" s="2">
        <f>IF('Modell einstellen'!$B$2="Ja",creep_res25!P6,creep_res25!L6)</f>
        <v>0.35677284050714025</v>
      </c>
      <c r="AD6" s="2">
        <f>IF('Modell einstellen'!$B$2="Ja",creep_res50!P6,creep_res50!L6)</f>
        <v>0.35651257266495379</v>
      </c>
      <c r="AE6" s="2">
        <f>IF('Modell einstellen'!$B$2="Ja",creep_res80!P6,creep_res80!L6)</f>
        <v>0.35621700453817834</v>
      </c>
      <c r="AF6" s="2">
        <f>IF('Modell einstellen'!$B$2="Ja",creep_res125!P6,creep_res125!L6)</f>
        <v>0.39780663696680457</v>
      </c>
      <c r="AG6" s="2">
        <f>IF('Modell einstellen'!$B$2="Ja",creep_res160!P6,creep_res160!L6)</f>
        <v>0.41560702983058323</v>
      </c>
      <c r="AL6" s="2">
        <f t="shared" si="12"/>
        <v>9.9999999999999998E-13</v>
      </c>
      <c r="AM6" s="2">
        <f t="shared" si="13"/>
        <v>5945.4940479964844</v>
      </c>
      <c r="AN6" s="2">
        <f t="shared" si="14"/>
        <v>5936.3510277390824</v>
      </c>
      <c r="AO6" s="2">
        <f t="shared" si="15"/>
        <v>5930.413892464232</v>
      </c>
      <c r="AP6" s="2">
        <f t="shared" si="16"/>
        <v>5924.2949982314785</v>
      </c>
      <c r="AQ6" s="2">
        <f t="shared" si="17"/>
        <v>5916.0822262002403</v>
      </c>
      <c r="AR6" s="2">
        <f t="shared" si="18"/>
        <v>4600.0447702643005</v>
      </c>
      <c r="AS6" s="2">
        <f t="shared" si="19"/>
        <v>4118.3569666620651</v>
      </c>
      <c r="AX6" s="2">
        <f t="shared" si="28"/>
        <v>9.9999999999999998E-13</v>
      </c>
      <c r="AY6" s="37">
        <f t="shared" si="20"/>
        <v>18871.290027044066</v>
      </c>
      <c r="AZ6" s="37">
        <f t="shared" si="21"/>
        <v>18782.319474997461</v>
      </c>
      <c r="BA6" s="37">
        <f t="shared" si="22"/>
        <v>18726.021262894224</v>
      </c>
      <c r="BB6" s="37">
        <f t="shared" si="23"/>
        <v>18669.186558791618</v>
      </c>
      <c r="BC6" s="37">
        <f t="shared" si="24"/>
        <v>18600.927714360827</v>
      </c>
      <c r="BD6" s="37">
        <f t="shared" si="25"/>
        <v>20973.224742364902</v>
      </c>
      <c r="BE6" s="37">
        <f t="shared" si="26"/>
        <v>23027.095983844181</v>
      </c>
    </row>
    <row r="7" spans="1:308" x14ac:dyDescent="0.25">
      <c r="A7" s="2">
        <f>'creep_res-40'!A7</f>
        <v>9.9999999999999994E-12</v>
      </c>
      <c r="B7" s="3">
        <f>'creep_res-40'!O7</f>
        <v>-6.1952725714285717E-4</v>
      </c>
      <c r="C7" s="2">
        <f>IF('Modell einstellen'!$B$2="Ja",creep_res0!O7,creep_res0!C7)</f>
        <v>-6.2066965714285718E-4</v>
      </c>
      <c r="D7" s="2">
        <f>IF('Modell einstellen'!$B$2="Ja",creep_res25!O7,creep_res25!C7)</f>
        <v>-6.2140965714285723E-4</v>
      </c>
      <c r="E7" s="2">
        <f>IF('Modell einstellen'!$B$2="Ja",creep_res50!O7,creep_res50!C7)</f>
        <v>-6.2217082857142861E-4</v>
      </c>
      <c r="F7" s="2">
        <f>IF('Modell einstellen'!$B$2="Ja",creep_res80!O7,creep_res80!C7)</f>
        <v>-6.2367177142857153E-4</v>
      </c>
      <c r="G7" s="2">
        <f>IF('Modell einstellen'!$B$2="Ja",creep_res125!O7,creep_res125!C7)</f>
        <v>-8.190924571428572E-4</v>
      </c>
      <c r="H7" s="2">
        <f>IF('Modell einstellen'!$B$2="Ja",creep_res160!O7,creep_res160!C7)</f>
        <v>-9.1411340000000006E-4</v>
      </c>
      <c r="M7" s="9">
        <f t="shared" si="27"/>
        <v>-10</v>
      </c>
      <c r="N7" s="2">
        <f t="shared" si="4"/>
        <v>9.9999999999999994E-12</v>
      </c>
      <c r="O7" s="2">
        <f t="shared" si="5"/>
        <v>16141.339843735226</v>
      </c>
      <c r="P7" s="2">
        <f t="shared" si="6"/>
        <v>16111.630212492148</v>
      </c>
      <c r="Q7" s="2">
        <f t="shared" si="7"/>
        <v>16092.443825186769</v>
      </c>
      <c r="R7" s="2">
        <f t="shared" si="8"/>
        <v>16072.75613188275</v>
      </c>
      <c r="S7" s="2">
        <f t="shared" si="9"/>
        <v>16034.075066591802</v>
      </c>
      <c r="T7" s="2">
        <f t="shared" si="10"/>
        <v>12208.633973851756</v>
      </c>
      <c r="U7" s="2">
        <f t="shared" si="11"/>
        <v>10939.561765531496</v>
      </c>
      <c r="Z7" s="2">
        <v>9.9999999999999994E-12</v>
      </c>
      <c r="AA7" s="3">
        <f>IF('Modell einstellen'!$B$2="Ja",'creep_res-40'!P7,'creep_res-40'!L7)</f>
        <v>0.35744357886893852</v>
      </c>
      <c r="AB7" s="2">
        <f>IF('Modell einstellen'!$B$2="Ja",creep_res0!P7,creep_res0!L7)</f>
        <v>0.35703193481621098</v>
      </c>
      <c r="AC7" s="2">
        <f>IF('Modell einstellen'!$B$2="Ja",creep_res25!P7,creep_res25!L7)</f>
        <v>0.35677287740895841</v>
      </c>
      <c r="AD7" s="2">
        <f>IF('Modell einstellen'!$B$2="Ja",creep_res50!P7,creep_res50!L7)</f>
        <v>0.35651260960529035</v>
      </c>
      <c r="AE7" s="2">
        <f>IF('Modell einstellen'!$B$2="Ja",creep_res80!P7,creep_res80!L7)</f>
        <v>0.35637729223137143</v>
      </c>
      <c r="AF7" s="2">
        <f>IF('Modell einstellen'!$B$2="Ja",creep_res125!P7,creep_res125!L7)</f>
        <v>0.40799472280052385</v>
      </c>
      <c r="AG7" s="2">
        <f>IF('Modell einstellen'!$B$2="Ja",creep_res160!P7,creep_res160!L7)</f>
        <v>0.4282149551373261</v>
      </c>
      <c r="AL7" s="2">
        <f t="shared" si="12"/>
        <v>9.9999999999999994E-12</v>
      </c>
      <c r="AM7" s="2">
        <f t="shared" si="13"/>
        <v>5945.491987661344</v>
      </c>
      <c r="AN7" s="2">
        <f t="shared" si="14"/>
        <v>5936.3489535985827</v>
      </c>
      <c r="AO7" s="2">
        <f t="shared" si="15"/>
        <v>5930.4118224704844</v>
      </c>
      <c r="AP7" s="2">
        <f t="shared" si="16"/>
        <v>5924.2929325070927</v>
      </c>
      <c r="AQ7" s="2">
        <f t="shared" si="17"/>
        <v>5910.6250002955303</v>
      </c>
      <c r="AR7" s="2">
        <f t="shared" si="18"/>
        <v>4335.4686548713016</v>
      </c>
      <c r="AS7" s="2">
        <f t="shared" si="19"/>
        <v>3829.8022738739742</v>
      </c>
      <c r="AX7" s="2">
        <f t="shared" si="28"/>
        <v>9.9999999999999994E-12</v>
      </c>
      <c r="AY7" s="37">
        <f t="shared" si="20"/>
        <v>18871.288195541227</v>
      </c>
      <c r="AZ7" s="37">
        <f t="shared" si="21"/>
        <v>18782.318265481463</v>
      </c>
      <c r="BA7" s="37">
        <f t="shared" si="22"/>
        <v>18726.020060618161</v>
      </c>
      <c r="BB7" s="37">
        <f t="shared" si="23"/>
        <v>18669.185363802473</v>
      </c>
      <c r="BC7" s="37">
        <f t="shared" si="24"/>
        <v>18606.708409487917</v>
      </c>
      <c r="BD7" s="37">
        <f t="shared" si="25"/>
        <v>22115.821949687881</v>
      </c>
      <c r="BE7" s="37">
        <f t="shared" si="26"/>
        <v>25398.88771739545</v>
      </c>
    </row>
    <row r="8" spans="1:308" x14ac:dyDescent="0.25">
      <c r="A8" s="2">
        <f>'creep_res-40'!A8</f>
        <v>1E-10</v>
      </c>
      <c r="B8" s="3">
        <f>'creep_res-40'!O8</f>
        <v>-6.1952734285714288E-4</v>
      </c>
      <c r="C8" s="2">
        <f>IF('Modell einstellen'!$B$2="Ja",creep_res0!O8,creep_res0!C8)</f>
        <v>-6.2066971428571425E-4</v>
      </c>
      <c r="D8" s="2">
        <f>IF('Modell einstellen'!$B$2="Ja",creep_res25!O8,creep_res25!C8)</f>
        <v>-6.2140974285714284E-4</v>
      </c>
      <c r="E8" s="2">
        <f>IF('Modell einstellen'!$B$2="Ja",creep_res50!O8,creep_res50!C8)</f>
        <v>-6.2217091428571432E-4</v>
      </c>
      <c r="F8" s="2">
        <f>IF('Modell einstellen'!$B$2="Ja",creep_res80!O8,creep_res80!C8)</f>
        <v>-6.2789734285714294E-4</v>
      </c>
      <c r="G8" s="2">
        <f>IF('Modell einstellen'!$B$2="Ja",creep_res125!O8,creep_res125!C8)</f>
        <v>-8.6683934285714296E-4</v>
      </c>
      <c r="H8" s="2">
        <f>IF('Modell einstellen'!$B$2="Ja",creep_res160!O8,creep_res160!C8)</f>
        <v>-9.859250571428572E-4</v>
      </c>
      <c r="M8" s="9">
        <f t="shared" si="27"/>
        <v>-10</v>
      </c>
      <c r="N8" s="2">
        <f t="shared" si="4"/>
        <v>1E-10</v>
      </c>
      <c r="O8" s="2">
        <f t="shared" si="5"/>
        <v>16141.337610511091</v>
      </c>
      <c r="P8" s="2">
        <f t="shared" si="6"/>
        <v>16111.628729151553</v>
      </c>
      <c r="Q8" s="2">
        <f t="shared" si="7"/>
        <v>16092.441605472093</v>
      </c>
      <c r="R8" s="2">
        <f t="shared" si="8"/>
        <v>16072.753917596001</v>
      </c>
      <c r="S8" s="2">
        <f t="shared" si="9"/>
        <v>15926.170278881345</v>
      </c>
      <c r="T8" s="2">
        <f t="shared" si="10"/>
        <v>11536.163053051483</v>
      </c>
      <c r="U8" s="2">
        <f t="shared" si="11"/>
        <v>10142.758749817465</v>
      </c>
      <c r="Z8" s="2">
        <v>1E-10</v>
      </c>
      <c r="AA8" s="3">
        <f>IF('Modell einstellen'!$B$2="Ja",'creep_res-40'!P8,'creep_res-40'!L8)</f>
        <v>0.35744358014499261</v>
      </c>
      <c r="AB8" s="2">
        <f>IF('Modell einstellen'!$B$2="Ja",creep_res0!P8,creep_res0!L8)</f>
        <v>0.35703194797877325</v>
      </c>
      <c r="AC8" s="2">
        <f>IF('Modell einstellen'!$B$2="Ja",creep_res25!P8,creep_res25!L8)</f>
        <v>0.35677287417581988</v>
      </c>
      <c r="AD8" s="2">
        <f>IF('Modell einstellen'!$B$2="Ja",creep_res50!P8,creep_res50!L8)</f>
        <v>0.35651262478082502</v>
      </c>
      <c r="AE8" s="2">
        <f>IF('Modell einstellen'!$B$2="Ja",creep_res80!P8,creep_res80!L8)</f>
        <v>0.35772019966685181</v>
      </c>
      <c r="AF8" s="2">
        <f>IF('Modell einstellen'!$B$2="Ja",creep_res125!P8,creep_res125!L8)</f>
        <v>0.41922597817351359</v>
      </c>
      <c r="AG8" s="2">
        <f>IF('Modell einstellen'!$B$2="Ja",creep_res160!P8,creep_res160!L8)</f>
        <v>0.44341637441756293</v>
      </c>
      <c r="AL8" s="2">
        <f t="shared" si="12"/>
        <v>1E-10</v>
      </c>
      <c r="AM8" s="2">
        <f t="shared" si="13"/>
        <v>5945.4911594878167</v>
      </c>
      <c r="AN8" s="2">
        <f t="shared" si="14"/>
        <v>5936.3483494802622</v>
      </c>
      <c r="AO8" s="2">
        <f t="shared" si="15"/>
        <v>5930.4110185898089</v>
      </c>
      <c r="AP8" s="2">
        <f t="shared" si="16"/>
        <v>5924.292050062164</v>
      </c>
      <c r="AQ8" s="2">
        <f t="shared" si="17"/>
        <v>5865.0413696390469</v>
      </c>
      <c r="AR8" s="2">
        <f t="shared" si="18"/>
        <v>4064.2446060274551</v>
      </c>
      <c r="AS8" s="2">
        <f t="shared" si="19"/>
        <v>3513.4556215320054</v>
      </c>
      <c r="AX8" s="2">
        <f t="shared" si="28"/>
        <v>1E-10</v>
      </c>
      <c r="AY8" s="37">
        <f t="shared" si="20"/>
        <v>18871.285753537995</v>
      </c>
      <c r="AZ8" s="37">
        <f t="shared" si="21"/>
        <v>18782.31826548147</v>
      </c>
      <c r="BA8" s="37">
        <f t="shared" si="22"/>
        <v>18726.0170549287</v>
      </c>
      <c r="BB8" s="37">
        <f t="shared" si="23"/>
        <v>18669.184766307942</v>
      </c>
      <c r="BC8" s="37">
        <f t="shared" si="24"/>
        <v>18655.928016005801</v>
      </c>
      <c r="BD8" s="37">
        <f t="shared" si="25"/>
        <v>23803.36893841259</v>
      </c>
      <c r="BE8" s="37">
        <f t="shared" si="26"/>
        <v>29875.423750876511</v>
      </c>
    </row>
    <row r="9" spans="1:308" x14ac:dyDescent="0.25">
      <c r="A9" s="2">
        <f>'creep_res-40'!A9</f>
        <v>1.0000000000000001E-9</v>
      </c>
      <c r="B9" s="3">
        <f>'creep_res-40'!O9</f>
        <v>-6.1952737142857142E-4</v>
      </c>
      <c r="C9" s="2">
        <f>IF('Modell einstellen'!$B$2="Ja",creep_res0!O9,creep_res0!C9)</f>
        <v>-6.2066974285714289E-4</v>
      </c>
      <c r="D9" s="2">
        <f>IF('Modell einstellen'!$B$2="Ja",creep_res25!O9,creep_res25!C9)</f>
        <v>-6.2140974285714284E-4</v>
      </c>
      <c r="E9" s="2">
        <f>IF('Modell einstellen'!$B$2="Ja",creep_res50!O9,creep_res50!C9)</f>
        <v>-6.2217114285714292E-4</v>
      </c>
      <c r="F9" s="2">
        <f>IF('Modell einstellen'!$B$2="Ja",creep_res80!O9,creep_res80!C9)</f>
        <v>-6.4159802857142859E-4</v>
      </c>
      <c r="G9" s="2">
        <f>IF('Modell einstellen'!$B$2="Ja",creep_res125!O9,creep_res125!C9)</f>
        <v>-9.2476508571428574E-4</v>
      </c>
      <c r="H9" s="2">
        <f>IF('Modell einstellen'!$B$2="Ja",creep_res160!O9,creep_res160!C9)</f>
        <v>-1.1008914E-3</v>
      </c>
      <c r="M9" s="9">
        <f t="shared" si="27"/>
        <v>-10</v>
      </c>
      <c r="N9" s="2">
        <f t="shared" si="4"/>
        <v>1.0000000000000001E-9</v>
      </c>
      <c r="O9" s="2">
        <f t="shared" si="5"/>
        <v>16141.336866103184</v>
      </c>
      <c r="P9" s="2">
        <f t="shared" si="6"/>
        <v>16111.627987481355</v>
      </c>
      <c r="Q9" s="2">
        <f t="shared" si="7"/>
        <v>16092.441605472093</v>
      </c>
      <c r="R9" s="2">
        <f t="shared" si="8"/>
        <v>16072.748012834318</v>
      </c>
      <c r="S9" s="2">
        <f t="shared" si="9"/>
        <v>15586.082803692263</v>
      </c>
      <c r="T9" s="2">
        <f t="shared" si="10"/>
        <v>10813.5570367863</v>
      </c>
      <c r="U9" s="2">
        <f t="shared" si="11"/>
        <v>9083.5481138284849</v>
      </c>
      <c r="Z9" s="2">
        <v>1.0000000000000001E-9</v>
      </c>
      <c r="AA9" s="3">
        <f>IF('Modell einstellen'!$B$2="Ja",'creep_res-40'!P9,'creep_res-40'!L9)</f>
        <v>0.35744357749580352</v>
      </c>
      <c r="AB9" s="2">
        <f>IF('Modell einstellen'!$B$2="Ja",creep_res0!P9,creep_res0!L9)</f>
        <v>0.3570319499567311</v>
      </c>
      <c r="AC9" s="2">
        <f>IF('Modell einstellen'!$B$2="Ja",creep_res25!P9,creep_res25!L9)</f>
        <v>0.35677289256718175</v>
      </c>
      <c r="AD9" s="2">
        <f>IF('Modell einstellen'!$B$2="Ja",creep_res50!P9,creep_res50!L9)</f>
        <v>0.35651268208701414</v>
      </c>
      <c r="AE9" s="2">
        <f>IF('Modell einstellen'!$B$2="Ja",creep_res80!P9,creep_res80!L9)</f>
        <v>0.36183053822172867</v>
      </c>
      <c r="AF9" s="2">
        <f>IF('Modell einstellen'!$B$2="Ja",creep_res125!P9,creep_res125!L9)</f>
        <v>0.4322529415810249</v>
      </c>
      <c r="AG9" s="2">
        <f>IF('Modell einstellen'!$B$2="Ja",creep_res160!P9,creep_res160!L9)</f>
        <v>0.46607449199802997</v>
      </c>
      <c r="AL9" s="2">
        <f t="shared" si="12"/>
        <v>1.0000000000000001E-9</v>
      </c>
      <c r="AM9" s="2">
        <f t="shared" si="13"/>
        <v>5945.4908968962591</v>
      </c>
      <c r="AN9" s="2">
        <f t="shared" si="14"/>
        <v>5936.3480675584215</v>
      </c>
      <c r="AO9" s="2">
        <f t="shared" si="15"/>
        <v>5930.4109382017532</v>
      </c>
      <c r="AP9" s="2">
        <f t="shared" si="16"/>
        <v>5924.2896233399624</v>
      </c>
      <c r="AQ9" s="2">
        <f t="shared" si="17"/>
        <v>5722.4751414535358</v>
      </c>
      <c r="AR9" s="2">
        <f t="shared" si="18"/>
        <v>3775.0165221687416</v>
      </c>
      <c r="AS9" s="2">
        <f t="shared" si="19"/>
        <v>3097.9149297690292</v>
      </c>
      <c r="AX9" s="2">
        <f t="shared" si="28"/>
        <v>1.0000000000000001E-9</v>
      </c>
      <c r="AY9" s="37">
        <f t="shared" si="20"/>
        <v>18871.284532536614</v>
      </c>
      <c r="AZ9" s="37">
        <f t="shared" si="21"/>
        <v>18782.317660723515</v>
      </c>
      <c r="BA9" s="37">
        <f t="shared" si="22"/>
        <v>18726.019459480198</v>
      </c>
      <c r="BB9" s="37">
        <f t="shared" si="23"/>
        <v>18669.185363802462</v>
      </c>
      <c r="BC9" s="37">
        <f t="shared" si="24"/>
        <v>18800.684564080409</v>
      </c>
      <c r="BD9" s="37">
        <f t="shared" si="25"/>
        <v>26602.771370310296</v>
      </c>
      <c r="BE9" s="37">
        <f t="shared" si="26"/>
        <v>44624.967312211462</v>
      </c>
    </row>
    <row r="10" spans="1:308" x14ac:dyDescent="0.25">
      <c r="A10" s="2">
        <f>'creep_res-40'!A10</f>
        <v>1E-8</v>
      </c>
      <c r="B10" s="3">
        <f>'creep_res-40'!O10</f>
        <v>-6.1952737142857142E-4</v>
      </c>
      <c r="C10" s="2">
        <f>IF('Modell einstellen'!$B$2="Ja",creep_res0!O10,creep_res0!C10)</f>
        <v>-6.2066974285714289E-4</v>
      </c>
      <c r="D10" s="2">
        <f>IF('Modell einstellen'!$B$2="Ja",creep_res25!O10,creep_res25!C10)</f>
        <v>-6.2140977142857148E-4</v>
      </c>
      <c r="E10" s="2">
        <f>IF('Modell einstellen'!$B$2="Ja",creep_res50!O10,creep_res50!C10)</f>
        <v>-6.2217305714285724E-4</v>
      </c>
      <c r="F10" s="2">
        <f>IF('Modell einstellen'!$B$2="Ja",creep_res80!O10,creep_res80!C10)</f>
        <v>-6.5623828571428574E-4</v>
      </c>
      <c r="G10" s="2">
        <f>IF('Modell einstellen'!$B$2="Ja",creep_res125!O10,creep_res125!C10)</f>
        <v>-1.0029450000000001E-3</v>
      </c>
      <c r="H10" s="2">
        <f>IF('Modell einstellen'!$B$2="Ja",creep_res160!O10,creep_res160!C10)</f>
        <v>-1.2869660000000001E-3</v>
      </c>
      <c r="M10" s="9">
        <f t="shared" si="27"/>
        <v>-10</v>
      </c>
      <c r="N10" s="2">
        <f t="shared" si="4"/>
        <v>1E-8</v>
      </c>
      <c r="O10" s="2">
        <f t="shared" si="5"/>
        <v>16141.336866103184</v>
      </c>
      <c r="P10" s="2">
        <f t="shared" si="6"/>
        <v>16111.627987481355</v>
      </c>
      <c r="Q10" s="2">
        <f t="shared" si="7"/>
        <v>16092.440865567334</v>
      </c>
      <c r="R10" s="2">
        <f t="shared" si="8"/>
        <v>16072.698560625551</v>
      </c>
      <c r="S10" s="2">
        <f t="shared" si="9"/>
        <v>15238.367248133734</v>
      </c>
      <c r="T10" s="2">
        <f t="shared" si="10"/>
        <v>9970.6364755794184</v>
      </c>
      <c r="U10" s="2">
        <f t="shared" si="11"/>
        <v>7770.213043701232</v>
      </c>
      <c r="Z10" s="2">
        <v>1E-8</v>
      </c>
      <c r="AA10" s="3">
        <f>IF('Modell einstellen'!$B$2="Ja",'creep_res-40'!P10,'creep_res-40'!L10)</f>
        <v>0.35744358671942456</v>
      </c>
      <c r="AB10" s="2">
        <f>IF('Modell einstellen'!$B$2="Ja",creep_res0!P10,creep_res0!L10)</f>
        <v>0.35703195456005338</v>
      </c>
      <c r="AC10" s="2">
        <f>IF('Modell einstellen'!$B$2="Ja",creep_res25!P10,creep_res25!L10)</f>
        <v>0.35677288535901452</v>
      </c>
      <c r="AD10" s="2">
        <f>IF('Modell einstellen'!$B$2="Ja",creep_res50!P10,creep_res50!L10)</f>
        <v>0.35651331184520685</v>
      </c>
      <c r="AE10" s="2">
        <f>IF('Modell einstellen'!$B$2="Ja",creep_res80!P10,creep_res80!L10)</f>
        <v>0.36618814855579462</v>
      </c>
      <c r="AF10" s="2">
        <f>IF('Modell einstellen'!$B$2="Ja",creep_res125!P10,creep_res125!L10)</f>
        <v>0.44885007937338817</v>
      </c>
      <c r="AG10" s="2">
        <f>IF('Modell einstellen'!$B$2="Ja",creep_res160!P10,creep_res160!L10)</f>
        <v>0.49933580218902446</v>
      </c>
      <c r="AL10" s="2">
        <f t="shared" si="12"/>
        <v>1E-8</v>
      </c>
      <c r="AM10" s="2">
        <f t="shared" si="13"/>
        <v>5945.4908564975603</v>
      </c>
      <c r="AN10" s="2">
        <f t="shared" si="14"/>
        <v>5936.3480474211492</v>
      </c>
      <c r="AO10" s="2">
        <f t="shared" si="15"/>
        <v>5930.4106970375988</v>
      </c>
      <c r="AP10" s="2">
        <f t="shared" si="16"/>
        <v>5924.2686453119095</v>
      </c>
      <c r="AQ10" s="2">
        <f t="shared" si="17"/>
        <v>5576.9650996615301</v>
      </c>
      <c r="AR10" s="2">
        <f t="shared" si="18"/>
        <v>3440.8792936987693</v>
      </c>
      <c r="AS10" s="2">
        <f t="shared" si="19"/>
        <v>2591.2184022941196</v>
      </c>
      <c r="AX10" s="2">
        <f t="shared" si="28"/>
        <v>1E-8</v>
      </c>
      <c r="AY10" s="37">
        <f t="shared" si="20"/>
        <v>18871.285753537988</v>
      </c>
      <c r="AZ10" s="37">
        <f t="shared" si="21"/>
        <v>18782.318265481459</v>
      </c>
      <c r="BA10" s="37">
        <f t="shared" si="22"/>
        <v>18726.017656066506</v>
      </c>
      <c r="BB10" s="37">
        <f t="shared" si="23"/>
        <v>18669.209861110783</v>
      </c>
      <c r="BC10" s="37">
        <f t="shared" si="24"/>
        <v>18979.84257207538</v>
      </c>
      <c r="BD10" s="37">
        <f t="shared" si="25"/>
        <v>32488.27614143609</v>
      </c>
      <c r="BE10" s="37">
        <f t="shared" si="26"/>
        <v>1949773.826236272</v>
      </c>
    </row>
    <row r="11" spans="1:308" x14ac:dyDescent="0.25">
      <c r="A11" s="2">
        <f>'creep_res-40'!A11</f>
        <v>9.9999999999999995E-8</v>
      </c>
      <c r="B11" s="3">
        <f>'creep_res-40'!O11</f>
        <v>-6.1952737142857142E-4</v>
      </c>
      <c r="C11" s="2">
        <f>IF('Modell einstellen'!$B$2="Ja",creep_res0!O11,creep_res0!C11)</f>
        <v>-6.2066977142857143E-4</v>
      </c>
      <c r="D11" s="2">
        <f>IF('Modell einstellen'!$B$2="Ja",creep_res25!O11,creep_res25!C11)</f>
        <v>-6.2140980000000001E-4</v>
      </c>
      <c r="E11" s="2">
        <f>IF('Modell einstellen'!$B$2="Ja",creep_res50!O11,creep_res50!C11)</f>
        <v>-6.2219222857142864E-4</v>
      </c>
      <c r="F11" s="2">
        <f>IF('Modell einstellen'!$B$2="Ja",creep_res80!O11,creep_res80!C11)</f>
        <v>-6.7388657142857151E-4</v>
      </c>
      <c r="G11" s="2">
        <f>IF('Modell einstellen'!$B$2="Ja",creep_res125!O11,creep_res125!C11)</f>
        <v>-1.1283940285714287E-3</v>
      </c>
      <c r="H11" s="2">
        <f>IF('Modell einstellen'!$B$2="Ja",creep_res160!O11,creep_res160!C11)</f>
        <v>-1.6095891714285717E-3</v>
      </c>
      <c r="M11" s="9">
        <f t="shared" si="27"/>
        <v>-10</v>
      </c>
      <c r="N11" s="2">
        <f t="shared" si="4"/>
        <v>9.9999999999999995E-8</v>
      </c>
      <c r="O11" s="2">
        <f t="shared" si="5"/>
        <v>16141.336866103184</v>
      </c>
      <c r="P11" s="2">
        <f t="shared" si="6"/>
        <v>16111.627245811231</v>
      </c>
      <c r="Q11" s="2">
        <f t="shared" si="7"/>
        <v>16092.440125662646</v>
      </c>
      <c r="R11" s="2">
        <f t="shared" si="8"/>
        <v>16072.20331722929</v>
      </c>
      <c r="S11" s="2">
        <f t="shared" si="9"/>
        <v>14839.292581244064</v>
      </c>
      <c r="T11" s="2">
        <f t="shared" si="10"/>
        <v>8862.152534305962</v>
      </c>
      <c r="U11" s="2">
        <f t="shared" si="11"/>
        <v>6212.7654543827603</v>
      </c>
      <c r="Z11" s="2">
        <v>9.9999999999999995E-8</v>
      </c>
      <c r="AA11" s="3">
        <f>IF('Modell einstellen'!$B$2="Ja",'creep_res-40'!P11,'creep_res-40'!L11)</f>
        <v>0.35744358671942456</v>
      </c>
      <c r="AB11" s="2">
        <f>IF('Modell einstellen'!$B$2="Ja",creep_res0!P11,creep_res0!L11)</f>
        <v>0.35703194272804467</v>
      </c>
      <c r="AC11" s="2">
        <f>IF('Modell einstellen'!$B$2="Ja",creep_res25!P11,creep_res25!L11)</f>
        <v>0.35677288734652812</v>
      </c>
      <c r="AD11" s="2">
        <f>IF('Modell einstellen'!$B$2="Ja",creep_res50!P11,creep_res50!L11)</f>
        <v>0.35651951936948467</v>
      </c>
      <c r="AE11" s="2">
        <f>IF('Modell einstellen'!$B$2="Ja",creep_res80!P11,creep_res80!L11)</f>
        <v>0.37132335963279961</v>
      </c>
      <c r="AF11" s="2">
        <f>IF('Modell einstellen'!$B$2="Ja",creep_res125!P11,creep_res125!L11)</f>
        <v>0.47357347892989043</v>
      </c>
      <c r="AG11" s="2">
        <f>IF('Modell einstellen'!$B$2="Ja",creep_res160!P11,creep_res160!L11)</f>
        <v>0.54904567396177273</v>
      </c>
      <c r="AL11" s="2">
        <f t="shared" si="12"/>
        <v>9.9999999999999995E-8</v>
      </c>
      <c r="AM11" s="2">
        <f t="shared" si="13"/>
        <v>5945.4908564975603</v>
      </c>
      <c r="AN11" s="2">
        <f t="shared" si="14"/>
        <v>5936.3478259111525</v>
      </c>
      <c r="AO11" s="2">
        <f t="shared" si="15"/>
        <v>5930.4104156794438</v>
      </c>
      <c r="AP11" s="2">
        <f t="shared" si="16"/>
        <v>5924.0589935262078</v>
      </c>
      <c r="AQ11" s="2">
        <f t="shared" si="17"/>
        <v>5410.5738362167167</v>
      </c>
      <c r="AR11" s="2">
        <f t="shared" si="18"/>
        <v>3007.0276986600152</v>
      </c>
      <c r="AS11" s="2">
        <f t="shared" si="19"/>
        <v>2005.3525724949279</v>
      </c>
      <c r="AX11" s="2">
        <f t="shared" si="28"/>
        <v>9.9999999999999995E-8</v>
      </c>
      <c r="AY11" s="37">
        <f t="shared" si="20"/>
        <v>18871.285753537988</v>
      </c>
      <c r="AZ11" s="37">
        <f t="shared" si="21"/>
        <v>18782.31584644991</v>
      </c>
      <c r="BA11" s="37">
        <f t="shared" si="22"/>
        <v>18726.017054928692</v>
      </c>
      <c r="BB11" s="37">
        <f t="shared" si="23"/>
        <v>18669.442289990799</v>
      </c>
      <c r="BC11" s="37">
        <f t="shared" si="24"/>
        <v>19220.391697744119</v>
      </c>
      <c r="BD11" s="37">
        <f t="shared" si="25"/>
        <v>55891.784562401474</v>
      </c>
      <c r="BE11" s="37">
        <f t="shared" si="26"/>
        <v>-21112.176170131828</v>
      </c>
    </row>
    <row r="12" spans="1:308" x14ac:dyDescent="0.25">
      <c r="A12" s="2">
        <f>'creep_res-40'!A12</f>
        <v>9.9999999999999995E-7</v>
      </c>
      <c r="B12" s="3">
        <f>'creep_res-40'!O12</f>
        <v>-6.1952737142857142E-4</v>
      </c>
      <c r="C12" s="2">
        <f>IF('Modell einstellen'!$B$2="Ja",creep_res0!O12,creep_res0!C12)</f>
        <v>-6.2066977142857143E-4</v>
      </c>
      <c r="D12" s="2">
        <f>IF('Modell einstellen'!$B$2="Ja",creep_res25!O12,creep_res25!C12)</f>
        <v>-6.2141000000000008E-4</v>
      </c>
      <c r="E12" s="2">
        <f>IF('Modell einstellen'!$B$2="Ja",creep_res50!O12,creep_res50!C12)</f>
        <v>-6.2238277142857151E-4</v>
      </c>
      <c r="F12" s="2">
        <f>IF('Modell einstellen'!$B$2="Ja",creep_res80!O12,creep_res80!C12)</f>
        <v>-6.9584814285714289E-4</v>
      </c>
      <c r="G12" s="2">
        <f>IF('Modell einstellen'!$B$2="Ja",creep_res125!O12,creep_res125!C12)</f>
        <v>-1.3335056285714287E-3</v>
      </c>
      <c r="H12" s="2">
        <f>IF('Modell einstellen'!$B$2="Ja",creep_res160!O12,creep_res160!C12)</f>
        <v>-2.2664522285714287E-3</v>
      </c>
      <c r="M12" s="9">
        <f t="shared" si="27"/>
        <v>-10</v>
      </c>
      <c r="N12" s="2">
        <f t="shared" si="4"/>
        <v>9.9999999999999995E-7</v>
      </c>
      <c r="O12" s="2">
        <f t="shared" si="5"/>
        <v>16141.336866103184</v>
      </c>
      <c r="P12" s="2">
        <f t="shared" si="6"/>
        <v>16111.627245811231</v>
      </c>
      <c r="Q12" s="2">
        <f t="shared" si="7"/>
        <v>16092.434946331727</v>
      </c>
      <c r="R12" s="2">
        <f t="shared" si="8"/>
        <v>16067.282802585838</v>
      </c>
      <c r="S12" s="2">
        <f t="shared" si="9"/>
        <v>14370.951625939731</v>
      </c>
      <c r="T12" s="2">
        <f t="shared" si="10"/>
        <v>7499.0309645058651</v>
      </c>
      <c r="U12" s="2">
        <f t="shared" si="11"/>
        <v>4412.1821205572542</v>
      </c>
      <c r="Z12" s="2">
        <v>9.9999999999999995E-7</v>
      </c>
      <c r="AA12" s="3">
        <f>IF('Modell einstellen'!$B$2="Ja",'creep_res-40'!P12,'creep_res-40'!L12)</f>
        <v>0.35744358671942456</v>
      </c>
      <c r="AB12" s="2">
        <f>IF('Modell einstellen'!$B$2="Ja",creep_res0!P12,creep_res0!L12)</f>
        <v>0.35703194272804467</v>
      </c>
      <c r="AC12" s="2">
        <f>IF('Modell einstellen'!$B$2="Ja",creep_res25!P12,creep_res25!L12)</f>
        <v>0.35677296562885791</v>
      </c>
      <c r="AD12" s="2">
        <f>IF('Modell einstellen'!$B$2="Ja",creep_res50!P12,creep_res50!L12)</f>
        <v>0.35658111542474297</v>
      </c>
      <c r="AE12" s="2">
        <f>IF('Modell einstellen'!$B$2="Ja",creep_res80!P12,creep_res80!L12)</f>
        <v>0.3775498266555285</v>
      </c>
      <c r="AF12" s="2">
        <f>IF('Modell einstellen'!$B$2="Ja",creep_res125!P12,creep_res125!L12)</f>
        <v>0.50996266618147224</v>
      </c>
      <c r="AG12" s="2">
        <f>IF('Modell einstellen'!$B$2="Ja",creep_res160!P12,creep_res160!L12)</f>
        <v>0.62730730021500691</v>
      </c>
      <c r="AL12" s="2">
        <f t="shared" si="12"/>
        <v>9.9999999999999995E-7</v>
      </c>
      <c r="AM12" s="2">
        <f t="shared" si="13"/>
        <v>5945.4908564975603</v>
      </c>
      <c r="AN12" s="2">
        <f t="shared" si="14"/>
        <v>5936.3478259111525</v>
      </c>
      <c r="AO12" s="2">
        <f t="shared" si="15"/>
        <v>5930.408164815165</v>
      </c>
      <c r="AP12" s="2">
        <f t="shared" si="16"/>
        <v>5921.976437640149</v>
      </c>
      <c r="AQ12" s="2">
        <f t="shared" si="17"/>
        <v>5216.1277029195053</v>
      </c>
      <c r="AR12" s="2">
        <f t="shared" si="18"/>
        <v>2483.1842311274095</v>
      </c>
      <c r="AS12" s="2">
        <f t="shared" si="19"/>
        <v>1355.6696144527521</v>
      </c>
      <c r="AX12" s="2">
        <f t="shared" si="28"/>
        <v>9.9999999999999995E-7</v>
      </c>
      <c r="AY12" s="37">
        <f t="shared" si="20"/>
        <v>18871.285753537988</v>
      </c>
      <c r="AZ12" s="37">
        <f t="shared" si="21"/>
        <v>18782.31584644991</v>
      </c>
      <c r="BA12" s="37">
        <f t="shared" si="22"/>
        <v>18726.021262894217</v>
      </c>
      <c r="BB12" s="37">
        <f t="shared" si="23"/>
        <v>18671.742393118806</v>
      </c>
      <c r="BC12" s="37">
        <f t="shared" si="24"/>
        <v>19560.27124261664</v>
      </c>
      <c r="BD12" s="37">
        <f t="shared" si="25"/>
        <v>-125452.21041418209</v>
      </c>
      <c r="BE12" s="37">
        <f t="shared" si="26"/>
        <v>-5776.2884415709104</v>
      </c>
    </row>
    <row r="13" spans="1:308" x14ac:dyDescent="0.25">
      <c r="A13" s="2">
        <f>'creep_res-40'!A13</f>
        <v>1.0000000000000001E-5</v>
      </c>
      <c r="B13" s="3">
        <f>'creep_res-40'!O13</f>
        <v>-6.1952737142857142E-4</v>
      </c>
      <c r="C13" s="2">
        <f>IF('Modell einstellen'!$B$2="Ja",creep_res0!O13,creep_res0!C13)</f>
        <v>-6.2066980000000007E-4</v>
      </c>
      <c r="D13" s="2">
        <f>IF('Modell einstellen'!$B$2="Ja",creep_res25!O13,creep_res25!C13)</f>
        <v>-6.214121428571429E-4</v>
      </c>
      <c r="E13" s="2">
        <f>IF('Modell einstellen'!$B$2="Ja",creep_res50!O13,creep_res50!C13)</f>
        <v>-6.241672857142858E-4</v>
      </c>
      <c r="F13" s="2">
        <f>IF('Modell einstellen'!$B$2="Ja",creep_res80!O13,creep_res80!C13)</f>
        <v>-7.1980254285714288E-4</v>
      </c>
      <c r="G13" s="2">
        <f>IF('Modell einstellen'!$B$2="Ja",creep_res125!O13,creep_res125!C13)</f>
        <v>-1.7015873428571429E-3</v>
      </c>
      <c r="H13" s="2">
        <f>IF('Modell einstellen'!$B$2="Ja",creep_res160!O13,creep_res160!C13)</f>
        <v>-3.5457385714285717E-3</v>
      </c>
      <c r="M13" s="9">
        <f t="shared" si="27"/>
        <v>-10</v>
      </c>
      <c r="N13" s="2">
        <f t="shared" si="4"/>
        <v>1.0000000000000001E-5</v>
      </c>
      <c r="O13" s="2">
        <f t="shared" si="5"/>
        <v>16141.336866103184</v>
      </c>
      <c r="P13" s="2">
        <f t="shared" si="6"/>
        <v>16111.62650414117</v>
      </c>
      <c r="Q13" s="2">
        <f t="shared" si="7"/>
        <v>16092.379453709695</v>
      </c>
      <c r="R13" s="2">
        <f t="shared" si="8"/>
        <v>16021.345925806061</v>
      </c>
      <c r="S13" s="2">
        <f t="shared" si="9"/>
        <v>13892.69890643422</v>
      </c>
      <c r="T13" s="2">
        <f t="shared" si="10"/>
        <v>5876.8655291058731</v>
      </c>
      <c r="U13" s="2">
        <f t="shared" si="11"/>
        <v>2820.2868876401731</v>
      </c>
      <c r="Z13" s="2">
        <v>1.0000000000000001E-5</v>
      </c>
      <c r="AA13" s="3">
        <f>IF('Modell einstellen'!$B$2="Ja",'creep_res-40'!P13,'creep_res-40'!L13)</f>
        <v>0.35744358671942456</v>
      </c>
      <c r="AB13" s="2">
        <f>IF('Modell einstellen'!$B$2="Ja",creep_res0!P13,creep_res0!L13)</f>
        <v>0.35703194930932447</v>
      </c>
      <c r="AC13" s="2">
        <f>IF('Modell einstellen'!$B$2="Ja",creep_res25!P13,creep_res25!L13)</f>
        <v>0.35677365723461657</v>
      </c>
      <c r="AD13" s="2">
        <f>IF('Modell einstellen'!$B$2="Ja",creep_res50!P13,creep_res50!L13)</f>
        <v>0.35715662765316347</v>
      </c>
      <c r="AE13" s="2">
        <f>IF('Modell einstellen'!$B$2="Ja",creep_res80!P13,creep_res80!L13)</f>
        <v>0.38415537292786922</v>
      </c>
      <c r="AF13" s="2">
        <f>IF('Modell einstellen'!$B$2="Ja",creep_res125!P13,creep_res125!L13)</f>
        <v>0.56524109076840645</v>
      </c>
      <c r="AG13" s="2">
        <f>IF('Modell einstellen'!$B$2="Ja",creep_res160!P13,creep_res160!L13)</f>
        <v>0.72610310888281582</v>
      </c>
      <c r="AL13" s="2">
        <f t="shared" si="12"/>
        <v>1.0000000000000001E-5</v>
      </c>
      <c r="AM13" s="2">
        <f t="shared" si="13"/>
        <v>5945.4908564975603</v>
      </c>
      <c r="AN13" s="2">
        <f t="shared" si="14"/>
        <v>5936.3475238520905</v>
      </c>
      <c r="AO13" s="2">
        <f t="shared" si="15"/>
        <v>5930.384691618081</v>
      </c>
      <c r="AP13" s="2">
        <f t="shared" si="16"/>
        <v>5902.5412392933085</v>
      </c>
      <c r="AQ13" s="2">
        <f t="shared" si="17"/>
        <v>5018.4752297884525</v>
      </c>
      <c r="AR13" s="2">
        <f t="shared" si="18"/>
        <v>1877.3036191571002</v>
      </c>
      <c r="AS13" s="2">
        <f t="shared" si="19"/>
        <v>816.95203291347548</v>
      </c>
      <c r="AX13" s="2">
        <f t="shared" si="28"/>
        <v>1.0000000000000001E-5</v>
      </c>
      <c r="AY13" s="37">
        <f t="shared" si="20"/>
        <v>18871.285753537988</v>
      </c>
      <c r="AZ13" s="37">
        <f t="shared" si="21"/>
        <v>18782.315846449907</v>
      </c>
      <c r="BA13" s="37">
        <f t="shared" si="22"/>
        <v>18726.047111866774</v>
      </c>
      <c r="BB13" s="37">
        <f t="shared" si="23"/>
        <v>18693.372167692403</v>
      </c>
      <c r="BC13" s="37">
        <f t="shared" si="24"/>
        <v>19987.546045595358</v>
      </c>
      <c r="BD13" s="37">
        <f t="shared" si="25"/>
        <v>-15013.200678407917</v>
      </c>
      <c r="BE13" s="37">
        <f t="shared" si="26"/>
        <v>-2078.9091177437581</v>
      </c>
    </row>
    <row r="14" spans="1:308" x14ac:dyDescent="0.25">
      <c r="A14" s="2">
        <f>'creep_res-40'!A14</f>
        <v>1E-4</v>
      </c>
      <c r="B14" s="3">
        <f>'creep_res-40'!O14</f>
        <v>-6.1952737142857142E-4</v>
      </c>
      <c r="C14" s="2">
        <f>IF('Modell einstellen'!$B$2="Ja",creep_res0!O14,creep_res0!C14)</f>
        <v>-6.2067000000000003E-4</v>
      </c>
      <c r="D14" s="2">
        <f>IF('Modell einstellen'!$B$2="Ja",creep_res25!O14,creep_res25!C14)</f>
        <v>-6.2143345714285722E-4</v>
      </c>
      <c r="E14" s="2">
        <f>IF('Modell einstellen'!$B$2="Ja",creep_res50!O14,creep_res50!C14)</f>
        <v>-6.3489737142857143E-4</v>
      </c>
      <c r="F14" s="2">
        <f>IF('Modell einstellen'!$B$2="Ja",creep_res80!O14,creep_res80!C14)</f>
        <v>-7.5238042857142854E-4</v>
      </c>
      <c r="G14" s="2">
        <f>IF('Modell einstellen'!$B$2="Ja",creep_res125!O14,creep_res125!C14)</f>
        <v>-2.4700689428571432E-3</v>
      </c>
      <c r="H14" s="2">
        <f>IF('Modell einstellen'!$B$2="Ja",creep_res160!O14,creep_res160!C14)</f>
        <v>-5.9282531428571442E-3</v>
      </c>
      <c r="M14" s="9">
        <f t="shared" si="27"/>
        <v>-10</v>
      </c>
      <c r="N14" s="2">
        <f t="shared" si="4"/>
        <v>1E-4</v>
      </c>
      <c r="O14" s="2">
        <f t="shared" si="5"/>
        <v>16141.336866103184</v>
      </c>
      <c r="P14" s="2">
        <f t="shared" si="6"/>
        <v>16111.621312452671</v>
      </c>
      <c r="Q14" s="2">
        <f t="shared" si="7"/>
        <v>16091.827507930855</v>
      </c>
      <c r="R14" s="2">
        <f t="shared" si="8"/>
        <v>15750.577101144985</v>
      </c>
      <c r="S14" s="2">
        <f t="shared" si="9"/>
        <v>13291.14849383756</v>
      </c>
      <c r="T14" s="2">
        <f t="shared" si="10"/>
        <v>4048.4699947010149</v>
      </c>
      <c r="U14" s="2">
        <f t="shared" si="11"/>
        <v>1686.8375487724975</v>
      </c>
      <c r="Z14" s="2">
        <v>1E-4</v>
      </c>
      <c r="AA14" s="3">
        <f>IF('Modell einstellen'!$B$2="Ja",'creep_res-40'!P14,'creep_res-40'!L14)</f>
        <v>0.35744359594304564</v>
      </c>
      <c r="AB14" s="2">
        <f>IF('Modell einstellen'!$B$2="Ja",creep_res0!P14,creep_res0!L14)</f>
        <v>0.35703203680814971</v>
      </c>
      <c r="AC14" s="2">
        <f>IF('Modell einstellen'!$B$2="Ja",creep_res25!P14,creep_res25!L14)</f>
        <v>0.35678061105818432</v>
      </c>
      <c r="AD14" s="2">
        <f>IF('Modell einstellen'!$B$2="Ja",creep_res50!P14,creep_res50!L14)</f>
        <v>0.360442677619708</v>
      </c>
      <c r="AE14" s="2">
        <f>IF('Modell einstellen'!$B$2="Ja",creep_res80!P14,creep_res80!L14)</f>
        <v>0.39282460259940688</v>
      </c>
      <c r="AF14" s="2">
        <f>IF('Modell einstellen'!$B$2="Ja",creep_res125!P14,creep_res125!L14)</f>
        <v>0.65130806701716915</v>
      </c>
      <c r="AG14" s="2">
        <f>IF('Modell einstellen'!$B$2="Ja",creep_res160!P14,creep_res160!L14)</f>
        <v>0.82017781581141258</v>
      </c>
      <c r="AL14" s="2">
        <f t="shared" si="12"/>
        <v>1E-4</v>
      </c>
      <c r="AM14" s="2">
        <f t="shared" si="13"/>
        <v>5945.4908160988625</v>
      </c>
      <c r="AN14" s="2">
        <f t="shared" si="14"/>
        <v>5936.3452282042372</v>
      </c>
      <c r="AO14" s="2">
        <f t="shared" si="15"/>
        <v>5930.150894248286</v>
      </c>
      <c r="AP14" s="2">
        <f t="shared" si="16"/>
        <v>5788.7691117948852</v>
      </c>
      <c r="AQ14" s="2">
        <f t="shared" si="17"/>
        <v>4771.2929786824907</v>
      </c>
      <c r="AR14" s="2">
        <f t="shared" si="18"/>
        <v>1225.8372848665197</v>
      </c>
      <c r="AS14" s="2">
        <f t="shared" si="19"/>
        <v>463.37163713330017</v>
      </c>
      <c r="AX14" s="2">
        <f t="shared" si="28"/>
        <v>1E-4</v>
      </c>
      <c r="AY14" s="37">
        <f t="shared" si="20"/>
        <v>18871.286974539533</v>
      </c>
      <c r="AZ14" s="37">
        <f t="shared" si="21"/>
        <v>18782.321289271767</v>
      </c>
      <c r="BA14" s="37">
        <f t="shared" si="22"/>
        <v>18726.314021709637</v>
      </c>
      <c r="BB14" s="37">
        <f t="shared" si="23"/>
        <v>18810.164445336726</v>
      </c>
      <c r="BC14" s="37">
        <f t="shared" si="24"/>
        <v>20668.842564304166</v>
      </c>
      <c r="BD14" s="37">
        <f t="shared" si="25"/>
        <v>-4459.4119297041279</v>
      </c>
      <c r="BE14" s="37">
        <f t="shared" si="26"/>
        <v>-878.07330045525862</v>
      </c>
    </row>
    <row r="15" spans="1:308" x14ac:dyDescent="0.25">
      <c r="A15" s="2">
        <f>'creep_res-40'!A15</f>
        <v>1E-3</v>
      </c>
      <c r="B15" s="3">
        <f>'creep_res-40'!O15</f>
        <v>-6.195274285714286E-4</v>
      </c>
      <c r="C15" s="2">
        <f>IF('Modell einstellen'!$B$2="Ja",creep_res0!O15,creep_res0!C15)</f>
        <v>-6.2067228571428574E-4</v>
      </c>
      <c r="D15" s="2">
        <f>IF('Modell einstellen'!$B$2="Ja",creep_res25!O15,creep_res25!C15)</f>
        <v>-6.2164505714285717E-4</v>
      </c>
      <c r="E15" s="2">
        <f>IF('Modell einstellen'!$B$2="Ja",creep_res50!O15,creep_res50!C15)</f>
        <v>-6.4874699999999997E-4</v>
      </c>
      <c r="F15" s="2">
        <f>IF('Modell einstellen'!$B$2="Ja",creep_res80!O15,creep_res80!C15)</f>
        <v>-7.9162271428571431E-4</v>
      </c>
      <c r="G15" s="2">
        <f>IF('Modell einstellen'!$B$2="Ja",creep_res125!O15,creep_res125!C15)</f>
        <v>-3.9745942857142861E-3</v>
      </c>
      <c r="H15" s="2">
        <f>IF('Modell einstellen'!$B$2="Ja",creep_res160!O15,creep_res160!C15)</f>
        <v>-1.0308408000000002E-2</v>
      </c>
      <c r="M15" s="9">
        <f t="shared" si="27"/>
        <v>-10</v>
      </c>
      <c r="N15" s="2">
        <f t="shared" si="4"/>
        <v>1E-3</v>
      </c>
      <c r="O15" s="2">
        <f t="shared" si="5"/>
        <v>16141.335377287573</v>
      </c>
      <c r="P15" s="2">
        <f t="shared" si="6"/>
        <v>16111.561979107446</v>
      </c>
      <c r="Q15" s="2">
        <f t="shared" si="7"/>
        <v>16086.350056350484</v>
      </c>
      <c r="R15" s="2">
        <f t="shared" si="8"/>
        <v>15414.329468960936</v>
      </c>
      <c r="S15" s="2">
        <f t="shared" si="9"/>
        <v>12632.280276372638</v>
      </c>
      <c r="T15" s="2">
        <f t="shared" si="10"/>
        <v>2515.9800676870523</v>
      </c>
      <c r="U15" s="2">
        <f t="shared" si="11"/>
        <v>970.08189819417305</v>
      </c>
      <c r="Z15" s="2">
        <v>1E-3</v>
      </c>
      <c r="AA15" s="3">
        <f>IF('Modell einstellen'!$B$2="Ja",'creep_res-40'!P15,'creep_res-40'!L15)</f>
        <v>0.35744361831552712</v>
      </c>
      <c r="AB15" s="2">
        <f>IF('Modell einstellen'!$B$2="Ja",creep_res0!P15,creep_res0!L15)</f>
        <v>0.35703277966334201</v>
      </c>
      <c r="AC15" s="2">
        <f>IF('Modell einstellen'!$B$2="Ja",creep_res25!P15,creep_res25!L15)</f>
        <v>0.35684962990134428</v>
      </c>
      <c r="AD15" s="2">
        <f>IF('Modell einstellen'!$B$2="Ja",creep_res50!P15,creep_res50!L15)</f>
        <v>0.36464372970400755</v>
      </c>
      <c r="AE15" s="2">
        <f>IF('Modell einstellen'!$B$2="Ja",creep_res80!P15,creep_res80!L15)</f>
        <v>0.40288203669893974</v>
      </c>
      <c r="AF15" s="2">
        <f>IF('Modell einstellen'!$B$2="Ja",creep_res125!P15,creep_res125!L15)</f>
        <v>0.75163775925377463</v>
      </c>
      <c r="AG15" s="2">
        <f>IF('Modell einstellen'!$B$2="Ja",creep_res160!P15,creep_res160!L15)</f>
        <v>0.88752956393876303</v>
      </c>
      <c r="AL15" s="2">
        <f t="shared" si="12"/>
        <v>1E-3</v>
      </c>
      <c r="AM15" s="2">
        <f t="shared" si="13"/>
        <v>5945.4901697197583</v>
      </c>
      <c r="AN15" s="2">
        <f t="shared" si="14"/>
        <v>5936.3201171545998</v>
      </c>
      <c r="AO15" s="2">
        <f t="shared" si="15"/>
        <v>5927.8308007940832</v>
      </c>
      <c r="AP15" s="2">
        <f t="shared" si="16"/>
        <v>5647.748615055857</v>
      </c>
      <c r="AQ15" s="2">
        <f t="shared" si="17"/>
        <v>4502.260327638488</v>
      </c>
      <c r="AR15" s="2">
        <f t="shared" si="18"/>
        <v>718.17933085631228</v>
      </c>
      <c r="AS15" s="2">
        <f t="shared" si="19"/>
        <v>256.97131232473913</v>
      </c>
      <c r="AX15" s="2">
        <f t="shared" si="28"/>
        <v>1E-3</v>
      </c>
      <c r="AY15" s="37">
        <f t="shared" si="20"/>
        <v>18871.288195541223</v>
      </c>
      <c r="AZ15" s="37">
        <f t="shared" si="21"/>
        <v>18782.349712948275</v>
      </c>
      <c r="BA15" s="37">
        <f t="shared" si="22"/>
        <v>18728.965498848247</v>
      </c>
      <c r="BB15" s="37">
        <f t="shared" si="23"/>
        <v>18979.94755525967</v>
      </c>
      <c r="BC15" s="37">
        <f t="shared" si="24"/>
        <v>21678.58524313927</v>
      </c>
      <c r="BD15" s="37">
        <f t="shared" si="25"/>
        <v>-1666.4033749334276</v>
      </c>
      <c r="BE15" s="37">
        <f t="shared" si="26"/>
        <v>-417.20769564627085</v>
      </c>
    </row>
    <row r="16" spans="1:308" x14ac:dyDescent="0.25">
      <c r="A16" s="2">
        <f>'creep_res-40'!A16</f>
        <v>0.01</v>
      </c>
      <c r="B16" s="3">
        <f>'creep_res-40'!O16</f>
        <v>-6.1952805714285723E-4</v>
      </c>
      <c r="C16" s="2">
        <f>IF('Modell einstellen'!$B$2="Ja",creep_res0!O16,creep_res0!C16)</f>
        <v>-6.2069502857142864E-4</v>
      </c>
      <c r="D16" s="2">
        <f>IF('Modell einstellen'!$B$2="Ja",creep_res25!O16,creep_res25!C16)</f>
        <v>-6.2361234285714291E-4</v>
      </c>
      <c r="E16" s="2">
        <f>IF('Modell einstellen'!$B$2="Ja",creep_res50!O16,creep_res50!C16)</f>
        <v>-6.6470451428571429E-4</v>
      </c>
      <c r="F16" s="2">
        <f>IF('Modell einstellen'!$B$2="Ja",creep_res80!O16,creep_res80!C16)</f>
        <v>-8.3435134285714284E-4</v>
      </c>
      <c r="G16" s="2">
        <f>IF('Modell einstellen'!$B$2="Ja",creep_res125!O16,creep_res125!C16)</f>
        <v>-6.7902885714285714E-3</v>
      </c>
      <c r="H16" s="2">
        <f>IF('Modell einstellen'!$B$2="Ja",creep_res160!O16,creep_res160!C16)</f>
        <v>-1.5675806E-2</v>
      </c>
      <c r="M16" s="9">
        <f t="shared" si="27"/>
        <v>-10</v>
      </c>
      <c r="N16" s="2">
        <f t="shared" si="4"/>
        <v>0.01</v>
      </c>
      <c r="O16" s="2">
        <f t="shared" si="5"/>
        <v>16141.319000333984</v>
      </c>
      <c r="P16" s="2">
        <f t="shared" si="6"/>
        <v>16110.971636128088</v>
      </c>
      <c r="Q16" s="2">
        <f t="shared" si="7"/>
        <v>16035.603070625559</v>
      </c>
      <c r="R16" s="2">
        <f t="shared" si="8"/>
        <v>15044.278751056645</v>
      </c>
      <c r="S16" s="2">
        <f t="shared" si="9"/>
        <v>11985.35854902099</v>
      </c>
      <c r="T16" s="2">
        <f t="shared" si="10"/>
        <v>1472.6914614611371</v>
      </c>
      <c r="U16" s="2">
        <f t="shared" si="11"/>
        <v>637.92573090021654</v>
      </c>
      <c r="Z16" s="2">
        <v>0.01</v>
      </c>
      <c r="AA16" s="3">
        <f>IF('Modell einstellen'!$B$2="Ja",'creep_res-40'!P16,'creep_res-40'!L16)</f>
        <v>0.35744382290630256</v>
      </c>
      <c r="AB16" s="2">
        <f>IF('Modell einstellen'!$B$2="Ja",creep_res0!P16,creep_res0!L16)</f>
        <v>0.35704024603571133</v>
      </c>
      <c r="AC16" s="2">
        <f>IF('Modell einstellen'!$B$2="Ja",creep_res25!P16,creep_res25!L16)</f>
        <v>0.35748952920935495</v>
      </c>
      <c r="AD16" s="2">
        <f>IF('Modell einstellen'!$B$2="Ja",creep_res50!P16,creep_res50!L16)</f>
        <v>0.369384450009968</v>
      </c>
      <c r="AE16" s="2">
        <f>IF('Modell einstellen'!$B$2="Ja",creep_res80!P16,creep_res80!L16)</f>
        <v>0.41340367848460691</v>
      </c>
      <c r="AF16" s="2">
        <f>IF('Modell einstellen'!$B$2="Ja",creep_res125!P16,creep_res125!L16)</f>
        <v>0.82795252547651055</v>
      </c>
      <c r="AG16" s="2">
        <f>IF('Modell einstellen'!$B$2="Ja",creep_res160!P16,creep_res160!L16)</f>
        <v>0.90431380142658779</v>
      </c>
      <c r="AL16" s="2">
        <f t="shared" si="12"/>
        <v>0.01</v>
      </c>
      <c r="AM16" s="2">
        <f t="shared" si="13"/>
        <v>5945.4832413525728</v>
      </c>
      <c r="AN16" s="2">
        <f t="shared" si="14"/>
        <v>5936.0699445696901</v>
      </c>
      <c r="AO16" s="2">
        <f t="shared" si="15"/>
        <v>5906.3450308766669</v>
      </c>
      <c r="AP16" s="2">
        <f t="shared" si="16"/>
        <v>5493.0807600988655</v>
      </c>
      <c r="AQ16" s="2">
        <f t="shared" si="17"/>
        <v>4239.8922301770135</v>
      </c>
      <c r="AR16" s="2">
        <f t="shared" si="18"/>
        <v>402.8254128419544</v>
      </c>
      <c r="AS16" s="2">
        <f t="shared" si="19"/>
        <v>167.49490825050054</v>
      </c>
      <c r="AX16" s="2">
        <f t="shared" si="28"/>
        <v>0.01</v>
      </c>
      <c r="AY16" s="37">
        <f t="shared" si="20"/>
        <v>18871.296132056101</v>
      </c>
      <c r="AZ16" s="37">
        <f t="shared" si="21"/>
        <v>18782.642421344921</v>
      </c>
      <c r="BA16" s="37">
        <f t="shared" si="22"/>
        <v>18753.713302211381</v>
      </c>
      <c r="BB16" s="37">
        <f t="shared" si="23"/>
        <v>19196.640767765603</v>
      </c>
      <c r="BC16" s="37">
        <f t="shared" si="24"/>
        <v>23067.48974106348</v>
      </c>
      <c r="BD16" s="37">
        <f t="shared" si="25"/>
        <v>-748.42715894185017</v>
      </c>
      <c r="BE16" s="37">
        <f t="shared" si="26"/>
        <v>-262.96642552119516</v>
      </c>
    </row>
    <row r="17" spans="1:57" x14ac:dyDescent="0.25">
      <c r="A17" s="2">
        <f>'creep_res-40'!A17</f>
        <v>0.1</v>
      </c>
      <c r="B17" s="3">
        <f>'creep_res-40'!O17</f>
        <v>-6.1953428571428571E-4</v>
      </c>
      <c r="C17" s="2">
        <f>IF('Modell einstellen'!$B$2="Ja",creep_res0!O17,creep_res0!C17)</f>
        <v>-6.2092060000000005E-4</v>
      </c>
      <c r="D17" s="2">
        <f>IF('Modell einstellen'!$B$2="Ja",creep_res25!O17,creep_res25!C17)</f>
        <v>-6.3481440000000007E-4</v>
      </c>
      <c r="E17" s="2">
        <f>IF('Modell einstellen'!$B$2="Ja",creep_res50!O17,creep_res50!C17)</f>
        <v>-6.8470391428571435E-4</v>
      </c>
      <c r="F17" s="2">
        <f>IF('Modell einstellen'!$B$2="Ja",creep_res80!O17,creep_res80!C17)</f>
        <v>-8.8610754285714283E-4</v>
      </c>
      <c r="G17" s="2">
        <f>IF('Modell einstellen'!$B$2="Ja",creep_res125!O17,creep_res125!C17)</f>
        <v>-1.2002249428571428E-2</v>
      </c>
      <c r="H17" s="2">
        <f>IF('Modell einstellen'!$B$2="Ja",creep_res160!O17,creep_res160!C17)</f>
        <v>-1.8852515428571429E-2</v>
      </c>
      <c r="M17" s="9">
        <f t="shared" si="27"/>
        <v>-10</v>
      </c>
      <c r="N17" s="2">
        <f t="shared" si="4"/>
        <v>0.1</v>
      </c>
      <c r="O17" s="2">
        <f t="shared" si="5"/>
        <v>16141.156721408246</v>
      </c>
      <c r="P17" s="2">
        <f t="shared" si="6"/>
        <v>16105.118754314157</v>
      </c>
      <c r="Q17" s="2">
        <f t="shared" si="7"/>
        <v>15752.63573101051</v>
      </c>
      <c r="R17" s="2">
        <f t="shared" si="8"/>
        <v>14604.852975657423</v>
      </c>
      <c r="S17" s="2">
        <f t="shared" si="9"/>
        <v>11285.311902160602</v>
      </c>
      <c r="T17" s="2">
        <f t="shared" si="10"/>
        <v>833.17715229238104</v>
      </c>
      <c r="U17" s="2">
        <f t="shared" si="11"/>
        <v>530.43319539443348</v>
      </c>
      <c r="Z17" s="2">
        <v>0.1</v>
      </c>
      <c r="AA17" s="3">
        <f>IF('Modell einstellen'!$B$2="Ja",'creep_res-40'!P17,'creep_res-40'!L17)</f>
        <v>0.35744589253679038</v>
      </c>
      <c r="AB17" s="2">
        <f>IF('Modell einstellen'!$B$2="Ja",creep_res0!P17,creep_res0!L17)</f>
        <v>0.35711434648119955</v>
      </c>
      <c r="AC17" s="2">
        <f>IF('Modell einstellen'!$B$2="Ja",creep_res25!P17,creep_res25!L17)</f>
        <v>0.36094327502877782</v>
      </c>
      <c r="AD17" s="2">
        <f>IF('Modell einstellen'!$B$2="Ja",creep_res50!P17,creep_res50!L17)</f>
        <v>0.37517689502244495</v>
      </c>
      <c r="AE17" s="2">
        <f>IF('Modell einstellen'!$B$2="Ja",creep_res80!P17,creep_res80!L17)</f>
        <v>0.42545741948639326</v>
      </c>
      <c r="AF17" s="2">
        <f>IF('Modell einstellen'!$B$2="Ja",creep_res125!P17,creep_res125!L17)</f>
        <v>0.85829587229993787</v>
      </c>
      <c r="AG17" s="2">
        <f>IF('Modell einstellen'!$B$2="Ja",creep_res160!P17,creep_res160!L17)</f>
        <v>0.87030950807261731</v>
      </c>
      <c r="AL17" s="2">
        <f t="shared" si="12"/>
        <v>0.1</v>
      </c>
      <c r="AM17" s="2">
        <f t="shared" si="13"/>
        <v>5945.4144029430536</v>
      </c>
      <c r="AN17" s="2">
        <f t="shared" si="14"/>
        <v>5933.5894562136173</v>
      </c>
      <c r="AO17" s="2">
        <f t="shared" si="15"/>
        <v>5787.3961464989843</v>
      </c>
      <c r="AP17" s="2">
        <f t="shared" si="16"/>
        <v>5310.1724689095536</v>
      </c>
      <c r="AQ17" s="2">
        <f t="shared" si="17"/>
        <v>3958.4879028609685</v>
      </c>
      <c r="AR17" s="2">
        <f t="shared" si="18"/>
        <v>224.17774389747507</v>
      </c>
      <c r="AS17" s="2">
        <f t="shared" si="19"/>
        <v>141.80358734877336</v>
      </c>
      <c r="AX17" s="2">
        <f t="shared" si="28"/>
        <v>0.1</v>
      </c>
      <c r="AY17" s="37">
        <f t="shared" si="20"/>
        <v>18871.380381625688</v>
      </c>
      <c r="AZ17" s="37">
        <f t="shared" si="21"/>
        <v>18785.556092929808</v>
      </c>
      <c r="BA17" s="37">
        <f t="shared" si="22"/>
        <v>18880.347491608816</v>
      </c>
      <c r="BB17" s="37">
        <f t="shared" si="23"/>
        <v>19500.733963053262</v>
      </c>
      <c r="BC17" s="37">
        <f t="shared" si="24"/>
        <v>25232.361209757648</v>
      </c>
      <c r="BD17" s="37">
        <f t="shared" si="25"/>
        <v>-387.56477383906753</v>
      </c>
      <c r="BE17" s="37">
        <f t="shared" si="26"/>
        <v>-238.73416868465253</v>
      </c>
    </row>
    <row r="18" spans="1:57" x14ac:dyDescent="0.25">
      <c r="A18" s="2">
        <f>'creep_res-40'!A18</f>
        <v>1</v>
      </c>
      <c r="B18" s="3">
        <f>'creep_res-40'!O18</f>
        <v>-6.195964285714286E-4</v>
      </c>
      <c r="C18" s="2">
        <f>IF('Modell einstellen'!$B$2="Ja",creep_res0!O18,creep_res0!C18)</f>
        <v>-6.230076285714286E-4</v>
      </c>
      <c r="D18" s="2">
        <f>IF('Modell einstellen'!$B$2="Ja",creep_res25!O18,creep_res25!C18)</f>
        <v>-6.4871805714285724E-4</v>
      </c>
      <c r="E18" s="2">
        <f>IF('Modell einstellen'!$B$2="Ja",creep_res50!O18,creep_res50!C18)</f>
        <v>-7.0731608571428576E-4</v>
      </c>
      <c r="F18" s="2">
        <f>IF('Modell einstellen'!$B$2="Ja",creep_res80!O18,creep_res80!C18)</f>
        <v>-9.4997799999999998E-4</v>
      </c>
      <c r="G18" s="2">
        <f>IF('Modell einstellen'!$B$2="Ja",creep_res125!O18,creep_res125!C18)</f>
        <v>-1.7315724571428572E-2</v>
      </c>
      <c r="H18" s="2">
        <f>IF('Modell einstellen'!$B$2="Ja",creep_res160!O18,creep_res160!C18)</f>
        <v>-2.1389056571428575E-2</v>
      </c>
      <c r="M18" s="9">
        <f t="shared" si="27"/>
        <v>-10</v>
      </c>
      <c r="N18" s="2">
        <f t="shared" si="4"/>
        <v>1</v>
      </c>
      <c r="O18" s="2">
        <f t="shared" si="5"/>
        <v>16139.537832805916</v>
      </c>
      <c r="P18" s="2">
        <f t="shared" si="6"/>
        <v>16051.167821059013</v>
      </c>
      <c r="Q18" s="2">
        <f t="shared" si="7"/>
        <v>15415.017186422874</v>
      </c>
      <c r="R18" s="2">
        <f t="shared" si="8"/>
        <v>14137.950771897777</v>
      </c>
      <c r="S18" s="2">
        <f t="shared" si="9"/>
        <v>10526.559562431972</v>
      </c>
      <c r="T18" s="2">
        <f t="shared" si="10"/>
        <v>577.50976338005967</v>
      </c>
      <c r="U18" s="2">
        <f t="shared" si="11"/>
        <v>467.52880224544191</v>
      </c>
      <c r="Z18" s="2">
        <v>1</v>
      </c>
      <c r="AA18" s="3">
        <f>IF('Modell einstellen'!$B$2="Ja",'creep_res-40'!P18,'creep_res-40'!L18)</f>
        <v>0.357466581357681</v>
      </c>
      <c r="AB18" s="2">
        <f>IF('Modell einstellen'!$B$2="Ja",creep_res0!P18,creep_res0!L18)</f>
        <v>0.35779790268103578</v>
      </c>
      <c r="AC18" s="2">
        <f>IF('Modell einstellen'!$B$2="Ja",creep_res25!P18,creep_res25!L18)</f>
        <v>0.36518199497805165</v>
      </c>
      <c r="AD18" s="2">
        <f>IF('Modell einstellen'!$B$2="Ja",creep_res50!P18,creep_res50!L18)</f>
        <v>0.38149075642601166</v>
      </c>
      <c r="AE18" s="2">
        <f>IF('Modell einstellen'!$B$2="Ja",creep_res80!P18,creep_res80!L18)</f>
        <v>0.43814689843945259</v>
      </c>
      <c r="AF18" s="2">
        <f>IF('Modell einstellen'!$B$2="Ja",creep_res125!P18,creep_res125!L18)</f>
        <v>0.83539513119008801</v>
      </c>
      <c r="AG18" s="2">
        <f>IF('Modell einstellen'!$B$2="Ja",creep_res160!P18,creep_res160!L18)</f>
        <v>0.80944348871167726</v>
      </c>
      <c r="AL18" s="2">
        <f t="shared" si="12"/>
        <v>1</v>
      </c>
      <c r="AM18" s="2">
        <f t="shared" si="13"/>
        <v>5944.7274999078909</v>
      </c>
      <c r="AN18" s="2">
        <f t="shared" si="14"/>
        <v>5910.7352387881974</v>
      </c>
      <c r="AO18" s="2">
        <f t="shared" si="15"/>
        <v>5645.7736928586964</v>
      </c>
      <c r="AP18" s="2">
        <f t="shared" si="16"/>
        <v>5116.9183384452708</v>
      </c>
      <c r="AQ18" s="2">
        <f t="shared" si="17"/>
        <v>3659.7650677599231</v>
      </c>
      <c r="AR18" s="2">
        <f t="shared" si="18"/>
        <v>157.32573154577258</v>
      </c>
      <c r="AS18" s="2">
        <f t="shared" si="19"/>
        <v>129.19132461504012</v>
      </c>
      <c r="AX18" s="2">
        <f t="shared" si="28"/>
        <v>1</v>
      </c>
      <c r="AY18" s="37">
        <f t="shared" si="20"/>
        <v>18872.226582066036</v>
      </c>
      <c r="AZ18" s="37">
        <f t="shared" si="21"/>
        <v>18812.624337337409</v>
      </c>
      <c r="BA18" s="37">
        <f t="shared" si="22"/>
        <v>19056.575793806016</v>
      </c>
      <c r="BB18" s="37">
        <f t="shared" si="23"/>
        <v>19883.049267616963</v>
      </c>
      <c r="BC18" s="37">
        <f t="shared" si="24"/>
        <v>28364.407757649318</v>
      </c>
      <c r="BD18" s="37">
        <f t="shared" si="25"/>
        <v>-286.9797986884268</v>
      </c>
      <c r="BE18" s="37">
        <f t="shared" si="26"/>
        <v>-251.81162274676265</v>
      </c>
    </row>
    <row r="19" spans="1:57" x14ac:dyDescent="0.25">
      <c r="A19" s="2">
        <f>'creep_res-40'!A19</f>
        <v>10</v>
      </c>
      <c r="B19" s="3">
        <f>'creep_res-40'!O19</f>
        <v>-6.2020457142857152E-4</v>
      </c>
      <c r="C19" s="2">
        <f>IF('Modell einstellen'!$B$2="Ja",creep_res0!O19,creep_res0!C19)</f>
        <v>-6.3449151428571432E-4</v>
      </c>
      <c r="D19" s="2">
        <f>IF('Modell einstellen'!$B$2="Ja",creep_res25!O19,creep_res25!C19)</f>
        <v>-6.6495991428571432E-4</v>
      </c>
      <c r="E19" s="2">
        <f>IF('Modell einstellen'!$B$2="Ja",creep_res50!O19,creep_res50!C19)</f>
        <v>-7.3649559999999998E-4</v>
      </c>
      <c r="F19" s="2">
        <f>IF('Modell einstellen'!$B$2="Ja",creep_res80!O19,creep_res80!C19)</f>
        <v>-1.0555970285714286E-3</v>
      </c>
      <c r="G19" s="2">
        <f>IF('Modell einstellen'!$B$2="Ja",creep_res125!O19,creep_res125!C19)</f>
        <v>-2.0362101428571429E-2</v>
      </c>
      <c r="H19" s="2">
        <f>IF('Modell einstellen'!$B$2="Ja",creep_res160!O19,creep_res160!C19)</f>
        <v>-2.2954753142857144E-2</v>
      </c>
      <c r="M19" s="9">
        <f t="shared" si="27"/>
        <v>-10</v>
      </c>
      <c r="N19" s="2">
        <f t="shared" si="4"/>
        <v>10</v>
      </c>
      <c r="O19" s="2">
        <f t="shared" si="5"/>
        <v>16123.712176074619</v>
      </c>
      <c r="P19" s="2">
        <f t="shared" si="6"/>
        <v>15760.652073113393</v>
      </c>
      <c r="Q19" s="2">
        <f t="shared" si="7"/>
        <v>15038.50049478815</v>
      </c>
      <c r="R19" s="2">
        <f t="shared" si="8"/>
        <v>13577.813635274942</v>
      </c>
      <c r="S19" s="2">
        <f t="shared" si="9"/>
        <v>9473.3120019609214</v>
      </c>
      <c r="T19" s="2">
        <f t="shared" si="10"/>
        <v>491.10844649699709</v>
      </c>
      <c r="U19" s="2">
        <f t="shared" si="11"/>
        <v>435.63962277292933</v>
      </c>
      <c r="Z19" s="2">
        <v>10</v>
      </c>
      <c r="AA19" s="3">
        <f>IF('Modell einstellen'!$B$2="Ja",'creep_res-40'!P19,'creep_res-40'!L19)</f>
        <v>0.35766899493070486</v>
      </c>
      <c r="AB19" s="2">
        <f>IF('Modell einstellen'!$B$2="Ja",creep_res0!P19,creep_res0!L19)</f>
        <v>0.36135174249544172</v>
      </c>
      <c r="AC19" s="2">
        <f>IF('Modell einstellen'!$B$2="Ja",creep_res25!P19,creep_res25!L19)</f>
        <v>0.36993114128426302</v>
      </c>
      <c r="AD19" s="2">
        <f>IF('Modell einstellen'!$B$2="Ja",creep_res50!P19,creep_res50!L19)</f>
        <v>0.38860641432985388</v>
      </c>
      <c r="AE19" s="2">
        <f>IF('Modell einstellen'!$B$2="Ja",creep_res80!P19,creep_res80!L19)</f>
        <v>0.44934920511874987</v>
      </c>
      <c r="AF19" s="2">
        <f>IF('Modell einstellen'!$B$2="Ja",creep_res125!P19,creep_res125!L19)</f>
        <v>0.77327908409116641</v>
      </c>
      <c r="AG19" s="2">
        <f>IF('Modell einstellen'!$B$2="Ja",creep_res160!P19,creep_res160!L19)</f>
        <v>0.73622722843234112</v>
      </c>
      <c r="AL19" s="2">
        <f t="shared" si="12"/>
        <v>10</v>
      </c>
      <c r="AM19" s="2">
        <f t="shared" si="13"/>
        <v>5938.0129605513939</v>
      </c>
      <c r="AN19" s="2">
        <f t="shared" si="14"/>
        <v>5788.6039225333288</v>
      </c>
      <c r="AO19" s="2">
        <f t="shared" si="15"/>
        <v>5488.7797063617654</v>
      </c>
      <c r="AP19" s="2">
        <f t="shared" si="16"/>
        <v>4889.0072432178858</v>
      </c>
      <c r="AQ19" s="2">
        <f t="shared" si="17"/>
        <v>3268.126124643903</v>
      </c>
      <c r="AR19" s="2">
        <f t="shared" si="18"/>
        <v>138.47466281617423</v>
      </c>
      <c r="AS19" s="2">
        <f t="shared" si="19"/>
        <v>125.45582042457461</v>
      </c>
      <c r="AX19" s="2">
        <f t="shared" si="28"/>
        <v>10</v>
      </c>
      <c r="AY19" s="37">
        <f t="shared" si="20"/>
        <v>18880.533875038498</v>
      </c>
      <c r="AZ19" s="37">
        <f t="shared" si="21"/>
        <v>18945.60662208495</v>
      </c>
      <c r="BA19" s="37">
        <f t="shared" si="22"/>
        <v>19269.921900438017</v>
      </c>
      <c r="BB19" s="37">
        <f t="shared" si="23"/>
        <v>20315.074028710202</v>
      </c>
      <c r="BC19" s="37">
        <f t="shared" si="24"/>
        <v>31171.975432208354</v>
      </c>
      <c r="BD19" s="37">
        <f t="shared" si="25"/>
        <v>-299.5158155689432</v>
      </c>
      <c r="BE19" s="37">
        <f t="shared" si="26"/>
        <v>-307.3591654836851</v>
      </c>
    </row>
    <row r="20" spans="1:57" x14ac:dyDescent="0.25">
      <c r="A20" s="2">
        <f>'creep_res-40'!A20</f>
        <v>100</v>
      </c>
      <c r="B20" s="3">
        <f>'creep_res-40'!O20</f>
        <v>-6.2514277142857149E-4</v>
      </c>
      <c r="C20" s="2">
        <f>IF('Modell einstellen'!$B$2="Ja",creep_res0!O20,creep_res0!C20)</f>
        <v>-6.4859785714285723E-4</v>
      </c>
      <c r="D20" s="2">
        <f>IF('Modell einstellen'!$B$2="Ja",creep_res25!O20,creep_res25!C20)</f>
        <v>-6.8659568571428572E-4</v>
      </c>
      <c r="E20" s="2">
        <f>IF('Modell einstellen'!$B$2="Ja",creep_res50!O20,creep_res50!C20)</f>
        <v>-7.7964925714285723E-4</v>
      </c>
      <c r="F20" s="2">
        <f>IF('Modell einstellen'!$B$2="Ja",creep_res80!O20,creep_res80!C20)</f>
        <v>-1.240269E-3</v>
      </c>
      <c r="G20" s="2">
        <f>IF('Modell einstellen'!$B$2="Ja",creep_res125!O20,creep_res125!C20)</f>
        <v>-2.3023530571428572E-2</v>
      </c>
      <c r="H20" s="2">
        <f>IF('Modell einstellen'!$B$2="Ja",creep_res160!O20,creep_res160!C20)</f>
        <v>-2.3821136E-2</v>
      </c>
      <c r="M20" s="9">
        <f t="shared" si="27"/>
        <v>-10</v>
      </c>
      <c r="N20" s="2">
        <f t="shared" si="4"/>
        <v>100</v>
      </c>
      <c r="O20" s="2">
        <f t="shared" si="5"/>
        <v>15996.345886153456</v>
      </c>
      <c r="P20" s="2">
        <f t="shared" si="6"/>
        <v>15417.873941260101</v>
      </c>
      <c r="Q20" s="2">
        <f t="shared" si="7"/>
        <v>14564.612344740712</v>
      </c>
      <c r="R20" s="2">
        <f t="shared" si="8"/>
        <v>12826.28041825694</v>
      </c>
      <c r="S20" s="2">
        <f t="shared" si="9"/>
        <v>8062.7670287655337</v>
      </c>
      <c r="T20" s="2">
        <f t="shared" si="10"/>
        <v>434.33825098960557</v>
      </c>
      <c r="U20" s="2">
        <f t="shared" si="11"/>
        <v>419.79526081375803</v>
      </c>
      <c r="Z20" s="2">
        <v>100</v>
      </c>
      <c r="AA20" s="3">
        <f>IF('Modell einstellen'!$B$2="Ja",'creep_res-40'!P20,'creep_res-40'!L20)</f>
        <v>0.35930143866107478</v>
      </c>
      <c r="AB20" s="2">
        <f>IF('Modell einstellen'!$B$2="Ja",creep_res0!P20,creep_res0!L20)</f>
        <v>0.36554998970306268</v>
      </c>
      <c r="AC20" s="2">
        <f>IF('Modell einstellen'!$B$2="Ja",creep_res25!P20,creep_res25!L20)</f>
        <v>0.37514383282921049</v>
      </c>
      <c r="AD20" s="2">
        <f>IF('Modell einstellen'!$B$2="Ja",creep_res50!P20,creep_res50!L20)</f>
        <v>0.39442131560697397</v>
      </c>
      <c r="AE20" s="2">
        <f>IF('Modell einstellen'!$B$2="Ja",creep_res80!P20,creep_res80!L20)</f>
        <v>0.45591671760607699</v>
      </c>
      <c r="AF20" s="2">
        <f>IF('Modell einstellen'!$B$2="Ja",creep_res125!P20,creep_res125!L20)</f>
        <v>0.71104722091958672</v>
      </c>
      <c r="AG20" s="2">
        <f>IF('Modell einstellen'!$B$2="Ja",creep_res160!P20,creep_res160!L20)</f>
        <v>0.67412498115719</v>
      </c>
      <c r="AL20" s="2">
        <f t="shared" si="12"/>
        <v>100</v>
      </c>
      <c r="AM20" s="2">
        <f t="shared" si="13"/>
        <v>5884.0318384088569</v>
      </c>
      <c r="AN20" s="2">
        <f t="shared" si="14"/>
        <v>5645.2982525424422</v>
      </c>
      <c r="AO20" s="2">
        <f t="shared" si="15"/>
        <v>5295.6687137139643</v>
      </c>
      <c r="AP20" s="2">
        <f t="shared" si="16"/>
        <v>4599.1409750767552</v>
      </c>
      <c r="AQ20" s="2">
        <f t="shared" si="17"/>
        <v>2768.9657420868534</v>
      </c>
      <c r="AR20" s="2">
        <f t="shared" si="18"/>
        <v>126.92176045152465</v>
      </c>
      <c r="AS20" s="2">
        <f t="shared" si="19"/>
        <v>125.37751528072498</v>
      </c>
      <c r="AX20" s="2">
        <f t="shared" si="28"/>
        <v>100</v>
      </c>
      <c r="AY20" s="37">
        <f t="shared" si="20"/>
        <v>18948.720031827786</v>
      </c>
      <c r="AZ20" s="37">
        <f t="shared" si="21"/>
        <v>19112.275642088352</v>
      </c>
      <c r="BA20" s="37">
        <f t="shared" si="22"/>
        <v>19441.854141411004</v>
      </c>
      <c r="BB20" s="37">
        <f t="shared" si="23"/>
        <v>20247.585157293637</v>
      </c>
      <c r="BC20" s="37">
        <f t="shared" si="24"/>
        <v>30483.086372431768</v>
      </c>
      <c r="BD20" s="37">
        <f t="shared" si="25"/>
        <v>-343.00242468413995</v>
      </c>
      <c r="BE20" s="37">
        <f t="shared" si="26"/>
        <v>-401.8141241843515</v>
      </c>
    </row>
    <row r="21" spans="1:57" x14ac:dyDescent="0.25">
      <c r="A21" s="2">
        <f>'creep_res-40'!A21</f>
        <v>1000</v>
      </c>
      <c r="B21" s="3">
        <f>'creep_res-40'!O21</f>
        <v>-6.3898228571428574E-4</v>
      </c>
      <c r="C21" s="2">
        <f>IF('Modell einstellen'!$B$2="Ja",creep_res0!O21,creep_res0!C21)</f>
        <v>-6.665313428571429E-4</v>
      </c>
      <c r="D21" s="2">
        <f>IF('Modell einstellen'!$B$2="Ja",creep_res25!O21,creep_res25!C21)</f>
        <v>-7.1666468571428569E-4</v>
      </c>
      <c r="E21" s="2">
        <f>IF('Modell einstellen'!$B$2="Ja",creep_res50!O21,creep_res50!C21)</f>
        <v>-8.3844428571428571E-4</v>
      </c>
      <c r="F21" s="2">
        <f>IF('Modell einstellen'!$B$2="Ja",creep_res80!O21,creep_res80!C21)</f>
        <v>-1.5493837142857142E-3</v>
      </c>
      <c r="G21" s="2">
        <f>IF('Modell einstellen'!$B$2="Ja",creep_res125!O21,creep_res125!C21)</f>
        <v>-2.4109917714285715E-2</v>
      </c>
      <c r="H21" s="2">
        <f>IF('Modell einstellen'!$B$2="Ja",creep_res160!O21,creep_res160!C21)</f>
        <v>-2.4494131714285713E-2</v>
      </c>
      <c r="M21" s="9">
        <f t="shared" si="27"/>
        <v>-10</v>
      </c>
      <c r="N21" s="2">
        <f t="shared" si="4"/>
        <v>1000</v>
      </c>
      <c r="O21" s="2">
        <f t="shared" si="5"/>
        <v>15649.886113543052</v>
      </c>
      <c r="P21" s="2">
        <f t="shared" si="6"/>
        <v>15003.045403887769</v>
      </c>
      <c r="Q21" s="2">
        <f t="shared" si="7"/>
        <v>13953.526941310351</v>
      </c>
      <c r="R21" s="2">
        <f t="shared" si="8"/>
        <v>11926.850919475015</v>
      </c>
      <c r="S21" s="2">
        <f t="shared" si="9"/>
        <v>6454.1791086336079</v>
      </c>
      <c r="T21" s="2">
        <f t="shared" si="10"/>
        <v>414.76707297407143</v>
      </c>
      <c r="U21" s="2">
        <f t="shared" si="11"/>
        <v>408.26105275524833</v>
      </c>
      <c r="Z21" s="2">
        <v>1000</v>
      </c>
      <c r="AA21" s="3">
        <f>IF('Modell einstellen'!$B$2="Ja",'creep_res-40'!P21,'creep_res-40'!L21)</f>
        <v>0.36357164383720897</v>
      </c>
      <c r="AB21" s="2">
        <f>IF('Modell einstellen'!$B$2="Ja",creep_res0!P21,creep_res0!L21)</f>
        <v>0.36963665238848264</v>
      </c>
      <c r="AC21" s="2">
        <f>IF('Modell einstellen'!$B$2="Ja",creep_res25!P21,creep_res25!L21)</f>
        <v>0.37808400055112451</v>
      </c>
      <c r="AD21" s="2">
        <f>IF('Modell einstellen'!$B$2="Ja",creep_res50!P21,creep_res50!L21)</f>
        <v>0.39580464499728235</v>
      </c>
      <c r="AE21" s="2">
        <f>IF('Modell einstellen'!$B$2="Ja",creep_res80!P21,creep_res80!L21)</f>
        <v>0.46379991085856631</v>
      </c>
      <c r="AF21" s="2">
        <f>IF('Modell einstellen'!$B$2="Ja",creep_res125!P21,creep_res125!L21)</f>
        <v>0.65482618462927267</v>
      </c>
      <c r="AG21" s="2">
        <f>IF('Modell einstellen'!$B$2="Ja",creep_res160!P21,creep_res160!L21)</f>
        <v>0.6296231350387238</v>
      </c>
      <c r="AL21" s="2">
        <f t="shared" si="12"/>
        <v>1000</v>
      </c>
      <c r="AM21" s="2">
        <f t="shared" si="13"/>
        <v>5738.5639340162998</v>
      </c>
      <c r="AN21" s="2">
        <f t="shared" si="14"/>
        <v>5477.0166152184411</v>
      </c>
      <c r="AO21" s="2">
        <f t="shared" si="15"/>
        <v>5062.6547205141496</v>
      </c>
      <c r="AP21" s="2">
        <f t="shared" si="16"/>
        <v>4272.3926167684576</v>
      </c>
      <c r="AQ21" s="2">
        <f t="shared" si="17"/>
        <v>2204.5974524100161</v>
      </c>
      <c r="AR21" s="2">
        <f t="shared" si="18"/>
        <v>125.32043450442224</v>
      </c>
      <c r="AS21" s="2">
        <f t="shared" si="19"/>
        <v>125.26241312398497</v>
      </c>
      <c r="AX21" s="2">
        <f t="shared" si="28"/>
        <v>1000</v>
      </c>
      <c r="AY21" s="37">
        <f t="shared" si="20"/>
        <v>19118.564685664354</v>
      </c>
      <c r="AZ21" s="37">
        <f t="shared" si="21"/>
        <v>19181.062876400953</v>
      </c>
      <c r="BA21" s="37">
        <f t="shared" si="22"/>
        <v>19075.329194401118</v>
      </c>
      <c r="BB21" s="37">
        <f t="shared" si="23"/>
        <v>19077.707317445413</v>
      </c>
      <c r="BC21" s="37">
        <f t="shared" si="24"/>
        <v>29715.300255279948</v>
      </c>
      <c r="BD21" s="37">
        <f t="shared" si="25"/>
        <v>-446.48678556022952</v>
      </c>
      <c r="BE21" s="37">
        <f t="shared" si="26"/>
        <v>-524.93336758298562</v>
      </c>
    </row>
    <row r="22" spans="1:57" x14ac:dyDescent="0.25">
      <c r="A22" s="2">
        <f>'creep_res-40'!A22</f>
        <v>10000</v>
      </c>
      <c r="B22" s="3">
        <f>'creep_res-40'!O22</f>
        <v>-6.5406977142857148E-4</v>
      </c>
      <c r="C22" s="2">
        <f>IF('Modell einstellen'!$B$2="Ja",creep_res0!O22,creep_res0!C22)</f>
        <v>-6.9502094285714292E-4</v>
      </c>
      <c r="D22" s="2">
        <f>IF('Modell einstellen'!$B$2="Ja",creep_res25!O22,creep_res25!C22)</f>
        <v>-7.6131068571428577E-4</v>
      </c>
      <c r="E22" s="2">
        <f>IF('Modell einstellen'!$B$2="Ja",creep_res50!O22,creep_res50!C22)</f>
        <v>-9.0886000000000005E-4</v>
      </c>
      <c r="F22" s="2">
        <f>IF('Modell einstellen'!$B$2="Ja",creep_res80!O22,creep_res80!C22)</f>
        <v>-2.1293292000000002E-3</v>
      </c>
      <c r="G22" s="2">
        <f>IF('Modell einstellen'!$B$2="Ja",creep_res125!O22,creep_res125!C22)</f>
        <v>-2.4720074000000002E-2</v>
      </c>
      <c r="H22" s="2">
        <f>IF('Modell einstellen'!$B$2="Ja",creep_res160!O22,creep_res160!C22)</f>
        <v>-2.4967701714285716E-2</v>
      </c>
      <c r="M22" s="9">
        <f t="shared" si="27"/>
        <v>-10</v>
      </c>
      <c r="N22" s="2">
        <f t="shared" si="4"/>
        <v>10000</v>
      </c>
      <c r="O22" s="2">
        <f t="shared" si="5"/>
        <v>15288.888795699469</v>
      </c>
      <c r="P22" s="2">
        <f t="shared" si="6"/>
        <v>14388.05564461305</v>
      </c>
      <c r="Q22" s="2">
        <f t="shared" si="7"/>
        <v>13135.241876472131</v>
      </c>
      <c r="R22" s="2">
        <f t="shared" si="8"/>
        <v>11002.794709856304</v>
      </c>
      <c r="S22" s="2">
        <f t="shared" si="9"/>
        <v>4696.31468915187</v>
      </c>
      <c r="T22" s="2">
        <f t="shared" si="10"/>
        <v>404.5295333662836</v>
      </c>
      <c r="U22" s="2">
        <f t="shared" si="11"/>
        <v>400.51744106980908</v>
      </c>
      <c r="Z22" s="2">
        <v>10000</v>
      </c>
      <c r="AA22" s="3">
        <f>IF('Modell einstellen'!$B$2="Ja",'creep_res-40'!P22,'creep_res-40'!L22)</f>
        <v>0.36794344176999549</v>
      </c>
      <c r="AB22" s="2">
        <f>IF('Modell einstellen'!$B$2="Ja",creep_res0!P22,creep_res0!L22)</f>
        <v>0.37213145848472479</v>
      </c>
      <c r="AC22" s="2">
        <f>IF('Modell einstellen'!$B$2="Ja",creep_res25!P22,creep_res25!L22)</f>
        <v>0.37910447223461313</v>
      </c>
      <c r="AD22" s="2">
        <f>IF('Modell einstellen'!$B$2="Ja",creep_res50!P22,creep_res50!L22)</f>
        <v>0.39588737539334995</v>
      </c>
      <c r="AE22" s="2">
        <f>IF('Modell einstellen'!$B$2="Ja",creep_res80!P22,creep_res80!L22)</f>
        <v>0.48012932899243571</v>
      </c>
      <c r="AF22" s="2">
        <f>IF('Modell einstellen'!$B$2="Ja",creep_res125!P22,creep_res125!L22)</f>
        <v>0.61566548246232133</v>
      </c>
      <c r="AG22" s="2">
        <f>IF('Modell einstellen'!$B$2="Ja",creep_res160!P22,creep_res160!L22)</f>
        <v>0.60031664222289649</v>
      </c>
      <c r="AL22" s="2">
        <f t="shared" si="12"/>
        <v>10000</v>
      </c>
      <c r="AM22" s="2">
        <f t="shared" si="13"/>
        <v>5588.2751906456833</v>
      </c>
      <c r="AN22" s="2">
        <f t="shared" si="14"/>
        <v>5242.9581566849647</v>
      </c>
      <c r="AO22" s="2">
        <f t="shared" si="15"/>
        <v>4762.2359802766141</v>
      </c>
      <c r="AP22" s="2">
        <f t="shared" si="16"/>
        <v>3941.1470093551798</v>
      </c>
      <c r="AQ22" s="2">
        <f t="shared" si="17"/>
        <v>1586.454168957242</v>
      </c>
      <c r="AR22" s="2">
        <f t="shared" si="18"/>
        <v>125.18975547765271</v>
      </c>
      <c r="AS22" s="2">
        <f t="shared" si="19"/>
        <v>125.1369355609138</v>
      </c>
      <c r="AX22" s="2">
        <f t="shared" si="28"/>
        <v>10000</v>
      </c>
      <c r="AY22" s="37">
        <f t="shared" si="20"/>
        <v>19295.884784293998</v>
      </c>
      <c r="AZ22" s="37">
        <f t="shared" si="21"/>
        <v>18753.707875957185</v>
      </c>
      <c r="BA22" s="37">
        <f t="shared" si="22"/>
        <v>18108.254456363815</v>
      </c>
      <c r="BB22" s="37">
        <f t="shared" si="23"/>
        <v>17613.609542912749</v>
      </c>
      <c r="BC22" s="37">
        <f t="shared" si="24"/>
        <v>39390.673549005092</v>
      </c>
      <c r="BD22" s="37">
        <f t="shared" si="25"/>
        <v>-582.90154901090352</v>
      </c>
      <c r="BE22" s="37">
        <f t="shared" si="26"/>
        <v>-665.42206124331733</v>
      </c>
    </row>
    <row r="23" spans="1:57" x14ac:dyDescent="0.25">
      <c r="A23" s="2">
        <f>'creep_res-40'!A23</f>
        <v>100000</v>
      </c>
      <c r="B23" s="3">
        <f>'creep_res-40'!O23</f>
        <v>-6.7496257142857143E-4</v>
      </c>
      <c r="C23" s="2">
        <f>IF('Modell einstellen'!$B$2="Ja",creep_res0!O23,creep_res0!C23)</f>
        <v>-7.3337408571428567E-4</v>
      </c>
      <c r="D23" s="2">
        <f>IF('Modell einstellen'!$B$2="Ja",creep_res25!O23,creep_res25!C23)</f>
        <v>-8.1763514285714293E-4</v>
      </c>
      <c r="E23" s="2">
        <f>IF('Modell einstellen'!$B$2="Ja",creep_res50!O23,creep_res50!C23)</f>
        <v>-9.9127794285714288E-4</v>
      </c>
      <c r="F23" s="2">
        <f>IF('Modell einstellen'!$B$2="Ja",creep_res80!O23,creep_res80!C23)</f>
        <v>-3.3221765714285716E-3</v>
      </c>
      <c r="G23" s="2">
        <f>IF('Modell einstellen'!$B$2="Ja",creep_res125!O23,creep_res125!C23)</f>
        <v>-2.5134670571428576E-2</v>
      </c>
      <c r="H23" s="2">
        <f>IF('Modell einstellen'!$B$2="Ja",creep_res160!O23,creep_res160!C23)</f>
        <v>-2.5325042857142856E-2</v>
      </c>
      <c r="M23" s="9">
        <f t="shared" si="27"/>
        <v>-10</v>
      </c>
      <c r="N23" s="2">
        <f t="shared" si="4"/>
        <v>100000</v>
      </c>
      <c r="O23" s="2">
        <f t="shared" si="5"/>
        <v>14815.636337930273</v>
      </c>
      <c r="P23" s="2">
        <f t="shared" si="6"/>
        <v>13635.605886265101</v>
      </c>
      <c r="Q23" s="2">
        <f t="shared" si="7"/>
        <v>12230.394066791228</v>
      </c>
      <c r="R23" s="2">
        <f t="shared" si="8"/>
        <v>10087.98800786102</v>
      </c>
      <c r="S23" s="2">
        <f t="shared" si="9"/>
        <v>3010.0748063790879</v>
      </c>
      <c r="T23" s="2">
        <f t="shared" si="10"/>
        <v>397.85681581072066</v>
      </c>
      <c r="U23" s="2">
        <f t="shared" si="11"/>
        <v>394.86606425147778</v>
      </c>
      <c r="Z23" s="2">
        <v>100000</v>
      </c>
      <c r="AA23" s="3">
        <f>IF('Modell einstellen'!$B$2="Ja",'creep_res-40'!P23,'creep_res-40'!L23)</f>
        <v>0.37194682117823258</v>
      </c>
      <c r="AB23" s="2">
        <f>IF('Modell einstellen'!$B$2="Ja",creep_res0!P23,creep_res0!L23)</f>
        <v>0.37257781090320979</v>
      </c>
      <c r="AC23" s="2">
        <f>IF('Modell einstellen'!$B$2="Ja",creep_res25!P23,creep_res25!L23)</f>
        <v>0.38073580147344799</v>
      </c>
      <c r="AD23" s="2">
        <f>IF('Modell einstellen'!$B$2="Ja",creep_res50!P23,creep_res50!L23)</f>
        <v>0.39781098730619824</v>
      </c>
      <c r="AE23" s="2">
        <f>IF('Modell einstellen'!$B$2="Ja",creep_res80!P23,creep_res80!L23)</f>
        <v>0.50500234011815659</v>
      </c>
      <c r="AF23" s="2">
        <f>IF('Modell einstellen'!$B$2="Ja",creep_res125!P23,creep_res125!L23)</f>
        <v>0.59071669096984492</v>
      </c>
      <c r="AG23" s="2">
        <f>IF('Modell einstellen'!$B$2="Ja",creep_res160!P23,creep_res160!L23)</f>
        <v>0.57973483051502384</v>
      </c>
      <c r="AL23" s="2">
        <f t="shared" si="12"/>
        <v>100000</v>
      </c>
      <c r="AM23" s="2">
        <f t="shared" si="13"/>
        <v>5399.4936644871386</v>
      </c>
      <c r="AN23" s="2">
        <f t="shared" si="14"/>
        <v>4967.1522364522052</v>
      </c>
      <c r="AO23" s="2">
        <f t="shared" si="15"/>
        <v>4428.9407335348296</v>
      </c>
      <c r="AP23" s="2">
        <f t="shared" si="16"/>
        <v>3608.495032401398</v>
      </c>
      <c r="AQ23" s="2">
        <f t="shared" si="17"/>
        <v>1000.0232976856266</v>
      </c>
      <c r="AR23" s="2">
        <f t="shared" si="18"/>
        <v>125.05583743141311</v>
      </c>
      <c r="AS23" s="2">
        <f t="shared" si="19"/>
        <v>124.97859027478171</v>
      </c>
      <c r="AX23" s="2">
        <f t="shared" si="28"/>
        <v>100000</v>
      </c>
      <c r="AY23" s="37">
        <f t="shared" si="20"/>
        <v>19283.18176642276</v>
      </c>
      <c r="AZ23" s="37">
        <f t="shared" si="21"/>
        <v>17835.205917847718</v>
      </c>
      <c r="BA23" s="37">
        <f t="shared" si="22"/>
        <v>17091.457757778491</v>
      </c>
      <c r="BB23" s="37">
        <f t="shared" si="23"/>
        <v>16453.151765752249</v>
      </c>
      <c r="BC23" s="37">
        <f t="shared" si="24"/>
        <v>-100288.88930914762</v>
      </c>
      <c r="BD23" s="37">
        <f t="shared" si="25"/>
        <v>-730.95114683833287</v>
      </c>
      <c r="BE23" s="37">
        <f t="shared" si="26"/>
        <v>-825.37343195555366</v>
      </c>
    </row>
    <row r="24" spans="1:57" x14ac:dyDescent="0.25">
      <c r="A24" s="2">
        <f>'creep_res-40'!A24</f>
        <v>1000000</v>
      </c>
      <c r="B24" s="3">
        <f>'creep_res-40'!O24</f>
        <v>-7.0784651428571431E-4</v>
      </c>
      <c r="C24" s="2">
        <f>IF('Modell einstellen'!$B$2="Ja",creep_res0!O24,creep_res0!C24)</f>
        <v>-7.8033254285714293E-4</v>
      </c>
      <c r="D24" s="2">
        <f>IF('Modell einstellen'!$B$2="Ja",creep_res25!O24,creep_res25!C24)</f>
        <v>-8.7882385714285716E-4</v>
      </c>
      <c r="E24" s="2">
        <f>IF('Modell einstellen'!$B$2="Ja",creep_res50!O24,creep_res50!C24)</f>
        <v>-1.0927976285714286E-3</v>
      </c>
      <c r="F24" s="2">
        <f>IF('Modell einstellen'!$B$2="Ja",creep_res80!O24,creep_res80!C24)</f>
        <v>-5.6721531428571429E-3</v>
      </c>
      <c r="G24" s="2">
        <f>IF('Modell einstellen'!$B$2="Ja",creep_res125!O24,creep_res125!C24)</f>
        <v>-2.5445166000000005E-2</v>
      </c>
      <c r="H24" s="2">
        <f>IF('Modell einstellen'!$B$2="Ja",creep_res160!O24,creep_res160!C24)</f>
        <v>-2.5585562571428574E-2</v>
      </c>
      <c r="M24" s="9">
        <f t="shared" si="27"/>
        <v>-10</v>
      </c>
      <c r="N24" s="2">
        <f t="shared" si="4"/>
        <v>1000000</v>
      </c>
      <c r="O24" s="2">
        <f t="shared" si="5"/>
        <v>14127.356422869396</v>
      </c>
      <c r="P24" s="2">
        <f t="shared" si="6"/>
        <v>12815.049290890231</v>
      </c>
      <c r="Q24" s="2">
        <f t="shared" si="7"/>
        <v>11378.84448484476</v>
      </c>
      <c r="R24" s="2">
        <f t="shared" si="8"/>
        <v>9150.8251285945844</v>
      </c>
      <c r="S24" s="2">
        <f t="shared" si="9"/>
        <v>1762.9989438125185</v>
      </c>
      <c r="T24" s="2">
        <f t="shared" si="10"/>
        <v>393.00195565633163</v>
      </c>
      <c r="U24" s="2">
        <f t="shared" si="11"/>
        <v>390.84542198681265</v>
      </c>
      <c r="Z24" s="2">
        <v>1000000</v>
      </c>
      <c r="AA24" s="3">
        <f>IF('Modell einstellen'!$B$2="Ja",'creep_res-40'!P24,'creep_res-40'!L24)</f>
        <v>0.37376306921742675</v>
      </c>
      <c r="AB24" s="2">
        <f>IF('Modell einstellen'!$B$2="Ja",creep_res0!P24,creep_res0!L24)</f>
        <v>0.37407685419392078</v>
      </c>
      <c r="AC24" s="2">
        <f>IF('Modell einstellen'!$B$2="Ja",creep_res25!P24,creep_res25!L24)</f>
        <v>0.38370988368057507</v>
      </c>
      <c r="AD24" s="2">
        <f>IF('Modell einstellen'!$B$2="Ja",creep_res50!P24,creep_res50!L24)</f>
        <v>0.40240544341277462</v>
      </c>
      <c r="AE24" s="2">
        <f>IF('Modell einstellen'!$B$2="Ja",creep_res80!P24,creep_res80!L24)</f>
        <v>0.53036347598110389</v>
      </c>
      <c r="AF24" s="2">
        <f>IF('Modell einstellen'!$B$2="Ja",creep_res125!P24,creep_res125!L24)</f>
        <v>0.57336498189310858</v>
      </c>
      <c r="AG24" s="2">
        <f>IF('Modell einstellen'!$B$2="Ja",creep_res160!P24,creep_res160!L24)</f>
        <v>0.56594718613016004</v>
      </c>
      <c r="AL24" s="2">
        <f t="shared" si="12"/>
        <v>1000000</v>
      </c>
      <c r="AM24" s="2">
        <f t="shared" si="13"/>
        <v>5141.8460502498219</v>
      </c>
      <c r="AN24" s="2">
        <f t="shared" si="14"/>
        <v>4663.1486629646943</v>
      </c>
      <c r="AO24" s="2">
        <f t="shared" si="15"/>
        <v>4111.7161259908762</v>
      </c>
      <c r="AP24" s="2">
        <f t="shared" si="16"/>
        <v>3262.5462100054015</v>
      </c>
      <c r="AQ24" s="2">
        <f t="shared" si="17"/>
        <v>576.00660610456418</v>
      </c>
      <c r="AR24" s="2">
        <f t="shared" si="18"/>
        <v>124.89217701523481</v>
      </c>
      <c r="AS24" s="2">
        <f t="shared" si="19"/>
        <v>124.79521194858673</v>
      </c>
      <c r="AX24" s="2">
        <f t="shared" si="28"/>
        <v>1000000</v>
      </c>
      <c r="AY24" s="37">
        <f t="shared" si="20"/>
        <v>18651.906294101758</v>
      </c>
      <c r="AZ24" s="37">
        <f t="shared" si="21"/>
        <v>16961.469115224347</v>
      </c>
      <c r="BA24" s="37">
        <f t="shared" si="22"/>
        <v>16308.12781714172</v>
      </c>
      <c r="BB24" s="37">
        <f t="shared" si="23"/>
        <v>15627.280606263477</v>
      </c>
      <c r="BC24" s="37">
        <f t="shared" si="24"/>
        <v>-9677.1910266448958</v>
      </c>
      <c r="BD24" s="37">
        <f t="shared" si="25"/>
        <v>-892.80095561332928</v>
      </c>
      <c r="BE24" s="37">
        <f t="shared" si="26"/>
        <v>-987.77381548774645</v>
      </c>
    </row>
    <row r="25" spans="1:57" x14ac:dyDescent="0.25">
      <c r="A25" s="2">
        <f>'creep_res-40'!A25</f>
        <v>10000000</v>
      </c>
      <c r="B25" s="3">
        <f>'creep_res-40'!O25</f>
        <v>-7.4948245714285731E-4</v>
      </c>
      <c r="C25" s="2">
        <f>IF('Modell einstellen'!$B$2="Ja",creep_res0!O25,creep_res0!C25)</f>
        <v>-8.349933714285714E-4</v>
      </c>
      <c r="D25" s="2">
        <f>IF('Modell einstellen'!$B$2="Ja",creep_res25!O25,creep_res25!C25)</f>
        <v>-9.4455039999999997E-4</v>
      </c>
      <c r="E25" s="2">
        <f>IF('Modell einstellen'!$B$2="Ja",creep_res50!O25,creep_res50!C25)</f>
        <v>-1.2470880857142859E-3</v>
      </c>
      <c r="F25" s="2">
        <f>IF('Modell einstellen'!$B$2="Ja",creep_res80!O25,creep_res80!C25)</f>
        <v>-1.0032045714285715E-2</v>
      </c>
      <c r="G25" s="2">
        <f>IF('Modell einstellen'!$B$2="Ja",creep_res125!O25,creep_res125!C25)</f>
        <v>-2.5669595428571428E-2</v>
      </c>
      <c r="H25" s="2">
        <f>IF('Modell einstellen'!$B$2="Ja",creep_res160!O25,creep_res160!C25)</f>
        <v>-2.5768378857142858E-2</v>
      </c>
      <c r="M25" s="9">
        <f t="shared" si="27"/>
        <v>-10</v>
      </c>
      <c r="N25" s="2">
        <f t="shared" si="4"/>
        <v>10000000</v>
      </c>
      <c r="O25" s="2">
        <f t="shared" si="5"/>
        <v>13342.540448673799</v>
      </c>
      <c r="P25" s="2">
        <f t="shared" si="6"/>
        <v>11976.142975711562</v>
      </c>
      <c r="Q25" s="2">
        <f t="shared" si="7"/>
        <v>10587.047551935821</v>
      </c>
      <c r="R25" s="2">
        <f t="shared" si="8"/>
        <v>8018.6797665317845</v>
      </c>
      <c r="S25" s="2">
        <f t="shared" si="9"/>
        <v>996.80566504595549</v>
      </c>
      <c r="T25" s="2">
        <f t="shared" si="10"/>
        <v>389.56593717365507</v>
      </c>
      <c r="U25" s="2">
        <f t="shared" si="11"/>
        <v>388.07253088907657</v>
      </c>
      <c r="Z25" s="2">
        <v>10000000</v>
      </c>
      <c r="AA25" s="3">
        <f>IF('Modell einstellen'!$B$2="Ja",'creep_res-40'!P25,'creep_res-40'!L25)</f>
        <v>0.37400417568145877</v>
      </c>
      <c r="AB25" s="2">
        <f>IF('Modell einstellen'!$B$2="Ja",creep_res0!P25,creep_res0!L25)</f>
        <v>0.37775170704520222</v>
      </c>
      <c r="AC25" s="2">
        <f>IF('Modell einstellen'!$B$2="Ja",creep_res25!P25,creep_res25!L25)</f>
        <v>0.38783664391318573</v>
      </c>
      <c r="AD25" s="2">
        <f>IF('Modell einstellen'!$B$2="Ja",creep_res50!P25,creep_res50!L25)</f>
        <v>0.41108623258437255</v>
      </c>
      <c r="AE25" s="2">
        <f>IF('Modell einstellen'!$B$2="Ja",creep_res80!P25,creep_res80!L25)</f>
        <v>0.54879634291937607</v>
      </c>
      <c r="AF25" s="2">
        <f>IF('Modell einstellen'!$B$2="Ja",creep_res125!P25,creep_res125!L25)</f>
        <v>0.56191044204113683</v>
      </c>
      <c r="AG25" s="2">
        <f>IF('Modell einstellen'!$B$2="Ja",creep_res160!P25,creep_res160!L25)</f>
        <v>0.55726511361222497</v>
      </c>
      <c r="AL25" s="2">
        <f t="shared" si="12"/>
        <v>10000000</v>
      </c>
      <c r="AM25" s="2">
        <f t="shared" si="13"/>
        <v>4855.3493085479013</v>
      </c>
      <c r="AN25" s="2">
        <f t="shared" si="14"/>
        <v>4346.263159926043</v>
      </c>
      <c r="AO25" s="2">
        <f t="shared" si="15"/>
        <v>3814.2268394370481</v>
      </c>
      <c r="AP25" s="2">
        <f t="shared" si="16"/>
        <v>2841.314577864513</v>
      </c>
      <c r="AQ25" s="2">
        <f t="shared" si="17"/>
        <v>321.80010935687142</v>
      </c>
      <c r="AR25" s="2">
        <f t="shared" si="18"/>
        <v>124.70815441395035</v>
      </c>
      <c r="AS25" s="2">
        <f t="shared" si="19"/>
        <v>124.60066288549459</v>
      </c>
      <c r="AX25" s="2">
        <f t="shared" si="28"/>
        <v>10000000</v>
      </c>
      <c r="AY25" s="37">
        <f t="shared" si="20"/>
        <v>17649.447935858225</v>
      </c>
      <c r="AZ25" s="37">
        <f t="shared" si="21"/>
        <v>16327.621278305334</v>
      </c>
      <c r="BA25" s="37">
        <f t="shared" si="22"/>
        <v>15731.589949545645</v>
      </c>
      <c r="BB25" s="37">
        <f t="shared" si="23"/>
        <v>15030.817685500569</v>
      </c>
      <c r="BC25" s="37">
        <f t="shared" si="24"/>
        <v>-3404.6460773127037</v>
      </c>
      <c r="BD25" s="37">
        <f t="shared" si="25"/>
        <v>-1048.7351415205135</v>
      </c>
      <c r="BE25" s="37">
        <f t="shared" si="26"/>
        <v>-1129.4617450016162</v>
      </c>
    </row>
    <row r="26" spans="1:57" x14ac:dyDescent="0.25">
      <c r="A26" s="2">
        <f>'creep_res-40'!A26</f>
        <v>100000000</v>
      </c>
      <c r="B26" s="3">
        <f>'creep_res-40'!O26</f>
        <v>-8.0181628571428579E-4</v>
      </c>
      <c r="C26" s="2">
        <f>IF('Modell einstellen'!$B$2="Ja",creep_res0!O26,creep_res0!C26)</f>
        <v>-8.9258854285714285E-4</v>
      </c>
      <c r="D26" s="2">
        <f>IF('Modell einstellen'!$B$2="Ja",creep_res25!O26,creep_res25!C26)</f>
        <v>-1.0202113142857142E-3</v>
      </c>
      <c r="E26" s="2">
        <f>IF('Modell einstellen'!$B$2="Ja",creep_res50!O26,creep_res50!C26)</f>
        <v>-1.4947720285714288E-3</v>
      </c>
      <c r="F26" s="2">
        <f>IF('Modell einstellen'!$B$2="Ja",creep_res80!O26,creep_res80!C26)</f>
        <v>-1.7054402857142856E-2</v>
      </c>
      <c r="G26" s="2">
        <f>IF('Modell einstellen'!$B$2="Ja",creep_res125!O26,creep_res125!C26)</f>
        <v>-2.5825078857142861E-2</v>
      </c>
      <c r="H26" s="2">
        <f>IF('Modell einstellen'!$B$2="Ja",creep_res160!O26,creep_res160!C26)</f>
        <v>-2.5890898857142859E-2</v>
      </c>
      <c r="M26" s="9">
        <f t="shared" si="27"/>
        <v>-10</v>
      </c>
      <c r="N26" s="2">
        <f t="shared" si="4"/>
        <v>100000000</v>
      </c>
      <c r="O26" s="2">
        <f t="shared" si="5"/>
        <v>12471.684821282537</v>
      </c>
      <c r="P26" s="2">
        <f t="shared" si="6"/>
        <v>11203.370332303808</v>
      </c>
      <c r="Q26" s="2">
        <f t="shared" si="7"/>
        <v>9801.8909023777596</v>
      </c>
      <c r="R26" s="2">
        <f t="shared" si="8"/>
        <v>6689.9833612468101</v>
      </c>
      <c r="S26" s="2">
        <f t="shared" si="9"/>
        <v>586.35884725871381</v>
      </c>
      <c r="T26" s="2">
        <f t="shared" si="10"/>
        <v>387.22050202894684</v>
      </c>
      <c r="U26" s="2">
        <f t="shared" si="11"/>
        <v>386.23610772173595</v>
      </c>
      <c r="Z26" s="2">
        <v>100000000</v>
      </c>
      <c r="AA26" s="3">
        <f>IF('Modell einstellen'!$B$2="Ja",'creep_res-40'!P26,'creep_res-40'!L26)</f>
        <v>0.3763864326598505</v>
      </c>
      <c r="AB26" s="2">
        <f>IF('Modell einstellen'!$B$2="Ja",creep_res0!P26,creep_res0!L26)</f>
        <v>0.38220333099246911</v>
      </c>
      <c r="AC26" s="2">
        <f>IF('Modell einstellen'!$B$2="Ja",creep_res25!P26,creep_res25!L26)</f>
        <v>0.39319257556613768</v>
      </c>
      <c r="AD26" s="2">
        <f>IF('Modell einstellen'!$B$2="Ja",creep_res50!P26,creep_res50!L26)</f>
        <v>0.42315822989997837</v>
      </c>
      <c r="AE26" s="2">
        <f>IF('Modell einstellen'!$B$2="Ja",creep_res80!P26,creep_res80!L26)</f>
        <v>0.56031345738787863</v>
      </c>
      <c r="AF26" s="2">
        <f>IF('Modell einstellen'!$B$2="Ja",creep_res125!P26,creep_res125!L26)</f>
        <v>0.55490427156875721</v>
      </c>
      <c r="AG26" s="2">
        <f>IF('Modell einstellen'!$B$2="Ja",creep_res160!P26,creep_res160!L26)</f>
        <v>0.55235524240365719</v>
      </c>
      <c r="AL26" s="2">
        <f t="shared" si="12"/>
        <v>100000000</v>
      </c>
      <c r="AM26" s="2">
        <f t="shared" si="13"/>
        <v>4530.5898566513597</v>
      </c>
      <c r="AN26" s="2">
        <f t="shared" si="14"/>
        <v>4052.7215067045913</v>
      </c>
      <c r="AO26" s="2">
        <f t="shared" si="15"/>
        <v>3517.7803393025779</v>
      </c>
      <c r="AP26" s="2">
        <f t="shared" si="16"/>
        <v>2350.4004054830193</v>
      </c>
      <c r="AQ26" s="2">
        <f t="shared" si="17"/>
        <v>187.89777287454069</v>
      </c>
      <c r="AR26" s="2">
        <f t="shared" si="18"/>
        <v>124.51586541667818</v>
      </c>
      <c r="AS26" s="2">
        <f t="shared" si="19"/>
        <v>124.40326066206676</v>
      </c>
      <c r="AX26" s="2">
        <f t="shared" si="28"/>
        <v>100000000</v>
      </c>
      <c r="AY26" s="37">
        <f t="shared" si="20"/>
        <v>16815.420682429347</v>
      </c>
      <c r="AZ26" s="37">
        <f t="shared" si="21"/>
        <v>15851.283439924156</v>
      </c>
      <c r="BA26" s="37">
        <f t="shared" si="22"/>
        <v>15295.270833360655</v>
      </c>
      <c r="BB26" s="37">
        <f t="shared" si="23"/>
        <v>14510.301173738246</v>
      </c>
      <c r="BC26" s="37">
        <f t="shared" si="24"/>
        <v>-1620.30960876004</v>
      </c>
      <c r="BD26" s="37">
        <f t="shared" si="25"/>
        <v>-1175.441336241712</v>
      </c>
      <c r="BE26" s="37">
        <f t="shared" si="26"/>
        <v>-1229.5365595670069</v>
      </c>
    </row>
    <row r="27" spans="1:57" x14ac:dyDescent="0.25">
      <c r="A27" s="2">
        <f>'creep_res-40'!A27</f>
        <v>1000000000</v>
      </c>
      <c r="B27" s="3">
        <f>'creep_res-40'!O27</f>
        <v>-8.5946594285714285E-4</v>
      </c>
      <c r="C27" s="2">
        <f>IF('Modell einstellen'!$B$2="Ja",creep_res0!O27,creep_res0!C27)</f>
        <v>-9.5556454285714292E-4</v>
      </c>
      <c r="D27" s="2">
        <f>IF('Modell einstellen'!$B$2="Ja",creep_res25!O27,creep_res25!C27)</f>
        <v>-1.1177940285714287E-3</v>
      </c>
      <c r="E27" s="2">
        <f>IF('Modell einstellen'!$B$2="Ja",creep_res50!O27,creep_res50!C27)</f>
        <v>-1.9359241142857142E-3</v>
      </c>
      <c r="F27" s="2">
        <f>IF('Modell einstellen'!$B$2="Ja",creep_res80!O27,creep_res80!C27)</f>
        <v>-2.1908498571428573E-2</v>
      </c>
      <c r="G27" s="2">
        <f>IF('Modell einstellen'!$B$2="Ja",creep_res125!O27,creep_res125!C27)</f>
        <v>-2.5863216285714287E-2</v>
      </c>
      <c r="H27" s="2">
        <f>IF('Modell einstellen'!$B$2="Ja",creep_res160!O27,creep_res160!C27)</f>
        <v>-2.5892521714285716E-2</v>
      </c>
      <c r="M27" s="9">
        <f t="shared" si="27"/>
        <v>-10</v>
      </c>
      <c r="N27" s="2">
        <f t="shared" si="4"/>
        <v>1000000000</v>
      </c>
      <c r="O27" s="2">
        <f t="shared" si="5"/>
        <v>11635.132355281892</v>
      </c>
      <c r="P27" s="2">
        <f t="shared" si="6"/>
        <v>10465.017852273953</v>
      </c>
      <c r="Q27" s="2">
        <f t="shared" si="7"/>
        <v>8946.1920035306266</v>
      </c>
      <c r="R27" s="2">
        <f t="shared" si="8"/>
        <v>5165.4917288375409</v>
      </c>
      <c r="S27" s="2">
        <f t="shared" si="9"/>
        <v>456.44387575884605</v>
      </c>
      <c r="T27" s="2">
        <f t="shared" si="10"/>
        <v>386.64951371587779</v>
      </c>
      <c r="U27" s="2">
        <f t="shared" si="11"/>
        <v>386.21189972712028</v>
      </c>
      <c r="Z27" s="2">
        <v>1000000000</v>
      </c>
      <c r="AA27" s="3">
        <f>IF('Modell einstellen'!$B$2="Ja",'creep_res-40'!P27,'creep_res-40'!L27)</f>
        <v>0.38014321052794647</v>
      </c>
      <c r="AB27" s="2">
        <f>IF('Modell einstellen'!$B$2="Ja",creep_res0!P27,creep_res0!L27)</f>
        <v>0.38738156253420752</v>
      </c>
      <c r="AC27" s="2">
        <f>IF('Modell einstellen'!$B$2="Ja",creep_res25!P27,creep_res25!L27)</f>
        <v>0.39992425387033348</v>
      </c>
      <c r="AD27" s="2">
        <f>IF('Modell einstellen'!$B$2="Ja",creep_res50!P27,creep_res50!L27)</f>
        <v>0.43943319265879138</v>
      </c>
      <c r="AE27" s="2">
        <f>IF('Modell einstellen'!$B$2="Ja",creep_res80!P27,creep_res80!L27)</f>
        <v>0.55969784458725058</v>
      </c>
      <c r="AF27" s="2">
        <f>IF('Modell einstellen'!$B$2="Ja",creep_res125!P27,creep_res125!L27)</f>
        <v>0.55335672150465165</v>
      </c>
      <c r="AG27" s="2">
        <f>IF('Modell einstellen'!$B$2="Ja",creep_res160!P27,creep_res160!L27)</f>
        <v>0.55231146387485341</v>
      </c>
      <c r="AL27" s="2">
        <f t="shared" si="12"/>
        <v>1000000000</v>
      </c>
      <c r="AM27" s="2">
        <f t="shared" si="13"/>
        <v>4215.1902304511941</v>
      </c>
      <c r="AN27" s="2">
        <f t="shared" si="14"/>
        <v>3771.4995408899726</v>
      </c>
      <c r="AO27" s="2">
        <f t="shared" si="15"/>
        <v>3195.2414492417452</v>
      </c>
      <c r="AP27" s="2">
        <f t="shared" si="16"/>
        <v>1794.2797745605371</v>
      </c>
      <c r="AQ27" s="2">
        <f t="shared" si="17"/>
        <v>146.32445551645827</v>
      </c>
      <c r="AR27" s="2">
        <f t="shared" si="18"/>
        <v>124.45612407089325</v>
      </c>
      <c r="AS27" s="2">
        <f t="shared" si="19"/>
        <v>124.39897169961779</v>
      </c>
      <c r="AX27" s="2">
        <f t="shared" si="28"/>
        <v>1000000000</v>
      </c>
      <c r="AY27" s="37">
        <f t="shared" si="20"/>
        <v>16179.214664618288</v>
      </c>
      <c r="AZ27" s="37">
        <f t="shared" si="21"/>
        <v>15487.425338994295</v>
      </c>
      <c r="BA27" s="37">
        <f t="shared" si="22"/>
        <v>14899.034563844589</v>
      </c>
      <c r="BB27" s="37">
        <f t="shared" si="23"/>
        <v>14214.308561611075</v>
      </c>
      <c r="BC27" s="37">
        <f t="shared" si="24"/>
        <v>-1274.3170179612785</v>
      </c>
      <c r="BD27" s="37">
        <f t="shared" si="25"/>
        <v>-1207.7500978708922</v>
      </c>
      <c r="BE27" s="37">
        <f t="shared" si="26"/>
        <v>-1230.488408974971</v>
      </c>
    </row>
    <row r="28" spans="1:57" x14ac:dyDescent="0.25">
      <c r="A28" s="2">
        <f>'creep_res-40'!A28</f>
        <v>10000000000</v>
      </c>
      <c r="B28" s="3">
        <f>'creep_res-40'!O28</f>
        <v>-9.1906580000000011E-4</v>
      </c>
      <c r="C28" s="2">
        <f>IF('Modell einstellen'!$B$2="Ja",creep_res0!O28,creep_res0!C28)</f>
        <v>-1.0291650285714285E-3</v>
      </c>
      <c r="D28" s="2">
        <f>IF('Modell einstellen'!$B$2="Ja",creep_res25!O28,creep_res25!C28)</f>
        <v>-1.2711824857142859E-3</v>
      </c>
      <c r="E28" s="2">
        <f>IF('Modell einstellen'!$B$2="Ja",creep_res50!O28,creep_res50!C28)</f>
        <v>-2.8654377142857141E-3</v>
      </c>
      <c r="F28" s="2">
        <f>IF('Modell einstellen'!$B$2="Ja",creep_res80!O28,creep_res80!C28)</f>
        <v>-2.4215067428571428E-2</v>
      </c>
      <c r="G28" s="2">
        <f>IF('Modell einstellen'!$B$2="Ja",creep_res125!O28,creep_res125!C28)</f>
        <v>-2.5912107428571432E-2</v>
      </c>
      <c r="H28" s="2">
        <f>IF('Modell einstellen'!$B$2="Ja",creep_res160!O28,creep_res160!C28)</f>
        <v>-2.5934564857142857E-2</v>
      </c>
      <c r="M28" s="9">
        <f t="shared" si="27"/>
        <v>-10</v>
      </c>
      <c r="N28" s="2">
        <f t="shared" si="4"/>
        <v>10000000000</v>
      </c>
      <c r="O28" s="2">
        <f t="shared" si="5"/>
        <v>10880.613771070579</v>
      </c>
      <c r="P28" s="2">
        <f t="shared" si="6"/>
        <v>9716.6146559418939</v>
      </c>
      <c r="Q28" s="2">
        <f t="shared" si="7"/>
        <v>7866.6911418158297</v>
      </c>
      <c r="R28" s="2">
        <f t="shared" si="8"/>
        <v>3489.8682145993753</v>
      </c>
      <c r="S28" s="2">
        <f t="shared" si="9"/>
        <v>412.96601917370549</v>
      </c>
      <c r="T28" s="2">
        <f t="shared" si="10"/>
        <v>385.91998074898817</v>
      </c>
      <c r="U28" s="2">
        <f t="shared" si="11"/>
        <v>385.58580238703394</v>
      </c>
      <c r="Z28" s="2">
        <v>10000000000</v>
      </c>
      <c r="AA28" s="3">
        <f>IF('Modell einstellen'!$B$2="Ja",'creep_res-40'!P28,'creep_res-40'!L28)</f>
        <v>0.38462562434904785</v>
      </c>
      <c r="AB28" s="2">
        <f>IF('Modell einstellen'!$B$2="Ja",creep_res0!P28,creep_res0!L28)</f>
        <v>0.39314569458470305</v>
      </c>
      <c r="AC28" s="2">
        <f>IF('Modell einstellen'!$B$2="Ja",creep_res25!P28,creep_res25!L28)</f>
        <v>0.4090862800029138</v>
      </c>
      <c r="AD28" s="2">
        <f>IF('Modell einstellen'!$B$2="Ja",creep_res50!P28,creep_res50!L28)</f>
        <v>0.46294720168407089</v>
      </c>
      <c r="AE28" s="2">
        <f>IF('Modell einstellen'!$B$2="Ja",creep_res80!P28,creep_res80!L28)</f>
        <v>0.55630004676191225</v>
      </c>
      <c r="AF28" s="2">
        <f>IF('Modell einstellen'!$B$2="Ja",creep_res125!P28,creep_res125!L28)</f>
        <v>0.55157263715309424</v>
      </c>
      <c r="AG28" s="2">
        <f>IF('Modell einstellen'!$B$2="Ja",creep_res160!P28,creep_res160!L28)</f>
        <v>0.55094821773263492</v>
      </c>
      <c r="AL28" s="2">
        <f t="shared" si="12"/>
        <v>10000000000</v>
      </c>
      <c r="AM28" s="2">
        <f t="shared" si="13"/>
        <v>3929.081471457625</v>
      </c>
      <c r="AN28" s="2">
        <f t="shared" si="14"/>
        <v>3487.2930712528305</v>
      </c>
      <c r="AO28" s="2">
        <f t="shared" si="15"/>
        <v>2791.4157044377589</v>
      </c>
      <c r="AP28" s="2">
        <f t="shared" si="16"/>
        <v>1192.7526197056241</v>
      </c>
      <c r="AQ28" s="2">
        <f t="shared" si="17"/>
        <v>132.67557886184474</v>
      </c>
      <c r="AR28" s="2">
        <f t="shared" si="18"/>
        <v>124.36413594438419</v>
      </c>
      <c r="AS28" s="2">
        <f t="shared" si="19"/>
        <v>124.30647199515475</v>
      </c>
      <c r="AX28" s="2">
        <f t="shared" si="28"/>
        <v>10000000000</v>
      </c>
      <c r="AY28" s="37">
        <f t="shared" si="20"/>
        <v>15717.836983127349</v>
      </c>
      <c r="AZ28" s="37">
        <f t="shared" si="21"/>
        <v>15155.550070689824</v>
      </c>
      <c r="BA28" s="37">
        <f t="shared" si="22"/>
        <v>14421.532749343662</v>
      </c>
      <c r="BB28" s="37">
        <f t="shared" si="23"/>
        <v>15697.726726976471</v>
      </c>
      <c r="BC28" s="37">
        <f t="shared" si="24"/>
        <v>-1222.5153231817048</v>
      </c>
      <c r="BD28" s="37">
        <f t="shared" si="25"/>
        <v>-1247.1729262275853</v>
      </c>
      <c r="BE28" s="37">
        <f t="shared" si="26"/>
        <v>-1261.3650341035277</v>
      </c>
    </row>
    <row r="29" spans="1:57" x14ac:dyDescent="0.25">
      <c r="A29" s="2">
        <f>'creep_res-40'!A29</f>
        <v>100000000000</v>
      </c>
      <c r="B29" s="3">
        <f>'creep_res-40'!O29</f>
        <v>-9.8779891428571421E-4</v>
      </c>
      <c r="C29" s="2">
        <f>IF('Modell einstellen'!$B$2="Ja",creep_res0!O29,creep_res0!C29)</f>
        <v>-1.1262674571428572E-3</v>
      </c>
      <c r="D29" s="2">
        <f>IF('Modell einstellen'!$B$2="Ja",creep_res25!O29,creep_res25!C29)</f>
        <v>-1.5219878857142858E-3</v>
      </c>
      <c r="E29" s="2">
        <f>IF('Modell einstellen'!$B$2="Ja",creep_res50!O29,creep_res50!C29)</f>
        <v>-4.7087302857142859E-3</v>
      </c>
      <c r="F29" s="2">
        <f>IF('Modell einstellen'!$B$2="Ja",creep_res80!O29,creep_res80!C29)</f>
        <v>-2.5915531714285719E-2</v>
      </c>
      <c r="G29" s="2">
        <f>IF('Modell einstellen'!$B$2="Ja",creep_res125!O29,creep_res125!C29)</f>
        <v>-2.5958522285714283E-2</v>
      </c>
      <c r="H29" s="2">
        <f>IF('Modell einstellen'!$B$2="Ja",creep_res160!O29,creep_res160!C29)</f>
        <v>-2.5979272000000001E-2</v>
      </c>
      <c r="M29" s="9">
        <f t="shared" si="27"/>
        <v>-10</v>
      </c>
      <c r="N29" s="2">
        <f t="shared" si="4"/>
        <v>100000000000</v>
      </c>
      <c r="O29" s="2">
        <f t="shared" si="5"/>
        <v>10123.51790974693</v>
      </c>
      <c r="P29" s="2">
        <f t="shared" si="6"/>
        <v>8878.8856825964267</v>
      </c>
      <c r="Q29" s="2">
        <f t="shared" si="7"/>
        <v>6570.354530323275</v>
      </c>
      <c r="R29" s="2">
        <f t="shared" si="8"/>
        <v>2123.7147581671393</v>
      </c>
      <c r="S29" s="2">
        <f t="shared" si="9"/>
        <v>385.86898815151778</v>
      </c>
      <c r="T29" s="2">
        <f t="shared" si="10"/>
        <v>385.22994066974627</v>
      </c>
      <c r="U29" s="2">
        <f t="shared" si="11"/>
        <v>384.92225648201378</v>
      </c>
      <c r="Z29" s="2">
        <v>100000000000</v>
      </c>
      <c r="AA29" s="3">
        <f>IF('Modell einstellen'!$B$2="Ja",'creep_res-40'!P29,'creep_res-40'!L29)</f>
        <v>0.39011878704520608</v>
      </c>
      <c r="AB29" s="2">
        <f>IF('Modell einstellen'!$B$2="Ja",creep_res0!P29,creep_res0!L29)</f>
        <v>0.39988352424079121</v>
      </c>
      <c r="AC29" s="2">
        <f>IF('Modell einstellen'!$B$2="Ja",creep_res25!P29,creep_res25!L29)</f>
        <v>0.42081371175171361</v>
      </c>
      <c r="AD29" s="2">
        <f>IF('Modell einstellen'!$B$2="Ja",creep_res50!P29,creep_res50!L29)</f>
        <v>0.49019631983289891</v>
      </c>
      <c r="AE29" s="2">
        <f>IF('Modell einstellen'!$B$2="Ja",creep_res80!P29,creep_res80!L29)</f>
        <v>0.55476144085288237</v>
      </c>
      <c r="AF29" s="2">
        <f>IF('Modell einstellen'!$B$2="Ja",creep_res125!P29,creep_res125!L29)</f>
        <v>0.55022634570394002</v>
      </c>
      <c r="AG29" s="2">
        <f>IF('Modell einstellen'!$B$2="Ja",creep_res160!P29,creep_res160!L29)</f>
        <v>0.54983551062224867</v>
      </c>
      <c r="AL29" s="2">
        <f t="shared" si="12"/>
        <v>100000000000</v>
      </c>
      <c r="AM29" s="2">
        <f t="shared" si="13"/>
        <v>3641.242030569621</v>
      </c>
      <c r="AN29" s="2">
        <f t="shared" si="14"/>
        <v>3171.2944430186703</v>
      </c>
      <c r="AO29" s="2">
        <f t="shared" si="15"/>
        <v>2312.1801528163464</v>
      </c>
      <c r="AP29" s="2">
        <f t="shared" si="16"/>
        <v>712.56207316539314</v>
      </c>
      <c r="AQ29" s="2">
        <f t="shared" si="17"/>
        <v>124.09266721325585</v>
      </c>
      <c r="AR29" s="2">
        <f t="shared" si="18"/>
        <v>124.24957869452857</v>
      </c>
      <c r="AS29" s="2">
        <f t="shared" si="19"/>
        <v>124.18164826003697</v>
      </c>
      <c r="AX29" s="2">
        <f t="shared" si="28"/>
        <v>100000000000</v>
      </c>
      <c r="AY29" s="37">
        <f t="shared" si="20"/>
        <v>15355.245356200901</v>
      </c>
      <c r="AZ29" s="37">
        <f t="shared" si="21"/>
        <v>14780.926607842799</v>
      </c>
      <c r="BA29" s="37">
        <f t="shared" si="22"/>
        <v>13828.897813137615</v>
      </c>
      <c r="BB29" s="37">
        <f t="shared" si="23"/>
        <v>36104.039877015442</v>
      </c>
      <c r="BC29" s="37">
        <f t="shared" si="24"/>
        <v>-1174.3938257217701</v>
      </c>
      <c r="BD29" s="37">
        <f t="shared" si="25"/>
        <v>-1278.3129891647243</v>
      </c>
      <c r="BE29" s="37">
        <f t="shared" si="26"/>
        <v>-1287.3091619337808</v>
      </c>
    </row>
    <row r="30" spans="1:57" x14ac:dyDescent="0.25">
      <c r="A30" s="2">
        <f>'creep_res-40'!A30</f>
        <v>1000000000000</v>
      </c>
      <c r="B30" s="3">
        <f>'creep_res-40'!O30</f>
        <v>-1.0683100285714287E-3</v>
      </c>
      <c r="C30" s="2">
        <f>IF('Modell einstellen'!$B$2="Ja",creep_res0!O30,creep_res0!C30)</f>
        <v>-1.2804857714285715E-3</v>
      </c>
      <c r="D30" s="2">
        <f>IF('Modell einstellen'!$B$2="Ja",creep_res25!O30,creep_res25!C30)</f>
        <v>-1.9756241714285715E-3</v>
      </c>
      <c r="E30" s="2">
        <f>IF('Modell einstellen'!$B$2="Ja",creep_res50!O30,creep_res50!C30)</f>
        <v>-8.1325860000000007E-3</v>
      </c>
      <c r="F30" s="2">
        <f>IF('Modell einstellen'!$B$2="Ja",creep_res80!O30,creep_res80!C30)</f>
        <v>-2.5940484571428574E-2</v>
      </c>
      <c r="G30" s="2">
        <f>IF('Modell einstellen'!$B$2="Ja",creep_res125!O30,creep_res125!C30)</f>
        <v>-2.5996258285714287E-2</v>
      </c>
      <c r="H30" s="2">
        <f>IF('Modell einstellen'!$B$2="Ja",creep_res160!O30,creep_res160!C30)</f>
        <v>-2.6014335142857146E-2</v>
      </c>
      <c r="M30" s="9">
        <f t="shared" si="27"/>
        <v>-10</v>
      </c>
      <c r="N30" s="2">
        <f t="shared" si="4"/>
        <v>1000000000000</v>
      </c>
      <c r="O30" s="2">
        <f t="shared" si="5"/>
        <v>9360.5786078524925</v>
      </c>
      <c r="P30" s="2">
        <f t="shared" si="6"/>
        <v>7809.5362112798175</v>
      </c>
      <c r="Q30" s="2">
        <f t="shared" si="7"/>
        <v>5061.6914616756339</v>
      </c>
      <c r="R30" s="2">
        <f t="shared" si="8"/>
        <v>1229.6211807658719</v>
      </c>
      <c r="S30" s="2">
        <f t="shared" si="9"/>
        <v>385.49781028432375</v>
      </c>
      <c r="T30" s="2">
        <f t="shared" si="10"/>
        <v>384.67074338522389</v>
      </c>
      <c r="U30" s="2">
        <f t="shared" si="11"/>
        <v>384.4034431433754</v>
      </c>
      <c r="Z30" s="2">
        <v>1000000000000</v>
      </c>
      <c r="AA30" s="3">
        <f>IF('Modell einstellen'!$B$2="Ja",'creep_res-40'!P30,'creep_res-40'!L30)</f>
        <v>0.39605041350890891</v>
      </c>
      <c r="AB30" s="2">
        <f>IF('Modell einstellen'!$B$2="Ja",creep_res0!P30,creep_res0!L30)</f>
        <v>0.40878649134094247</v>
      </c>
      <c r="AC30" s="2">
        <f>IF('Modell einstellen'!$B$2="Ja",creep_res25!P30,creep_res25!L30)</f>
        <v>0.43682251248307119</v>
      </c>
      <c r="AD30" s="2">
        <f>IF('Modell einstellen'!$B$2="Ja",creep_res50!P30,creep_res50!L30)</f>
        <v>0.51508237530912238</v>
      </c>
      <c r="AE30" s="2">
        <f>IF('Modell einstellen'!$B$2="Ja",creep_res80!P30,creep_res80!L30)</f>
        <v>0.55477516357883649</v>
      </c>
      <c r="AF30" s="2">
        <f>IF('Modell einstellen'!$B$2="Ja",creep_res125!P30,creep_res125!L30)</f>
        <v>0.54953411756927129</v>
      </c>
      <c r="AG30" s="2">
        <f>IF('Modell einstellen'!$B$2="Ja",creep_res160!P30,creep_res160!L30)</f>
        <v>0.54934800618116342</v>
      </c>
      <c r="AL30" s="2">
        <f t="shared" si="12"/>
        <v>1000000000000</v>
      </c>
      <c r="AM30" s="2">
        <f t="shared" si="13"/>
        <v>3352.5216988135498</v>
      </c>
      <c r="AN30" s="2">
        <f t="shared" si="14"/>
        <v>2771.7245513357993</v>
      </c>
      <c r="AO30" s="2">
        <f t="shared" si="15"/>
        <v>1761.4184833894965</v>
      </c>
      <c r="AP30" s="2">
        <f t="shared" si="16"/>
        <v>405.79350694215293</v>
      </c>
      <c r="AQ30" s="2">
        <f t="shared" si="17"/>
        <v>123.97220489326934</v>
      </c>
      <c r="AR30" s="2">
        <f t="shared" si="18"/>
        <v>124.12464463468883</v>
      </c>
      <c r="AS30" s="2">
        <f t="shared" si="19"/>
        <v>124.05329261398603</v>
      </c>
      <c r="AX30" s="2">
        <f t="shared" si="28"/>
        <v>1000000000000</v>
      </c>
      <c r="AY30" s="37">
        <f t="shared" si="20"/>
        <v>15008.202411423625</v>
      </c>
      <c r="AZ30" s="37">
        <f t="shared" si="21"/>
        <v>14269.699605699665</v>
      </c>
      <c r="BA30" s="37">
        <f t="shared" si="22"/>
        <v>13353.098971948728</v>
      </c>
      <c r="BB30" s="37">
        <f t="shared" si="23"/>
        <v>-13587.837410266889</v>
      </c>
      <c r="BC30" s="37">
        <f t="shared" si="24"/>
        <v>-1172.9702085675094</v>
      </c>
      <c r="BD30" s="37">
        <f t="shared" si="25"/>
        <v>-1294.2956029154343</v>
      </c>
      <c r="BE30" s="37">
        <f t="shared" si="26"/>
        <v>-1298.2741448296031</v>
      </c>
    </row>
    <row r="31" spans="1:57" x14ac:dyDescent="0.25">
      <c r="A31" s="2">
        <f>'creep_res-40'!A31</f>
        <v>10000000000000</v>
      </c>
      <c r="B31" s="3">
        <f>'creep_res-40'!O31</f>
        <v>-1.1885513428571428E-3</v>
      </c>
      <c r="C31" s="2">
        <f>IF('Modell einstellen'!$B$2="Ja",creep_res0!O31,creep_res0!C31)</f>
        <v>-1.5340936E-3</v>
      </c>
      <c r="D31" s="2">
        <f>IF('Modell einstellen'!$B$2="Ja",creep_res25!O31,creep_res25!C31)</f>
        <v>-2.9386628571428574E-3</v>
      </c>
      <c r="E31" s="2">
        <f>IF('Modell einstellen'!$B$2="Ja",creep_res50!O31,creep_res50!C31)</f>
        <v>-1.4301890857142858E-2</v>
      </c>
      <c r="F31" s="2">
        <f>IF('Modell einstellen'!$B$2="Ja",creep_res80!O31,creep_res80!C31)</f>
        <v>-2.5945272857142859E-2</v>
      </c>
      <c r="G31" s="2">
        <f>IF('Modell einstellen'!$B$2="Ja",creep_res125!O31,creep_res125!C31)</f>
        <v>-2.5998281142857144E-2</v>
      </c>
      <c r="H31" s="2">
        <f>IF('Modell einstellen'!$B$2="Ja",creep_res160!O31,creep_res160!C31)</f>
        <v>-2.6016274000000002E-2</v>
      </c>
      <c r="M31" s="9">
        <f t="shared" si="27"/>
        <v>-10</v>
      </c>
      <c r="N31" s="2">
        <f t="shared" si="4"/>
        <v>10000000000000</v>
      </c>
      <c r="O31" s="2">
        <f t="shared" si="5"/>
        <v>8413.6037202744083</v>
      </c>
      <c r="P31" s="2">
        <f t="shared" si="6"/>
        <v>6518.5070845742393</v>
      </c>
      <c r="Q31" s="2">
        <f t="shared" si="7"/>
        <v>3402.9082225929769</v>
      </c>
      <c r="R31" s="2">
        <f t="shared" si="8"/>
        <v>699.20824455219883</v>
      </c>
      <c r="S31" s="2">
        <f t="shared" si="9"/>
        <v>385.426665391455</v>
      </c>
      <c r="T31" s="2">
        <f t="shared" si="10"/>
        <v>384.6408131772755</v>
      </c>
      <c r="U31" s="2">
        <f t="shared" si="11"/>
        <v>384.37479556065557</v>
      </c>
      <c r="Z31" s="2">
        <v>10000000000000</v>
      </c>
      <c r="AA31" s="3">
        <f>IF('Modell einstellen'!$B$2="Ja",'creep_res-40'!P31,'creep_res-40'!L31)</f>
        <v>0.40384261782116176</v>
      </c>
      <c r="AB31" s="2">
        <f>IF('Modell einstellen'!$B$2="Ja",creep_res0!P31,creep_res0!L31)</f>
        <v>0.42034641358072472</v>
      </c>
      <c r="AC31" s="2">
        <f>IF('Modell einstellen'!$B$2="Ja",creep_res25!P31,creep_res25!L31)</f>
        <v>0.46036363477266623</v>
      </c>
      <c r="AD31" s="2">
        <f>IF('Modell einstellen'!$B$2="Ja",creep_res50!P31,creep_res50!L31)</f>
        <v>0.53499071791066666</v>
      </c>
      <c r="AE31" s="2">
        <f>IF('Modell einstellen'!$B$2="Ja",creep_res80!P31,creep_res80!L31)</f>
        <v>0.55451354171811429</v>
      </c>
      <c r="AF31" s="2">
        <f>IF('Modell einstellen'!$B$2="Ja",creep_res125!P31,creep_res125!L31)</f>
        <v>0.54950937196023864</v>
      </c>
      <c r="AG31" s="2">
        <f>IF('Modell einstellen'!$B$2="Ja",creep_res160!P31,creep_res160!L31)</f>
        <v>0.54932537336328136</v>
      </c>
      <c r="AL31" s="2">
        <f t="shared" si="12"/>
        <v>10000000000000</v>
      </c>
      <c r="AM31" s="2">
        <f t="shared" si="13"/>
        <v>2996.6335305209523</v>
      </c>
      <c r="AN31" s="2">
        <f t="shared" si="14"/>
        <v>2294.6891766146468</v>
      </c>
      <c r="AO31" s="2">
        <f t="shared" si="15"/>
        <v>1165.0893454090649</v>
      </c>
      <c r="AP31" s="2">
        <f t="shared" si="16"/>
        <v>227.75650575396227</v>
      </c>
      <c r="AQ31" s="2">
        <f t="shared" si="17"/>
        <v>123.97018586453261</v>
      </c>
      <c r="AR31" s="2">
        <f t="shared" si="18"/>
        <v>124.11696893794122</v>
      </c>
      <c r="AS31" s="2">
        <f t="shared" si="19"/>
        <v>124.04585962671396</v>
      </c>
      <c r="AX31" s="2">
        <f t="shared" si="28"/>
        <v>10000000000000</v>
      </c>
      <c r="AY31" s="37">
        <f t="shared" si="20"/>
        <v>14583.043495343869</v>
      </c>
      <c r="AZ31" s="37">
        <f t="shared" si="21"/>
        <v>13639.283505835199</v>
      </c>
      <c r="BA31" s="37">
        <f t="shared" si="22"/>
        <v>14308.864276007014</v>
      </c>
      <c r="BB31" s="37">
        <f t="shared" si="23"/>
        <v>-3330.4463121587378</v>
      </c>
      <c r="BC31" s="37">
        <f t="shared" si="24"/>
        <v>-1178.3820229001365</v>
      </c>
      <c r="BD31" s="37">
        <f t="shared" si="25"/>
        <v>-1294.8417573888285</v>
      </c>
      <c r="BE31" s="37">
        <f t="shared" si="26"/>
        <v>-1298.7730565150696</v>
      </c>
    </row>
    <row r="32" spans="1:57" x14ac:dyDescent="0.25">
      <c r="A32" s="2">
        <f>'creep_res-40'!A32</f>
        <v>100000000000000</v>
      </c>
      <c r="B32" s="3">
        <f>'creep_res-40'!O32</f>
        <v>-1.3798511142857142E-3</v>
      </c>
      <c r="C32" s="2">
        <f>IF('Modell einstellen'!$B$2="Ja",creep_res0!O32,creep_res0!C32)</f>
        <v>-1.9957457428571431E-3</v>
      </c>
      <c r="D32" s="2">
        <f>IF('Modell einstellen'!$B$2="Ja",creep_res25!O32,creep_res25!C32)</f>
        <v>-4.8502194285714286E-3</v>
      </c>
      <c r="E32" s="2">
        <f>IF('Modell einstellen'!$B$2="Ja",creep_res50!O32,creep_res50!C32)</f>
        <v>-2.0572484000000002E-2</v>
      </c>
      <c r="F32" s="2">
        <f>IF('Modell einstellen'!$B$2="Ja",creep_res80!O32,creep_res80!C32)</f>
        <v>-2.594922828571429E-2</v>
      </c>
      <c r="G32" s="2">
        <f>IF('Modell einstellen'!$B$2="Ja",creep_res125!O32,creep_res125!C32)</f>
        <v>-2.5999255142857142E-2</v>
      </c>
      <c r="H32" s="2">
        <f>IF('Modell einstellen'!$B$2="Ja",creep_res160!O32,creep_res160!C32)</f>
        <v>-2.6017058285714288E-2</v>
      </c>
      <c r="M32" s="9">
        <v>-1</v>
      </c>
      <c r="N32" s="2">
        <f t="shared" si="4"/>
        <v>100000000000000</v>
      </c>
      <c r="O32" s="2">
        <f t="shared" si="5"/>
        <v>7247.1586944918636</v>
      </c>
      <c r="P32" s="2">
        <f t="shared" si="6"/>
        <v>5010.6583144623582</v>
      </c>
      <c r="Q32" s="2">
        <f t="shared" si="7"/>
        <v>2061.7623897781828</v>
      </c>
      <c r="R32" s="2">
        <f t="shared" si="8"/>
        <v>486.08617218999899</v>
      </c>
      <c r="S32" s="2">
        <f t="shared" si="9"/>
        <v>385.36791498748556</v>
      </c>
      <c r="T32" s="2">
        <f t="shared" si="10"/>
        <v>384.62640352784615</v>
      </c>
      <c r="U32" s="2">
        <f t="shared" si="11"/>
        <v>384.3632085603968</v>
      </c>
      <c r="Z32" s="2">
        <v>100000000000000</v>
      </c>
      <c r="AA32" s="3">
        <f>IF('Modell einstellen'!$B$2="Ja",'creep_res-40'!P32,'creep_res-40'!L32)</f>
        <v>0.41380031704869863</v>
      </c>
      <c r="AB32" s="2">
        <f>IF('Modell einstellen'!$B$2="Ja",creep_res0!P32,creep_res0!L32)</f>
        <v>0.43639015797331526</v>
      </c>
      <c r="AC32" s="2">
        <f>IF('Modell einstellen'!$B$2="Ja",creep_res25!P32,creep_res25!L32)</f>
        <v>0.48783324560043478</v>
      </c>
      <c r="AD32" s="2">
        <f>IF('Modell einstellen'!$B$2="Ja",creep_res50!P32,creep_res50!L32)</f>
        <v>0.54533989603366739</v>
      </c>
      <c r="AE32" s="2">
        <f>IF('Modell einstellen'!$B$2="Ja",creep_res80!P32,creep_res80!L32)</f>
        <v>0.55429780521191163</v>
      </c>
      <c r="AF32" s="2">
        <f>IF('Modell einstellen'!$B$2="Ja",creep_res125!P32,creep_res125!L32)</f>
        <v>0.54950417096015058</v>
      </c>
      <c r="AG32" s="2">
        <f>IF('Modell einstellen'!$B$2="Ja",creep_res160!P32,creep_res160!L32)</f>
        <v>0.54932366132004984</v>
      </c>
      <c r="AL32" s="2">
        <f t="shared" si="12"/>
        <v>100000000000000</v>
      </c>
      <c r="AM32" s="2">
        <f t="shared" si="13"/>
        <v>2563.0064610610193</v>
      </c>
      <c r="AN32" s="2">
        <f t="shared" si="14"/>
        <v>1744.1842965326991</v>
      </c>
      <c r="AO32" s="2">
        <f t="shared" si="15"/>
        <v>692.87414966525068</v>
      </c>
      <c r="AP32" s="2">
        <f t="shared" si="16"/>
        <v>157.27484077697326</v>
      </c>
      <c r="AQ32" s="2">
        <f t="shared" si="17"/>
        <v>123.96849358445334</v>
      </c>
      <c r="AR32" s="2">
        <f t="shared" si="18"/>
        <v>124.11273578228328</v>
      </c>
      <c r="AS32" s="2">
        <f t="shared" si="19"/>
        <v>124.04225732695286</v>
      </c>
      <c r="AX32" s="2">
        <f t="shared" si="28"/>
        <v>100000000000000</v>
      </c>
      <c r="AY32" s="37">
        <f t="shared" si="20"/>
        <v>14012.345997811763</v>
      </c>
      <c r="AZ32" s="37">
        <f t="shared" si="21"/>
        <v>13128.624320851572</v>
      </c>
      <c r="BA32" s="37">
        <f t="shared" si="22"/>
        <v>28243.116748975397</v>
      </c>
      <c r="BB32" s="37">
        <f t="shared" si="23"/>
        <v>-1786.8228451937523</v>
      </c>
      <c r="BC32" s="37">
        <f t="shared" si="24"/>
        <v>-1182.88364659641</v>
      </c>
      <c r="BD32" s="37">
        <f t="shared" si="25"/>
        <v>-1294.9292826169442</v>
      </c>
      <c r="BE32" s="37">
        <f t="shared" si="26"/>
        <v>-1298.7789844795204</v>
      </c>
    </row>
    <row r="33" spans="1:60" x14ac:dyDescent="0.25">
      <c r="A33" s="2">
        <f>'creep_res-40'!A33</f>
        <v>1000000000000000</v>
      </c>
      <c r="B33" s="3">
        <f>'creep_res-40'!O33</f>
        <v>-1.701471342857143E-3</v>
      </c>
      <c r="C33" s="2">
        <f>IF('Modell einstellen'!$B$2="Ja",creep_res0!O33,creep_res0!C33)</f>
        <v>-2.978228857142857E-3</v>
      </c>
      <c r="D33" s="2">
        <f>IF('Modell einstellen'!$B$2="Ja",creep_res25!O33,creep_res25!C33)</f>
        <v>-8.3903105714285726E-3</v>
      </c>
      <c r="E33" s="2">
        <f>IF('Modell einstellen'!$B$2="Ja",creep_res50!O33,creep_res50!C33)</f>
        <v>-2.3518056857142859E-2</v>
      </c>
      <c r="F33" s="2">
        <f>IF('Modell einstellen'!$B$2="Ja",creep_res80!O33,creep_res80!C33)</f>
        <v>-2.595281942857143E-2</v>
      </c>
      <c r="G33" s="2">
        <f>IF('Modell einstellen'!$B$2="Ja",creep_res125!O33,creep_res125!C33)</f>
        <v>-2.5999937428571429E-2</v>
      </c>
      <c r="H33" s="2">
        <f>IF('Modell einstellen'!$B$2="Ja",creep_res160!O33,creep_res160!C33)</f>
        <v>-2.6017475428571427E-2</v>
      </c>
      <c r="M33" s="9">
        <f>M31</f>
        <v>-10</v>
      </c>
      <c r="N33" s="2">
        <f t="shared" si="4"/>
        <v>1000000000000000</v>
      </c>
      <c r="O33" s="2">
        <f t="shared" si="5"/>
        <v>5877.2661919817056</v>
      </c>
      <c r="P33" s="2">
        <f t="shared" si="6"/>
        <v>3357.700324478566</v>
      </c>
      <c r="Q33" s="2">
        <f t="shared" si="7"/>
        <v>1191.8509946524368</v>
      </c>
      <c r="R33" s="2">
        <f t="shared" si="8"/>
        <v>425.20519704257879</v>
      </c>
      <c r="S33" s="2">
        <f t="shared" si="9"/>
        <v>385.3145908683436</v>
      </c>
      <c r="T33" s="2">
        <f t="shared" si="10"/>
        <v>384.6163102304609</v>
      </c>
      <c r="U33" s="2">
        <f t="shared" si="11"/>
        <v>384.35704599602968</v>
      </c>
      <c r="Z33" s="2">
        <v>1000000000000000</v>
      </c>
      <c r="AA33" s="3">
        <f>IF('Modell einstellen'!$B$2="Ja",'creep_res-40'!P33,'creep_res-40'!L33)</f>
        <v>0.42685795119474496</v>
      </c>
      <c r="AB33" s="2">
        <f>IF('Modell einstellen'!$B$2="Ja",creep_res0!P33,creep_res0!L33)</f>
        <v>0.46008770696984719</v>
      </c>
      <c r="AC33" s="2">
        <f>IF('Modell einstellen'!$B$2="Ja",creep_res25!P33,creep_res25!L33)</f>
        <v>0.51292009044310194</v>
      </c>
      <c r="AD33" s="2">
        <f>IF('Modell einstellen'!$B$2="Ja",creep_res50!P33,creep_res50!L33)</f>
        <v>0.54813389041045524</v>
      </c>
      <c r="AE33" s="2">
        <f>IF('Modell einstellen'!$B$2="Ja",creep_res80!P33,creep_res80!L33)</f>
        <v>0.55410204372180083</v>
      </c>
      <c r="AF33" s="2">
        <f>IF('Modell einstellen'!$B$2="Ja",creep_res125!P33,creep_res125!L33)</f>
        <v>0.54950634441636736</v>
      </c>
      <c r="AG33" s="2">
        <f>IF('Modell einstellen'!$B$2="Ja",creep_res160!P33,creep_res160!L33)</f>
        <v>0.54933074433355589</v>
      </c>
      <c r="AL33" s="2">
        <f t="shared" si="12"/>
        <v>1000000000000000</v>
      </c>
      <c r="AM33" s="2">
        <f t="shared" si="13"/>
        <v>2059.5134179476377</v>
      </c>
      <c r="AN33" s="2">
        <f t="shared" si="14"/>
        <v>1149.8282974544306</v>
      </c>
      <c r="AO33" s="2">
        <f t="shared" si="15"/>
        <v>393.89092728068977</v>
      </c>
      <c r="AP33" s="2">
        <f t="shared" si="16"/>
        <v>137.32830205333357</v>
      </c>
      <c r="AQ33" s="2">
        <f t="shared" si="17"/>
        <v>123.96695327212331</v>
      </c>
      <c r="AR33" s="2">
        <f t="shared" si="18"/>
        <v>124.10930475258213</v>
      </c>
      <c r="AS33" s="2">
        <f t="shared" si="19"/>
        <v>124.03970146521578</v>
      </c>
      <c r="AX33" s="2">
        <f>AL33</f>
        <v>1000000000000000</v>
      </c>
      <c r="AY33" s="37">
        <f t="shared" si="20"/>
        <v>13392.356125248529</v>
      </c>
      <c r="AZ33" s="37">
        <f t="shared" si="21"/>
        <v>14021.161859170812</v>
      </c>
      <c r="BA33" s="37">
        <f t="shared" si="22"/>
        <v>-15374.647206756053</v>
      </c>
      <c r="BB33" s="37">
        <f t="shared" si="23"/>
        <v>-1472.3001244261891</v>
      </c>
      <c r="BC33" s="37">
        <f t="shared" si="24"/>
        <v>-1186.9994931851288</v>
      </c>
      <c r="BD33" s="37">
        <f t="shared" si="25"/>
        <v>-1294.8384520702036</v>
      </c>
      <c r="BE33" s="37">
        <f t="shared" si="26"/>
        <v>-1298.5716824554424</v>
      </c>
    </row>
    <row r="34" spans="1:60" x14ac:dyDescent="0.25">
      <c r="A34" s="103" t="s">
        <v>4</v>
      </c>
      <c r="B34" s="103"/>
      <c r="C34" s="103"/>
      <c r="D34" s="103"/>
      <c r="E34" s="103"/>
      <c r="F34" s="103"/>
      <c r="G34" s="103"/>
      <c r="H34" s="103"/>
      <c r="I34" s="103"/>
      <c r="J34" s="103"/>
      <c r="K34" s="103"/>
      <c r="M34" s="103" t="s">
        <v>2</v>
      </c>
      <c r="N34" s="103"/>
      <c r="O34" s="103"/>
      <c r="P34" s="103"/>
      <c r="Q34" s="103"/>
      <c r="R34" s="103"/>
      <c r="S34" s="103"/>
      <c r="T34" s="103"/>
      <c r="U34" s="103"/>
      <c r="V34" s="103"/>
      <c r="W34" s="103"/>
      <c r="X34" s="103"/>
      <c r="Z34" s="104" t="s">
        <v>5</v>
      </c>
      <c r="AA34" s="104"/>
      <c r="AB34" s="104"/>
      <c r="AC34" s="104"/>
      <c r="AD34" s="104"/>
      <c r="AE34" s="104"/>
      <c r="AF34" s="104"/>
      <c r="AG34" s="104"/>
      <c r="AH34" s="104"/>
      <c r="AI34" s="104"/>
      <c r="AJ34" s="104"/>
      <c r="AL34" s="103" t="s">
        <v>3</v>
      </c>
      <c r="AM34" s="103"/>
      <c r="AN34" s="103"/>
      <c r="AO34" s="103"/>
      <c r="AP34" s="103"/>
      <c r="AQ34" s="103"/>
      <c r="AR34" s="103"/>
      <c r="AS34" s="103"/>
      <c r="AT34" s="103"/>
      <c r="AU34" s="103"/>
      <c r="AV34" s="103"/>
      <c r="AX34" s="103" t="s">
        <v>1</v>
      </c>
      <c r="AY34" s="103"/>
      <c r="AZ34" s="103"/>
      <c r="BA34" s="103"/>
      <c r="BB34" s="103"/>
      <c r="BC34" s="103"/>
      <c r="BD34" s="103"/>
      <c r="BE34" s="103"/>
      <c r="BF34" s="103"/>
      <c r="BG34" s="103"/>
      <c r="BH34" s="103"/>
    </row>
    <row r="35" spans="1:60" x14ac:dyDescent="0.25">
      <c r="Y35" s="6"/>
    </row>
  </sheetData>
  <mergeCells count="10">
    <mergeCell ref="A1:K1"/>
    <mergeCell ref="M1:X1"/>
    <mergeCell ref="AL1:AV1"/>
    <mergeCell ref="AX1:BH1"/>
    <mergeCell ref="Z1:AJ1"/>
    <mergeCell ref="AX34:BH34"/>
    <mergeCell ref="A34:K34"/>
    <mergeCell ref="AL34:AV34"/>
    <mergeCell ref="M34:X34"/>
    <mergeCell ref="Z34:AJ34"/>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abSelected="1" topLeftCell="A100" zoomScale="120" zoomScaleNormal="120" zoomScaleSheetLayoutView="110" workbookViewId="0">
      <selection activeCell="H113" sqref="H113"/>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50</v>
      </c>
      <c r="D2" s="11">
        <f>1</f>
        <v>1</v>
      </c>
      <c r="E2" s="11">
        <f>D2+1</f>
        <v>2</v>
      </c>
      <c r="F2" s="11">
        <f t="shared" ref="F2:J2" si="0">E2+1</f>
        <v>3</v>
      </c>
      <c r="G2" s="11">
        <f t="shared" si="0"/>
        <v>4</v>
      </c>
      <c r="H2" s="11">
        <f t="shared" si="0"/>
        <v>5</v>
      </c>
      <c r="I2" s="11">
        <f t="shared" si="0"/>
        <v>6</v>
      </c>
      <c r="J2" s="11">
        <f t="shared" si="0"/>
        <v>7</v>
      </c>
    </row>
    <row r="3" spans="1:36" x14ac:dyDescent="0.25">
      <c r="A3" s="11" t="s">
        <v>111</v>
      </c>
      <c r="B3" s="35">
        <v>4</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5</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07" t="s">
        <v>26</v>
      </c>
      <c r="B15" s="107"/>
      <c r="C15" s="107"/>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5924.2874974527258</v>
      </c>
      <c r="G16" s="26">
        <f>INDEX(Comparison!$AM$3:$AS$33,G14,$B$3)</f>
        <v>5924.3241993050724</v>
      </c>
      <c r="H16" s="26">
        <f>INDEX(Comparison!$AM$3:$AS$33,H14,$B$3)</f>
        <v>5924.3017770264787</v>
      </c>
      <c r="I16" s="26">
        <f>INDEX(Comparison!$AM$3:$AS$33,I14,$B$3)</f>
        <v>5924.2949982314785</v>
      </c>
      <c r="J16" s="26">
        <f>INDEX(Comparison!$AM$3:$AS$33,J14,$B$3)</f>
        <v>5924.2929325070927</v>
      </c>
      <c r="K16" s="26">
        <f>INDEX(Comparison!$AM$3:$AS$33,K14,$B$3)</f>
        <v>5924.292050062164</v>
      </c>
      <c r="L16" s="26">
        <f>INDEX(Comparison!$AM$3:$AS$33,L14,$B$3)</f>
        <v>5924.2896233399624</v>
      </c>
      <c r="M16" s="26">
        <f>INDEX(Comparison!$AM$3:$AS$33,M14,$B$3)</f>
        <v>5924.2686453119095</v>
      </c>
      <c r="N16" s="26">
        <f>INDEX(Comparison!$AM$3:$AS$33,N14,$B$3)</f>
        <v>5924.0589935262078</v>
      </c>
      <c r="O16" s="26">
        <f>INDEX(Comparison!$AM$3:$AS$33,O14,$B$3)</f>
        <v>5921.976437640149</v>
      </c>
      <c r="P16" s="26">
        <f>INDEX(Comparison!$AM$3:$AS$33,P14,$B$3)</f>
        <v>5902.5412392933085</v>
      </c>
      <c r="Q16" s="26">
        <f>INDEX(Comparison!$AM$3:$AS$33,Q14,$B$3)</f>
        <v>5788.7691117948852</v>
      </c>
      <c r="R16" s="26">
        <f>INDEX(Comparison!$AM$3:$AS$33,R14,$B$3)</f>
        <v>5647.748615055857</v>
      </c>
      <c r="S16" s="26">
        <f>INDEX(Comparison!$AM$3:$AS$33,S14,$B$3)</f>
        <v>5493.0807600988655</v>
      </c>
      <c r="T16" s="26">
        <f>INDEX(Comparison!$AM$3:$AS$33,T14,$B$3)</f>
        <v>5310.1724689095536</v>
      </c>
      <c r="U16" s="26">
        <f>INDEX(Comparison!$AM$3:$AS$33,U14,$B$3)</f>
        <v>5116.9183384452708</v>
      </c>
      <c r="V16" s="26">
        <f>INDEX(Comparison!$AM$3:$AS$33,V14,$B$3)</f>
        <v>4889.0072432178858</v>
      </c>
      <c r="W16" s="26">
        <f>INDEX(Comparison!$AM$3:$AS$33,W14,$B$3)</f>
        <v>4599.1409750767552</v>
      </c>
      <c r="X16" s="26">
        <f>INDEX(Comparison!$AM$3:$AS$33,X14,$B$3)</f>
        <v>4272.3926167684576</v>
      </c>
      <c r="Y16" s="26">
        <f>INDEX(Comparison!$AM$3:$AS$33,Y14,$B$3)</f>
        <v>3941.1470093551798</v>
      </c>
      <c r="Z16" s="26">
        <f>INDEX(Comparison!$AM$3:$AS$33,Z14,$B$3)</f>
        <v>3608.495032401398</v>
      </c>
      <c r="AA16" s="26">
        <f>INDEX(Comparison!$AM$3:$AS$33,AA14,$B$3)</f>
        <v>3262.5462100054015</v>
      </c>
      <c r="AB16" s="26">
        <f>INDEX(Comparison!$AM$3:$AS$33,AB14,$B$3)</f>
        <v>2841.314577864513</v>
      </c>
      <c r="AC16" s="26">
        <f>INDEX(Comparison!$AM$3:$AS$33,AC14,$B$3)</f>
        <v>2350.4004054830193</v>
      </c>
      <c r="AD16" s="26">
        <f>INDEX(Comparison!$AM$3:$AS$33,AD14,$B$3)</f>
        <v>1794.2797745605371</v>
      </c>
      <c r="AE16" s="26">
        <f>INDEX(Comparison!$AM$3:$AS$33,AE14,$B$3)</f>
        <v>1192.7526197056241</v>
      </c>
      <c r="AF16" s="26">
        <f>INDEX(Comparison!$AM$3:$AS$33,AF14,$B$3)</f>
        <v>712.56207316539314</v>
      </c>
      <c r="AG16" s="26">
        <f>INDEX(Comparison!$AM$3:$AS$33,AG14,$B$3)</f>
        <v>405.79350694215293</v>
      </c>
      <c r="AH16" s="26">
        <f>INDEX(Comparison!$AM$3:$AS$33,AH14,$B$3)</f>
        <v>227.75650575396227</v>
      </c>
      <c r="AI16" s="26">
        <f>INDEX(Comparison!$AM$3:$AS$33,AI14,$B$3)</f>
        <v>157.27484077697326</v>
      </c>
      <c r="AJ16" s="26">
        <f>INDEX(Comparison!$AM$3:$AS$33,AJ14,$B$3)</f>
        <v>137.32830205333357</v>
      </c>
    </row>
    <row r="17" spans="1:36" x14ac:dyDescent="0.25">
      <c r="A17" s="14" t="s">
        <v>20</v>
      </c>
      <c r="B17" s="115">
        <v>1.6109766939938219E-2</v>
      </c>
      <c r="C17" s="18">
        <f t="shared" ref="C17:C48" si="3">ABS(B17/$B$49)</f>
        <v>1.3147853577774735E-2</v>
      </c>
      <c r="D17" s="66"/>
      <c r="E17" s="65" t="s">
        <v>22</v>
      </c>
      <c r="F17" s="27">
        <f>($C$17+SUM(F18:F48))*$B$51</f>
        <v>5924.3223454607651</v>
      </c>
      <c r="G17" s="27">
        <f t="shared" ref="G17:M17" si="4">($C$17+SUM(G18:G48))*$B$51</f>
        <v>5924.3223454382824</v>
      </c>
      <c r="H17" s="27">
        <f t="shared" si="4"/>
        <v>5924.3223452134616</v>
      </c>
      <c r="I17" s="27">
        <f t="shared" si="4"/>
        <v>5924.3223429652517</v>
      </c>
      <c r="J17" s="27">
        <f t="shared" si="4"/>
        <v>5924.3223204831502</v>
      </c>
      <c r="K17" s="27">
        <f t="shared" si="4"/>
        <v>5924.3220956624627</v>
      </c>
      <c r="L17" s="27">
        <f t="shared" si="4"/>
        <v>5924.3198474884048</v>
      </c>
      <c r="M17" s="27">
        <f t="shared" si="4"/>
        <v>5924.2973690295794</v>
      </c>
      <c r="N17" s="27">
        <f t="shared" ref="N17" si="5">($C$17+SUM(N18:N48))*$B$51</f>
        <v>5924.0729116822522</v>
      </c>
      <c r="O17" s="27">
        <f t="shared" ref="O17" si="6">($C$17+SUM(O18:O48))*$B$51</f>
        <v>5921.8601540583113</v>
      </c>
      <c r="P17" s="27">
        <f t="shared" ref="P17" si="7">($C$17+SUM(P18:P48))*$B$51</f>
        <v>5902.2081103099545</v>
      </c>
      <c r="Q17" s="27">
        <f t="shared" ref="Q17" si="8">($C$17+SUM(Q18:Q48))*$B$51</f>
        <v>5789.3269779329539</v>
      </c>
      <c r="R17" s="27">
        <f t="shared" ref="R17" si="9">($C$17+SUM(R18:R48))*$B$51</f>
        <v>5647.0619575109667</v>
      </c>
      <c r="S17" s="27">
        <f t="shared" ref="S17:T17" si="10">($C$17+SUM(S18:S48))*$B$51</f>
        <v>5493.8054243942206</v>
      </c>
      <c r="T17" s="27">
        <f t="shared" si="10"/>
        <v>5309.5141162606951</v>
      </c>
      <c r="U17" s="27">
        <f t="shared" ref="U17" si="11">($C$17+SUM(U18:U48))*$B$51</f>
        <v>5117.4278504261974</v>
      </c>
      <c r="V17" s="27">
        <f t="shared" ref="V17" si="12">($C$17+SUM(V18:V48))*$B$51</f>
        <v>4888.6691773134917</v>
      </c>
      <c r="W17" s="27">
        <f t="shared" ref="W17" si="13">($C$17+SUM(W18:W48))*$B$51</f>
        <v>4599.3359574428214</v>
      </c>
      <c r="X17" s="27">
        <f t="shared" ref="X17" si="14">($C$17+SUM(X18:X48))*$B$51</f>
        <v>4272.2957947174973</v>
      </c>
      <c r="Y17" s="27">
        <f t="shared" ref="Y17" si="15">($C$17+SUM(Y18:Y48))*$B$51</f>
        <v>3941.1873595578249</v>
      </c>
      <c r="Z17" s="27">
        <f t="shared" ref="Z17:AA17" si="16">($C$17+SUM(Z18:Z48))*$B$51</f>
        <v>3608.4814380980879</v>
      </c>
      <c r="AA17" s="27">
        <f t="shared" si="16"/>
        <v>3262.5497579342496</v>
      </c>
      <c r="AB17" s="27">
        <f t="shared" ref="AB17" si="17">($C$17+SUM(AB18:AB48))*$B$51</f>
        <v>2841.3133485517315</v>
      </c>
      <c r="AC17" s="27">
        <f t="shared" ref="AC17" si="18">($C$17+SUM(AC18:AC48))*$B$51</f>
        <v>2350.399363924254</v>
      </c>
      <c r="AD17" s="27">
        <f t="shared" ref="AD17" si="19">($C$17+SUM(AD18:AD48))*$B$51</f>
        <v>1794.2863976892534</v>
      </c>
      <c r="AE17" s="27">
        <f t="shared" ref="AE17" si="20">($C$17+SUM(AE18:AE48))*$B$51</f>
        <v>1192.7443975902963</v>
      </c>
      <c r="AF17" s="27">
        <f t="shared" ref="AF17" si="21">($C$17+SUM(AF18:AF48))*$B$51</f>
        <v>712.56457401443936</v>
      </c>
      <c r="AG17" s="27">
        <f t="shared" ref="AG17:AH17" si="22">($C$17+SUM(AG18:AG48))*$B$51</f>
        <v>405.79753627693225</v>
      </c>
      <c r="AH17" s="27">
        <f t="shared" si="22"/>
        <v>227.75057802143948</v>
      </c>
      <c r="AI17" s="27">
        <f t="shared" ref="AI17" si="23">($C$17+SUM(AI18:AI48))*$B$51</f>
        <v>157.27859013277902</v>
      </c>
      <c r="AJ17" s="27">
        <f t="shared" ref="AJ17" si="24">($C$17+SUM(AJ18:AJ48))*$B$51</f>
        <v>137.32710648672062</v>
      </c>
    </row>
    <row r="18" spans="1:36" x14ac:dyDescent="0.25">
      <c r="A18" s="3">
        <f>0.000000000000001/10^5</f>
        <v>1.0000000000000001E-20</v>
      </c>
      <c r="B18" s="116">
        <v>1.2573320665391591E-3</v>
      </c>
      <c r="C18" s="18">
        <f t="shared" si="3"/>
        <v>1.0261612083607946E-3</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16">
        <v>0</v>
      </c>
      <c r="C19" s="18">
        <f t="shared" si="3"/>
        <v>0</v>
      </c>
      <c r="D19" s="17"/>
      <c r="F19" s="3">
        <f t="shared" si="25"/>
        <v>0</v>
      </c>
      <c r="G19" s="3">
        <f t="shared" si="25"/>
        <v>0</v>
      </c>
      <c r="H19" s="3">
        <f t="shared" si="25"/>
        <v>0</v>
      </c>
      <c r="I19" s="3">
        <f t="shared" si="25"/>
        <v>0</v>
      </c>
      <c r="J19" s="3">
        <f t="shared" si="25"/>
        <v>0</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16">
        <v>0</v>
      </c>
      <c r="C20" s="18">
        <f t="shared" si="3"/>
        <v>0</v>
      </c>
      <c r="D20" s="17"/>
      <c r="F20" s="3">
        <f t="shared" si="25"/>
        <v>0</v>
      </c>
      <c r="G20" s="3">
        <f t="shared" si="25"/>
        <v>0</v>
      </c>
      <c r="H20" s="3">
        <f t="shared" si="25"/>
        <v>0</v>
      </c>
      <c r="I20" s="3">
        <f t="shared" si="25"/>
        <v>0</v>
      </c>
      <c r="J20" s="3">
        <f t="shared" si="25"/>
        <v>0</v>
      </c>
      <c r="K20" s="3">
        <f t="shared" si="25"/>
        <v>0</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16">
        <v>0</v>
      </c>
      <c r="C21" s="18">
        <f t="shared" si="3"/>
        <v>0</v>
      </c>
      <c r="D21" s="17"/>
      <c r="F21" s="3">
        <f t="shared" si="25"/>
        <v>0</v>
      </c>
      <c r="G21" s="3">
        <f t="shared" si="25"/>
        <v>0</v>
      </c>
      <c r="H21" s="3">
        <f t="shared" si="25"/>
        <v>0</v>
      </c>
      <c r="I21" s="3">
        <f t="shared" si="25"/>
        <v>0</v>
      </c>
      <c r="J21" s="3">
        <f t="shared" si="25"/>
        <v>0</v>
      </c>
      <c r="K21" s="3">
        <f t="shared" si="25"/>
        <v>0</v>
      </c>
      <c r="L21" s="3">
        <f t="shared" si="25"/>
        <v>0</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16">
        <v>0</v>
      </c>
      <c r="C22" s="18">
        <f t="shared" si="3"/>
        <v>0</v>
      </c>
      <c r="D22" s="17"/>
      <c r="F22" s="3">
        <f t="shared" si="25"/>
        <v>0</v>
      </c>
      <c r="G22" s="3">
        <f t="shared" si="25"/>
        <v>0</v>
      </c>
      <c r="H22" s="3">
        <f t="shared" si="25"/>
        <v>0</v>
      </c>
      <c r="I22" s="3">
        <f t="shared" si="25"/>
        <v>0</v>
      </c>
      <c r="J22" s="3">
        <f t="shared" si="25"/>
        <v>0</v>
      </c>
      <c r="K22" s="3">
        <f t="shared" si="25"/>
        <v>0</v>
      </c>
      <c r="L22" s="3">
        <f t="shared" si="25"/>
        <v>0</v>
      </c>
      <c r="M22" s="3">
        <f t="shared" si="25"/>
        <v>0</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16">
        <v>0</v>
      </c>
      <c r="C23" s="18">
        <f t="shared" si="3"/>
        <v>0</v>
      </c>
      <c r="D23" s="17"/>
      <c r="F23" s="3">
        <f t="shared" si="25"/>
        <v>0</v>
      </c>
      <c r="G23" s="3">
        <f t="shared" si="25"/>
        <v>0</v>
      </c>
      <c r="H23" s="3">
        <f t="shared" si="25"/>
        <v>0</v>
      </c>
      <c r="I23" s="3">
        <f t="shared" si="25"/>
        <v>0</v>
      </c>
      <c r="J23" s="3">
        <f t="shared" si="25"/>
        <v>0</v>
      </c>
      <c r="K23" s="3">
        <f t="shared" si="25"/>
        <v>0</v>
      </c>
      <c r="L23" s="3">
        <f t="shared" si="25"/>
        <v>0</v>
      </c>
      <c r="M23" s="3">
        <f t="shared" si="25"/>
        <v>0</v>
      </c>
      <c r="N23" s="3">
        <f t="shared" si="25"/>
        <v>0</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16">
        <v>0</v>
      </c>
      <c r="C24" s="18">
        <f t="shared" si="3"/>
        <v>0</v>
      </c>
      <c r="D24" s="17"/>
      <c r="F24" s="3">
        <f t="shared" si="25"/>
        <v>0</v>
      </c>
      <c r="G24" s="3">
        <f t="shared" si="25"/>
        <v>0</v>
      </c>
      <c r="H24" s="3">
        <f t="shared" si="25"/>
        <v>0</v>
      </c>
      <c r="I24" s="3">
        <f t="shared" si="25"/>
        <v>0</v>
      </c>
      <c r="J24" s="3">
        <f t="shared" si="25"/>
        <v>0</v>
      </c>
      <c r="K24" s="3">
        <f t="shared" si="25"/>
        <v>0</v>
      </c>
      <c r="L24" s="3">
        <f t="shared" si="25"/>
        <v>0</v>
      </c>
      <c r="M24" s="3">
        <f t="shared" si="25"/>
        <v>0</v>
      </c>
      <c r="N24" s="3">
        <f t="shared" si="25"/>
        <v>0</v>
      </c>
      <c r="O24" s="3">
        <f t="shared" si="25"/>
        <v>0</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16">
        <v>0</v>
      </c>
      <c r="C25" s="18">
        <f t="shared" si="3"/>
        <v>0</v>
      </c>
      <c r="D25" s="17"/>
      <c r="F25" s="3">
        <f t="shared" si="25"/>
        <v>0</v>
      </c>
      <c r="G25" s="3">
        <f t="shared" si="25"/>
        <v>0</v>
      </c>
      <c r="H25" s="3">
        <f t="shared" si="25"/>
        <v>0</v>
      </c>
      <c r="I25" s="3">
        <f t="shared" si="25"/>
        <v>0</v>
      </c>
      <c r="J25" s="3">
        <f t="shared" si="25"/>
        <v>0</v>
      </c>
      <c r="K25" s="3">
        <f t="shared" si="25"/>
        <v>0</v>
      </c>
      <c r="L25" s="3">
        <f t="shared" si="25"/>
        <v>0</v>
      </c>
      <c r="M25" s="3">
        <f t="shared" si="25"/>
        <v>0</v>
      </c>
      <c r="N25" s="3">
        <f t="shared" si="25"/>
        <v>0</v>
      </c>
      <c r="O25" s="3">
        <f t="shared" si="25"/>
        <v>0</v>
      </c>
      <c r="P25" s="3">
        <f t="shared" si="25"/>
        <v>0</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16">
        <v>0</v>
      </c>
      <c r="C26" s="18">
        <f t="shared" si="3"/>
        <v>0</v>
      </c>
      <c r="D26" s="17"/>
      <c r="F26" s="3">
        <f t="shared" si="25"/>
        <v>0</v>
      </c>
      <c r="G26" s="3">
        <f t="shared" si="25"/>
        <v>0</v>
      </c>
      <c r="H26" s="3">
        <f t="shared" si="25"/>
        <v>0</v>
      </c>
      <c r="I26" s="3">
        <f t="shared" si="25"/>
        <v>0</v>
      </c>
      <c r="J26" s="3">
        <f t="shared" si="25"/>
        <v>0</v>
      </c>
      <c r="K26" s="3">
        <f t="shared" si="25"/>
        <v>0</v>
      </c>
      <c r="L26" s="3">
        <f t="shared" si="25"/>
        <v>0</v>
      </c>
      <c r="M26" s="3">
        <f t="shared" si="25"/>
        <v>0</v>
      </c>
      <c r="N26" s="3">
        <f t="shared" si="25"/>
        <v>0</v>
      </c>
      <c r="O26" s="3">
        <f t="shared" si="25"/>
        <v>0</v>
      </c>
      <c r="P26" s="3">
        <f t="shared" si="25"/>
        <v>0</v>
      </c>
      <c r="Q26" s="3">
        <f t="shared" si="25"/>
        <v>0</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16">
        <v>8.9153504022515843E-4</v>
      </c>
      <c r="C27" s="18">
        <f t="shared" si="3"/>
        <v>7.2761897872501713E-4</v>
      </c>
      <c r="D27" s="17"/>
      <c r="F27" s="3">
        <f t="shared" si="25"/>
        <v>7.2761897864328769E-4</v>
      </c>
      <c r="G27" s="3">
        <f t="shared" si="25"/>
        <v>7.2761897790772244E-4</v>
      </c>
      <c r="H27" s="3">
        <f t="shared" si="25"/>
        <v>7.2761897055207065E-4</v>
      </c>
      <c r="I27" s="3">
        <f t="shared" si="25"/>
        <v>7.2761889699555669E-4</v>
      </c>
      <c r="J27" s="3">
        <f t="shared" si="25"/>
        <v>7.2761816143082538E-4</v>
      </c>
      <c r="K27" s="3">
        <f t="shared" si="25"/>
        <v>7.2761080582441128E-4</v>
      </c>
      <c r="L27" s="3">
        <f t="shared" si="25"/>
        <v>7.2753725384988946E-4</v>
      </c>
      <c r="M27" s="3">
        <f t="shared" si="25"/>
        <v>7.2680214291374217E-4</v>
      </c>
      <c r="N27" s="3">
        <f t="shared" si="25"/>
        <v>7.1949176196071246E-4</v>
      </c>
      <c r="O27" s="3">
        <f t="shared" si="25"/>
        <v>6.5031248471175977E-4</v>
      </c>
      <c r="P27" s="3">
        <f t="shared" si="25"/>
        <v>2.3663814451550813E-4</v>
      </c>
      <c r="Q27" s="3">
        <f t="shared" si="25"/>
        <v>9.6318863173455903E-9</v>
      </c>
      <c r="R27" s="3">
        <f t="shared" si="25"/>
        <v>1.2022016379053301E-52</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16">
        <v>3.853010189695881E-2</v>
      </c>
      <c r="C28" s="18">
        <f t="shared" si="3"/>
        <v>3.1446025257017021E-2</v>
      </c>
      <c r="D28" s="17"/>
      <c r="F28" s="3">
        <f t="shared" si="25"/>
        <v>3.1446025256698394E-2</v>
      </c>
      <c r="G28" s="3">
        <f t="shared" si="25"/>
        <v>3.1446025253830723E-2</v>
      </c>
      <c r="H28" s="3">
        <f t="shared" si="25"/>
        <v>3.1446025225153995E-2</v>
      </c>
      <c r="I28" s="3">
        <f t="shared" si="25"/>
        <v>3.1446024938386788E-2</v>
      </c>
      <c r="J28" s="3">
        <f t="shared" si="25"/>
        <v>3.1446022070714806E-2</v>
      </c>
      <c r="K28" s="3">
        <f t="shared" si="25"/>
        <v>3.1445993394009372E-2</v>
      </c>
      <c r="L28" s="3">
        <f t="shared" si="25"/>
        <v>3.1445706628393369E-2</v>
      </c>
      <c r="M28" s="3">
        <f t="shared" si="25"/>
        <v>3.1442839116060078E-2</v>
      </c>
      <c r="N28" s="3">
        <f t="shared" si="25"/>
        <v>3.1414178370549613E-2</v>
      </c>
      <c r="O28" s="3">
        <f t="shared" si="25"/>
        <v>3.1129003858197144E-2</v>
      </c>
      <c r="P28" s="3">
        <f t="shared" si="25"/>
        <v>2.8415833719674998E-2</v>
      </c>
      <c r="Q28" s="3">
        <f t="shared" si="25"/>
        <v>1.1415953664789735E-2</v>
      </c>
      <c r="R28" s="3">
        <f t="shared" si="25"/>
        <v>1.2503458119039281E-6</v>
      </c>
      <c r="S28" s="3">
        <f t="shared" si="25"/>
        <v>3.1060583307708917E-46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16">
        <v>2.4014984873664335E-2</v>
      </c>
      <c r="C29" s="18">
        <f t="shared" si="3"/>
        <v>1.9599632072183452E-2</v>
      </c>
      <c r="D29" s="17"/>
      <c r="F29" s="3">
        <f t="shared" si="25"/>
        <v>1.9599632072165536E-2</v>
      </c>
      <c r="G29" s="3">
        <f t="shared" si="25"/>
        <v>1.9599632072004304E-2</v>
      </c>
      <c r="H29" s="3">
        <f t="shared" si="25"/>
        <v>1.9599632070391958E-2</v>
      </c>
      <c r="I29" s="3">
        <f t="shared" si="25"/>
        <v>1.9599632054268498E-2</v>
      </c>
      <c r="J29" s="3">
        <f t="shared" si="25"/>
        <v>1.9599631893033896E-2</v>
      </c>
      <c r="K29" s="3">
        <f t="shared" si="25"/>
        <v>1.9599630280687966E-2</v>
      </c>
      <c r="L29" s="3">
        <f t="shared" si="25"/>
        <v>1.9599614157235937E-2</v>
      </c>
      <c r="M29" s="3">
        <f t="shared" si="25"/>
        <v>1.9599452923445174E-2</v>
      </c>
      <c r="N29" s="3">
        <f t="shared" si="25"/>
        <v>1.9597840658486087E-2</v>
      </c>
      <c r="O29" s="3">
        <f t="shared" si="25"/>
        <v>1.9581725301528904E-2</v>
      </c>
      <c r="P29" s="3">
        <f t="shared" si="25"/>
        <v>1.9421298780490186E-2</v>
      </c>
      <c r="Q29" s="3">
        <f t="shared" si="25"/>
        <v>1.7887573308505919E-2</v>
      </c>
      <c r="R29" s="3">
        <f t="shared" si="25"/>
        <v>7.8574748092729504E-3</v>
      </c>
      <c r="S29" s="3">
        <f t="shared" si="25"/>
        <v>2.1018354110317127E-6</v>
      </c>
      <c r="T29" s="3">
        <f t="shared" si="25"/>
        <v>3.9423554375585182E-42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16">
        <v>3.9841380595270148E-2</v>
      </c>
      <c r="C30" s="18">
        <f t="shared" si="3"/>
        <v>3.2516214564493037E-2</v>
      </c>
      <c r="D30" s="17"/>
      <c r="F30" s="3">
        <f t="shared" si="25"/>
        <v>3.2516214564490352E-2</v>
      </c>
      <c r="G30" s="3">
        <f t="shared" si="25"/>
        <v>3.2516214564466225E-2</v>
      </c>
      <c r="H30" s="3">
        <f t="shared" si="25"/>
        <v>3.2516214564224925E-2</v>
      </c>
      <c r="I30" s="3">
        <f t="shared" si="25"/>
        <v>3.2516214561811932E-2</v>
      </c>
      <c r="J30" s="3">
        <f t="shared" si="25"/>
        <v>3.2516214537681949E-2</v>
      </c>
      <c r="K30" s="3">
        <f t="shared" si="25"/>
        <v>3.2516214296382184E-2</v>
      </c>
      <c r="L30" s="3">
        <f t="shared" si="25"/>
        <v>3.2516211883384633E-2</v>
      </c>
      <c r="M30" s="3">
        <f t="shared" si="25"/>
        <v>3.2516187753418968E-2</v>
      </c>
      <c r="N30" s="3">
        <f t="shared" si="25"/>
        <v>3.2515946454747174E-2</v>
      </c>
      <c r="O30" s="3">
        <f t="shared" si="25"/>
        <v>3.2513533566512667E-2</v>
      </c>
      <c r="P30" s="3">
        <f t="shared" si="25"/>
        <v>3.2489414529809225E-2</v>
      </c>
      <c r="Q30" s="3">
        <f t="shared" si="25"/>
        <v>3.2249206028940575E-2</v>
      </c>
      <c r="R30" s="3">
        <f t="shared" si="25"/>
        <v>2.9942664372380315E-2</v>
      </c>
      <c r="S30" s="3">
        <f t="shared" si="25"/>
        <v>1.425622684529808E-2</v>
      </c>
      <c r="T30" s="3">
        <f t="shared" si="25"/>
        <v>8.5338724307411359E-6</v>
      </c>
      <c r="U30" s="3">
        <f t="shared" si="25"/>
        <v>5.0415216771250841E-38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16">
        <v>3.9409725804921636E-2</v>
      </c>
      <c r="C31" s="18">
        <f t="shared" si="3"/>
        <v>3.2163923063268561E-2</v>
      </c>
      <c r="D31" s="17"/>
      <c r="F31" s="3">
        <f t="shared" si="25"/>
        <v>3.2163923063268325E-2</v>
      </c>
      <c r="G31" s="3">
        <f t="shared" si="25"/>
        <v>3.2163923063266167E-2</v>
      </c>
      <c r="H31" s="3">
        <f t="shared" si="25"/>
        <v>3.2163923063244636E-2</v>
      </c>
      <c r="I31" s="3">
        <f t="shared" si="25"/>
        <v>3.2163923063029322E-2</v>
      </c>
      <c r="J31" s="3">
        <f t="shared" si="25"/>
        <v>3.2163923060876183E-2</v>
      </c>
      <c r="K31" s="3">
        <f t="shared" si="25"/>
        <v>3.2163923039344768E-2</v>
      </c>
      <c r="L31" s="3">
        <f t="shared" si="25"/>
        <v>3.216392282403064E-2</v>
      </c>
      <c r="M31" s="3">
        <f t="shared" si="25"/>
        <v>3.2163920670889461E-2</v>
      </c>
      <c r="N31" s="3">
        <f t="shared" si="25"/>
        <v>3.2163899139485544E-2</v>
      </c>
      <c r="O31" s="3">
        <f t="shared" si="25"/>
        <v>3.2163683826239145E-2</v>
      </c>
      <c r="P31" s="3">
        <f t="shared" si="25"/>
        <v>3.2161530773048438E-2</v>
      </c>
      <c r="Q31" s="3">
        <f t="shared" si="25"/>
        <v>3.2140008166505252E-2</v>
      </c>
      <c r="R31" s="3">
        <f t="shared" si="25"/>
        <v>3.1925572677951715E-2</v>
      </c>
      <c r="S31" s="3">
        <f t="shared" si="25"/>
        <v>2.9858351884861828E-2</v>
      </c>
      <c r="T31" s="3">
        <f t="shared" si="25"/>
        <v>1.5287525275967117E-2</v>
      </c>
      <c r="U31" s="3">
        <f t="shared" si="25"/>
        <v>1.8925647615164907E-5</v>
      </c>
      <c r="V31" s="3">
        <f t="shared" si="26"/>
        <v>1.6002445754668752E-34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16">
        <v>4.153760312026946E-2</v>
      </c>
      <c r="C32" s="18">
        <f t="shared" si="3"/>
        <v>3.3900572605001088E-2</v>
      </c>
      <c r="D32" s="17"/>
      <c r="F32" s="3">
        <f t="shared" si="25"/>
        <v>3.3900572605001067E-2</v>
      </c>
      <c r="G32" s="3">
        <f t="shared" si="25"/>
        <v>3.3900572605000859E-2</v>
      </c>
      <c r="H32" s="3">
        <f t="shared" si="25"/>
        <v>3.3900572604998812E-2</v>
      </c>
      <c r="I32" s="3">
        <f t="shared" si="25"/>
        <v>3.3900572604978342E-2</v>
      </c>
      <c r="J32" s="3">
        <f t="shared" si="25"/>
        <v>3.3900572604773624E-2</v>
      </c>
      <c r="K32" s="3">
        <f t="shared" si="25"/>
        <v>3.3900572602726442E-2</v>
      </c>
      <c r="L32" s="3">
        <f t="shared" si="25"/>
        <v>3.3900572582254589E-2</v>
      </c>
      <c r="M32" s="3">
        <f t="shared" si="25"/>
        <v>3.3900572377536069E-2</v>
      </c>
      <c r="N32" s="3">
        <f t="shared" si="25"/>
        <v>3.3900570330350932E-2</v>
      </c>
      <c r="O32" s="3">
        <f t="shared" si="25"/>
        <v>3.3900549858506358E-2</v>
      </c>
      <c r="P32" s="3">
        <f t="shared" si="25"/>
        <v>3.3900345140740556E-2</v>
      </c>
      <c r="Q32" s="3">
        <f t="shared" si="25"/>
        <v>3.3898298031074782E-2</v>
      </c>
      <c r="R32" s="3">
        <f t="shared" si="25"/>
        <v>3.3877833732118917E-2</v>
      </c>
      <c r="S32" s="3">
        <f t="shared" si="25"/>
        <v>3.3673868996351247E-2</v>
      </c>
      <c r="T32" s="3">
        <f t="shared" si="25"/>
        <v>3.1700555727290997E-2</v>
      </c>
      <c r="U32" s="3">
        <f t="shared" si="25"/>
        <v>1.7330274936414196E-2</v>
      </c>
      <c r="V32" s="3">
        <f t="shared" si="26"/>
        <v>4.1322940898553394E-5</v>
      </c>
      <c r="W32" s="3">
        <f t="shared" si="26"/>
        <v>2.4549854174392952E-31</v>
      </c>
      <c r="X32" s="3">
        <f t="shared" si="26"/>
        <v>1.3447014196382663E-293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16">
        <v>5.6650616767124434E-2</v>
      </c>
      <c r="C33" s="18">
        <f t="shared" si="3"/>
        <v>4.6234934193755559E-2</v>
      </c>
      <c r="D33" s="17"/>
      <c r="F33" s="3">
        <f t="shared" si="25"/>
        <v>4.6234934193755552E-2</v>
      </c>
      <c r="G33" s="3">
        <f t="shared" si="25"/>
        <v>4.6234934193755531E-2</v>
      </c>
      <c r="H33" s="3">
        <f t="shared" si="25"/>
        <v>4.6234934193755274E-2</v>
      </c>
      <c r="I33" s="3">
        <f t="shared" si="25"/>
        <v>4.6234934193752762E-2</v>
      </c>
      <c r="J33" s="3">
        <f t="shared" si="25"/>
        <v>4.6234934193727574E-2</v>
      </c>
      <c r="K33" s="3">
        <f t="shared" si="25"/>
        <v>4.6234934193475706E-2</v>
      </c>
      <c r="L33" s="3">
        <f t="shared" si="25"/>
        <v>4.6234934190957068E-2</v>
      </c>
      <c r="M33" s="3">
        <f t="shared" si="25"/>
        <v>4.6234934165770611E-2</v>
      </c>
      <c r="N33" s="3">
        <f t="shared" si="25"/>
        <v>4.623493391390613E-2</v>
      </c>
      <c r="O33" s="3">
        <f t="shared" si="25"/>
        <v>4.6234931395261337E-2</v>
      </c>
      <c r="P33" s="3">
        <f t="shared" si="25"/>
        <v>4.6234906208820981E-2</v>
      </c>
      <c r="Q33" s="3">
        <f t="shared" si="25"/>
        <v>4.6234654345172002E-2</v>
      </c>
      <c r="R33" s="3">
        <f t="shared" si="25"/>
        <v>4.623213578414221E-2</v>
      </c>
      <c r="S33" s="3">
        <f t="shared" si="25"/>
        <v>4.6206957718319973E-2</v>
      </c>
      <c r="T33" s="3">
        <f t="shared" si="25"/>
        <v>4.5955929989233632E-2</v>
      </c>
      <c r="U33" s="3">
        <f t="shared" ref="P33:AE48" si="27">$C33*EXP(-U$15/$A33)</f>
        <v>4.3519449888254652E-2</v>
      </c>
      <c r="V33" s="3">
        <f t="shared" si="27"/>
        <v>2.524072210371928E-2</v>
      </c>
      <c r="W33" s="3">
        <f t="shared" si="27"/>
        <v>1.0871402091118267E-4</v>
      </c>
      <c r="X33" s="3">
        <f t="shared" si="27"/>
        <v>2.3884898200979105E-28</v>
      </c>
      <c r="Y33" s="3">
        <f t="shared" si="27"/>
        <v>6.2589538859155745E-265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16">
        <v>6.9438178051778682E-2</v>
      </c>
      <c r="C34" s="18">
        <f t="shared" si="3"/>
        <v>5.6671396993887152E-2</v>
      </c>
      <c r="D34" s="17"/>
      <c r="F34" s="3">
        <f t="shared" ref="F34:O48" si="28">$C34*EXP(-F$15/$A34)</f>
        <v>5.6671396993887152E-2</v>
      </c>
      <c r="G34" s="3">
        <f t="shared" si="28"/>
        <v>5.6671396993887152E-2</v>
      </c>
      <c r="H34" s="3">
        <f t="shared" si="28"/>
        <v>5.6671396993887117E-2</v>
      </c>
      <c r="I34" s="3">
        <f t="shared" si="28"/>
        <v>5.6671396993886847E-2</v>
      </c>
      <c r="J34" s="3">
        <f t="shared" si="28"/>
        <v>5.6671396993884057E-2</v>
      </c>
      <c r="K34" s="3">
        <f t="shared" si="28"/>
        <v>5.6671396993856211E-2</v>
      </c>
      <c r="L34" s="3">
        <f t="shared" si="28"/>
        <v>5.6671396993577719E-2</v>
      </c>
      <c r="M34" s="3">
        <f t="shared" si="28"/>
        <v>5.6671396990792836E-2</v>
      </c>
      <c r="N34" s="3">
        <f t="shared" si="28"/>
        <v>5.6671396962943987E-2</v>
      </c>
      <c r="O34" s="3">
        <f t="shared" si="28"/>
        <v>5.6671396684455526E-2</v>
      </c>
      <c r="P34" s="3">
        <f t="shared" si="27"/>
        <v>5.6671393899571022E-2</v>
      </c>
      <c r="Q34" s="3">
        <f t="shared" si="27"/>
        <v>5.667136605073346E-2</v>
      </c>
      <c r="R34" s="3">
        <f t="shared" si="27"/>
        <v>5.6671087563110525E-2</v>
      </c>
      <c r="S34" s="3">
        <f t="shared" si="27"/>
        <v>5.6668302762148147E-2</v>
      </c>
      <c r="T34" s="3">
        <f t="shared" si="27"/>
        <v>5.6640462277852487E-2</v>
      </c>
      <c r="U34" s="3">
        <f t="shared" si="27"/>
        <v>5.6362808601239676E-2</v>
      </c>
      <c r="V34" s="3">
        <f t="shared" si="27"/>
        <v>5.3660040454998101E-2</v>
      </c>
      <c r="W34" s="3">
        <f t="shared" si="27"/>
        <v>3.2827264266820991E-2</v>
      </c>
      <c r="X34" s="3">
        <f t="shared" si="27"/>
        <v>2.4103030325200834E-4</v>
      </c>
      <c r="Y34" s="3">
        <f t="shared" si="27"/>
        <v>1.0975926888226822E-25</v>
      </c>
      <c r="Z34" s="3">
        <f t="shared" si="27"/>
        <v>4.2085916452074825E-239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16">
        <v>7.1930809214183739E-2</v>
      </c>
      <c r="C35" s="18">
        <f t="shared" si="3"/>
        <v>5.870573738309863E-2</v>
      </c>
      <c r="D35" s="17"/>
      <c r="F35" s="3">
        <f t="shared" si="28"/>
        <v>5.870573738309863E-2</v>
      </c>
      <c r="G35" s="3">
        <f t="shared" si="28"/>
        <v>5.870573738309863E-2</v>
      </c>
      <c r="H35" s="3">
        <f t="shared" si="28"/>
        <v>5.870573738309863E-2</v>
      </c>
      <c r="I35" s="3">
        <f t="shared" si="28"/>
        <v>5.8705737383098602E-2</v>
      </c>
      <c r="J35" s="3">
        <f t="shared" si="28"/>
        <v>5.8705737383098346E-2</v>
      </c>
      <c r="K35" s="3">
        <f t="shared" si="28"/>
        <v>5.8705737383095737E-2</v>
      </c>
      <c r="L35" s="3">
        <f t="shared" si="28"/>
        <v>5.8705737383069716E-2</v>
      </c>
      <c r="M35" s="3">
        <f t="shared" si="28"/>
        <v>5.8705737382809473E-2</v>
      </c>
      <c r="N35" s="3">
        <f t="shared" si="28"/>
        <v>5.8705737380207096E-2</v>
      </c>
      <c r="O35" s="3">
        <f t="shared" si="28"/>
        <v>5.8705737354183316E-2</v>
      </c>
      <c r="P35" s="3">
        <f t="shared" si="27"/>
        <v>5.8705737093945491E-2</v>
      </c>
      <c r="Q35" s="3">
        <f t="shared" si="27"/>
        <v>5.8705734491567296E-2</v>
      </c>
      <c r="R35" s="3">
        <f t="shared" si="27"/>
        <v>5.8705708467791745E-2</v>
      </c>
      <c r="S35" s="3">
        <f t="shared" si="27"/>
        <v>5.870544823067067E-2</v>
      </c>
      <c r="T35" s="3">
        <f t="shared" si="27"/>
        <v>5.8702845922907532E-2</v>
      </c>
      <c r="U35" s="3">
        <f t="shared" si="27"/>
        <v>5.8676829188993702E-2</v>
      </c>
      <c r="V35" s="3">
        <f t="shared" si="27"/>
        <v>5.841729518236554E-2</v>
      </c>
      <c r="W35" s="3">
        <f t="shared" si="27"/>
        <v>5.5884261789791993E-2</v>
      </c>
      <c r="X35" s="3">
        <f t="shared" si="27"/>
        <v>3.5873211441656325E-2</v>
      </c>
      <c r="Y35" s="3">
        <f t="shared" si="27"/>
        <v>4.2616486952821178E-4</v>
      </c>
      <c r="Z35" s="3">
        <f t="shared" si="27"/>
        <v>2.3858961435974219E-23</v>
      </c>
      <c r="AA35" s="3">
        <f t="shared" si="27"/>
        <v>7.2175603681982916E-216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16">
        <v>6.886347283427563E-2</v>
      </c>
      <c r="C36" s="18">
        <f t="shared" si="3"/>
        <v>5.620235606497212E-2</v>
      </c>
      <c r="D36" s="17"/>
      <c r="F36" s="3">
        <f t="shared" si="28"/>
        <v>5.620235606497212E-2</v>
      </c>
      <c r="G36" s="3">
        <f t="shared" si="28"/>
        <v>5.620235606497212E-2</v>
      </c>
      <c r="H36" s="3">
        <f t="shared" si="28"/>
        <v>5.620235606497212E-2</v>
      </c>
      <c r="I36" s="3">
        <f t="shared" si="28"/>
        <v>5.620235606497212E-2</v>
      </c>
      <c r="J36" s="3">
        <f t="shared" si="28"/>
        <v>5.6202356064972092E-2</v>
      </c>
      <c r="K36" s="3">
        <f t="shared" si="28"/>
        <v>5.620235606497187E-2</v>
      </c>
      <c r="L36" s="3">
        <f t="shared" si="28"/>
        <v>5.6202356064969622E-2</v>
      </c>
      <c r="M36" s="3">
        <f t="shared" si="28"/>
        <v>5.6202356064947147E-2</v>
      </c>
      <c r="N36" s="3">
        <f t="shared" si="28"/>
        <v>5.6202356064722403E-2</v>
      </c>
      <c r="O36" s="3">
        <f t="shared" si="28"/>
        <v>5.6202356062474951E-2</v>
      </c>
      <c r="P36" s="3">
        <f t="shared" si="27"/>
        <v>5.6202356040000401E-2</v>
      </c>
      <c r="Q36" s="3">
        <f t="shared" si="27"/>
        <v>5.6202355815254908E-2</v>
      </c>
      <c r="R36" s="3">
        <f t="shared" si="27"/>
        <v>5.6202353567800054E-2</v>
      </c>
      <c r="S36" s="3">
        <f t="shared" si="27"/>
        <v>5.6202331093256418E-2</v>
      </c>
      <c r="T36" s="3">
        <f t="shared" si="27"/>
        <v>5.6202106348314386E-2</v>
      </c>
      <c r="U36" s="3">
        <f t="shared" si="27"/>
        <v>5.6199858948323175E-2</v>
      </c>
      <c r="V36" s="3">
        <f t="shared" si="27"/>
        <v>5.617738989059326E-2</v>
      </c>
      <c r="W36" s="3">
        <f t="shared" si="27"/>
        <v>5.595319280105629E-2</v>
      </c>
      <c r="X36" s="3">
        <f t="shared" si="27"/>
        <v>5.3759848271926126E-2</v>
      </c>
      <c r="Y36" s="3">
        <f t="shared" si="27"/>
        <v>3.6040403512381941E-2</v>
      </c>
      <c r="Z36" s="3">
        <f t="shared" si="27"/>
        <v>6.6085434375253501E-4</v>
      </c>
      <c r="AA36" s="3">
        <f t="shared" si="27"/>
        <v>2.8396629220425699E-21</v>
      </c>
      <c r="AB36" s="3">
        <f t="shared" si="27"/>
        <v>6.0936458420746932E-195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16">
        <v>7.7701324852147896E-2</v>
      </c>
      <c r="C37" s="18">
        <f t="shared" si="3"/>
        <v>6.3415296184233166E-2</v>
      </c>
      <c r="D37" s="17"/>
      <c r="F37" s="3">
        <f t="shared" si="28"/>
        <v>6.3415296184233166E-2</v>
      </c>
      <c r="G37" s="3">
        <f t="shared" si="28"/>
        <v>6.3415296184233166E-2</v>
      </c>
      <c r="H37" s="3">
        <f t="shared" si="28"/>
        <v>6.3415296184233166E-2</v>
      </c>
      <c r="I37" s="3">
        <f t="shared" si="28"/>
        <v>6.3415296184233166E-2</v>
      </c>
      <c r="J37" s="3">
        <f t="shared" si="28"/>
        <v>6.3415296184233166E-2</v>
      </c>
      <c r="K37" s="3">
        <f t="shared" si="28"/>
        <v>6.3415296184233139E-2</v>
      </c>
      <c r="L37" s="3">
        <f t="shared" si="28"/>
        <v>6.3415296184232917E-2</v>
      </c>
      <c r="M37" s="3">
        <f t="shared" si="28"/>
        <v>6.3415296184230627E-2</v>
      </c>
      <c r="N37" s="3">
        <f t="shared" si="28"/>
        <v>6.3415296184207756E-2</v>
      </c>
      <c r="O37" s="3">
        <f t="shared" si="28"/>
        <v>6.3415296183978995E-2</v>
      </c>
      <c r="P37" s="3">
        <f t="shared" si="27"/>
        <v>6.3415296181691408E-2</v>
      </c>
      <c r="Q37" s="3">
        <f t="shared" si="27"/>
        <v>6.3415296158815568E-2</v>
      </c>
      <c r="R37" s="3">
        <f t="shared" si="27"/>
        <v>6.3415295930057153E-2</v>
      </c>
      <c r="S37" s="3">
        <f t="shared" si="27"/>
        <v>6.3415293642473031E-2</v>
      </c>
      <c r="T37" s="3">
        <f t="shared" si="27"/>
        <v>6.3415270766636417E-2</v>
      </c>
      <c r="U37" s="3">
        <f t="shared" si="27"/>
        <v>6.341504200872404E-2</v>
      </c>
      <c r="V37" s="3">
        <f t="shared" si="27"/>
        <v>6.3412754474985816E-2</v>
      </c>
      <c r="W37" s="3">
        <f t="shared" si="27"/>
        <v>6.338988367554009E-2</v>
      </c>
      <c r="X37" s="3">
        <f t="shared" si="27"/>
        <v>6.3161628869646769E-2</v>
      </c>
      <c r="Y37" s="3">
        <f t="shared" si="27"/>
        <v>6.0923800586834956E-2</v>
      </c>
      <c r="Z37" s="3">
        <f t="shared" si="27"/>
        <v>4.2474047922776689E-2</v>
      </c>
      <c r="AA37" s="3">
        <f t="shared" si="27"/>
        <v>1.1521003286609653E-3</v>
      </c>
      <c r="AB37" s="3">
        <f t="shared" si="27"/>
        <v>2.4840296677128562E-19</v>
      </c>
      <c r="AC37" s="3">
        <f t="shared" si="27"/>
        <v>5.3928899520607241E-176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16">
        <v>4.3312169044979122E-2</v>
      </c>
      <c r="C38" s="18">
        <f t="shared" si="3"/>
        <v>3.5348869965799563E-2</v>
      </c>
      <c r="D38" s="17"/>
      <c r="F38" s="3">
        <f t="shared" si="28"/>
        <v>3.5348869965799563E-2</v>
      </c>
      <c r="G38" s="3">
        <f t="shared" si="28"/>
        <v>3.5348869965799563E-2</v>
      </c>
      <c r="H38" s="3">
        <f t="shared" si="28"/>
        <v>3.5348869965799563E-2</v>
      </c>
      <c r="I38" s="3">
        <f t="shared" si="28"/>
        <v>3.5348869965799563E-2</v>
      </c>
      <c r="J38" s="3">
        <f t="shared" si="28"/>
        <v>3.5348869965799563E-2</v>
      </c>
      <c r="K38" s="3">
        <f t="shared" si="28"/>
        <v>3.5348869965799563E-2</v>
      </c>
      <c r="L38" s="3">
        <f t="shared" si="28"/>
        <v>3.5348869965799549E-2</v>
      </c>
      <c r="M38" s="3">
        <f t="shared" si="28"/>
        <v>3.5348869965799432E-2</v>
      </c>
      <c r="N38" s="3">
        <f t="shared" si="28"/>
        <v>3.5348869965798287E-2</v>
      </c>
      <c r="O38" s="3">
        <f t="shared" si="28"/>
        <v>3.5348869965786782E-2</v>
      </c>
      <c r="P38" s="3">
        <f t="shared" si="27"/>
        <v>3.5348869965671756E-2</v>
      </c>
      <c r="Q38" s="3">
        <f t="shared" si="27"/>
        <v>3.5348869964521475E-2</v>
      </c>
      <c r="R38" s="3">
        <f t="shared" si="27"/>
        <v>3.5348869953018627E-2</v>
      </c>
      <c r="S38" s="3">
        <f t="shared" si="27"/>
        <v>3.5348869837990196E-2</v>
      </c>
      <c r="T38" s="3">
        <f t="shared" si="27"/>
        <v>3.5348868687705946E-2</v>
      </c>
      <c r="U38" s="3">
        <f t="shared" si="27"/>
        <v>3.5348857184865495E-2</v>
      </c>
      <c r="V38" s="3">
        <f t="shared" si="27"/>
        <v>3.5348742156666828E-2</v>
      </c>
      <c r="W38" s="3">
        <f t="shared" si="27"/>
        <v>3.534759189526706E-2</v>
      </c>
      <c r="X38" s="3">
        <f t="shared" si="27"/>
        <v>3.5336091339715173E-2</v>
      </c>
      <c r="Y38" s="3">
        <f t="shared" si="27"/>
        <v>3.5221291381145159E-2</v>
      </c>
      <c r="Z38" s="3">
        <f t="shared" si="27"/>
        <v>3.4093606088711266E-2</v>
      </c>
      <c r="AA38" s="3">
        <f t="shared" si="27"/>
        <v>2.462348830366894E-2</v>
      </c>
      <c r="AB38" s="3">
        <f t="shared" si="27"/>
        <v>9.5085865200724979E-4</v>
      </c>
      <c r="AC38" s="3">
        <f t="shared" si="27"/>
        <v>7.010997500481536E-18</v>
      </c>
      <c r="AD38" s="3">
        <f t="shared" si="27"/>
        <v>3.329801230865503E-159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16">
        <v>8.6333600448441059E-2</v>
      </c>
      <c r="C39" s="18">
        <f t="shared" si="3"/>
        <v>7.0460456800535406E-2</v>
      </c>
      <c r="D39" s="17"/>
      <c r="F39" s="3">
        <f t="shared" si="28"/>
        <v>7.0460456800535406E-2</v>
      </c>
      <c r="G39" s="3">
        <f t="shared" si="28"/>
        <v>7.0460456800535406E-2</v>
      </c>
      <c r="H39" s="3">
        <f t="shared" si="28"/>
        <v>7.0460456800535406E-2</v>
      </c>
      <c r="I39" s="3">
        <f t="shared" si="28"/>
        <v>7.0460456800535406E-2</v>
      </c>
      <c r="J39" s="3">
        <f t="shared" si="28"/>
        <v>7.0460456800535406E-2</v>
      </c>
      <c r="K39" s="3">
        <f t="shared" si="28"/>
        <v>7.0460456800535406E-2</v>
      </c>
      <c r="L39" s="3">
        <f t="shared" si="28"/>
        <v>7.0460456800535393E-2</v>
      </c>
      <c r="M39" s="3">
        <f t="shared" si="28"/>
        <v>7.0460456800535337E-2</v>
      </c>
      <c r="N39" s="3">
        <f t="shared" si="28"/>
        <v>7.0460456800534699E-2</v>
      </c>
      <c r="O39" s="3">
        <f t="shared" si="28"/>
        <v>7.0460456800528357E-2</v>
      </c>
      <c r="P39" s="3">
        <f t="shared" si="27"/>
        <v>7.0460456800464949E-2</v>
      </c>
      <c r="Q39" s="3">
        <f t="shared" si="27"/>
        <v>7.0460456799830803E-2</v>
      </c>
      <c r="R39" s="3">
        <f t="shared" si="27"/>
        <v>7.0460456793489362E-2</v>
      </c>
      <c r="S39" s="3">
        <f t="shared" si="27"/>
        <v>7.046045673007495E-2</v>
      </c>
      <c r="T39" s="3">
        <f t="shared" si="27"/>
        <v>7.0460456095930837E-2</v>
      </c>
      <c r="U39" s="3">
        <f t="shared" si="27"/>
        <v>7.0460449754490076E-2</v>
      </c>
      <c r="V39" s="3">
        <f t="shared" si="27"/>
        <v>7.046038634011384E-2</v>
      </c>
      <c r="W39" s="3">
        <f t="shared" si="27"/>
        <v>7.0459752199490411E-2</v>
      </c>
      <c r="X39" s="3">
        <f t="shared" si="27"/>
        <v>7.0453411107145897E-2</v>
      </c>
      <c r="Y39" s="3">
        <f t="shared" si="27"/>
        <v>7.0390031562222802E-2</v>
      </c>
      <c r="Z39" s="3">
        <f t="shared" si="27"/>
        <v>6.9759363541260527E-2</v>
      </c>
      <c r="AA39" s="3">
        <f t="shared" si="27"/>
        <v>6.3755257805030718E-2</v>
      </c>
      <c r="AB39" s="3">
        <f t="shared" si="27"/>
        <v>2.5920953472465518E-2</v>
      </c>
      <c r="AC39" s="3">
        <f t="shared" si="27"/>
        <v>3.1988997897769058E-6</v>
      </c>
      <c r="AD39" s="3">
        <f t="shared" si="27"/>
        <v>2.621182526031257E-45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16">
        <v>0.10644651632969827</v>
      </c>
      <c r="C40" s="18">
        <f t="shared" si="3"/>
        <v>8.6875447409324694E-2</v>
      </c>
      <c r="D40" s="17"/>
      <c r="F40" s="3">
        <f t="shared" si="28"/>
        <v>8.6875447409324694E-2</v>
      </c>
      <c r="G40" s="3">
        <f t="shared" si="28"/>
        <v>8.6875447409324694E-2</v>
      </c>
      <c r="H40" s="3">
        <f t="shared" si="28"/>
        <v>8.6875447409324694E-2</v>
      </c>
      <c r="I40" s="3">
        <f t="shared" si="28"/>
        <v>8.6875447409324694E-2</v>
      </c>
      <c r="J40" s="3">
        <f t="shared" si="28"/>
        <v>8.6875447409324694E-2</v>
      </c>
      <c r="K40" s="3">
        <f t="shared" si="28"/>
        <v>8.6875447409324694E-2</v>
      </c>
      <c r="L40" s="3">
        <f t="shared" si="28"/>
        <v>8.6875447409324694E-2</v>
      </c>
      <c r="M40" s="3">
        <f t="shared" si="28"/>
        <v>8.687544740932468E-2</v>
      </c>
      <c r="N40" s="3">
        <f t="shared" si="28"/>
        <v>8.687544740932461E-2</v>
      </c>
      <c r="O40" s="3">
        <f t="shared" si="28"/>
        <v>8.6875447409323819E-2</v>
      </c>
      <c r="P40" s="3">
        <f t="shared" si="27"/>
        <v>8.6875447409316006E-2</v>
      </c>
      <c r="Q40" s="3">
        <f t="shared" si="27"/>
        <v>8.6875447409237819E-2</v>
      </c>
      <c r="R40" s="3">
        <f t="shared" si="27"/>
        <v>8.6875447408455944E-2</v>
      </c>
      <c r="S40" s="3">
        <f t="shared" si="27"/>
        <v>8.6875447400637143E-2</v>
      </c>
      <c r="T40" s="3">
        <f t="shared" si="27"/>
        <v>8.6875447322449242E-2</v>
      </c>
      <c r="U40" s="3">
        <f t="shared" si="27"/>
        <v>8.6875446540570223E-2</v>
      </c>
      <c r="V40" s="3">
        <f t="shared" si="27"/>
        <v>8.6875438721780385E-2</v>
      </c>
      <c r="W40" s="3">
        <f t="shared" si="27"/>
        <v>8.6875360533920726E-2</v>
      </c>
      <c r="X40" s="3">
        <f t="shared" si="27"/>
        <v>8.687457865919436E-2</v>
      </c>
      <c r="Y40" s="3">
        <f t="shared" si="27"/>
        <v>8.6866760298946522E-2</v>
      </c>
      <c r="Z40" s="3">
        <f t="shared" si="27"/>
        <v>8.6788615385163456E-2</v>
      </c>
      <c r="AA40" s="3">
        <f t="shared" si="27"/>
        <v>8.6011022264486509E-2</v>
      </c>
      <c r="AB40" s="3">
        <f t="shared" si="27"/>
        <v>7.8608155524572149E-2</v>
      </c>
      <c r="AC40" s="3">
        <f t="shared" si="27"/>
        <v>3.1959691044461398E-2</v>
      </c>
      <c r="AD40" s="3">
        <f t="shared" si="27"/>
        <v>3.9441392104677881E-6</v>
      </c>
      <c r="AE40" s="3">
        <f t="shared" si="27"/>
        <v>3.2318326481349039E-45</v>
      </c>
      <c r="AF40" s="3">
        <f t="shared" si="29"/>
        <v>0</v>
      </c>
      <c r="AG40" s="3">
        <f t="shared" si="29"/>
        <v>0</v>
      </c>
      <c r="AH40" s="3">
        <f t="shared" si="29"/>
        <v>0</v>
      </c>
      <c r="AI40" s="3">
        <f t="shared" si="29"/>
        <v>0</v>
      </c>
      <c r="AJ40" s="3">
        <f t="shared" si="29"/>
        <v>0</v>
      </c>
    </row>
    <row r="41" spans="1:36" x14ac:dyDescent="0.25">
      <c r="A41" s="3">
        <f t="shared" si="30"/>
        <v>1000000000</v>
      </c>
      <c r="B41" s="116">
        <v>0.11789125917135572</v>
      </c>
      <c r="C41" s="18">
        <f t="shared" si="3"/>
        <v>9.6215979999175721E-2</v>
      </c>
      <c r="D41" s="17"/>
      <c r="F41" s="3">
        <f t="shared" si="28"/>
        <v>9.6215979999175721E-2</v>
      </c>
      <c r="G41" s="3">
        <f t="shared" si="28"/>
        <v>9.6215979999175721E-2</v>
      </c>
      <c r="H41" s="3">
        <f t="shared" si="28"/>
        <v>9.6215979999175721E-2</v>
      </c>
      <c r="I41" s="3">
        <f t="shared" si="28"/>
        <v>9.6215979999175721E-2</v>
      </c>
      <c r="J41" s="3">
        <f t="shared" si="28"/>
        <v>9.6215979999175721E-2</v>
      </c>
      <c r="K41" s="3">
        <f t="shared" si="28"/>
        <v>9.6215979999175721E-2</v>
      </c>
      <c r="L41" s="3">
        <f t="shared" si="28"/>
        <v>9.6215979999175721E-2</v>
      </c>
      <c r="M41" s="3">
        <f t="shared" si="28"/>
        <v>9.6215979999175721E-2</v>
      </c>
      <c r="N41" s="3">
        <f t="shared" si="28"/>
        <v>9.6215979999175708E-2</v>
      </c>
      <c r="O41" s="3">
        <f t="shared" si="28"/>
        <v>9.6215979999175624E-2</v>
      </c>
      <c r="P41" s="3">
        <f t="shared" si="27"/>
        <v>9.6215979999174764E-2</v>
      </c>
      <c r="Q41" s="3">
        <f t="shared" si="27"/>
        <v>9.621597999916609E-2</v>
      </c>
      <c r="R41" s="3">
        <f t="shared" si="27"/>
        <v>9.6215979999079507E-2</v>
      </c>
      <c r="S41" s="3">
        <f t="shared" si="27"/>
        <v>9.6215979998213561E-2</v>
      </c>
      <c r="T41" s="3">
        <f t="shared" si="27"/>
        <v>9.6215979989554126E-2</v>
      </c>
      <c r="U41" s="3">
        <f t="shared" si="27"/>
        <v>9.6215979902959742E-2</v>
      </c>
      <c r="V41" s="3">
        <f t="shared" si="27"/>
        <v>9.6215979037015925E-2</v>
      </c>
      <c r="W41" s="3">
        <f t="shared" si="27"/>
        <v>9.6215970377578203E-2</v>
      </c>
      <c r="X41" s="3">
        <f t="shared" si="27"/>
        <v>9.6215883783243833E-2</v>
      </c>
      <c r="Y41" s="3">
        <f t="shared" si="27"/>
        <v>9.6215017844186512E-2</v>
      </c>
      <c r="Z41" s="3">
        <f t="shared" si="27"/>
        <v>9.6206358882239662E-2</v>
      </c>
      <c r="AA41" s="3">
        <f t="shared" si="27"/>
        <v>9.6119812111134559E-2</v>
      </c>
      <c r="AB41" s="3">
        <f t="shared" si="27"/>
        <v>9.5258615002197206E-2</v>
      </c>
      <c r="AC41" s="3">
        <f t="shared" si="27"/>
        <v>8.7059818916253681E-2</v>
      </c>
      <c r="AD41" s="3">
        <f t="shared" si="27"/>
        <v>3.539588095385944E-2</v>
      </c>
      <c r="AE41" s="3">
        <f t="shared" si="27"/>
        <v>4.3681987339912254E-6</v>
      </c>
      <c r="AF41" s="3">
        <f t="shared" si="29"/>
        <v>3.5793075570423486E-45</v>
      </c>
      <c r="AG41" s="3">
        <f t="shared" si="29"/>
        <v>0</v>
      </c>
      <c r="AH41" s="3">
        <f t="shared" si="29"/>
        <v>0</v>
      </c>
      <c r="AI41" s="3">
        <f t="shared" si="29"/>
        <v>0</v>
      </c>
      <c r="AJ41" s="3">
        <f t="shared" si="29"/>
        <v>0</v>
      </c>
    </row>
    <row r="42" spans="1:36" x14ac:dyDescent="0.25">
      <c r="A42" s="3">
        <f t="shared" si="30"/>
        <v>10000000000</v>
      </c>
      <c r="B42" s="116">
        <v>0.13675831029111093</v>
      </c>
      <c r="C42" s="18">
        <f t="shared" si="3"/>
        <v>0.11161416834614406</v>
      </c>
      <c r="D42" s="17"/>
      <c r="F42" s="3">
        <f t="shared" si="28"/>
        <v>0.11161416834614406</v>
      </c>
      <c r="G42" s="3">
        <f t="shared" si="28"/>
        <v>0.11161416834614406</v>
      </c>
      <c r="H42" s="3">
        <f t="shared" si="28"/>
        <v>0.11161416834614406</v>
      </c>
      <c r="I42" s="3">
        <f t="shared" si="28"/>
        <v>0.11161416834614406</v>
      </c>
      <c r="J42" s="3">
        <f t="shared" si="28"/>
        <v>0.11161416834614406</v>
      </c>
      <c r="K42" s="3">
        <f t="shared" si="28"/>
        <v>0.11161416834614406</v>
      </c>
      <c r="L42" s="3">
        <f t="shared" si="28"/>
        <v>0.11161416834614406</v>
      </c>
      <c r="M42" s="3">
        <f t="shared" si="28"/>
        <v>0.11161416834614406</v>
      </c>
      <c r="N42" s="3">
        <f t="shared" si="28"/>
        <v>0.11161416834614406</v>
      </c>
      <c r="O42" s="3">
        <f t="shared" si="28"/>
        <v>0.11161416834614404</v>
      </c>
      <c r="P42" s="3">
        <f t="shared" si="27"/>
        <v>0.11161416834614395</v>
      </c>
      <c r="Q42" s="3">
        <f t="shared" si="27"/>
        <v>0.11161416834614295</v>
      </c>
      <c r="R42" s="3">
        <f t="shared" si="27"/>
        <v>0.11161416834613289</v>
      </c>
      <c r="S42" s="3">
        <f t="shared" si="27"/>
        <v>0.11161416834603245</v>
      </c>
      <c r="T42" s="3">
        <f t="shared" si="27"/>
        <v>0.11161416834502792</v>
      </c>
      <c r="U42" s="3">
        <f t="shared" si="27"/>
        <v>0.11161416833498264</v>
      </c>
      <c r="V42" s="3">
        <f t="shared" si="27"/>
        <v>0.1116141682345299</v>
      </c>
      <c r="W42" s="3">
        <f t="shared" si="27"/>
        <v>0.11161416723000238</v>
      </c>
      <c r="X42" s="3">
        <f t="shared" si="27"/>
        <v>0.11161415718472778</v>
      </c>
      <c r="Y42" s="3">
        <f t="shared" si="27"/>
        <v>0.11161405673203152</v>
      </c>
      <c r="Z42" s="3">
        <f t="shared" si="27"/>
        <v>0.11161305221004128</v>
      </c>
      <c r="AA42" s="3">
        <f t="shared" si="27"/>
        <v>0.11160300748736168</v>
      </c>
      <c r="AB42" s="3">
        <f t="shared" si="27"/>
        <v>0.11150260996628437</v>
      </c>
      <c r="AC42" s="3">
        <f t="shared" si="27"/>
        <v>0.11050358881515158</v>
      </c>
      <c r="AD42" s="3">
        <f t="shared" si="27"/>
        <v>0.10099267590255591</v>
      </c>
      <c r="AE42" s="3">
        <f t="shared" si="27"/>
        <v>4.1060557877994765E-2</v>
      </c>
      <c r="AF42" s="3">
        <f t="shared" si="29"/>
        <v>5.0672754034131009E-6</v>
      </c>
      <c r="AG42" s="3">
        <f t="shared" si="29"/>
        <v>4.1521318624803578E-45</v>
      </c>
      <c r="AH42" s="3">
        <f t="shared" si="29"/>
        <v>0</v>
      </c>
      <c r="AI42" s="3">
        <f t="shared" si="29"/>
        <v>0</v>
      </c>
      <c r="AJ42" s="3">
        <f t="shared" si="29"/>
        <v>0</v>
      </c>
    </row>
    <row r="43" spans="1:36" x14ac:dyDescent="0.25">
      <c r="A43" s="3">
        <f t="shared" si="30"/>
        <v>100000000000</v>
      </c>
      <c r="B43" s="116">
        <v>8.1434812071614959E-2</v>
      </c>
      <c r="C43" s="18">
        <f t="shared" si="3"/>
        <v>6.6462351022397975E-2</v>
      </c>
      <c r="D43" s="17"/>
      <c r="F43" s="3">
        <f t="shared" si="28"/>
        <v>6.6462351022397975E-2</v>
      </c>
      <c r="G43" s="3">
        <f t="shared" si="28"/>
        <v>6.6462351022397975E-2</v>
      </c>
      <c r="H43" s="3">
        <f t="shared" si="28"/>
        <v>6.6462351022397975E-2</v>
      </c>
      <c r="I43" s="3">
        <f t="shared" si="28"/>
        <v>6.6462351022397975E-2</v>
      </c>
      <c r="J43" s="3">
        <f t="shared" si="28"/>
        <v>6.6462351022397975E-2</v>
      </c>
      <c r="K43" s="3">
        <f t="shared" si="28"/>
        <v>6.6462351022397975E-2</v>
      </c>
      <c r="L43" s="3">
        <f t="shared" si="28"/>
        <v>6.6462351022397975E-2</v>
      </c>
      <c r="M43" s="3">
        <f t="shared" si="28"/>
        <v>6.6462351022397975E-2</v>
      </c>
      <c r="N43" s="3">
        <f t="shared" si="28"/>
        <v>6.6462351022397975E-2</v>
      </c>
      <c r="O43" s="3">
        <f t="shared" si="28"/>
        <v>6.6462351022397975E-2</v>
      </c>
      <c r="P43" s="3">
        <f t="shared" si="27"/>
        <v>6.6462351022397961E-2</v>
      </c>
      <c r="Q43" s="3">
        <f t="shared" si="27"/>
        <v>6.6462351022397906E-2</v>
      </c>
      <c r="R43" s="3">
        <f t="shared" si="27"/>
        <v>6.6462351022397309E-2</v>
      </c>
      <c r="S43" s="3">
        <f t="shared" si="27"/>
        <v>6.6462351022391328E-2</v>
      </c>
      <c r="T43" s="3">
        <f t="shared" si="27"/>
        <v>6.6462351022331514E-2</v>
      </c>
      <c r="U43" s="3">
        <f t="shared" si="27"/>
        <v>6.6462351021733354E-2</v>
      </c>
      <c r="V43" s="3">
        <f t="shared" si="27"/>
        <v>6.6462351015751736E-2</v>
      </c>
      <c r="W43" s="3">
        <f t="shared" si="27"/>
        <v>6.6462350955935626E-2</v>
      </c>
      <c r="X43" s="3">
        <f t="shared" si="27"/>
        <v>6.6462350357774466E-2</v>
      </c>
      <c r="Y43" s="3">
        <f t="shared" si="27"/>
        <v>6.6462344376163204E-2</v>
      </c>
      <c r="Z43" s="3">
        <f t="shared" si="27"/>
        <v>6.6462284560080187E-2</v>
      </c>
      <c r="AA43" s="3">
        <f t="shared" si="27"/>
        <v>6.6461686402210854E-2</v>
      </c>
      <c r="AB43" s="3">
        <f t="shared" si="27"/>
        <v>6.645570511959642E-2</v>
      </c>
      <c r="AC43" s="3">
        <f t="shared" si="27"/>
        <v>6.6395921891476806E-2</v>
      </c>
      <c r="AD43" s="3">
        <f t="shared" si="27"/>
        <v>6.5801039580303963E-2</v>
      </c>
      <c r="AE43" s="3">
        <f t="shared" si="27"/>
        <v>6.0137622095706202E-2</v>
      </c>
      <c r="AF43" s="3">
        <f t="shared" si="29"/>
        <v>2.4450132553060007E-2</v>
      </c>
      <c r="AG43" s="3">
        <f t="shared" si="29"/>
        <v>3.0173860682664816E-6</v>
      </c>
      <c r="AH43" s="3">
        <f t="shared" si="29"/>
        <v>2.4724499534828656E-45</v>
      </c>
      <c r="AI43" s="3">
        <f t="shared" si="29"/>
        <v>0</v>
      </c>
      <c r="AJ43" s="3">
        <f t="shared" si="29"/>
        <v>0</v>
      </c>
    </row>
    <row r="44" spans="1:36" x14ac:dyDescent="0.25">
      <c r="A44" s="3">
        <f t="shared" si="30"/>
        <v>1000000000000</v>
      </c>
      <c r="B44" s="116">
        <v>5.7711673127904255E-2</v>
      </c>
      <c r="C44" s="18">
        <f t="shared" si="3"/>
        <v>4.7100906601755713E-2</v>
      </c>
      <c r="D44" s="17"/>
      <c r="F44" s="3">
        <f t="shared" si="28"/>
        <v>4.7100906601755713E-2</v>
      </c>
      <c r="G44" s="3">
        <f t="shared" si="28"/>
        <v>4.7100906601755713E-2</v>
      </c>
      <c r="H44" s="3">
        <f t="shared" si="28"/>
        <v>4.7100906601755713E-2</v>
      </c>
      <c r="I44" s="3">
        <f t="shared" si="28"/>
        <v>4.7100906601755713E-2</v>
      </c>
      <c r="J44" s="3">
        <f t="shared" si="28"/>
        <v>4.7100906601755713E-2</v>
      </c>
      <c r="K44" s="3">
        <f t="shared" si="28"/>
        <v>4.7100906601755713E-2</v>
      </c>
      <c r="L44" s="3">
        <f t="shared" si="28"/>
        <v>4.7100906601755713E-2</v>
      </c>
      <c r="M44" s="3">
        <f t="shared" si="28"/>
        <v>4.7100906601755713E-2</v>
      </c>
      <c r="N44" s="3">
        <f t="shared" si="28"/>
        <v>4.7100906601755713E-2</v>
      </c>
      <c r="O44" s="3">
        <f t="shared" si="28"/>
        <v>4.7100906601755713E-2</v>
      </c>
      <c r="P44" s="3">
        <f t="shared" si="27"/>
        <v>4.7100906601755713E-2</v>
      </c>
      <c r="Q44" s="3">
        <f t="shared" si="27"/>
        <v>4.7100906601755706E-2</v>
      </c>
      <c r="R44" s="3">
        <f t="shared" si="27"/>
        <v>4.7100906601755664E-2</v>
      </c>
      <c r="S44" s="3">
        <f t="shared" si="27"/>
        <v>4.7100906601755241E-2</v>
      </c>
      <c r="T44" s="3">
        <f t="shared" si="27"/>
        <v>4.7100906601751001E-2</v>
      </c>
      <c r="U44" s="3">
        <f t="shared" si="27"/>
        <v>4.7100906601708611E-2</v>
      </c>
      <c r="V44" s="3">
        <f t="shared" si="27"/>
        <v>4.7100906601284701E-2</v>
      </c>
      <c r="W44" s="3">
        <f t="shared" si="27"/>
        <v>4.7100906597045619E-2</v>
      </c>
      <c r="X44" s="3">
        <f t="shared" si="27"/>
        <v>4.7100906554654806E-2</v>
      </c>
      <c r="Y44" s="3">
        <f t="shared" si="27"/>
        <v>4.7100906130746648E-2</v>
      </c>
      <c r="Z44" s="3">
        <f t="shared" si="27"/>
        <v>4.7100901891665291E-2</v>
      </c>
      <c r="AA44" s="3">
        <f t="shared" si="27"/>
        <v>4.7100859500872665E-2</v>
      </c>
      <c r="AB44" s="3">
        <f t="shared" si="27"/>
        <v>4.7100435595044732E-2</v>
      </c>
      <c r="AC44" s="3">
        <f t="shared" si="27"/>
        <v>4.7096196746592218E-2</v>
      </c>
      <c r="AD44" s="3">
        <f t="shared" si="27"/>
        <v>4.7053829237759068E-2</v>
      </c>
      <c r="AE44" s="3">
        <f t="shared" si="27"/>
        <v>4.6632244750503336E-2</v>
      </c>
      <c r="AF44" s="3">
        <f t="shared" si="29"/>
        <v>4.2618662716685518E-2</v>
      </c>
      <c r="AG44" s="3">
        <f t="shared" si="29"/>
        <v>1.7327455199322189E-2</v>
      </c>
      <c r="AH44" s="3">
        <f t="shared" si="29"/>
        <v>2.1383778514690686E-6</v>
      </c>
      <c r="AI44" s="3">
        <f t="shared" si="29"/>
        <v>1.7521895109799264E-45</v>
      </c>
      <c r="AJ44" s="3">
        <f t="shared" si="29"/>
        <v>0</v>
      </c>
    </row>
    <row r="45" spans="1:36" x14ac:dyDescent="0.25">
      <c r="A45" s="3">
        <f t="shared" si="30"/>
        <v>10000000000000</v>
      </c>
      <c r="B45" s="116">
        <v>2.7688974908889007E-2</v>
      </c>
      <c r="C45" s="18">
        <f t="shared" si="3"/>
        <v>2.2598128773559236E-2</v>
      </c>
      <c r="D45" s="17"/>
      <c r="F45" s="3">
        <f t="shared" si="28"/>
        <v>2.2598128773559236E-2</v>
      </c>
      <c r="G45" s="3">
        <f t="shared" si="28"/>
        <v>2.2598128773559236E-2</v>
      </c>
      <c r="H45" s="3">
        <f t="shared" si="28"/>
        <v>2.2598128773559236E-2</v>
      </c>
      <c r="I45" s="3">
        <f t="shared" si="28"/>
        <v>2.2598128773559236E-2</v>
      </c>
      <c r="J45" s="3">
        <f t="shared" si="28"/>
        <v>2.2598128773559236E-2</v>
      </c>
      <c r="K45" s="3">
        <f t="shared" si="28"/>
        <v>2.2598128773559236E-2</v>
      </c>
      <c r="L45" s="3">
        <f t="shared" si="28"/>
        <v>2.2598128773559236E-2</v>
      </c>
      <c r="M45" s="3">
        <f t="shared" si="28"/>
        <v>2.2598128773559236E-2</v>
      </c>
      <c r="N45" s="3">
        <f t="shared" si="28"/>
        <v>2.2598128773559236E-2</v>
      </c>
      <c r="O45" s="3">
        <f t="shared" si="28"/>
        <v>2.2598128773559236E-2</v>
      </c>
      <c r="P45" s="3">
        <f t="shared" si="27"/>
        <v>2.2598128773559236E-2</v>
      </c>
      <c r="Q45" s="3">
        <f t="shared" si="27"/>
        <v>2.2598128773559236E-2</v>
      </c>
      <c r="R45" s="3">
        <f t="shared" si="27"/>
        <v>2.2598128773559233E-2</v>
      </c>
      <c r="S45" s="3">
        <f t="shared" si="27"/>
        <v>2.2598128773559212E-2</v>
      </c>
      <c r="T45" s="3">
        <f t="shared" si="27"/>
        <v>2.2598128773559011E-2</v>
      </c>
      <c r="U45" s="3">
        <f t="shared" si="27"/>
        <v>2.2598128773556974E-2</v>
      </c>
      <c r="V45" s="3">
        <f t="shared" si="27"/>
        <v>2.259812877353664E-2</v>
      </c>
      <c r="W45" s="3">
        <f t="shared" si="27"/>
        <v>2.2598128773333254E-2</v>
      </c>
      <c r="X45" s="3">
        <f t="shared" si="27"/>
        <v>2.2598128771299422E-2</v>
      </c>
      <c r="Y45" s="3">
        <f t="shared" si="27"/>
        <v>2.2598128750961108E-2</v>
      </c>
      <c r="Z45" s="3">
        <f t="shared" si="27"/>
        <v>2.259812854757795E-2</v>
      </c>
      <c r="AA45" s="3">
        <f t="shared" si="27"/>
        <v>2.2598126513746472E-2</v>
      </c>
      <c r="AB45" s="3">
        <f t="shared" si="27"/>
        <v>2.2598106175441762E-2</v>
      </c>
      <c r="AC45" s="3">
        <f t="shared" si="27"/>
        <v>2.2597902793401403E-2</v>
      </c>
      <c r="AD45" s="3">
        <f t="shared" si="27"/>
        <v>2.2595869073668756E-2</v>
      </c>
      <c r="AE45" s="3">
        <f t="shared" si="27"/>
        <v>2.257554194008465E-2</v>
      </c>
      <c r="AF45" s="3">
        <f t="shared" si="29"/>
        <v>2.2373273635304614E-2</v>
      </c>
      <c r="AG45" s="3">
        <f t="shared" si="29"/>
        <v>2.0447632491911463E-2</v>
      </c>
      <c r="AH45" s="3">
        <f t="shared" si="29"/>
        <v>8.313386984737263E-3</v>
      </c>
      <c r="AI45" s="3">
        <f t="shared" si="29"/>
        <v>1.0259534590831774E-6</v>
      </c>
      <c r="AJ45" s="3">
        <f t="shared" si="29"/>
        <v>8.4066755953542913E-46</v>
      </c>
    </row>
    <row r="46" spans="1:36" x14ac:dyDescent="0.25">
      <c r="A46" s="3">
        <f t="shared" si="30"/>
        <v>100000000000000</v>
      </c>
      <c r="B46" s="116">
        <v>7.8990696155778039E-3</v>
      </c>
      <c r="C46" s="18">
        <f t="shared" si="3"/>
        <v>6.4467605952010509E-3</v>
      </c>
      <c r="D46" s="17"/>
      <c r="F46" s="3">
        <f t="shared" si="28"/>
        <v>6.4467605952010509E-3</v>
      </c>
      <c r="G46" s="3">
        <f t="shared" si="28"/>
        <v>6.4467605952010509E-3</v>
      </c>
      <c r="H46" s="3">
        <f t="shared" si="28"/>
        <v>6.4467605952010509E-3</v>
      </c>
      <c r="I46" s="3">
        <f t="shared" si="28"/>
        <v>6.4467605952010509E-3</v>
      </c>
      <c r="J46" s="3">
        <f t="shared" si="28"/>
        <v>6.4467605952010509E-3</v>
      </c>
      <c r="K46" s="3">
        <f t="shared" si="28"/>
        <v>6.4467605952010509E-3</v>
      </c>
      <c r="L46" s="3">
        <f t="shared" si="28"/>
        <v>6.4467605952010509E-3</v>
      </c>
      <c r="M46" s="3">
        <f t="shared" si="28"/>
        <v>6.4467605952010509E-3</v>
      </c>
      <c r="N46" s="3">
        <f t="shared" si="28"/>
        <v>6.4467605952010509E-3</v>
      </c>
      <c r="O46" s="3">
        <f t="shared" si="28"/>
        <v>6.4467605952010509E-3</v>
      </c>
      <c r="P46" s="3">
        <f t="shared" si="27"/>
        <v>6.4467605952010509E-3</v>
      </c>
      <c r="Q46" s="3">
        <f t="shared" si="27"/>
        <v>6.4467605952010509E-3</v>
      </c>
      <c r="R46" s="3">
        <f t="shared" si="27"/>
        <v>6.4467605952010509E-3</v>
      </c>
      <c r="S46" s="3">
        <f t="shared" si="27"/>
        <v>6.4467605952010501E-3</v>
      </c>
      <c r="T46" s="3">
        <f t="shared" si="27"/>
        <v>6.4467605952010449E-3</v>
      </c>
      <c r="U46" s="3">
        <f t="shared" si="27"/>
        <v>6.4467605952009868E-3</v>
      </c>
      <c r="V46" s="3">
        <f t="shared" si="27"/>
        <v>6.4467605952004065E-3</v>
      </c>
      <c r="W46" s="3">
        <f t="shared" si="27"/>
        <v>6.4467605951946047E-3</v>
      </c>
      <c r="X46" s="3">
        <f t="shared" si="27"/>
        <v>6.4467605951365834E-3</v>
      </c>
      <c r="Y46" s="3">
        <f t="shared" si="27"/>
        <v>6.4467605945563748E-3</v>
      </c>
      <c r="Z46" s="3">
        <f t="shared" si="27"/>
        <v>6.4467605887542903E-3</v>
      </c>
      <c r="AA46" s="3">
        <f t="shared" si="27"/>
        <v>6.4467605307334452E-3</v>
      </c>
      <c r="AB46" s="3">
        <f t="shared" si="27"/>
        <v>6.446759950525024E-3</v>
      </c>
      <c r="AC46" s="3">
        <f t="shared" si="27"/>
        <v>6.4467541484436791E-3</v>
      </c>
      <c r="AD46" s="3">
        <f t="shared" si="27"/>
        <v>6.4466961279174362E-3</v>
      </c>
      <c r="AE46" s="3">
        <f t="shared" si="27"/>
        <v>6.4461159513742594E-3</v>
      </c>
      <c r="AF46" s="3">
        <f t="shared" si="29"/>
        <v>6.4403170569119561E-3</v>
      </c>
      <c r="AG46" s="3">
        <f t="shared" si="29"/>
        <v>6.3826142554994887E-3</v>
      </c>
      <c r="AH46" s="3">
        <f t="shared" si="29"/>
        <v>5.8332702116576842E-3</v>
      </c>
      <c r="AI46" s="3">
        <f t="shared" si="29"/>
        <v>2.3716306851286374E-3</v>
      </c>
      <c r="AJ46" s="3">
        <f t="shared" si="29"/>
        <v>2.9268247821768274E-7</v>
      </c>
    </row>
    <row r="47" spans="1:36" x14ac:dyDescent="0.25">
      <c r="A47" s="3">
        <f t="shared" si="30"/>
        <v>1000000000000000</v>
      </c>
      <c r="B47" s="116">
        <v>1.2045346678596411E-4</v>
      </c>
      <c r="C47" s="18">
        <f t="shared" si="3"/>
        <v>9.8307104636690784E-5</v>
      </c>
      <c r="D47" s="17"/>
      <c r="F47" s="3">
        <f t="shared" si="28"/>
        <v>9.8307104636690784E-5</v>
      </c>
      <c r="G47" s="3">
        <f t="shared" si="28"/>
        <v>9.8307104636690784E-5</v>
      </c>
      <c r="H47" s="3">
        <f t="shared" si="28"/>
        <v>9.8307104636690784E-5</v>
      </c>
      <c r="I47" s="3">
        <f t="shared" si="28"/>
        <v>9.8307104636690784E-5</v>
      </c>
      <c r="J47" s="3">
        <f t="shared" si="28"/>
        <v>9.8307104636690784E-5</v>
      </c>
      <c r="K47" s="3">
        <f t="shared" si="28"/>
        <v>9.8307104636690784E-5</v>
      </c>
      <c r="L47" s="3">
        <f t="shared" si="28"/>
        <v>9.8307104636690784E-5</v>
      </c>
      <c r="M47" s="3">
        <f t="shared" si="28"/>
        <v>9.8307104636690784E-5</v>
      </c>
      <c r="N47" s="3">
        <f t="shared" si="28"/>
        <v>9.8307104636690784E-5</v>
      </c>
      <c r="O47" s="3">
        <f t="shared" si="28"/>
        <v>9.8307104636690784E-5</v>
      </c>
      <c r="P47" s="3">
        <f t="shared" si="27"/>
        <v>9.8307104636690784E-5</v>
      </c>
      <c r="Q47" s="3">
        <f t="shared" si="27"/>
        <v>9.8307104636690784E-5</v>
      </c>
      <c r="R47" s="3">
        <f t="shared" si="27"/>
        <v>9.8307104636690784E-5</v>
      </c>
      <c r="S47" s="3">
        <f t="shared" si="27"/>
        <v>9.8307104636690784E-5</v>
      </c>
      <c r="T47" s="3">
        <f t="shared" si="27"/>
        <v>9.830710463669077E-5</v>
      </c>
      <c r="U47" s="3">
        <f t="shared" si="27"/>
        <v>9.8307104636690689E-5</v>
      </c>
      <c r="V47" s="3">
        <f t="shared" si="27"/>
        <v>9.8307104636689808E-5</v>
      </c>
      <c r="W47" s="3">
        <f t="shared" si="27"/>
        <v>9.8307104636680945E-5</v>
      </c>
      <c r="X47" s="3">
        <f t="shared" si="27"/>
        <v>9.8307104636592474E-5</v>
      </c>
      <c r="Y47" s="3">
        <f t="shared" si="27"/>
        <v>9.8307104635707711E-5</v>
      </c>
      <c r="Z47" s="3">
        <f t="shared" si="27"/>
        <v>9.8307104626860079E-5</v>
      </c>
      <c r="AA47" s="3">
        <f t="shared" si="27"/>
        <v>9.8307104538383679E-5</v>
      </c>
      <c r="AB47" s="3">
        <f t="shared" si="27"/>
        <v>9.8307103653619737E-5</v>
      </c>
      <c r="AC47" s="3">
        <f t="shared" si="27"/>
        <v>9.8307094805980821E-5</v>
      </c>
      <c r="AD47" s="3">
        <f t="shared" si="27"/>
        <v>9.8307006329635308E-5</v>
      </c>
      <c r="AE47" s="3">
        <f t="shared" si="27"/>
        <v>9.8306121570559762E-5</v>
      </c>
      <c r="AF47" s="3">
        <f t="shared" si="29"/>
        <v>9.8297274417746255E-5</v>
      </c>
      <c r="AG47" s="3">
        <f t="shared" si="29"/>
        <v>9.8208846669225986E-5</v>
      </c>
      <c r="AH47" s="3">
        <f t="shared" si="29"/>
        <v>9.7328932601917784E-5</v>
      </c>
      <c r="AI47" s="3">
        <f t="shared" si="29"/>
        <v>8.8951946734054199E-5</v>
      </c>
      <c r="AJ47" s="3">
        <f t="shared" si="29"/>
        <v>3.6165162716928314E-5</v>
      </c>
    </row>
    <row r="48" spans="1:36" x14ac:dyDescent="0.25">
      <c r="A48" s="3">
        <f t="shared" si="30"/>
        <v>1E+16</v>
      </c>
      <c r="B48" s="116">
        <v>1.3503660449885834E-2</v>
      </c>
      <c r="C48" s="18">
        <f t="shared" si="3"/>
        <v>1.1020901234699522E-2</v>
      </c>
      <c r="D48" s="17"/>
      <c r="F48" s="3">
        <f t="shared" si="28"/>
        <v>1.1020901234699522E-2</v>
      </c>
      <c r="G48" s="3">
        <f t="shared" si="28"/>
        <v>1.1020901234699522E-2</v>
      </c>
      <c r="H48" s="3">
        <f t="shared" si="28"/>
        <v>1.1020901234699522E-2</v>
      </c>
      <c r="I48" s="3">
        <f t="shared" si="28"/>
        <v>1.1020901234699522E-2</v>
      </c>
      <c r="J48" s="3">
        <f t="shared" si="28"/>
        <v>1.1020901234699522E-2</v>
      </c>
      <c r="K48" s="3">
        <f t="shared" si="28"/>
        <v>1.1020901234699522E-2</v>
      </c>
      <c r="L48" s="3">
        <f t="shared" si="28"/>
        <v>1.1020901234699522E-2</v>
      </c>
      <c r="M48" s="3">
        <f t="shared" si="28"/>
        <v>1.1020901234699522E-2</v>
      </c>
      <c r="N48" s="3">
        <f t="shared" si="28"/>
        <v>1.1020901234699522E-2</v>
      </c>
      <c r="O48" s="3">
        <f t="shared" si="28"/>
        <v>1.1020901234699522E-2</v>
      </c>
      <c r="P48" s="3">
        <f t="shared" si="27"/>
        <v>1.1020901234699522E-2</v>
      </c>
      <c r="Q48" s="3">
        <f t="shared" si="27"/>
        <v>1.1020901234699522E-2</v>
      </c>
      <c r="R48" s="3">
        <f t="shared" si="27"/>
        <v>1.1020901234699522E-2</v>
      </c>
      <c r="S48" s="3">
        <f t="shared" si="27"/>
        <v>1.1020901234699522E-2</v>
      </c>
      <c r="T48" s="3">
        <f t="shared" si="27"/>
        <v>1.1020901234699522E-2</v>
      </c>
      <c r="U48" s="3">
        <f t="shared" si="27"/>
        <v>1.102090123469952E-2</v>
      </c>
      <c r="V48" s="3">
        <f t="shared" si="27"/>
        <v>1.1020901234699511E-2</v>
      </c>
      <c r="W48" s="3">
        <f t="shared" si="27"/>
        <v>1.1020901234699412E-2</v>
      </c>
      <c r="X48" s="3">
        <f t="shared" si="27"/>
        <v>1.1020901234698418E-2</v>
      </c>
      <c r="Y48" s="3">
        <f t="shared" si="27"/>
        <v>1.1020901234688501E-2</v>
      </c>
      <c r="Z48" s="3">
        <f t="shared" si="27"/>
        <v>1.1020901234589313E-2</v>
      </c>
      <c r="AA48" s="3">
        <f t="shared" si="27"/>
        <v>1.1020901233597431E-2</v>
      </c>
      <c r="AB48" s="3">
        <f t="shared" si="27"/>
        <v>1.102090122367862E-2</v>
      </c>
      <c r="AC48" s="3">
        <f t="shared" si="27"/>
        <v>1.102090112449051E-2</v>
      </c>
      <c r="AD48" s="3">
        <f t="shared" si="27"/>
        <v>1.1020900132609453E-2</v>
      </c>
      <c r="AE48" s="3">
        <f t="shared" si="27"/>
        <v>1.1020890213803798E-2</v>
      </c>
      <c r="AF48" s="3">
        <f t="shared" si="29"/>
        <v>1.1020791026238218E-2</v>
      </c>
      <c r="AG48" s="3">
        <f t="shared" si="29"/>
        <v>1.1019799199678722E-2</v>
      </c>
      <c r="AH48" s="3">
        <f t="shared" si="29"/>
        <v>1.1009885842079082E-2</v>
      </c>
      <c r="AI48" s="3">
        <f t="shared" si="29"/>
        <v>1.0911241435180264E-2</v>
      </c>
      <c r="AJ48" s="3">
        <f t="shared" si="29"/>
        <v>9.9721238176348342E-3</v>
      </c>
    </row>
    <row r="49" spans="1:36" x14ac:dyDescent="0.25">
      <c r="B49" s="16">
        <f>SUM(B17:B48)</f>
        <v>1.2252773309835403</v>
      </c>
      <c r="C49" s="18">
        <f>SUM(C17:C48)</f>
        <v>0.99999999999999989</v>
      </c>
      <c r="F49" s="3">
        <f t="shared" ref="F49:AJ49" si="31">F16-F17</f>
        <v>-3.4848008039261913E-2</v>
      </c>
      <c r="G49" s="3">
        <f t="shared" si="31"/>
        <v>1.8538667900429573E-3</v>
      </c>
      <c r="H49" s="3">
        <f t="shared" si="31"/>
        <v>-2.0568186982927728E-2</v>
      </c>
      <c r="I49" s="3">
        <f t="shared" si="31"/>
        <v>-2.7344733773134067E-2</v>
      </c>
      <c r="J49" s="3">
        <f t="shared" si="31"/>
        <v>-2.9387976057478227E-2</v>
      </c>
      <c r="K49" s="3">
        <f t="shared" si="31"/>
        <v>-3.004560029876302E-2</v>
      </c>
      <c r="L49" s="3">
        <f t="shared" si="31"/>
        <v>-3.0224148442357546E-2</v>
      </c>
      <c r="M49" s="3">
        <f t="shared" si="31"/>
        <v>-2.8723717669890902E-2</v>
      </c>
      <c r="N49" s="3">
        <f t="shared" si="31"/>
        <v>-1.3918156044383068E-2</v>
      </c>
      <c r="O49" s="3">
        <f t="shared" si="31"/>
        <v>0.11628358183770615</v>
      </c>
      <c r="P49" s="3">
        <f t="shared" si="31"/>
        <v>0.33312898335407226</v>
      </c>
      <c r="Q49" s="3">
        <f t="shared" si="31"/>
        <v>-0.55786613806867535</v>
      </c>
      <c r="R49" s="3">
        <f t="shared" si="31"/>
        <v>0.68665754489029496</v>
      </c>
      <c r="S49" s="3">
        <f t="shared" si="31"/>
        <v>-0.72466429535506904</v>
      </c>
      <c r="T49" s="3">
        <f t="shared" si="31"/>
        <v>0.6583526488584539</v>
      </c>
      <c r="U49" s="3">
        <f t="shared" si="31"/>
        <v>-0.50951198092661798</v>
      </c>
      <c r="V49" s="3">
        <f t="shared" si="31"/>
        <v>0.3380659043941705</v>
      </c>
      <c r="W49" s="3">
        <f t="shared" si="31"/>
        <v>-0.19498236606614228</v>
      </c>
      <c r="X49" s="3">
        <f t="shared" si="31"/>
        <v>9.6822050960327033E-2</v>
      </c>
      <c r="Y49" s="3">
        <f t="shared" si="31"/>
        <v>-4.0350202645186073E-2</v>
      </c>
      <c r="Z49" s="3">
        <f t="shared" si="31"/>
        <v>1.3594303310128453E-2</v>
      </c>
      <c r="AA49" s="3">
        <f t="shared" si="31"/>
        <v>-3.5479288480928517E-3</v>
      </c>
      <c r="AB49" s="3">
        <f t="shared" si="31"/>
        <v>1.2293127815610205E-3</v>
      </c>
      <c r="AC49" s="3">
        <f t="shared" si="31"/>
        <v>1.0415587653369585E-3</v>
      </c>
      <c r="AD49" s="3">
        <f t="shared" si="31"/>
        <v>-6.623128716228166E-3</v>
      </c>
      <c r="AE49" s="3">
        <f t="shared" si="31"/>
        <v>8.2221153277259873E-3</v>
      </c>
      <c r="AF49" s="3">
        <f t="shared" si="31"/>
        <v>-2.5008490462141708E-3</v>
      </c>
      <c r="AG49" s="3">
        <f t="shared" si="31"/>
        <v>-4.0293347793181056E-3</v>
      </c>
      <c r="AH49" s="3">
        <f t="shared" si="31"/>
        <v>5.9277325227924393E-3</v>
      </c>
      <c r="AI49" s="3">
        <f t="shared" si="31"/>
        <v>-3.7493558057519749E-3</v>
      </c>
      <c r="AJ49" s="3">
        <f t="shared" si="31"/>
        <v>1.1955666129495057E-3</v>
      </c>
    </row>
    <row r="50" spans="1:36" x14ac:dyDescent="0.25">
      <c r="F50" s="57">
        <f t="shared" ref="F50:AJ50" si="32">F49/F17</f>
        <v>-5.8821931028048413E-6</v>
      </c>
      <c r="G50" s="57">
        <f t="shared" si="32"/>
        <v>3.129246995600149E-7</v>
      </c>
      <c r="H50" s="57">
        <f t="shared" si="32"/>
        <v>-3.471821042881931E-6</v>
      </c>
      <c r="I50" s="57">
        <f t="shared" si="32"/>
        <v>-4.6156728466343774E-6</v>
      </c>
      <c r="J50" s="57">
        <f t="shared" si="32"/>
        <v>-4.9605633298968663E-6</v>
      </c>
      <c r="K50" s="57">
        <f t="shared" si="32"/>
        <v>-5.0715676517252723E-6</v>
      </c>
      <c r="L50" s="57">
        <f t="shared" si="32"/>
        <v>-5.1017077437456334E-6</v>
      </c>
      <c r="M50" s="57">
        <f t="shared" si="32"/>
        <v>-4.8484598055542823E-6</v>
      </c>
      <c r="N50" s="57">
        <f t="shared" si="32"/>
        <v>-2.3494234881776202E-6</v>
      </c>
      <c r="O50" s="57">
        <f t="shared" si="32"/>
        <v>1.9636326899414506E-5</v>
      </c>
      <c r="P50" s="57">
        <f t="shared" si="32"/>
        <v>5.6441416013807411E-5</v>
      </c>
      <c r="Q50" s="57">
        <f t="shared" si="32"/>
        <v>-9.636113838362923E-5</v>
      </c>
      <c r="R50" s="57">
        <f t="shared" si="32"/>
        <v>1.2159553942506243E-4</v>
      </c>
      <c r="S50" s="57">
        <f t="shared" si="32"/>
        <v>-1.3190570822500049E-4</v>
      </c>
      <c r="T50" s="57">
        <f t="shared" si="32"/>
        <v>1.2399489566139595E-4</v>
      </c>
      <c r="U50" s="57">
        <f t="shared" si="32"/>
        <v>-9.9564077075201755E-5</v>
      </c>
      <c r="V50" s="57">
        <f t="shared" si="32"/>
        <v>6.9152951883717049E-5</v>
      </c>
      <c r="W50" s="57">
        <f t="shared" si="32"/>
        <v>-4.2393590698808239E-5</v>
      </c>
      <c r="X50" s="57">
        <f t="shared" si="32"/>
        <v>2.2662768593888835E-5</v>
      </c>
      <c r="Y50" s="57">
        <f t="shared" si="32"/>
        <v>-1.0238082832406399E-5</v>
      </c>
      <c r="Z50" s="57">
        <f t="shared" si="32"/>
        <v>3.7673197280719736E-6</v>
      </c>
      <c r="AA50" s="57">
        <f t="shared" si="32"/>
        <v>-1.0874711839917794E-6</v>
      </c>
      <c r="AB50" s="57">
        <f t="shared" si="32"/>
        <v>4.3265653265157234E-7</v>
      </c>
      <c r="AC50" s="57">
        <f t="shared" si="32"/>
        <v>4.4314118754608574E-7</v>
      </c>
      <c r="AD50" s="57">
        <f t="shared" si="32"/>
        <v>-3.6912327512250383E-6</v>
      </c>
      <c r="AE50" s="57">
        <f t="shared" si="32"/>
        <v>6.8934428401735879E-6</v>
      </c>
      <c r="AF50" s="57">
        <f t="shared" si="32"/>
        <v>-3.5096454937759703E-6</v>
      </c>
      <c r="AG50" s="57">
        <f t="shared" si="32"/>
        <v>-9.9294214949800209E-6</v>
      </c>
      <c r="AH50" s="57">
        <f t="shared" si="32"/>
        <v>2.6027299576093404E-5</v>
      </c>
      <c r="AI50" s="57">
        <f t="shared" si="32"/>
        <v>-2.3838945927647641E-5</v>
      </c>
      <c r="AJ50" s="57">
        <f t="shared" si="32"/>
        <v>8.7059768718356834E-6</v>
      </c>
    </row>
    <row r="51" spans="1:36" x14ac:dyDescent="0.25">
      <c r="A51" s="13" t="s">
        <v>21</v>
      </c>
      <c r="B51" s="3">
        <f>STUTT!D8</f>
        <v>5930.4079000000002</v>
      </c>
      <c r="E51" s="11" t="s">
        <v>24</v>
      </c>
      <c r="F51" s="20">
        <f t="shared" ref="F51:AJ51" si="33">(F16-F17)^2</f>
        <v>1.2143836643044629E-3</v>
      </c>
      <c r="G51" s="20">
        <f t="shared" si="33"/>
        <v>3.4368220752241783E-6</v>
      </c>
      <c r="H51" s="20">
        <f t="shared" si="33"/>
        <v>4.230503157646776E-4</v>
      </c>
      <c r="I51" s="20">
        <f t="shared" si="33"/>
        <v>7.4773446512357887E-4</v>
      </c>
      <c r="J51" s="20">
        <f t="shared" si="33"/>
        <v>8.6365313675491353E-4</v>
      </c>
      <c r="K51" s="20">
        <f t="shared" si="33"/>
        <v>9.0273809731302845E-4</v>
      </c>
      <c r="L51" s="20">
        <f t="shared" si="33"/>
        <v>9.1349914906566402E-4</v>
      </c>
      <c r="M51" s="20">
        <f t="shared" si="33"/>
        <v>8.2505195677960285E-4</v>
      </c>
      <c r="N51" s="20">
        <f t="shared" si="33"/>
        <v>1.9371506767579692E-4</v>
      </c>
      <c r="O51" s="20">
        <f t="shared" si="33"/>
        <v>1.3521871405006504E-2</v>
      </c>
      <c r="P51" s="20">
        <f t="shared" si="33"/>
        <v>0.11097491955051775</v>
      </c>
      <c r="Q51" s="20">
        <f t="shared" si="33"/>
        <v>0.31121462800365834</v>
      </c>
      <c r="R51" s="20">
        <f t="shared" si="33"/>
        <v>0.47149858395476746</v>
      </c>
      <c r="S51" s="20">
        <f t="shared" si="33"/>
        <v>0.52513834096245871</v>
      </c>
      <c r="T51" s="20">
        <f t="shared" si="33"/>
        <v>0.43342821025894268</v>
      </c>
      <c r="U51" s="20">
        <f t="shared" si="33"/>
        <v>0.25960245870776633</v>
      </c>
      <c r="V51" s="20">
        <f t="shared" si="33"/>
        <v>0.11428855571384842</v>
      </c>
      <c r="W51" s="20">
        <f t="shared" si="33"/>
        <v>3.8018123076751113E-2</v>
      </c>
      <c r="X51" s="20">
        <f t="shared" si="33"/>
        <v>9.3745095521641647E-3</v>
      </c>
      <c r="Y51" s="20">
        <f t="shared" si="33"/>
        <v>1.6281388535075811E-3</v>
      </c>
      <c r="Z51" s="20">
        <f t="shared" si="33"/>
        <v>1.848050824877694E-4</v>
      </c>
      <c r="AA51" s="20">
        <f t="shared" si="33"/>
        <v>1.258779911112947E-5</v>
      </c>
      <c r="AB51" s="20">
        <f t="shared" si="33"/>
        <v>1.5112099149092935E-6</v>
      </c>
      <c r="AC51" s="20">
        <f t="shared" si="33"/>
        <v>1.0848446616502493E-6</v>
      </c>
      <c r="AD51" s="20">
        <f t="shared" si="33"/>
        <v>4.3865833991726157E-5</v>
      </c>
      <c r="AE51" s="20">
        <f t="shared" si="33"/>
        <v>6.7603180462426615E-5</v>
      </c>
      <c r="AF51" s="20">
        <f t="shared" si="33"/>
        <v>6.2542459519503275E-6</v>
      </c>
      <c r="AG51" s="20">
        <f t="shared" si="33"/>
        <v>1.6235538763822485E-5</v>
      </c>
      <c r="AH51" s="20">
        <f t="shared" si="33"/>
        <v>3.513801286177122E-5</v>
      </c>
      <c r="AI51" s="20">
        <f t="shared" si="33"/>
        <v>1.4057668958126041E-5</v>
      </c>
      <c r="AJ51" s="20">
        <f t="shared" si="33"/>
        <v>1.4293795259995533E-6</v>
      </c>
    </row>
    <row r="52" spans="1:36" x14ac:dyDescent="0.25">
      <c r="A52" s="13"/>
    </row>
    <row r="53" spans="1:36" x14ac:dyDescent="0.25">
      <c r="E53" s="108" t="s">
        <v>25</v>
      </c>
      <c r="F53" s="108"/>
      <c r="G53" s="114">
        <f>SUM(F51:AJ51)</f>
        <v>2.295160175510937</v>
      </c>
      <c r="I53" s="3">
        <f>G53+C123</f>
        <v>2.295160175510937</v>
      </c>
      <c r="K53" s="3">
        <f>SUM(Z51:AJ51)</f>
        <v>3.8457279669128078E-4</v>
      </c>
    </row>
    <row r="55" spans="1:36" x14ac:dyDescent="0.25">
      <c r="E55" s="30" t="s">
        <v>30</v>
      </c>
      <c r="F55" s="31">
        <f t="shared" ref="F55:AJ55" si="34">ABS(F17-F16)/F16</f>
        <v>5.8822277032040659E-6</v>
      </c>
      <c r="G55" s="31">
        <f t="shared" si="34"/>
        <v>3.1292460163817796E-7</v>
      </c>
      <c r="H55" s="31">
        <f t="shared" si="34"/>
        <v>3.4718330964651326E-6</v>
      </c>
      <c r="I55" s="31">
        <f t="shared" si="34"/>
        <v>4.6156941511685394E-6</v>
      </c>
      <c r="J55" s="31">
        <f t="shared" si="34"/>
        <v>4.9605879372074826E-6</v>
      </c>
      <c r="K55" s="31">
        <f t="shared" si="34"/>
        <v>5.0715933726541635E-6</v>
      </c>
      <c r="L55" s="31">
        <f t="shared" si="34"/>
        <v>5.101733771300321E-6</v>
      </c>
      <c r="M55" s="31">
        <f t="shared" si="34"/>
        <v>4.8484833132307447E-6</v>
      </c>
      <c r="N55" s="31">
        <f t="shared" si="34"/>
        <v>2.3494290079813154E-6</v>
      </c>
      <c r="O55" s="31">
        <f t="shared" si="34"/>
        <v>1.9635941321651737E-5</v>
      </c>
      <c r="P55" s="31">
        <f t="shared" si="34"/>
        <v>5.6438230560157287E-5</v>
      </c>
      <c r="Q55" s="31">
        <f t="shared" si="34"/>
        <v>9.6370424747464401E-5</v>
      </c>
      <c r="R55" s="31">
        <f t="shared" si="34"/>
        <v>1.2158075574748361E-4</v>
      </c>
      <c r="S55" s="31">
        <f t="shared" si="34"/>
        <v>1.3192310963620831E-4</v>
      </c>
      <c r="T55" s="31">
        <f t="shared" si="34"/>
        <v>1.2397952283339808E-4</v>
      </c>
      <c r="U55" s="31">
        <f t="shared" si="34"/>
        <v>9.9573991067723118E-5</v>
      </c>
      <c r="V55" s="31">
        <f t="shared" si="34"/>
        <v>6.9148170083638413E-5</v>
      </c>
      <c r="W55" s="31">
        <f t="shared" si="34"/>
        <v>4.2395387991534269E-5</v>
      </c>
      <c r="X55" s="31">
        <f t="shared" si="34"/>
        <v>2.2662255004447853E-5</v>
      </c>
      <c r="Y55" s="31">
        <f t="shared" si="34"/>
        <v>1.0238187651819631E-5</v>
      </c>
      <c r="Z55" s="31">
        <f t="shared" si="34"/>
        <v>3.7673055354275083E-6</v>
      </c>
      <c r="AA55" s="31">
        <f t="shared" si="34"/>
        <v>1.0874723665866416E-6</v>
      </c>
      <c r="AB55" s="31">
        <f t="shared" si="34"/>
        <v>4.3265634545997811E-7</v>
      </c>
      <c r="AC55" s="31">
        <f t="shared" si="34"/>
        <v>4.4314099117206064E-7</v>
      </c>
      <c r="AD55" s="31">
        <f t="shared" si="34"/>
        <v>3.6912463764745561E-6</v>
      </c>
      <c r="AE55" s="31">
        <f t="shared" si="34"/>
        <v>6.8933953209469683E-6</v>
      </c>
      <c r="AF55" s="31">
        <f t="shared" si="34"/>
        <v>3.5096578114306925E-6</v>
      </c>
      <c r="AG55" s="31">
        <f t="shared" si="34"/>
        <v>9.9295200893702312E-6</v>
      </c>
      <c r="AH55" s="31">
        <f t="shared" si="34"/>
        <v>2.6026622173401142E-5</v>
      </c>
      <c r="AI55" s="31">
        <f t="shared" si="34"/>
        <v>2.383951423653847E-5</v>
      </c>
      <c r="AJ55" s="31">
        <f t="shared" si="34"/>
        <v>8.705901078462246E-6</v>
      </c>
    </row>
    <row r="56" spans="1:36" x14ac:dyDescent="0.25">
      <c r="E56" s="13" t="s">
        <v>31</v>
      </c>
      <c r="F56" s="32">
        <f>AVERAGE(F55:AJ55)</f>
        <v>2.9641513416956362E-5</v>
      </c>
    </row>
    <row r="57" spans="1:36" x14ac:dyDescent="0.25">
      <c r="A57" s="42"/>
      <c r="B57" s="15"/>
      <c r="C57" s="15"/>
      <c r="D57" s="15"/>
      <c r="F57" s="60">
        <f>AVERAGE(S55:X55)</f>
        <v>8.1613739436158333E-5</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09"/>
      <c r="D63" s="109"/>
      <c r="E63" s="109"/>
      <c r="F63" s="109"/>
      <c r="G63" s="109"/>
      <c r="H63" s="109"/>
      <c r="I63" s="109"/>
    </row>
    <row r="64" spans="1:36" x14ac:dyDescent="0.25">
      <c r="A64" s="42">
        <f>10^A65</f>
        <v>1.0000000000000001E-15</v>
      </c>
      <c r="B64" s="42">
        <f>10^B65</f>
        <v>1000000000000000</v>
      </c>
      <c r="C64" s="15"/>
      <c r="D64" s="15"/>
      <c r="E64" s="15"/>
      <c r="F64" s="15"/>
      <c r="G64" s="15"/>
      <c r="H64" s="15"/>
      <c r="I64" s="15"/>
    </row>
    <row r="65" spans="1:13" x14ac:dyDescent="0.25">
      <c r="A65" s="15">
        <f>-A67</f>
        <v>-15</v>
      </c>
      <c r="B65" s="111">
        <f>A67</f>
        <v>15</v>
      </c>
      <c r="C65" s="15"/>
      <c r="D65" s="15"/>
      <c r="E65" s="15"/>
      <c r="F65" s="15"/>
      <c r="G65" s="15"/>
      <c r="H65" s="15"/>
      <c r="I65" s="15"/>
    </row>
    <row r="66" spans="1:13" x14ac:dyDescent="0.25">
      <c r="A66" s="15"/>
      <c r="B66" s="15"/>
      <c r="C66" s="15"/>
      <c r="D66" s="15"/>
      <c r="E66" s="15"/>
      <c r="F66" s="15"/>
      <c r="G66" s="15"/>
      <c r="H66" s="15"/>
      <c r="I66" s="15"/>
    </row>
    <row r="67" spans="1:13" x14ac:dyDescent="0.25">
      <c r="A67" s="11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10"/>
    </row>
    <row r="101" spans="1:9" x14ac:dyDescent="0.25">
      <c r="A101" s="110"/>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-14.406800109604639</v>
      </c>
    </row>
    <row r="119" spans="1:14" x14ac:dyDescent="0.25">
      <c r="L119" s="11">
        <f>L118+1</f>
        <v>2</v>
      </c>
      <c r="M119" s="11">
        <f t="shared" ref="M119:M124" si="35">INDEX($B$125:$K$126,1,L119)</f>
        <v>0</v>
      </c>
      <c r="N119" s="11">
        <f t="shared" ref="N119:N124" si="36">IF(L119=$B$3,0,INDEX($B$125:$K$126,2,L119))</f>
        <v>-10.950515452938541</v>
      </c>
    </row>
    <row r="120" spans="1:14" x14ac:dyDescent="0.25">
      <c r="L120" s="11">
        <f t="shared" ref="L120:L124" si="37">L119+1</f>
        <v>3</v>
      </c>
      <c r="M120" s="11">
        <f t="shared" si="35"/>
        <v>25</v>
      </c>
      <c r="N120" s="11">
        <f t="shared" si="36"/>
        <v>-6.5770330385822291</v>
      </c>
    </row>
    <row r="121" spans="1:14" x14ac:dyDescent="0.25">
      <c r="A121" s="113">
        <f>(A165+A204+A243+A282+A321+A360+A399)*10^9</f>
        <v>522059276048574.62</v>
      </c>
      <c r="L121" s="11">
        <f t="shared" si="37"/>
        <v>4</v>
      </c>
      <c r="M121" s="11">
        <f t="shared" si="35"/>
        <v>50</v>
      </c>
      <c r="N121" s="11">
        <f t="shared" si="36"/>
        <v>0</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12.063922953615501</v>
      </c>
    </row>
    <row r="123" spans="1:14" x14ac:dyDescent="0.25">
      <c r="A123" s="108"/>
      <c r="B123" s="108"/>
      <c r="C123" s="3"/>
      <c r="D123" s="3"/>
      <c r="E123" s="3"/>
      <c r="F123" s="3"/>
      <c r="G123" s="3"/>
      <c r="H123" s="3"/>
      <c r="I123" s="3"/>
      <c r="J123" s="3"/>
      <c r="K123" s="3"/>
      <c r="L123" s="11">
        <f t="shared" si="37"/>
        <v>6</v>
      </c>
      <c r="M123" s="11">
        <f t="shared" si="35"/>
        <v>125</v>
      </c>
      <c r="N123" s="11">
        <f t="shared" si="36"/>
        <v>31.8000897176249</v>
      </c>
    </row>
    <row r="124" spans="1:14" x14ac:dyDescent="0.25">
      <c r="B124" s="3"/>
      <c r="C124" s="3"/>
      <c r="D124" s="3"/>
      <c r="E124" s="3"/>
      <c r="F124" s="3"/>
      <c r="G124" s="3"/>
      <c r="H124" s="3"/>
      <c r="I124" s="3"/>
      <c r="J124" s="3"/>
      <c r="K124" s="3"/>
      <c r="L124" s="11">
        <f t="shared" si="37"/>
        <v>7</v>
      </c>
      <c r="M124" s="11">
        <f t="shared" si="35"/>
        <v>160</v>
      </c>
      <c r="N124" s="11">
        <f t="shared" si="36"/>
        <v>35.861537922668312</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17">
        <v>-14.406800109604639</v>
      </c>
      <c r="C126" s="117">
        <v>-10.950515452938541</v>
      </c>
      <c r="D126" s="117">
        <v>-6.5770330385822291</v>
      </c>
      <c r="E126" s="117">
        <v>1.3428687777918219E-4</v>
      </c>
      <c r="F126" s="117">
        <v>12.063922953615501</v>
      </c>
      <c r="G126" s="117">
        <v>31.8000897176249</v>
      </c>
      <c r="H126" s="117">
        <v>35.861537922668312</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5945.4862308501361</v>
      </c>
      <c r="C130" s="26">
        <f>INDEX(Comparison!$AM$3:$AS$33,G14,$B$122)</f>
        <v>5945.5233978276192</v>
      </c>
      <c r="D130" s="26">
        <f>INDEX(Comparison!$AM$3:$AS$33,H14,$B$122)</f>
        <v>5945.5006733975988</v>
      </c>
      <c r="E130" s="26">
        <f>INDEX(Comparison!$AM$3:$AS$33,I14,$B$122)</f>
        <v>5945.4940479964844</v>
      </c>
      <c r="F130" s="26">
        <f>INDEX(Comparison!$AM$3:$AS$33,J14,$B$122)</f>
        <v>5945.491987661344</v>
      </c>
      <c r="G130" s="26">
        <f>INDEX(Comparison!$AM$3:$AS$33,K14,$B$122)</f>
        <v>5945.4911594878167</v>
      </c>
      <c r="H130" s="26">
        <f>INDEX(Comparison!$AM$3:$AS$33,L14,$B$122)</f>
        <v>5945.4908968962591</v>
      </c>
      <c r="I130" s="26">
        <f>INDEX(Comparison!$AM$3:$AS$33,M14,$B$122)</f>
        <v>5945.4908564975603</v>
      </c>
      <c r="J130" s="26">
        <f>INDEX(Comparison!$AM$3:$AS$33,N14,$B$122)</f>
        <v>5945.4908564975603</v>
      </c>
      <c r="K130" s="26">
        <f>INDEX(Comparison!$AM$3:$AS$33,O14,$B$122)</f>
        <v>5945.4908564975603</v>
      </c>
      <c r="L130" s="26">
        <f>INDEX(Comparison!$AM$3:$AS$33,P14,$B$122)</f>
        <v>5945.4908564975603</v>
      </c>
      <c r="M130" s="26">
        <f>INDEX(Comparison!$AM$3:$AS$33,Q14,$B$122)</f>
        <v>5945.4908160988625</v>
      </c>
      <c r="N130" s="26">
        <f>INDEX(Comparison!$AM$3:$AS$33,R14,$B$122)</f>
        <v>5945.4901697197583</v>
      </c>
      <c r="O130" s="26">
        <f>INDEX(Comparison!$AM$3:$AS$33,S14,$B$122)</f>
        <v>5945.4832413525728</v>
      </c>
      <c r="P130" s="26">
        <f>INDEX(Comparison!$AM$3:$AS$33,T14,$B$122)</f>
        <v>5945.4144029430536</v>
      </c>
      <c r="Q130" s="26">
        <f>INDEX(Comparison!$AM$3:$AS$33,U14,$B$122)</f>
        <v>5944.7274999078909</v>
      </c>
      <c r="R130" s="26">
        <f>INDEX(Comparison!$AM$3:$AS$33,V14,$B$122)</f>
        <v>5938.0129605513939</v>
      </c>
      <c r="S130" s="26">
        <f>INDEX(Comparison!$AM$3:$AS$33,W14,$B$122)</f>
        <v>5884.0318384088569</v>
      </c>
      <c r="T130" s="26">
        <f>INDEX(Comparison!$AM$3:$AS$33,X14,$B$122)</f>
        <v>5738.5639340162998</v>
      </c>
      <c r="U130" s="26">
        <f>INDEX(Comparison!$AM$3:$AS$33,Y14,$B$122)</f>
        <v>5588.2751906456833</v>
      </c>
      <c r="V130" s="26">
        <f>INDEX(Comparison!$AM$3:$AS$33,Z14,$B$122)</f>
        <v>5399.4936644871386</v>
      </c>
      <c r="W130" s="26">
        <f>INDEX(Comparison!$AM$3:$AS$33,AA14,$B$122)</f>
        <v>5141.8460502498219</v>
      </c>
      <c r="X130" s="26">
        <f>INDEX(Comparison!$AM$3:$AS$33,AB14,$B$122)</f>
        <v>4855.3493085479013</v>
      </c>
      <c r="Y130" s="26">
        <f>INDEX(Comparison!$AM$3:$AS$33,AC14,$B$122)</f>
        <v>4530.5898566513597</v>
      </c>
      <c r="Z130" s="26">
        <f>INDEX(Comparison!$AM$3:$AS$33,AD14,$B$122)</f>
        <v>4215.1902304511941</v>
      </c>
      <c r="AA130" s="26">
        <f>INDEX(Comparison!$AM$3:$AS$33,AE14,$B$122)</f>
        <v>3929.081471457625</v>
      </c>
      <c r="AB130" s="26">
        <f>INDEX(Comparison!$AM$3:$AS$33,AF14,$B$122)</f>
        <v>3641.242030569621</v>
      </c>
      <c r="AC130" s="26">
        <f>INDEX(Comparison!$AM$3:$AS$33,AG14,$B$122)</f>
        <v>3352.5216988135498</v>
      </c>
      <c r="AD130" s="26">
        <f>INDEX(Comparison!$AM$3:$AS$33,AH14,$B$122)</f>
        <v>2996.6335305209523</v>
      </c>
      <c r="AE130" s="26">
        <f>INDEX(Comparison!$AM$3:$AS$33,AI14,$B$122)</f>
        <v>2563.0064610610193</v>
      </c>
      <c r="AF130" s="26">
        <f>INDEX(Comparison!$AM$3:$AS$33,AJ14,$B$122)</f>
        <v>2059.5134179476377</v>
      </c>
    </row>
    <row r="131" spans="1:33" x14ac:dyDescent="0.25">
      <c r="A131" s="68" t="s">
        <v>22</v>
      </c>
      <c r="B131" s="27">
        <f>($C$17+SUM(B132:B162))*$B$51</f>
        <v>5930.0801518288654</v>
      </c>
      <c r="C131" s="27">
        <f t="shared" ref="C131:AF131" si="40">($C$17+SUM(C132:C162))*$B$51</f>
        <v>5927.8207427385087</v>
      </c>
      <c r="D131" s="27">
        <f t="shared" si="40"/>
        <v>5924.3463332308165</v>
      </c>
      <c r="E131" s="27">
        <f t="shared" si="40"/>
        <v>5924.3223454632616</v>
      </c>
      <c r="F131" s="27">
        <f t="shared" si="40"/>
        <v>5924.3223454632498</v>
      </c>
      <c r="G131" s="27">
        <f t="shared" si="40"/>
        <v>5924.3223454631243</v>
      </c>
      <c r="H131" s="27">
        <f t="shared" si="40"/>
        <v>5924.3223454618801</v>
      </c>
      <c r="I131" s="27">
        <f t="shared" si="40"/>
        <v>5924.3223454494337</v>
      </c>
      <c r="J131" s="27">
        <f t="shared" si="40"/>
        <v>5924.3223453249693</v>
      </c>
      <c r="K131" s="27">
        <f t="shared" si="40"/>
        <v>5924.3223440803313</v>
      </c>
      <c r="L131" s="27">
        <f t="shared" si="40"/>
        <v>5924.3223316339481</v>
      </c>
      <c r="M131" s="27">
        <f t="shared" si="40"/>
        <v>5924.3222071702239</v>
      </c>
      <c r="N131" s="27">
        <f t="shared" si="40"/>
        <v>5924.3209625430236</v>
      </c>
      <c r="O131" s="27">
        <f t="shared" si="40"/>
        <v>5924.3085172769843</v>
      </c>
      <c r="P131" s="27">
        <f t="shared" si="40"/>
        <v>5924.1841650534452</v>
      </c>
      <c r="Q131" s="27">
        <f t="shared" si="40"/>
        <v>5922.9505303207161</v>
      </c>
      <c r="R131" s="27">
        <f t="shared" si="40"/>
        <v>5911.4677572855617</v>
      </c>
      <c r="S131" s="27">
        <f t="shared" si="40"/>
        <v>5833.2493225848548</v>
      </c>
      <c r="T131" s="27">
        <f t="shared" si="40"/>
        <v>5678.5710666479017</v>
      </c>
      <c r="U131" s="27">
        <f t="shared" si="40"/>
        <v>5538.807764702522</v>
      </c>
      <c r="V131" s="27">
        <f t="shared" si="40"/>
        <v>5353.7163895236245</v>
      </c>
      <c r="W131" s="27">
        <f t="shared" si="40"/>
        <v>5164.2785023664928</v>
      </c>
      <c r="X131" s="27">
        <f t="shared" si="40"/>
        <v>4948.4446272273099</v>
      </c>
      <c r="Y131" s="27">
        <f t="shared" si="40"/>
        <v>4670.1333602857285</v>
      </c>
      <c r="Z131" s="27">
        <f t="shared" si="40"/>
        <v>4346.6501147133722</v>
      </c>
      <c r="AA131" s="27">
        <f t="shared" si="40"/>
        <v>4015.3987408950311</v>
      </c>
      <c r="AB131" s="27">
        <f t="shared" si="40"/>
        <v>3687.7931032476968</v>
      </c>
      <c r="AC131" s="27">
        <f t="shared" si="40"/>
        <v>3342.0110579732841</v>
      </c>
      <c r="AD131" s="27">
        <f t="shared" si="40"/>
        <v>2974.6128010963039</v>
      </c>
      <c r="AE131" s="27">
        <f t="shared" si="40"/>
        <v>2485.3598347695533</v>
      </c>
      <c r="AF131" s="27">
        <f t="shared" si="40"/>
        <v>1943.6197497181756</v>
      </c>
    </row>
    <row r="132" spans="1:33" x14ac:dyDescent="0.25">
      <c r="B132" s="3">
        <f t="shared" ref="B132:Z133" si="41">$C18*EXP(-B$129/$A18/EXP(-$B$126))</f>
        <v>9.7089550376501196E-4</v>
      </c>
      <c r="C132" s="3">
        <f t="shared" ref="C132:AF132" si="42">$C18*EXP(-C$129/$A18/EXP(-$B$126))</f>
        <v>5.8990837295444824E-4</v>
      </c>
      <c r="D132" s="3">
        <f t="shared" si="42"/>
        <v>4.0448765007162145E-6</v>
      </c>
      <c r="E132" s="3">
        <f t="shared" si="42"/>
        <v>9.2920668008895392E-28</v>
      </c>
      <c r="F132" s="3">
        <f t="shared" si="42"/>
        <v>3.8034953943228884E-244</v>
      </c>
      <c r="G132" s="3">
        <f t="shared" si="42"/>
        <v>0</v>
      </c>
      <c r="H132" s="3">
        <f t="shared" si="42"/>
        <v>0</v>
      </c>
      <c r="I132" s="3">
        <f t="shared" si="42"/>
        <v>0</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0</v>
      </c>
      <c r="C133" s="3">
        <f t="shared" si="41"/>
        <v>0</v>
      </c>
      <c r="D133" s="3">
        <f t="shared" si="41"/>
        <v>0</v>
      </c>
      <c r="E133" s="3">
        <f t="shared" si="41"/>
        <v>0</v>
      </c>
      <c r="F133" s="3">
        <f t="shared" si="41"/>
        <v>0</v>
      </c>
      <c r="G133" s="3">
        <f t="shared" si="41"/>
        <v>0</v>
      </c>
      <c r="H133" s="3">
        <f t="shared" si="41"/>
        <v>0</v>
      </c>
      <c r="I133" s="3">
        <f t="shared" si="41"/>
        <v>0</v>
      </c>
      <c r="J133" s="3">
        <f t="shared" si="41"/>
        <v>0</v>
      </c>
      <c r="K133" s="3">
        <f t="shared" si="41"/>
        <v>0</v>
      </c>
      <c r="L133" s="3">
        <f t="shared" si="41"/>
        <v>0</v>
      </c>
      <c r="M133" s="3">
        <f t="shared" si="41"/>
        <v>0</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0</v>
      </c>
      <c r="C134" s="3">
        <f t="shared" si="44"/>
        <v>0</v>
      </c>
      <c r="D134" s="3">
        <f t="shared" si="44"/>
        <v>0</v>
      </c>
      <c r="E134" s="3">
        <f t="shared" si="44"/>
        <v>0</v>
      </c>
      <c r="F134" s="3">
        <f t="shared" si="44"/>
        <v>0</v>
      </c>
      <c r="G134" s="3">
        <f t="shared" si="44"/>
        <v>0</v>
      </c>
      <c r="H134" s="3">
        <f t="shared" si="44"/>
        <v>0</v>
      </c>
      <c r="I134" s="3">
        <f t="shared" si="44"/>
        <v>0</v>
      </c>
      <c r="J134" s="3">
        <f t="shared" si="44"/>
        <v>0</v>
      </c>
      <c r="K134" s="3">
        <f t="shared" si="44"/>
        <v>0</v>
      </c>
      <c r="L134" s="3">
        <f t="shared" si="44"/>
        <v>0</v>
      </c>
      <c r="M134" s="3">
        <f t="shared" si="44"/>
        <v>0</v>
      </c>
      <c r="N134" s="3">
        <f t="shared" si="44"/>
        <v>0</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0</v>
      </c>
      <c r="C135" s="3">
        <f t="shared" si="47"/>
        <v>0</v>
      </c>
      <c r="D135" s="3">
        <f t="shared" si="47"/>
        <v>0</v>
      </c>
      <c r="E135" s="3">
        <f t="shared" si="47"/>
        <v>0</v>
      </c>
      <c r="F135" s="3">
        <f t="shared" si="47"/>
        <v>0</v>
      </c>
      <c r="G135" s="3">
        <f t="shared" si="47"/>
        <v>0</v>
      </c>
      <c r="H135" s="3">
        <f t="shared" si="47"/>
        <v>0</v>
      </c>
      <c r="I135" s="3">
        <f t="shared" si="47"/>
        <v>0</v>
      </c>
      <c r="J135" s="3">
        <f t="shared" si="47"/>
        <v>0</v>
      </c>
      <c r="K135" s="3">
        <f t="shared" si="47"/>
        <v>0</v>
      </c>
      <c r="L135" s="3">
        <f t="shared" si="47"/>
        <v>0</v>
      </c>
      <c r="M135" s="3">
        <f t="shared" si="47"/>
        <v>0</v>
      </c>
      <c r="N135" s="3">
        <f t="shared" si="47"/>
        <v>0</v>
      </c>
      <c r="O135" s="3">
        <f t="shared" si="47"/>
        <v>0</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0</v>
      </c>
      <c r="C136" s="3">
        <f t="shared" si="49"/>
        <v>0</v>
      </c>
      <c r="D136" s="3">
        <f t="shared" si="49"/>
        <v>0</v>
      </c>
      <c r="E136" s="3">
        <f t="shared" si="49"/>
        <v>0</v>
      </c>
      <c r="F136" s="3">
        <f t="shared" si="49"/>
        <v>0</v>
      </c>
      <c r="G136" s="3">
        <f t="shared" si="49"/>
        <v>0</v>
      </c>
      <c r="H136" s="3">
        <f t="shared" si="49"/>
        <v>0</v>
      </c>
      <c r="I136" s="3">
        <f t="shared" si="49"/>
        <v>0</v>
      </c>
      <c r="J136" s="3">
        <f t="shared" si="49"/>
        <v>0</v>
      </c>
      <c r="K136" s="3">
        <f t="shared" si="49"/>
        <v>0</v>
      </c>
      <c r="L136" s="3">
        <f t="shared" si="49"/>
        <v>0</v>
      </c>
      <c r="M136" s="3">
        <f t="shared" si="49"/>
        <v>0</v>
      </c>
      <c r="N136" s="3">
        <f t="shared" si="49"/>
        <v>0</v>
      </c>
      <c r="O136" s="3">
        <f t="shared" si="49"/>
        <v>0</v>
      </c>
      <c r="P136" s="3">
        <f t="shared" si="49"/>
        <v>0</v>
      </c>
      <c r="Q136" s="3">
        <f t="shared" si="49"/>
        <v>0</v>
      </c>
      <c r="R136" s="3">
        <f t="shared" si="49"/>
        <v>0</v>
      </c>
      <c r="S136" s="3">
        <f t="shared" si="49"/>
        <v>0</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0</v>
      </c>
      <c r="C137" s="3">
        <f t="shared" si="51"/>
        <v>0</v>
      </c>
      <c r="D137" s="3">
        <f t="shared" si="51"/>
        <v>0</v>
      </c>
      <c r="E137" s="3">
        <f t="shared" si="51"/>
        <v>0</v>
      </c>
      <c r="F137" s="3">
        <f t="shared" si="51"/>
        <v>0</v>
      </c>
      <c r="G137" s="3">
        <f t="shared" si="51"/>
        <v>0</v>
      </c>
      <c r="H137" s="3">
        <f t="shared" si="51"/>
        <v>0</v>
      </c>
      <c r="I137" s="3">
        <f t="shared" si="51"/>
        <v>0</v>
      </c>
      <c r="J137" s="3">
        <f t="shared" si="51"/>
        <v>0</v>
      </c>
      <c r="K137" s="3">
        <f t="shared" si="51"/>
        <v>0</v>
      </c>
      <c r="L137" s="3">
        <f t="shared" si="51"/>
        <v>0</v>
      </c>
      <c r="M137" s="3">
        <f t="shared" si="51"/>
        <v>0</v>
      </c>
      <c r="N137" s="3">
        <f t="shared" si="51"/>
        <v>0</v>
      </c>
      <c r="O137" s="3">
        <f t="shared" si="51"/>
        <v>0</v>
      </c>
      <c r="P137" s="3">
        <f t="shared" si="51"/>
        <v>0</v>
      </c>
      <c r="Q137" s="3">
        <f t="shared" si="51"/>
        <v>0</v>
      </c>
      <c r="R137" s="3">
        <f t="shared" si="51"/>
        <v>0</v>
      </c>
      <c r="S137" s="3">
        <f t="shared" si="51"/>
        <v>0</v>
      </c>
      <c r="T137" s="3">
        <f t="shared" si="51"/>
        <v>0</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0</v>
      </c>
      <c r="C138" s="3">
        <f t="shared" si="53"/>
        <v>0</v>
      </c>
      <c r="D138" s="3">
        <f t="shared" si="53"/>
        <v>0</v>
      </c>
      <c r="E138" s="3">
        <f t="shared" si="53"/>
        <v>0</v>
      </c>
      <c r="F138" s="3">
        <f t="shared" si="53"/>
        <v>0</v>
      </c>
      <c r="G138" s="3">
        <f t="shared" si="53"/>
        <v>0</v>
      </c>
      <c r="H138" s="3">
        <f t="shared" si="53"/>
        <v>0</v>
      </c>
      <c r="I138" s="3">
        <f t="shared" si="53"/>
        <v>0</v>
      </c>
      <c r="J138" s="3">
        <f t="shared" si="53"/>
        <v>0</v>
      </c>
      <c r="K138" s="3">
        <f t="shared" si="53"/>
        <v>0</v>
      </c>
      <c r="L138" s="3">
        <f t="shared" si="53"/>
        <v>0</v>
      </c>
      <c r="M138" s="3">
        <f t="shared" si="53"/>
        <v>0</v>
      </c>
      <c r="N138" s="3">
        <f t="shared" si="53"/>
        <v>0</v>
      </c>
      <c r="O138" s="3">
        <f t="shared" si="53"/>
        <v>0</v>
      </c>
      <c r="P138" s="3">
        <f t="shared" si="53"/>
        <v>0</v>
      </c>
      <c r="Q138" s="3">
        <f t="shared" si="53"/>
        <v>0</v>
      </c>
      <c r="R138" s="3">
        <f t="shared" si="53"/>
        <v>0</v>
      </c>
      <c r="S138" s="3">
        <f t="shared" si="53"/>
        <v>0</v>
      </c>
      <c r="T138" s="3">
        <f t="shared" si="53"/>
        <v>0</v>
      </c>
      <c r="U138" s="3">
        <f t="shared" si="53"/>
        <v>0</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0</v>
      </c>
      <c r="C139" s="3">
        <f t="shared" si="55"/>
        <v>0</v>
      </c>
      <c r="D139" s="3">
        <f t="shared" si="55"/>
        <v>0</v>
      </c>
      <c r="E139" s="3">
        <f t="shared" si="55"/>
        <v>0</v>
      </c>
      <c r="F139" s="3">
        <f t="shared" si="55"/>
        <v>0</v>
      </c>
      <c r="G139" s="3">
        <f t="shared" si="55"/>
        <v>0</v>
      </c>
      <c r="H139" s="3">
        <f t="shared" si="55"/>
        <v>0</v>
      </c>
      <c r="I139" s="3">
        <f t="shared" si="55"/>
        <v>0</v>
      </c>
      <c r="J139" s="3">
        <f t="shared" si="55"/>
        <v>0</v>
      </c>
      <c r="K139" s="3">
        <f t="shared" si="55"/>
        <v>0</v>
      </c>
      <c r="L139" s="3">
        <f t="shared" si="55"/>
        <v>0</v>
      </c>
      <c r="M139" s="3">
        <f t="shared" si="55"/>
        <v>0</v>
      </c>
      <c r="N139" s="3">
        <f t="shared" si="55"/>
        <v>0</v>
      </c>
      <c r="O139" s="3">
        <f t="shared" si="55"/>
        <v>0</v>
      </c>
      <c r="P139" s="3">
        <f t="shared" si="55"/>
        <v>0</v>
      </c>
      <c r="Q139" s="3">
        <f t="shared" si="55"/>
        <v>0</v>
      </c>
      <c r="R139" s="3">
        <f t="shared" si="55"/>
        <v>0</v>
      </c>
      <c r="S139" s="3">
        <f t="shared" si="55"/>
        <v>0</v>
      </c>
      <c r="T139" s="3">
        <f t="shared" si="55"/>
        <v>0</v>
      </c>
      <c r="U139" s="3">
        <f t="shared" si="55"/>
        <v>0</v>
      </c>
      <c r="V139" s="3">
        <f t="shared" si="55"/>
        <v>0</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0</v>
      </c>
      <c r="C140" s="3">
        <f t="shared" si="57"/>
        <v>0</v>
      </c>
      <c r="D140" s="3">
        <f t="shared" si="57"/>
        <v>0</v>
      </c>
      <c r="E140" s="3">
        <f t="shared" si="57"/>
        <v>0</v>
      </c>
      <c r="F140" s="3">
        <f t="shared" si="57"/>
        <v>0</v>
      </c>
      <c r="G140" s="3">
        <f t="shared" si="57"/>
        <v>0</v>
      </c>
      <c r="H140" s="3">
        <f t="shared" si="57"/>
        <v>0</v>
      </c>
      <c r="I140" s="3">
        <f t="shared" si="57"/>
        <v>0</v>
      </c>
      <c r="J140" s="3">
        <f t="shared" si="57"/>
        <v>0</v>
      </c>
      <c r="K140" s="3">
        <f t="shared" si="57"/>
        <v>0</v>
      </c>
      <c r="L140" s="3">
        <f t="shared" si="57"/>
        <v>0</v>
      </c>
      <c r="M140" s="3">
        <f t="shared" si="57"/>
        <v>0</v>
      </c>
      <c r="N140" s="3">
        <f t="shared" si="57"/>
        <v>0</v>
      </c>
      <c r="O140" s="3">
        <f t="shared" si="57"/>
        <v>0</v>
      </c>
      <c r="P140" s="3">
        <f t="shared" si="57"/>
        <v>0</v>
      </c>
      <c r="Q140" s="3">
        <f t="shared" si="57"/>
        <v>0</v>
      </c>
      <c r="R140" s="3">
        <f t="shared" si="57"/>
        <v>0</v>
      </c>
      <c r="S140" s="3">
        <f t="shared" si="57"/>
        <v>0</v>
      </c>
      <c r="T140" s="3">
        <f t="shared" si="57"/>
        <v>0</v>
      </c>
      <c r="U140" s="3">
        <f t="shared" si="57"/>
        <v>0</v>
      </c>
      <c r="V140" s="3">
        <f t="shared" si="57"/>
        <v>0</v>
      </c>
      <c r="W140" s="3">
        <f t="shared" si="57"/>
        <v>0</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7.2761897872501702E-4</v>
      </c>
      <c r="C141" s="3">
        <f t="shared" si="59"/>
        <v>7.2761897872501669E-4</v>
      </c>
      <c r="D141" s="3">
        <f t="shared" si="59"/>
        <v>7.2761897872501257E-4</v>
      </c>
      <c r="E141" s="3">
        <f t="shared" si="59"/>
        <v>7.2761897872497192E-4</v>
      </c>
      <c r="F141" s="3">
        <f t="shared" si="59"/>
        <v>7.2761897872456469E-4</v>
      </c>
      <c r="G141" s="3">
        <f t="shared" si="59"/>
        <v>7.2761897872049243E-4</v>
      </c>
      <c r="H141" s="3">
        <f t="shared" si="59"/>
        <v>7.2761897867977055E-4</v>
      </c>
      <c r="I141" s="3">
        <f t="shared" si="59"/>
        <v>7.2761897827255224E-4</v>
      </c>
      <c r="J141" s="3">
        <f t="shared" si="59"/>
        <v>7.2761897420036835E-4</v>
      </c>
      <c r="K141" s="3">
        <f t="shared" si="59"/>
        <v>7.2761893347853142E-4</v>
      </c>
      <c r="L141" s="3">
        <f t="shared" si="59"/>
        <v>7.2761852626028641E-4</v>
      </c>
      <c r="M141" s="3">
        <f t="shared" si="59"/>
        <v>7.2761445409037166E-4</v>
      </c>
      <c r="N141" s="3">
        <f t="shared" si="59"/>
        <v>7.2757373364466403E-4</v>
      </c>
      <c r="O141" s="3">
        <f t="shared" si="59"/>
        <v>7.2716665450560088E-4</v>
      </c>
      <c r="P141" s="3">
        <f t="shared" si="59"/>
        <v>7.2310836900512851E-4</v>
      </c>
      <c r="Q141" s="3">
        <f t="shared" si="59"/>
        <v>6.8375058970298686E-4</v>
      </c>
      <c r="R141" s="3">
        <f t="shared" si="59"/>
        <v>3.9069780701572336E-4</v>
      </c>
      <c r="S141" s="3">
        <f t="shared" si="59"/>
        <v>1.449684748571527E-6</v>
      </c>
      <c r="T141" s="3">
        <f t="shared" si="59"/>
        <v>7.1713271290970387E-31</v>
      </c>
      <c r="U141" s="3">
        <f t="shared" si="59"/>
        <v>6.2930208833870769E-274</v>
      </c>
      <c r="V141" s="3">
        <f t="shared" si="59"/>
        <v>0</v>
      </c>
      <c r="W141" s="3">
        <f t="shared" si="59"/>
        <v>0</v>
      </c>
      <c r="X141" s="3">
        <f t="shared" si="59"/>
        <v>0</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3.1446025257017021E-2</v>
      </c>
      <c r="C142" s="3">
        <f t="shared" si="61"/>
        <v>3.1446025257017014E-2</v>
      </c>
      <c r="D142" s="3">
        <f t="shared" si="61"/>
        <v>3.1446025257017E-2</v>
      </c>
      <c r="E142" s="3">
        <f t="shared" si="61"/>
        <v>3.1446025257016841E-2</v>
      </c>
      <c r="F142" s="3">
        <f t="shared" si="61"/>
        <v>3.1446025257015259E-2</v>
      </c>
      <c r="G142" s="3">
        <f t="shared" si="61"/>
        <v>3.1446025256999383E-2</v>
      </c>
      <c r="H142" s="3">
        <f t="shared" si="61"/>
        <v>3.1446025256840628E-2</v>
      </c>
      <c r="I142" s="3">
        <f t="shared" si="61"/>
        <v>3.1446025255253043E-2</v>
      </c>
      <c r="J142" s="3">
        <f t="shared" si="61"/>
        <v>3.1446025239377236E-2</v>
      </c>
      <c r="K142" s="3">
        <f t="shared" si="61"/>
        <v>3.1446025080619208E-2</v>
      </c>
      <c r="L142" s="3">
        <f t="shared" si="61"/>
        <v>3.1446023493038933E-2</v>
      </c>
      <c r="M142" s="3">
        <f t="shared" si="61"/>
        <v>3.144600761724059E-2</v>
      </c>
      <c r="N142" s="3">
        <f t="shared" si="61"/>
        <v>3.1445848859697971E-2</v>
      </c>
      <c r="O142" s="3">
        <f t="shared" si="61"/>
        <v>3.1444261328353644E-2</v>
      </c>
      <c r="P142" s="3">
        <f t="shared" si="61"/>
        <v>3.1428390422267118E-2</v>
      </c>
      <c r="Q142" s="3">
        <f t="shared" si="61"/>
        <v>3.1270121274908094E-2</v>
      </c>
      <c r="R142" s="3">
        <f t="shared" si="61"/>
        <v>2.9730610382466501E-2</v>
      </c>
      <c r="S142" s="3">
        <f t="shared" si="61"/>
        <v>1.7945122419054948E-2</v>
      </c>
      <c r="T142" s="3">
        <f t="shared" si="61"/>
        <v>1.1517876661162853E-4</v>
      </c>
      <c r="U142" s="3">
        <f t="shared" si="61"/>
        <v>1.3665716463819422E-26</v>
      </c>
      <c r="V142" s="3">
        <f t="shared" si="61"/>
        <v>7.5549610084418059E-246</v>
      </c>
      <c r="W142" s="3">
        <f t="shared" si="61"/>
        <v>0</v>
      </c>
      <c r="X142" s="3">
        <f t="shared" si="61"/>
        <v>0</v>
      </c>
      <c r="Y142" s="3">
        <f t="shared" si="61"/>
        <v>0</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1.9599632072183452E-2</v>
      </c>
      <c r="C143" s="3">
        <f t="shared" si="63"/>
        <v>1.9599632072183452E-2</v>
      </c>
      <c r="D143" s="3">
        <f t="shared" si="63"/>
        <v>1.9599632072183452E-2</v>
      </c>
      <c r="E143" s="3">
        <f t="shared" si="63"/>
        <v>1.9599632072183442E-2</v>
      </c>
      <c r="F143" s="3">
        <f t="shared" si="63"/>
        <v>1.9599632072183352E-2</v>
      </c>
      <c r="G143" s="3">
        <f t="shared" si="63"/>
        <v>1.959963207218246E-2</v>
      </c>
      <c r="H143" s="3">
        <f t="shared" si="63"/>
        <v>1.9599632072173533E-2</v>
      </c>
      <c r="I143" s="3">
        <f t="shared" si="63"/>
        <v>1.9599632072084271E-2</v>
      </c>
      <c r="J143" s="3">
        <f t="shared" si="63"/>
        <v>1.9599632071191659E-2</v>
      </c>
      <c r="K143" s="3">
        <f t="shared" si="63"/>
        <v>1.9599632062265501E-2</v>
      </c>
      <c r="L143" s="3">
        <f t="shared" si="63"/>
        <v>1.9599631973003944E-2</v>
      </c>
      <c r="M143" s="3">
        <f t="shared" si="63"/>
        <v>1.95996310803884E-2</v>
      </c>
      <c r="N143" s="3">
        <f t="shared" si="63"/>
        <v>1.959962215423517E-2</v>
      </c>
      <c r="O143" s="3">
        <f t="shared" si="63"/>
        <v>1.9599532892926479E-2</v>
      </c>
      <c r="P143" s="3">
        <f t="shared" si="63"/>
        <v>1.9598640302197684E-2</v>
      </c>
      <c r="Q143" s="3">
        <f t="shared" si="63"/>
        <v>1.9589716630346449E-2</v>
      </c>
      <c r="R143" s="3">
        <f t="shared" si="63"/>
        <v>1.9500703079276094E-2</v>
      </c>
      <c r="S143" s="3">
        <f t="shared" si="63"/>
        <v>1.8632512796848272E-2</v>
      </c>
      <c r="T143" s="3">
        <f t="shared" si="63"/>
        <v>1.1816340925289225E-2</v>
      </c>
      <c r="U143" s="3">
        <f t="shared" si="63"/>
        <v>1.2433656312636526E-4</v>
      </c>
      <c r="V143" s="3">
        <f t="shared" si="63"/>
        <v>2.0689848786730264E-24</v>
      </c>
      <c r="W143" s="3">
        <f t="shared" si="63"/>
        <v>3.3677659140880428E-222</v>
      </c>
      <c r="X143" s="3">
        <f t="shared" si="63"/>
        <v>0</v>
      </c>
      <c r="Y143" s="3">
        <f t="shared" si="63"/>
        <v>0</v>
      </c>
      <c r="Z143" s="3">
        <f t="shared" si="63"/>
        <v>0</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3.2516214564493037E-2</v>
      </c>
      <c r="C144" s="3">
        <f t="shared" si="65"/>
        <v>3.2516214564493037E-2</v>
      </c>
      <c r="D144" s="3">
        <f t="shared" si="65"/>
        <v>3.2516214564493037E-2</v>
      </c>
      <c r="E144" s="3">
        <f t="shared" si="65"/>
        <v>3.2516214564493037E-2</v>
      </c>
      <c r="F144" s="3">
        <f t="shared" si="65"/>
        <v>3.2516214564493023E-2</v>
      </c>
      <c r="G144" s="3">
        <f t="shared" si="65"/>
        <v>3.2516214564492892E-2</v>
      </c>
      <c r="H144" s="3">
        <f t="shared" si="65"/>
        <v>3.2516214564491552E-2</v>
      </c>
      <c r="I144" s="3">
        <f t="shared" si="65"/>
        <v>3.2516214564478195E-2</v>
      </c>
      <c r="J144" s="3">
        <f t="shared" si="65"/>
        <v>3.2516214564344607E-2</v>
      </c>
      <c r="K144" s="3">
        <f t="shared" si="65"/>
        <v>3.2516214563008738E-2</v>
      </c>
      <c r="L144" s="3">
        <f t="shared" si="65"/>
        <v>3.251621454965007E-2</v>
      </c>
      <c r="M144" s="3">
        <f t="shared" si="65"/>
        <v>3.2516214416063408E-2</v>
      </c>
      <c r="N144" s="3">
        <f t="shared" si="65"/>
        <v>3.2516213080196782E-2</v>
      </c>
      <c r="O144" s="3">
        <f t="shared" si="65"/>
        <v>3.2516199721533523E-2</v>
      </c>
      <c r="P144" s="3">
        <f t="shared" si="65"/>
        <v>3.2516066135202797E-2</v>
      </c>
      <c r="Q144" s="3">
        <f t="shared" si="65"/>
        <v>3.2514730302079832E-2</v>
      </c>
      <c r="R144" s="3">
        <f t="shared" si="65"/>
        <v>3.2501374988824841E-2</v>
      </c>
      <c r="S144" s="3">
        <f t="shared" si="65"/>
        <v>3.2368123195485765E-2</v>
      </c>
      <c r="T144" s="3">
        <f t="shared" si="65"/>
        <v>3.1065286115241231E-2</v>
      </c>
      <c r="U144" s="3">
        <f t="shared" si="65"/>
        <v>2.0599361197179505E-2</v>
      </c>
      <c r="V144" s="3">
        <f t="shared" si="65"/>
        <v>3.3856160242783545E-4</v>
      </c>
      <c r="W144" s="3">
        <f t="shared" si="65"/>
        <v>4.86941948902407E-22</v>
      </c>
      <c r="X144" s="3">
        <f t="shared" si="65"/>
        <v>1.8444720137773943E-200</v>
      </c>
      <c r="Y144" s="3">
        <f t="shared" si="65"/>
        <v>0</v>
      </c>
      <c r="Z144" s="3">
        <f t="shared" si="65"/>
        <v>0</v>
      </c>
      <c r="AA144" s="3">
        <f t="shared" ref="AA144" si="66">$C30*EXP(-AA$129/$A30/EXP(-$B$126))</f>
        <v>0</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3.2163923063268561E-2</v>
      </c>
      <c r="C145" s="3">
        <f t="shared" si="68"/>
        <v>3.2163923063268561E-2</v>
      </c>
      <c r="D145" s="3">
        <f t="shared" si="68"/>
        <v>3.2163923063268561E-2</v>
      </c>
      <c r="E145" s="3">
        <f t="shared" si="68"/>
        <v>3.2163923063268561E-2</v>
      </c>
      <c r="F145" s="3">
        <f t="shared" si="68"/>
        <v>3.2163923063268561E-2</v>
      </c>
      <c r="G145" s="3">
        <f t="shared" si="68"/>
        <v>3.2163923063268547E-2</v>
      </c>
      <c r="H145" s="3">
        <f t="shared" si="68"/>
        <v>3.2163923063268429E-2</v>
      </c>
      <c r="I145" s="3">
        <f t="shared" si="68"/>
        <v>3.2163923063267236E-2</v>
      </c>
      <c r="J145" s="3">
        <f t="shared" si="68"/>
        <v>3.2163923063255315E-2</v>
      </c>
      <c r="K145" s="3">
        <f t="shared" si="68"/>
        <v>3.2163923063136118E-2</v>
      </c>
      <c r="L145" s="3">
        <f t="shared" si="68"/>
        <v>3.2163923061944107E-2</v>
      </c>
      <c r="M145" s="3">
        <f t="shared" si="68"/>
        <v>3.2163923050024044E-2</v>
      </c>
      <c r="N145" s="3">
        <f t="shared" si="68"/>
        <v>3.216392293082336E-2</v>
      </c>
      <c r="O145" s="3">
        <f t="shared" si="68"/>
        <v>3.2163921738816575E-2</v>
      </c>
      <c r="P145" s="3">
        <f t="shared" si="68"/>
        <v>3.2163909818751182E-2</v>
      </c>
      <c r="Q145" s="3">
        <f t="shared" si="68"/>
        <v>3.2163790618340224E-2</v>
      </c>
      <c r="R145" s="3">
        <f t="shared" si="68"/>
        <v>3.2162598638527162E-2</v>
      </c>
      <c r="S145" s="3">
        <f t="shared" si="68"/>
        <v>3.2150681269717957E-2</v>
      </c>
      <c r="T145" s="3">
        <f t="shared" si="68"/>
        <v>3.2031750180981727E-2</v>
      </c>
      <c r="U145" s="3">
        <f t="shared" si="68"/>
        <v>3.0866369840766149E-2</v>
      </c>
      <c r="V145" s="3">
        <f t="shared" si="68"/>
        <v>2.1307594563781149E-2</v>
      </c>
      <c r="W145" s="3">
        <f t="shared" si="68"/>
        <v>5.2362830421547968E-4</v>
      </c>
      <c r="X145" s="3">
        <f t="shared" si="68"/>
        <v>4.2063945621388239E-20</v>
      </c>
      <c r="Y145" s="3">
        <f t="shared" si="68"/>
        <v>4.707376574343268E-181</v>
      </c>
      <c r="Z145" s="3">
        <f t="shared" si="68"/>
        <v>0</v>
      </c>
      <c r="AA145" s="3">
        <f t="shared" ref="AA145" si="69">$C31*EXP(-AA$129/$A31/EXP(-$B$126))</f>
        <v>0</v>
      </c>
      <c r="AB145" s="3">
        <f t="shared" si="67"/>
        <v>0</v>
      </c>
      <c r="AC145" s="3">
        <f t="shared" si="67"/>
        <v>0</v>
      </c>
      <c r="AD145" s="3">
        <f t="shared" si="67"/>
        <v>0</v>
      </c>
      <c r="AE145" s="3">
        <f t="shared" si="67"/>
        <v>0</v>
      </c>
      <c r="AF145" s="3">
        <f t="shared" si="67"/>
        <v>0</v>
      </c>
    </row>
    <row r="146" spans="1:32" x14ac:dyDescent="0.25">
      <c r="B146" s="3">
        <f t="shared" ref="B146:Z146" si="70">$C32*EXP(-B$129/$A32/EXP(-$B$126))</f>
        <v>3.3900572605001088E-2</v>
      </c>
      <c r="C146" s="3">
        <f t="shared" si="70"/>
        <v>3.3900572605001088E-2</v>
      </c>
      <c r="D146" s="3">
        <f t="shared" si="70"/>
        <v>3.3900572605001088E-2</v>
      </c>
      <c r="E146" s="3">
        <f t="shared" si="70"/>
        <v>3.3900572605001088E-2</v>
      </c>
      <c r="F146" s="3">
        <f t="shared" si="70"/>
        <v>3.3900572605001088E-2</v>
      </c>
      <c r="G146" s="3">
        <f t="shared" si="70"/>
        <v>3.3900572605001088E-2</v>
      </c>
      <c r="H146" s="3">
        <f t="shared" si="70"/>
        <v>3.3900572605001074E-2</v>
      </c>
      <c r="I146" s="3">
        <f t="shared" si="70"/>
        <v>3.3900572605000963E-2</v>
      </c>
      <c r="J146" s="3">
        <f t="shared" si="70"/>
        <v>3.3900572604999825E-2</v>
      </c>
      <c r="K146" s="3">
        <f t="shared" si="70"/>
        <v>3.3900572604988494E-2</v>
      </c>
      <c r="L146" s="3">
        <f t="shared" si="70"/>
        <v>3.3900572604875161E-2</v>
      </c>
      <c r="M146" s="3">
        <f t="shared" si="70"/>
        <v>3.390057260374181E-2</v>
      </c>
      <c r="N146" s="3">
        <f t="shared" si="70"/>
        <v>3.3900572592408328E-2</v>
      </c>
      <c r="O146" s="3">
        <f t="shared" si="70"/>
        <v>3.3900572479073514E-2</v>
      </c>
      <c r="P146" s="3">
        <f t="shared" si="70"/>
        <v>3.3900571345725369E-2</v>
      </c>
      <c r="Q146" s="3">
        <f t="shared" si="70"/>
        <v>3.390056001224602E-2</v>
      </c>
      <c r="R146" s="3">
        <f t="shared" si="70"/>
        <v>3.39004466776609E-2</v>
      </c>
      <c r="S146" s="3">
        <f t="shared" si="70"/>
        <v>3.3899313352648709E-2</v>
      </c>
      <c r="T146" s="3">
        <f t="shared" si="70"/>
        <v>3.3887982186166614E-2</v>
      </c>
      <c r="U146" s="3">
        <f t="shared" si="70"/>
        <v>3.3774878627824315E-2</v>
      </c>
      <c r="V146" s="3">
        <f t="shared" si="70"/>
        <v>3.2664398557222855E-2</v>
      </c>
      <c r="W146" s="3">
        <f t="shared" si="70"/>
        <v>2.3382091514914317E-2</v>
      </c>
      <c r="X146" s="3">
        <f t="shared" si="70"/>
        <v>8.2598137643331859E-4</v>
      </c>
      <c r="Y146" s="3">
        <f t="shared" si="70"/>
        <v>2.4994200466634358E-18</v>
      </c>
      <c r="Z146" s="3">
        <f t="shared" si="70"/>
        <v>1.6089004880147802E-163</v>
      </c>
      <c r="AA146" s="3">
        <f t="shared" ref="AA146" si="71">$C32*EXP(-AA$129/$A32/EXP(-$B$126))</f>
        <v>0</v>
      </c>
      <c r="AB146" s="3">
        <f t="shared" si="67"/>
        <v>0</v>
      </c>
      <c r="AC146" s="3">
        <f t="shared" si="67"/>
        <v>0</v>
      </c>
      <c r="AD146" s="3">
        <f t="shared" si="67"/>
        <v>0</v>
      </c>
      <c r="AE146" s="3">
        <f t="shared" si="67"/>
        <v>0</v>
      </c>
      <c r="AF146" s="3">
        <f t="shared" si="67"/>
        <v>0</v>
      </c>
    </row>
    <row r="147" spans="1:32" x14ac:dyDescent="0.25">
      <c r="B147" s="3">
        <f t="shared" ref="B147:Z147" si="72">$C33*EXP(-B$129/$A33/EXP(-$B$126))</f>
        <v>4.6234934193755559E-2</v>
      </c>
      <c r="C147" s="3">
        <f t="shared" si="72"/>
        <v>4.6234934193755559E-2</v>
      </c>
      <c r="D147" s="3">
        <f t="shared" si="72"/>
        <v>4.6234934193755559E-2</v>
      </c>
      <c r="E147" s="3">
        <f t="shared" si="72"/>
        <v>4.6234934193755559E-2</v>
      </c>
      <c r="F147" s="3">
        <f t="shared" si="72"/>
        <v>4.6234934193755559E-2</v>
      </c>
      <c r="G147" s="3">
        <f t="shared" si="72"/>
        <v>4.6234934193755559E-2</v>
      </c>
      <c r="H147" s="3">
        <f t="shared" si="72"/>
        <v>4.6234934193755559E-2</v>
      </c>
      <c r="I147" s="3">
        <f t="shared" si="72"/>
        <v>4.6234934193755545E-2</v>
      </c>
      <c r="J147" s="3">
        <f t="shared" si="72"/>
        <v>4.6234934193755406E-2</v>
      </c>
      <c r="K147" s="3">
        <f t="shared" si="72"/>
        <v>4.6234934193754011E-2</v>
      </c>
      <c r="L147" s="3">
        <f t="shared" si="72"/>
        <v>4.6234934193740064E-2</v>
      </c>
      <c r="M147" s="3">
        <f t="shared" si="72"/>
        <v>4.6234934193600634E-2</v>
      </c>
      <c r="N147" s="3">
        <f t="shared" si="72"/>
        <v>4.6234934192206277E-2</v>
      </c>
      <c r="O147" s="3">
        <f t="shared" si="72"/>
        <v>4.6234934178262729E-2</v>
      </c>
      <c r="P147" s="3">
        <f t="shared" si="72"/>
        <v>4.6234934038827301E-2</v>
      </c>
      <c r="Q147" s="3">
        <f t="shared" si="72"/>
        <v>4.6234932644473002E-2</v>
      </c>
      <c r="R147" s="3">
        <f t="shared" si="72"/>
        <v>4.6234918700932347E-2</v>
      </c>
      <c r="S147" s="3">
        <f t="shared" si="72"/>
        <v>4.6234779265757059E-2</v>
      </c>
      <c r="T147" s="3">
        <f t="shared" si="72"/>
        <v>4.6233384937131937E-2</v>
      </c>
      <c r="U147" s="3">
        <f t="shared" si="72"/>
        <v>4.6219443963397527E-2</v>
      </c>
      <c r="V147" s="3">
        <f t="shared" si="72"/>
        <v>4.6080265219899948E-2</v>
      </c>
      <c r="W147" s="3">
        <f t="shared" si="72"/>
        <v>4.4711321481853229E-2</v>
      </c>
      <c r="X147" s="3">
        <f t="shared" si="72"/>
        <v>3.3070660247013696E-2</v>
      </c>
      <c r="Y147" s="3">
        <f t="shared" si="72"/>
        <v>1.6206769717159028E-3</v>
      </c>
      <c r="Z147" s="3">
        <f t="shared" si="72"/>
        <v>1.2948886315671937E-16</v>
      </c>
      <c r="AA147" s="3">
        <f t="shared" ref="AA147" si="73">$C33*EXP(-AA$129/$A33/EXP(-$B$126))</f>
        <v>1.3727516854802753E-147</v>
      </c>
      <c r="AB147" s="3">
        <f t="shared" si="67"/>
        <v>0</v>
      </c>
      <c r="AC147" s="3">
        <f t="shared" si="67"/>
        <v>0</v>
      </c>
      <c r="AD147" s="3">
        <f t="shared" si="67"/>
        <v>0</v>
      </c>
      <c r="AE147" s="3">
        <f t="shared" si="67"/>
        <v>0</v>
      </c>
      <c r="AF147" s="3">
        <f t="shared" si="67"/>
        <v>0</v>
      </c>
    </row>
    <row r="148" spans="1:32" x14ac:dyDescent="0.25">
      <c r="B148" s="3">
        <f t="shared" ref="B148:Z148" si="74">$C34*EXP(-B$129/$A34/EXP(-$B$126))</f>
        <v>5.6671396993887152E-2</v>
      </c>
      <c r="C148" s="3">
        <f t="shared" si="74"/>
        <v>5.6671396993887152E-2</v>
      </c>
      <c r="D148" s="3">
        <f t="shared" si="74"/>
        <v>5.6671396993887152E-2</v>
      </c>
      <c r="E148" s="3">
        <f t="shared" si="74"/>
        <v>5.6671396993887152E-2</v>
      </c>
      <c r="F148" s="3">
        <f t="shared" si="74"/>
        <v>5.6671396993887152E-2</v>
      </c>
      <c r="G148" s="3">
        <f t="shared" si="74"/>
        <v>5.6671396993887152E-2</v>
      </c>
      <c r="H148" s="3">
        <f t="shared" si="74"/>
        <v>5.6671396993887152E-2</v>
      </c>
      <c r="I148" s="3">
        <f t="shared" si="74"/>
        <v>5.6671396993887152E-2</v>
      </c>
      <c r="J148" s="3">
        <f t="shared" si="74"/>
        <v>5.6671396993887131E-2</v>
      </c>
      <c r="K148" s="3">
        <f t="shared" si="74"/>
        <v>5.6671396993886985E-2</v>
      </c>
      <c r="L148" s="3">
        <f t="shared" si="74"/>
        <v>5.6671396993885438E-2</v>
      </c>
      <c r="M148" s="3">
        <f t="shared" si="74"/>
        <v>5.667139699387002E-2</v>
      </c>
      <c r="N148" s="3">
        <f t="shared" si="74"/>
        <v>5.6671396993715845E-2</v>
      </c>
      <c r="O148" s="3">
        <f t="shared" si="74"/>
        <v>5.6671396992174099E-2</v>
      </c>
      <c r="P148" s="3">
        <f t="shared" si="74"/>
        <v>5.6671396976756619E-2</v>
      </c>
      <c r="Q148" s="3">
        <f t="shared" si="74"/>
        <v>5.6671396822581807E-2</v>
      </c>
      <c r="R148" s="3">
        <f t="shared" si="74"/>
        <v>5.6671395280833772E-2</v>
      </c>
      <c r="S148" s="3">
        <f t="shared" si="74"/>
        <v>5.6671379863355652E-2</v>
      </c>
      <c r="T148" s="3">
        <f t="shared" si="74"/>
        <v>5.6671225688805144E-2</v>
      </c>
      <c r="U148" s="3">
        <f t="shared" si="74"/>
        <v>5.6669683966368692E-2</v>
      </c>
      <c r="V148" s="3">
        <f t="shared" si="74"/>
        <v>5.6654269048629247E-2</v>
      </c>
      <c r="W148" s="3">
        <f t="shared" si="74"/>
        <v>5.6500350301738035E-2</v>
      </c>
      <c r="X148" s="3">
        <f t="shared" si="74"/>
        <v>5.4983975613055486E-2</v>
      </c>
      <c r="Y148" s="3">
        <f t="shared" si="74"/>
        <v>4.1887661623242041E-2</v>
      </c>
      <c r="Z148" s="3">
        <f t="shared" si="74"/>
        <v>2.7579468949943918E-3</v>
      </c>
      <c r="AA148" s="3">
        <f>$C34*EXP(-AA$129/$A34/EXP(-$B$126))</f>
        <v>4.2226368017957473E-15</v>
      </c>
      <c r="AB148" s="3">
        <f t="shared" si="67"/>
        <v>2.9892484858352057E-133</v>
      </c>
      <c r="AC148" s="3">
        <f t="shared" si="67"/>
        <v>0</v>
      </c>
      <c r="AD148" s="3">
        <f t="shared" si="67"/>
        <v>0</v>
      </c>
      <c r="AE148" s="3">
        <f t="shared" si="67"/>
        <v>0</v>
      </c>
      <c r="AF148" s="3">
        <f t="shared" si="67"/>
        <v>0</v>
      </c>
    </row>
    <row r="149" spans="1:32" x14ac:dyDescent="0.25">
      <c r="B149" s="3">
        <f t="shared" ref="B149:Z149" si="75">$C35*EXP(-B$129/$A35/EXP(-$B$126))</f>
        <v>5.870573738309863E-2</v>
      </c>
      <c r="C149" s="3">
        <f t="shared" si="75"/>
        <v>5.870573738309863E-2</v>
      </c>
      <c r="D149" s="3">
        <f t="shared" si="75"/>
        <v>5.870573738309863E-2</v>
      </c>
      <c r="E149" s="3">
        <f t="shared" si="75"/>
        <v>5.870573738309863E-2</v>
      </c>
      <c r="F149" s="3">
        <f t="shared" si="75"/>
        <v>5.870573738309863E-2</v>
      </c>
      <c r="G149" s="3">
        <f t="shared" si="75"/>
        <v>5.870573738309863E-2</v>
      </c>
      <c r="H149" s="3">
        <f t="shared" si="75"/>
        <v>5.870573738309863E-2</v>
      </c>
      <c r="I149" s="3">
        <f t="shared" si="75"/>
        <v>5.870573738309863E-2</v>
      </c>
      <c r="J149" s="3">
        <f t="shared" si="75"/>
        <v>5.870573738309863E-2</v>
      </c>
      <c r="K149" s="3">
        <f t="shared" si="75"/>
        <v>5.8705737383098616E-2</v>
      </c>
      <c r="L149" s="3">
        <f t="shared" si="75"/>
        <v>5.8705737383098471E-2</v>
      </c>
      <c r="M149" s="3">
        <f t="shared" si="75"/>
        <v>5.8705737383097027E-2</v>
      </c>
      <c r="N149" s="3">
        <f t="shared" si="75"/>
        <v>5.8705737383082622E-2</v>
      </c>
      <c r="O149" s="3">
        <f t="shared" si="75"/>
        <v>5.870573738293855E-2</v>
      </c>
      <c r="P149" s="3">
        <f t="shared" si="75"/>
        <v>5.8705737381497841E-2</v>
      </c>
      <c r="Q149" s="3">
        <f t="shared" si="75"/>
        <v>5.8705737367090741E-2</v>
      </c>
      <c r="R149" s="3">
        <f t="shared" si="75"/>
        <v>5.8705737223019722E-2</v>
      </c>
      <c r="S149" s="3">
        <f t="shared" si="75"/>
        <v>5.8705735782309539E-2</v>
      </c>
      <c r="T149" s="3">
        <f t="shared" si="75"/>
        <v>5.870572137520963E-2</v>
      </c>
      <c r="U149" s="3">
        <f t="shared" si="75"/>
        <v>5.8705577304405059E-2</v>
      </c>
      <c r="V149" s="3">
        <f t="shared" si="75"/>
        <v>5.8704136615805383E-2</v>
      </c>
      <c r="W149" s="3">
        <f t="shared" si="75"/>
        <v>5.8689731674235378E-2</v>
      </c>
      <c r="X149" s="3">
        <f t="shared" si="75"/>
        <v>5.8545876524769461E-2</v>
      </c>
      <c r="Y149" s="3">
        <f t="shared" si="75"/>
        <v>5.7126576406900519E-2</v>
      </c>
      <c r="Z149" s="3">
        <f t="shared" si="75"/>
        <v>4.4694805210961482E-2</v>
      </c>
      <c r="AA149" s="3">
        <f t="shared" ref="AA149" si="76">$C35*EXP(-AA$129/$A35/EXP(-$B$126))</f>
        <v>3.841011095375125E-3</v>
      </c>
      <c r="AB149" s="3">
        <f t="shared" si="67"/>
        <v>8.4397715253030266E-14</v>
      </c>
      <c r="AC149" s="3">
        <f t="shared" si="67"/>
        <v>2.2140222043947349E-120</v>
      </c>
      <c r="AD149" s="3">
        <f t="shared" si="67"/>
        <v>0</v>
      </c>
      <c r="AE149" s="3">
        <f t="shared" si="67"/>
        <v>0</v>
      </c>
      <c r="AF149" s="3">
        <f t="shared" si="67"/>
        <v>0</v>
      </c>
    </row>
    <row r="150" spans="1:32" x14ac:dyDescent="0.25">
      <c r="B150" s="3">
        <f t="shared" ref="B150:Z150" si="77">$C36*EXP(-B$129/$A36/EXP(-$B$126))</f>
        <v>5.620235606497212E-2</v>
      </c>
      <c r="C150" s="3">
        <f t="shared" si="77"/>
        <v>5.620235606497212E-2</v>
      </c>
      <c r="D150" s="3">
        <f t="shared" si="77"/>
        <v>5.620235606497212E-2</v>
      </c>
      <c r="E150" s="3">
        <f t="shared" si="77"/>
        <v>5.620235606497212E-2</v>
      </c>
      <c r="F150" s="3">
        <f t="shared" si="77"/>
        <v>5.620235606497212E-2</v>
      </c>
      <c r="G150" s="3">
        <f t="shared" si="77"/>
        <v>5.620235606497212E-2</v>
      </c>
      <c r="H150" s="3">
        <f t="shared" si="77"/>
        <v>5.620235606497212E-2</v>
      </c>
      <c r="I150" s="3">
        <f t="shared" si="77"/>
        <v>5.620235606497212E-2</v>
      </c>
      <c r="J150" s="3">
        <f t="shared" si="77"/>
        <v>5.620235606497212E-2</v>
      </c>
      <c r="K150" s="3">
        <f t="shared" si="77"/>
        <v>5.620235606497212E-2</v>
      </c>
      <c r="L150" s="3">
        <f t="shared" si="77"/>
        <v>5.6202356064972106E-2</v>
      </c>
      <c r="M150" s="3">
        <f t="shared" si="77"/>
        <v>5.6202356064971981E-2</v>
      </c>
      <c r="N150" s="3">
        <f t="shared" si="77"/>
        <v>5.6202356064970732E-2</v>
      </c>
      <c r="O150" s="3">
        <f t="shared" si="77"/>
        <v>5.6202356064958291E-2</v>
      </c>
      <c r="P150" s="3">
        <f t="shared" si="77"/>
        <v>5.6202356064833869E-2</v>
      </c>
      <c r="Q150" s="3">
        <f t="shared" si="77"/>
        <v>5.6202356063589656E-2</v>
      </c>
      <c r="R150" s="3">
        <f t="shared" si="77"/>
        <v>5.6202356051147449E-2</v>
      </c>
      <c r="S150" s="3">
        <f t="shared" si="77"/>
        <v>5.6202355926725442E-2</v>
      </c>
      <c r="T150" s="3">
        <f t="shared" si="77"/>
        <v>5.6202354682505409E-2</v>
      </c>
      <c r="U150" s="3">
        <f t="shared" si="77"/>
        <v>5.6202342240306506E-2</v>
      </c>
      <c r="V150" s="3">
        <f t="shared" si="77"/>
        <v>5.6202217818469007E-2</v>
      </c>
      <c r="W150" s="3">
        <f t="shared" si="77"/>
        <v>5.6200973615243573E-2</v>
      </c>
      <c r="X150" s="3">
        <f t="shared" si="77"/>
        <v>5.6188533097816212E-2</v>
      </c>
      <c r="Y150" s="3">
        <f t="shared" si="77"/>
        <v>5.60642792822348E-2</v>
      </c>
      <c r="Z150" s="3">
        <f t="shared" si="77"/>
        <v>5.4836753746358248E-2</v>
      </c>
      <c r="AA150" s="3">
        <f t="shared" ref="AA150" si="78">$C36*EXP(-AA$129/$A36/EXP(-$B$126))</f>
        <v>4.3946741024023642E-2</v>
      </c>
      <c r="AB150" s="3">
        <f t="shared" si="67"/>
        <v>4.8025959030276273E-3</v>
      </c>
      <c r="AC150" s="3">
        <f t="shared" si="67"/>
        <v>1.1667283799854471E-12</v>
      </c>
      <c r="AD150" s="3">
        <f t="shared" si="67"/>
        <v>8.3542394913058739E-109</v>
      </c>
      <c r="AE150" s="3">
        <f t="shared" si="67"/>
        <v>0</v>
      </c>
      <c r="AF150" s="3">
        <f t="shared" si="67"/>
        <v>0</v>
      </c>
    </row>
    <row r="151" spans="1:32" x14ac:dyDescent="0.25">
      <c r="B151" s="3">
        <f t="shared" ref="B151:Z151" si="79">$C37*EXP(-B$129/$A37/EXP(-$B$126))</f>
        <v>6.3415296184233166E-2</v>
      </c>
      <c r="C151" s="3">
        <f t="shared" si="79"/>
        <v>6.3415296184233166E-2</v>
      </c>
      <c r="D151" s="3">
        <f t="shared" si="79"/>
        <v>6.3415296184233166E-2</v>
      </c>
      <c r="E151" s="3">
        <f t="shared" si="79"/>
        <v>6.3415296184233166E-2</v>
      </c>
      <c r="F151" s="3">
        <f t="shared" si="79"/>
        <v>6.3415296184233166E-2</v>
      </c>
      <c r="G151" s="3">
        <f t="shared" si="79"/>
        <v>6.3415296184233166E-2</v>
      </c>
      <c r="H151" s="3">
        <f t="shared" si="79"/>
        <v>6.3415296184233166E-2</v>
      </c>
      <c r="I151" s="3">
        <f t="shared" si="79"/>
        <v>6.3415296184233166E-2</v>
      </c>
      <c r="J151" s="3">
        <f t="shared" si="79"/>
        <v>6.3415296184233166E-2</v>
      </c>
      <c r="K151" s="3">
        <f t="shared" si="79"/>
        <v>6.3415296184233166E-2</v>
      </c>
      <c r="L151" s="3">
        <f t="shared" si="79"/>
        <v>6.3415296184233166E-2</v>
      </c>
      <c r="M151" s="3">
        <f t="shared" si="79"/>
        <v>6.3415296184233153E-2</v>
      </c>
      <c r="N151" s="3">
        <f t="shared" si="79"/>
        <v>6.3415296184233028E-2</v>
      </c>
      <c r="O151" s="3">
        <f t="shared" si="79"/>
        <v>6.3415296184231765E-2</v>
      </c>
      <c r="P151" s="3">
        <f t="shared" si="79"/>
        <v>6.3415296184219094E-2</v>
      </c>
      <c r="Q151" s="3">
        <f t="shared" si="79"/>
        <v>6.3415296184092459E-2</v>
      </c>
      <c r="R151" s="3">
        <f t="shared" si="79"/>
        <v>6.3415296182826014E-2</v>
      </c>
      <c r="S151" s="3">
        <f t="shared" si="79"/>
        <v>6.3415296170161659E-2</v>
      </c>
      <c r="T151" s="3">
        <f t="shared" si="79"/>
        <v>6.3415296043518046E-2</v>
      </c>
      <c r="U151" s="3">
        <f t="shared" si="79"/>
        <v>6.3415294777081924E-2</v>
      </c>
      <c r="V151" s="3">
        <f t="shared" si="79"/>
        <v>6.3415282112722154E-2</v>
      </c>
      <c r="W151" s="3">
        <f t="shared" si="79"/>
        <v>6.3415155469263573E-2</v>
      </c>
      <c r="X151" s="3">
        <f t="shared" si="79"/>
        <v>6.3413889048587913E-2</v>
      </c>
      <c r="Y151" s="3">
        <f t="shared" si="79"/>
        <v>6.3401226232743052E-2</v>
      </c>
      <c r="Z151" s="3">
        <f t="shared" si="79"/>
        <v>6.327473706275441E-2</v>
      </c>
      <c r="AA151" s="3">
        <f t="shared" ref="AA151" si="80">$C37*EXP(-AA$129/$A37/EXP(-$B$126))</f>
        <v>6.2023642055322799E-2</v>
      </c>
      <c r="AB151" s="3">
        <f t="shared" si="67"/>
        <v>5.0795637992870873E-2</v>
      </c>
      <c r="AC151" s="3">
        <f t="shared" si="67"/>
        <v>6.8947411748294871E-3</v>
      </c>
      <c r="AD151" s="3">
        <f t="shared" si="67"/>
        <v>1.4636372352287467E-11</v>
      </c>
      <c r="AE151" s="3">
        <f t="shared" si="67"/>
        <v>2.7201212814896373E-98</v>
      </c>
      <c r="AF151" s="3">
        <f t="shared" si="67"/>
        <v>0</v>
      </c>
    </row>
    <row r="152" spans="1:32" x14ac:dyDescent="0.25">
      <c r="B152" s="3">
        <f t="shared" ref="B152:Z152" si="81">$C38*EXP(-B$129/$A38/EXP(-$B$126))</f>
        <v>3.5348869965799563E-2</v>
      </c>
      <c r="C152" s="3">
        <f t="shared" si="81"/>
        <v>3.5348869965799563E-2</v>
      </c>
      <c r="D152" s="3">
        <f t="shared" si="81"/>
        <v>3.5348869965799563E-2</v>
      </c>
      <c r="E152" s="3">
        <f t="shared" si="81"/>
        <v>3.5348869965799563E-2</v>
      </c>
      <c r="F152" s="3">
        <f t="shared" si="81"/>
        <v>3.5348869965799563E-2</v>
      </c>
      <c r="G152" s="3">
        <f t="shared" si="81"/>
        <v>3.5348869965799563E-2</v>
      </c>
      <c r="H152" s="3">
        <f t="shared" si="81"/>
        <v>3.5348869965799563E-2</v>
      </c>
      <c r="I152" s="3">
        <f t="shared" si="81"/>
        <v>3.5348869965799563E-2</v>
      </c>
      <c r="J152" s="3">
        <f t="shared" si="81"/>
        <v>3.5348869965799563E-2</v>
      </c>
      <c r="K152" s="3">
        <f t="shared" si="81"/>
        <v>3.5348869965799563E-2</v>
      </c>
      <c r="L152" s="3">
        <f t="shared" si="81"/>
        <v>3.5348869965799563E-2</v>
      </c>
      <c r="M152" s="3">
        <f t="shared" si="81"/>
        <v>3.5348869965799563E-2</v>
      </c>
      <c r="N152" s="3">
        <f t="shared" si="81"/>
        <v>3.5348869965799556E-2</v>
      </c>
      <c r="O152" s="3">
        <f t="shared" si="81"/>
        <v>3.5348869965799494E-2</v>
      </c>
      <c r="P152" s="3">
        <f t="shared" si="81"/>
        <v>3.5348869965798856E-2</v>
      </c>
      <c r="Q152" s="3">
        <f t="shared" si="81"/>
        <v>3.5348869965792486E-2</v>
      </c>
      <c r="R152" s="3">
        <f t="shared" si="81"/>
        <v>3.5348869965728807E-2</v>
      </c>
      <c r="S152" s="3">
        <f t="shared" si="81"/>
        <v>3.534886996509199E-2</v>
      </c>
      <c r="T152" s="3">
        <f t="shared" si="81"/>
        <v>3.5348869958723869E-2</v>
      </c>
      <c r="U152" s="3">
        <f t="shared" si="81"/>
        <v>3.5348869895042649E-2</v>
      </c>
      <c r="V152" s="3">
        <f t="shared" si="81"/>
        <v>3.5348869258230428E-2</v>
      </c>
      <c r="W152" s="3">
        <f t="shared" si="81"/>
        <v>3.534886289010887E-2</v>
      </c>
      <c r="X152" s="3">
        <f t="shared" si="81"/>
        <v>3.5348799208956339E-2</v>
      </c>
      <c r="Y152" s="3">
        <f t="shared" si="81"/>
        <v>3.5348162403740682E-2</v>
      </c>
      <c r="Z152" s="3">
        <f t="shared" si="81"/>
        <v>3.534179498250925E-2</v>
      </c>
      <c r="AA152" s="3">
        <f t="shared" ref="AA152" si="82">$C38*EXP(-AA$129/$A38/EXP(-$B$126))</f>
        <v>3.5278183820666227E-2</v>
      </c>
      <c r="AB152" s="3">
        <f t="shared" si="67"/>
        <v>3.464833542435608E-2</v>
      </c>
      <c r="AC152" s="3">
        <f t="shared" si="67"/>
        <v>2.8936362566447618E-2</v>
      </c>
      <c r="AD152" s="3">
        <f t="shared" si="67"/>
        <v>4.7759476828600402E-3</v>
      </c>
      <c r="AE152" s="3">
        <f t="shared" si="67"/>
        <v>7.164993393381231E-11</v>
      </c>
      <c r="AF152" s="3">
        <f t="shared" si="67"/>
        <v>4.1378822650738599E-89</v>
      </c>
    </row>
    <row r="153" spans="1:32" x14ac:dyDescent="0.25">
      <c r="B153" s="3">
        <f t="shared" ref="B153:Z153" si="83">$C39*EXP(-B$129/$A39/EXP(-$B$126))</f>
        <v>7.0460456800535406E-2</v>
      </c>
      <c r="C153" s="3">
        <f t="shared" si="83"/>
        <v>7.0460456800535406E-2</v>
      </c>
      <c r="D153" s="3">
        <f t="shared" si="83"/>
        <v>7.0460456800535406E-2</v>
      </c>
      <c r="E153" s="3">
        <f t="shared" si="83"/>
        <v>7.0460456800535406E-2</v>
      </c>
      <c r="F153" s="3">
        <f t="shared" si="83"/>
        <v>7.0460456800535406E-2</v>
      </c>
      <c r="G153" s="3">
        <f t="shared" si="83"/>
        <v>7.0460456800535406E-2</v>
      </c>
      <c r="H153" s="3">
        <f t="shared" si="83"/>
        <v>7.0460456800535406E-2</v>
      </c>
      <c r="I153" s="3">
        <f t="shared" si="83"/>
        <v>7.0460456800535406E-2</v>
      </c>
      <c r="J153" s="3">
        <f t="shared" si="83"/>
        <v>7.0460456800535406E-2</v>
      </c>
      <c r="K153" s="3">
        <f t="shared" si="83"/>
        <v>7.0460456800535406E-2</v>
      </c>
      <c r="L153" s="3">
        <f t="shared" si="83"/>
        <v>7.0460456800535406E-2</v>
      </c>
      <c r="M153" s="3">
        <f t="shared" si="83"/>
        <v>7.0460456800535406E-2</v>
      </c>
      <c r="N153" s="3">
        <f t="shared" si="83"/>
        <v>7.0460456800535406E-2</v>
      </c>
      <c r="O153" s="3">
        <f t="shared" si="83"/>
        <v>7.0460456800535365E-2</v>
      </c>
      <c r="P153" s="3">
        <f t="shared" si="83"/>
        <v>7.0460456800535018E-2</v>
      </c>
      <c r="Q153" s="3">
        <f t="shared" si="83"/>
        <v>7.0460456800531507E-2</v>
      </c>
      <c r="R153" s="3">
        <f t="shared" si="83"/>
        <v>7.0460456800496396E-2</v>
      </c>
      <c r="S153" s="3">
        <f t="shared" si="83"/>
        <v>7.046045680014533E-2</v>
      </c>
      <c r="T153" s="3">
        <f t="shared" si="83"/>
        <v>7.0460456796634624E-2</v>
      </c>
      <c r="U153" s="3">
        <f t="shared" si="83"/>
        <v>7.0460456761527582E-2</v>
      </c>
      <c r="V153" s="3">
        <f t="shared" si="83"/>
        <v>7.0460456410457215E-2</v>
      </c>
      <c r="W153" s="3">
        <f t="shared" si="83"/>
        <v>7.0460452899753653E-2</v>
      </c>
      <c r="X153" s="3">
        <f t="shared" si="83"/>
        <v>7.0460417792727548E-2</v>
      </c>
      <c r="Y153" s="3">
        <f t="shared" si="83"/>
        <v>7.046006672342861E-2</v>
      </c>
      <c r="Z153" s="3">
        <f t="shared" si="83"/>
        <v>7.0456556126644074E-2</v>
      </c>
      <c r="AA153" s="3">
        <f t="shared" ref="AA153" si="84">$C39*EXP(-AA$129/$A39/EXP(-$B$126))</f>
        <v>7.0421459777504136E-2</v>
      </c>
      <c r="AB153" s="3">
        <f t="shared" si="67"/>
        <v>7.0071456385776817E-2</v>
      </c>
      <c r="AC153" s="3">
        <f t="shared" si="67"/>
        <v>6.6665685804034078E-2</v>
      </c>
      <c r="AD153" s="3">
        <f t="shared" si="67"/>
        <v>4.0505539568415308E-2</v>
      </c>
      <c r="AE153" s="3">
        <f t="shared" si="67"/>
        <v>2.7773788720534962E-4</v>
      </c>
      <c r="AF153" s="3">
        <f t="shared" si="67"/>
        <v>6.3803159394187404E-26</v>
      </c>
    </row>
    <row r="154" spans="1:32" x14ac:dyDescent="0.25">
      <c r="B154" s="3">
        <f t="shared" ref="B154:Z154" si="85">$C40*EXP(-B$129/$A40/EXP(-$B$126))</f>
        <v>8.6875447409324694E-2</v>
      </c>
      <c r="C154" s="3">
        <f t="shared" si="85"/>
        <v>8.6875447409324694E-2</v>
      </c>
      <c r="D154" s="3">
        <f t="shared" si="85"/>
        <v>8.6875447409324694E-2</v>
      </c>
      <c r="E154" s="3">
        <f t="shared" si="85"/>
        <v>8.6875447409324694E-2</v>
      </c>
      <c r="F154" s="3">
        <f t="shared" si="85"/>
        <v>8.6875447409324694E-2</v>
      </c>
      <c r="G154" s="3">
        <f t="shared" si="85"/>
        <v>8.6875447409324694E-2</v>
      </c>
      <c r="H154" s="3">
        <f t="shared" si="85"/>
        <v>8.6875447409324694E-2</v>
      </c>
      <c r="I154" s="3">
        <f t="shared" si="85"/>
        <v>8.6875447409324694E-2</v>
      </c>
      <c r="J154" s="3">
        <f t="shared" si="85"/>
        <v>8.6875447409324694E-2</v>
      </c>
      <c r="K154" s="3">
        <f t="shared" si="85"/>
        <v>8.6875447409324694E-2</v>
      </c>
      <c r="L154" s="3">
        <f t="shared" si="85"/>
        <v>8.6875447409324694E-2</v>
      </c>
      <c r="M154" s="3">
        <f t="shared" si="85"/>
        <v>8.6875447409324694E-2</v>
      </c>
      <c r="N154" s="3">
        <f t="shared" si="85"/>
        <v>8.6875447409324694E-2</v>
      </c>
      <c r="O154" s="3">
        <f t="shared" si="85"/>
        <v>8.6875447409324694E-2</v>
      </c>
      <c r="P154" s="3">
        <f t="shared" si="85"/>
        <v>8.6875447409324652E-2</v>
      </c>
      <c r="Q154" s="3">
        <f t="shared" si="85"/>
        <v>8.6875447409324208E-2</v>
      </c>
      <c r="R154" s="3">
        <f t="shared" si="85"/>
        <v>8.6875447409319878E-2</v>
      </c>
      <c r="S154" s="3">
        <f t="shared" si="85"/>
        <v>8.6875447409276593E-2</v>
      </c>
      <c r="T154" s="3">
        <f t="shared" si="85"/>
        <v>8.6875447408843745E-2</v>
      </c>
      <c r="U154" s="3">
        <f t="shared" si="85"/>
        <v>8.6875447404515152E-2</v>
      </c>
      <c r="V154" s="3">
        <f t="shared" si="85"/>
        <v>8.6875447361229319E-2</v>
      </c>
      <c r="W154" s="3">
        <f t="shared" si="85"/>
        <v>8.6875446928371E-2</v>
      </c>
      <c r="X154" s="3">
        <f t="shared" si="85"/>
        <v>8.6875442599787883E-2</v>
      </c>
      <c r="Y154" s="3">
        <f t="shared" si="85"/>
        <v>8.6875399313968607E-2</v>
      </c>
      <c r="Z154" s="3">
        <f t="shared" si="85"/>
        <v>8.687496645696198E-2</v>
      </c>
      <c r="AA154" s="3">
        <f t="shared" ref="AA154:AF154" si="86">$C40*EXP(-AA$129/$A40/EXP(-$B$126))</f>
        <v>8.6870638005513034E-2</v>
      </c>
      <c r="AB154" s="3">
        <f t="shared" si="86"/>
        <v>8.6827365350574143E-2</v>
      </c>
      <c r="AC154" s="3">
        <f t="shared" si="86"/>
        <v>8.6395822572797834E-2</v>
      </c>
      <c r="AD154" s="3">
        <f t="shared" si="86"/>
        <v>8.2196618416344389E-2</v>
      </c>
      <c r="AE154" s="3">
        <f t="shared" si="86"/>
        <v>4.9942010488575841E-2</v>
      </c>
      <c r="AF154" s="3">
        <f t="shared" si="86"/>
        <v>3.4244176534066917E-4</v>
      </c>
    </row>
    <row r="155" spans="1:32" x14ac:dyDescent="0.25">
      <c r="B155" s="3">
        <f t="shared" ref="B155:Z155" si="87">$C41*EXP(-B$129/$A41/EXP(-$B$126))</f>
        <v>9.6215979999175721E-2</v>
      </c>
      <c r="C155" s="3">
        <f t="shared" si="87"/>
        <v>9.6215979999175721E-2</v>
      </c>
      <c r="D155" s="3">
        <f t="shared" si="87"/>
        <v>9.6215979999175721E-2</v>
      </c>
      <c r="E155" s="3">
        <f t="shared" si="87"/>
        <v>9.6215979999175721E-2</v>
      </c>
      <c r="F155" s="3">
        <f t="shared" si="87"/>
        <v>9.6215979999175721E-2</v>
      </c>
      <c r="G155" s="3">
        <f t="shared" si="87"/>
        <v>9.6215979999175721E-2</v>
      </c>
      <c r="H155" s="3">
        <f t="shared" si="87"/>
        <v>9.6215979999175721E-2</v>
      </c>
      <c r="I155" s="3">
        <f t="shared" si="87"/>
        <v>9.6215979999175721E-2</v>
      </c>
      <c r="J155" s="3">
        <f t="shared" si="87"/>
        <v>9.6215979999175721E-2</v>
      </c>
      <c r="K155" s="3">
        <f t="shared" si="87"/>
        <v>9.6215979999175721E-2</v>
      </c>
      <c r="L155" s="3">
        <f t="shared" si="87"/>
        <v>9.6215979999175721E-2</v>
      </c>
      <c r="M155" s="3">
        <f t="shared" si="87"/>
        <v>9.6215979999175721E-2</v>
      </c>
      <c r="N155" s="3">
        <f t="shared" si="87"/>
        <v>9.6215979999175721E-2</v>
      </c>
      <c r="O155" s="3">
        <f t="shared" si="87"/>
        <v>9.6215979999175721E-2</v>
      </c>
      <c r="P155" s="3">
        <f t="shared" si="87"/>
        <v>9.6215979999175721E-2</v>
      </c>
      <c r="Q155" s="3">
        <f t="shared" si="87"/>
        <v>9.6215979999175666E-2</v>
      </c>
      <c r="R155" s="3">
        <f t="shared" si="87"/>
        <v>9.6215979999175194E-2</v>
      </c>
      <c r="S155" s="3">
        <f t="shared" si="87"/>
        <v>9.6215979999170392E-2</v>
      </c>
      <c r="T155" s="3">
        <f t="shared" si="87"/>
        <v>9.6215979999122445E-2</v>
      </c>
      <c r="U155" s="3">
        <f t="shared" si="87"/>
        <v>9.6215979998643064E-2</v>
      </c>
      <c r="V155" s="3">
        <f t="shared" si="87"/>
        <v>9.621597999384908E-2</v>
      </c>
      <c r="W155" s="3">
        <f t="shared" si="87"/>
        <v>9.6215979945909316E-2</v>
      </c>
      <c r="X155" s="3">
        <f t="shared" si="87"/>
        <v>9.6215979466511628E-2</v>
      </c>
      <c r="Y155" s="3">
        <f t="shared" si="87"/>
        <v>9.6215974672534982E-2</v>
      </c>
      <c r="Z155" s="3">
        <f t="shared" si="87"/>
        <v>9.621592673278162E-2</v>
      </c>
      <c r="AA155" s="3">
        <f t="shared" ref="AA155:AF155" si="88">$C41*EXP(-AA$129/$A41/EXP(-$B$126))</f>
        <v>9.6215447336561691E-2</v>
      </c>
      <c r="AB155" s="3">
        <f t="shared" si="88"/>
        <v>9.6210653505733101E-2</v>
      </c>
      <c r="AC155" s="3">
        <f t="shared" si="88"/>
        <v>9.6162728332093481E-2</v>
      </c>
      <c r="AD155" s="3">
        <f t="shared" si="88"/>
        <v>9.5684787642134422E-2</v>
      </c>
      <c r="AE155" s="3">
        <f t="shared" si="88"/>
        <v>9.1034100305513996E-2</v>
      </c>
      <c r="AF155" s="3">
        <f t="shared" si="88"/>
        <v>5.5311594076137942E-2</v>
      </c>
    </row>
    <row r="156" spans="1:32" x14ac:dyDescent="0.25">
      <c r="B156" s="3">
        <f t="shared" ref="B156:Z156" si="89">$C42*EXP(-B$129/$A42/EXP(-$B$126))</f>
        <v>0.11161416834614406</v>
      </c>
      <c r="C156" s="3">
        <f t="shared" si="89"/>
        <v>0.11161416834614406</v>
      </c>
      <c r="D156" s="3">
        <f t="shared" si="89"/>
        <v>0.11161416834614406</v>
      </c>
      <c r="E156" s="3">
        <f t="shared" si="89"/>
        <v>0.11161416834614406</v>
      </c>
      <c r="F156" s="3">
        <f t="shared" si="89"/>
        <v>0.11161416834614406</v>
      </c>
      <c r="G156" s="3">
        <f t="shared" si="89"/>
        <v>0.11161416834614406</v>
      </c>
      <c r="H156" s="3">
        <f t="shared" si="89"/>
        <v>0.11161416834614406</v>
      </c>
      <c r="I156" s="3">
        <f t="shared" si="89"/>
        <v>0.11161416834614406</v>
      </c>
      <c r="J156" s="3">
        <f t="shared" si="89"/>
        <v>0.11161416834614406</v>
      </c>
      <c r="K156" s="3">
        <f t="shared" si="89"/>
        <v>0.11161416834614406</v>
      </c>
      <c r="L156" s="3">
        <f t="shared" si="89"/>
        <v>0.11161416834614406</v>
      </c>
      <c r="M156" s="3">
        <f t="shared" si="89"/>
        <v>0.11161416834614406</v>
      </c>
      <c r="N156" s="3">
        <f t="shared" si="89"/>
        <v>0.11161416834614406</v>
      </c>
      <c r="O156" s="3">
        <f t="shared" si="89"/>
        <v>0.11161416834614406</v>
      </c>
      <c r="P156" s="3">
        <f t="shared" si="89"/>
        <v>0.11161416834614406</v>
      </c>
      <c r="Q156" s="3">
        <f t="shared" si="89"/>
        <v>0.11161416834614406</v>
      </c>
      <c r="R156" s="3">
        <f t="shared" si="89"/>
        <v>0.111614168346144</v>
      </c>
      <c r="S156" s="3">
        <f t="shared" si="89"/>
        <v>0.11161416834614343</v>
      </c>
      <c r="T156" s="3">
        <f t="shared" si="89"/>
        <v>0.11161416834613787</v>
      </c>
      <c r="U156" s="3">
        <f t="shared" si="89"/>
        <v>0.11161416834608226</v>
      </c>
      <c r="V156" s="3">
        <f t="shared" si="89"/>
        <v>0.11161416834552615</v>
      </c>
      <c r="W156" s="3">
        <f t="shared" si="89"/>
        <v>0.11161416833996496</v>
      </c>
      <c r="X156" s="3">
        <f t="shared" si="89"/>
        <v>0.11161416828435301</v>
      </c>
      <c r="Y156" s="3">
        <f t="shared" si="89"/>
        <v>0.11161416772823361</v>
      </c>
      <c r="Z156" s="3">
        <f t="shared" si="89"/>
        <v>0.11161416216703976</v>
      </c>
      <c r="AA156" s="3">
        <f t="shared" ref="AA156:AF156" si="90">$C42*EXP(-AA$129/$A42/EXP(-$B$126))</f>
        <v>0.11161410655511643</v>
      </c>
      <c r="AB156" s="3">
        <f t="shared" si="90"/>
        <v>0.11161355043740713</v>
      </c>
      <c r="AC156" s="3">
        <f t="shared" si="90"/>
        <v>0.11160798941270905</v>
      </c>
      <c r="AD156" s="3">
        <f t="shared" si="90"/>
        <v>0.11155239440241371</v>
      </c>
      <c r="AE156" s="3">
        <f t="shared" si="90"/>
        <v>0.1109979651628111</v>
      </c>
      <c r="AF156" s="3">
        <f t="shared" si="90"/>
        <v>0.10560299231818301</v>
      </c>
    </row>
    <row r="157" spans="1:32" x14ac:dyDescent="0.25">
      <c r="B157" s="3">
        <f t="shared" ref="B157:Z157" si="91">$C43*EXP(-B$129/$A43/EXP(-$B$126))</f>
        <v>6.6462351022397975E-2</v>
      </c>
      <c r="C157" s="3">
        <f t="shared" si="91"/>
        <v>6.6462351022397975E-2</v>
      </c>
      <c r="D157" s="3">
        <f t="shared" si="91"/>
        <v>6.6462351022397975E-2</v>
      </c>
      <c r="E157" s="3">
        <f t="shared" si="91"/>
        <v>6.6462351022397975E-2</v>
      </c>
      <c r="F157" s="3">
        <f t="shared" si="91"/>
        <v>6.6462351022397975E-2</v>
      </c>
      <c r="G157" s="3">
        <f t="shared" si="91"/>
        <v>6.6462351022397975E-2</v>
      </c>
      <c r="H157" s="3">
        <f t="shared" si="91"/>
        <v>6.6462351022397975E-2</v>
      </c>
      <c r="I157" s="3">
        <f t="shared" si="91"/>
        <v>6.6462351022397975E-2</v>
      </c>
      <c r="J157" s="3">
        <f t="shared" si="91"/>
        <v>6.6462351022397975E-2</v>
      </c>
      <c r="K157" s="3">
        <f t="shared" si="91"/>
        <v>6.6462351022397975E-2</v>
      </c>
      <c r="L157" s="3">
        <f t="shared" si="91"/>
        <v>6.6462351022397975E-2</v>
      </c>
      <c r="M157" s="3">
        <f t="shared" si="91"/>
        <v>6.6462351022397975E-2</v>
      </c>
      <c r="N157" s="3">
        <f t="shared" si="91"/>
        <v>6.6462351022397975E-2</v>
      </c>
      <c r="O157" s="3">
        <f t="shared" si="91"/>
        <v>6.6462351022397975E-2</v>
      </c>
      <c r="P157" s="3">
        <f t="shared" si="91"/>
        <v>6.6462351022397975E-2</v>
      </c>
      <c r="Q157" s="3">
        <f t="shared" si="91"/>
        <v>6.6462351022397975E-2</v>
      </c>
      <c r="R157" s="3">
        <f t="shared" si="91"/>
        <v>6.6462351022397975E-2</v>
      </c>
      <c r="S157" s="3">
        <f t="shared" si="91"/>
        <v>6.6462351022397934E-2</v>
      </c>
      <c r="T157" s="3">
        <f t="shared" si="91"/>
        <v>6.6462351022397601E-2</v>
      </c>
      <c r="U157" s="3">
        <f t="shared" si="91"/>
        <v>6.6462351022394298E-2</v>
      </c>
      <c r="V157" s="3">
        <f t="shared" si="91"/>
        <v>6.6462351022361171E-2</v>
      </c>
      <c r="W157" s="3">
        <f t="shared" si="91"/>
        <v>6.6462351022030033E-2</v>
      </c>
      <c r="X157" s="3">
        <f t="shared" si="91"/>
        <v>6.646235101871853E-2</v>
      </c>
      <c r="Y157" s="3">
        <f t="shared" si="91"/>
        <v>6.646235098560356E-2</v>
      </c>
      <c r="Z157" s="3">
        <f t="shared" si="91"/>
        <v>6.6462350654453814E-2</v>
      </c>
      <c r="AA157" s="3">
        <f t="shared" ref="AA157:AF157" si="92">$C43*EXP(-AA$129/$A43/EXP(-$B$126))</f>
        <v>6.6462347342956515E-2</v>
      </c>
      <c r="AB157" s="3">
        <f t="shared" si="92"/>
        <v>6.6462314227992494E-2</v>
      </c>
      <c r="AC157" s="3">
        <f t="shared" si="92"/>
        <v>6.6461983079259726E-2</v>
      </c>
      <c r="AD157" s="3">
        <f t="shared" si="92"/>
        <v>6.6458671682678064E-2</v>
      </c>
      <c r="AE157" s="3">
        <f t="shared" si="92"/>
        <v>6.6425566789776971E-2</v>
      </c>
      <c r="AF157" s="3">
        <f t="shared" si="92"/>
        <v>6.6095423481937476E-2</v>
      </c>
    </row>
    <row r="158" spans="1:32" x14ac:dyDescent="0.25">
      <c r="B158" s="3">
        <f t="shared" ref="B158:Z158" si="93">$C44*EXP(-B$129/$A44/EXP(-$B$126))</f>
        <v>4.7100906601755713E-2</v>
      </c>
      <c r="C158" s="3">
        <f t="shared" si="93"/>
        <v>4.7100906601755713E-2</v>
      </c>
      <c r="D158" s="3">
        <f t="shared" si="93"/>
        <v>4.7100906601755713E-2</v>
      </c>
      <c r="E158" s="3">
        <f t="shared" si="93"/>
        <v>4.7100906601755713E-2</v>
      </c>
      <c r="F158" s="3">
        <f t="shared" si="93"/>
        <v>4.7100906601755713E-2</v>
      </c>
      <c r="G158" s="3">
        <f t="shared" si="93"/>
        <v>4.7100906601755713E-2</v>
      </c>
      <c r="H158" s="3">
        <f t="shared" si="93"/>
        <v>4.7100906601755713E-2</v>
      </c>
      <c r="I158" s="3">
        <f t="shared" si="93"/>
        <v>4.7100906601755713E-2</v>
      </c>
      <c r="J158" s="3">
        <f t="shared" si="93"/>
        <v>4.7100906601755713E-2</v>
      </c>
      <c r="K158" s="3">
        <f t="shared" si="93"/>
        <v>4.7100906601755713E-2</v>
      </c>
      <c r="L158" s="3">
        <f t="shared" si="93"/>
        <v>4.7100906601755713E-2</v>
      </c>
      <c r="M158" s="3">
        <f t="shared" si="93"/>
        <v>4.7100906601755713E-2</v>
      </c>
      <c r="N158" s="3">
        <f t="shared" si="93"/>
        <v>4.7100906601755713E-2</v>
      </c>
      <c r="O158" s="3">
        <f t="shared" si="93"/>
        <v>4.7100906601755713E-2</v>
      </c>
      <c r="P158" s="3">
        <f t="shared" si="93"/>
        <v>4.7100906601755713E-2</v>
      </c>
      <c r="Q158" s="3">
        <f t="shared" si="93"/>
        <v>4.7100906601755713E-2</v>
      </c>
      <c r="R158" s="3">
        <f t="shared" si="93"/>
        <v>4.7100906601755713E-2</v>
      </c>
      <c r="S158" s="3">
        <f t="shared" si="93"/>
        <v>4.7100906601755713E-2</v>
      </c>
      <c r="T158" s="3">
        <f t="shared" si="93"/>
        <v>4.7100906601755685E-2</v>
      </c>
      <c r="U158" s="3">
        <f t="shared" si="93"/>
        <v>4.7100906601755449E-2</v>
      </c>
      <c r="V158" s="3">
        <f t="shared" si="93"/>
        <v>4.7100906601753104E-2</v>
      </c>
      <c r="W158" s="3">
        <f t="shared" si="93"/>
        <v>4.7100906601729636E-2</v>
      </c>
      <c r="X158" s="3">
        <f t="shared" si="93"/>
        <v>4.7100906601494956E-2</v>
      </c>
      <c r="Y158" s="3">
        <f t="shared" si="93"/>
        <v>4.7100906599148146E-2</v>
      </c>
      <c r="Z158" s="3">
        <f t="shared" si="93"/>
        <v>4.7100906575680043E-2</v>
      </c>
      <c r="AA158" s="3">
        <f t="shared" ref="AA158:AF158" si="94">$C44*EXP(-AA$129/$A44/EXP(-$B$126))</f>
        <v>4.7100906340999012E-2</v>
      </c>
      <c r="AB158" s="3">
        <f t="shared" si="94"/>
        <v>4.7100903994188779E-2</v>
      </c>
      <c r="AC158" s="3">
        <f t="shared" si="94"/>
        <v>4.7100880526092882E-2</v>
      </c>
      <c r="AD158" s="3">
        <f t="shared" si="94"/>
        <v>4.7100645845776987E-2</v>
      </c>
      <c r="AE158" s="3">
        <f t="shared" si="94"/>
        <v>4.7098299106928372E-2</v>
      </c>
      <c r="AF158" s="3">
        <f t="shared" si="94"/>
        <v>4.7074838148286238E-2</v>
      </c>
    </row>
    <row r="159" spans="1:32" x14ac:dyDescent="0.25">
      <c r="A159" s="11" t="s">
        <v>75</v>
      </c>
      <c r="B159" s="3">
        <f t="shared" ref="B159:Z159" si="95">$C45*EXP(-B$129/$A45/EXP(-$B$126))</f>
        <v>2.2598128773559236E-2</v>
      </c>
      <c r="C159" s="3">
        <f t="shared" si="95"/>
        <v>2.2598128773559236E-2</v>
      </c>
      <c r="D159" s="3">
        <f t="shared" si="95"/>
        <v>2.2598128773559236E-2</v>
      </c>
      <c r="E159" s="3">
        <f t="shared" si="95"/>
        <v>2.2598128773559236E-2</v>
      </c>
      <c r="F159" s="3">
        <f t="shared" si="95"/>
        <v>2.2598128773559236E-2</v>
      </c>
      <c r="G159" s="3">
        <f t="shared" si="95"/>
        <v>2.2598128773559236E-2</v>
      </c>
      <c r="H159" s="3">
        <f t="shared" si="95"/>
        <v>2.2598128773559236E-2</v>
      </c>
      <c r="I159" s="3">
        <f t="shared" si="95"/>
        <v>2.2598128773559236E-2</v>
      </c>
      <c r="J159" s="3">
        <f t="shared" si="95"/>
        <v>2.2598128773559236E-2</v>
      </c>
      <c r="K159" s="3">
        <f t="shared" si="95"/>
        <v>2.2598128773559236E-2</v>
      </c>
      <c r="L159" s="3">
        <f t="shared" si="95"/>
        <v>2.2598128773559236E-2</v>
      </c>
      <c r="M159" s="3">
        <f t="shared" si="95"/>
        <v>2.2598128773559236E-2</v>
      </c>
      <c r="N159" s="3">
        <f t="shared" si="95"/>
        <v>2.2598128773559236E-2</v>
      </c>
      <c r="O159" s="3">
        <f t="shared" si="95"/>
        <v>2.2598128773559236E-2</v>
      </c>
      <c r="P159" s="3">
        <f t="shared" si="95"/>
        <v>2.2598128773559236E-2</v>
      </c>
      <c r="Q159" s="3">
        <f t="shared" si="95"/>
        <v>2.2598128773559236E-2</v>
      </c>
      <c r="R159" s="3">
        <f t="shared" si="95"/>
        <v>2.2598128773559236E-2</v>
      </c>
      <c r="S159" s="3">
        <f t="shared" si="95"/>
        <v>2.2598128773559236E-2</v>
      </c>
      <c r="T159" s="3">
        <f t="shared" si="95"/>
        <v>2.2598128773559236E-2</v>
      </c>
      <c r="U159" s="3">
        <f t="shared" si="95"/>
        <v>2.2598128773559222E-2</v>
      </c>
      <c r="V159" s="3">
        <f t="shared" si="95"/>
        <v>2.2598128773559111E-2</v>
      </c>
      <c r="W159" s="3">
        <f t="shared" si="95"/>
        <v>2.2598128773557984E-2</v>
      </c>
      <c r="X159" s="3">
        <f t="shared" si="95"/>
        <v>2.2598128773546725E-2</v>
      </c>
      <c r="Y159" s="3">
        <f t="shared" si="95"/>
        <v>2.2598128773434131E-2</v>
      </c>
      <c r="Z159" s="3">
        <f t="shared" si="95"/>
        <v>2.2598128772308174E-2</v>
      </c>
      <c r="AA159" s="3">
        <f t="shared" ref="AA159:AF159" si="96">$C45*EXP(-AA$129/$A45/EXP(-$B$126))</f>
        <v>2.2598128761048619E-2</v>
      </c>
      <c r="AB159" s="3">
        <f t="shared" si="96"/>
        <v>2.2598128648453078E-2</v>
      </c>
      <c r="AC159" s="3">
        <f t="shared" si="96"/>
        <v>2.2598127522497683E-2</v>
      </c>
      <c r="AD159" s="3">
        <f t="shared" si="96"/>
        <v>2.2598116262946829E-2</v>
      </c>
      <c r="AE159" s="3">
        <f t="shared" si="96"/>
        <v>2.2598003667746825E-2</v>
      </c>
      <c r="AF159" s="3">
        <f t="shared" si="96"/>
        <v>2.2596877746601667E-2</v>
      </c>
    </row>
    <row r="160" spans="1:32" x14ac:dyDescent="0.25">
      <c r="B160" s="3">
        <f t="shared" ref="B160:Z160" si="97">$C46*EXP(-B$129/$A46/EXP(-$B$126))</f>
        <v>6.4467605952010509E-3</v>
      </c>
      <c r="C160" s="3">
        <f t="shared" si="97"/>
        <v>6.4467605952010509E-3</v>
      </c>
      <c r="D160" s="3">
        <f t="shared" si="97"/>
        <v>6.4467605952010509E-3</v>
      </c>
      <c r="E160" s="3">
        <f t="shared" si="97"/>
        <v>6.4467605952010509E-3</v>
      </c>
      <c r="F160" s="3">
        <f t="shared" si="97"/>
        <v>6.4467605952010509E-3</v>
      </c>
      <c r="G160" s="3">
        <f t="shared" si="97"/>
        <v>6.4467605952010509E-3</v>
      </c>
      <c r="H160" s="3">
        <f t="shared" si="97"/>
        <v>6.4467605952010509E-3</v>
      </c>
      <c r="I160" s="3">
        <f t="shared" si="97"/>
        <v>6.4467605952010509E-3</v>
      </c>
      <c r="J160" s="3">
        <f t="shared" si="97"/>
        <v>6.4467605952010509E-3</v>
      </c>
      <c r="K160" s="3">
        <f t="shared" si="97"/>
        <v>6.4467605952010509E-3</v>
      </c>
      <c r="L160" s="3">
        <f t="shared" si="97"/>
        <v>6.4467605952010509E-3</v>
      </c>
      <c r="M160" s="3">
        <f t="shared" si="97"/>
        <v>6.4467605952010509E-3</v>
      </c>
      <c r="N160" s="3">
        <f t="shared" si="97"/>
        <v>6.4467605952010509E-3</v>
      </c>
      <c r="O160" s="3">
        <f t="shared" si="97"/>
        <v>6.4467605952010509E-3</v>
      </c>
      <c r="P160" s="3">
        <f t="shared" si="97"/>
        <v>6.4467605952010509E-3</v>
      </c>
      <c r="Q160" s="3">
        <f t="shared" si="97"/>
        <v>6.4467605952010509E-3</v>
      </c>
      <c r="R160" s="3">
        <f t="shared" si="97"/>
        <v>6.4467605952010509E-3</v>
      </c>
      <c r="S160" s="3">
        <f t="shared" si="97"/>
        <v>6.4467605952010509E-3</v>
      </c>
      <c r="T160" s="3">
        <f t="shared" si="97"/>
        <v>6.4467605952010509E-3</v>
      </c>
      <c r="U160" s="3">
        <f t="shared" si="97"/>
        <v>6.4467605952010509E-3</v>
      </c>
      <c r="V160" s="3">
        <f t="shared" si="97"/>
        <v>6.4467605952010475E-3</v>
      </c>
      <c r="W160" s="3">
        <f t="shared" si="97"/>
        <v>6.4467605952010154E-3</v>
      </c>
      <c r="X160" s="3">
        <f t="shared" si="97"/>
        <v>6.4467605952006936E-3</v>
      </c>
      <c r="Y160" s="3">
        <f t="shared" si="97"/>
        <v>6.4467605951974817E-3</v>
      </c>
      <c r="Z160" s="3">
        <f t="shared" si="97"/>
        <v>6.4467605951653607E-3</v>
      </c>
      <c r="AA160" s="3">
        <f t="shared" ref="AA160:AF160" si="98">$C46*EXP(-AA$129/$A46/EXP(-$B$126))</f>
        <v>6.4467605948441498E-3</v>
      </c>
      <c r="AB160" s="3">
        <f t="shared" si="98"/>
        <v>6.4467605916320413E-3</v>
      </c>
      <c r="AC160" s="3">
        <f t="shared" si="98"/>
        <v>6.4467605595109516E-3</v>
      </c>
      <c r="AD160" s="3">
        <f t="shared" si="98"/>
        <v>6.4467602383000699E-3</v>
      </c>
      <c r="AE160" s="3">
        <f t="shared" si="98"/>
        <v>6.4467570261921344E-3</v>
      </c>
      <c r="AF160" s="3">
        <f t="shared" si="98"/>
        <v>6.4467249052007963E-3</v>
      </c>
    </row>
    <row r="161" spans="1:34" x14ac:dyDescent="0.25">
      <c r="A161" s="11" t="s">
        <v>75</v>
      </c>
      <c r="B161" s="3">
        <f t="shared" ref="B161:Z161" si="99">$C47*EXP(-B$129/$A47/EXP(-$B$126))</f>
        <v>9.8307104636690784E-5</v>
      </c>
      <c r="C161" s="3">
        <f t="shared" si="99"/>
        <v>9.8307104636690784E-5</v>
      </c>
      <c r="D161" s="3">
        <f t="shared" si="99"/>
        <v>9.8307104636690784E-5</v>
      </c>
      <c r="E161" s="3">
        <f t="shared" si="99"/>
        <v>9.8307104636690784E-5</v>
      </c>
      <c r="F161" s="3">
        <f t="shared" si="99"/>
        <v>9.8307104636690784E-5</v>
      </c>
      <c r="G161" s="3">
        <f t="shared" si="99"/>
        <v>9.8307104636690784E-5</v>
      </c>
      <c r="H161" s="3">
        <f t="shared" si="99"/>
        <v>9.8307104636690784E-5</v>
      </c>
      <c r="I161" s="3">
        <f t="shared" si="99"/>
        <v>9.8307104636690784E-5</v>
      </c>
      <c r="J161" s="3">
        <f t="shared" si="99"/>
        <v>9.8307104636690784E-5</v>
      </c>
      <c r="K161" s="3">
        <f t="shared" si="99"/>
        <v>9.8307104636690784E-5</v>
      </c>
      <c r="L161" s="3">
        <f t="shared" si="99"/>
        <v>9.8307104636690784E-5</v>
      </c>
      <c r="M161" s="3">
        <f t="shared" si="99"/>
        <v>9.8307104636690784E-5</v>
      </c>
      <c r="N161" s="3">
        <f t="shared" si="99"/>
        <v>9.8307104636690784E-5</v>
      </c>
      <c r="O161" s="3">
        <f t="shared" si="99"/>
        <v>9.8307104636690784E-5</v>
      </c>
      <c r="P161" s="3">
        <f t="shared" si="99"/>
        <v>9.8307104636690784E-5</v>
      </c>
      <c r="Q161" s="3">
        <f t="shared" si="99"/>
        <v>9.8307104636690784E-5</v>
      </c>
      <c r="R161" s="3">
        <f t="shared" si="99"/>
        <v>9.8307104636690784E-5</v>
      </c>
      <c r="S161" s="3">
        <f t="shared" si="99"/>
        <v>9.8307104636690784E-5</v>
      </c>
      <c r="T161" s="3">
        <f t="shared" si="99"/>
        <v>9.8307104636690784E-5</v>
      </c>
      <c r="U161" s="3">
        <f t="shared" si="99"/>
        <v>9.8307104636690784E-5</v>
      </c>
      <c r="V161" s="3">
        <f t="shared" si="99"/>
        <v>9.8307104636690784E-5</v>
      </c>
      <c r="W161" s="3">
        <f t="shared" si="99"/>
        <v>9.830710463669073E-5</v>
      </c>
      <c r="X161" s="3">
        <f t="shared" si="99"/>
        <v>9.8307104636690242E-5</v>
      </c>
      <c r="Y161" s="3">
        <f t="shared" si="99"/>
        <v>9.8307104636685336E-5</v>
      </c>
      <c r="Z161" s="3">
        <f t="shared" si="99"/>
        <v>9.8307104636636357E-5</v>
      </c>
      <c r="AA161" s="3">
        <f t="shared" ref="AA161:AF161" si="100">$C47*EXP(-AA$129/$A47/EXP(-$B$126))</f>
        <v>9.8307104636146541E-5</v>
      </c>
      <c r="AB161" s="3">
        <f t="shared" si="100"/>
        <v>9.8307104631248374E-5</v>
      </c>
      <c r="AC161" s="3">
        <f t="shared" si="100"/>
        <v>9.8307104582266694E-5</v>
      </c>
      <c r="AD161" s="3">
        <f t="shared" si="100"/>
        <v>9.8307104092449957E-5</v>
      </c>
      <c r="AE161" s="3">
        <f t="shared" si="100"/>
        <v>9.830709919428269E-5</v>
      </c>
      <c r="AF161" s="3">
        <f t="shared" si="100"/>
        <v>9.8307050212623399E-5</v>
      </c>
    </row>
    <row r="162" spans="1:34" x14ac:dyDescent="0.25">
      <c r="B162" s="3">
        <f t="shared" ref="B162:Z162" si="101">$C48*EXP(-B$129/$A48/EXP(-$B$126))</f>
        <v>1.1020901234699522E-2</v>
      </c>
      <c r="C162" s="3">
        <f t="shared" si="101"/>
        <v>1.1020901234699522E-2</v>
      </c>
      <c r="D162" s="3">
        <f t="shared" si="101"/>
        <v>1.1020901234699522E-2</v>
      </c>
      <c r="E162" s="3">
        <f t="shared" si="101"/>
        <v>1.1020901234699522E-2</v>
      </c>
      <c r="F162" s="3">
        <f t="shared" si="101"/>
        <v>1.1020901234699522E-2</v>
      </c>
      <c r="G162" s="3">
        <f t="shared" si="101"/>
        <v>1.1020901234699522E-2</v>
      </c>
      <c r="H162" s="3">
        <f t="shared" si="101"/>
        <v>1.1020901234699522E-2</v>
      </c>
      <c r="I162" s="3">
        <f t="shared" si="101"/>
        <v>1.1020901234699522E-2</v>
      </c>
      <c r="J162" s="3">
        <f t="shared" si="101"/>
        <v>1.1020901234699522E-2</v>
      </c>
      <c r="K162" s="3">
        <f t="shared" si="101"/>
        <v>1.1020901234699522E-2</v>
      </c>
      <c r="L162" s="3">
        <f t="shared" si="101"/>
        <v>1.1020901234699522E-2</v>
      </c>
      <c r="M162" s="3">
        <f t="shared" si="101"/>
        <v>1.1020901234699522E-2</v>
      </c>
      <c r="N162" s="3">
        <f t="shared" si="101"/>
        <v>1.1020901234699522E-2</v>
      </c>
      <c r="O162" s="3">
        <f t="shared" si="101"/>
        <v>1.1020901234699522E-2</v>
      </c>
      <c r="P162" s="3">
        <f t="shared" si="101"/>
        <v>1.1020901234699522E-2</v>
      </c>
      <c r="Q162" s="3">
        <f t="shared" si="101"/>
        <v>1.1020901234699522E-2</v>
      </c>
      <c r="R162" s="3">
        <f t="shared" si="101"/>
        <v>1.1020901234699522E-2</v>
      </c>
      <c r="S162" s="3">
        <f t="shared" si="101"/>
        <v>1.1020901234699522E-2</v>
      </c>
      <c r="T162" s="3">
        <f t="shared" si="101"/>
        <v>1.1020901234699522E-2</v>
      </c>
      <c r="U162" s="3">
        <f t="shared" si="101"/>
        <v>1.1020901234699522E-2</v>
      </c>
      <c r="V162" s="3">
        <f t="shared" si="101"/>
        <v>1.1020901234699522E-2</v>
      </c>
      <c r="W162" s="3">
        <f t="shared" si="101"/>
        <v>1.1020901234699522E-2</v>
      </c>
      <c r="X162" s="3">
        <f t="shared" si="101"/>
        <v>1.1020901234699515E-2</v>
      </c>
      <c r="Y162" s="3">
        <f t="shared" si="101"/>
        <v>1.1020901234699461E-2</v>
      </c>
      <c r="Z162" s="3">
        <f t="shared" si="101"/>
        <v>1.1020901234698911E-2</v>
      </c>
      <c r="AA162" s="3">
        <f t="shared" ref="AA162:AF162" si="102">$C48*EXP(-AA$129/$A48/EXP(-$B$126))</f>
        <v>1.1020901234693419E-2</v>
      </c>
      <c r="AB162" s="3">
        <f t="shared" si="102"/>
        <v>1.1020901234638508E-2</v>
      </c>
      <c r="AC162" s="3">
        <f t="shared" si="102"/>
        <v>1.102090123408939E-2</v>
      </c>
      <c r="AD162" s="3">
        <f t="shared" si="102"/>
        <v>1.1020901228598208E-2</v>
      </c>
      <c r="AE162" s="3">
        <f t="shared" si="102"/>
        <v>1.102090117368639E-2</v>
      </c>
      <c r="AF162" s="3">
        <f t="shared" si="102"/>
        <v>1.1020900624568217E-2</v>
      </c>
    </row>
    <row r="163" spans="1:34" x14ac:dyDescent="0.25">
      <c r="A163" s="79">
        <f>AVERAGE(B163:AF163)</f>
        <v>1.0120683831866642E-2</v>
      </c>
      <c r="B163" s="80">
        <f>IF($A$64&lt;=B129,IF($B$64&gt;=B129,ABS((B131-B130)/B130),0),0)</f>
        <v>2.5912227231022918E-3</v>
      </c>
      <c r="C163" s="80">
        <f t="shared" ref="C163:AF163" si="103">IF($A$64&lt;=C129,IF($B$64&gt;=C129,ABS((C131-C130)/C130),0),0)</f>
        <v>2.977476313620889E-3</v>
      </c>
      <c r="D163" s="80">
        <f t="shared" si="103"/>
        <v>3.55804184186451E-3</v>
      </c>
      <c r="E163" s="80">
        <f t="shared" si="103"/>
        <v>3.5609660630906178E-3</v>
      </c>
      <c r="F163" s="80">
        <f t="shared" si="103"/>
        <v>3.5606207597331605E-3</v>
      </c>
      <c r="G163" s="80">
        <f t="shared" si="103"/>
        <v>3.5604819613449827E-3</v>
      </c>
      <c r="H163" s="80">
        <f t="shared" si="103"/>
        <v>3.5604379523025836E-3</v>
      </c>
      <c r="I163" s="80">
        <f t="shared" si="103"/>
        <v>3.560431183741971E-3</v>
      </c>
      <c r="J163" s="80">
        <f t="shared" si="103"/>
        <v>3.5604312046762141E-3</v>
      </c>
      <c r="K163" s="80">
        <f t="shared" si="103"/>
        <v>3.5604314140177257E-3</v>
      </c>
      <c r="L163" s="80">
        <f t="shared" si="103"/>
        <v>3.5604335074332994E-3</v>
      </c>
      <c r="M163" s="80">
        <f t="shared" si="103"/>
        <v>3.5604476709171677E-3</v>
      </c>
      <c r="N163" s="80">
        <f t="shared" si="103"/>
        <v>3.5605486801658539E-3</v>
      </c>
      <c r="O163" s="80">
        <f t="shared" si="103"/>
        <v>3.5614807436193138E-3</v>
      </c>
      <c r="P163" s="80">
        <f t="shared" si="103"/>
        <v>3.5708592287695086E-3</v>
      </c>
      <c r="Q163" s="80">
        <f t="shared" si="103"/>
        <v>3.6632410127314008E-3</v>
      </c>
      <c r="R163" s="80">
        <f t="shared" si="103"/>
        <v>4.4703848647995037E-3</v>
      </c>
      <c r="S163" s="80">
        <f t="shared" si="103"/>
        <v>8.6305644188585055E-3</v>
      </c>
      <c r="T163" s="80">
        <f t="shared" si="103"/>
        <v>1.0454334578862188E-2</v>
      </c>
      <c r="U163" s="80">
        <f t="shared" si="103"/>
        <v>8.8520024972939277E-3</v>
      </c>
      <c r="V163" s="80">
        <f t="shared" si="103"/>
        <v>8.4780680945316465E-3</v>
      </c>
      <c r="W163" s="80">
        <f t="shared" si="103"/>
        <v>4.3627234066218297E-3</v>
      </c>
      <c r="X163" s="80">
        <f t="shared" si="103"/>
        <v>1.9173763361477032E-2</v>
      </c>
      <c r="Y163" s="80">
        <f t="shared" si="103"/>
        <v>3.0800294895267324E-2</v>
      </c>
      <c r="Z163" s="80">
        <f t="shared" si="103"/>
        <v>3.1187177108281214E-2</v>
      </c>
      <c r="AA163" s="80">
        <f t="shared" si="103"/>
        <v>2.1968816392443968E-2</v>
      </c>
      <c r="AB163" s="80">
        <f t="shared" si="103"/>
        <v>1.2784393975259463E-2</v>
      </c>
      <c r="AC163" s="80">
        <f t="shared" si="103"/>
        <v>3.1351447610273317E-3</v>
      </c>
      <c r="AD163" s="80">
        <f t="shared" si="103"/>
        <v>7.3484892965274161E-3</v>
      </c>
      <c r="AE163" s="80">
        <f t="shared" si="103"/>
        <v>3.0295134823547124E-2</v>
      </c>
      <c r="AF163" s="80">
        <f t="shared" si="103"/>
        <v>5.6272354051935869E-2</v>
      </c>
    </row>
    <row r="164" spans="1:34" x14ac:dyDescent="0.25">
      <c r="B164" s="21">
        <f>(B131-B130)^2</f>
        <v>237.34727080963626</v>
      </c>
      <c r="C164" s="21">
        <f t="shared" ref="C164:AF164" si="104">(C131-C130)^2</f>
        <v>313.38399720401065</v>
      </c>
      <c r="D164" s="21">
        <f t="shared" si="104"/>
        <v>447.50610789193797</v>
      </c>
      <c r="E164" s="21">
        <f t="shared" si="104"/>
        <v>448.24098815527026</v>
      </c>
      <c r="F164" s="21">
        <f t="shared" si="104"/>
        <v>448.15375079532862</v>
      </c>
      <c r="G164" s="21">
        <f t="shared" si="104"/>
        <v>448.11868721201523</v>
      </c>
      <c r="H164" s="21">
        <f t="shared" si="104"/>
        <v>448.10756982994792</v>
      </c>
      <c r="I164" s="21">
        <f t="shared" si="104"/>
        <v>448.1058599946611</v>
      </c>
      <c r="J164" s="21">
        <f t="shared" si="104"/>
        <v>448.10586526411106</v>
      </c>
      <c r="K164" s="21">
        <f t="shared" si="104"/>
        <v>448.10591795838121</v>
      </c>
      <c r="L164" s="21">
        <f t="shared" si="104"/>
        <v>448.10644490136872</v>
      </c>
      <c r="M164" s="21">
        <f t="shared" si="104"/>
        <v>448.11000397363807</v>
      </c>
      <c r="N164" s="21">
        <f t="shared" si="104"/>
        <v>448.13533249151783</v>
      </c>
      <c r="O164" s="21">
        <f t="shared" si="104"/>
        <v>448.36893967730845</v>
      </c>
      <c r="P164" s="21">
        <f t="shared" si="104"/>
        <v>450.72300084936245</v>
      </c>
      <c r="Q164" s="21">
        <f t="shared" si="104"/>
        <v>474.23640440073575</v>
      </c>
      <c r="R164" s="21">
        <f t="shared" si="104"/>
        <v>704.64781642435071</v>
      </c>
      <c r="S164" s="21">
        <f t="shared" si="104"/>
        <v>2578.8639134150212</v>
      </c>
      <c r="T164" s="21">
        <f t="shared" si="104"/>
        <v>3599.1441350821983</v>
      </c>
      <c r="U164" s="21">
        <f t="shared" si="104"/>
        <v>2447.0262294421464</v>
      </c>
      <c r="V164" s="21">
        <f t="shared" si="104"/>
        <v>2095.5589030851816</v>
      </c>
      <c r="W164" s="21">
        <f t="shared" si="104"/>
        <v>503.21490796673282</v>
      </c>
      <c r="X164" s="21">
        <f t="shared" si="104"/>
        <v>8666.7383600206431</v>
      </c>
      <c r="Y164" s="21">
        <f t="shared" si="104"/>
        <v>19472.389406555096</v>
      </c>
      <c r="Z164" s="21">
        <f t="shared" si="104"/>
        <v>17281.70117022526</v>
      </c>
      <c r="AA164" s="21">
        <f t="shared" si="104"/>
        <v>7450.671003129768</v>
      </c>
      <c r="AB164" s="21">
        <f t="shared" si="104"/>
        <v>2167.0023674794952</v>
      </c>
      <c r="AC164" s="21">
        <f t="shared" si="104"/>
        <v>110.47357087306233</v>
      </c>
      <c r="AD164" s="21">
        <f t="shared" si="104"/>
        <v>484.91252439357498</v>
      </c>
      <c r="AE164" s="21">
        <f t="shared" si="104"/>
        <v>6028.998574446573</v>
      </c>
      <c r="AF164" s="21">
        <f t="shared" si="104"/>
        <v>13431.342335680618</v>
      </c>
    </row>
    <row r="165" spans="1:34" x14ac:dyDescent="0.25">
      <c r="A165" s="71">
        <f>SUM(B165:AF165)</f>
        <v>93875.541359628944</v>
      </c>
      <c r="B165" s="60">
        <f>IF($A$64&lt;=B129,IF($B$64&gt;=B129,ABS(B164),0),0)</f>
        <v>237.34727080963626</v>
      </c>
      <c r="C165" s="60">
        <f t="shared" ref="C165:AF165" si="105">IF($A$64&lt;=C129,IF($B$64&gt;=C129,ABS(C164),0),0)</f>
        <v>313.38399720401065</v>
      </c>
      <c r="D165" s="60">
        <f t="shared" si="105"/>
        <v>447.50610789193797</v>
      </c>
      <c r="E165" s="60">
        <f t="shared" si="105"/>
        <v>448.24098815527026</v>
      </c>
      <c r="F165" s="60">
        <f t="shared" si="105"/>
        <v>448.15375079532862</v>
      </c>
      <c r="G165" s="60">
        <f t="shared" si="105"/>
        <v>448.11868721201523</v>
      </c>
      <c r="H165" s="60">
        <f t="shared" si="105"/>
        <v>448.10756982994792</v>
      </c>
      <c r="I165" s="60">
        <f t="shared" si="105"/>
        <v>448.1058599946611</v>
      </c>
      <c r="J165" s="60">
        <f t="shared" si="105"/>
        <v>448.10586526411106</v>
      </c>
      <c r="K165" s="60">
        <f t="shared" si="105"/>
        <v>448.10591795838121</v>
      </c>
      <c r="L165" s="60">
        <f t="shared" si="105"/>
        <v>448.10644490136872</v>
      </c>
      <c r="M165" s="60">
        <f t="shared" si="105"/>
        <v>448.11000397363807</v>
      </c>
      <c r="N165" s="60">
        <f t="shared" si="105"/>
        <v>448.13533249151783</v>
      </c>
      <c r="O165" s="60">
        <f t="shared" si="105"/>
        <v>448.36893967730845</v>
      </c>
      <c r="P165" s="60">
        <f t="shared" si="105"/>
        <v>450.72300084936245</v>
      </c>
      <c r="Q165" s="60">
        <f t="shared" si="105"/>
        <v>474.23640440073575</v>
      </c>
      <c r="R165" s="60">
        <f t="shared" si="105"/>
        <v>704.64781642435071</v>
      </c>
      <c r="S165" s="60">
        <f t="shared" si="105"/>
        <v>2578.8639134150212</v>
      </c>
      <c r="T165" s="60">
        <f t="shared" si="105"/>
        <v>3599.1441350821983</v>
      </c>
      <c r="U165" s="60">
        <f t="shared" si="105"/>
        <v>2447.0262294421464</v>
      </c>
      <c r="V165" s="60">
        <f t="shared" si="105"/>
        <v>2095.5589030851816</v>
      </c>
      <c r="W165" s="60">
        <f t="shared" si="105"/>
        <v>503.21490796673282</v>
      </c>
      <c r="X165" s="60">
        <f t="shared" si="105"/>
        <v>8666.7383600206431</v>
      </c>
      <c r="Y165" s="60">
        <f t="shared" si="105"/>
        <v>19472.389406555096</v>
      </c>
      <c r="Z165" s="60">
        <f t="shared" si="105"/>
        <v>17281.70117022526</v>
      </c>
      <c r="AA165" s="60">
        <f t="shared" si="105"/>
        <v>7450.671003129768</v>
      </c>
      <c r="AB165" s="60">
        <f t="shared" si="105"/>
        <v>2167.0023674794952</v>
      </c>
      <c r="AC165" s="60">
        <f t="shared" si="105"/>
        <v>110.47357087306233</v>
      </c>
      <c r="AD165" s="60">
        <f t="shared" si="105"/>
        <v>484.91252439357498</v>
      </c>
      <c r="AE165" s="60">
        <f t="shared" si="105"/>
        <v>6028.998574446573</v>
      </c>
      <c r="AF165" s="60">
        <f t="shared" si="105"/>
        <v>13431.342335680618</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5936.3433151657146</v>
      </c>
      <c r="C169" s="26">
        <f>INDEX(Comparison!$AM$3:$AS$33,G$14,$C$122)</f>
        <v>5936.3803075081632</v>
      </c>
      <c r="D169" s="26">
        <f>INDEX(Comparison!$AM$3:$AS$33,H$14,$C$122)</f>
        <v>5936.3578341520697</v>
      </c>
      <c r="E169" s="26">
        <f>INDEX(Comparison!$AM$3:$AS$33,I$14,$C$122)</f>
        <v>5936.3510277390824</v>
      </c>
      <c r="F169" s="26">
        <f>INDEX(Comparison!$AM$3:$AS$33,J$14,$C$122)</f>
        <v>5936.3489535985827</v>
      </c>
      <c r="G169" s="26">
        <f>INDEX(Comparison!$AM$3:$AS$33,K$14,$C$122)</f>
        <v>5936.3483494802622</v>
      </c>
      <c r="H169" s="26">
        <f>INDEX(Comparison!$AM$3:$AS$33,L$14,$C$122)</f>
        <v>5936.3480675584215</v>
      </c>
      <c r="I169" s="26">
        <f>INDEX(Comparison!$AM$3:$AS$33,M$14,$C$122)</f>
        <v>5936.3480474211492</v>
      </c>
      <c r="J169" s="26">
        <f>INDEX(Comparison!$AM$3:$AS$33,N$14,$C$122)</f>
        <v>5936.3478259111525</v>
      </c>
      <c r="K169" s="26">
        <f>INDEX(Comparison!$AM$3:$AS$33,O$14,$C$122)</f>
        <v>5936.3478259111525</v>
      </c>
      <c r="L169" s="26">
        <f>INDEX(Comparison!$AM$3:$AS$33,P$14,$C$122)</f>
        <v>5936.3475238520905</v>
      </c>
      <c r="M169" s="26">
        <f>INDEX(Comparison!$AM$3:$AS$33,Q$14,$C$122)</f>
        <v>5936.3452282042372</v>
      </c>
      <c r="N169" s="26">
        <f>INDEX(Comparison!$AM$3:$AS$33,R$14,$C$122)</f>
        <v>5936.3201171545998</v>
      </c>
      <c r="O169" s="26">
        <f>INDEX(Comparison!$AM$3:$AS$33,S$14,$C$122)</f>
        <v>5936.0699445696901</v>
      </c>
      <c r="P169" s="26">
        <f>INDEX(Comparison!$AM$3:$AS$33,T$14,$C$122)</f>
        <v>5933.5894562136173</v>
      </c>
      <c r="Q169" s="26">
        <f>INDEX(Comparison!$AM$3:$AS$33,U$14,$C$122)</f>
        <v>5910.7352387881974</v>
      </c>
      <c r="R169" s="26">
        <f>INDEX(Comparison!$AM$3:$AS$33,V$14,$C$122)</f>
        <v>5788.6039225333288</v>
      </c>
      <c r="S169" s="26">
        <f>INDEX(Comparison!$AM$3:$AS$33,W$14,$C$122)</f>
        <v>5645.2982525424422</v>
      </c>
      <c r="T169" s="26">
        <f>INDEX(Comparison!$AM$3:$AS$33,X$14,$C$122)</f>
        <v>5477.0166152184411</v>
      </c>
      <c r="U169" s="26">
        <f>INDEX(Comparison!$AM$3:$AS$33,Y$14,$C$122)</f>
        <v>5242.9581566849647</v>
      </c>
      <c r="V169" s="26">
        <f>INDEX(Comparison!$AM$3:$AS$33,Z$14,$C$122)</f>
        <v>4967.1522364522052</v>
      </c>
      <c r="W169" s="26">
        <f>INDEX(Comparison!$AM$3:$AS$33,AA$14,$C$122)</f>
        <v>4663.1486629646943</v>
      </c>
      <c r="X169" s="26">
        <f>INDEX(Comparison!$AM$3:$AS$33,AB$14,$C$122)</f>
        <v>4346.263159926043</v>
      </c>
      <c r="Y169" s="26">
        <f>INDEX(Comparison!$AM$3:$AS$33,AC$14,$C$122)</f>
        <v>4052.7215067045913</v>
      </c>
      <c r="Z169" s="26">
        <f>INDEX(Comparison!$AM$3:$AS$33,AD$14,$C$122)</f>
        <v>3771.4995408899726</v>
      </c>
      <c r="AA169" s="26">
        <f>INDEX(Comparison!$AM$3:$AS$33,AE$14,$C$122)</f>
        <v>3487.2930712528305</v>
      </c>
      <c r="AB169" s="26">
        <f>INDEX(Comparison!$AM$3:$AS$33,AF$14,$C$122)</f>
        <v>3171.2944430186703</v>
      </c>
      <c r="AC169" s="26">
        <f>INDEX(Comparison!$AM$3:$AS$33,AG$14,$C$122)</f>
        <v>2771.7245513357993</v>
      </c>
      <c r="AD169" s="26">
        <f>INDEX(Comparison!$AM$3:$AS$33,AH$14,$C$122)</f>
        <v>2294.6891766146468</v>
      </c>
      <c r="AE169" s="26">
        <f>INDEX(Comparison!$AM$3:$AS$33,AI$14,$C$122)</f>
        <v>1744.1842965326991</v>
      </c>
      <c r="AF169" s="26">
        <f>INDEX(Comparison!$AM$3:$AS$33,AJ$14,$C$122)</f>
        <v>1149.8282974544306</v>
      </c>
      <c r="AG169" s="26"/>
      <c r="AH169" s="26"/>
    </row>
    <row r="170" spans="1:34" x14ac:dyDescent="0.25">
      <c r="A170" s="70" t="s">
        <v>22</v>
      </c>
      <c r="B170" s="27">
        <f>($C$17+SUM(B171:B201))*$B$51</f>
        <v>5925.3746905858179</v>
      </c>
      <c r="C170" s="27">
        <f t="shared" ref="C170:AF170" si="106">($C$17+SUM(C171:C201))*$B$51</f>
        <v>5924.322345608768</v>
      </c>
      <c r="D170" s="27">
        <f t="shared" si="106"/>
        <v>5924.3223454632589</v>
      </c>
      <c r="E170" s="27">
        <f t="shared" si="106"/>
        <v>5924.3223454632189</v>
      </c>
      <c r="F170" s="27">
        <f t="shared" si="106"/>
        <v>5924.3223454628242</v>
      </c>
      <c r="G170" s="27">
        <f t="shared" si="106"/>
        <v>5924.3223454588788</v>
      </c>
      <c r="H170" s="27">
        <f t="shared" si="106"/>
        <v>5924.3223454194258</v>
      </c>
      <c r="I170" s="27">
        <f t="shared" si="106"/>
        <v>5924.3223450248888</v>
      </c>
      <c r="J170" s="27">
        <f t="shared" si="106"/>
        <v>5924.3223410795099</v>
      </c>
      <c r="K170" s="27">
        <f t="shared" si="106"/>
        <v>5924.3223016257489</v>
      </c>
      <c r="L170" s="27">
        <f t="shared" si="106"/>
        <v>5924.3219070891419</v>
      </c>
      <c r="M170" s="27">
        <f t="shared" si="106"/>
        <v>5924.3179618241584</v>
      </c>
      <c r="N170" s="27">
        <f t="shared" si="106"/>
        <v>5924.2785192785595</v>
      </c>
      <c r="O170" s="27">
        <f t="shared" si="106"/>
        <v>5923.8850992146718</v>
      </c>
      <c r="P170" s="27">
        <f t="shared" si="106"/>
        <v>5920.0466380514872</v>
      </c>
      <c r="Q170" s="27">
        <f t="shared" si="106"/>
        <v>5888.0726808292484</v>
      </c>
      <c r="R170" s="27">
        <f t="shared" si="106"/>
        <v>5744.7541120783599</v>
      </c>
      <c r="S170" s="27">
        <f t="shared" si="106"/>
        <v>5611.9368776359897</v>
      </c>
      <c r="T170" s="27">
        <f t="shared" si="106"/>
        <v>5443.7992459479883</v>
      </c>
      <c r="U170" s="27">
        <f t="shared" si="106"/>
        <v>5259.8310288420635</v>
      </c>
      <c r="V170" s="27">
        <f t="shared" si="106"/>
        <v>5063.4280526876546</v>
      </c>
      <c r="W170" s="27">
        <f t="shared" si="106"/>
        <v>4819.264859761066</v>
      </c>
      <c r="X170" s="27">
        <f t="shared" si="106"/>
        <v>4519.6054747768758</v>
      </c>
      <c r="Y170" s="27">
        <f t="shared" si="106"/>
        <v>4193.0870544411227</v>
      </c>
      <c r="Z170" s="27">
        <f t="shared" si="106"/>
        <v>3866.1197063745185</v>
      </c>
      <c r="AA170" s="27">
        <f t="shared" si="106"/>
        <v>3529.9430526678884</v>
      </c>
      <c r="AB170" s="27">
        <f t="shared" si="106"/>
        <v>3189.3571075009804</v>
      </c>
      <c r="AC170" s="27">
        <f t="shared" si="106"/>
        <v>2715.9032316058115</v>
      </c>
      <c r="AD170" s="27">
        <f t="shared" si="106"/>
        <v>2207.1503386199197</v>
      </c>
      <c r="AE170" s="27">
        <f t="shared" si="106"/>
        <v>1636.3179151152024</v>
      </c>
      <c r="AF170" s="27">
        <f t="shared" si="106"/>
        <v>1035.5594570097596</v>
      </c>
      <c r="AG170" s="27"/>
      <c r="AH170" s="27"/>
    </row>
    <row r="171" spans="1:34" x14ac:dyDescent="0.25">
      <c r="B171" s="3">
        <f t="shared" ref="B171:AF171" si="107">$C18*EXP(-B$168/$A18/EXP(-$C$126))</f>
        <v>1.7744902885270559E-4</v>
      </c>
      <c r="C171" s="3">
        <f t="shared" si="107"/>
        <v>2.4535557498853858E-11</v>
      </c>
      <c r="D171" s="3">
        <f t="shared" si="107"/>
        <v>6.2664123116422647E-80</v>
      </c>
      <c r="E171" s="3">
        <f t="shared" si="107"/>
        <v>0</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0</v>
      </c>
      <c r="C172" s="3">
        <f t="shared" si="108"/>
        <v>0</v>
      </c>
      <c r="D172" s="3">
        <f t="shared" si="108"/>
        <v>0</v>
      </c>
      <c r="E172" s="3">
        <f t="shared" si="108"/>
        <v>0</v>
      </c>
      <c r="F172" s="3">
        <f t="shared" si="108"/>
        <v>0</v>
      </c>
      <c r="G172" s="3">
        <f t="shared" si="108"/>
        <v>0</v>
      </c>
      <c r="H172" s="3">
        <f t="shared" si="108"/>
        <v>0</v>
      </c>
      <c r="I172" s="3">
        <f t="shared" si="108"/>
        <v>0</v>
      </c>
      <c r="J172" s="3">
        <f t="shared" si="108"/>
        <v>0</v>
      </c>
      <c r="K172" s="3">
        <f t="shared" si="108"/>
        <v>0</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0</v>
      </c>
      <c r="C173" s="3">
        <f t="shared" si="109"/>
        <v>0</v>
      </c>
      <c r="D173" s="3">
        <f t="shared" si="109"/>
        <v>0</v>
      </c>
      <c r="E173" s="3">
        <f t="shared" si="109"/>
        <v>0</v>
      </c>
      <c r="F173" s="3">
        <f t="shared" si="109"/>
        <v>0</v>
      </c>
      <c r="G173" s="3">
        <f t="shared" si="109"/>
        <v>0</v>
      </c>
      <c r="H173" s="3">
        <f t="shared" si="109"/>
        <v>0</v>
      </c>
      <c r="I173" s="3">
        <f t="shared" si="109"/>
        <v>0</v>
      </c>
      <c r="J173" s="3">
        <f t="shared" si="109"/>
        <v>0</v>
      </c>
      <c r="K173" s="3">
        <f t="shared" si="109"/>
        <v>0</v>
      </c>
      <c r="L173" s="3">
        <f t="shared" si="109"/>
        <v>0</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0</v>
      </c>
      <c r="C174" s="3">
        <f t="shared" si="110"/>
        <v>0</v>
      </c>
      <c r="D174" s="3">
        <f t="shared" si="110"/>
        <v>0</v>
      </c>
      <c r="E174" s="3">
        <f t="shared" si="110"/>
        <v>0</v>
      </c>
      <c r="F174" s="3">
        <f t="shared" si="110"/>
        <v>0</v>
      </c>
      <c r="G174" s="3">
        <f t="shared" si="110"/>
        <v>0</v>
      </c>
      <c r="H174" s="3">
        <f t="shared" si="110"/>
        <v>0</v>
      </c>
      <c r="I174" s="3">
        <f t="shared" si="110"/>
        <v>0</v>
      </c>
      <c r="J174" s="3">
        <f t="shared" si="110"/>
        <v>0</v>
      </c>
      <c r="K174" s="3">
        <f t="shared" si="110"/>
        <v>0</v>
      </c>
      <c r="L174" s="3">
        <f t="shared" si="110"/>
        <v>0</v>
      </c>
      <c r="M174" s="3">
        <f t="shared" si="110"/>
        <v>0</v>
      </c>
      <c r="N174" s="3">
        <f t="shared" si="110"/>
        <v>0</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0</v>
      </c>
      <c r="C175" s="3">
        <f t="shared" si="111"/>
        <v>0</v>
      </c>
      <c r="D175" s="3">
        <f t="shared" si="111"/>
        <v>0</v>
      </c>
      <c r="E175" s="3">
        <f t="shared" si="111"/>
        <v>0</v>
      </c>
      <c r="F175" s="3">
        <f t="shared" si="111"/>
        <v>0</v>
      </c>
      <c r="G175" s="3">
        <f t="shared" si="111"/>
        <v>0</v>
      </c>
      <c r="H175" s="3">
        <f t="shared" si="111"/>
        <v>0</v>
      </c>
      <c r="I175" s="3">
        <f t="shared" si="111"/>
        <v>0</v>
      </c>
      <c r="J175" s="3">
        <f t="shared" si="111"/>
        <v>0</v>
      </c>
      <c r="K175" s="3">
        <f t="shared" si="111"/>
        <v>0</v>
      </c>
      <c r="L175" s="3">
        <f t="shared" si="111"/>
        <v>0</v>
      </c>
      <c r="M175" s="3">
        <f t="shared" si="111"/>
        <v>0</v>
      </c>
      <c r="N175" s="3">
        <f t="shared" si="111"/>
        <v>0</v>
      </c>
      <c r="O175" s="3">
        <f t="shared" si="111"/>
        <v>0</v>
      </c>
      <c r="P175" s="3">
        <f t="shared" si="111"/>
        <v>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0</v>
      </c>
      <c r="C176" s="3">
        <f t="shared" si="112"/>
        <v>0</v>
      </c>
      <c r="D176" s="3">
        <f t="shared" si="112"/>
        <v>0</v>
      </c>
      <c r="E176" s="3">
        <f t="shared" si="112"/>
        <v>0</v>
      </c>
      <c r="F176" s="3">
        <f t="shared" si="112"/>
        <v>0</v>
      </c>
      <c r="G176" s="3">
        <f t="shared" si="112"/>
        <v>0</v>
      </c>
      <c r="H176" s="3">
        <f t="shared" si="112"/>
        <v>0</v>
      </c>
      <c r="I176" s="3">
        <f t="shared" si="112"/>
        <v>0</v>
      </c>
      <c r="J176" s="3">
        <f t="shared" si="112"/>
        <v>0</v>
      </c>
      <c r="K176" s="3">
        <f t="shared" si="112"/>
        <v>0</v>
      </c>
      <c r="L176" s="3">
        <f t="shared" si="112"/>
        <v>0</v>
      </c>
      <c r="M176" s="3">
        <f t="shared" si="112"/>
        <v>0</v>
      </c>
      <c r="N176" s="3">
        <f t="shared" si="112"/>
        <v>0</v>
      </c>
      <c r="O176" s="3">
        <f t="shared" si="112"/>
        <v>0</v>
      </c>
      <c r="P176" s="3">
        <f t="shared" si="112"/>
        <v>0</v>
      </c>
      <c r="Q176" s="3">
        <f t="shared" si="112"/>
        <v>0</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0</v>
      </c>
      <c r="C177" s="3">
        <f t="shared" si="113"/>
        <v>0</v>
      </c>
      <c r="D177" s="3">
        <f t="shared" si="113"/>
        <v>0</v>
      </c>
      <c r="E177" s="3">
        <f t="shared" si="113"/>
        <v>0</v>
      </c>
      <c r="F177" s="3">
        <f t="shared" si="113"/>
        <v>0</v>
      </c>
      <c r="G177" s="3">
        <f t="shared" si="113"/>
        <v>0</v>
      </c>
      <c r="H177" s="3">
        <f t="shared" si="113"/>
        <v>0</v>
      </c>
      <c r="I177" s="3">
        <f t="shared" si="113"/>
        <v>0</v>
      </c>
      <c r="J177" s="3">
        <f t="shared" si="113"/>
        <v>0</v>
      </c>
      <c r="K177" s="3">
        <f t="shared" si="113"/>
        <v>0</v>
      </c>
      <c r="L177" s="3">
        <f t="shared" si="113"/>
        <v>0</v>
      </c>
      <c r="M177" s="3">
        <f t="shared" si="113"/>
        <v>0</v>
      </c>
      <c r="N177" s="3">
        <f t="shared" si="113"/>
        <v>0</v>
      </c>
      <c r="O177" s="3">
        <f t="shared" si="113"/>
        <v>0</v>
      </c>
      <c r="P177" s="3">
        <f t="shared" si="113"/>
        <v>0</v>
      </c>
      <c r="Q177" s="3">
        <f t="shared" si="113"/>
        <v>0</v>
      </c>
      <c r="R177" s="3">
        <f t="shared" si="113"/>
        <v>0</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0</v>
      </c>
      <c r="C178" s="3">
        <f t="shared" si="114"/>
        <v>0</v>
      </c>
      <c r="D178" s="3">
        <f t="shared" si="114"/>
        <v>0</v>
      </c>
      <c r="E178" s="3">
        <f t="shared" si="114"/>
        <v>0</v>
      </c>
      <c r="F178" s="3">
        <f t="shared" si="114"/>
        <v>0</v>
      </c>
      <c r="G178" s="3">
        <f t="shared" si="114"/>
        <v>0</v>
      </c>
      <c r="H178" s="3">
        <f t="shared" si="114"/>
        <v>0</v>
      </c>
      <c r="I178" s="3">
        <f t="shared" si="114"/>
        <v>0</v>
      </c>
      <c r="J178" s="3">
        <f t="shared" si="114"/>
        <v>0</v>
      </c>
      <c r="K178" s="3">
        <f t="shared" si="114"/>
        <v>0</v>
      </c>
      <c r="L178" s="3">
        <f t="shared" si="114"/>
        <v>0</v>
      </c>
      <c r="M178" s="3">
        <f t="shared" si="114"/>
        <v>0</v>
      </c>
      <c r="N178" s="3">
        <f t="shared" si="114"/>
        <v>0</v>
      </c>
      <c r="O178" s="3">
        <f t="shared" si="114"/>
        <v>0</v>
      </c>
      <c r="P178" s="3">
        <f t="shared" si="114"/>
        <v>0</v>
      </c>
      <c r="Q178" s="3">
        <f t="shared" si="114"/>
        <v>0</v>
      </c>
      <c r="R178" s="3">
        <f t="shared" si="114"/>
        <v>0</v>
      </c>
      <c r="S178" s="3">
        <f t="shared" si="114"/>
        <v>0</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0</v>
      </c>
      <c r="C179" s="3">
        <f t="shared" si="115"/>
        <v>0</v>
      </c>
      <c r="D179" s="3">
        <f t="shared" si="115"/>
        <v>0</v>
      </c>
      <c r="E179" s="3">
        <f t="shared" si="115"/>
        <v>0</v>
      </c>
      <c r="F179" s="3">
        <f t="shared" si="115"/>
        <v>0</v>
      </c>
      <c r="G179" s="3">
        <f t="shared" si="115"/>
        <v>0</v>
      </c>
      <c r="H179" s="3">
        <f t="shared" si="115"/>
        <v>0</v>
      </c>
      <c r="I179" s="3">
        <f t="shared" si="115"/>
        <v>0</v>
      </c>
      <c r="J179" s="3">
        <f t="shared" si="115"/>
        <v>0</v>
      </c>
      <c r="K179" s="3">
        <f t="shared" si="115"/>
        <v>0</v>
      </c>
      <c r="L179" s="3">
        <f t="shared" si="115"/>
        <v>0</v>
      </c>
      <c r="M179" s="3">
        <f t="shared" si="115"/>
        <v>0</v>
      </c>
      <c r="N179" s="3">
        <f t="shared" si="115"/>
        <v>0</v>
      </c>
      <c r="O179" s="3">
        <f t="shared" si="115"/>
        <v>0</v>
      </c>
      <c r="P179" s="3">
        <f t="shared" si="115"/>
        <v>0</v>
      </c>
      <c r="Q179" s="3">
        <f t="shared" si="115"/>
        <v>0</v>
      </c>
      <c r="R179" s="3">
        <f t="shared" si="115"/>
        <v>0</v>
      </c>
      <c r="S179" s="3">
        <f t="shared" si="115"/>
        <v>0</v>
      </c>
      <c r="T179" s="3">
        <f t="shared" si="115"/>
        <v>0</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7.2761897872501572E-4</v>
      </c>
      <c r="C180" s="3">
        <f t="shared" si="116"/>
        <v>7.2761897872500271E-4</v>
      </c>
      <c r="D180" s="3">
        <f t="shared" si="116"/>
        <v>7.2761897872487369E-4</v>
      </c>
      <c r="E180" s="3">
        <f t="shared" si="116"/>
        <v>7.2761897872358284E-4</v>
      </c>
      <c r="F180" s="3">
        <f t="shared" si="116"/>
        <v>7.2761897871067443E-4</v>
      </c>
      <c r="G180" s="3">
        <f t="shared" si="116"/>
        <v>7.276189785815903E-4</v>
      </c>
      <c r="H180" s="3">
        <f t="shared" si="116"/>
        <v>7.2761897729074938E-4</v>
      </c>
      <c r="I180" s="3">
        <f t="shared" si="116"/>
        <v>7.2761896438234023E-4</v>
      </c>
      <c r="J180" s="3">
        <f t="shared" si="116"/>
        <v>7.2761883529826022E-4</v>
      </c>
      <c r="K180" s="3">
        <f t="shared" si="116"/>
        <v>7.2761754445872058E-4</v>
      </c>
      <c r="L180" s="3">
        <f t="shared" si="116"/>
        <v>7.2760463618927473E-4</v>
      </c>
      <c r="M180" s="3">
        <f t="shared" si="116"/>
        <v>7.2747556608907091E-4</v>
      </c>
      <c r="N180" s="3">
        <f t="shared" si="116"/>
        <v>7.2618612368616372E-4</v>
      </c>
      <c r="O180" s="3">
        <f t="shared" si="116"/>
        <v>7.1341673732799914E-4</v>
      </c>
      <c r="P180" s="3">
        <f t="shared" si="116"/>
        <v>5.9744340950376924E-4</v>
      </c>
      <c r="Q180" s="3">
        <f t="shared" si="116"/>
        <v>1.0135182697306648E-4</v>
      </c>
      <c r="R180" s="3">
        <f t="shared" si="116"/>
        <v>2.0006893101395275E-12</v>
      </c>
      <c r="S180" s="3">
        <f t="shared" si="116"/>
        <v>1.7974646218308895E-89</v>
      </c>
      <c r="T180" s="3">
        <f t="shared" si="116"/>
        <v>0</v>
      </c>
      <c r="U180" s="3">
        <f t="shared" si="116"/>
        <v>0</v>
      </c>
      <c r="V180" s="3">
        <f t="shared" si="116"/>
        <v>0</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3.1446025257017014E-2</v>
      </c>
      <c r="C181" s="3">
        <f t="shared" si="117"/>
        <v>3.1446025257016966E-2</v>
      </c>
      <c r="D181" s="3">
        <f t="shared" si="117"/>
        <v>3.1446025257016459E-2</v>
      </c>
      <c r="E181" s="3">
        <f t="shared" si="117"/>
        <v>3.1446025257011428E-2</v>
      </c>
      <c r="F181" s="3">
        <f t="shared" si="117"/>
        <v>3.1446025256961108E-2</v>
      </c>
      <c r="G181" s="3">
        <f t="shared" si="117"/>
        <v>3.1446025256457857E-2</v>
      </c>
      <c r="H181" s="3">
        <f t="shared" si="117"/>
        <v>3.144602525142539E-2</v>
      </c>
      <c r="I181" s="3">
        <f t="shared" si="117"/>
        <v>3.1446025201100701E-2</v>
      </c>
      <c r="J181" s="3">
        <f t="shared" si="117"/>
        <v>3.1446024697853861E-2</v>
      </c>
      <c r="K181" s="3">
        <f t="shared" si="117"/>
        <v>3.1446019665385891E-2</v>
      </c>
      <c r="L181" s="3">
        <f t="shared" si="117"/>
        <v>3.1445969340750467E-2</v>
      </c>
      <c r="M181" s="3">
        <f t="shared" si="117"/>
        <v>3.1445466098825724E-2</v>
      </c>
      <c r="N181" s="3">
        <f t="shared" si="117"/>
        <v>3.1440434122503601E-2</v>
      </c>
      <c r="O181" s="3">
        <f t="shared" si="117"/>
        <v>3.1390158625596021E-2</v>
      </c>
      <c r="P181" s="3">
        <f t="shared" si="117"/>
        <v>3.0891804188304173E-2</v>
      </c>
      <c r="Q181" s="3">
        <f t="shared" si="117"/>
        <v>2.6323334544838685E-2</v>
      </c>
      <c r="R181" s="3">
        <f t="shared" si="117"/>
        <v>5.3127233649909456E-3</v>
      </c>
      <c r="S181" s="3">
        <f t="shared" si="117"/>
        <v>5.9577214817417102E-10</v>
      </c>
      <c r="T181" s="3">
        <f t="shared" si="117"/>
        <v>1.8737434793959943E-79</v>
      </c>
      <c r="U181" s="3">
        <f t="shared" si="117"/>
        <v>0</v>
      </c>
      <c r="V181" s="3">
        <f t="shared" si="117"/>
        <v>0</v>
      </c>
      <c r="W181" s="3">
        <f t="shared" si="117"/>
        <v>0</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1.9599632072183452E-2</v>
      </c>
      <c r="C182" s="3">
        <f t="shared" si="118"/>
        <v>1.9599632072183449E-2</v>
      </c>
      <c r="D182" s="3">
        <f t="shared" si="118"/>
        <v>1.9599632072183421E-2</v>
      </c>
      <c r="E182" s="3">
        <f t="shared" si="118"/>
        <v>1.959963207218314E-2</v>
      </c>
      <c r="F182" s="3">
        <f t="shared" si="118"/>
        <v>1.9599632072180309E-2</v>
      </c>
      <c r="G182" s="3">
        <f t="shared" si="118"/>
        <v>1.9599632072152012E-2</v>
      </c>
      <c r="H182" s="3">
        <f t="shared" si="118"/>
        <v>1.9599632071869065E-2</v>
      </c>
      <c r="I182" s="3">
        <f t="shared" si="118"/>
        <v>1.9599632069039561E-2</v>
      </c>
      <c r="J182" s="3">
        <f t="shared" si="118"/>
        <v>1.9599632040744556E-2</v>
      </c>
      <c r="K182" s="3">
        <f t="shared" si="118"/>
        <v>1.9599631757794483E-2</v>
      </c>
      <c r="L182" s="3">
        <f t="shared" si="118"/>
        <v>1.9599628928293988E-2</v>
      </c>
      <c r="M182" s="3">
        <f t="shared" si="118"/>
        <v>1.9599600633311481E-2</v>
      </c>
      <c r="N182" s="3">
        <f t="shared" si="118"/>
        <v>1.9599317685733066E-2</v>
      </c>
      <c r="O182" s="3">
        <f t="shared" si="118"/>
        <v>1.9596488434600056E-2</v>
      </c>
      <c r="P182" s="3">
        <f t="shared" si="118"/>
        <v>1.9568218376388564E-2</v>
      </c>
      <c r="Q182" s="3">
        <f t="shared" si="118"/>
        <v>1.9287751158962894E-2</v>
      </c>
      <c r="R182" s="3">
        <f t="shared" si="118"/>
        <v>1.669493277052711E-2</v>
      </c>
      <c r="S182" s="3">
        <f t="shared" si="118"/>
        <v>3.9410820459321533E-3</v>
      </c>
      <c r="T182" s="3">
        <f t="shared" si="118"/>
        <v>2.1179879871999299E-9</v>
      </c>
      <c r="U182" s="3">
        <f t="shared" si="118"/>
        <v>4.2560199640224414E-72</v>
      </c>
      <c r="V182" s="3">
        <f t="shared" si="118"/>
        <v>0</v>
      </c>
      <c r="W182" s="3">
        <f t="shared" si="118"/>
        <v>0</v>
      </c>
      <c r="X182" s="3">
        <f t="shared" si="118"/>
        <v>0</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3.2516214564493037E-2</v>
      </c>
      <c r="C183" s="3">
        <f t="shared" si="119"/>
        <v>3.2516214564493037E-2</v>
      </c>
      <c r="D183" s="3">
        <f t="shared" si="119"/>
        <v>3.251621456449303E-2</v>
      </c>
      <c r="E183" s="3">
        <f t="shared" si="119"/>
        <v>3.2516214564492989E-2</v>
      </c>
      <c r="F183" s="3">
        <f t="shared" si="119"/>
        <v>3.2516214564492565E-2</v>
      </c>
      <c r="G183" s="3">
        <f t="shared" si="119"/>
        <v>3.2516214564488333E-2</v>
      </c>
      <c r="H183" s="3">
        <f t="shared" si="119"/>
        <v>3.2516214564445985E-2</v>
      </c>
      <c r="I183" s="3">
        <f t="shared" si="119"/>
        <v>3.2516214564022532E-2</v>
      </c>
      <c r="J183" s="3">
        <f t="shared" si="119"/>
        <v>3.2516214559787968E-2</v>
      </c>
      <c r="K183" s="3">
        <f t="shared" si="119"/>
        <v>3.2516214517442348E-2</v>
      </c>
      <c r="L183" s="3">
        <f t="shared" si="119"/>
        <v>3.2516214093986189E-2</v>
      </c>
      <c r="M183" s="3">
        <f t="shared" si="119"/>
        <v>3.2516209859424813E-2</v>
      </c>
      <c r="N183" s="3">
        <f t="shared" si="119"/>
        <v>3.2516167513841461E-2</v>
      </c>
      <c r="O183" s="3">
        <f t="shared" si="119"/>
        <v>3.2515744061040984E-2</v>
      </c>
      <c r="P183" s="3">
        <f t="shared" si="119"/>
        <v>3.251150983632501E-2</v>
      </c>
      <c r="Q183" s="3">
        <f t="shared" si="119"/>
        <v>3.2469197903437524E-2</v>
      </c>
      <c r="R183" s="3">
        <f t="shared" si="119"/>
        <v>3.2049095445660147E-2</v>
      </c>
      <c r="S183" s="3">
        <f t="shared" si="119"/>
        <v>2.8135713883202355E-2</v>
      </c>
      <c r="T183" s="3">
        <f t="shared" si="119"/>
        <v>7.6503193278512262E-3</v>
      </c>
      <c r="U183" s="3">
        <f t="shared" si="119"/>
        <v>1.6900354166034422E-8</v>
      </c>
      <c r="V183" s="3">
        <f t="shared" si="119"/>
        <v>4.6779786180159862E-65</v>
      </c>
      <c r="W183" s="3">
        <f t="shared" si="119"/>
        <v>0</v>
      </c>
      <c r="X183" s="3">
        <f t="shared" si="119"/>
        <v>0</v>
      </c>
      <c r="Y183" s="3">
        <f t="shared" si="119"/>
        <v>0</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3.2163923063268561E-2</v>
      </c>
      <c r="C184" s="3">
        <f t="shared" si="120"/>
        <v>3.2163923063268561E-2</v>
      </c>
      <c r="D184" s="3">
        <f t="shared" si="120"/>
        <v>3.2163923063268561E-2</v>
      </c>
      <c r="E184" s="3">
        <f t="shared" si="120"/>
        <v>3.2163923063268554E-2</v>
      </c>
      <c r="F184" s="3">
        <f t="shared" si="120"/>
        <v>3.2163923063268519E-2</v>
      </c>
      <c r="G184" s="3">
        <f t="shared" si="120"/>
        <v>3.2163923063268138E-2</v>
      </c>
      <c r="H184" s="3">
        <f t="shared" si="120"/>
        <v>3.2163923063264363E-2</v>
      </c>
      <c r="I184" s="3">
        <f t="shared" si="120"/>
        <v>3.2163923063226581E-2</v>
      </c>
      <c r="J184" s="3">
        <f t="shared" si="120"/>
        <v>3.2163923062848723E-2</v>
      </c>
      <c r="K184" s="3">
        <f t="shared" si="120"/>
        <v>3.2163923059070183E-2</v>
      </c>
      <c r="L184" s="3">
        <f t="shared" si="120"/>
        <v>3.2163923021284777E-2</v>
      </c>
      <c r="M184" s="3">
        <f t="shared" si="120"/>
        <v>3.2163922643430723E-2</v>
      </c>
      <c r="N184" s="3">
        <f t="shared" si="120"/>
        <v>3.2163918864890416E-2</v>
      </c>
      <c r="O184" s="3">
        <f t="shared" si="120"/>
        <v>3.2163881079511757E-2</v>
      </c>
      <c r="P184" s="3">
        <f t="shared" si="120"/>
        <v>3.2163503228166565E-2</v>
      </c>
      <c r="Q184" s="3">
        <f t="shared" si="120"/>
        <v>3.2159724958844525E-2</v>
      </c>
      <c r="R184" s="3">
        <f t="shared" si="120"/>
        <v>3.2121966668000747E-2</v>
      </c>
      <c r="S184" s="3">
        <f t="shared" si="120"/>
        <v>3.1746813423565848E-2</v>
      </c>
      <c r="T184" s="3">
        <f t="shared" si="120"/>
        <v>2.8228010154615169E-2</v>
      </c>
      <c r="U184" s="3">
        <f t="shared" si="120"/>
        <v>8.7192979531281484E-3</v>
      </c>
      <c r="V184" s="3">
        <f t="shared" si="120"/>
        <v>6.8943615310216147E-8</v>
      </c>
      <c r="W184" s="3">
        <f t="shared" si="120"/>
        <v>6.5859647728845167E-59</v>
      </c>
      <c r="X184" s="3">
        <f t="shared" si="120"/>
        <v>0</v>
      </c>
      <c r="Y184" s="3">
        <f t="shared" si="120"/>
        <v>0</v>
      </c>
      <c r="Z184" s="3">
        <f t="shared" si="120"/>
        <v>0</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3.3900572605001088E-2</v>
      </c>
      <c r="C185" s="3">
        <f t="shared" si="121"/>
        <v>3.3900572605001088E-2</v>
      </c>
      <c r="D185" s="3">
        <f t="shared" si="121"/>
        <v>3.3900572605001088E-2</v>
      </c>
      <c r="E185" s="3">
        <f t="shared" si="121"/>
        <v>3.3900572605001088E-2</v>
      </c>
      <c r="F185" s="3">
        <f t="shared" si="121"/>
        <v>3.3900572605001081E-2</v>
      </c>
      <c r="G185" s="3">
        <f t="shared" si="121"/>
        <v>3.3900572605001046E-2</v>
      </c>
      <c r="H185" s="3">
        <f t="shared" si="121"/>
        <v>3.3900572605000692E-2</v>
      </c>
      <c r="I185" s="3">
        <f t="shared" si="121"/>
        <v>3.3900572604997098E-2</v>
      </c>
      <c r="J185" s="3">
        <f t="shared" si="121"/>
        <v>3.3900572604961168E-2</v>
      </c>
      <c r="K185" s="3">
        <f t="shared" si="121"/>
        <v>3.3900572604601914E-2</v>
      </c>
      <c r="L185" s="3">
        <f t="shared" si="121"/>
        <v>3.3900572601009316E-2</v>
      </c>
      <c r="M185" s="3">
        <f t="shared" si="121"/>
        <v>3.3900572565083324E-2</v>
      </c>
      <c r="N185" s="3">
        <f t="shared" si="121"/>
        <v>3.3900572205823466E-2</v>
      </c>
      <c r="O185" s="3">
        <f t="shared" si="121"/>
        <v>3.390056861322506E-2</v>
      </c>
      <c r="P185" s="3">
        <f t="shared" si="121"/>
        <v>3.3900532687261967E-2</v>
      </c>
      <c r="Q185" s="3">
        <f t="shared" si="121"/>
        <v>3.3900173429724977E-2</v>
      </c>
      <c r="R185" s="3">
        <f t="shared" si="121"/>
        <v>3.3896581063744227E-2</v>
      </c>
      <c r="S185" s="3">
        <f t="shared" si="121"/>
        <v>3.3860678334641986E-2</v>
      </c>
      <c r="T185" s="3">
        <f t="shared" si="121"/>
        <v>3.3503735930302918E-2</v>
      </c>
      <c r="U185" s="3">
        <f t="shared" si="121"/>
        <v>3.0134852189718626E-2</v>
      </c>
      <c r="V185" s="3">
        <f t="shared" si="121"/>
        <v>1.0443049866907493E-2</v>
      </c>
      <c r="W185" s="3">
        <f t="shared" si="121"/>
        <v>2.6086163616522053E-7</v>
      </c>
      <c r="X185" s="3">
        <f t="shared" si="121"/>
        <v>2.4673958779032481E-53</v>
      </c>
      <c r="Y185" s="3">
        <f t="shared" si="121"/>
        <v>0</v>
      </c>
      <c r="Z185" s="3">
        <f t="shared" si="121"/>
        <v>0</v>
      </c>
      <c r="AA185" s="3">
        <f t="shared" si="121"/>
        <v>0</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4.6234934193755559E-2</v>
      </c>
      <c r="C186" s="3">
        <f t="shared" si="122"/>
        <v>4.6234934193755559E-2</v>
      </c>
      <c r="D186" s="3">
        <f t="shared" si="122"/>
        <v>4.6234934193755559E-2</v>
      </c>
      <c r="E186" s="3">
        <f t="shared" si="122"/>
        <v>4.6234934193755559E-2</v>
      </c>
      <c r="F186" s="3">
        <f t="shared" si="122"/>
        <v>4.6234934193755559E-2</v>
      </c>
      <c r="G186" s="3">
        <f t="shared" si="122"/>
        <v>4.6234934193755552E-2</v>
      </c>
      <c r="H186" s="3">
        <f t="shared" si="122"/>
        <v>4.623493419375551E-2</v>
      </c>
      <c r="I186" s="3">
        <f t="shared" si="122"/>
        <v>4.6234934193755066E-2</v>
      </c>
      <c r="J186" s="3">
        <f t="shared" si="122"/>
        <v>4.6234934193750646E-2</v>
      </c>
      <c r="K186" s="3">
        <f t="shared" si="122"/>
        <v>4.6234934193706452E-2</v>
      </c>
      <c r="L186" s="3">
        <f t="shared" si="122"/>
        <v>4.6234934193264451E-2</v>
      </c>
      <c r="M186" s="3">
        <f t="shared" si="122"/>
        <v>4.6234934188844494E-2</v>
      </c>
      <c r="N186" s="3">
        <f t="shared" si="122"/>
        <v>4.6234934144644871E-2</v>
      </c>
      <c r="O186" s="3">
        <f t="shared" si="122"/>
        <v>4.6234933702648709E-2</v>
      </c>
      <c r="P186" s="3">
        <f t="shared" si="122"/>
        <v>4.6234929282687312E-2</v>
      </c>
      <c r="Q186" s="3">
        <f t="shared" si="122"/>
        <v>4.6234885083096589E-2</v>
      </c>
      <c r="R186" s="3">
        <f t="shared" si="122"/>
        <v>4.6234443089513293E-2</v>
      </c>
      <c r="S186" s="3">
        <f t="shared" si="122"/>
        <v>4.6230023386067604E-2</v>
      </c>
      <c r="T186" s="3">
        <f t="shared" si="122"/>
        <v>4.6185849582122483E-2</v>
      </c>
      <c r="U186" s="3">
        <f t="shared" si="122"/>
        <v>4.5746426397904619E-2</v>
      </c>
      <c r="V186" s="3">
        <f t="shared" si="122"/>
        <v>4.1575697337179231E-2</v>
      </c>
      <c r="W186" s="3">
        <f t="shared" si="122"/>
        <v>1.5983181381903151E-2</v>
      </c>
      <c r="X186" s="3">
        <f t="shared" si="122"/>
        <v>1.1269381607823358E-6</v>
      </c>
      <c r="Y186" s="3">
        <f t="shared" si="122"/>
        <v>3.4219106012213539E-48</v>
      </c>
      <c r="Z186" s="3">
        <f t="shared" si="122"/>
        <v>0</v>
      </c>
      <c r="AA186" s="3">
        <f t="shared" si="122"/>
        <v>0</v>
      </c>
      <c r="AB186" s="3">
        <f t="shared" si="122"/>
        <v>0</v>
      </c>
      <c r="AC186" s="3">
        <f t="shared" si="122"/>
        <v>0</v>
      </c>
      <c r="AD186" s="3">
        <f t="shared" si="122"/>
        <v>0</v>
      </c>
      <c r="AE186" s="3">
        <f t="shared" si="122"/>
        <v>0</v>
      </c>
      <c r="AF186" s="3">
        <f t="shared" si="122"/>
        <v>0</v>
      </c>
      <c r="AG186" s="3"/>
      <c r="AH186" s="3"/>
    </row>
    <row r="187" spans="2:34" x14ac:dyDescent="0.25">
      <c r="B187" s="3">
        <f t="shared" ref="B187:AF187" si="123">$C34*EXP(-B$168/$A34/EXP(-$C$126))</f>
        <v>5.6671396993887152E-2</v>
      </c>
      <c r="C187" s="3">
        <f t="shared" si="123"/>
        <v>5.6671396993887152E-2</v>
      </c>
      <c r="D187" s="3">
        <f t="shared" si="123"/>
        <v>5.6671396993887152E-2</v>
      </c>
      <c r="E187" s="3">
        <f t="shared" si="123"/>
        <v>5.6671396993887152E-2</v>
      </c>
      <c r="F187" s="3">
        <f t="shared" si="123"/>
        <v>5.6671396993887152E-2</v>
      </c>
      <c r="G187" s="3">
        <f t="shared" si="123"/>
        <v>5.6671396993887152E-2</v>
      </c>
      <c r="H187" s="3">
        <f t="shared" si="123"/>
        <v>5.6671396993887145E-2</v>
      </c>
      <c r="I187" s="3">
        <f t="shared" si="123"/>
        <v>5.6671396993887097E-2</v>
      </c>
      <c r="J187" s="3">
        <f t="shared" si="123"/>
        <v>5.6671396993886611E-2</v>
      </c>
      <c r="K187" s="3">
        <f t="shared" si="123"/>
        <v>5.6671396993881719E-2</v>
      </c>
      <c r="L187" s="3">
        <f t="shared" si="123"/>
        <v>5.6671396993832848E-2</v>
      </c>
      <c r="M187" s="3">
        <f t="shared" si="123"/>
        <v>5.6671396993344135E-2</v>
      </c>
      <c r="N187" s="3">
        <f t="shared" si="123"/>
        <v>5.6671396988456947E-2</v>
      </c>
      <c r="O187" s="3">
        <f t="shared" si="123"/>
        <v>5.6671396939585103E-2</v>
      </c>
      <c r="P187" s="3">
        <f t="shared" si="123"/>
        <v>5.6671396450866614E-2</v>
      </c>
      <c r="Q187" s="3">
        <f t="shared" si="123"/>
        <v>5.6671391563682012E-2</v>
      </c>
      <c r="R187" s="3">
        <f t="shared" si="123"/>
        <v>5.6671342691859111E-2</v>
      </c>
      <c r="S187" s="3">
        <f t="shared" si="123"/>
        <v>5.6670853975948121E-2</v>
      </c>
      <c r="T187" s="3">
        <f t="shared" si="123"/>
        <v>5.6665967048631548E-2</v>
      </c>
      <c r="U187" s="3">
        <f t="shared" si="123"/>
        <v>5.661712094740317E-2</v>
      </c>
      <c r="V187" s="3">
        <f t="shared" si="123"/>
        <v>5.6130969752223064E-2</v>
      </c>
      <c r="W187" s="3">
        <f t="shared" si="123"/>
        <v>5.1493236331175439E-2</v>
      </c>
      <c r="X187" s="3">
        <f t="shared" si="123"/>
        <v>2.1738351815107339E-2</v>
      </c>
      <c r="Y187" s="3">
        <f t="shared" si="123"/>
        <v>3.9083267494983508E-6</v>
      </c>
      <c r="Z187" s="3">
        <f t="shared" si="123"/>
        <v>1.3792194863853702E-43</v>
      </c>
      <c r="AA187" s="3">
        <f t="shared" si="123"/>
        <v>0</v>
      </c>
      <c r="AB187" s="3">
        <f t="shared" si="123"/>
        <v>0</v>
      </c>
      <c r="AC187" s="3">
        <f t="shared" si="123"/>
        <v>0</v>
      </c>
      <c r="AD187" s="3">
        <f t="shared" si="123"/>
        <v>0</v>
      </c>
      <c r="AE187" s="3">
        <f t="shared" si="123"/>
        <v>0</v>
      </c>
      <c r="AF187" s="3">
        <f t="shared" si="123"/>
        <v>0</v>
      </c>
      <c r="AG187" s="3"/>
      <c r="AH187" s="3"/>
    </row>
    <row r="188" spans="2:34" x14ac:dyDescent="0.25">
      <c r="B188" s="3">
        <f t="shared" ref="B188:AF188" si="124">$C35*EXP(-B$168/$A35/EXP(-$C$126))</f>
        <v>5.870573738309863E-2</v>
      </c>
      <c r="C188" s="3">
        <f t="shared" si="124"/>
        <v>5.870573738309863E-2</v>
      </c>
      <c r="D188" s="3">
        <f t="shared" si="124"/>
        <v>5.870573738309863E-2</v>
      </c>
      <c r="E188" s="3">
        <f t="shared" si="124"/>
        <v>5.870573738309863E-2</v>
      </c>
      <c r="F188" s="3">
        <f t="shared" si="124"/>
        <v>5.870573738309863E-2</v>
      </c>
      <c r="G188" s="3">
        <f t="shared" si="124"/>
        <v>5.870573738309863E-2</v>
      </c>
      <c r="H188" s="3">
        <f t="shared" si="124"/>
        <v>5.870573738309863E-2</v>
      </c>
      <c r="I188" s="3">
        <f t="shared" si="124"/>
        <v>5.8705737383098623E-2</v>
      </c>
      <c r="J188" s="3">
        <f t="shared" si="124"/>
        <v>5.8705737383098575E-2</v>
      </c>
      <c r="K188" s="3">
        <f t="shared" si="124"/>
        <v>5.8705737383098124E-2</v>
      </c>
      <c r="L188" s="3">
        <f t="shared" si="124"/>
        <v>5.8705737383093551E-2</v>
      </c>
      <c r="M188" s="3">
        <f t="shared" si="124"/>
        <v>5.8705737383047886E-2</v>
      </c>
      <c r="N188" s="3">
        <f t="shared" si="124"/>
        <v>5.8705737382591196E-2</v>
      </c>
      <c r="O188" s="3">
        <f t="shared" si="124"/>
        <v>5.8705737378024293E-2</v>
      </c>
      <c r="P188" s="3">
        <f t="shared" si="124"/>
        <v>5.8705737332355241E-2</v>
      </c>
      <c r="Q188" s="3">
        <f t="shared" si="124"/>
        <v>5.870573687566473E-2</v>
      </c>
      <c r="R188" s="3">
        <f t="shared" si="124"/>
        <v>5.8705732308759848E-2</v>
      </c>
      <c r="S188" s="3">
        <f t="shared" si="124"/>
        <v>5.8705686639730553E-2</v>
      </c>
      <c r="T188" s="3">
        <f t="shared" si="124"/>
        <v>5.870522995139163E-2</v>
      </c>
      <c r="U188" s="3">
        <f t="shared" si="124"/>
        <v>5.8700663263396818E-2</v>
      </c>
      <c r="V188" s="3">
        <f t="shared" si="124"/>
        <v>5.8655015917270875E-2</v>
      </c>
      <c r="W188" s="3">
        <f t="shared" si="124"/>
        <v>5.820049022739824E-2</v>
      </c>
      <c r="X188" s="3">
        <f t="shared" si="124"/>
        <v>5.3844518860236459E-2</v>
      </c>
      <c r="Y188" s="3">
        <f t="shared" si="124"/>
        <v>2.4733756376564255E-2</v>
      </c>
      <c r="Z188" s="3">
        <f t="shared" si="124"/>
        <v>1.0346080671114907E-5</v>
      </c>
      <c r="AA188" s="3">
        <f t="shared" si="124"/>
        <v>1.6968118046986209E-39</v>
      </c>
      <c r="AB188" s="3">
        <f t="shared" si="124"/>
        <v>0</v>
      </c>
      <c r="AC188" s="3">
        <f t="shared" si="124"/>
        <v>0</v>
      </c>
      <c r="AD188" s="3">
        <f t="shared" si="124"/>
        <v>0</v>
      </c>
      <c r="AE188" s="3">
        <f t="shared" si="124"/>
        <v>0</v>
      </c>
      <c r="AF188" s="3">
        <f t="shared" si="124"/>
        <v>0</v>
      </c>
      <c r="AG188" s="3"/>
      <c r="AH188" s="3"/>
    </row>
    <row r="189" spans="2:34" x14ac:dyDescent="0.25">
      <c r="B189" s="3">
        <f t="shared" ref="B189:AF189" si="125">$C36*EXP(-B$168/$A36/EXP(-$C$126))</f>
        <v>5.620235606497212E-2</v>
      </c>
      <c r="C189" s="3">
        <f t="shared" si="125"/>
        <v>5.620235606497212E-2</v>
      </c>
      <c r="D189" s="3">
        <f t="shared" si="125"/>
        <v>5.620235606497212E-2</v>
      </c>
      <c r="E189" s="3">
        <f t="shared" si="125"/>
        <v>5.620235606497212E-2</v>
      </c>
      <c r="F189" s="3">
        <f t="shared" si="125"/>
        <v>5.620235606497212E-2</v>
      </c>
      <c r="G189" s="3">
        <f t="shared" si="125"/>
        <v>5.620235606497212E-2</v>
      </c>
      <c r="H189" s="3">
        <f t="shared" si="125"/>
        <v>5.620235606497212E-2</v>
      </c>
      <c r="I189" s="3">
        <f t="shared" si="125"/>
        <v>5.620235606497212E-2</v>
      </c>
      <c r="J189" s="3">
        <f t="shared" si="125"/>
        <v>5.6202356064972113E-2</v>
      </c>
      <c r="K189" s="3">
        <f t="shared" si="125"/>
        <v>5.6202356064972078E-2</v>
      </c>
      <c r="L189" s="3">
        <f t="shared" si="125"/>
        <v>5.6202356064971683E-2</v>
      </c>
      <c r="M189" s="3">
        <f t="shared" si="125"/>
        <v>5.6202356064967741E-2</v>
      </c>
      <c r="N189" s="3">
        <f t="shared" si="125"/>
        <v>5.6202356064928301E-2</v>
      </c>
      <c r="O189" s="3">
        <f t="shared" si="125"/>
        <v>5.6202356064533894E-2</v>
      </c>
      <c r="P189" s="3">
        <f t="shared" si="125"/>
        <v>5.6202356060589841E-2</v>
      </c>
      <c r="Q189" s="3">
        <f t="shared" si="125"/>
        <v>5.6202356021149327E-2</v>
      </c>
      <c r="R189" s="3">
        <f t="shared" si="125"/>
        <v>5.6202355626744201E-2</v>
      </c>
      <c r="S189" s="3">
        <f t="shared" si="125"/>
        <v>5.6202351682693094E-2</v>
      </c>
      <c r="T189" s="3">
        <f t="shared" si="125"/>
        <v>5.6202312242197232E-2</v>
      </c>
      <c r="U189" s="3">
        <f t="shared" si="125"/>
        <v>5.6201917838760898E-2</v>
      </c>
      <c r="V189" s="3">
        <f t="shared" si="125"/>
        <v>5.6197973956620746E-2</v>
      </c>
      <c r="W189" s="3">
        <f t="shared" si="125"/>
        <v>5.615855035358381E-2</v>
      </c>
      <c r="X189" s="3">
        <f t="shared" si="125"/>
        <v>5.5765832215620759E-2</v>
      </c>
      <c r="Y189" s="3">
        <f t="shared" si="125"/>
        <v>5.1986571745849759E-2</v>
      </c>
      <c r="Z189" s="3">
        <f t="shared" si="125"/>
        <v>2.5770395859369469E-2</v>
      </c>
      <c r="AA189" s="3">
        <f t="shared" si="125"/>
        <v>2.3089801509869365E-5</v>
      </c>
      <c r="AB189" s="3">
        <f t="shared" si="125"/>
        <v>7.698591874024102E-36</v>
      </c>
      <c r="AC189" s="3">
        <f t="shared" si="125"/>
        <v>0</v>
      </c>
      <c r="AD189" s="3">
        <f t="shared" si="125"/>
        <v>0</v>
      </c>
      <c r="AE189" s="3">
        <f t="shared" si="125"/>
        <v>0</v>
      </c>
      <c r="AF189" s="3">
        <f t="shared" si="125"/>
        <v>0</v>
      </c>
      <c r="AG189" s="3"/>
      <c r="AH189" s="3"/>
    </row>
    <row r="190" spans="2:34" x14ac:dyDescent="0.25">
      <c r="B190" s="3">
        <f t="shared" ref="B190:AF190" si="126">$C37*EXP(-B$168/$A37/EXP(-$C$126))</f>
        <v>6.3415296184233166E-2</v>
      </c>
      <c r="C190" s="3">
        <f t="shared" si="126"/>
        <v>6.3415296184233166E-2</v>
      </c>
      <c r="D190" s="3">
        <f t="shared" si="126"/>
        <v>6.3415296184233166E-2</v>
      </c>
      <c r="E190" s="3">
        <f t="shared" si="126"/>
        <v>6.3415296184233166E-2</v>
      </c>
      <c r="F190" s="3">
        <f t="shared" si="126"/>
        <v>6.3415296184233166E-2</v>
      </c>
      <c r="G190" s="3">
        <f t="shared" si="126"/>
        <v>6.3415296184233166E-2</v>
      </c>
      <c r="H190" s="3">
        <f t="shared" si="126"/>
        <v>6.3415296184233166E-2</v>
      </c>
      <c r="I190" s="3">
        <f t="shared" si="126"/>
        <v>6.3415296184233166E-2</v>
      </c>
      <c r="J190" s="3">
        <f t="shared" si="126"/>
        <v>6.3415296184233166E-2</v>
      </c>
      <c r="K190" s="3">
        <f t="shared" si="126"/>
        <v>6.3415296184233153E-2</v>
      </c>
      <c r="L190" s="3">
        <f t="shared" si="126"/>
        <v>6.3415296184233125E-2</v>
      </c>
      <c r="M190" s="3">
        <f t="shared" si="126"/>
        <v>6.3415296184232722E-2</v>
      </c>
      <c r="N190" s="3">
        <f t="shared" si="126"/>
        <v>6.3415296184228698E-2</v>
      </c>
      <c r="O190" s="3">
        <f t="shared" si="126"/>
        <v>6.3415296184188563E-2</v>
      </c>
      <c r="P190" s="3">
        <f t="shared" si="126"/>
        <v>6.341529618378712E-2</v>
      </c>
      <c r="Q190" s="3">
        <f t="shared" si="126"/>
        <v>6.3415296179772637E-2</v>
      </c>
      <c r="R190" s="3">
        <f t="shared" si="126"/>
        <v>6.3415296139627902E-2</v>
      </c>
      <c r="S190" s="3">
        <f t="shared" si="126"/>
        <v>6.3415295738180499E-2</v>
      </c>
      <c r="T190" s="3">
        <f t="shared" si="126"/>
        <v>6.3415291723706677E-2</v>
      </c>
      <c r="U190" s="3">
        <f t="shared" si="126"/>
        <v>6.3415251578982479E-2</v>
      </c>
      <c r="V190" s="3">
        <f t="shared" si="126"/>
        <v>6.3414850133138106E-2</v>
      </c>
      <c r="W190" s="3">
        <f t="shared" si="126"/>
        <v>6.3410835814464647E-2</v>
      </c>
      <c r="X190" s="3">
        <f t="shared" si="126"/>
        <v>6.337070660147899E-2</v>
      </c>
      <c r="Y190" s="3">
        <f t="shared" si="126"/>
        <v>6.2970808579029841E-2</v>
      </c>
      <c r="Z190" s="3">
        <f t="shared" si="126"/>
        <v>5.9108028280412651E-2</v>
      </c>
      <c r="AA190" s="3">
        <f t="shared" si="126"/>
        <v>3.1384737291821445E-2</v>
      </c>
      <c r="AB190" s="3">
        <f t="shared" si="126"/>
        <v>5.5903468000615912E-5</v>
      </c>
      <c r="AC190" s="3">
        <f t="shared" si="126"/>
        <v>1.7973856803316964E-32</v>
      </c>
      <c r="AD190" s="3">
        <f t="shared" si="126"/>
        <v>2.121614852333546E-307</v>
      </c>
      <c r="AE190" s="3">
        <f t="shared" si="126"/>
        <v>0</v>
      </c>
      <c r="AF190" s="3">
        <f t="shared" si="126"/>
        <v>0</v>
      </c>
      <c r="AG190" s="3"/>
      <c r="AH190" s="3"/>
    </row>
    <row r="191" spans="2:34" x14ac:dyDescent="0.25">
      <c r="B191" s="3">
        <f t="shared" ref="B191:AF191" si="127">$C38*EXP(-B$168/$A38/EXP(-$C$126))</f>
        <v>3.5348869965799563E-2</v>
      </c>
      <c r="C191" s="3">
        <f t="shared" si="127"/>
        <v>3.5348869965799563E-2</v>
      </c>
      <c r="D191" s="3">
        <f t="shared" si="127"/>
        <v>3.5348869965799563E-2</v>
      </c>
      <c r="E191" s="3">
        <f t="shared" si="127"/>
        <v>3.5348869965799563E-2</v>
      </c>
      <c r="F191" s="3">
        <f t="shared" si="127"/>
        <v>3.5348869965799563E-2</v>
      </c>
      <c r="G191" s="3">
        <f t="shared" si="127"/>
        <v>3.5348869965799563E-2</v>
      </c>
      <c r="H191" s="3">
        <f t="shared" si="127"/>
        <v>3.5348869965799563E-2</v>
      </c>
      <c r="I191" s="3">
        <f t="shared" si="127"/>
        <v>3.5348869965799563E-2</v>
      </c>
      <c r="J191" s="3">
        <f t="shared" si="127"/>
        <v>3.5348869965799563E-2</v>
      </c>
      <c r="K191" s="3">
        <f t="shared" si="127"/>
        <v>3.5348869965799563E-2</v>
      </c>
      <c r="L191" s="3">
        <f t="shared" si="127"/>
        <v>3.5348869965799556E-2</v>
      </c>
      <c r="M191" s="3">
        <f t="shared" si="127"/>
        <v>3.5348869965799543E-2</v>
      </c>
      <c r="N191" s="3">
        <f t="shared" si="127"/>
        <v>3.5348869965799341E-2</v>
      </c>
      <c r="O191" s="3">
        <f t="shared" si="127"/>
        <v>3.5348869965797315E-2</v>
      </c>
      <c r="P191" s="3">
        <f t="shared" si="127"/>
        <v>3.5348869965777137E-2</v>
      </c>
      <c r="Q191" s="3">
        <f t="shared" si="127"/>
        <v>3.5348869965575271E-2</v>
      </c>
      <c r="R191" s="3">
        <f t="shared" si="127"/>
        <v>3.5348869963556642E-2</v>
      </c>
      <c r="S191" s="3">
        <f t="shared" si="127"/>
        <v>3.5348869943370338E-2</v>
      </c>
      <c r="T191" s="3">
        <f t="shared" si="127"/>
        <v>3.5348869741507333E-2</v>
      </c>
      <c r="U191" s="3">
        <f t="shared" si="127"/>
        <v>3.5348867722877292E-2</v>
      </c>
      <c r="V191" s="3">
        <f t="shared" si="127"/>
        <v>3.5348847536583218E-2</v>
      </c>
      <c r="W191" s="3">
        <f t="shared" si="127"/>
        <v>3.5348645674276515E-2</v>
      </c>
      <c r="X191" s="3">
        <f t="shared" si="127"/>
        <v>3.5346627114609709E-2</v>
      </c>
      <c r="Y191" s="3">
        <f t="shared" si="127"/>
        <v>3.5326447856619633E-2</v>
      </c>
      <c r="Z191" s="3">
        <f t="shared" si="127"/>
        <v>3.5125287807256989E-2</v>
      </c>
      <c r="AA191" s="3">
        <f t="shared" si="127"/>
        <v>3.3175624050864175E-2</v>
      </c>
      <c r="AB191" s="3">
        <f t="shared" si="127"/>
        <v>1.8741795548277308E-2</v>
      </c>
      <c r="AC191" s="3">
        <f t="shared" si="127"/>
        <v>6.2048622691219252E-5</v>
      </c>
      <c r="AD191" s="3">
        <f t="shared" si="127"/>
        <v>9.8161603632100815E-30</v>
      </c>
      <c r="AE191" s="3">
        <f t="shared" si="127"/>
        <v>9.6391032807979644E-278</v>
      </c>
      <c r="AF191" s="3">
        <f t="shared" si="127"/>
        <v>0</v>
      </c>
      <c r="AG191" s="3"/>
      <c r="AH191" s="3"/>
    </row>
    <row r="192" spans="2:34" x14ac:dyDescent="0.25">
      <c r="B192" s="3">
        <f t="shared" ref="B192:AF192" si="128">$C39*EXP(-B$168/$A39/EXP(-$C$126))</f>
        <v>7.0460456800535406E-2</v>
      </c>
      <c r="C192" s="3">
        <f t="shared" si="128"/>
        <v>7.0460456800535406E-2</v>
      </c>
      <c r="D192" s="3">
        <f t="shared" si="128"/>
        <v>7.0460456800535406E-2</v>
      </c>
      <c r="E192" s="3">
        <f t="shared" si="128"/>
        <v>7.0460456800535406E-2</v>
      </c>
      <c r="F192" s="3">
        <f t="shared" si="128"/>
        <v>7.0460456800535406E-2</v>
      </c>
      <c r="G192" s="3">
        <f t="shared" si="128"/>
        <v>7.0460456800535406E-2</v>
      </c>
      <c r="H192" s="3">
        <f t="shared" si="128"/>
        <v>7.0460456800535406E-2</v>
      </c>
      <c r="I192" s="3">
        <f t="shared" si="128"/>
        <v>7.0460456800535406E-2</v>
      </c>
      <c r="J192" s="3">
        <f t="shared" si="128"/>
        <v>7.0460456800535406E-2</v>
      </c>
      <c r="K192" s="3">
        <f t="shared" si="128"/>
        <v>7.0460456800535406E-2</v>
      </c>
      <c r="L192" s="3">
        <f t="shared" si="128"/>
        <v>7.0460456800535406E-2</v>
      </c>
      <c r="M192" s="3">
        <f t="shared" si="128"/>
        <v>7.0460456800535393E-2</v>
      </c>
      <c r="N192" s="3">
        <f t="shared" si="128"/>
        <v>7.0460456800535282E-2</v>
      </c>
      <c r="O192" s="3">
        <f t="shared" si="128"/>
        <v>7.0460456800534171E-2</v>
      </c>
      <c r="P192" s="3">
        <f t="shared" si="128"/>
        <v>7.0460456800523041E-2</v>
      </c>
      <c r="Q192" s="3">
        <f t="shared" si="128"/>
        <v>7.0460456800411755E-2</v>
      </c>
      <c r="R192" s="3">
        <f t="shared" si="128"/>
        <v>7.0460456799298896E-2</v>
      </c>
      <c r="S192" s="3">
        <f t="shared" si="128"/>
        <v>7.0460456788170325E-2</v>
      </c>
      <c r="T192" s="3">
        <f t="shared" si="128"/>
        <v>7.0460456676884581E-2</v>
      </c>
      <c r="U192" s="3">
        <f t="shared" si="128"/>
        <v>7.0460455564027163E-2</v>
      </c>
      <c r="V192" s="3">
        <f t="shared" si="128"/>
        <v>7.0460444435453976E-2</v>
      </c>
      <c r="W192" s="3">
        <f t="shared" si="128"/>
        <v>7.0460333149818657E-2</v>
      </c>
      <c r="X192" s="3">
        <f t="shared" si="128"/>
        <v>7.045922030313255E-2</v>
      </c>
      <c r="Y192" s="3">
        <f t="shared" si="128"/>
        <v>7.0448092802918874E-2</v>
      </c>
      <c r="Z192" s="3">
        <f t="shared" si="128"/>
        <v>7.0336914409058454E-2</v>
      </c>
      <c r="AA192" s="3">
        <f t="shared" si="128"/>
        <v>6.92347350797963E-2</v>
      </c>
      <c r="AB192" s="3">
        <f t="shared" si="128"/>
        <v>5.9119568800652472E-2</v>
      </c>
      <c r="AC192" s="3">
        <f t="shared" si="128"/>
        <v>1.2184381488894641E-2</v>
      </c>
      <c r="AD192" s="3">
        <f t="shared" si="128"/>
        <v>1.6847124751350019E-9</v>
      </c>
      <c r="AE192" s="3">
        <f t="shared" si="128"/>
        <v>4.3027768968593788E-78</v>
      </c>
      <c r="AF192" s="3">
        <f t="shared" si="128"/>
        <v>0</v>
      </c>
      <c r="AG192" s="3"/>
      <c r="AH192" s="3"/>
    </row>
    <row r="193" spans="1:34" x14ac:dyDescent="0.25">
      <c r="B193" s="3">
        <f t="shared" ref="B193:AF193" si="129">$C40*EXP(-B$168/$A40/EXP(-$C$126))</f>
        <v>8.6875447409324694E-2</v>
      </c>
      <c r="C193" s="3">
        <f t="shared" si="129"/>
        <v>8.6875447409324694E-2</v>
      </c>
      <c r="D193" s="3">
        <f t="shared" si="129"/>
        <v>8.6875447409324694E-2</v>
      </c>
      <c r="E193" s="3">
        <f t="shared" si="129"/>
        <v>8.6875447409324694E-2</v>
      </c>
      <c r="F193" s="3">
        <f t="shared" si="129"/>
        <v>8.6875447409324694E-2</v>
      </c>
      <c r="G193" s="3">
        <f t="shared" si="129"/>
        <v>8.6875447409324694E-2</v>
      </c>
      <c r="H193" s="3">
        <f t="shared" si="129"/>
        <v>8.6875447409324694E-2</v>
      </c>
      <c r="I193" s="3">
        <f t="shared" si="129"/>
        <v>8.6875447409324694E-2</v>
      </c>
      <c r="J193" s="3">
        <f t="shared" si="129"/>
        <v>8.6875447409324694E-2</v>
      </c>
      <c r="K193" s="3">
        <f t="shared" si="129"/>
        <v>8.6875447409324694E-2</v>
      </c>
      <c r="L193" s="3">
        <f t="shared" si="129"/>
        <v>8.6875447409324694E-2</v>
      </c>
      <c r="M193" s="3">
        <f t="shared" si="129"/>
        <v>8.6875447409324694E-2</v>
      </c>
      <c r="N193" s="3">
        <f t="shared" si="129"/>
        <v>8.687544740932468E-2</v>
      </c>
      <c r="O193" s="3">
        <f t="shared" si="129"/>
        <v>8.6875447409324541E-2</v>
      </c>
      <c r="P193" s="3">
        <f t="shared" si="129"/>
        <v>8.6875447409323167E-2</v>
      </c>
      <c r="Q193" s="3">
        <f t="shared" si="129"/>
        <v>8.6875447409309442E-2</v>
      </c>
      <c r="R193" s="3">
        <f t="shared" si="129"/>
        <v>8.6875447409172232E-2</v>
      </c>
      <c r="S193" s="3">
        <f t="shared" si="129"/>
        <v>8.6875447407800122E-2</v>
      </c>
      <c r="T193" s="3">
        <f t="shared" si="129"/>
        <v>8.6875447394078958E-2</v>
      </c>
      <c r="U193" s="3">
        <f t="shared" si="129"/>
        <v>8.6875447256867244E-2</v>
      </c>
      <c r="V193" s="3">
        <f t="shared" si="129"/>
        <v>8.6875445884750324E-2</v>
      </c>
      <c r="W193" s="3">
        <f t="shared" si="129"/>
        <v>8.6875432163582178E-2</v>
      </c>
      <c r="X193" s="3">
        <f t="shared" si="129"/>
        <v>8.6875294952019871E-2</v>
      </c>
      <c r="Y193" s="3">
        <f t="shared" si="129"/>
        <v>8.6873922848315979E-2</v>
      </c>
      <c r="Z193" s="3">
        <f t="shared" si="129"/>
        <v>8.6860203003121875E-2</v>
      </c>
      <c r="AA193" s="3">
        <f t="shared" si="129"/>
        <v>8.6723123666037571E-2</v>
      </c>
      <c r="AB193" s="3">
        <f t="shared" si="129"/>
        <v>8.5364172465564631E-2</v>
      </c>
      <c r="AC193" s="3">
        <f t="shared" si="129"/>
        <v>7.2892502027662273E-2</v>
      </c>
      <c r="AD193" s="3">
        <f t="shared" si="129"/>
        <v>1.5022945369913814E-2</v>
      </c>
      <c r="AE193" s="3">
        <f t="shared" si="129"/>
        <v>2.0771955885519031E-9</v>
      </c>
      <c r="AF193" s="3">
        <f t="shared" si="129"/>
        <v>5.3051837156741771E-78</v>
      </c>
      <c r="AG193" s="3"/>
      <c r="AH193" s="3"/>
    </row>
    <row r="194" spans="1:34" x14ac:dyDescent="0.25">
      <c r="B194" s="3">
        <f t="shared" ref="B194:AF194" si="130">$C41*EXP(-B$168/$A41/EXP(-$C$126))</f>
        <v>9.6215979999175721E-2</v>
      </c>
      <c r="C194" s="3">
        <f t="shared" si="130"/>
        <v>9.6215979999175721E-2</v>
      </c>
      <c r="D194" s="3">
        <f t="shared" si="130"/>
        <v>9.6215979999175721E-2</v>
      </c>
      <c r="E194" s="3">
        <f t="shared" si="130"/>
        <v>9.6215979999175721E-2</v>
      </c>
      <c r="F194" s="3">
        <f t="shared" si="130"/>
        <v>9.6215979999175721E-2</v>
      </c>
      <c r="G194" s="3">
        <f t="shared" si="130"/>
        <v>9.6215979999175721E-2</v>
      </c>
      <c r="H194" s="3">
        <f t="shared" si="130"/>
        <v>9.6215979999175721E-2</v>
      </c>
      <c r="I194" s="3">
        <f t="shared" si="130"/>
        <v>9.6215979999175721E-2</v>
      </c>
      <c r="J194" s="3">
        <f t="shared" si="130"/>
        <v>9.6215979999175721E-2</v>
      </c>
      <c r="K194" s="3">
        <f t="shared" si="130"/>
        <v>9.6215979999175721E-2</v>
      </c>
      <c r="L194" s="3">
        <f t="shared" si="130"/>
        <v>9.6215979999175721E-2</v>
      </c>
      <c r="M194" s="3">
        <f t="shared" si="130"/>
        <v>9.6215979999175721E-2</v>
      </c>
      <c r="N194" s="3">
        <f t="shared" si="130"/>
        <v>9.6215979999175721E-2</v>
      </c>
      <c r="O194" s="3">
        <f t="shared" si="130"/>
        <v>9.6215979999175694E-2</v>
      </c>
      <c r="P194" s="3">
        <f t="shared" si="130"/>
        <v>9.6215979999175555E-2</v>
      </c>
      <c r="Q194" s="3">
        <f t="shared" si="130"/>
        <v>9.6215979999174028E-2</v>
      </c>
      <c r="R194" s="3">
        <f t="shared" si="130"/>
        <v>9.6215979999158832E-2</v>
      </c>
      <c r="S194" s="3">
        <f t="shared" si="130"/>
        <v>9.621597999900687E-2</v>
      </c>
      <c r="T194" s="3">
        <f t="shared" si="130"/>
        <v>9.6215979997487225E-2</v>
      </c>
      <c r="U194" s="3">
        <f t="shared" si="130"/>
        <v>9.6215979982290811E-2</v>
      </c>
      <c r="V194" s="3">
        <f t="shared" si="130"/>
        <v>9.6215979830326606E-2</v>
      </c>
      <c r="W194" s="3">
        <f t="shared" si="130"/>
        <v>9.6215978310684652E-2</v>
      </c>
      <c r="X194" s="3">
        <f t="shared" si="130"/>
        <v>9.6215963114266334E-2</v>
      </c>
      <c r="Y194" s="3">
        <f t="shared" si="130"/>
        <v>9.6215811150215186E-2</v>
      </c>
      <c r="Z194" s="3">
        <f t="shared" si="130"/>
        <v>9.6214291522904283E-2</v>
      </c>
      <c r="AA194" s="3">
        <f t="shared" si="130"/>
        <v>9.6199096569782844E-2</v>
      </c>
      <c r="AB194" s="3">
        <f t="shared" si="130"/>
        <v>9.6047278960222096E-2</v>
      </c>
      <c r="AC194" s="3">
        <f t="shared" si="130"/>
        <v>9.4542218262134395E-2</v>
      </c>
      <c r="AD194" s="3">
        <f t="shared" si="130"/>
        <v>8.0729639113555227E-2</v>
      </c>
      <c r="AE194" s="3">
        <f t="shared" si="130"/>
        <v>1.6638157895520561E-2</v>
      </c>
      <c r="AF194" s="3">
        <f t="shared" si="130"/>
        <v>2.3005281142417948E-9</v>
      </c>
      <c r="AG194" s="3"/>
      <c r="AH194" s="3"/>
    </row>
    <row r="195" spans="1:34" x14ac:dyDescent="0.25">
      <c r="B195" s="3">
        <f t="shared" ref="B195:AF195" si="131">$C42*EXP(-B$168/$A42/EXP(-$C$126))</f>
        <v>0.11161416834614406</v>
      </c>
      <c r="C195" s="3">
        <f t="shared" si="131"/>
        <v>0.11161416834614406</v>
      </c>
      <c r="D195" s="3">
        <f t="shared" si="131"/>
        <v>0.11161416834614406</v>
      </c>
      <c r="E195" s="3">
        <f t="shared" si="131"/>
        <v>0.11161416834614406</v>
      </c>
      <c r="F195" s="3">
        <f t="shared" si="131"/>
        <v>0.11161416834614406</v>
      </c>
      <c r="G195" s="3">
        <f t="shared" si="131"/>
        <v>0.11161416834614406</v>
      </c>
      <c r="H195" s="3">
        <f t="shared" si="131"/>
        <v>0.11161416834614406</v>
      </c>
      <c r="I195" s="3">
        <f t="shared" si="131"/>
        <v>0.11161416834614406</v>
      </c>
      <c r="J195" s="3">
        <f t="shared" si="131"/>
        <v>0.11161416834614406</v>
      </c>
      <c r="K195" s="3">
        <f t="shared" si="131"/>
        <v>0.11161416834614406</v>
      </c>
      <c r="L195" s="3">
        <f t="shared" si="131"/>
        <v>0.11161416834614406</v>
      </c>
      <c r="M195" s="3">
        <f t="shared" si="131"/>
        <v>0.11161416834614406</v>
      </c>
      <c r="N195" s="3">
        <f t="shared" si="131"/>
        <v>0.11161416834614406</v>
      </c>
      <c r="O195" s="3">
        <f t="shared" si="131"/>
        <v>0.11161416834614406</v>
      </c>
      <c r="P195" s="3">
        <f t="shared" si="131"/>
        <v>0.11161416834614403</v>
      </c>
      <c r="Q195" s="3">
        <f t="shared" si="131"/>
        <v>0.11161416834614386</v>
      </c>
      <c r="R195" s="3">
        <f t="shared" si="131"/>
        <v>0.1116141683461421</v>
      </c>
      <c r="S195" s="3">
        <f t="shared" si="131"/>
        <v>0.11161416834612446</v>
      </c>
      <c r="T195" s="3">
        <f t="shared" si="131"/>
        <v>0.11161416834594819</v>
      </c>
      <c r="U195" s="3">
        <f t="shared" si="131"/>
        <v>0.11161416834418535</v>
      </c>
      <c r="V195" s="3">
        <f t="shared" si="131"/>
        <v>0.11161416832655693</v>
      </c>
      <c r="W195" s="3">
        <f t="shared" si="131"/>
        <v>0.11161416815027271</v>
      </c>
      <c r="X195" s="3">
        <f t="shared" si="131"/>
        <v>0.11161416638743069</v>
      </c>
      <c r="Y195" s="3">
        <f t="shared" si="131"/>
        <v>0.11161414875901188</v>
      </c>
      <c r="Z195" s="3">
        <f t="shared" si="131"/>
        <v>0.11161397247497684</v>
      </c>
      <c r="AA195" s="3">
        <f t="shared" si="131"/>
        <v>0.11161220964993984</v>
      </c>
      <c r="AB195" s="3">
        <f t="shared" si="131"/>
        <v>0.11159458293080522</v>
      </c>
      <c r="AC195" s="3">
        <f t="shared" si="131"/>
        <v>0.11141846877355643</v>
      </c>
      <c r="AD195" s="3">
        <f t="shared" si="131"/>
        <v>0.10967254155721497</v>
      </c>
      <c r="AE195" s="3">
        <f t="shared" si="131"/>
        <v>9.3649428407017232E-2</v>
      </c>
      <c r="AF195" s="3">
        <f t="shared" si="131"/>
        <v>1.9300891144446768E-2</v>
      </c>
      <c r="AG195" s="3"/>
      <c r="AH195" s="3"/>
    </row>
    <row r="196" spans="1:34" x14ac:dyDescent="0.25">
      <c r="B196" s="3">
        <f t="shared" ref="B196:AF196" si="132">$C43*EXP(-B$168/$A43/EXP(-$C$126))</f>
        <v>6.6462351022397975E-2</v>
      </c>
      <c r="C196" s="3">
        <f t="shared" si="132"/>
        <v>6.6462351022397975E-2</v>
      </c>
      <c r="D196" s="3">
        <f t="shared" si="132"/>
        <v>6.6462351022397975E-2</v>
      </c>
      <c r="E196" s="3">
        <f t="shared" si="132"/>
        <v>6.6462351022397975E-2</v>
      </c>
      <c r="F196" s="3">
        <f t="shared" si="132"/>
        <v>6.6462351022397975E-2</v>
      </c>
      <c r="G196" s="3">
        <f t="shared" si="132"/>
        <v>6.6462351022397975E-2</v>
      </c>
      <c r="H196" s="3">
        <f t="shared" si="132"/>
        <v>6.6462351022397975E-2</v>
      </c>
      <c r="I196" s="3">
        <f t="shared" si="132"/>
        <v>6.6462351022397975E-2</v>
      </c>
      <c r="J196" s="3">
        <f t="shared" si="132"/>
        <v>6.6462351022397975E-2</v>
      </c>
      <c r="K196" s="3">
        <f t="shared" si="132"/>
        <v>6.6462351022397975E-2</v>
      </c>
      <c r="L196" s="3">
        <f t="shared" si="132"/>
        <v>6.6462351022397975E-2</v>
      </c>
      <c r="M196" s="3">
        <f t="shared" si="132"/>
        <v>6.6462351022397975E-2</v>
      </c>
      <c r="N196" s="3">
        <f t="shared" si="132"/>
        <v>6.6462351022397975E-2</v>
      </c>
      <c r="O196" s="3">
        <f t="shared" si="132"/>
        <v>6.6462351022397975E-2</v>
      </c>
      <c r="P196" s="3">
        <f t="shared" si="132"/>
        <v>6.6462351022397975E-2</v>
      </c>
      <c r="Q196" s="3">
        <f t="shared" si="132"/>
        <v>6.6462351022397961E-2</v>
      </c>
      <c r="R196" s="3">
        <f t="shared" si="132"/>
        <v>6.646235102239785E-2</v>
      </c>
      <c r="S196" s="3">
        <f t="shared" si="132"/>
        <v>6.6462351022396809E-2</v>
      </c>
      <c r="T196" s="3">
        <f t="shared" si="132"/>
        <v>6.6462351022386304E-2</v>
      </c>
      <c r="U196" s="3">
        <f t="shared" si="132"/>
        <v>6.6462351022281332E-2</v>
      </c>
      <c r="V196" s="3">
        <f t="shared" si="132"/>
        <v>6.646235102123163E-2</v>
      </c>
      <c r="W196" s="3">
        <f t="shared" si="132"/>
        <v>6.6462351010734527E-2</v>
      </c>
      <c r="X196" s="3">
        <f t="shared" si="132"/>
        <v>6.6462350905763412E-2</v>
      </c>
      <c r="Y196" s="3">
        <f t="shared" si="132"/>
        <v>6.6462349856052358E-2</v>
      </c>
      <c r="Z196" s="3">
        <f t="shared" si="132"/>
        <v>6.6462339358942746E-2</v>
      </c>
      <c r="AA196" s="3">
        <f t="shared" si="132"/>
        <v>6.646223438793783E-2</v>
      </c>
      <c r="AB196" s="3">
        <f t="shared" si="132"/>
        <v>6.6461184687007055E-2</v>
      </c>
      <c r="AC196" s="3">
        <f t="shared" si="132"/>
        <v>6.6450688589496695E-2</v>
      </c>
      <c r="AD196" s="3">
        <f t="shared" si="132"/>
        <v>6.6345818740869741E-2</v>
      </c>
      <c r="AE196" s="3">
        <f t="shared" si="132"/>
        <v>6.5306179873945797E-2</v>
      </c>
      <c r="AF196" s="3">
        <f t="shared" si="132"/>
        <v>5.576497389230544E-2</v>
      </c>
      <c r="AG196" s="3"/>
      <c r="AH196" s="3"/>
    </row>
    <row r="197" spans="1:34" x14ac:dyDescent="0.25">
      <c r="B197" s="3">
        <f t="shared" ref="B197:AF197" si="133">$C44*EXP(-B$168/$A44/EXP(-$C$126))</f>
        <v>4.7100906601755713E-2</v>
      </c>
      <c r="C197" s="3">
        <f t="shared" si="133"/>
        <v>4.7100906601755713E-2</v>
      </c>
      <c r="D197" s="3">
        <f t="shared" si="133"/>
        <v>4.7100906601755713E-2</v>
      </c>
      <c r="E197" s="3">
        <f t="shared" si="133"/>
        <v>4.7100906601755713E-2</v>
      </c>
      <c r="F197" s="3">
        <f t="shared" si="133"/>
        <v>4.7100906601755713E-2</v>
      </c>
      <c r="G197" s="3">
        <f t="shared" si="133"/>
        <v>4.7100906601755713E-2</v>
      </c>
      <c r="H197" s="3">
        <f t="shared" si="133"/>
        <v>4.7100906601755713E-2</v>
      </c>
      <c r="I197" s="3">
        <f t="shared" si="133"/>
        <v>4.7100906601755713E-2</v>
      </c>
      <c r="J197" s="3">
        <f t="shared" si="133"/>
        <v>4.7100906601755713E-2</v>
      </c>
      <c r="K197" s="3">
        <f t="shared" si="133"/>
        <v>4.7100906601755713E-2</v>
      </c>
      <c r="L197" s="3">
        <f t="shared" si="133"/>
        <v>4.7100906601755713E-2</v>
      </c>
      <c r="M197" s="3">
        <f t="shared" si="133"/>
        <v>4.7100906601755713E-2</v>
      </c>
      <c r="N197" s="3">
        <f t="shared" si="133"/>
        <v>4.7100906601755713E-2</v>
      </c>
      <c r="O197" s="3">
        <f t="shared" si="133"/>
        <v>4.7100906601755713E-2</v>
      </c>
      <c r="P197" s="3">
        <f t="shared" si="133"/>
        <v>4.7100906601755713E-2</v>
      </c>
      <c r="Q197" s="3">
        <f t="shared" si="133"/>
        <v>4.7100906601755713E-2</v>
      </c>
      <c r="R197" s="3">
        <f t="shared" si="133"/>
        <v>4.7100906601755699E-2</v>
      </c>
      <c r="S197" s="3">
        <f t="shared" si="133"/>
        <v>4.7100906601755629E-2</v>
      </c>
      <c r="T197" s="3">
        <f t="shared" si="133"/>
        <v>4.7100906601754887E-2</v>
      </c>
      <c r="U197" s="3">
        <f t="shared" si="133"/>
        <v>4.7100906601747448E-2</v>
      </c>
      <c r="V197" s="3">
        <f t="shared" si="133"/>
        <v>4.7100906601673057E-2</v>
      </c>
      <c r="W197" s="3">
        <f t="shared" si="133"/>
        <v>4.7100906600929138E-2</v>
      </c>
      <c r="X197" s="3">
        <f t="shared" si="133"/>
        <v>4.7100906593489991E-2</v>
      </c>
      <c r="Y197" s="3">
        <f t="shared" si="133"/>
        <v>4.7100906519098484E-2</v>
      </c>
      <c r="Z197" s="3">
        <f t="shared" si="133"/>
        <v>4.7100905775183451E-2</v>
      </c>
      <c r="AA197" s="3">
        <f t="shared" si="133"/>
        <v>4.7100898336033745E-2</v>
      </c>
      <c r="AB197" s="3">
        <f t="shared" si="133"/>
        <v>4.7100823944601251E-2</v>
      </c>
      <c r="AC197" s="3">
        <f t="shared" si="133"/>
        <v>4.7100080036738538E-2</v>
      </c>
      <c r="AD197" s="3">
        <f t="shared" si="133"/>
        <v>4.7092641604288991E-2</v>
      </c>
      <c r="AE197" s="3">
        <f t="shared" si="133"/>
        <v>4.7018321859809087E-2</v>
      </c>
      <c r="AF197" s="3">
        <f t="shared" si="133"/>
        <v>4.628154483616697E-2</v>
      </c>
      <c r="AG197" s="3"/>
      <c r="AH197" s="3"/>
    </row>
    <row r="198" spans="1:34" x14ac:dyDescent="0.25">
      <c r="B198" s="3">
        <f t="shared" ref="B198:AF198" si="134">$C45*EXP(-B$168/$A45/EXP(-$C$126))</f>
        <v>2.2598128773559236E-2</v>
      </c>
      <c r="C198" s="3">
        <f t="shared" si="134"/>
        <v>2.2598128773559236E-2</v>
      </c>
      <c r="D198" s="3">
        <f t="shared" si="134"/>
        <v>2.2598128773559236E-2</v>
      </c>
      <c r="E198" s="3">
        <f t="shared" si="134"/>
        <v>2.2598128773559236E-2</v>
      </c>
      <c r="F198" s="3">
        <f t="shared" si="134"/>
        <v>2.2598128773559236E-2</v>
      </c>
      <c r="G198" s="3">
        <f t="shared" si="134"/>
        <v>2.2598128773559236E-2</v>
      </c>
      <c r="H198" s="3">
        <f t="shared" si="134"/>
        <v>2.2598128773559236E-2</v>
      </c>
      <c r="I198" s="3">
        <f t="shared" si="134"/>
        <v>2.2598128773559236E-2</v>
      </c>
      <c r="J198" s="3">
        <f t="shared" si="134"/>
        <v>2.2598128773559236E-2</v>
      </c>
      <c r="K198" s="3">
        <f t="shared" si="134"/>
        <v>2.2598128773559236E-2</v>
      </c>
      <c r="L198" s="3">
        <f t="shared" si="134"/>
        <v>2.2598128773559236E-2</v>
      </c>
      <c r="M198" s="3">
        <f t="shared" si="134"/>
        <v>2.2598128773559236E-2</v>
      </c>
      <c r="N198" s="3">
        <f t="shared" si="134"/>
        <v>2.2598128773559236E-2</v>
      </c>
      <c r="O198" s="3">
        <f t="shared" si="134"/>
        <v>2.2598128773559236E-2</v>
      </c>
      <c r="P198" s="3">
        <f t="shared" si="134"/>
        <v>2.2598128773559236E-2</v>
      </c>
      <c r="Q198" s="3">
        <f t="shared" si="134"/>
        <v>2.2598128773559236E-2</v>
      </c>
      <c r="R198" s="3">
        <f t="shared" si="134"/>
        <v>2.2598128773559236E-2</v>
      </c>
      <c r="S198" s="3">
        <f t="shared" si="134"/>
        <v>2.2598128773559233E-2</v>
      </c>
      <c r="T198" s="3">
        <f t="shared" si="134"/>
        <v>2.2598128773559194E-2</v>
      </c>
      <c r="U198" s="3">
        <f t="shared" si="134"/>
        <v>2.2598128773558841E-2</v>
      </c>
      <c r="V198" s="3">
        <f t="shared" si="134"/>
        <v>2.259812877355527E-2</v>
      </c>
      <c r="W198" s="3">
        <f t="shared" si="134"/>
        <v>2.2598128773519577E-2</v>
      </c>
      <c r="X198" s="3">
        <f t="shared" si="134"/>
        <v>2.2598128773162661E-2</v>
      </c>
      <c r="Y198" s="3">
        <f t="shared" si="134"/>
        <v>2.2598128769593499E-2</v>
      </c>
      <c r="Z198" s="3">
        <f t="shared" si="134"/>
        <v>2.2598128733901851E-2</v>
      </c>
      <c r="AA198" s="3">
        <f t="shared" si="134"/>
        <v>2.2598128376985417E-2</v>
      </c>
      <c r="AB198" s="3">
        <f t="shared" si="134"/>
        <v>2.2598124807821356E-2</v>
      </c>
      <c r="AC198" s="3">
        <f t="shared" si="134"/>
        <v>2.259808911621174E-2</v>
      </c>
      <c r="AD198" s="3">
        <f t="shared" si="134"/>
        <v>2.2597732203215998E-2</v>
      </c>
      <c r="AE198" s="3">
        <f t="shared" si="134"/>
        <v>2.2594163383282455E-2</v>
      </c>
      <c r="AF198" s="3">
        <f t="shared" si="134"/>
        <v>2.255850616822341E-2</v>
      </c>
      <c r="AG198" s="3"/>
      <c r="AH198" s="3"/>
    </row>
    <row r="199" spans="1:34" x14ac:dyDescent="0.25">
      <c r="B199" s="3">
        <f t="shared" ref="B199:AF199" si="135">$C46*EXP(-B$168/$A46/EXP(-$C$126))</f>
        <v>6.4467605952010509E-3</v>
      </c>
      <c r="C199" s="3">
        <f t="shared" si="135"/>
        <v>6.4467605952010509E-3</v>
      </c>
      <c r="D199" s="3">
        <f t="shared" si="135"/>
        <v>6.4467605952010509E-3</v>
      </c>
      <c r="E199" s="3">
        <f t="shared" si="135"/>
        <v>6.4467605952010509E-3</v>
      </c>
      <c r="F199" s="3">
        <f t="shared" si="135"/>
        <v>6.4467605952010509E-3</v>
      </c>
      <c r="G199" s="3">
        <f t="shared" si="135"/>
        <v>6.4467605952010509E-3</v>
      </c>
      <c r="H199" s="3">
        <f t="shared" si="135"/>
        <v>6.4467605952010509E-3</v>
      </c>
      <c r="I199" s="3">
        <f t="shared" si="135"/>
        <v>6.4467605952010509E-3</v>
      </c>
      <c r="J199" s="3">
        <f t="shared" si="135"/>
        <v>6.4467605952010509E-3</v>
      </c>
      <c r="K199" s="3">
        <f t="shared" si="135"/>
        <v>6.4467605952010509E-3</v>
      </c>
      <c r="L199" s="3">
        <f t="shared" si="135"/>
        <v>6.4467605952010509E-3</v>
      </c>
      <c r="M199" s="3">
        <f t="shared" si="135"/>
        <v>6.4467605952010509E-3</v>
      </c>
      <c r="N199" s="3">
        <f t="shared" si="135"/>
        <v>6.4467605952010509E-3</v>
      </c>
      <c r="O199" s="3">
        <f t="shared" si="135"/>
        <v>6.4467605952010509E-3</v>
      </c>
      <c r="P199" s="3">
        <f t="shared" si="135"/>
        <v>6.4467605952010509E-3</v>
      </c>
      <c r="Q199" s="3">
        <f t="shared" si="135"/>
        <v>6.4467605952010509E-3</v>
      </c>
      <c r="R199" s="3">
        <f t="shared" si="135"/>
        <v>6.4467605952010509E-3</v>
      </c>
      <c r="S199" s="3">
        <f t="shared" si="135"/>
        <v>6.4467605952010509E-3</v>
      </c>
      <c r="T199" s="3">
        <f t="shared" si="135"/>
        <v>6.4467605952010492E-3</v>
      </c>
      <c r="U199" s="3">
        <f t="shared" si="135"/>
        <v>6.4467605952010397E-3</v>
      </c>
      <c r="V199" s="3">
        <f t="shared" si="135"/>
        <v>6.4467605952009382E-3</v>
      </c>
      <c r="W199" s="3">
        <f t="shared" si="135"/>
        <v>6.446760595199919E-3</v>
      </c>
      <c r="X199" s="3">
        <f t="shared" si="135"/>
        <v>6.4467605951897371E-3</v>
      </c>
      <c r="Y199" s="3">
        <f t="shared" si="135"/>
        <v>6.4467605950879166E-3</v>
      </c>
      <c r="Z199" s="3">
        <f t="shared" si="135"/>
        <v>6.4467605940697111E-3</v>
      </c>
      <c r="AA199" s="3">
        <f t="shared" si="135"/>
        <v>6.4467605838876519E-3</v>
      </c>
      <c r="AB199" s="3">
        <f t="shared" si="135"/>
        <v>6.4467604820670609E-3</v>
      </c>
      <c r="AC199" s="3">
        <f t="shared" si="135"/>
        <v>6.4467594638612418E-3</v>
      </c>
      <c r="AD199" s="3">
        <f t="shared" si="135"/>
        <v>6.4467492818118888E-3</v>
      </c>
      <c r="AE199" s="3">
        <f t="shared" si="135"/>
        <v>6.4466474622028444E-3</v>
      </c>
      <c r="AF199" s="3">
        <f t="shared" si="135"/>
        <v>6.4456293545555486E-3</v>
      </c>
      <c r="AG199" s="3"/>
      <c r="AH199" s="3"/>
    </row>
    <row r="200" spans="1:34" x14ac:dyDescent="0.25">
      <c r="B200" s="3">
        <f t="shared" ref="B200:AF200" si="136">$C47*EXP(-B$168/$A47/EXP(-$C$126))</f>
        <v>9.8307104636690784E-5</v>
      </c>
      <c r="C200" s="3">
        <f t="shared" si="136"/>
        <v>9.8307104636690784E-5</v>
      </c>
      <c r="D200" s="3">
        <f t="shared" si="136"/>
        <v>9.8307104636690784E-5</v>
      </c>
      <c r="E200" s="3">
        <f t="shared" si="136"/>
        <v>9.8307104636690784E-5</v>
      </c>
      <c r="F200" s="3">
        <f t="shared" si="136"/>
        <v>9.8307104636690784E-5</v>
      </c>
      <c r="G200" s="3">
        <f t="shared" si="136"/>
        <v>9.8307104636690784E-5</v>
      </c>
      <c r="H200" s="3">
        <f t="shared" si="136"/>
        <v>9.8307104636690784E-5</v>
      </c>
      <c r="I200" s="3">
        <f t="shared" si="136"/>
        <v>9.8307104636690784E-5</v>
      </c>
      <c r="J200" s="3">
        <f t="shared" si="136"/>
        <v>9.8307104636690784E-5</v>
      </c>
      <c r="K200" s="3">
        <f t="shared" si="136"/>
        <v>9.8307104636690784E-5</v>
      </c>
      <c r="L200" s="3">
        <f t="shared" si="136"/>
        <v>9.8307104636690784E-5</v>
      </c>
      <c r="M200" s="3">
        <f t="shared" si="136"/>
        <v>9.8307104636690784E-5</v>
      </c>
      <c r="N200" s="3">
        <f t="shared" si="136"/>
        <v>9.8307104636690784E-5</v>
      </c>
      <c r="O200" s="3">
        <f t="shared" si="136"/>
        <v>9.8307104636690784E-5</v>
      </c>
      <c r="P200" s="3">
        <f t="shared" si="136"/>
        <v>9.8307104636690784E-5</v>
      </c>
      <c r="Q200" s="3">
        <f t="shared" si="136"/>
        <v>9.8307104636690784E-5</v>
      </c>
      <c r="R200" s="3">
        <f t="shared" si="136"/>
        <v>9.8307104636690784E-5</v>
      </c>
      <c r="S200" s="3">
        <f t="shared" si="136"/>
        <v>9.8307104636690784E-5</v>
      </c>
      <c r="T200" s="3">
        <f t="shared" si="136"/>
        <v>9.8307104636690784E-5</v>
      </c>
      <c r="U200" s="3">
        <f t="shared" si="136"/>
        <v>9.8307104636690757E-5</v>
      </c>
      <c r="V200" s="3">
        <f t="shared" si="136"/>
        <v>9.8307104636690608E-5</v>
      </c>
      <c r="W200" s="3">
        <f t="shared" si="136"/>
        <v>9.8307104636689063E-5</v>
      </c>
      <c r="X200" s="3">
        <f t="shared" si="136"/>
        <v>9.8307104636673531E-5</v>
      </c>
      <c r="Y200" s="3">
        <f t="shared" si="136"/>
        <v>9.830710463651826E-5</v>
      </c>
      <c r="Z200" s="3">
        <f t="shared" si="136"/>
        <v>9.8307104634965601E-5</v>
      </c>
      <c r="AA200" s="3">
        <f t="shared" si="136"/>
        <v>9.8307104619438905E-5</v>
      </c>
      <c r="AB200" s="3">
        <f t="shared" si="136"/>
        <v>9.8307104464171965E-5</v>
      </c>
      <c r="AC200" s="3">
        <f t="shared" si="136"/>
        <v>9.8307102911502636E-5</v>
      </c>
      <c r="AD200" s="3">
        <f t="shared" si="136"/>
        <v>9.8307087384810656E-5</v>
      </c>
      <c r="AE200" s="3">
        <f t="shared" si="136"/>
        <v>9.8306932118025672E-5</v>
      </c>
      <c r="AF200" s="3">
        <f t="shared" si="136"/>
        <v>9.8305379463663442E-5</v>
      </c>
      <c r="AG200" s="3"/>
      <c r="AH200" s="3"/>
    </row>
    <row r="201" spans="1:34" x14ac:dyDescent="0.25">
      <c r="B201" s="3">
        <f t="shared" ref="B201:AF201" si="137">$C48*EXP(-B$168/$A48/EXP(-$C$126))</f>
        <v>1.1020901234699522E-2</v>
      </c>
      <c r="C201" s="3">
        <f t="shared" si="137"/>
        <v>1.1020901234699522E-2</v>
      </c>
      <c r="D201" s="3">
        <f t="shared" si="137"/>
        <v>1.1020901234699522E-2</v>
      </c>
      <c r="E201" s="3">
        <f t="shared" si="137"/>
        <v>1.1020901234699522E-2</v>
      </c>
      <c r="F201" s="3">
        <f t="shared" si="137"/>
        <v>1.1020901234699522E-2</v>
      </c>
      <c r="G201" s="3">
        <f t="shared" si="137"/>
        <v>1.1020901234699522E-2</v>
      </c>
      <c r="H201" s="3">
        <f t="shared" si="137"/>
        <v>1.1020901234699522E-2</v>
      </c>
      <c r="I201" s="3">
        <f t="shared" si="137"/>
        <v>1.1020901234699522E-2</v>
      </c>
      <c r="J201" s="3">
        <f t="shared" si="137"/>
        <v>1.1020901234699522E-2</v>
      </c>
      <c r="K201" s="3">
        <f t="shared" si="137"/>
        <v>1.1020901234699522E-2</v>
      </c>
      <c r="L201" s="3">
        <f t="shared" si="137"/>
        <v>1.1020901234699522E-2</v>
      </c>
      <c r="M201" s="3">
        <f t="shared" si="137"/>
        <v>1.1020901234699522E-2</v>
      </c>
      <c r="N201" s="3">
        <f t="shared" si="137"/>
        <v>1.1020901234699522E-2</v>
      </c>
      <c r="O201" s="3">
        <f t="shared" si="137"/>
        <v>1.1020901234699522E-2</v>
      </c>
      <c r="P201" s="3">
        <f t="shared" si="137"/>
        <v>1.1020901234699522E-2</v>
      </c>
      <c r="Q201" s="3">
        <f t="shared" si="137"/>
        <v>1.1020901234699522E-2</v>
      </c>
      <c r="R201" s="3">
        <f t="shared" si="137"/>
        <v>1.1020901234699522E-2</v>
      </c>
      <c r="S201" s="3">
        <f t="shared" si="137"/>
        <v>1.1020901234699522E-2</v>
      </c>
      <c r="T201" s="3">
        <f t="shared" si="137"/>
        <v>1.1020901234699522E-2</v>
      </c>
      <c r="U201" s="3">
        <f t="shared" si="137"/>
        <v>1.1020901234699522E-2</v>
      </c>
      <c r="V201" s="3">
        <f t="shared" si="137"/>
        <v>1.102090123469952E-2</v>
      </c>
      <c r="W201" s="3">
        <f t="shared" si="137"/>
        <v>1.1020901234699503E-2</v>
      </c>
      <c r="X201" s="3">
        <f t="shared" si="137"/>
        <v>1.1020901234699329E-2</v>
      </c>
      <c r="Y201" s="3">
        <f t="shared" si="137"/>
        <v>1.1020901234697587E-2</v>
      </c>
      <c r="Z201" s="3">
        <f t="shared" si="137"/>
        <v>1.1020901234680181E-2</v>
      </c>
      <c r="AA201" s="3">
        <f t="shared" si="137"/>
        <v>1.1020901234506116E-2</v>
      </c>
      <c r="AB201" s="3">
        <f t="shared" si="137"/>
        <v>1.1020901232765468E-2</v>
      </c>
      <c r="AC201" s="3">
        <f t="shared" si="137"/>
        <v>1.1020901215358977E-2</v>
      </c>
      <c r="AD201" s="3">
        <f t="shared" si="137"/>
        <v>1.1020901041294088E-2</v>
      </c>
      <c r="AE201" s="3">
        <f t="shared" si="137"/>
        <v>1.1020899300645337E-2</v>
      </c>
      <c r="AF201" s="3">
        <f t="shared" si="137"/>
        <v>1.1020881894172951E-2</v>
      </c>
      <c r="AG201" s="3"/>
      <c r="AH201" s="3"/>
    </row>
    <row r="202" spans="1:34" x14ac:dyDescent="0.25">
      <c r="A202" s="79">
        <f>AVERAGE(B202:AF202)</f>
        <v>1.4419625050595974E-2</v>
      </c>
      <c r="B202" s="80">
        <f>IF($A$64&lt;=B168,IF($B$64&gt;=B168,ABS((B170-B169)/B169),0),0)</f>
        <v>1.8477072496590351E-3</v>
      </c>
      <c r="C202" s="80">
        <f t="shared" ref="C202:AF202" si="138">IF($A$64&lt;=C168,IF($B$64&gt;=C168,ABS((C170-C169)/C169),0),0)</f>
        <v>2.0311976785154129E-3</v>
      </c>
      <c r="D202" s="80">
        <f t="shared" si="138"/>
        <v>2.0274196780339323E-3</v>
      </c>
      <c r="E202" s="80">
        <f t="shared" si="138"/>
        <v>2.0262754374962802E-3</v>
      </c>
      <c r="F202" s="80">
        <f t="shared" si="138"/>
        <v>2.0259267488761949E-3</v>
      </c>
      <c r="G202" s="80">
        <f t="shared" si="138"/>
        <v>2.0258251897290213E-3</v>
      </c>
      <c r="H202" s="80">
        <f t="shared" si="138"/>
        <v>2.025777801796207E-3</v>
      </c>
      <c r="I202" s="80">
        <f t="shared" si="138"/>
        <v>2.0257744829305546E-3</v>
      </c>
      <c r="J202" s="80">
        <f t="shared" si="138"/>
        <v>2.0257379089468849E-3</v>
      </c>
      <c r="K202" s="80">
        <f t="shared" si="138"/>
        <v>2.0257445550805305E-3</v>
      </c>
      <c r="L202" s="80">
        <f t="shared" si="138"/>
        <v>2.0257602363456676E-3</v>
      </c>
      <c r="M202" s="80">
        <f t="shared" si="138"/>
        <v>2.026038904027333E-3</v>
      </c>
      <c r="N202" s="80">
        <f t="shared" si="138"/>
        <v>2.028461679693244E-3</v>
      </c>
      <c r="O202" s="80">
        <f t="shared" si="138"/>
        <v>2.0526788715090833E-3</v>
      </c>
      <c r="P202" s="80">
        <f t="shared" si="138"/>
        <v>2.2823989192491414E-3</v>
      </c>
      <c r="Q202" s="80">
        <f t="shared" si="138"/>
        <v>3.8341351868088837E-3</v>
      </c>
      <c r="R202" s="80">
        <f t="shared" si="138"/>
        <v>7.5751962030559021E-3</v>
      </c>
      <c r="S202" s="80">
        <f t="shared" si="138"/>
        <v>5.9095858914854906E-3</v>
      </c>
      <c r="T202" s="80">
        <f t="shared" si="138"/>
        <v>6.0648655288273118E-3</v>
      </c>
      <c r="U202" s="80">
        <f t="shared" si="138"/>
        <v>3.2181969897252033E-3</v>
      </c>
      <c r="V202" s="80">
        <f t="shared" si="138"/>
        <v>1.938249758662813E-2</v>
      </c>
      <c r="W202" s="80">
        <f t="shared" si="138"/>
        <v>3.3478708932500031E-2</v>
      </c>
      <c r="X202" s="80">
        <f t="shared" si="138"/>
        <v>3.9883069310920963E-2</v>
      </c>
      <c r="Y202" s="80">
        <f t="shared" si="138"/>
        <v>3.4634886089339886E-2</v>
      </c>
      <c r="Z202" s="80">
        <f t="shared" si="138"/>
        <v>2.5088208140738109E-2</v>
      </c>
      <c r="AA202" s="80">
        <f t="shared" si="138"/>
        <v>1.2230111018382428E-2</v>
      </c>
      <c r="AB202" s="80">
        <f t="shared" si="138"/>
        <v>5.6956756324135945E-3</v>
      </c>
      <c r="AC202" s="80">
        <f t="shared" si="138"/>
        <v>2.0139562462325289E-2</v>
      </c>
      <c r="AD202" s="80">
        <f t="shared" si="138"/>
        <v>3.814845116577973E-2</v>
      </c>
      <c r="AE202" s="80">
        <f t="shared" si="138"/>
        <v>6.1843454061549938E-2</v>
      </c>
      <c r="AF202" s="80">
        <f t="shared" si="138"/>
        <v>9.9379047026105782E-2</v>
      </c>
    </row>
    <row r="203" spans="1:34" x14ac:dyDescent="0.25">
      <c r="B203" s="21">
        <f>(B170-B169)^2</f>
        <v>120.31072517471277</v>
      </c>
      <c r="C203" s="21">
        <f t="shared" ref="C203:AF203" si="139">(C170-C169)^2</f>
        <v>145.39444516726618</v>
      </c>
      <c r="D203" s="21">
        <f t="shared" si="139"/>
        <v>144.85298797849273</v>
      </c>
      <c r="E203" s="21">
        <f t="shared" si="139"/>
        <v>144.68919729367278</v>
      </c>
      <c r="F203" s="21">
        <f t="shared" si="139"/>
        <v>144.63930325109445</v>
      </c>
      <c r="G203" s="21">
        <f t="shared" si="139"/>
        <v>144.62477272233005</v>
      </c>
      <c r="H203" s="21">
        <f t="shared" si="139"/>
        <v>144.61799296433037</v>
      </c>
      <c r="I203" s="21">
        <f t="shared" si="139"/>
        <v>144.61751812342277</v>
      </c>
      <c r="J203" s="21">
        <f t="shared" si="139"/>
        <v>144.61228543606728</v>
      </c>
      <c r="K203" s="21">
        <f t="shared" si="139"/>
        <v>144.61323433883325</v>
      </c>
      <c r="L203" s="21">
        <f t="shared" si="139"/>
        <v>144.6154585293111</v>
      </c>
      <c r="M203" s="21">
        <f t="shared" si="139"/>
        <v>144.65513657737378</v>
      </c>
      <c r="N203" s="21">
        <f t="shared" si="139"/>
        <v>145.0000794082562</v>
      </c>
      <c r="O203" s="21">
        <f t="shared" si="139"/>
        <v>148.47045632571096</v>
      </c>
      <c r="P203" s="21">
        <f t="shared" si="139"/>
        <v>183.40792377251984</v>
      </c>
      <c r="Q203" s="21">
        <f t="shared" si="139"/>
        <v>513.59153324272438</v>
      </c>
      <c r="R203" s="21">
        <f t="shared" si="139"/>
        <v>1922.8058769367065</v>
      </c>
      <c r="S203" s="21">
        <f t="shared" si="139"/>
        <v>1112.9813356488794</v>
      </c>
      <c r="T203" s="21">
        <f t="shared" si="139"/>
        <v>1103.3936212496196</v>
      </c>
      <c r="U203" s="21">
        <f t="shared" si="139"/>
        <v>284.69381482979838</v>
      </c>
      <c r="V203" s="21">
        <f t="shared" si="139"/>
        <v>9269.0327918020193</v>
      </c>
      <c r="W203" s="21">
        <f t="shared" si="139"/>
        <v>24372.266902163457</v>
      </c>
      <c r="X203" s="21">
        <f t="shared" si="139"/>
        <v>30047.558117845227</v>
      </c>
      <c r="Y203" s="21">
        <f t="shared" si="139"/>
        <v>19702.486991376481</v>
      </c>
      <c r="Z203" s="21">
        <f t="shared" si="139"/>
        <v>8952.9757163228423</v>
      </c>
      <c r="AA203" s="21">
        <f t="shared" si="139"/>
        <v>1819.0209147047874</v>
      </c>
      <c r="AB203" s="21">
        <f t="shared" si="139"/>
        <v>326.25984820050621</v>
      </c>
      <c r="AC203" s="21">
        <f t="shared" si="139"/>
        <v>3116.0197363975321</v>
      </c>
      <c r="AD203" s="21">
        <f t="shared" si="139"/>
        <v>7663.0481574670848</v>
      </c>
      <c r="AE203" s="21">
        <f t="shared" si="139"/>
        <v>11635.156240104892</v>
      </c>
      <c r="AF203" s="21">
        <f t="shared" si="139"/>
        <v>13057.367896569682</v>
      </c>
      <c r="AG203" s="3"/>
      <c r="AH203" s="3"/>
    </row>
    <row r="204" spans="1:34" x14ac:dyDescent="0.25">
      <c r="A204" s="71">
        <f>SUM(B204:AF204)</f>
        <v>137087.78101192563</v>
      </c>
      <c r="B204" s="60">
        <f>IF($A$64&lt;=B168,IF($B$64&gt;=B168,ABS(B203),0),0)</f>
        <v>120.31072517471277</v>
      </c>
      <c r="C204" s="60">
        <f t="shared" ref="C204" si="140">IF($A$64&lt;=C168,IF($B$64&gt;=C168,ABS(C203),0),0)</f>
        <v>145.39444516726618</v>
      </c>
      <c r="D204" s="60">
        <f t="shared" ref="D204" si="141">IF($A$64&lt;=D168,IF($B$64&gt;=D168,ABS(D203),0),0)</f>
        <v>144.85298797849273</v>
      </c>
      <c r="E204" s="60">
        <f t="shared" ref="E204" si="142">IF($A$64&lt;=E168,IF($B$64&gt;=E168,ABS(E203),0),0)</f>
        <v>144.68919729367278</v>
      </c>
      <c r="F204" s="60">
        <f t="shared" ref="F204" si="143">IF($A$64&lt;=F168,IF($B$64&gt;=F168,ABS(F203),0),0)</f>
        <v>144.63930325109445</v>
      </c>
      <c r="G204" s="60">
        <f t="shared" ref="G204" si="144">IF($A$64&lt;=G168,IF($B$64&gt;=G168,ABS(G203),0),0)</f>
        <v>144.62477272233005</v>
      </c>
      <c r="H204" s="60">
        <f t="shared" ref="H204" si="145">IF($A$64&lt;=H168,IF($B$64&gt;=H168,ABS(H203),0),0)</f>
        <v>144.61799296433037</v>
      </c>
      <c r="I204" s="60">
        <f t="shared" ref="I204" si="146">IF($A$64&lt;=I168,IF($B$64&gt;=I168,ABS(I203),0),0)</f>
        <v>144.61751812342277</v>
      </c>
      <c r="J204" s="60">
        <f t="shared" ref="J204" si="147">IF($A$64&lt;=J168,IF($B$64&gt;=J168,ABS(J203),0),0)</f>
        <v>144.61228543606728</v>
      </c>
      <c r="K204" s="60">
        <f t="shared" ref="K204" si="148">IF($A$64&lt;=K168,IF($B$64&gt;=K168,ABS(K203),0),0)</f>
        <v>144.61323433883325</v>
      </c>
      <c r="L204" s="60">
        <f t="shared" ref="L204" si="149">IF($A$64&lt;=L168,IF($B$64&gt;=L168,ABS(L203),0),0)</f>
        <v>144.6154585293111</v>
      </c>
      <c r="M204" s="60">
        <f t="shared" ref="M204" si="150">IF($A$64&lt;=M168,IF($B$64&gt;=M168,ABS(M203),0),0)</f>
        <v>144.65513657737378</v>
      </c>
      <c r="N204" s="60">
        <f t="shared" ref="N204" si="151">IF($A$64&lt;=N168,IF($B$64&gt;=N168,ABS(N203),0),0)</f>
        <v>145.0000794082562</v>
      </c>
      <c r="O204" s="60">
        <f t="shared" ref="O204" si="152">IF($A$64&lt;=O168,IF($B$64&gt;=O168,ABS(O203),0),0)</f>
        <v>148.47045632571096</v>
      </c>
      <c r="P204" s="60">
        <f t="shared" ref="P204" si="153">IF($A$64&lt;=P168,IF($B$64&gt;=P168,ABS(P203),0),0)</f>
        <v>183.40792377251984</v>
      </c>
      <c r="Q204" s="60">
        <f t="shared" ref="Q204" si="154">IF($A$64&lt;=Q168,IF($B$64&gt;=Q168,ABS(Q203),0),0)</f>
        <v>513.59153324272438</v>
      </c>
      <c r="R204" s="60">
        <f t="shared" ref="R204" si="155">IF($A$64&lt;=R168,IF($B$64&gt;=R168,ABS(R203),0),0)</f>
        <v>1922.8058769367065</v>
      </c>
      <c r="S204" s="60">
        <f t="shared" ref="S204" si="156">IF($A$64&lt;=S168,IF($B$64&gt;=S168,ABS(S203),0),0)</f>
        <v>1112.9813356488794</v>
      </c>
      <c r="T204" s="60">
        <f t="shared" ref="T204" si="157">IF($A$64&lt;=T168,IF($B$64&gt;=T168,ABS(T203),0),0)</f>
        <v>1103.3936212496196</v>
      </c>
      <c r="U204" s="60">
        <f t="shared" ref="U204" si="158">IF($A$64&lt;=U168,IF($B$64&gt;=U168,ABS(U203),0),0)</f>
        <v>284.69381482979838</v>
      </c>
      <c r="V204" s="60">
        <f t="shared" ref="V204" si="159">IF($A$64&lt;=V168,IF($B$64&gt;=V168,ABS(V203),0),0)</f>
        <v>9269.0327918020193</v>
      </c>
      <c r="W204" s="60">
        <f t="shared" ref="W204" si="160">IF($A$64&lt;=W168,IF($B$64&gt;=W168,ABS(W203),0),0)</f>
        <v>24372.266902163457</v>
      </c>
      <c r="X204" s="60">
        <f t="shared" ref="X204" si="161">IF($A$64&lt;=X168,IF($B$64&gt;=X168,ABS(X203),0),0)</f>
        <v>30047.558117845227</v>
      </c>
      <c r="Y204" s="60">
        <f t="shared" ref="Y204" si="162">IF($A$64&lt;=Y168,IF($B$64&gt;=Y168,ABS(Y203),0),0)</f>
        <v>19702.486991376481</v>
      </c>
      <c r="Z204" s="60">
        <f t="shared" ref="Z204" si="163">IF($A$64&lt;=Z168,IF($B$64&gt;=Z168,ABS(Z203),0),0)</f>
        <v>8952.9757163228423</v>
      </c>
      <c r="AA204" s="60">
        <f t="shared" ref="AA204" si="164">IF($A$64&lt;=AA168,IF($B$64&gt;=AA168,ABS(AA203),0),0)</f>
        <v>1819.0209147047874</v>
      </c>
      <c r="AB204" s="60">
        <f t="shared" ref="AB204" si="165">IF($A$64&lt;=AB168,IF($B$64&gt;=AB168,ABS(AB203),0),0)</f>
        <v>326.25984820050621</v>
      </c>
      <c r="AC204" s="60">
        <f t="shared" ref="AC204" si="166">IF($A$64&lt;=AC168,IF($B$64&gt;=AC168,ABS(AC203),0),0)</f>
        <v>3116.0197363975321</v>
      </c>
      <c r="AD204" s="60">
        <f t="shared" ref="AD204" si="167">IF($A$64&lt;=AD168,IF($B$64&gt;=AD168,ABS(AD203),0),0)</f>
        <v>7663.0481574670848</v>
      </c>
      <c r="AE204" s="60">
        <f t="shared" ref="AE204" si="168">IF($A$64&lt;=AE168,IF($B$64&gt;=AE168,ABS(AE203),0),0)</f>
        <v>11635.156240104892</v>
      </c>
      <c r="AF204" s="60">
        <f t="shared" ref="AF204" si="169">IF($A$64&lt;=AF168,IF($B$64&gt;=AF168,ABS(AF203),0),0)</f>
        <v>13057.367896569682</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5930.406376183163</v>
      </c>
      <c r="C208" s="26">
        <f>INDEX(Comparison!$AM$3:$AS$33,G$14,$D$122)</f>
        <v>5930.4431337924134</v>
      </c>
      <c r="D208" s="26">
        <f>INDEX(Comparison!$AM$3:$AS$33,H$14,$D$122)</f>
        <v>5930.4206852693951</v>
      </c>
      <c r="E208" s="26">
        <f>INDEX(Comparison!$AM$3:$AS$33,I$14,$D$122)</f>
        <v>5930.413892464232</v>
      </c>
      <c r="F208" s="26">
        <f>INDEX(Comparison!$AM$3:$AS$33,J$14,$D$122)</f>
        <v>5930.4118224704844</v>
      </c>
      <c r="G208" s="26">
        <f>INDEX(Comparison!$AM$3:$AS$33,K$14,$D$122)</f>
        <v>5930.4110185898089</v>
      </c>
      <c r="H208" s="26">
        <f>INDEX(Comparison!$AM$3:$AS$33,L$14,$D$122)</f>
        <v>5930.4109382017532</v>
      </c>
      <c r="I208" s="26">
        <f>INDEX(Comparison!$AM$3:$AS$33,M$14,$D$122)</f>
        <v>5930.4106970375988</v>
      </c>
      <c r="J208" s="26">
        <f>INDEX(Comparison!$AM$3:$AS$33,N$14,$D$122)</f>
        <v>5930.4104156794438</v>
      </c>
      <c r="K208" s="26">
        <f>INDEX(Comparison!$AM$3:$AS$33,O$14,$D$122)</f>
        <v>5930.408164815165</v>
      </c>
      <c r="L208" s="26">
        <f>INDEX(Comparison!$AM$3:$AS$33,P$14,$D$122)</f>
        <v>5930.384691618081</v>
      </c>
      <c r="M208" s="26">
        <f>INDEX(Comparison!$AM$3:$AS$33,Q$14,$D$122)</f>
        <v>5930.150894248286</v>
      </c>
      <c r="N208" s="26">
        <f>INDEX(Comparison!$AM$3:$AS$33,R$14,$D$122)</f>
        <v>5927.8308007940832</v>
      </c>
      <c r="O208" s="26">
        <f>INDEX(Comparison!$AM$3:$AS$33,S$14,$D$122)</f>
        <v>5906.3450308766669</v>
      </c>
      <c r="P208" s="26">
        <f>INDEX(Comparison!$AM$3:$AS$33,T$14,$D$122)</f>
        <v>5787.3961464989843</v>
      </c>
      <c r="Q208" s="26">
        <f>INDEX(Comparison!$AM$3:$AS$33,U$14,$D$122)</f>
        <v>5645.7736928586964</v>
      </c>
      <c r="R208" s="26">
        <f>INDEX(Comparison!$AM$3:$AS$33,V$14,$D$122)</f>
        <v>5488.7797063617654</v>
      </c>
      <c r="S208" s="26">
        <f>INDEX(Comparison!$AM$3:$AS$33,W$14,$D$122)</f>
        <v>5295.6687137139643</v>
      </c>
      <c r="T208" s="26">
        <f>INDEX(Comparison!$AM$3:$AS$33,X$14,$D$122)</f>
        <v>5062.6547205141496</v>
      </c>
      <c r="U208" s="26">
        <f>INDEX(Comparison!$AM$3:$AS$33,Y$14,$D$122)</f>
        <v>4762.2359802766141</v>
      </c>
      <c r="V208" s="26">
        <f>INDEX(Comparison!$AM$3:$AS$33,Z$14,$D$122)</f>
        <v>4428.9407335348296</v>
      </c>
      <c r="W208" s="26">
        <f>INDEX(Comparison!$AM$3:$AS$33,AA$14,$D$122)</f>
        <v>4111.7161259908762</v>
      </c>
      <c r="X208" s="26">
        <f>INDEX(Comparison!$AM$3:$AS$33,AB$14,$D$122)</f>
        <v>3814.2268394370481</v>
      </c>
      <c r="Y208" s="26">
        <f>INDEX(Comparison!$AM$3:$AS$33,AC$14,$D$122)</f>
        <v>3517.7803393025779</v>
      </c>
      <c r="Z208" s="26">
        <f>INDEX(Comparison!$AM$3:$AS$33,AD$14,$D$122)</f>
        <v>3195.2414492417452</v>
      </c>
      <c r="AA208" s="26">
        <f>INDEX(Comparison!$AM$3:$AS$33,AE$14,$D$122)</f>
        <v>2791.4157044377589</v>
      </c>
      <c r="AB208" s="26">
        <f>INDEX(Comparison!$AM$3:$AS$33,AF$14,$D$122)</f>
        <v>2312.1801528163464</v>
      </c>
      <c r="AC208" s="26">
        <f>INDEX(Comparison!$AM$3:$AS$33,AG$14,$D$122)</f>
        <v>1761.4184833894965</v>
      </c>
      <c r="AD208" s="26">
        <f>INDEX(Comparison!$AM$3:$AS$33,AH$14,$D$122)</f>
        <v>1165.0893454090649</v>
      </c>
      <c r="AE208" s="26">
        <f>INDEX(Comparison!$AM$3:$AS$33,AI$14,$D$122)</f>
        <v>692.87414966525068</v>
      </c>
      <c r="AF208" s="26">
        <f>INDEX(Comparison!$AM$3:$AS$33,AJ$14,$D$122)</f>
        <v>393.89092728068977</v>
      </c>
      <c r="AG208" s="26"/>
      <c r="AH208" s="26"/>
    </row>
    <row r="209" spans="1:34" x14ac:dyDescent="0.25">
      <c r="A209" s="70" t="s">
        <v>22</v>
      </c>
      <c r="B209" s="27">
        <f>($C$17+SUM(B210:B240))*$B$51</f>
        <v>5924.3223454632598</v>
      </c>
      <c r="C209" s="27">
        <f t="shared" ref="C209:AF209" si="170">($C$17+SUM(C210:C240))*$B$51</f>
        <v>5924.3223454632289</v>
      </c>
      <c r="D209" s="27">
        <f t="shared" si="170"/>
        <v>5924.3223454629151</v>
      </c>
      <c r="E209" s="27">
        <f t="shared" si="170"/>
        <v>5924.3223454597864</v>
      </c>
      <c r="F209" s="27">
        <f t="shared" si="170"/>
        <v>5924.3223454284907</v>
      </c>
      <c r="G209" s="27">
        <f t="shared" si="170"/>
        <v>5924.3223451155473</v>
      </c>
      <c r="H209" s="27">
        <f t="shared" si="170"/>
        <v>5924.3223419860979</v>
      </c>
      <c r="I209" s="27">
        <f t="shared" si="170"/>
        <v>5924.3223106916194</v>
      </c>
      <c r="J209" s="27">
        <f t="shared" si="170"/>
        <v>5924.3219977474673</v>
      </c>
      <c r="K209" s="27">
        <f t="shared" si="170"/>
        <v>5924.3188683695453</v>
      </c>
      <c r="L209" s="27">
        <f t="shared" si="170"/>
        <v>5924.2875809482066</v>
      </c>
      <c r="M209" s="27">
        <f t="shared" si="170"/>
        <v>5923.9753400086183</v>
      </c>
      <c r="N209" s="27">
        <f t="shared" si="170"/>
        <v>5920.9138368299755</v>
      </c>
      <c r="O209" s="27">
        <f t="shared" si="170"/>
        <v>5894.6661148482008</v>
      </c>
      <c r="P209" s="27">
        <f t="shared" si="170"/>
        <v>5762.7236462173323</v>
      </c>
      <c r="Q209" s="27">
        <f t="shared" si="170"/>
        <v>5626.764218344807</v>
      </c>
      <c r="R209" s="27">
        <f t="shared" si="170"/>
        <v>5464.7588765630107</v>
      </c>
      <c r="S209" s="27">
        <f t="shared" si="170"/>
        <v>5280.9324541365149</v>
      </c>
      <c r="T209" s="27">
        <f t="shared" si="170"/>
        <v>5086.7142519895324</v>
      </c>
      <c r="U209" s="27">
        <f t="shared" si="170"/>
        <v>4849.3555941627164</v>
      </c>
      <c r="V209" s="27">
        <f t="shared" si="170"/>
        <v>4554.2643466182999</v>
      </c>
      <c r="W209" s="27">
        <f t="shared" si="170"/>
        <v>4227.5420790213429</v>
      </c>
      <c r="X209" s="27">
        <f t="shared" si="170"/>
        <v>3898.7496335369178</v>
      </c>
      <c r="Y209" s="27">
        <f t="shared" si="170"/>
        <v>3563.9370373420734</v>
      </c>
      <c r="Z209" s="27">
        <f t="shared" si="170"/>
        <v>3221.061263346252</v>
      </c>
      <c r="AA209" s="27">
        <f t="shared" si="170"/>
        <v>2766.7873944653843</v>
      </c>
      <c r="AB209" s="27">
        <f t="shared" si="170"/>
        <v>2266.3435389494639</v>
      </c>
      <c r="AC209" s="27">
        <f t="shared" si="170"/>
        <v>1701.5301246725096</v>
      </c>
      <c r="AD209" s="27">
        <f t="shared" si="170"/>
        <v>1098.9106952059087</v>
      </c>
      <c r="AE209" s="27">
        <f t="shared" si="170"/>
        <v>655.26546741814639</v>
      </c>
      <c r="AF209" s="27">
        <f t="shared" si="170"/>
        <v>367.64549116787651</v>
      </c>
      <c r="AG209" s="27"/>
      <c r="AH209" s="27"/>
    </row>
    <row r="210" spans="1:34" x14ac:dyDescent="0.25">
      <c r="B210" s="3">
        <f t="shared" ref="B210:AF210" si="171">$C18*EXP(-B$207/$A18/EXP(-$D$126))</f>
        <v>3.6190264700123432E-64</v>
      </c>
      <c r="C210" s="3">
        <f t="shared" si="171"/>
        <v>0</v>
      </c>
      <c r="D210" s="3">
        <f t="shared" si="171"/>
        <v>0</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0</v>
      </c>
      <c r="C211" s="3">
        <f t="shared" si="172"/>
        <v>0</v>
      </c>
      <c r="D211" s="3">
        <f t="shared" si="172"/>
        <v>0</v>
      </c>
      <c r="E211" s="3">
        <f t="shared" si="172"/>
        <v>0</v>
      </c>
      <c r="F211" s="3">
        <f t="shared" si="172"/>
        <v>0</v>
      </c>
      <c r="G211" s="3">
        <f t="shared" si="172"/>
        <v>0</v>
      </c>
      <c r="H211" s="3">
        <f t="shared" si="172"/>
        <v>0</v>
      </c>
      <c r="I211" s="3">
        <f t="shared" si="172"/>
        <v>0</v>
      </c>
      <c r="J211" s="3">
        <f t="shared" si="172"/>
        <v>0</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0</v>
      </c>
      <c r="C212" s="3">
        <f t="shared" si="173"/>
        <v>0</v>
      </c>
      <c r="D212" s="3">
        <f t="shared" si="173"/>
        <v>0</v>
      </c>
      <c r="E212" s="3">
        <f t="shared" si="173"/>
        <v>0</v>
      </c>
      <c r="F212" s="3">
        <f t="shared" si="173"/>
        <v>0</v>
      </c>
      <c r="G212" s="3">
        <f t="shared" si="173"/>
        <v>0</v>
      </c>
      <c r="H212" s="3">
        <f t="shared" si="173"/>
        <v>0</v>
      </c>
      <c r="I212" s="3">
        <f t="shared" si="173"/>
        <v>0</v>
      </c>
      <c r="J212" s="3">
        <f t="shared" si="173"/>
        <v>0</v>
      </c>
      <c r="K212" s="3">
        <f t="shared" si="173"/>
        <v>0</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0</v>
      </c>
      <c r="C213" s="3">
        <f t="shared" si="174"/>
        <v>0</v>
      </c>
      <c r="D213" s="3">
        <f t="shared" si="174"/>
        <v>0</v>
      </c>
      <c r="E213" s="3">
        <f t="shared" si="174"/>
        <v>0</v>
      </c>
      <c r="F213" s="3">
        <f t="shared" si="174"/>
        <v>0</v>
      </c>
      <c r="G213" s="3">
        <f t="shared" si="174"/>
        <v>0</v>
      </c>
      <c r="H213" s="3">
        <f t="shared" si="174"/>
        <v>0</v>
      </c>
      <c r="I213" s="3">
        <f t="shared" si="174"/>
        <v>0</v>
      </c>
      <c r="J213" s="3">
        <f t="shared" si="174"/>
        <v>0</v>
      </c>
      <c r="K213" s="3">
        <f t="shared" si="174"/>
        <v>0</v>
      </c>
      <c r="L213" s="3">
        <f t="shared" si="174"/>
        <v>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0</v>
      </c>
      <c r="C214" s="3">
        <f t="shared" si="175"/>
        <v>0</v>
      </c>
      <c r="D214" s="3">
        <f t="shared" si="175"/>
        <v>0</v>
      </c>
      <c r="E214" s="3">
        <f t="shared" si="175"/>
        <v>0</v>
      </c>
      <c r="F214" s="3">
        <f t="shared" si="175"/>
        <v>0</v>
      </c>
      <c r="G214" s="3">
        <f t="shared" si="175"/>
        <v>0</v>
      </c>
      <c r="H214" s="3">
        <f t="shared" si="175"/>
        <v>0</v>
      </c>
      <c r="I214" s="3">
        <f t="shared" si="175"/>
        <v>0</v>
      </c>
      <c r="J214" s="3">
        <f t="shared" si="175"/>
        <v>0</v>
      </c>
      <c r="K214" s="3">
        <f t="shared" si="175"/>
        <v>0</v>
      </c>
      <c r="L214" s="3">
        <f t="shared" si="175"/>
        <v>0</v>
      </c>
      <c r="M214" s="3">
        <f t="shared" si="175"/>
        <v>0</v>
      </c>
      <c r="N214" s="3">
        <f t="shared" si="175"/>
        <v>0</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0</v>
      </c>
      <c r="C215" s="3">
        <f t="shared" si="176"/>
        <v>0</v>
      </c>
      <c r="D215" s="3">
        <f t="shared" si="176"/>
        <v>0</v>
      </c>
      <c r="E215" s="3">
        <f t="shared" si="176"/>
        <v>0</v>
      </c>
      <c r="F215" s="3">
        <f t="shared" si="176"/>
        <v>0</v>
      </c>
      <c r="G215" s="3">
        <f t="shared" si="176"/>
        <v>0</v>
      </c>
      <c r="H215" s="3">
        <f t="shared" si="176"/>
        <v>0</v>
      </c>
      <c r="I215" s="3">
        <f t="shared" si="176"/>
        <v>0</v>
      </c>
      <c r="J215" s="3">
        <f t="shared" si="176"/>
        <v>0</v>
      </c>
      <c r="K215" s="3">
        <f t="shared" si="176"/>
        <v>0</v>
      </c>
      <c r="L215" s="3">
        <f t="shared" si="176"/>
        <v>0</v>
      </c>
      <c r="M215" s="3">
        <f t="shared" si="176"/>
        <v>0</v>
      </c>
      <c r="N215" s="3">
        <f t="shared" si="176"/>
        <v>0</v>
      </c>
      <c r="O215" s="3">
        <f t="shared" si="176"/>
        <v>0</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0</v>
      </c>
      <c r="C216" s="3">
        <f t="shared" si="177"/>
        <v>0</v>
      </c>
      <c r="D216" s="3">
        <f t="shared" si="177"/>
        <v>0</v>
      </c>
      <c r="E216" s="3">
        <f t="shared" si="177"/>
        <v>0</v>
      </c>
      <c r="F216" s="3">
        <f t="shared" si="177"/>
        <v>0</v>
      </c>
      <c r="G216" s="3">
        <f t="shared" si="177"/>
        <v>0</v>
      </c>
      <c r="H216" s="3">
        <f t="shared" si="177"/>
        <v>0</v>
      </c>
      <c r="I216" s="3">
        <f t="shared" si="177"/>
        <v>0</v>
      </c>
      <c r="J216" s="3">
        <f t="shared" si="177"/>
        <v>0</v>
      </c>
      <c r="K216" s="3">
        <f t="shared" si="177"/>
        <v>0</v>
      </c>
      <c r="L216" s="3">
        <f t="shared" si="177"/>
        <v>0</v>
      </c>
      <c r="M216" s="3">
        <f t="shared" si="177"/>
        <v>0</v>
      </c>
      <c r="N216" s="3">
        <f t="shared" si="177"/>
        <v>0</v>
      </c>
      <c r="O216" s="3">
        <f t="shared" si="177"/>
        <v>0</v>
      </c>
      <c r="P216" s="3">
        <f t="shared" si="177"/>
        <v>0</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0</v>
      </c>
      <c r="C217" s="3">
        <f t="shared" si="178"/>
        <v>0</v>
      </c>
      <c r="D217" s="3">
        <f t="shared" si="178"/>
        <v>0</v>
      </c>
      <c r="E217" s="3">
        <f t="shared" si="178"/>
        <v>0</v>
      </c>
      <c r="F217" s="3">
        <f t="shared" si="178"/>
        <v>0</v>
      </c>
      <c r="G217" s="3">
        <f t="shared" si="178"/>
        <v>0</v>
      </c>
      <c r="H217" s="3">
        <f t="shared" si="178"/>
        <v>0</v>
      </c>
      <c r="I217" s="3">
        <f t="shared" si="178"/>
        <v>0</v>
      </c>
      <c r="J217" s="3">
        <f t="shared" si="178"/>
        <v>0</v>
      </c>
      <c r="K217" s="3">
        <f t="shared" si="178"/>
        <v>0</v>
      </c>
      <c r="L217" s="3">
        <f t="shared" si="178"/>
        <v>0</v>
      </c>
      <c r="M217" s="3">
        <f t="shared" si="178"/>
        <v>0</v>
      </c>
      <c r="N217" s="3">
        <f t="shared" si="178"/>
        <v>0</v>
      </c>
      <c r="O217" s="3">
        <f t="shared" si="178"/>
        <v>0</v>
      </c>
      <c r="P217" s="3">
        <f t="shared" si="178"/>
        <v>0</v>
      </c>
      <c r="Q217" s="3">
        <f t="shared" si="178"/>
        <v>0</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0</v>
      </c>
      <c r="C218" s="3">
        <f t="shared" si="179"/>
        <v>0</v>
      </c>
      <c r="D218" s="3">
        <f t="shared" si="179"/>
        <v>0</v>
      </c>
      <c r="E218" s="3">
        <f t="shared" si="179"/>
        <v>0</v>
      </c>
      <c r="F218" s="3">
        <f t="shared" si="179"/>
        <v>0</v>
      </c>
      <c r="G218" s="3">
        <f t="shared" si="179"/>
        <v>0</v>
      </c>
      <c r="H218" s="3">
        <f t="shared" si="179"/>
        <v>0</v>
      </c>
      <c r="I218" s="3">
        <f t="shared" si="179"/>
        <v>0</v>
      </c>
      <c r="J218" s="3">
        <f t="shared" si="179"/>
        <v>0</v>
      </c>
      <c r="K218" s="3">
        <f t="shared" si="179"/>
        <v>0</v>
      </c>
      <c r="L218" s="3">
        <f t="shared" si="179"/>
        <v>0</v>
      </c>
      <c r="M218" s="3">
        <f t="shared" si="179"/>
        <v>0</v>
      </c>
      <c r="N218" s="3">
        <f t="shared" si="179"/>
        <v>0</v>
      </c>
      <c r="O218" s="3">
        <f t="shared" si="179"/>
        <v>0</v>
      </c>
      <c r="P218" s="3">
        <f t="shared" si="179"/>
        <v>0</v>
      </c>
      <c r="Q218" s="3">
        <f t="shared" si="179"/>
        <v>0</v>
      </c>
      <c r="R218" s="3">
        <f t="shared" si="179"/>
        <v>0</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7.2761897872490339E-4</v>
      </c>
      <c r="C219" s="3">
        <f t="shared" si="180"/>
        <v>7.2761897872387947E-4</v>
      </c>
      <c r="D219" s="3">
        <f t="shared" si="180"/>
        <v>7.2761897871364059E-4</v>
      </c>
      <c r="E219" s="3">
        <f t="shared" si="180"/>
        <v>7.276189786112519E-4</v>
      </c>
      <c r="F219" s="3">
        <f t="shared" si="180"/>
        <v>7.2761897758736498E-4</v>
      </c>
      <c r="G219" s="3">
        <f t="shared" si="180"/>
        <v>7.2761896734849544E-4</v>
      </c>
      <c r="H219" s="3">
        <f t="shared" si="180"/>
        <v>7.2761886495980872E-4</v>
      </c>
      <c r="I219" s="3">
        <f t="shared" si="180"/>
        <v>7.2761784107373416E-4</v>
      </c>
      <c r="J219" s="3">
        <f t="shared" si="180"/>
        <v>7.2760760229223043E-4</v>
      </c>
      <c r="K219" s="3">
        <f t="shared" si="180"/>
        <v>7.2750522240106765E-4</v>
      </c>
      <c r="L219" s="3">
        <f t="shared" si="180"/>
        <v>7.264822154644465E-4</v>
      </c>
      <c r="M219" s="3">
        <f t="shared" si="180"/>
        <v>7.1633093280088476E-4</v>
      </c>
      <c r="N219" s="3">
        <f t="shared" si="180"/>
        <v>6.2230155818418899E-4</v>
      </c>
      <c r="O219" s="3">
        <f t="shared" si="180"/>
        <v>1.523606155981201E-4</v>
      </c>
      <c r="P219" s="3">
        <f t="shared" si="180"/>
        <v>1.1792096422539855E-10</v>
      </c>
      <c r="Q219" s="3">
        <f t="shared" si="180"/>
        <v>9.094399992701303E-72</v>
      </c>
      <c r="R219" s="3">
        <f t="shared" si="180"/>
        <v>0</v>
      </c>
      <c r="S219" s="3">
        <f t="shared" si="180"/>
        <v>0</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3.1446025257016577E-2</v>
      </c>
      <c r="C220" s="3">
        <f t="shared" si="181"/>
        <v>3.1446025257012587E-2</v>
      </c>
      <c r="D220" s="3">
        <f t="shared" si="181"/>
        <v>3.1446025256972668E-2</v>
      </c>
      <c r="E220" s="3">
        <f t="shared" si="181"/>
        <v>3.1446025256573501E-2</v>
      </c>
      <c r="F220" s="3">
        <f t="shared" si="181"/>
        <v>3.144602525258177E-2</v>
      </c>
      <c r="G220" s="3">
        <f t="shared" si="181"/>
        <v>3.1446025212664548E-2</v>
      </c>
      <c r="H220" s="3">
        <f t="shared" si="181"/>
        <v>3.1446024813492304E-2</v>
      </c>
      <c r="I220" s="3">
        <f t="shared" si="181"/>
        <v>3.1446020821770122E-2</v>
      </c>
      <c r="J220" s="3">
        <f t="shared" si="181"/>
        <v>3.1445980904576148E-2</v>
      </c>
      <c r="K220" s="3">
        <f t="shared" si="181"/>
        <v>3.1445581735423271E-2</v>
      </c>
      <c r="L220" s="3">
        <f t="shared" si="181"/>
        <v>3.1441590322567582E-2</v>
      </c>
      <c r="M220" s="3">
        <f t="shared" si="181"/>
        <v>3.1401704048230186E-2</v>
      </c>
      <c r="N220" s="3">
        <f t="shared" si="181"/>
        <v>3.1005613688715045E-2</v>
      </c>
      <c r="O220" s="3">
        <f t="shared" si="181"/>
        <v>2.730935774841195E-2</v>
      </c>
      <c r="P220" s="3">
        <f t="shared" si="181"/>
        <v>7.6740219423365218E-3</v>
      </c>
      <c r="Q220" s="3">
        <f t="shared" si="181"/>
        <v>2.3558006445728361E-8</v>
      </c>
      <c r="R220" s="3">
        <f t="shared" si="181"/>
        <v>1.7510297813655705E-63</v>
      </c>
      <c r="S220" s="3">
        <f t="shared" si="181"/>
        <v>0</v>
      </c>
      <c r="T220" s="3">
        <f t="shared" si="181"/>
        <v>0</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1.9599632072183428E-2</v>
      </c>
      <c r="C221" s="3">
        <f t="shared" si="182"/>
        <v>1.9599632072183203E-2</v>
      </c>
      <c r="D221" s="3">
        <f t="shared" si="182"/>
        <v>1.9599632072180958E-2</v>
      </c>
      <c r="E221" s="3">
        <f t="shared" si="182"/>
        <v>1.9599632072158514E-2</v>
      </c>
      <c r="F221" s="3">
        <f t="shared" si="182"/>
        <v>1.9599632071934082E-2</v>
      </c>
      <c r="G221" s="3">
        <f t="shared" si="182"/>
        <v>1.9599632069689739E-2</v>
      </c>
      <c r="H221" s="3">
        <f t="shared" si="182"/>
        <v>1.9599632047246317E-2</v>
      </c>
      <c r="I221" s="3">
        <f t="shared" si="182"/>
        <v>1.9599631822812089E-2</v>
      </c>
      <c r="J221" s="3">
        <f t="shared" si="182"/>
        <v>1.959962957846996E-2</v>
      </c>
      <c r="K221" s="3">
        <f t="shared" si="182"/>
        <v>1.9599607135062806E-2</v>
      </c>
      <c r="L221" s="3">
        <f t="shared" si="182"/>
        <v>1.9599382702404747E-2</v>
      </c>
      <c r="M221" s="3">
        <f t="shared" si="182"/>
        <v>1.9597138517166591E-2</v>
      </c>
      <c r="N221" s="3">
        <f t="shared" si="182"/>
        <v>1.957471079303998E-2</v>
      </c>
      <c r="O221" s="3">
        <f t="shared" si="182"/>
        <v>1.935184040963394E-2</v>
      </c>
      <c r="P221" s="3">
        <f t="shared" si="182"/>
        <v>1.7258039925347572E-2</v>
      </c>
      <c r="Q221" s="3">
        <f t="shared" si="182"/>
        <v>5.4914043657673262E-3</v>
      </c>
      <c r="R221" s="3">
        <f t="shared" si="182"/>
        <v>5.8425572616074312E-8</v>
      </c>
      <c r="S221" s="3">
        <f t="shared" si="182"/>
        <v>1.0859216858672089E-57</v>
      </c>
      <c r="T221" s="3">
        <f t="shared" si="182"/>
        <v>0</v>
      </c>
      <c r="U221" s="3">
        <f t="shared" si="182"/>
        <v>0</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3.251621456449303E-2</v>
      </c>
      <c r="C222" s="3">
        <f t="shared" si="183"/>
        <v>3.2516214564493003E-2</v>
      </c>
      <c r="D222" s="3">
        <f t="shared" si="183"/>
        <v>3.2516214564492663E-2</v>
      </c>
      <c r="E222" s="3">
        <f t="shared" si="183"/>
        <v>3.2516214564489304E-2</v>
      </c>
      <c r="F222" s="3">
        <f t="shared" si="183"/>
        <v>3.251621456445572E-2</v>
      </c>
      <c r="G222" s="3">
        <f t="shared" si="183"/>
        <v>3.2516214564119836E-2</v>
      </c>
      <c r="H222" s="3">
        <f t="shared" si="183"/>
        <v>3.2516214560761009E-2</v>
      </c>
      <c r="I222" s="3">
        <f t="shared" si="183"/>
        <v>3.2516214527172731E-2</v>
      </c>
      <c r="J222" s="3">
        <f t="shared" si="183"/>
        <v>3.2516214191289944E-2</v>
      </c>
      <c r="K222" s="3">
        <f t="shared" si="183"/>
        <v>3.2516210832462311E-2</v>
      </c>
      <c r="L222" s="3">
        <f t="shared" si="183"/>
        <v>3.2516177244205059E-2</v>
      </c>
      <c r="M222" s="3">
        <f t="shared" si="183"/>
        <v>3.2515841363540778E-2</v>
      </c>
      <c r="N222" s="3">
        <f t="shared" si="183"/>
        <v>3.2512482747716134E-2</v>
      </c>
      <c r="O222" s="3">
        <f t="shared" si="183"/>
        <v>3.2478915663996959E-2</v>
      </c>
      <c r="P222" s="3">
        <f t="shared" si="183"/>
        <v>3.2145145009366452E-2</v>
      </c>
      <c r="Q222" s="3">
        <f t="shared" si="183"/>
        <v>2.8990390571385277E-2</v>
      </c>
      <c r="R222" s="3">
        <f t="shared" si="183"/>
        <v>1.0319076641094414E-2</v>
      </c>
      <c r="S222" s="3">
        <f t="shared" si="183"/>
        <v>3.3690585168371425E-7</v>
      </c>
      <c r="T222" s="3">
        <f t="shared" si="183"/>
        <v>4.6364514516752158E-52</v>
      </c>
      <c r="U222" s="3">
        <f t="shared" si="183"/>
        <v>0</v>
      </c>
      <c r="V222" s="3">
        <f t="shared" si="183"/>
        <v>0</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3.2163923063268561E-2</v>
      </c>
      <c r="C223" s="3">
        <f t="shared" si="184"/>
        <v>3.2163923063268554E-2</v>
      </c>
      <c r="D223" s="3">
        <f t="shared" si="184"/>
        <v>3.2163923063268526E-2</v>
      </c>
      <c r="E223" s="3">
        <f t="shared" si="184"/>
        <v>3.2163923063268228E-2</v>
      </c>
      <c r="F223" s="3">
        <f t="shared" si="184"/>
        <v>3.216392306326523E-2</v>
      </c>
      <c r="G223" s="3">
        <f t="shared" si="184"/>
        <v>3.2163923063235261E-2</v>
      </c>
      <c r="H223" s="3">
        <f t="shared" si="184"/>
        <v>3.216392306293555E-2</v>
      </c>
      <c r="I223" s="3">
        <f t="shared" si="184"/>
        <v>3.2163923059938433E-2</v>
      </c>
      <c r="J223" s="3">
        <f t="shared" si="184"/>
        <v>3.2163923029967283E-2</v>
      </c>
      <c r="K223" s="3">
        <f t="shared" si="184"/>
        <v>3.2163922730255812E-2</v>
      </c>
      <c r="L223" s="3">
        <f t="shared" si="184"/>
        <v>3.2163919733141241E-2</v>
      </c>
      <c r="M223" s="3">
        <f t="shared" si="184"/>
        <v>3.2163889762010893E-2</v>
      </c>
      <c r="N223" s="3">
        <f t="shared" si="184"/>
        <v>3.2163590052243417E-2</v>
      </c>
      <c r="O223" s="3">
        <f t="shared" si="184"/>
        <v>3.2160593108166005E-2</v>
      </c>
      <c r="P223" s="3">
        <f t="shared" si="184"/>
        <v>3.213063902183453E-2</v>
      </c>
      <c r="Q223" s="3">
        <f t="shared" si="184"/>
        <v>3.1832628322116828E-2</v>
      </c>
      <c r="R223" s="3">
        <f t="shared" si="184"/>
        <v>2.9000390987346612E-2</v>
      </c>
      <c r="S223" s="3">
        <f t="shared" si="184"/>
        <v>1.1421348940717037E-2</v>
      </c>
      <c r="T223" s="3">
        <f t="shared" si="184"/>
        <v>1.0253045152471158E-6</v>
      </c>
      <c r="U223" s="3">
        <f t="shared" si="184"/>
        <v>3.4850384008169812E-47</v>
      </c>
      <c r="V223" s="3">
        <f t="shared" si="184"/>
        <v>0</v>
      </c>
      <c r="W223" s="3">
        <f t="shared" si="184"/>
        <v>0</v>
      </c>
      <c r="X223" s="3">
        <f t="shared" si="184"/>
        <v>0</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3.3900572605001088E-2</v>
      </c>
      <c r="C224" s="3">
        <f t="shared" si="185"/>
        <v>3.3900572605001088E-2</v>
      </c>
      <c r="D224" s="3">
        <f t="shared" si="185"/>
        <v>3.3900572605001081E-2</v>
      </c>
      <c r="E224" s="3">
        <f t="shared" si="185"/>
        <v>3.390057260500106E-2</v>
      </c>
      <c r="F224" s="3">
        <f t="shared" si="185"/>
        <v>3.3900572605000769E-2</v>
      </c>
      <c r="G224" s="3">
        <f t="shared" si="185"/>
        <v>3.3900572604997924E-2</v>
      </c>
      <c r="H224" s="3">
        <f t="shared" si="185"/>
        <v>3.3900572604969426E-2</v>
      </c>
      <c r="I224" s="3">
        <f t="shared" si="185"/>
        <v>3.3900572604684459E-2</v>
      </c>
      <c r="J224" s="3">
        <f t="shared" si="185"/>
        <v>3.3900572601834836E-2</v>
      </c>
      <c r="K224" s="3">
        <f t="shared" si="185"/>
        <v>3.3900572573338568E-2</v>
      </c>
      <c r="L224" s="3">
        <f t="shared" si="185"/>
        <v>3.3900572288375896E-2</v>
      </c>
      <c r="M224" s="3">
        <f t="shared" si="185"/>
        <v>3.3900569438749285E-2</v>
      </c>
      <c r="N224" s="3">
        <f t="shared" si="185"/>
        <v>3.3900540942496352E-2</v>
      </c>
      <c r="O224" s="3">
        <f t="shared" si="185"/>
        <v>3.3900255981284509E-2</v>
      </c>
      <c r="P224" s="3">
        <f t="shared" si="185"/>
        <v>3.3897406500905745E-2</v>
      </c>
      <c r="Q224" s="3">
        <f t="shared" si="185"/>
        <v>3.3868924866989836E-2</v>
      </c>
      <c r="R224" s="3">
        <f t="shared" si="185"/>
        <v>3.3585421428155286E-2</v>
      </c>
      <c r="S224" s="3">
        <f t="shared" si="185"/>
        <v>3.087768393518794E-2</v>
      </c>
      <c r="T224" s="3">
        <f t="shared" si="185"/>
        <v>1.3322442980354879E-2</v>
      </c>
      <c r="U224" s="3">
        <f t="shared" si="185"/>
        <v>2.9783477011643198E-6</v>
      </c>
      <c r="V224" s="3">
        <f t="shared" si="185"/>
        <v>9.2873255189635173E-43</v>
      </c>
      <c r="W224" s="3">
        <f t="shared" si="185"/>
        <v>0</v>
      </c>
      <c r="X224" s="3">
        <f t="shared" si="185"/>
        <v>0</v>
      </c>
      <c r="Y224" s="3">
        <f t="shared" si="185"/>
        <v>0</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4.6234934193755559E-2</v>
      </c>
      <c r="C225" s="3">
        <f t="shared" si="186"/>
        <v>4.6234934193755559E-2</v>
      </c>
      <c r="D225" s="3">
        <f t="shared" si="186"/>
        <v>4.6234934193755559E-2</v>
      </c>
      <c r="E225" s="3">
        <f t="shared" si="186"/>
        <v>4.6234934193755552E-2</v>
      </c>
      <c r="F225" s="3">
        <f t="shared" si="186"/>
        <v>4.6234934193755517E-2</v>
      </c>
      <c r="G225" s="3">
        <f t="shared" si="186"/>
        <v>4.623493419375517E-2</v>
      </c>
      <c r="H225" s="3">
        <f t="shared" si="186"/>
        <v>4.6234934193751666E-2</v>
      </c>
      <c r="I225" s="3">
        <f t="shared" si="186"/>
        <v>4.6234934193716604E-2</v>
      </c>
      <c r="J225" s="3">
        <f t="shared" si="186"/>
        <v>4.6234934193366016E-2</v>
      </c>
      <c r="K225" s="3">
        <f t="shared" si="186"/>
        <v>4.6234934189860133E-2</v>
      </c>
      <c r="L225" s="3">
        <f t="shared" si="186"/>
        <v>4.6234934154801267E-2</v>
      </c>
      <c r="M225" s="3">
        <f t="shared" si="186"/>
        <v>4.6234933804212681E-2</v>
      </c>
      <c r="N225" s="3">
        <f t="shared" si="186"/>
        <v>4.6234930298326919E-2</v>
      </c>
      <c r="O225" s="3">
        <f t="shared" si="186"/>
        <v>4.623489523948391E-2</v>
      </c>
      <c r="P225" s="3">
        <f t="shared" si="186"/>
        <v>4.6234544652515953E-2</v>
      </c>
      <c r="Q225" s="3">
        <f t="shared" si="186"/>
        <v>4.6231038929045551E-2</v>
      </c>
      <c r="R225" s="3">
        <f t="shared" si="186"/>
        <v>4.6195996311152468E-2</v>
      </c>
      <c r="S225" s="3">
        <f t="shared" si="186"/>
        <v>4.5847027720696078E-2</v>
      </c>
      <c r="T225" s="3">
        <f t="shared" si="186"/>
        <v>4.2499092844919192E-2</v>
      </c>
      <c r="U225" s="3">
        <f t="shared" si="186"/>
        <v>1.9909685765576113E-2</v>
      </c>
      <c r="V225" s="3">
        <f t="shared" si="186"/>
        <v>1.0137056373014129E-5</v>
      </c>
      <c r="W225" s="3">
        <f t="shared" si="186"/>
        <v>1.1868242785706465E-38</v>
      </c>
      <c r="X225" s="3">
        <f t="shared" si="186"/>
        <v>0</v>
      </c>
      <c r="Y225" s="3">
        <f t="shared" si="186"/>
        <v>0</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5.6671396993887152E-2</v>
      </c>
      <c r="C226" s="3">
        <f t="shared" si="187"/>
        <v>5.6671396993887152E-2</v>
      </c>
      <c r="D226" s="3">
        <f t="shared" si="187"/>
        <v>5.6671396993887152E-2</v>
      </c>
      <c r="E226" s="3">
        <f t="shared" si="187"/>
        <v>5.6671396993887152E-2</v>
      </c>
      <c r="F226" s="3">
        <f t="shared" si="187"/>
        <v>5.6671396993887145E-2</v>
      </c>
      <c r="G226" s="3">
        <f t="shared" si="187"/>
        <v>5.667139699388711E-2</v>
      </c>
      <c r="H226" s="3">
        <f t="shared" si="187"/>
        <v>5.6671396993886722E-2</v>
      </c>
      <c r="I226" s="3">
        <f t="shared" si="187"/>
        <v>5.6671396993882843E-2</v>
      </c>
      <c r="J226" s="3">
        <f t="shared" si="187"/>
        <v>5.6671396993844075E-2</v>
      </c>
      <c r="K226" s="3">
        <f t="shared" si="187"/>
        <v>5.6671396993456427E-2</v>
      </c>
      <c r="L226" s="3">
        <f t="shared" si="187"/>
        <v>5.6671396989579945E-2</v>
      </c>
      <c r="M226" s="3">
        <f t="shared" si="187"/>
        <v>5.6671396950815099E-2</v>
      </c>
      <c r="N226" s="3">
        <f t="shared" si="187"/>
        <v>5.6671396563166665E-2</v>
      </c>
      <c r="O226" s="3">
        <f t="shared" si="187"/>
        <v>5.6671392686682372E-2</v>
      </c>
      <c r="P226" s="3">
        <f t="shared" si="187"/>
        <v>5.6671353921854052E-2</v>
      </c>
      <c r="Q226" s="3">
        <f t="shared" si="187"/>
        <v>5.6670966275029232E-2</v>
      </c>
      <c r="R226" s="3">
        <f t="shared" si="187"/>
        <v>5.6667089952616385E-2</v>
      </c>
      <c r="S226" s="3">
        <f t="shared" si="187"/>
        <v>5.6628341308327314E-2</v>
      </c>
      <c r="T226" s="3">
        <f t="shared" si="187"/>
        <v>5.624230916610444E-2</v>
      </c>
      <c r="U226" s="3">
        <f t="shared" si="187"/>
        <v>5.2523803490368198E-2</v>
      </c>
      <c r="V226" s="3">
        <f t="shared" si="187"/>
        <v>2.6502473685189726E-2</v>
      </c>
      <c r="W226" s="3">
        <f t="shared" si="187"/>
        <v>2.8352336417674323E-5</v>
      </c>
      <c r="X226" s="3">
        <f t="shared" si="187"/>
        <v>5.5668980493266527E-35</v>
      </c>
      <c r="Y226" s="3">
        <f t="shared" si="187"/>
        <v>0</v>
      </c>
      <c r="Z226" s="3">
        <f t="shared" si="187"/>
        <v>0</v>
      </c>
      <c r="AA226" s="3">
        <f t="shared" si="187"/>
        <v>0</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5.870573738309863E-2</v>
      </c>
      <c r="C227" s="3">
        <f t="shared" si="188"/>
        <v>5.870573738309863E-2</v>
      </c>
      <c r="D227" s="3">
        <f t="shared" si="188"/>
        <v>5.870573738309863E-2</v>
      </c>
      <c r="E227" s="3">
        <f t="shared" si="188"/>
        <v>5.870573738309863E-2</v>
      </c>
      <c r="F227" s="3">
        <f t="shared" si="188"/>
        <v>5.870573738309863E-2</v>
      </c>
      <c r="G227" s="3">
        <f t="shared" si="188"/>
        <v>5.8705737383098623E-2</v>
      </c>
      <c r="H227" s="3">
        <f t="shared" si="188"/>
        <v>5.8705737383098588E-2</v>
      </c>
      <c r="I227" s="3">
        <f t="shared" si="188"/>
        <v>5.8705737383098228E-2</v>
      </c>
      <c r="J227" s="3">
        <f t="shared" si="188"/>
        <v>5.8705737383094606E-2</v>
      </c>
      <c r="K227" s="3">
        <f t="shared" si="188"/>
        <v>5.8705737383058385E-2</v>
      </c>
      <c r="L227" s="3">
        <f t="shared" si="188"/>
        <v>5.870573738269614E-2</v>
      </c>
      <c r="M227" s="3">
        <f t="shared" si="188"/>
        <v>5.8705737379073697E-2</v>
      </c>
      <c r="N227" s="3">
        <f t="shared" si="188"/>
        <v>5.8705737342849292E-2</v>
      </c>
      <c r="O227" s="3">
        <f t="shared" si="188"/>
        <v>5.8705736980605237E-2</v>
      </c>
      <c r="P227" s="3">
        <f t="shared" si="188"/>
        <v>5.8705733358164827E-2</v>
      </c>
      <c r="Q227" s="3">
        <f t="shared" si="188"/>
        <v>5.8705697133773015E-2</v>
      </c>
      <c r="R227" s="3">
        <f t="shared" si="188"/>
        <v>5.8705334891084288E-2</v>
      </c>
      <c r="S227" s="3">
        <f t="shared" si="188"/>
        <v>5.8701712587131437E-2</v>
      </c>
      <c r="T227" s="3">
        <f t="shared" si="188"/>
        <v>5.8665501838243296E-2</v>
      </c>
      <c r="U227" s="3">
        <f t="shared" si="188"/>
        <v>5.8304620611960178E-2</v>
      </c>
      <c r="V227" s="3">
        <f t="shared" si="188"/>
        <v>5.4815680554137193E-2</v>
      </c>
      <c r="W227" s="3">
        <f t="shared" si="188"/>
        <v>2.9574892640663694E-2</v>
      </c>
      <c r="X227" s="3">
        <f t="shared" si="188"/>
        <v>6.1816845697489311E-5</v>
      </c>
      <c r="Y227" s="3">
        <f t="shared" si="188"/>
        <v>9.8388305335325551E-32</v>
      </c>
      <c r="Z227" s="3">
        <f t="shared" si="188"/>
        <v>1.0263840047480318E-299</v>
      </c>
      <c r="AA227" s="3">
        <f t="shared" si="188"/>
        <v>0</v>
      </c>
      <c r="AB227" s="3">
        <f t="shared" si="188"/>
        <v>0</v>
      </c>
      <c r="AC227" s="3">
        <f t="shared" si="188"/>
        <v>0</v>
      </c>
      <c r="AD227" s="3">
        <f t="shared" si="188"/>
        <v>0</v>
      </c>
      <c r="AE227" s="3">
        <f t="shared" si="188"/>
        <v>0</v>
      </c>
      <c r="AF227" s="3">
        <f t="shared" si="188"/>
        <v>0</v>
      </c>
      <c r="AG227" s="3"/>
      <c r="AH227" s="3"/>
    </row>
    <row r="228" spans="2:34" x14ac:dyDescent="0.25">
      <c r="B228" s="3">
        <f t="shared" ref="B228:AF228" si="189">$C36*EXP(-B$207/$A36/EXP(-$D$126))</f>
        <v>5.620235606497212E-2</v>
      </c>
      <c r="C228" s="3">
        <f t="shared" si="189"/>
        <v>5.620235606497212E-2</v>
      </c>
      <c r="D228" s="3">
        <f t="shared" si="189"/>
        <v>5.620235606497212E-2</v>
      </c>
      <c r="E228" s="3">
        <f t="shared" si="189"/>
        <v>5.620235606497212E-2</v>
      </c>
      <c r="F228" s="3">
        <f t="shared" si="189"/>
        <v>5.620235606497212E-2</v>
      </c>
      <c r="G228" s="3">
        <f t="shared" si="189"/>
        <v>5.620235606497212E-2</v>
      </c>
      <c r="H228" s="3">
        <f t="shared" si="189"/>
        <v>5.6202356064972113E-2</v>
      </c>
      <c r="I228" s="3">
        <f t="shared" si="189"/>
        <v>5.6202356064972085E-2</v>
      </c>
      <c r="J228" s="3">
        <f t="shared" si="189"/>
        <v>5.6202356064971773E-2</v>
      </c>
      <c r="K228" s="3">
        <f t="shared" si="189"/>
        <v>5.6202356064968644E-2</v>
      </c>
      <c r="L228" s="3">
        <f t="shared" si="189"/>
        <v>5.6202356064937356E-2</v>
      </c>
      <c r="M228" s="3">
        <f t="shared" si="189"/>
        <v>5.6202356064624516E-2</v>
      </c>
      <c r="N228" s="3">
        <f t="shared" si="189"/>
        <v>5.6202356061496123E-2</v>
      </c>
      <c r="O228" s="3">
        <f t="shared" si="189"/>
        <v>5.6202356030212154E-2</v>
      </c>
      <c r="P228" s="3">
        <f t="shared" si="189"/>
        <v>5.6202355717372483E-2</v>
      </c>
      <c r="Q228" s="3">
        <f t="shared" si="189"/>
        <v>5.6202352588975796E-2</v>
      </c>
      <c r="R228" s="3">
        <f t="shared" si="189"/>
        <v>5.620232130501851E-2</v>
      </c>
      <c r="S228" s="3">
        <f t="shared" si="189"/>
        <v>5.6202008466403441E-2</v>
      </c>
      <c r="T228" s="3">
        <f t="shared" si="189"/>
        <v>5.6198880176025486E-2</v>
      </c>
      <c r="U228" s="3">
        <f t="shared" si="189"/>
        <v>5.6167606847547326E-2</v>
      </c>
      <c r="V228" s="3">
        <f t="shared" si="189"/>
        <v>5.5855829123771641E-2</v>
      </c>
      <c r="W228" s="3">
        <f t="shared" si="189"/>
        <v>5.2831668934466336E-2</v>
      </c>
      <c r="X228" s="3">
        <f t="shared" si="189"/>
        <v>3.0279772138329265E-2</v>
      </c>
      <c r="Y228" s="3">
        <f t="shared" si="189"/>
        <v>1.1580713787067057E-4</v>
      </c>
      <c r="Z228" s="3">
        <f t="shared" si="189"/>
        <v>7.7546568507977925E-29</v>
      </c>
      <c r="AA228" s="3">
        <f t="shared" si="189"/>
        <v>1.4055139123178386E-270</v>
      </c>
      <c r="AB228" s="3">
        <f t="shared" si="189"/>
        <v>0</v>
      </c>
      <c r="AC228" s="3">
        <f t="shared" si="189"/>
        <v>0</v>
      </c>
      <c r="AD228" s="3">
        <f t="shared" si="189"/>
        <v>0</v>
      </c>
      <c r="AE228" s="3">
        <f t="shared" si="189"/>
        <v>0</v>
      </c>
      <c r="AF228" s="3">
        <f t="shared" si="189"/>
        <v>0</v>
      </c>
      <c r="AG228" s="3"/>
      <c r="AH228" s="3"/>
    </row>
    <row r="229" spans="2:34" x14ac:dyDescent="0.25">
      <c r="B229" s="3">
        <f t="shared" ref="B229:AF229" si="190">$C37*EXP(-B$207/$A37/EXP(-$D$126))</f>
        <v>6.3415296184233166E-2</v>
      </c>
      <c r="C229" s="3">
        <f t="shared" si="190"/>
        <v>6.3415296184233166E-2</v>
      </c>
      <c r="D229" s="3">
        <f t="shared" si="190"/>
        <v>6.3415296184233166E-2</v>
      </c>
      <c r="E229" s="3">
        <f t="shared" si="190"/>
        <v>6.3415296184233166E-2</v>
      </c>
      <c r="F229" s="3">
        <f t="shared" si="190"/>
        <v>6.3415296184233166E-2</v>
      </c>
      <c r="G229" s="3">
        <f t="shared" si="190"/>
        <v>6.3415296184233166E-2</v>
      </c>
      <c r="H229" s="3">
        <f t="shared" si="190"/>
        <v>6.3415296184233166E-2</v>
      </c>
      <c r="I229" s="3">
        <f t="shared" si="190"/>
        <v>6.3415296184233153E-2</v>
      </c>
      <c r="J229" s="3">
        <f t="shared" si="190"/>
        <v>6.3415296184233125E-2</v>
      </c>
      <c r="K229" s="3">
        <f t="shared" si="190"/>
        <v>6.3415296184232819E-2</v>
      </c>
      <c r="L229" s="3">
        <f t="shared" si="190"/>
        <v>6.3415296184229628E-2</v>
      </c>
      <c r="M229" s="3">
        <f t="shared" si="190"/>
        <v>6.3415296184197792E-2</v>
      </c>
      <c r="N229" s="3">
        <f t="shared" si="190"/>
        <v>6.3415296183879366E-2</v>
      </c>
      <c r="O229" s="3">
        <f t="shared" si="190"/>
        <v>6.3415296180695108E-2</v>
      </c>
      <c r="P229" s="3">
        <f t="shared" si="190"/>
        <v>6.3415296148852551E-2</v>
      </c>
      <c r="Q229" s="3">
        <f t="shared" si="190"/>
        <v>6.3415295830426988E-2</v>
      </c>
      <c r="R229" s="3">
        <f t="shared" si="190"/>
        <v>6.3415292646171448E-2</v>
      </c>
      <c r="S229" s="3">
        <f t="shared" si="190"/>
        <v>6.3415260803624876E-2</v>
      </c>
      <c r="T229" s="3">
        <f t="shared" si="190"/>
        <v>6.3414942379038525E-2</v>
      </c>
      <c r="U229" s="3">
        <f t="shared" si="190"/>
        <v>6.3411758221112752E-2</v>
      </c>
      <c r="V229" s="3">
        <f t="shared" si="190"/>
        <v>6.3379925434000631E-2</v>
      </c>
      <c r="W229" s="3">
        <f t="shared" si="190"/>
        <v>6.3062475146156871E-2</v>
      </c>
      <c r="X229" s="3">
        <f t="shared" si="190"/>
        <v>5.9974121825824803E-2</v>
      </c>
      <c r="Y229" s="3">
        <f t="shared" si="190"/>
        <v>3.62988401547929E-2</v>
      </c>
      <c r="Z229" s="3">
        <f t="shared" si="190"/>
        <v>2.394314839275621E-4</v>
      </c>
      <c r="AA229" s="3">
        <f t="shared" si="190"/>
        <v>3.7330718171809497E-26</v>
      </c>
      <c r="AB229" s="3">
        <f t="shared" si="190"/>
        <v>3.1689634002078192E-244</v>
      </c>
      <c r="AC229" s="3">
        <f t="shared" si="190"/>
        <v>0</v>
      </c>
      <c r="AD229" s="3">
        <f t="shared" si="190"/>
        <v>0</v>
      </c>
      <c r="AE229" s="3">
        <f t="shared" si="190"/>
        <v>0</v>
      </c>
      <c r="AF229" s="3">
        <f t="shared" si="190"/>
        <v>0</v>
      </c>
      <c r="AG229" s="3"/>
      <c r="AH229" s="3"/>
    </row>
    <row r="230" spans="2:34" x14ac:dyDescent="0.25">
      <c r="B230" s="3">
        <f t="shared" ref="B230:AF230" si="191">$C38*EXP(-B$207/$A38/EXP(-$D$126))</f>
        <v>3.5348869965799563E-2</v>
      </c>
      <c r="C230" s="3">
        <f t="shared" si="191"/>
        <v>3.5348869965799563E-2</v>
      </c>
      <c r="D230" s="3">
        <f t="shared" si="191"/>
        <v>3.5348869965799563E-2</v>
      </c>
      <c r="E230" s="3">
        <f t="shared" si="191"/>
        <v>3.5348869965799563E-2</v>
      </c>
      <c r="F230" s="3">
        <f t="shared" si="191"/>
        <v>3.5348869965799563E-2</v>
      </c>
      <c r="G230" s="3">
        <f t="shared" si="191"/>
        <v>3.5348869965799563E-2</v>
      </c>
      <c r="H230" s="3">
        <f t="shared" si="191"/>
        <v>3.5348869965799563E-2</v>
      </c>
      <c r="I230" s="3">
        <f t="shared" si="191"/>
        <v>3.5348869965799563E-2</v>
      </c>
      <c r="J230" s="3">
        <f t="shared" si="191"/>
        <v>3.5348869965799563E-2</v>
      </c>
      <c r="K230" s="3">
        <f t="shared" si="191"/>
        <v>3.5348869965799543E-2</v>
      </c>
      <c r="L230" s="3">
        <f t="shared" si="191"/>
        <v>3.534886996579939E-2</v>
      </c>
      <c r="M230" s="3">
        <f t="shared" si="191"/>
        <v>3.5348869965797787E-2</v>
      </c>
      <c r="N230" s="3">
        <f t="shared" si="191"/>
        <v>3.5348869965781772E-2</v>
      </c>
      <c r="O230" s="3">
        <f t="shared" si="191"/>
        <v>3.5348869965621657E-2</v>
      </c>
      <c r="P230" s="3">
        <f t="shared" si="191"/>
        <v>3.5348869964020493E-2</v>
      </c>
      <c r="Q230" s="3">
        <f t="shared" si="191"/>
        <v>3.5348869948008843E-2</v>
      </c>
      <c r="R230" s="3">
        <f t="shared" si="191"/>
        <v>3.5348869787892367E-2</v>
      </c>
      <c r="S230" s="3">
        <f t="shared" si="191"/>
        <v>3.5348868186727639E-2</v>
      </c>
      <c r="T230" s="3">
        <f t="shared" si="191"/>
        <v>3.534885217508435E-2</v>
      </c>
      <c r="U230" s="3">
        <f t="shared" si="191"/>
        <v>3.5348692059050321E-2</v>
      </c>
      <c r="V230" s="3">
        <f t="shared" si="191"/>
        <v>3.5347090938598891E-2</v>
      </c>
      <c r="W230" s="3">
        <f t="shared" si="191"/>
        <v>3.5331083722297506E-2</v>
      </c>
      <c r="X230" s="3">
        <f t="shared" si="191"/>
        <v>3.51714097129796E-2</v>
      </c>
      <c r="Y230" s="3">
        <f t="shared" si="191"/>
        <v>3.3613825709674847E-2</v>
      </c>
      <c r="Z230" s="3">
        <f t="shared" si="191"/>
        <v>2.1369759060346005E-2</v>
      </c>
      <c r="AA230" s="3">
        <f t="shared" si="191"/>
        <v>2.3047108311052483E-4</v>
      </c>
      <c r="AB230" s="3">
        <f t="shared" si="191"/>
        <v>4.9066447435727837E-24</v>
      </c>
      <c r="AC230" s="3">
        <f t="shared" si="191"/>
        <v>9.3856927946245317E-221</v>
      </c>
      <c r="AD230" s="3">
        <f t="shared" si="191"/>
        <v>0</v>
      </c>
      <c r="AE230" s="3">
        <f t="shared" si="191"/>
        <v>0</v>
      </c>
      <c r="AF230" s="3">
        <f t="shared" si="191"/>
        <v>0</v>
      </c>
      <c r="AG230" s="3"/>
      <c r="AH230" s="3"/>
    </row>
    <row r="231" spans="2:34" x14ac:dyDescent="0.25">
      <c r="B231" s="3">
        <f t="shared" ref="B231:AF231" si="192">$C39*EXP(-B$207/$A39/EXP(-$D$126))</f>
        <v>7.0460456800535406E-2</v>
      </c>
      <c r="C231" s="3">
        <f t="shared" si="192"/>
        <v>7.0460456800535406E-2</v>
      </c>
      <c r="D231" s="3">
        <f t="shared" si="192"/>
        <v>7.0460456800535406E-2</v>
      </c>
      <c r="E231" s="3">
        <f t="shared" si="192"/>
        <v>7.0460456800535406E-2</v>
      </c>
      <c r="F231" s="3">
        <f t="shared" si="192"/>
        <v>7.0460456800535406E-2</v>
      </c>
      <c r="G231" s="3">
        <f t="shared" si="192"/>
        <v>7.0460456800535406E-2</v>
      </c>
      <c r="H231" s="3">
        <f t="shared" si="192"/>
        <v>7.0460456800535406E-2</v>
      </c>
      <c r="I231" s="3">
        <f t="shared" si="192"/>
        <v>7.0460456800535406E-2</v>
      </c>
      <c r="J231" s="3">
        <f t="shared" si="192"/>
        <v>7.0460456800535406E-2</v>
      </c>
      <c r="K231" s="3">
        <f t="shared" si="192"/>
        <v>7.0460456800535393E-2</v>
      </c>
      <c r="L231" s="3">
        <f t="shared" si="192"/>
        <v>7.0460456800535309E-2</v>
      </c>
      <c r="M231" s="3">
        <f t="shared" si="192"/>
        <v>7.0460456800534435E-2</v>
      </c>
      <c r="N231" s="3">
        <f t="shared" si="192"/>
        <v>7.0460456800525595E-2</v>
      </c>
      <c r="O231" s="3">
        <f t="shared" si="192"/>
        <v>7.0460456800437332E-2</v>
      </c>
      <c r="P231" s="3">
        <f t="shared" si="192"/>
        <v>7.0460456799554608E-2</v>
      </c>
      <c r="Q231" s="3">
        <f t="shared" si="192"/>
        <v>7.0460456790727502E-2</v>
      </c>
      <c r="R231" s="3">
        <f t="shared" si="192"/>
        <v>7.0460456702456348E-2</v>
      </c>
      <c r="S231" s="3">
        <f t="shared" si="192"/>
        <v>7.0460455819744805E-2</v>
      </c>
      <c r="T231" s="3">
        <f t="shared" si="192"/>
        <v>7.0460446992630002E-2</v>
      </c>
      <c r="U231" s="3">
        <f t="shared" si="192"/>
        <v>7.0460358721542854E-2</v>
      </c>
      <c r="V231" s="3">
        <f t="shared" si="192"/>
        <v>7.0459476016753425E-2</v>
      </c>
      <c r="W231" s="3">
        <f t="shared" si="192"/>
        <v>7.0450649577039587E-2</v>
      </c>
      <c r="X231" s="3">
        <f t="shared" si="192"/>
        <v>7.0362445969768747E-2</v>
      </c>
      <c r="Y231" s="3">
        <f t="shared" si="192"/>
        <v>6.9486460800245051E-2</v>
      </c>
      <c r="Z231" s="3">
        <f t="shared" si="192"/>
        <v>6.1304567179328952E-2</v>
      </c>
      <c r="AA231" s="3">
        <f t="shared" si="192"/>
        <v>1.7515365973557399E-2</v>
      </c>
      <c r="AB231" s="3">
        <f t="shared" si="192"/>
        <v>6.3486746452337071E-8</v>
      </c>
      <c r="AC231" s="3">
        <f t="shared" si="192"/>
        <v>2.4849726940822186E-62</v>
      </c>
      <c r="AD231" s="3">
        <f t="shared" si="192"/>
        <v>0</v>
      </c>
      <c r="AE231" s="3">
        <f t="shared" si="192"/>
        <v>0</v>
      </c>
      <c r="AF231" s="3">
        <f t="shared" si="192"/>
        <v>0</v>
      </c>
      <c r="AG231" s="3"/>
      <c r="AH231" s="3"/>
    </row>
    <row r="232" spans="2:34" x14ac:dyDescent="0.25">
      <c r="B232" s="3">
        <f t="shared" ref="B232:AF232" si="193">$C40*EXP(-B$207/$A40/EXP(-$D$126))</f>
        <v>8.6875447409324694E-2</v>
      </c>
      <c r="C232" s="3">
        <f t="shared" si="193"/>
        <v>8.6875447409324694E-2</v>
      </c>
      <c r="D232" s="3">
        <f t="shared" si="193"/>
        <v>8.6875447409324694E-2</v>
      </c>
      <c r="E232" s="3">
        <f t="shared" si="193"/>
        <v>8.6875447409324694E-2</v>
      </c>
      <c r="F232" s="3">
        <f t="shared" si="193"/>
        <v>8.6875447409324694E-2</v>
      </c>
      <c r="G232" s="3">
        <f t="shared" si="193"/>
        <v>8.6875447409324694E-2</v>
      </c>
      <c r="H232" s="3">
        <f t="shared" si="193"/>
        <v>8.6875447409324694E-2</v>
      </c>
      <c r="I232" s="3">
        <f t="shared" si="193"/>
        <v>8.6875447409324694E-2</v>
      </c>
      <c r="J232" s="3">
        <f t="shared" si="193"/>
        <v>8.6875447409324694E-2</v>
      </c>
      <c r="K232" s="3">
        <f t="shared" si="193"/>
        <v>8.6875447409324694E-2</v>
      </c>
      <c r="L232" s="3">
        <f t="shared" si="193"/>
        <v>8.687544740932468E-2</v>
      </c>
      <c r="M232" s="3">
        <f t="shared" si="193"/>
        <v>8.6875447409324569E-2</v>
      </c>
      <c r="N232" s="3">
        <f t="shared" si="193"/>
        <v>8.6875447409323486E-2</v>
      </c>
      <c r="O232" s="3">
        <f t="shared" si="193"/>
        <v>8.6875447409312592E-2</v>
      </c>
      <c r="P232" s="3">
        <f t="shared" si="193"/>
        <v>8.6875447409203763E-2</v>
      </c>
      <c r="Q232" s="3">
        <f t="shared" si="193"/>
        <v>8.6875447408115411E-2</v>
      </c>
      <c r="R232" s="3">
        <f t="shared" si="193"/>
        <v>8.6875447397231867E-2</v>
      </c>
      <c r="S232" s="3">
        <f t="shared" si="193"/>
        <v>8.6875447288396412E-2</v>
      </c>
      <c r="T232" s="3">
        <f t="shared" si="193"/>
        <v>8.6875446200041839E-2</v>
      </c>
      <c r="U232" s="3">
        <f t="shared" si="193"/>
        <v>8.6875435316496913E-2</v>
      </c>
      <c r="V232" s="3">
        <f t="shared" si="193"/>
        <v>8.6875326481122603E-2</v>
      </c>
      <c r="W232" s="3">
        <f t="shared" si="193"/>
        <v>8.6874238134878559E-2</v>
      </c>
      <c r="X232" s="3">
        <f t="shared" si="193"/>
        <v>8.6863355422304861E-2</v>
      </c>
      <c r="Y232" s="3">
        <f t="shared" si="193"/>
        <v>8.6754603248493919E-2</v>
      </c>
      <c r="Z232" s="3">
        <f t="shared" si="193"/>
        <v>8.567454207685353E-2</v>
      </c>
      <c r="AA232" s="3">
        <f t="shared" si="193"/>
        <v>7.5586533834375247E-2</v>
      </c>
      <c r="AB232" s="3">
        <f t="shared" si="193"/>
        <v>2.1595875539076811E-2</v>
      </c>
      <c r="AC232" s="3">
        <f t="shared" si="193"/>
        <v>7.8277089775654565E-8</v>
      </c>
      <c r="AD232" s="3">
        <f t="shared" si="193"/>
        <v>3.0638903634911893E-62</v>
      </c>
      <c r="AE232" s="3">
        <f t="shared" si="193"/>
        <v>0</v>
      </c>
      <c r="AF232" s="3">
        <f t="shared" si="193"/>
        <v>0</v>
      </c>
      <c r="AG232" s="3"/>
      <c r="AH232" s="3"/>
    </row>
    <row r="233" spans="2:34" x14ac:dyDescent="0.25">
      <c r="B233" s="3">
        <f t="shared" ref="B233:AF233" si="194">$C41*EXP(-B$207/$A41/EXP(-$D$126))</f>
        <v>9.6215979999175721E-2</v>
      </c>
      <c r="C233" s="3">
        <f t="shared" si="194"/>
        <v>9.6215979999175721E-2</v>
      </c>
      <c r="D233" s="3">
        <f t="shared" si="194"/>
        <v>9.6215979999175721E-2</v>
      </c>
      <c r="E233" s="3">
        <f t="shared" si="194"/>
        <v>9.6215979999175721E-2</v>
      </c>
      <c r="F233" s="3">
        <f t="shared" si="194"/>
        <v>9.6215979999175721E-2</v>
      </c>
      <c r="G233" s="3">
        <f t="shared" si="194"/>
        <v>9.6215979999175721E-2</v>
      </c>
      <c r="H233" s="3">
        <f t="shared" si="194"/>
        <v>9.6215979999175721E-2</v>
      </c>
      <c r="I233" s="3">
        <f t="shared" si="194"/>
        <v>9.6215979999175721E-2</v>
      </c>
      <c r="J233" s="3">
        <f t="shared" si="194"/>
        <v>9.6215979999175721E-2</v>
      </c>
      <c r="K233" s="3">
        <f t="shared" si="194"/>
        <v>9.6215979999175721E-2</v>
      </c>
      <c r="L233" s="3">
        <f t="shared" si="194"/>
        <v>9.6215979999175721E-2</v>
      </c>
      <c r="M233" s="3">
        <f t="shared" si="194"/>
        <v>9.6215979999175708E-2</v>
      </c>
      <c r="N233" s="3">
        <f t="shared" si="194"/>
        <v>9.6215979999175583E-2</v>
      </c>
      <c r="O233" s="3">
        <f t="shared" si="194"/>
        <v>9.6215979999174389E-2</v>
      </c>
      <c r="P233" s="3">
        <f t="shared" si="194"/>
        <v>9.6215979999162329E-2</v>
      </c>
      <c r="Q233" s="3">
        <f t="shared" si="194"/>
        <v>9.6215979999041787E-2</v>
      </c>
      <c r="R233" s="3">
        <f t="shared" si="194"/>
        <v>9.6215979997836418E-2</v>
      </c>
      <c r="S233" s="3">
        <f t="shared" si="194"/>
        <v>9.6215979985782712E-2</v>
      </c>
      <c r="T233" s="3">
        <f t="shared" si="194"/>
        <v>9.621597986524566E-2</v>
      </c>
      <c r="U233" s="3">
        <f t="shared" si="194"/>
        <v>9.6215978659875176E-2</v>
      </c>
      <c r="V233" s="3">
        <f t="shared" si="194"/>
        <v>9.6215966606171016E-2</v>
      </c>
      <c r="W233" s="3">
        <f t="shared" si="194"/>
        <v>9.6215846069212532E-2</v>
      </c>
      <c r="X233" s="3">
        <f t="shared" si="194"/>
        <v>9.6214640707932994E-2</v>
      </c>
      <c r="Y233" s="3">
        <f t="shared" si="194"/>
        <v>9.6202587925627386E-2</v>
      </c>
      <c r="Z233" s="3">
        <f t="shared" si="194"/>
        <v>9.6082143113056129E-2</v>
      </c>
      <c r="AA233" s="3">
        <f t="shared" si="194"/>
        <v>9.488595768682391E-2</v>
      </c>
      <c r="AB233" s="3">
        <f t="shared" si="194"/>
        <v>8.371332343589942E-2</v>
      </c>
      <c r="AC233" s="3">
        <f t="shared" si="194"/>
        <v>2.3917785644802063E-2</v>
      </c>
      <c r="AD233" s="3">
        <f t="shared" si="194"/>
        <v>8.6693158180382216E-8</v>
      </c>
      <c r="AE233" s="3">
        <f t="shared" si="194"/>
        <v>3.3933087278891409E-62</v>
      </c>
      <c r="AF233" s="3">
        <f t="shared" si="194"/>
        <v>0</v>
      </c>
      <c r="AG233" s="3"/>
      <c r="AH233" s="3"/>
    </row>
    <row r="234" spans="2:34" x14ac:dyDescent="0.25">
      <c r="B234" s="3">
        <f t="shared" ref="B234:AF234" si="195">$C42*EXP(-B$207/$A42/EXP(-$D$126))</f>
        <v>0.11161416834614406</v>
      </c>
      <c r="C234" s="3">
        <f t="shared" si="195"/>
        <v>0.11161416834614406</v>
      </c>
      <c r="D234" s="3">
        <f t="shared" si="195"/>
        <v>0.11161416834614406</v>
      </c>
      <c r="E234" s="3">
        <f t="shared" si="195"/>
        <v>0.11161416834614406</v>
      </c>
      <c r="F234" s="3">
        <f t="shared" si="195"/>
        <v>0.11161416834614406</v>
      </c>
      <c r="G234" s="3">
        <f t="shared" si="195"/>
        <v>0.11161416834614406</v>
      </c>
      <c r="H234" s="3">
        <f t="shared" si="195"/>
        <v>0.11161416834614406</v>
      </c>
      <c r="I234" s="3">
        <f t="shared" si="195"/>
        <v>0.11161416834614406</v>
      </c>
      <c r="J234" s="3">
        <f t="shared" si="195"/>
        <v>0.11161416834614406</v>
      </c>
      <c r="K234" s="3">
        <f t="shared" si="195"/>
        <v>0.11161416834614406</v>
      </c>
      <c r="L234" s="3">
        <f t="shared" si="195"/>
        <v>0.11161416834614406</v>
      </c>
      <c r="M234" s="3">
        <f t="shared" si="195"/>
        <v>0.11161416834614406</v>
      </c>
      <c r="N234" s="3">
        <f t="shared" si="195"/>
        <v>0.11161416834614404</v>
      </c>
      <c r="O234" s="3">
        <f t="shared" si="195"/>
        <v>0.11161416834614389</v>
      </c>
      <c r="P234" s="3">
        <f t="shared" si="195"/>
        <v>0.1116141683461425</v>
      </c>
      <c r="Q234" s="3">
        <f t="shared" si="195"/>
        <v>0.11161416834612851</v>
      </c>
      <c r="R234" s="3">
        <f t="shared" si="195"/>
        <v>0.1116141683459887</v>
      </c>
      <c r="S234" s="3">
        <f t="shared" si="195"/>
        <v>0.11161416834459041</v>
      </c>
      <c r="T234" s="3">
        <f t="shared" si="195"/>
        <v>0.11161416833060767</v>
      </c>
      <c r="U234" s="3">
        <f t="shared" si="195"/>
        <v>0.11161416819078014</v>
      </c>
      <c r="V234" s="3">
        <f t="shared" si="195"/>
        <v>0.11161416679250487</v>
      </c>
      <c r="W234" s="3">
        <f t="shared" si="195"/>
        <v>0.11161415280975309</v>
      </c>
      <c r="X234" s="3">
        <f t="shared" si="195"/>
        <v>0.11161401298233176</v>
      </c>
      <c r="Y234" s="3">
        <f t="shared" si="195"/>
        <v>0.11161261471775269</v>
      </c>
      <c r="Z234" s="3">
        <f t="shared" si="195"/>
        <v>0.11159863303536158</v>
      </c>
      <c r="AA234" s="3">
        <f t="shared" si="195"/>
        <v>0.11145891250674603</v>
      </c>
      <c r="AB234" s="3">
        <f t="shared" si="195"/>
        <v>0.11007129226385258</v>
      </c>
      <c r="AC234" s="3">
        <f t="shared" si="195"/>
        <v>9.711061483622295E-2</v>
      </c>
      <c r="AD234" s="3">
        <f t="shared" si="195"/>
        <v>2.7745534093700393E-2</v>
      </c>
      <c r="AE234" s="3">
        <f t="shared" si="195"/>
        <v>1.0056733560981213E-7</v>
      </c>
      <c r="AF234" s="3">
        <f t="shared" si="195"/>
        <v>3.936366200378598E-62</v>
      </c>
      <c r="AG234" s="3"/>
      <c r="AH234" s="3"/>
    </row>
    <row r="235" spans="2:34" x14ac:dyDescent="0.25">
      <c r="B235" s="3">
        <f t="shared" ref="B235:AF235" si="196">$C43*EXP(-B$207/$A43/EXP(-$D$126))</f>
        <v>6.6462351022397975E-2</v>
      </c>
      <c r="C235" s="3">
        <f t="shared" si="196"/>
        <v>6.6462351022397975E-2</v>
      </c>
      <c r="D235" s="3">
        <f t="shared" si="196"/>
        <v>6.6462351022397975E-2</v>
      </c>
      <c r="E235" s="3">
        <f t="shared" si="196"/>
        <v>6.6462351022397975E-2</v>
      </c>
      <c r="F235" s="3">
        <f t="shared" si="196"/>
        <v>6.6462351022397975E-2</v>
      </c>
      <c r="G235" s="3">
        <f t="shared" si="196"/>
        <v>6.6462351022397975E-2</v>
      </c>
      <c r="H235" s="3">
        <f t="shared" si="196"/>
        <v>6.6462351022397975E-2</v>
      </c>
      <c r="I235" s="3">
        <f t="shared" si="196"/>
        <v>6.6462351022397975E-2</v>
      </c>
      <c r="J235" s="3">
        <f t="shared" si="196"/>
        <v>6.6462351022397975E-2</v>
      </c>
      <c r="K235" s="3">
        <f t="shared" si="196"/>
        <v>6.6462351022397975E-2</v>
      </c>
      <c r="L235" s="3">
        <f t="shared" si="196"/>
        <v>6.6462351022397975E-2</v>
      </c>
      <c r="M235" s="3">
        <f t="shared" si="196"/>
        <v>6.6462351022397975E-2</v>
      </c>
      <c r="N235" s="3">
        <f t="shared" si="196"/>
        <v>6.6462351022397975E-2</v>
      </c>
      <c r="O235" s="3">
        <f t="shared" si="196"/>
        <v>6.6462351022397961E-2</v>
      </c>
      <c r="P235" s="3">
        <f t="shared" si="196"/>
        <v>6.6462351022397878E-2</v>
      </c>
      <c r="Q235" s="3">
        <f t="shared" si="196"/>
        <v>6.6462351022397059E-2</v>
      </c>
      <c r="R235" s="3">
        <f t="shared" si="196"/>
        <v>6.6462351022388719E-2</v>
      </c>
      <c r="S235" s="3">
        <f t="shared" si="196"/>
        <v>6.6462351022305466E-2</v>
      </c>
      <c r="T235" s="3">
        <f t="shared" si="196"/>
        <v>6.646235102147284E-2</v>
      </c>
      <c r="U235" s="3">
        <f t="shared" si="196"/>
        <v>6.6462351013146598E-2</v>
      </c>
      <c r="V235" s="3">
        <f t="shared" si="196"/>
        <v>6.6462350929884173E-2</v>
      </c>
      <c r="W235" s="3">
        <f t="shared" si="196"/>
        <v>6.6462350097259926E-2</v>
      </c>
      <c r="X235" s="3">
        <f t="shared" si="196"/>
        <v>6.6462341771018105E-2</v>
      </c>
      <c r="Y235" s="3">
        <f t="shared" si="196"/>
        <v>6.6462258508657265E-2</v>
      </c>
      <c r="Z235" s="3">
        <f t="shared" si="196"/>
        <v>6.6461425890785783E-2</v>
      </c>
      <c r="AA235" s="3">
        <f t="shared" si="196"/>
        <v>6.6453100285741806E-2</v>
      </c>
      <c r="AB235" s="3">
        <f t="shared" si="196"/>
        <v>6.6369901575797724E-2</v>
      </c>
      <c r="AC235" s="3">
        <f t="shared" si="196"/>
        <v>6.5543622035883417E-2</v>
      </c>
      <c r="AD235" s="3">
        <f t="shared" si="196"/>
        <v>5.7825989897893747E-2</v>
      </c>
      <c r="AE235" s="3">
        <f t="shared" si="196"/>
        <v>1.6521499497452755E-2</v>
      </c>
      <c r="AF235" s="3">
        <f t="shared" si="196"/>
        <v>5.9884346761049422E-8</v>
      </c>
      <c r="AG235" s="3"/>
      <c r="AH235" s="3"/>
    </row>
    <row r="236" spans="2:34" x14ac:dyDescent="0.25">
      <c r="B236" s="3">
        <f t="shared" ref="B236:AF236" si="197">$C44*EXP(-B$207/$A44/EXP(-$D$126))</f>
        <v>4.7100906601755713E-2</v>
      </c>
      <c r="C236" s="3">
        <f t="shared" si="197"/>
        <v>4.7100906601755713E-2</v>
      </c>
      <c r="D236" s="3">
        <f t="shared" si="197"/>
        <v>4.7100906601755713E-2</v>
      </c>
      <c r="E236" s="3">
        <f t="shared" si="197"/>
        <v>4.7100906601755713E-2</v>
      </c>
      <c r="F236" s="3">
        <f t="shared" si="197"/>
        <v>4.7100906601755713E-2</v>
      </c>
      <c r="G236" s="3">
        <f t="shared" si="197"/>
        <v>4.7100906601755713E-2</v>
      </c>
      <c r="H236" s="3">
        <f t="shared" si="197"/>
        <v>4.7100906601755713E-2</v>
      </c>
      <c r="I236" s="3">
        <f t="shared" si="197"/>
        <v>4.7100906601755713E-2</v>
      </c>
      <c r="J236" s="3">
        <f t="shared" si="197"/>
        <v>4.7100906601755713E-2</v>
      </c>
      <c r="K236" s="3">
        <f t="shared" si="197"/>
        <v>4.7100906601755713E-2</v>
      </c>
      <c r="L236" s="3">
        <f t="shared" si="197"/>
        <v>4.7100906601755713E-2</v>
      </c>
      <c r="M236" s="3">
        <f t="shared" si="197"/>
        <v>4.7100906601755713E-2</v>
      </c>
      <c r="N236" s="3">
        <f t="shared" si="197"/>
        <v>4.7100906601755713E-2</v>
      </c>
      <c r="O236" s="3">
        <f t="shared" si="197"/>
        <v>4.7100906601755713E-2</v>
      </c>
      <c r="P236" s="3">
        <f t="shared" si="197"/>
        <v>4.7100906601755706E-2</v>
      </c>
      <c r="Q236" s="3">
        <f t="shared" si="197"/>
        <v>4.7100906601755643E-2</v>
      </c>
      <c r="R236" s="3">
        <f t="shared" si="197"/>
        <v>4.710090660175506E-2</v>
      </c>
      <c r="S236" s="3">
        <f t="shared" si="197"/>
        <v>4.7100906601749155E-2</v>
      </c>
      <c r="T236" s="3">
        <f t="shared" si="197"/>
        <v>4.7100906601690147E-2</v>
      </c>
      <c r="U236" s="3">
        <f t="shared" si="197"/>
        <v>4.7100906601100077E-2</v>
      </c>
      <c r="V236" s="3">
        <f t="shared" si="197"/>
        <v>4.7100906595199395E-2</v>
      </c>
      <c r="W236" s="3">
        <f t="shared" si="197"/>
        <v>4.7100906536192519E-2</v>
      </c>
      <c r="X236" s="3">
        <f t="shared" si="197"/>
        <v>4.7100905946123768E-2</v>
      </c>
      <c r="Y236" s="3">
        <f t="shared" si="197"/>
        <v>4.7100900045436649E-2</v>
      </c>
      <c r="Z236" s="3">
        <f t="shared" si="197"/>
        <v>4.710084103860615E-2</v>
      </c>
      <c r="AA236" s="3">
        <f t="shared" si="197"/>
        <v>4.7100250974366827E-2</v>
      </c>
      <c r="AB236" s="3">
        <f t="shared" si="197"/>
        <v>4.7094350738525831E-2</v>
      </c>
      <c r="AC236" s="3">
        <f t="shared" si="197"/>
        <v>4.7035389016495524E-2</v>
      </c>
      <c r="AD236" s="3">
        <f t="shared" si="197"/>
        <v>4.6449816661052822E-2</v>
      </c>
      <c r="AE236" s="3">
        <f t="shared" si="197"/>
        <v>4.0980442422460857E-2</v>
      </c>
      <c r="AF236" s="3">
        <f t="shared" si="197"/>
        <v>1.1708547663145837E-2</v>
      </c>
      <c r="AG236" s="3"/>
      <c r="AH236" s="3"/>
    </row>
    <row r="237" spans="2:34" x14ac:dyDescent="0.25">
      <c r="B237" s="3">
        <f t="shared" ref="B237:AF237" si="198">$C45*EXP(-B$207/$A45/EXP(-$D$126))</f>
        <v>2.2598128773559236E-2</v>
      </c>
      <c r="C237" s="3">
        <f t="shared" si="198"/>
        <v>2.2598128773559236E-2</v>
      </c>
      <c r="D237" s="3">
        <f t="shared" si="198"/>
        <v>2.2598128773559236E-2</v>
      </c>
      <c r="E237" s="3">
        <f t="shared" si="198"/>
        <v>2.2598128773559236E-2</v>
      </c>
      <c r="F237" s="3">
        <f t="shared" si="198"/>
        <v>2.2598128773559236E-2</v>
      </c>
      <c r="G237" s="3">
        <f t="shared" si="198"/>
        <v>2.2598128773559236E-2</v>
      </c>
      <c r="H237" s="3">
        <f t="shared" si="198"/>
        <v>2.2598128773559236E-2</v>
      </c>
      <c r="I237" s="3">
        <f t="shared" si="198"/>
        <v>2.2598128773559236E-2</v>
      </c>
      <c r="J237" s="3">
        <f t="shared" si="198"/>
        <v>2.2598128773559236E-2</v>
      </c>
      <c r="K237" s="3">
        <f t="shared" si="198"/>
        <v>2.2598128773559236E-2</v>
      </c>
      <c r="L237" s="3">
        <f t="shared" si="198"/>
        <v>2.2598128773559236E-2</v>
      </c>
      <c r="M237" s="3">
        <f t="shared" si="198"/>
        <v>2.2598128773559236E-2</v>
      </c>
      <c r="N237" s="3">
        <f t="shared" si="198"/>
        <v>2.2598128773559236E-2</v>
      </c>
      <c r="O237" s="3">
        <f t="shared" si="198"/>
        <v>2.2598128773559236E-2</v>
      </c>
      <c r="P237" s="3">
        <f t="shared" si="198"/>
        <v>2.2598128773559236E-2</v>
      </c>
      <c r="Q237" s="3">
        <f t="shared" si="198"/>
        <v>2.2598128773559233E-2</v>
      </c>
      <c r="R237" s="3">
        <f t="shared" si="198"/>
        <v>2.2598128773559205E-2</v>
      </c>
      <c r="S237" s="3">
        <f t="shared" si="198"/>
        <v>2.2598128773558924E-2</v>
      </c>
      <c r="T237" s="3">
        <f t="shared" si="198"/>
        <v>2.2598128773556089E-2</v>
      </c>
      <c r="U237" s="3">
        <f t="shared" si="198"/>
        <v>2.2598128773527779E-2</v>
      </c>
      <c r="V237" s="3">
        <f t="shared" si="198"/>
        <v>2.2598128773244675E-2</v>
      </c>
      <c r="W237" s="3">
        <f t="shared" si="198"/>
        <v>2.2598128770413638E-2</v>
      </c>
      <c r="X237" s="3">
        <f t="shared" si="198"/>
        <v>2.2598128742103249E-2</v>
      </c>
      <c r="Y237" s="3">
        <f t="shared" si="198"/>
        <v>2.2598128458999365E-2</v>
      </c>
      <c r="Z237" s="3">
        <f t="shared" si="198"/>
        <v>2.2598125627960708E-2</v>
      </c>
      <c r="AA237" s="3">
        <f t="shared" si="198"/>
        <v>2.2598097317593661E-2</v>
      </c>
      <c r="AB237" s="3">
        <f t="shared" si="198"/>
        <v>2.2597814215873823E-2</v>
      </c>
      <c r="AC237" s="3">
        <f t="shared" si="198"/>
        <v>2.2594983393731553E-2</v>
      </c>
      <c r="AD237" s="3">
        <f t="shared" si="198"/>
        <v>2.2566694668879238E-2</v>
      </c>
      <c r="AE237" s="3">
        <f t="shared" si="198"/>
        <v>2.228574807041106E-2</v>
      </c>
      <c r="AF237" s="3">
        <f t="shared" si="198"/>
        <v>1.9661645218219219E-2</v>
      </c>
      <c r="AG237" s="3"/>
      <c r="AH237" s="3"/>
    </row>
    <row r="238" spans="2:34" x14ac:dyDescent="0.25">
      <c r="B238" s="3">
        <f t="shared" ref="B238:AF238" si="199">$C46*EXP(-B$207/$A46/EXP(-$D$126))</f>
        <v>6.4467605952010509E-3</v>
      </c>
      <c r="C238" s="3">
        <f t="shared" si="199"/>
        <v>6.4467605952010509E-3</v>
      </c>
      <c r="D238" s="3">
        <f t="shared" si="199"/>
        <v>6.4467605952010509E-3</v>
      </c>
      <c r="E238" s="3">
        <f t="shared" si="199"/>
        <v>6.4467605952010509E-3</v>
      </c>
      <c r="F238" s="3">
        <f t="shared" si="199"/>
        <v>6.4467605952010509E-3</v>
      </c>
      <c r="G238" s="3">
        <f t="shared" si="199"/>
        <v>6.4467605952010509E-3</v>
      </c>
      <c r="H238" s="3">
        <f t="shared" si="199"/>
        <v>6.4467605952010509E-3</v>
      </c>
      <c r="I238" s="3">
        <f t="shared" si="199"/>
        <v>6.4467605952010509E-3</v>
      </c>
      <c r="J238" s="3">
        <f t="shared" si="199"/>
        <v>6.4467605952010509E-3</v>
      </c>
      <c r="K238" s="3">
        <f t="shared" si="199"/>
        <v>6.4467605952010509E-3</v>
      </c>
      <c r="L238" s="3">
        <f t="shared" si="199"/>
        <v>6.4467605952010509E-3</v>
      </c>
      <c r="M238" s="3">
        <f t="shared" si="199"/>
        <v>6.4467605952010509E-3</v>
      </c>
      <c r="N238" s="3">
        <f t="shared" si="199"/>
        <v>6.4467605952010509E-3</v>
      </c>
      <c r="O238" s="3">
        <f t="shared" si="199"/>
        <v>6.4467605952010509E-3</v>
      </c>
      <c r="P238" s="3">
        <f t="shared" si="199"/>
        <v>6.4467605952010509E-3</v>
      </c>
      <c r="Q238" s="3">
        <f t="shared" si="199"/>
        <v>6.4467605952010509E-3</v>
      </c>
      <c r="R238" s="3">
        <f t="shared" si="199"/>
        <v>6.4467605952010501E-3</v>
      </c>
      <c r="S238" s="3">
        <f t="shared" si="199"/>
        <v>6.4467605952010414E-3</v>
      </c>
      <c r="T238" s="3">
        <f t="shared" si="199"/>
        <v>6.4467605952009616E-3</v>
      </c>
      <c r="U238" s="3">
        <f t="shared" si="199"/>
        <v>6.4467605952001532E-3</v>
      </c>
      <c r="V238" s="3">
        <f t="shared" si="199"/>
        <v>6.4467605951920772E-3</v>
      </c>
      <c r="W238" s="3">
        <f t="shared" si="199"/>
        <v>6.4467605951113137E-3</v>
      </c>
      <c r="X238" s="3">
        <f t="shared" si="199"/>
        <v>6.4467605943036793E-3</v>
      </c>
      <c r="Y238" s="3">
        <f t="shared" si="199"/>
        <v>6.4467605862273333E-3</v>
      </c>
      <c r="Z238" s="3">
        <f t="shared" si="199"/>
        <v>6.4467605054638784E-3</v>
      </c>
      <c r="AA238" s="3">
        <f t="shared" si="199"/>
        <v>6.4467596978293774E-3</v>
      </c>
      <c r="AB238" s="3">
        <f t="shared" si="199"/>
        <v>6.4467516214899356E-3</v>
      </c>
      <c r="AC238" s="3">
        <f t="shared" si="199"/>
        <v>6.4466708586519957E-3</v>
      </c>
      <c r="AD238" s="3">
        <f t="shared" si="199"/>
        <v>6.4458632859179139E-3</v>
      </c>
      <c r="AE238" s="3">
        <f t="shared" si="199"/>
        <v>6.4377931205297171E-3</v>
      </c>
      <c r="AF238" s="3">
        <f t="shared" si="199"/>
        <v>6.3576450924115839E-3</v>
      </c>
      <c r="AG238" s="3"/>
      <c r="AH238" s="3"/>
    </row>
    <row r="239" spans="2:34" x14ac:dyDescent="0.25">
      <c r="B239" s="3">
        <f t="shared" ref="B239:AF239" si="200">$C47*EXP(-B$207/$A47/EXP(-$D$126))</f>
        <v>9.8307104636690784E-5</v>
      </c>
      <c r="C239" s="3">
        <f t="shared" si="200"/>
        <v>9.8307104636690784E-5</v>
      </c>
      <c r="D239" s="3">
        <f t="shared" si="200"/>
        <v>9.8307104636690784E-5</v>
      </c>
      <c r="E239" s="3">
        <f t="shared" si="200"/>
        <v>9.8307104636690784E-5</v>
      </c>
      <c r="F239" s="3">
        <f t="shared" si="200"/>
        <v>9.8307104636690784E-5</v>
      </c>
      <c r="G239" s="3">
        <f t="shared" si="200"/>
        <v>9.8307104636690784E-5</v>
      </c>
      <c r="H239" s="3">
        <f t="shared" si="200"/>
        <v>9.8307104636690784E-5</v>
      </c>
      <c r="I239" s="3">
        <f t="shared" si="200"/>
        <v>9.8307104636690784E-5</v>
      </c>
      <c r="J239" s="3">
        <f t="shared" si="200"/>
        <v>9.8307104636690784E-5</v>
      </c>
      <c r="K239" s="3">
        <f t="shared" si="200"/>
        <v>9.8307104636690784E-5</v>
      </c>
      <c r="L239" s="3">
        <f t="shared" si="200"/>
        <v>9.8307104636690784E-5</v>
      </c>
      <c r="M239" s="3">
        <f t="shared" si="200"/>
        <v>9.8307104636690784E-5</v>
      </c>
      <c r="N239" s="3">
        <f t="shared" si="200"/>
        <v>9.8307104636690784E-5</v>
      </c>
      <c r="O239" s="3">
        <f t="shared" si="200"/>
        <v>9.8307104636690784E-5</v>
      </c>
      <c r="P239" s="3">
        <f t="shared" si="200"/>
        <v>9.8307104636690784E-5</v>
      </c>
      <c r="Q239" s="3">
        <f t="shared" si="200"/>
        <v>9.8307104636690784E-5</v>
      </c>
      <c r="R239" s="3">
        <f t="shared" si="200"/>
        <v>9.8307104636690784E-5</v>
      </c>
      <c r="S239" s="3">
        <f t="shared" si="200"/>
        <v>9.830710463669077E-5</v>
      </c>
      <c r="T239" s="3">
        <f t="shared" si="200"/>
        <v>9.8307104636690648E-5</v>
      </c>
      <c r="U239" s="3">
        <f t="shared" si="200"/>
        <v>9.8307104636689415E-5</v>
      </c>
      <c r="V239" s="3">
        <f t="shared" si="200"/>
        <v>9.8307104636677096E-5</v>
      </c>
      <c r="W239" s="3">
        <f t="shared" si="200"/>
        <v>9.8307104636553944E-5</v>
      </c>
      <c r="X239" s="3">
        <f t="shared" si="200"/>
        <v>9.8307104635322372E-5</v>
      </c>
      <c r="Y239" s="3">
        <f t="shared" si="200"/>
        <v>9.8307104623006702E-5</v>
      </c>
      <c r="Z239" s="3">
        <f t="shared" si="200"/>
        <v>9.8307104499849941E-5</v>
      </c>
      <c r="AA239" s="3">
        <f t="shared" si="200"/>
        <v>9.8307103268282346E-5</v>
      </c>
      <c r="AB239" s="3">
        <f t="shared" si="200"/>
        <v>9.8307090952607173E-5</v>
      </c>
      <c r="AC239" s="3">
        <f t="shared" si="200"/>
        <v>9.8306967795940369E-5</v>
      </c>
      <c r="AD239" s="3">
        <f t="shared" si="200"/>
        <v>9.8305736237758111E-5</v>
      </c>
      <c r="AE239" s="3">
        <f t="shared" si="200"/>
        <v>9.8293421504474813E-5</v>
      </c>
      <c r="AF239" s="3">
        <f t="shared" si="200"/>
        <v>9.8170358986247687E-5</v>
      </c>
      <c r="AG239" s="3"/>
      <c r="AH239" s="3"/>
    </row>
    <row r="240" spans="2:34" x14ac:dyDescent="0.25">
      <c r="B240" s="3">
        <f t="shared" ref="B240:AF240" si="201">$C48*EXP(-B$207/$A48/EXP(-$D$126))</f>
        <v>1.1020901234699522E-2</v>
      </c>
      <c r="C240" s="3">
        <f t="shared" si="201"/>
        <v>1.1020901234699522E-2</v>
      </c>
      <c r="D240" s="3">
        <f t="shared" si="201"/>
        <v>1.1020901234699522E-2</v>
      </c>
      <c r="E240" s="3">
        <f t="shared" si="201"/>
        <v>1.1020901234699522E-2</v>
      </c>
      <c r="F240" s="3">
        <f t="shared" si="201"/>
        <v>1.1020901234699522E-2</v>
      </c>
      <c r="G240" s="3">
        <f t="shared" si="201"/>
        <v>1.1020901234699522E-2</v>
      </c>
      <c r="H240" s="3">
        <f t="shared" si="201"/>
        <v>1.1020901234699522E-2</v>
      </c>
      <c r="I240" s="3">
        <f t="shared" si="201"/>
        <v>1.1020901234699522E-2</v>
      </c>
      <c r="J240" s="3">
        <f t="shared" si="201"/>
        <v>1.1020901234699522E-2</v>
      </c>
      <c r="K240" s="3">
        <f t="shared" si="201"/>
        <v>1.1020901234699522E-2</v>
      </c>
      <c r="L240" s="3">
        <f t="shared" si="201"/>
        <v>1.1020901234699522E-2</v>
      </c>
      <c r="M240" s="3">
        <f t="shared" si="201"/>
        <v>1.1020901234699522E-2</v>
      </c>
      <c r="N240" s="3">
        <f t="shared" si="201"/>
        <v>1.1020901234699522E-2</v>
      </c>
      <c r="O240" s="3">
        <f t="shared" si="201"/>
        <v>1.1020901234699522E-2</v>
      </c>
      <c r="P240" s="3">
        <f t="shared" si="201"/>
        <v>1.1020901234699522E-2</v>
      </c>
      <c r="Q240" s="3">
        <f t="shared" si="201"/>
        <v>1.1020901234699522E-2</v>
      </c>
      <c r="R240" s="3">
        <f t="shared" si="201"/>
        <v>1.1020901234699522E-2</v>
      </c>
      <c r="S240" s="3">
        <f t="shared" si="201"/>
        <v>1.1020901234699522E-2</v>
      </c>
      <c r="T240" s="3">
        <f t="shared" si="201"/>
        <v>1.102090123469952E-2</v>
      </c>
      <c r="U240" s="3">
        <f t="shared" si="201"/>
        <v>1.1020901234699506E-2</v>
      </c>
      <c r="V240" s="3">
        <f t="shared" si="201"/>
        <v>1.1020901234699369E-2</v>
      </c>
      <c r="W240" s="3">
        <f t="shared" si="201"/>
        <v>1.1020901234697988E-2</v>
      </c>
      <c r="X240" s="3">
        <f t="shared" si="201"/>
        <v>1.102090123468418E-2</v>
      </c>
      <c r="Y240" s="3">
        <f t="shared" si="201"/>
        <v>1.1020901234546113E-2</v>
      </c>
      <c r="Z240" s="3">
        <f t="shared" si="201"/>
        <v>1.1020901233165441E-2</v>
      </c>
      <c r="AA240" s="3">
        <f t="shared" si="201"/>
        <v>1.1020901219358724E-2</v>
      </c>
      <c r="AB240" s="3">
        <f t="shared" si="201"/>
        <v>1.1020901081291543E-2</v>
      </c>
      <c r="AC240" s="3">
        <f t="shared" si="201"/>
        <v>1.1020899700619818E-2</v>
      </c>
      <c r="AD240" s="3">
        <f t="shared" si="201"/>
        <v>1.1020885893912091E-2</v>
      </c>
      <c r="AE240" s="3">
        <f t="shared" si="201"/>
        <v>1.102074782778613E-2</v>
      </c>
      <c r="AF240" s="3">
        <f t="shared" si="201"/>
        <v>1.1019367261653618E-2</v>
      </c>
      <c r="AG240" s="3"/>
      <c r="AH240" s="3"/>
    </row>
    <row r="241" spans="1:34" x14ac:dyDescent="0.25">
      <c r="A241" s="79">
        <f>AVERAGE(B241:AF241)</f>
        <v>1.2693852800258034E-2</v>
      </c>
      <c r="B241" s="80">
        <f>IF($A$64&lt;=B207,IF($B$64&gt;=B207,ABS((B209-B208)/B208),0),0)</f>
        <v>1.0259045222157186E-3</v>
      </c>
      <c r="C241" s="80">
        <f t="shared" ref="C241:AF241" si="202">IF($A$64&lt;=C207,IF($B$64&gt;=C207,ABS((C209-C208)/C208),0),0)</f>
        <v>1.0320962854036121E-3</v>
      </c>
      <c r="D241" s="80">
        <f t="shared" si="202"/>
        <v>1.0283148751365479E-3</v>
      </c>
      <c r="E241" s="80">
        <f t="shared" si="202"/>
        <v>1.0271706351197714E-3</v>
      </c>
      <c r="F241" s="80">
        <f t="shared" si="202"/>
        <v>1.0268219517100728E-3</v>
      </c>
      <c r="G241" s="80">
        <f t="shared" si="202"/>
        <v>1.0266865913974193E-3</v>
      </c>
      <c r="H241" s="80">
        <f t="shared" si="202"/>
        <v>1.0266735777844016E-3</v>
      </c>
      <c r="I241" s="80">
        <f t="shared" si="202"/>
        <v>1.0266382308093316E-3</v>
      </c>
      <c r="J241" s="80">
        <f t="shared" si="202"/>
        <v>1.0266436056228479E-3</v>
      </c>
      <c r="K241" s="80">
        <f t="shared" si="202"/>
        <v>1.0267921324112693E-3</v>
      </c>
      <c r="L241" s="80">
        <f t="shared" si="202"/>
        <v>1.0281138554960776E-3</v>
      </c>
      <c r="M241" s="80">
        <f t="shared" si="202"/>
        <v>1.0413823104665724E-3</v>
      </c>
      <c r="N241" s="80">
        <f t="shared" si="202"/>
        <v>1.1668625837264321E-3</v>
      </c>
      <c r="O241" s="80">
        <f t="shared" si="202"/>
        <v>1.9773507926496197E-3</v>
      </c>
      <c r="P241" s="80">
        <f t="shared" si="202"/>
        <v>4.2631435030721591E-3</v>
      </c>
      <c r="Q241" s="80">
        <f t="shared" si="202"/>
        <v>3.3670273638375615E-3</v>
      </c>
      <c r="R241" s="80">
        <f t="shared" si="202"/>
        <v>4.3763515906665657E-3</v>
      </c>
      <c r="S241" s="80">
        <f t="shared" si="202"/>
        <v>2.7827004244596137E-3</v>
      </c>
      <c r="T241" s="80">
        <f t="shared" si="202"/>
        <v>4.7523548026872616E-3</v>
      </c>
      <c r="U241" s="80">
        <f t="shared" si="202"/>
        <v>1.8293846471892392E-2</v>
      </c>
      <c r="V241" s="80">
        <f t="shared" si="202"/>
        <v>2.8296520685985087E-2</v>
      </c>
      <c r="W241" s="80">
        <f t="shared" si="202"/>
        <v>2.8169734845825238E-2</v>
      </c>
      <c r="X241" s="80">
        <f t="shared" si="202"/>
        <v>2.215987607919636E-2</v>
      </c>
      <c r="Y241" s="80">
        <f t="shared" si="202"/>
        <v>1.312097220051163E-2</v>
      </c>
      <c r="Z241" s="80">
        <f t="shared" si="202"/>
        <v>8.0807083016008197E-3</v>
      </c>
      <c r="AA241" s="80">
        <f t="shared" si="202"/>
        <v>8.822874333343049E-3</v>
      </c>
      <c r="AB241" s="80">
        <f t="shared" si="202"/>
        <v>1.9823980329150108E-2</v>
      </c>
      <c r="AC241" s="80">
        <f t="shared" si="202"/>
        <v>3.4000073964106335E-2</v>
      </c>
      <c r="AD241" s="80">
        <f t="shared" si="202"/>
        <v>5.6801352157177895E-2</v>
      </c>
      <c r="AE241" s="80">
        <f t="shared" si="202"/>
        <v>5.4279239982144283E-2</v>
      </c>
      <c r="AF241" s="80">
        <f t="shared" si="202"/>
        <v>6.6631227822392947E-2</v>
      </c>
    </row>
    <row r="242" spans="1:34" x14ac:dyDescent="0.25">
      <c r="B242" s="21">
        <f>(B209-B208)^2</f>
        <v>37.015429800726331</v>
      </c>
      <c r="C242" s="21">
        <f t="shared" ref="C242:AF242" si="203">(C209-C208)^2</f>
        <v>37.464049770681264</v>
      </c>
      <c r="D242" s="21">
        <f t="shared" si="203"/>
        <v>37.189748395298508</v>
      </c>
      <c r="E242" s="21">
        <f t="shared" si="203"/>
        <v>37.106944907370178</v>
      </c>
      <c r="F242" s="21">
        <f t="shared" si="203"/>
        <v>37.081730644967514</v>
      </c>
      <c r="G242" s="21">
        <f t="shared" si="203"/>
        <v>37.071944676177651</v>
      </c>
      <c r="H242" s="21">
        <f t="shared" si="203"/>
        <v>37.071003877292569</v>
      </c>
      <c r="I242" s="21">
        <f t="shared" si="203"/>
        <v>37.068448297908581</v>
      </c>
      <c r="J242" s="21">
        <f t="shared" si="203"/>
        <v>37.068832914412233</v>
      </c>
      <c r="K242" s="21">
        <f t="shared" si="203"/>
        <v>37.079531202637519</v>
      </c>
      <c r="L242" s="21">
        <f t="shared" si="203"/>
        <v>37.174758520696038</v>
      </c>
      <c r="M242" s="21">
        <f t="shared" si="203"/>
        <v>38.137470167077581</v>
      </c>
      <c r="N242" s="21">
        <f t="shared" si="203"/>
        <v>47.844390480764623</v>
      </c>
      <c r="O242" s="21">
        <f t="shared" si="203"/>
        <v>136.39707959996284</v>
      </c>
      <c r="P242" s="21">
        <f t="shared" si="203"/>
        <v>608.73227014811766</v>
      </c>
      <c r="Q242" s="21">
        <f t="shared" si="203"/>
        <v>361.3601212942134</v>
      </c>
      <c r="R242" s="21">
        <f t="shared" si="203"/>
        <v>577.00026422074063</v>
      </c>
      <c r="S242" s="21">
        <f t="shared" si="203"/>
        <v>217.15734633396758</v>
      </c>
      <c r="T242" s="21">
        <f t="shared" si="203"/>
        <v>578.86105481493348</v>
      </c>
      <c r="U242" s="21">
        <f t="shared" si="203"/>
        <v>7589.8271236635564</v>
      </c>
      <c r="V242" s="21">
        <f t="shared" si="203"/>
        <v>15706.007996295359</v>
      </c>
      <c r="W242" s="21">
        <f t="shared" si="203"/>
        <v>13415.651395415885</v>
      </c>
      <c r="X242" s="21">
        <f t="shared" si="203"/>
        <v>7144.1027224489799</v>
      </c>
      <c r="Y242" s="21">
        <f t="shared" si="203"/>
        <v>2130.4407739091671</v>
      </c>
      <c r="Z242" s="21">
        <f t="shared" si="203"/>
        <v>666.66280039128856</v>
      </c>
      <c r="AA242" s="21">
        <f t="shared" si="203"/>
        <v>606.5536520953666</v>
      </c>
      <c r="AB242" s="21">
        <f t="shared" si="203"/>
        <v>2100.995170781689</v>
      </c>
      <c r="AC242" s="21">
        <f t="shared" si="203"/>
        <v>3586.6155098144991</v>
      </c>
      <c r="AD242" s="21">
        <f t="shared" si="203"/>
        <v>4379.6137427117019</v>
      </c>
      <c r="AE242" s="21">
        <f t="shared" si="203"/>
        <v>1414.4129803636579</v>
      </c>
      <c r="AF242" s="21">
        <f t="shared" si="203"/>
        <v>688.82291675176202</v>
      </c>
      <c r="AG242" s="3"/>
      <c r="AH242" s="3"/>
    </row>
    <row r="243" spans="1:34" x14ac:dyDescent="0.25">
      <c r="A243" s="71">
        <f>SUM(B243:AF243)</f>
        <v>62403.589204710865</v>
      </c>
      <c r="B243" s="60">
        <f>IF($A$64&lt;=B207,IF($B$64&gt;=B207,ABS(B242),0),0)</f>
        <v>37.015429800726331</v>
      </c>
      <c r="C243" s="60">
        <f t="shared" ref="C243" si="204">IF($A$64&lt;=C207,IF($B$64&gt;=C207,ABS(C242),0),0)</f>
        <v>37.464049770681264</v>
      </c>
      <c r="D243" s="60">
        <f t="shared" ref="D243" si="205">IF($A$64&lt;=D207,IF($B$64&gt;=D207,ABS(D242),0),0)</f>
        <v>37.189748395298508</v>
      </c>
      <c r="E243" s="60">
        <f t="shared" ref="E243" si="206">IF($A$64&lt;=E207,IF($B$64&gt;=E207,ABS(E242),0),0)</f>
        <v>37.106944907370178</v>
      </c>
      <c r="F243" s="60">
        <f t="shared" ref="F243" si="207">IF($A$64&lt;=F207,IF($B$64&gt;=F207,ABS(F242),0),0)</f>
        <v>37.081730644967514</v>
      </c>
      <c r="G243" s="60">
        <f t="shared" ref="G243" si="208">IF($A$64&lt;=G207,IF($B$64&gt;=G207,ABS(G242),0),0)</f>
        <v>37.071944676177651</v>
      </c>
      <c r="H243" s="60">
        <f t="shared" ref="H243" si="209">IF($A$64&lt;=H207,IF($B$64&gt;=H207,ABS(H242),0),0)</f>
        <v>37.071003877292569</v>
      </c>
      <c r="I243" s="60">
        <f t="shared" ref="I243" si="210">IF($A$64&lt;=I207,IF($B$64&gt;=I207,ABS(I242),0),0)</f>
        <v>37.068448297908581</v>
      </c>
      <c r="J243" s="60">
        <f t="shared" ref="J243" si="211">IF($A$64&lt;=J207,IF($B$64&gt;=J207,ABS(J242),0),0)</f>
        <v>37.068832914412233</v>
      </c>
      <c r="K243" s="60">
        <f t="shared" ref="K243" si="212">IF($A$64&lt;=K207,IF($B$64&gt;=K207,ABS(K242),0),0)</f>
        <v>37.079531202637519</v>
      </c>
      <c r="L243" s="60">
        <f t="shared" ref="L243" si="213">IF($A$64&lt;=L207,IF($B$64&gt;=L207,ABS(L242),0),0)</f>
        <v>37.174758520696038</v>
      </c>
      <c r="M243" s="60">
        <f t="shared" ref="M243" si="214">IF($A$64&lt;=M207,IF($B$64&gt;=M207,ABS(M242),0),0)</f>
        <v>38.137470167077581</v>
      </c>
      <c r="N243" s="60">
        <f t="shared" ref="N243" si="215">IF($A$64&lt;=N207,IF($B$64&gt;=N207,ABS(N242),0),0)</f>
        <v>47.844390480764623</v>
      </c>
      <c r="O243" s="60">
        <f t="shared" ref="O243" si="216">IF($A$64&lt;=O207,IF($B$64&gt;=O207,ABS(O242),0),0)</f>
        <v>136.39707959996284</v>
      </c>
      <c r="P243" s="60">
        <f t="shared" ref="P243" si="217">IF($A$64&lt;=P207,IF($B$64&gt;=P207,ABS(P242),0),0)</f>
        <v>608.73227014811766</v>
      </c>
      <c r="Q243" s="60">
        <f t="shared" ref="Q243" si="218">IF($A$64&lt;=Q207,IF($B$64&gt;=Q207,ABS(Q242),0),0)</f>
        <v>361.3601212942134</v>
      </c>
      <c r="R243" s="60">
        <f t="shared" ref="R243" si="219">IF($A$64&lt;=R207,IF($B$64&gt;=R207,ABS(R242),0),0)</f>
        <v>577.00026422074063</v>
      </c>
      <c r="S243" s="60">
        <f t="shared" ref="S243" si="220">IF($A$64&lt;=S207,IF($B$64&gt;=S207,ABS(S242),0),0)</f>
        <v>217.15734633396758</v>
      </c>
      <c r="T243" s="60">
        <f t="shared" ref="T243" si="221">IF($A$64&lt;=T207,IF($B$64&gt;=T207,ABS(T242),0),0)</f>
        <v>578.86105481493348</v>
      </c>
      <c r="U243" s="60">
        <f t="shared" ref="U243" si="222">IF($A$64&lt;=U207,IF($B$64&gt;=U207,ABS(U242),0),0)</f>
        <v>7589.8271236635564</v>
      </c>
      <c r="V243" s="60">
        <f t="shared" ref="V243" si="223">IF($A$64&lt;=V207,IF($B$64&gt;=V207,ABS(V242),0),0)</f>
        <v>15706.007996295359</v>
      </c>
      <c r="W243" s="60">
        <f t="shared" ref="W243" si="224">IF($A$64&lt;=W207,IF($B$64&gt;=W207,ABS(W242),0),0)</f>
        <v>13415.651395415885</v>
      </c>
      <c r="X243" s="60">
        <f t="shared" ref="X243" si="225">IF($A$64&lt;=X207,IF($B$64&gt;=X207,ABS(X242),0),0)</f>
        <v>7144.1027224489799</v>
      </c>
      <c r="Y243" s="60">
        <f t="shared" ref="Y243" si="226">IF($A$64&lt;=Y207,IF($B$64&gt;=Y207,ABS(Y242),0),0)</f>
        <v>2130.4407739091671</v>
      </c>
      <c r="Z243" s="60">
        <f t="shared" ref="Z243" si="227">IF($A$64&lt;=Z207,IF($B$64&gt;=Z207,ABS(Z242),0),0)</f>
        <v>666.66280039128856</v>
      </c>
      <c r="AA243" s="60">
        <f t="shared" ref="AA243" si="228">IF($A$64&lt;=AA207,IF($B$64&gt;=AA207,ABS(AA242),0),0)</f>
        <v>606.5536520953666</v>
      </c>
      <c r="AB243" s="60">
        <f t="shared" ref="AB243" si="229">IF($A$64&lt;=AB207,IF($B$64&gt;=AB207,ABS(AB242),0),0)</f>
        <v>2100.995170781689</v>
      </c>
      <c r="AC243" s="60">
        <f t="shared" ref="AC243" si="230">IF($A$64&lt;=AC207,IF($B$64&gt;=AC207,ABS(AC242),0),0)</f>
        <v>3586.6155098144991</v>
      </c>
      <c r="AD243" s="60">
        <f t="shared" ref="AD243" si="231">IF($A$64&lt;=AD207,IF($B$64&gt;=AD207,ABS(AD242),0),0)</f>
        <v>4379.6137427117019</v>
      </c>
      <c r="AE243" s="60">
        <f t="shared" ref="AE243" si="232">IF($A$64&lt;=AE207,IF($B$64&gt;=AE207,ABS(AE242),0),0)</f>
        <v>1414.4129803636579</v>
      </c>
      <c r="AF243" s="60">
        <f t="shared" ref="AF243" si="233">IF($A$64&lt;=AF207,IF($B$64&gt;=AF207,ABS(AF242),0),0)</f>
        <v>688.82291675176202</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5924.2874974527258</v>
      </c>
      <c r="C247" s="26">
        <f>INDEX(Comparison!$AM$3:$AS$33,G$14,$E$122)</f>
        <v>5924.3241993050724</v>
      </c>
      <c r="D247" s="26">
        <f>INDEX(Comparison!$AM$3:$AS$33,H$14,$E$122)</f>
        <v>5924.3017770264787</v>
      </c>
      <c r="E247" s="26">
        <f>INDEX(Comparison!$AM$3:$AS$33,I$14,$E$122)</f>
        <v>5924.2949982314785</v>
      </c>
      <c r="F247" s="26">
        <f>INDEX(Comparison!$AM$3:$AS$33,J$14,$E$122)</f>
        <v>5924.2929325070927</v>
      </c>
      <c r="G247" s="26">
        <f>INDEX(Comparison!$AM$3:$AS$33,K$14,$E$122)</f>
        <v>5924.292050062164</v>
      </c>
      <c r="H247" s="26">
        <f>INDEX(Comparison!$AM$3:$AS$33,L$14,$E$122)</f>
        <v>5924.2896233399624</v>
      </c>
      <c r="I247" s="26">
        <f>INDEX(Comparison!$AM$3:$AS$33,M$14,$E$122)</f>
        <v>5924.2686453119095</v>
      </c>
      <c r="J247" s="26">
        <f>INDEX(Comparison!$AM$3:$AS$33,N$14,$E$122)</f>
        <v>5924.0589935262078</v>
      </c>
      <c r="K247" s="26">
        <f>INDEX(Comparison!$AM$3:$AS$33,O$14,$E$122)</f>
        <v>5921.976437640149</v>
      </c>
      <c r="L247" s="26">
        <f>INDEX(Comparison!$AM$3:$AS$33,P$14,$E$122)</f>
        <v>5902.5412392933085</v>
      </c>
      <c r="M247" s="26">
        <f>INDEX(Comparison!$AM$3:$AS$33,Q$14,$E$122)</f>
        <v>5788.7691117948852</v>
      </c>
      <c r="N247" s="26">
        <f>INDEX(Comparison!$AM$3:$AS$33,R$14,$E$122)</f>
        <v>5647.748615055857</v>
      </c>
      <c r="O247" s="26">
        <f>INDEX(Comparison!$AM$3:$AS$33,S$14,$E$122)</f>
        <v>5493.0807600988655</v>
      </c>
      <c r="P247" s="26">
        <f>INDEX(Comparison!$AM$3:$AS$33,T$14,$E$122)</f>
        <v>5310.1724689095536</v>
      </c>
      <c r="Q247" s="26">
        <f>INDEX(Comparison!$AM$3:$AS$33,U$14,$E$122)</f>
        <v>5116.9183384452708</v>
      </c>
      <c r="R247" s="26">
        <f>INDEX(Comparison!$AM$3:$AS$33,V$14,$E$122)</f>
        <v>4889.0072432178858</v>
      </c>
      <c r="S247" s="26">
        <f>INDEX(Comparison!$AM$3:$AS$33,W$14,$E$122)</f>
        <v>4599.1409750767552</v>
      </c>
      <c r="T247" s="26">
        <f>INDEX(Comparison!$AM$3:$AS$33,X$14,$E$122)</f>
        <v>4272.3926167684576</v>
      </c>
      <c r="U247" s="26">
        <f>INDEX(Comparison!$AM$3:$AS$33,Y$14,$E$122)</f>
        <v>3941.1470093551798</v>
      </c>
      <c r="V247" s="26">
        <f>INDEX(Comparison!$AM$3:$AS$33,Z$14,$E$122)</f>
        <v>3608.495032401398</v>
      </c>
      <c r="W247" s="26">
        <f>INDEX(Comparison!$AM$3:$AS$33,AA$14,$E$122)</f>
        <v>3262.5462100054015</v>
      </c>
      <c r="X247" s="26">
        <f>INDEX(Comparison!$AM$3:$AS$33,AB$14,$E$122)</f>
        <v>2841.314577864513</v>
      </c>
      <c r="Y247" s="26">
        <f>INDEX(Comparison!$AM$3:$AS$33,AC$14,$E$122)</f>
        <v>2350.4004054830193</v>
      </c>
      <c r="Z247" s="26">
        <f>INDEX(Comparison!$AM$3:$AS$33,AD$14,$E$122)</f>
        <v>1794.2797745605371</v>
      </c>
      <c r="AA247" s="26">
        <f>INDEX(Comparison!$AM$3:$AS$33,AE$14,$E$122)</f>
        <v>1192.7526197056241</v>
      </c>
      <c r="AB247" s="26">
        <f>INDEX(Comparison!$AM$3:$AS$33,AF$14,$E$122)</f>
        <v>712.56207316539314</v>
      </c>
      <c r="AC247" s="26">
        <f>INDEX(Comparison!$AM$3:$AS$33,AG$14,$E$122)</f>
        <v>405.79350694215293</v>
      </c>
      <c r="AD247" s="26">
        <f>INDEX(Comparison!$AM$3:$AS$33,AH$14,$E$122)</f>
        <v>227.75650575396227</v>
      </c>
      <c r="AE247" s="26">
        <f>INDEX(Comparison!$AM$3:$AS$33,AI$14,$E$122)</f>
        <v>157.27484077697326</v>
      </c>
      <c r="AF247" s="26">
        <f>INDEX(Comparison!$AM$3:$AS$33,AJ$14,$E$122)</f>
        <v>137.32830205333357</v>
      </c>
      <c r="AG247" s="26"/>
      <c r="AH247" s="26"/>
    </row>
    <row r="248" spans="1:34" x14ac:dyDescent="0.25">
      <c r="A248" s="70" t="s">
        <v>22</v>
      </c>
      <c r="B248" s="27">
        <f>($C$17+SUM(B249:B279))*$B$51</f>
        <v>5924.3223454607651</v>
      </c>
      <c r="C248" s="27">
        <f t="shared" ref="C248:AF248" si="234">($C$17+SUM(C249:C279))*$B$51</f>
        <v>5924.3223454382805</v>
      </c>
      <c r="D248" s="27">
        <f t="shared" si="234"/>
        <v>5924.3223452134289</v>
      </c>
      <c r="E248" s="27">
        <f t="shared" si="234"/>
        <v>5924.3223429649152</v>
      </c>
      <c r="F248" s="27">
        <f t="shared" si="234"/>
        <v>5924.3223204797951</v>
      </c>
      <c r="G248" s="27">
        <f t="shared" si="234"/>
        <v>5924.3220956289151</v>
      </c>
      <c r="H248" s="27">
        <f t="shared" si="234"/>
        <v>5924.3198471529422</v>
      </c>
      <c r="I248" s="27">
        <f t="shared" si="234"/>
        <v>5924.2973656758404</v>
      </c>
      <c r="J248" s="27">
        <f t="shared" si="234"/>
        <v>5924.0728782335236</v>
      </c>
      <c r="K248" s="27">
        <f t="shared" si="234"/>
        <v>5921.8598280734795</v>
      </c>
      <c r="L248" s="27">
        <f t="shared" si="234"/>
        <v>5902.205440688469</v>
      </c>
      <c r="M248" s="27">
        <f t="shared" si="234"/>
        <v>5789.3162308677602</v>
      </c>
      <c r="N248" s="27">
        <f t="shared" si="234"/>
        <v>5647.0540517230666</v>
      </c>
      <c r="O248" s="27">
        <f t="shared" si="234"/>
        <v>5493.7940739593587</v>
      </c>
      <c r="P248" s="27">
        <f t="shared" si="234"/>
        <v>5309.503061799026</v>
      </c>
      <c r="Q248" s="27">
        <f t="shared" si="234"/>
        <v>5117.4161095172922</v>
      </c>
      <c r="R248" s="27">
        <f t="shared" si="234"/>
        <v>4888.6542048577921</v>
      </c>
      <c r="S248" s="27">
        <f t="shared" si="234"/>
        <v>4599.3187467877951</v>
      </c>
      <c r="T248" s="27">
        <f t="shared" si="234"/>
        <v>4272.2785545600727</v>
      </c>
      <c r="U248" s="27">
        <f t="shared" si="234"/>
        <v>3941.1708251348787</v>
      </c>
      <c r="V248" s="27">
        <f t="shared" si="234"/>
        <v>3608.4639270382295</v>
      </c>
      <c r="W248" s="27">
        <f t="shared" si="234"/>
        <v>3262.5331421148539</v>
      </c>
      <c r="X248" s="27">
        <f t="shared" si="234"/>
        <v>2841.2828545849916</v>
      </c>
      <c r="Y248" s="27">
        <f t="shared" si="234"/>
        <v>2350.3660159828432</v>
      </c>
      <c r="Z248" s="27">
        <f t="shared" si="234"/>
        <v>1794.249571184014</v>
      </c>
      <c r="AA248" s="27">
        <f t="shared" si="234"/>
        <v>1192.7064837823684</v>
      </c>
      <c r="AB248" s="27">
        <f t="shared" si="234"/>
        <v>712.54148452147706</v>
      </c>
      <c r="AC248" s="27">
        <f t="shared" si="234"/>
        <v>405.78203280541516</v>
      </c>
      <c r="AD248" s="27">
        <f t="shared" si="234"/>
        <v>227.74346630122903</v>
      </c>
      <c r="AE248" s="27">
        <f t="shared" si="234"/>
        <v>157.27659927298046</v>
      </c>
      <c r="AF248" s="27">
        <f t="shared" si="234"/>
        <v>137.32628115224907</v>
      </c>
      <c r="AG248" s="27"/>
      <c r="AH248" s="27"/>
    </row>
    <row r="249" spans="1:34" x14ac:dyDescent="0.25">
      <c r="B249" s="3">
        <f t="shared" ref="B249:AF249" si="235">$C18*EXP(-B$246/$A18/EXP(-$E$126))</f>
        <v>0</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0</v>
      </c>
      <c r="C250" s="3">
        <f t="shared" si="236"/>
        <v>0</v>
      </c>
      <c r="D250" s="3">
        <f t="shared" si="236"/>
        <v>0</v>
      </c>
      <c r="E250" s="3">
        <f t="shared" si="236"/>
        <v>0</v>
      </c>
      <c r="F250" s="3">
        <f t="shared" si="236"/>
        <v>0</v>
      </c>
      <c r="G250" s="3">
        <f t="shared" si="236"/>
        <v>0</v>
      </c>
      <c r="H250" s="3">
        <f t="shared" si="236"/>
        <v>0</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0</v>
      </c>
      <c r="C251" s="3">
        <f t="shared" si="237"/>
        <v>0</v>
      </c>
      <c r="D251" s="3">
        <f t="shared" si="237"/>
        <v>0</v>
      </c>
      <c r="E251" s="3">
        <f t="shared" si="237"/>
        <v>0</v>
      </c>
      <c r="F251" s="3">
        <f t="shared" si="237"/>
        <v>0</v>
      </c>
      <c r="G251" s="3">
        <f t="shared" si="237"/>
        <v>0</v>
      </c>
      <c r="H251" s="3">
        <f t="shared" si="237"/>
        <v>0</v>
      </c>
      <c r="I251" s="3">
        <f t="shared" si="237"/>
        <v>0</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0</v>
      </c>
      <c r="C252" s="3">
        <f t="shared" si="238"/>
        <v>0</v>
      </c>
      <c r="D252" s="3">
        <f t="shared" si="238"/>
        <v>0</v>
      </c>
      <c r="E252" s="3">
        <f t="shared" si="238"/>
        <v>0</v>
      </c>
      <c r="F252" s="3">
        <f t="shared" si="238"/>
        <v>0</v>
      </c>
      <c r="G252" s="3">
        <f t="shared" si="238"/>
        <v>0</v>
      </c>
      <c r="H252" s="3">
        <f t="shared" si="238"/>
        <v>0</v>
      </c>
      <c r="I252" s="3">
        <f t="shared" si="238"/>
        <v>0</v>
      </c>
      <c r="J252" s="3">
        <f t="shared" si="238"/>
        <v>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0</v>
      </c>
      <c r="C253" s="3">
        <f t="shared" si="239"/>
        <v>0</v>
      </c>
      <c r="D253" s="3">
        <f t="shared" si="239"/>
        <v>0</v>
      </c>
      <c r="E253" s="3">
        <f t="shared" si="239"/>
        <v>0</v>
      </c>
      <c r="F253" s="3">
        <f t="shared" si="239"/>
        <v>0</v>
      </c>
      <c r="G253" s="3">
        <f t="shared" si="239"/>
        <v>0</v>
      </c>
      <c r="H253" s="3">
        <f t="shared" si="239"/>
        <v>0</v>
      </c>
      <c r="I253" s="3">
        <f t="shared" si="239"/>
        <v>0</v>
      </c>
      <c r="J253" s="3">
        <f t="shared" si="239"/>
        <v>0</v>
      </c>
      <c r="K253" s="3">
        <f t="shared" si="239"/>
        <v>0</v>
      </c>
      <c r="L253" s="3">
        <f t="shared" si="239"/>
        <v>0</v>
      </c>
      <c r="M253" s="3">
        <f t="shared" si="239"/>
        <v>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0</v>
      </c>
      <c r="C254" s="3">
        <f t="shared" si="240"/>
        <v>0</v>
      </c>
      <c r="D254" s="3">
        <f t="shared" si="240"/>
        <v>0</v>
      </c>
      <c r="E254" s="3">
        <f t="shared" si="240"/>
        <v>0</v>
      </c>
      <c r="F254" s="3">
        <f t="shared" si="240"/>
        <v>0</v>
      </c>
      <c r="G254" s="3">
        <f t="shared" si="240"/>
        <v>0</v>
      </c>
      <c r="H254" s="3">
        <f t="shared" si="240"/>
        <v>0</v>
      </c>
      <c r="I254" s="3">
        <f t="shared" si="240"/>
        <v>0</v>
      </c>
      <c r="J254" s="3">
        <f t="shared" si="240"/>
        <v>0</v>
      </c>
      <c r="K254" s="3">
        <f t="shared" si="240"/>
        <v>0</v>
      </c>
      <c r="L254" s="3">
        <f t="shared" si="240"/>
        <v>0</v>
      </c>
      <c r="M254" s="3">
        <f t="shared" si="240"/>
        <v>0</v>
      </c>
      <c r="N254" s="3">
        <f t="shared" si="240"/>
        <v>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0</v>
      </c>
      <c r="C255" s="3">
        <f t="shared" si="241"/>
        <v>0</v>
      </c>
      <c r="D255" s="3">
        <f t="shared" si="241"/>
        <v>0</v>
      </c>
      <c r="E255" s="3">
        <f t="shared" si="241"/>
        <v>0</v>
      </c>
      <c r="F255" s="3">
        <f t="shared" si="241"/>
        <v>0</v>
      </c>
      <c r="G255" s="3">
        <f t="shared" si="241"/>
        <v>0</v>
      </c>
      <c r="H255" s="3">
        <f t="shared" si="241"/>
        <v>0</v>
      </c>
      <c r="I255" s="3">
        <f t="shared" si="241"/>
        <v>0</v>
      </c>
      <c r="J255" s="3">
        <f t="shared" si="241"/>
        <v>0</v>
      </c>
      <c r="K255" s="3">
        <f t="shared" si="241"/>
        <v>0</v>
      </c>
      <c r="L255" s="3">
        <f t="shared" si="241"/>
        <v>0</v>
      </c>
      <c r="M255" s="3">
        <f t="shared" si="241"/>
        <v>0</v>
      </c>
      <c r="N255" s="3">
        <f t="shared" si="241"/>
        <v>0</v>
      </c>
      <c r="O255" s="3">
        <f t="shared" si="241"/>
        <v>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0</v>
      </c>
      <c r="C256" s="3">
        <f t="shared" si="242"/>
        <v>0</v>
      </c>
      <c r="D256" s="3">
        <f t="shared" si="242"/>
        <v>0</v>
      </c>
      <c r="E256" s="3">
        <f t="shared" si="242"/>
        <v>0</v>
      </c>
      <c r="F256" s="3">
        <f t="shared" si="242"/>
        <v>0</v>
      </c>
      <c r="G256" s="3">
        <f t="shared" si="242"/>
        <v>0</v>
      </c>
      <c r="H256" s="3">
        <f t="shared" si="242"/>
        <v>0</v>
      </c>
      <c r="I256" s="3">
        <f t="shared" si="242"/>
        <v>0</v>
      </c>
      <c r="J256" s="3">
        <f t="shared" si="242"/>
        <v>0</v>
      </c>
      <c r="K256" s="3">
        <f t="shared" si="242"/>
        <v>0</v>
      </c>
      <c r="L256" s="3">
        <f t="shared" si="242"/>
        <v>0</v>
      </c>
      <c r="M256" s="3">
        <f t="shared" si="242"/>
        <v>0</v>
      </c>
      <c r="N256" s="3">
        <f t="shared" si="242"/>
        <v>0</v>
      </c>
      <c r="O256" s="3">
        <f t="shared" si="242"/>
        <v>0</v>
      </c>
      <c r="P256" s="3">
        <f t="shared" si="242"/>
        <v>0</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0</v>
      </c>
      <c r="C257" s="3">
        <f t="shared" si="243"/>
        <v>0</v>
      </c>
      <c r="D257" s="3">
        <f t="shared" si="243"/>
        <v>0</v>
      </c>
      <c r="E257" s="3">
        <f t="shared" si="243"/>
        <v>0</v>
      </c>
      <c r="F257" s="3">
        <f t="shared" si="243"/>
        <v>0</v>
      </c>
      <c r="G257" s="3">
        <f t="shared" si="243"/>
        <v>0</v>
      </c>
      <c r="H257" s="3">
        <f t="shared" si="243"/>
        <v>0</v>
      </c>
      <c r="I257" s="3">
        <f t="shared" si="243"/>
        <v>0</v>
      </c>
      <c r="J257" s="3">
        <f t="shared" si="243"/>
        <v>0</v>
      </c>
      <c r="K257" s="3">
        <f t="shared" si="243"/>
        <v>0</v>
      </c>
      <c r="L257" s="3">
        <f t="shared" si="243"/>
        <v>0</v>
      </c>
      <c r="M257" s="3">
        <f t="shared" si="243"/>
        <v>0</v>
      </c>
      <c r="N257" s="3">
        <f t="shared" si="243"/>
        <v>0</v>
      </c>
      <c r="O257" s="3">
        <f t="shared" si="243"/>
        <v>0</v>
      </c>
      <c r="P257" s="3">
        <f t="shared" si="243"/>
        <v>0</v>
      </c>
      <c r="Q257" s="3">
        <f t="shared" si="243"/>
        <v>0</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7.2761897864327674E-4</v>
      </c>
      <c r="C258" s="3">
        <f t="shared" si="244"/>
        <v>7.2761897790761271E-4</v>
      </c>
      <c r="D258" s="3">
        <f t="shared" si="244"/>
        <v>7.2761897055097311E-4</v>
      </c>
      <c r="E258" s="3">
        <f t="shared" si="244"/>
        <v>7.2761889698458077E-4</v>
      </c>
      <c r="F258" s="3">
        <f t="shared" si="244"/>
        <v>7.2761816132106629E-4</v>
      </c>
      <c r="G258" s="3">
        <f t="shared" si="244"/>
        <v>7.2761080472683048E-4</v>
      </c>
      <c r="H258" s="3">
        <f t="shared" si="244"/>
        <v>7.2753724287519077E-4</v>
      </c>
      <c r="I258" s="3">
        <f t="shared" si="244"/>
        <v>7.2680203327765149E-4</v>
      </c>
      <c r="J258" s="3">
        <f t="shared" si="244"/>
        <v>7.1949067662805029E-4</v>
      </c>
      <c r="K258" s="3">
        <f t="shared" si="244"/>
        <v>6.5030267500125916E-4</v>
      </c>
      <c r="L258" s="3">
        <f t="shared" si="244"/>
        <v>2.3660245099620906E-4</v>
      </c>
      <c r="M258" s="3">
        <f t="shared" si="244"/>
        <v>9.6173678355810673E-9</v>
      </c>
      <c r="N258" s="3">
        <f t="shared" si="244"/>
        <v>1.1842028523967071E-52</v>
      </c>
      <c r="O258" s="3">
        <f t="shared" si="244"/>
        <v>0</v>
      </c>
      <c r="P258" s="3">
        <f t="shared" si="244"/>
        <v>0</v>
      </c>
      <c r="Q258" s="3">
        <f t="shared" si="244"/>
        <v>0</v>
      </c>
      <c r="R258" s="3">
        <f t="shared" si="244"/>
        <v>0</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3.1446025256698346E-2</v>
      </c>
      <c r="C259" s="3">
        <f t="shared" si="245"/>
        <v>3.1446025253830293E-2</v>
      </c>
      <c r="D259" s="3">
        <f t="shared" si="245"/>
        <v>3.1446025225149721E-2</v>
      </c>
      <c r="E259" s="3">
        <f t="shared" si="245"/>
        <v>3.1446024938343996E-2</v>
      </c>
      <c r="F259" s="3">
        <f t="shared" si="245"/>
        <v>3.1446022070286898E-2</v>
      </c>
      <c r="G259" s="3">
        <f t="shared" si="245"/>
        <v>3.1445993389730302E-2</v>
      </c>
      <c r="H259" s="3">
        <f t="shared" si="245"/>
        <v>3.144570658560307E-2</v>
      </c>
      <c r="I259" s="3">
        <f t="shared" si="245"/>
        <v>3.1442838688196105E-2</v>
      </c>
      <c r="J259" s="3">
        <f t="shared" si="245"/>
        <v>3.1414174095810238E-2</v>
      </c>
      <c r="K259" s="3">
        <f t="shared" si="245"/>
        <v>3.1128961498885544E-2</v>
      </c>
      <c r="L259" s="3">
        <f t="shared" si="245"/>
        <v>2.8415447048842343E-2</v>
      </c>
      <c r="M259" s="3">
        <f t="shared" si="245"/>
        <v>1.1414400324471869E-2</v>
      </c>
      <c r="N259" s="3">
        <f t="shared" si="245"/>
        <v>1.2486455389129569E-6</v>
      </c>
      <c r="O259" s="3">
        <f t="shared" si="245"/>
        <v>3.0640783674772376E-46</v>
      </c>
      <c r="P259" s="3">
        <f t="shared" si="245"/>
        <v>0</v>
      </c>
      <c r="Q259" s="3">
        <f t="shared" si="245"/>
        <v>0</v>
      </c>
      <c r="R259" s="3">
        <f t="shared" si="245"/>
        <v>0</v>
      </c>
      <c r="S259" s="3">
        <f t="shared" si="245"/>
        <v>0</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1.9599632072165536E-2</v>
      </c>
      <c r="C260" s="3">
        <f t="shared" si="246"/>
        <v>1.959963207200428E-2</v>
      </c>
      <c r="D260" s="3">
        <f t="shared" si="246"/>
        <v>1.9599632070391716E-2</v>
      </c>
      <c r="E260" s="3">
        <f t="shared" si="246"/>
        <v>1.959963205426609E-2</v>
      </c>
      <c r="F260" s="3">
        <f t="shared" si="246"/>
        <v>1.9599631893009836E-2</v>
      </c>
      <c r="G260" s="3">
        <f t="shared" si="246"/>
        <v>1.9599630280447373E-2</v>
      </c>
      <c r="H260" s="3">
        <f t="shared" si="246"/>
        <v>1.9599614154830036E-2</v>
      </c>
      <c r="I260" s="3">
        <f t="shared" si="246"/>
        <v>1.9599452899386343E-2</v>
      </c>
      <c r="J260" s="3">
        <f t="shared" si="246"/>
        <v>1.9597840417917577E-2</v>
      </c>
      <c r="K260" s="3">
        <f t="shared" si="246"/>
        <v>1.9581722897822149E-2</v>
      </c>
      <c r="L260" s="3">
        <f t="shared" si="246"/>
        <v>1.9421274940363459E-2</v>
      </c>
      <c r="M260" s="3">
        <f t="shared" si="246"/>
        <v>1.7887353735312722E-2</v>
      </c>
      <c r="N260" s="3">
        <f t="shared" si="246"/>
        <v>7.856510343324687E-3</v>
      </c>
      <c r="O260" s="3">
        <f t="shared" si="246"/>
        <v>2.0992569371612661E-6</v>
      </c>
      <c r="P260" s="3">
        <f t="shared" si="246"/>
        <v>3.8942578246847633E-42</v>
      </c>
      <c r="Q260" s="3">
        <f t="shared" si="246"/>
        <v>0</v>
      </c>
      <c r="R260" s="3">
        <f t="shared" si="246"/>
        <v>0</v>
      </c>
      <c r="S260" s="3">
        <f t="shared" si="246"/>
        <v>0</v>
      </c>
      <c r="T260" s="3">
        <f t="shared" si="246"/>
        <v>0</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3.2516214564490352E-2</v>
      </c>
      <c r="C261" s="3">
        <f t="shared" si="247"/>
        <v>3.2516214564466225E-2</v>
      </c>
      <c r="D261" s="3">
        <f t="shared" si="247"/>
        <v>3.2516214564224891E-2</v>
      </c>
      <c r="E261" s="3">
        <f t="shared" si="247"/>
        <v>3.2516214561811571E-2</v>
      </c>
      <c r="F261" s="3">
        <f t="shared" si="247"/>
        <v>3.2516214537678355E-2</v>
      </c>
      <c r="G261" s="3">
        <f t="shared" si="247"/>
        <v>3.2516214296346178E-2</v>
      </c>
      <c r="H261" s="3">
        <f t="shared" si="247"/>
        <v>3.2516211883024573E-2</v>
      </c>
      <c r="I261" s="3">
        <f t="shared" si="247"/>
        <v>3.2516187749818355E-2</v>
      </c>
      <c r="J261" s="3">
        <f t="shared" si="247"/>
        <v>3.2515946418741289E-2</v>
      </c>
      <c r="K261" s="3">
        <f t="shared" si="247"/>
        <v>3.251353320648049E-2</v>
      </c>
      <c r="L261" s="3">
        <f t="shared" si="247"/>
        <v>3.2489410932158409E-2</v>
      </c>
      <c r="M261" s="3">
        <f t="shared" si="247"/>
        <v>3.224917031844033E-2</v>
      </c>
      <c r="N261" s="3">
        <f t="shared" si="247"/>
        <v>2.994233281004843E-2</v>
      </c>
      <c r="O261" s="3">
        <f t="shared" si="247"/>
        <v>1.4254648297634781E-2</v>
      </c>
      <c r="P261" s="3">
        <f t="shared" si="247"/>
        <v>8.5244278461105739E-6</v>
      </c>
      <c r="Q261" s="3">
        <f t="shared" si="247"/>
        <v>4.986003337625277E-38</v>
      </c>
      <c r="R261" s="3">
        <f t="shared" si="247"/>
        <v>0</v>
      </c>
      <c r="S261" s="3">
        <f t="shared" si="247"/>
        <v>0</v>
      </c>
      <c r="T261" s="3">
        <f t="shared" si="247"/>
        <v>0</v>
      </c>
      <c r="U261" s="3">
        <f t="shared" si="247"/>
        <v>0</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3.2163923063268325E-2</v>
      </c>
      <c r="C262" s="3">
        <f t="shared" si="248"/>
        <v>3.2163923063266167E-2</v>
      </c>
      <c r="D262" s="3">
        <f t="shared" si="248"/>
        <v>3.2163923063244636E-2</v>
      </c>
      <c r="E262" s="3">
        <f t="shared" si="248"/>
        <v>3.2163923063029294E-2</v>
      </c>
      <c r="F262" s="3">
        <f t="shared" si="248"/>
        <v>3.2163923060875857E-2</v>
      </c>
      <c r="G262" s="3">
        <f t="shared" si="248"/>
        <v>3.2163923039341555E-2</v>
      </c>
      <c r="H262" s="3">
        <f t="shared" si="248"/>
        <v>3.2163922823998513E-2</v>
      </c>
      <c r="I262" s="3">
        <f t="shared" si="248"/>
        <v>3.2163920670568176E-2</v>
      </c>
      <c r="J262" s="3">
        <f t="shared" si="248"/>
        <v>3.2163899136272676E-2</v>
      </c>
      <c r="K262" s="3">
        <f t="shared" si="248"/>
        <v>3.2163683794110713E-2</v>
      </c>
      <c r="L262" s="3">
        <f t="shared" si="248"/>
        <v>3.2161530451785637E-2</v>
      </c>
      <c r="M262" s="3">
        <f t="shared" si="248"/>
        <v>3.2140004956027243E-2</v>
      </c>
      <c r="N262" s="3">
        <f t="shared" si="248"/>
        <v>3.1925540787386394E-2</v>
      </c>
      <c r="O262" s="3">
        <f t="shared" si="248"/>
        <v>2.9858053630089566E-2</v>
      </c>
      <c r="P262" s="3">
        <f t="shared" si="248"/>
        <v>1.5285998275268092E-2</v>
      </c>
      <c r="Q262" s="3">
        <f t="shared" si="248"/>
        <v>1.8906752149604896E-5</v>
      </c>
      <c r="R262" s="3">
        <f t="shared" si="248"/>
        <v>1.5843392406611798E-34</v>
      </c>
      <c r="S262" s="3">
        <f t="shared" si="248"/>
        <v>0</v>
      </c>
      <c r="T262" s="3">
        <f t="shared" si="248"/>
        <v>0</v>
      </c>
      <c r="U262" s="3">
        <f t="shared" si="248"/>
        <v>0</v>
      </c>
      <c r="V262" s="3">
        <f t="shared" si="248"/>
        <v>0</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3.3900572605001067E-2</v>
      </c>
      <c r="C263" s="3">
        <f t="shared" si="249"/>
        <v>3.3900572605000859E-2</v>
      </c>
      <c r="D263" s="3">
        <f t="shared" si="249"/>
        <v>3.3900572604998812E-2</v>
      </c>
      <c r="E263" s="3">
        <f t="shared" si="249"/>
        <v>3.3900572604978342E-2</v>
      </c>
      <c r="F263" s="3">
        <f t="shared" si="249"/>
        <v>3.3900572604773596E-2</v>
      </c>
      <c r="G263" s="3">
        <f t="shared" si="249"/>
        <v>3.3900572602726137E-2</v>
      </c>
      <c r="H263" s="3">
        <f t="shared" si="249"/>
        <v>3.3900572582251529E-2</v>
      </c>
      <c r="I263" s="3">
        <f t="shared" si="249"/>
        <v>3.3900572377505517E-2</v>
      </c>
      <c r="J263" s="3">
        <f t="shared" si="249"/>
        <v>3.3900570330045447E-2</v>
      </c>
      <c r="K263" s="3">
        <f t="shared" si="249"/>
        <v>3.3900549855451594E-2</v>
      </c>
      <c r="L263" s="3">
        <f t="shared" si="249"/>
        <v>3.3900345110193145E-2</v>
      </c>
      <c r="M263" s="3">
        <f t="shared" si="249"/>
        <v>3.3898297725619093E-2</v>
      </c>
      <c r="N263" s="3">
        <f t="shared" si="249"/>
        <v>3.3877830679406154E-2</v>
      </c>
      <c r="O263" s="3">
        <f t="shared" si="249"/>
        <v>3.3673838653027428E-2</v>
      </c>
      <c r="P263" s="3">
        <f t="shared" si="249"/>
        <v>3.1700270076620081E-2</v>
      </c>
      <c r="Q263" s="3">
        <f t="shared" si="249"/>
        <v>1.7328713385261641E-2</v>
      </c>
      <c r="R263" s="3">
        <f t="shared" si="249"/>
        <v>4.1285721796078956E-5</v>
      </c>
      <c r="S263" s="3">
        <f t="shared" si="249"/>
        <v>2.4329630495320163E-31</v>
      </c>
      <c r="T263" s="3">
        <f t="shared" si="249"/>
        <v>1.2288300618863361E-293</v>
      </c>
      <c r="U263" s="3">
        <f t="shared" si="249"/>
        <v>0</v>
      </c>
      <c r="V263" s="3">
        <f t="shared" si="249"/>
        <v>0</v>
      </c>
      <c r="W263" s="3">
        <f t="shared" si="249"/>
        <v>0</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4.6234934193755552E-2</v>
      </c>
      <c r="C264" s="3">
        <f t="shared" si="250"/>
        <v>4.6234934193755531E-2</v>
      </c>
      <c r="D264" s="3">
        <f t="shared" si="250"/>
        <v>4.6234934193755274E-2</v>
      </c>
      <c r="E264" s="3">
        <f t="shared" si="250"/>
        <v>4.6234934193752762E-2</v>
      </c>
      <c r="F264" s="3">
        <f t="shared" si="250"/>
        <v>4.6234934193727567E-2</v>
      </c>
      <c r="G264" s="3">
        <f t="shared" si="250"/>
        <v>4.6234934193475671E-2</v>
      </c>
      <c r="H264" s="3">
        <f t="shared" si="250"/>
        <v>4.6234934190956693E-2</v>
      </c>
      <c r="I264" s="3">
        <f t="shared" si="250"/>
        <v>4.6234934165766857E-2</v>
      </c>
      <c r="J264" s="3">
        <f t="shared" si="250"/>
        <v>4.6234933913868549E-2</v>
      </c>
      <c r="K264" s="3">
        <f t="shared" si="250"/>
        <v>4.6234931394885513E-2</v>
      </c>
      <c r="L264" s="3">
        <f t="shared" si="250"/>
        <v>4.6234906205062716E-2</v>
      </c>
      <c r="M264" s="3">
        <f t="shared" si="250"/>
        <v>4.62346543075896E-2</v>
      </c>
      <c r="N264" s="3">
        <f t="shared" si="250"/>
        <v>4.6232135408338662E-2</v>
      </c>
      <c r="O264" s="3">
        <f t="shared" si="250"/>
        <v>4.6206953962331265E-2</v>
      </c>
      <c r="P264" s="3">
        <f t="shared" si="250"/>
        <v>4.5955892633411141E-2</v>
      </c>
      <c r="Q264" s="3">
        <f t="shared" si="250"/>
        <v>4.3519096136541084E-2</v>
      </c>
      <c r="R264" s="3">
        <f t="shared" si="250"/>
        <v>2.5238670464253037E-2</v>
      </c>
      <c r="S264" s="3">
        <f t="shared" si="250"/>
        <v>1.0862568730097881E-4</v>
      </c>
      <c r="T264" s="3">
        <f t="shared" si="250"/>
        <v>2.3691533853078618E-28</v>
      </c>
      <c r="U264" s="3">
        <f t="shared" si="250"/>
        <v>5.7703159809901086E-265</v>
      </c>
      <c r="V264" s="3">
        <f t="shared" si="250"/>
        <v>0</v>
      </c>
      <c r="W264" s="3">
        <f t="shared" si="250"/>
        <v>0</v>
      </c>
      <c r="X264" s="3">
        <f t="shared" si="250"/>
        <v>0</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5.6671396993887152E-2</v>
      </c>
      <c r="C265" s="3">
        <f t="shared" si="251"/>
        <v>5.6671396993887152E-2</v>
      </c>
      <c r="D265" s="3">
        <f t="shared" si="251"/>
        <v>5.6671396993887117E-2</v>
      </c>
      <c r="E265" s="3">
        <f t="shared" si="251"/>
        <v>5.6671396993886847E-2</v>
      </c>
      <c r="F265" s="3">
        <f t="shared" si="251"/>
        <v>5.6671396993884057E-2</v>
      </c>
      <c r="G265" s="3">
        <f t="shared" si="251"/>
        <v>5.6671396993856205E-2</v>
      </c>
      <c r="H265" s="3">
        <f t="shared" si="251"/>
        <v>5.6671396993577677E-2</v>
      </c>
      <c r="I265" s="3">
        <f t="shared" si="251"/>
        <v>5.6671396990792419E-2</v>
      </c>
      <c r="J265" s="3">
        <f t="shared" si="251"/>
        <v>5.6671396962939838E-2</v>
      </c>
      <c r="K265" s="3">
        <f t="shared" si="251"/>
        <v>5.6671396684413976E-2</v>
      </c>
      <c r="L265" s="3">
        <f t="shared" si="251"/>
        <v>5.6671393899155473E-2</v>
      </c>
      <c r="M265" s="3">
        <f t="shared" si="251"/>
        <v>5.667136604657793E-2</v>
      </c>
      <c r="N265" s="3">
        <f t="shared" si="251"/>
        <v>5.6671087521555356E-2</v>
      </c>
      <c r="O265" s="3">
        <f t="shared" si="251"/>
        <v>5.6668302346616878E-2</v>
      </c>
      <c r="P265" s="3">
        <f t="shared" si="251"/>
        <v>5.6640458124581343E-2</v>
      </c>
      <c r="Q265" s="3">
        <f t="shared" si="251"/>
        <v>5.63627672721368E-2</v>
      </c>
      <c r="R265" s="3">
        <f t="shared" si="251"/>
        <v>5.3659646983829842E-2</v>
      </c>
      <c r="S265" s="3">
        <f t="shared" si="251"/>
        <v>3.2824857232515318E-2</v>
      </c>
      <c r="T265" s="3">
        <f t="shared" si="251"/>
        <v>2.4085362790996056E-4</v>
      </c>
      <c r="U265" s="3">
        <f t="shared" si="251"/>
        <v>1.0895738143391743E-25</v>
      </c>
      <c r="V265" s="3">
        <f t="shared" si="251"/>
        <v>3.9110314383627556E-239</v>
      </c>
      <c r="W265" s="3">
        <f t="shared" si="251"/>
        <v>0</v>
      </c>
      <c r="X265" s="3">
        <f t="shared" si="251"/>
        <v>0</v>
      </c>
      <c r="Y265" s="3">
        <f t="shared" si="251"/>
        <v>0</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5.870573738309863E-2</v>
      </c>
      <c r="C266" s="3">
        <f t="shared" si="252"/>
        <v>5.870573738309863E-2</v>
      </c>
      <c r="D266" s="3">
        <f t="shared" si="252"/>
        <v>5.870573738309863E-2</v>
      </c>
      <c r="E266" s="3">
        <f t="shared" si="252"/>
        <v>5.8705737383098602E-2</v>
      </c>
      <c r="F266" s="3">
        <f t="shared" si="252"/>
        <v>5.8705737383098346E-2</v>
      </c>
      <c r="G266" s="3">
        <f t="shared" si="252"/>
        <v>5.8705737383095737E-2</v>
      </c>
      <c r="H266" s="3">
        <f t="shared" si="252"/>
        <v>5.8705737383069709E-2</v>
      </c>
      <c r="I266" s="3">
        <f t="shared" si="252"/>
        <v>5.8705737382809438E-2</v>
      </c>
      <c r="J266" s="3">
        <f t="shared" si="252"/>
        <v>5.8705737380206714E-2</v>
      </c>
      <c r="K266" s="3">
        <f t="shared" si="252"/>
        <v>5.870573735417943E-2</v>
      </c>
      <c r="L266" s="3">
        <f t="shared" si="252"/>
        <v>5.8705737093906654E-2</v>
      </c>
      <c r="M266" s="3">
        <f t="shared" si="252"/>
        <v>5.8705734491178975E-2</v>
      </c>
      <c r="N266" s="3">
        <f t="shared" si="252"/>
        <v>5.8705708463908539E-2</v>
      </c>
      <c r="O266" s="3">
        <f t="shared" si="252"/>
        <v>5.8705448191838788E-2</v>
      </c>
      <c r="P266" s="3">
        <f t="shared" si="252"/>
        <v>5.8702845534605856E-2</v>
      </c>
      <c r="Q266" s="3">
        <f t="shared" si="252"/>
        <v>5.8676825307698049E-2</v>
      </c>
      <c r="R266" s="3">
        <f t="shared" si="252"/>
        <v>5.8417256541094517E-2</v>
      </c>
      <c r="S266" s="3">
        <f t="shared" si="252"/>
        <v>5.5883892133430639E-2</v>
      </c>
      <c r="T266" s="3">
        <f t="shared" si="252"/>
        <v>3.5870838615090564E-2</v>
      </c>
      <c r="U266" s="3">
        <f t="shared" si="252"/>
        <v>4.2588306749644864E-4</v>
      </c>
      <c r="V266" s="3">
        <f t="shared" si="252"/>
        <v>2.3701662398370074E-23</v>
      </c>
      <c r="W266" s="3">
        <f t="shared" si="252"/>
        <v>6.7555879325449911E-216</v>
      </c>
      <c r="X266" s="3">
        <f t="shared" si="252"/>
        <v>0</v>
      </c>
      <c r="Y266" s="3">
        <f t="shared" si="252"/>
        <v>0</v>
      </c>
      <c r="Z266" s="3">
        <f t="shared" si="252"/>
        <v>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5.620235606497212E-2</v>
      </c>
      <c r="C267" s="3">
        <f t="shared" si="253"/>
        <v>5.620235606497212E-2</v>
      </c>
      <c r="D267" s="3">
        <f t="shared" si="253"/>
        <v>5.620235606497212E-2</v>
      </c>
      <c r="E267" s="3">
        <f t="shared" si="253"/>
        <v>5.620235606497212E-2</v>
      </c>
      <c r="F267" s="3">
        <f t="shared" si="253"/>
        <v>5.6202356064972092E-2</v>
      </c>
      <c r="G267" s="3">
        <f t="shared" si="253"/>
        <v>5.620235606497187E-2</v>
      </c>
      <c r="H267" s="3">
        <f t="shared" si="253"/>
        <v>5.6202356064969622E-2</v>
      </c>
      <c r="I267" s="3">
        <f t="shared" si="253"/>
        <v>5.620235606494714E-2</v>
      </c>
      <c r="J267" s="3">
        <f t="shared" si="253"/>
        <v>5.6202356064722368E-2</v>
      </c>
      <c r="K267" s="3">
        <f t="shared" si="253"/>
        <v>5.6202356062474611E-2</v>
      </c>
      <c r="L267" s="3">
        <f t="shared" si="253"/>
        <v>5.6202356039997042E-2</v>
      </c>
      <c r="M267" s="3">
        <f t="shared" si="253"/>
        <v>5.6202355815221372E-2</v>
      </c>
      <c r="N267" s="3">
        <f t="shared" si="253"/>
        <v>5.620235356746469E-2</v>
      </c>
      <c r="O267" s="3">
        <f t="shared" si="253"/>
        <v>5.6202331089902816E-2</v>
      </c>
      <c r="P267" s="3">
        <f t="shared" si="253"/>
        <v>5.6202106314778538E-2</v>
      </c>
      <c r="Q267" s="3">
        <f t="shared" si="253"/>
        <v>5.6199858612978111E-2</v>
      </c>
      <c r="R267" s="3">
        <f t="shared" si="253"/>
        <v>5.6177386538483448E-2</v>
      </c>
      <c r="S267" s="3">
        <f t="shared" si="253"/>
        <v>5.5953159413745727E-2</v>
      </c>
      <c r="T267" s="3">
        <f t="shared" si="253"/>
        <v>5.3759527487384509E-2</v>
      </c>
      <c r="U267" s="3">
        <f t="shared" si="253"/>
        <v>3.6038253042419401E-2</v>
      </c>
      <c r="V267" s="3">
        <f t="shared" si="253"/>
        <v>6.6046012899645195E-4</v>
      </c>
      <c r="W267" s="3">
        <f t="shared" si="253"/>
        <v>2.8227690807964101E-21</v>
      </c>
      <c r="X267" s="3">
        <f t="shared" si="253"/>
        <v>5.7406731271742614E-195</v>
      </c>
      <c r="Y267" s="3">
        <f t="shared" si="253"/>
        <v>0</v>
      </c>
      <c r="Z267" s="3">
        <f t="shared" si="253"/>
        <v>0</v>
      </c>
      <c r="AA267" s="3">
        <f t="shared" si="253"/>
        <v>0</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6.3415296184233166E-2</v>
      </c>
      <c r="C268" s="3">
        <f t="shared" si="254"/>
        <v>6.3415296184233166E-2</v>
      </c>
      <c r="D268" s="3">
        <f t="shared" si="254"/>
        <v>6.3415296184233166E-2</v>
      </c>
      <c r="E268" s="3">
        <f t="shared" si="254"/>
        <v>6.3415296184233166E-2</v>
      </c>
      <c r="F268" s="3">
        <f t="shared" si="254"/>
        <v>6.3415296184233166E-2</v>
      </c>
      <c r="G268" s="3">
        <f t="shared" si="254"/>
        <v>6.3415296184233139E-2</v>
      </c>
      <c r="H268" s="3">
        <f t="shared" si="254"/>
        <v>6.3415296184232917E-2</v>
      </c>
      <c r="I268" s="3">
        <f t="shared" si="254"/>
        <v>6.3415296184230627E-2</v>
      </c>
      <c r="J268" s="3">
        <f t="shared" si="254"/>
        <v>6.3415296184207742E-2</v>
      </c>
      <c r="K268" s="3">
        <f t="shared" si="254"/>
        <v>6.3415296183978953E-2</v>
      </c>
      <c r="L268" s="3">
        <f t="shared" si="254"/>
        <v>6.3415296181691061E-2</v>
      </c>
      <c r="M268" s="3">
        <f t="shared" si="254"/>
        <v>6.3415296158812154E-2</v>
      </c>
      <c r="N268" s="3">
        <f t="shared" si="254"/>
        <v>6.3415295930023013E-2</v>
      </c>
      <c r="O268" s="3">
        <f t="shared" si="254"/>
        <v>6.3415293642131679E-2</v>
      </c>
      <c r="P268" s="3">
        <f t="shared" si="254"/>
        <v>6.3415270763222925E-2</v>
      </c>
      <c r="Q268" s="3">
        <f t="shared" si="254"/>
        <v>6.3415041974589387E-2</v>
      </c>
      <c r="R268" s="3">
        <f t="shared" si="254"/>
        <v>6.3412754133651536E-2</v>
      </c>
      <c r="S268" s="3">
        <f t="shared" si="254"/>
        <v>6.3389880263428497E-2</v>
      </c>
      <c r="T268" s="3">
        <f t="shared" si="254"/>
        <v>6.316159487140259E-2</v>
      </c>
      <c r="U268" s="3">
        <f t="shared" si="254"/>
        <v>6.0923472650828821E-2</v>
      </c>
      <c r="V268" s="3">
        <f t="shared" si="254"/>
        <v>4.2471761717365261E-2</v>
      </c>
      <c r="W268" s="3">
        <f t="shared" si="254"/>
        <v>1.1514803500522759E-3</v>
      </c>
      <c r="X268" s="3">
        <f t="shared" si="254"/>
        <v>2.4706947070146142E-19</v>
      </c>
      <c r="Y268" s="3">
        <f t="shared" si="254"/>
        <v>5.110279120651318E-176</v>
      </c>
      <c r="Z268" s="3">
        <f t="shared" si="254"/>
        <v>0</v>
      </c>
      <c r="AA268" s="3">
        <f t="shared" si="254"/>
        <v>0</v>
      </c>
      <c r="AB268" s="3">
        <f t="shared" si="254"/>
        <v>0</v>
      </c>
      <c r="AC268" s="3">
        <f t="shared" si="254"/>
        <v>0</v>
      </c>
      <c r="AD268" s="3">
        <f t="shared" si="254"/>
        <v>0</v>
      </c>
      <c r="AE268" s="3">
        <f t="shared" si="254"/>
        <v>0</v>
      </c>
      <c r="AF268" s="3">
        <f t="shared" si="254"/>
        <v>0</v>
      </c>
      <c r="AG268" s="3"/>
      <c r="AH268" s="3"/>
    </row>
    <row r="269" spans="2:34" x14ac:dyDescent="0.25">
      <c r="B269" s="3">
        <f t="shared" ref="B269:AF269" si="255">$C38*EXP(-B$246/$A38/EXP(-$E$126))</f>
        <v>3.5348869965799563E-2</v>
      </c>
      <c r="C269" s="3">
        <f t="shared" si="255"/>
        <v>3.5348869965799563E-2</v>
      </c>
      <c r="D269" s="3">
        <f t="shared" si="255"/>
        <v>3.5348869965799563E-2</v>
      </c>
      <c r="E269" s="3">
        <f t="shared" si="255"/>
        <v>3.5348869965799563E-2</v>
      </c>
      <c r="F269" s="3">
        <f t="shared" si="255"/>
        <v>3.5348869965799563E-2</v>
      </c>
      <c r="G269" s="3">
        <f t="shared" si="255"/>
        <v>3.5348869965799563E-2</v>
      </c>
      <c r="H269" s="3">
        <f t="shared" si="255"/>
        <v>3.5348869965799549E-2</v>
      </c>
      <c r="I269" s="3">
        <f t="shared" si="255"/>
        <v>3.5348869965799432E-2</v>
      </c>
      <c r="J269" s="3">
        <f t="shared" si="255"/>
        <v>3.5348869965798287E-2</v>
      </c>
      <c r="K269" s="3">
        <f t="shared" si="255"/>
        <v>3.5348869965786782E-2</v>
      </c>
      <c r="L269" s="3">
        <f t="shared" si="255"/>
        <v>3.5348869965671735E-2</v>
      </c>
      <c r="M269" s="3">
        <f t="shared" si="255"/>
        <v>3.5348869964521301E-2</v>
      </c>
      <c r="N269" s="3">
        <f t="shared" si="255"/>
        <v>3.5348869953016913E-2</v>
      </c>
      <c r="O269" s="3">
        <f t="shared" si="255"/>
        <v>3.5348869837973036E-2</v>
      </c>
      <c r="P269" s="3">
        <f t="shared" si="255"/>
        <v>3.5348868687534306E-2</v>
      </c>
      <c r="Q269" s="3">
        <f t="shared" si="255"/>
        <v>3.5348857183149063E-2</v>
      </c>
      <c r="R269" s="3">
        <f t="shared" si="255"/>
        <v>3.5348742139502613E-2</v>
      </c>
      <c r="S269" s="3">
        <f t="shared" si="255"/>
        <v>3.5347591723630542E-2</v>
      </c>
      <c r="T269" s="3">
        <f t="shared" si="255"/>
        <v>3.5336089623908412E-2</v>
      </c>
      <c r="U269" s="3">
        <f t="shared" si="255"/>
        <v>3.5221274278824509E-2</v>
      </c>
      <c r="V269" s="3">
        <f t="shared" si="255"/>
        <v>3.4093440541541752E-2</v>
      </c>
      <c r="W269" s="3">
        <f t="shared" si="255"/>
        <v>2.4622292695403662E-2</v>
      </c>
      <c r="X269" s="3">
        <f t="shared" si="255"/>
        <v>9.503970577446236E-4</v>
      </c>
      <c r="Y269" s="3">
        <f t="shared" si="255"/>
        <v>6.9770368721489845E-18</v>
      </c>
      <c r="Z269" s="3">
        <f t="shared" si="255"/>
        <v>3.17197947237923E-159</v>
      </c>
      <c r="AA269" s="3">
        <f t="shared" si="255"/>
        <v>0</v>
      </c>
      <c r="AB269" s="3">
        <f t="shared" si="255"/>
        <v>0</v>
      </c>
      <c r="AC269" s="3">
        <f t="shared" si="255"/>
        <v>0</v>
      </c>
      <c r="AD269" s="3">
        <f t="shared" si="255"/>
        <v>0</v>
      </c>
      <c r="AE269" s="3">
        <f t="shared" si="255"/>
        <v>0</v>
      </c>
      <c r="AF269" s="3">
        <f t="shared" si="255"/>
        <v>0</v>
      </c>
      <c r="AG269" s="3"/>
      <c r="AH269" s="3"/>
    </row>
    <row r="270" spans="2:34" x14ac:dyDescent="0.25">
      <c r="B270" s="3">
        <f t="shared" ref="B270:AF270" si="256">$C39*EXP(-B$246/$A39/EXP(-$E$126))</f>
        <v>7.0460456800535406E-2</v>
      </c>
      <c r="C270" s="3">
        <f t="shared" si="256"/>
        <v>7.0460456800535406E-2</v>
      </c>
      <c r="D270" s="3">
        <f t="shared" si="256"/>
        <v>7.0460456800535406E-2</v>
      </c>
      <c r="E270" s="3">
        <f t="shared" si="256"/>
        <v>7.0460456800535406E-2</v>
      </c>
      <c r="F270" s="3">
        <f t="shared" si="256"/>
        <v>7.0460456800535406E-2</v>
      </c>
      <c r="G270" s="3">
        <f t="shared" si="256"/>
        <v>7.0460456800535406E-2</v>
      </c>
      <c r="H270" s="3">
        <f t="shared" si="256"/>
        <v>7.0460456800535393E-2</v>
      </c>
      <c r="I270" s="3">
        <f t="shared" si="256"/>
        <v>7.0460456800535337E-2</v>
      </c>
      <c r="J270" s="3">
        <f t="shared" si="256"/>
        <v>7.0460456800534699E-2</v>
      </c>
      <c r="K270" s="3">
        <f t="shared" si="256"/>
        <v>7.0460456800528357E-2</v>
      </c>
      <c r="L270" s="3">
        <f t="shared" si="256"/>
        <v>7.0460456800464935E-2</v>
      </c>
      <c r="M270" s="3">
        <f t="shared" si="256"/>
        <v>7.0460456799830706E-2</v>
      </c>
      <c r="N270" s="3">
        <f t="shared" si="256"/>
        <v>7.0460456793488419E-2</v>
      </c>
      <c r="O270" s="3">
        <f t="shared" si="256"/>
        <v>7.0460456730065485E-2</v>
      </c>
      <c r="P270" s="3">
        <f t="shared" si="256"/>
        <v>7.0460456095836219E-2</v>
      </c>
      <c r="Q270" s="3">
        <f t="shared" si="256"/>
        <v>7.0460449753543833E-2</v>
      </c>
      <c r="R270" s="3">
        <f t="shared" si="256"/>
        <v>7.0460386330651298E-2</v>
      </c>
      <c r="S270" s="3">
        <f t="shared" si="256"/>
        <v>7.0459752104865853E-2</v>
      </c>
      <c r="T270" s="3">
        <f t="shared" si="256"/>
        <v>7.0453410160985511E-2</v>
      </c>
      <c r="U270" s="3">
        <f t="shared" si="256"/>
        <v>7.0390022109131173E-2</v>
      </c>
      <c r="V270" s="3">
        <f t="shared" si="256"/>
        <v>6.9759269857362041E-2</v>
      </c>
      <c r="W270" s="3">
        <f t="shared" si="256"/>
        <v>6.3754401603841299E-2</v>
      </c>
      <c r="X270" s="3">
        <f t="shared" si="256"/>
        <v>2.5917472628565103E-2</v>
      </c>
      <c r="Y270" s="3">
        <f t="shared" si="256"/>
        <v>3.194606682063711E-6</v>
      </c>
      <c r="Z270" s="3">
        <f t="shared" si="256"/>
        <v>2.5862164364249784E-45</v>
      </c>
      <c r="AA270" s="3">
        <f t="shared" si="256"/>
        <v>0</v>
      </c>
      <c r="AB270" s="3">
        <f t="shared" si="256"/>
        <v>0</v>
      </c>
      <c r="AC270" s="3">
        <f t="shared" si="256"/>
        <v>0</v>
      </c>
      <c r="AD270" s="3">
        <f t="shared" si="256"/>
        <v>0</v>
      </c>
      <c r="AE270" s="3">
        <f t="shared" si="256"/>
        <v>0</v>
      </c>
      <c r="AF270" s="3">
        <f t="shared" si="256"/>
        <v>0</v>
      </c>
      <c r="AG270" s="3"/>
      <c r="AH270" s="3"/>
    </row>
    <row r="271" spans="2:34" x14ac:dyDescent="0.25">
      <c r="B271" s="3">
        <f t="shared" ref="B271:AF271" si="257">$C40*EXP(-B$246/$A40/EXP(-$E$126))</f>
        <v>8.6875447409324694E-2</v>
      </c>
      <c r="C271" s="3">
        <f t="shared" si="257"/>
        <v>8.6875447409324694E-2</v>
      </c>
      <c r="D271" s="3">
        <f t="shared" si="257"/>
        <v>8.6875447409324694E-2</v>
      </c>
      <c r="E271" s="3">
        <f t="shared" si="257"/>
        <v>8.6875447409324694E-2</v>
      </c>
      <c r="F271" s="3">
        <f t="shared" si="257"/>
        <v>8.6875447409324694E-2</v>
      </c>
      <c r="G271" s="3">
        <f t="shared" si="257"/>
        <v>8.6875447409324694E-2</v>
      </c>
      <c r="H271" s="3">
        <f t="shared" si="257"/>
        <v>8.6875447409324694E-2</v>
      </c>
      <c r="I271" s="3">
        <f t="shared" si="257"/>
        <v>8.687544740932468E-2</v>
      </c>
      <c r="J271" s="3">
        <f t="shared" si="257"/>
        <v>8.687544740932461E-2</v>
      </c>
      <c r="K271" s="3">
        <f t="shared" si="257"/>
        <v>8.6875447409323819E-2</v>
      </c>
      <c r="L271" s="3">
        <f t="shared" si="257"/>
        <v>8.6875447409316006E-2</v>
      </c>
      <c r="M271" s="3">
        <f t="shared" si="257"/>
        <v>8.6875447409237805E-2</v>
      </c>
      <c r="N271" s="3">
        <f t="shared" si="257"/>
        <v>8.6875447408455819E-2</v>
      </c>
      <c r="O271" s="3">
        <f t="shared" si="257"/>
        <v>8.6875447400635977E-2</v>
      </c>
      <c r="P271" s="3">
        <f t="shared" si="257"/>
        <v>8.6875447322437585E-2</v>
      </c>
      <c r="Q271" s="3">
        <f t="shared" si="257"/>
        <v>8.6875446540453552E-2</v>
      </c>
      <c r="R271" s="3">
        <f t="shared" si="257"/>
        <v>8.6875438720613693E-2</v>
      </c>
      <c r="S271" s="3">
        <f t="shared" si="257"/>
        <v>8.6875360522253711E-2</v>
      </c>
      <c r="T271" s="3">
        <f t="shared" si="257"/>
        <v>8.6874578542525366E-2</v>
      </c>
      <c r="U271" s="3">
        <f t="shared" si="257"/>
        <v>8.6866759132361596E-2</v>
      </c>
      <c r="V271" s="3">
        <f t="shared" si="257"/>
        <v>8.6788603729809483E-2</v>
      </c>
      <c r="W271" s="3">
        <f t="shared" si="257"/>
        <v>8.6010906755292202E-2</v>
      </c>
      <c r="X271" s="3">
        <f t="shared" si="257"/>
        <v>7.8607099856403351E-2</v>
      </c>
      <c r="Y271" s="3">
        <f t="shared" si="257"/>
        <v>3.1955399277349146E-2</v>
      </c>
      <c r="Z271" s="3">
        <f t="shared" si="257"/>
        <v>3.9388459485405194E-6</v>
      </c>
      <c r="AA271" s="3">
        <f t="shared" si="257"/>
        <v>3.1887205989567476E-45</v>
      </c>
      <c r="AB271" s="3">
        <f t="shared" si="257"/>
        <v>0</v>
      </c>
      <c r="AC271" s="3">
        <f t="shared" si="257"/>
        <v>0</v>
      </c>
      <c r="AD271" s="3">
        <f t="shared" si="257"/>
        <v>0</v>
      </c>
      <c r="AE271" s="3">
        <f t="shared" si="257"/>
        <v>0</v>
      </c>
      <c r="AF271" s="3">
        <f t="shared" si="257"/>
        <v>0</v>
      </c>
      <c r="AG271" s="3"/>
      <c r="AH271" s="3"/>
    </row>
    <row r="272" spans="2:34" x14ac:dyDescent="0.25">
      <c r="B272" s="3">
        <f t="shared" ref="B272:AF272" si="258">$C41*EXP(-B$246/$A41/EXP(-$E$126))</f>
        <v>9.6215979999175721E-2</v>
      </c>
      <c r="C272" s="3">
        <f t="shared" si="258"/>
        <v>9.6215979999175721E-2</v>
      </c>
      <c r="D272" s="3">
        <f t="shared" si="258"/>
        <v>9.6215979999175721E-2</v>
      </c>
      <c r="E272" s="3">
        <f t="shared" si="258"/>
        <v>9.6215979999175721E-2</v>
      </c>
      <c r="F272" s="3">
        <f t="shared" si="258"/>
        <v>9.6215979999175721E-2</v>
      </c>
      <c r="G272" s="3">
        <f t="shared" si="258"/>
        <v>9.6215979999175721E-2</v>
      </c>
      <c r="H272" s="3">
        <f t="shared" si="258"/>
        <v>9.6215979999175721E-2</v>
      </c>
      <c r="I272" s="3">
        <f t="shared" si="258"/>
        <v>9.6215979999175721E-2</v>
      </c>
      <c r="J272" s="3">
        <f t="shared" si="258"/>
        <v>9.6215979999175708E-2</v>
      </c>
      <c r="K272" s="3">
        <f t="shared" si="258"/>
        <v>9.6215979999175624E-2</v>
      </c>
      <c r="L272" s="3">
        <f t="shared" si="258"/>
        <v>9.6215979999174764E-2</v>
      </c>
      <c r="M272" s="3">
        <f t="shared" si="258"/>
        <v>9.621597999916609E-2</v>
      </c>
      <c r="N272" s="3">
        <f t="shared" si="258"/>
        <v>9.6215979999079493E-2</v>
      </c>
      <c r="O272" s="3">
        <f t="shared" si="258"/>
        <v>9.6215979998213436E-2</v>
      </c>
      <c r="P272" s="3">
        <f t="shared" si="258"/>
        <v>9.6215979989552836E-2</v>
      </c>
      <c r="Q272" s="3">
        <f t="shared" si="258"/>
        <v>9.6215979902946822E-2</v>
      </c>
      <c r="R272" s="3">
        <f t="shared" si="258"/>
        <v>9.6215979036886723E-2</v>
      </c>
      <c r="S272" s="3">
        <f t="shared" si="258"/>
        <v>9.621597037628607E-2</v>
      </c>
      <c r="T272" s="3">
        <f t="shared" si="258"/>
        <v>9.6215883770322433E-2</v>
      </c>
      <c r="U272" s="3">
        <f t="shared" si="258"/>
        <v>9.6215017714973691E-2</v>
      </c>
      <c r="V272" s="3">
        <f t="shared" si="258"/>
        <v>9.6206357590227776E-2</v>
      </c>
      <c r="W272" s="3">
        <f t="shared" si="258"/>
        <v>9.6119799202639258E-2</v>
      </c>
      <c r="X272" s="3">
        <f t="shared" si="258"/>
        <v>9.525848707387384E-2</v>
      </c>
      <c r="Y272" s="3">
        <f t="shared" si="258"/>
        <v>8.7058649746477368E-2</v>
      </c>
      <c r="Z272" s="3">
        <f t="shared" si="258"/>
        <v>3.5391127751534183E-2</v>
      </c>
      <c r="AA272" s="3">
        <f t="shared" si="258"/>
        <v>4.3623363597656881E-6</v>
      </c>
      <c r="AB272" s="3">
        <f t="shared" si="258"/>
        <v>3.5315602569115672E-45</v>
      </c>
      <c r="AC272" s="3">
        <f t="shared" si="258"/>
        <v>0</v>
      </c>
      <c r="AD272" s="3">
        <f t="shared" si="258"/>
        <v>0</v>
      </c>
      <c r="AE272" s="3">
        <f t="shared" si="258"/>
        <v>0</v>
      </c>
      <c r="AF272" s="3">
        <f t="shared" si="258"/>
        <v>0</v>
      </c>
      <c r="AG272" s="3"/>
      <c r="AH272" s="3"/>
    </row>
    <row r="273" spans="1:34" x14ac:dyDescent="0.25">
      <c r="B273" s="3">
        <f t="shared" ref="B273:AF273" si="259">$C42*EXP(-B$246/$A42/EXP(-$E$126))</f>
        <v>0.11161416834614406</v>
      </c>
      <c r="C273" s="3">
        <f t="shared" si="259"/>
        <v>0.11161416834614406</v>
      </c>
      <c r="D273" s="3">
        <f t="shared" si="259"/>
        <v>0.11161416834614406</v>
      </c>
      <c r="E273" s="3">
        <f t="shared" si="259"/>
        <v>0.11161416834614406</v>
      </c>
      <c r="F273" s="3">
        <f t="shared" si="259"/>
        <v>0.11161416834614406</v>
      </c>
      <c r="G273" s="3">
        <f t="shared" si="259"/>
        <v>0.11161416834614406</v>
      </c>
      <c r="H273" s="3">
        <f t="shared" si="259"/>
        <v>0.11161416834614406</v>
      </c>
      <c r="I273" s="3">
        <f t="shared" si="259"/>
        <v>0.11161416834614406</v>
      </c>
      <c r="J273" s="3">
        <f t="shared" si="259"/>
        <v>0.11161416834614406</v>
      </c>
      <c r="K273" s="3">
        <f t="shared" si="259"/>
        <v>0.11161416834614404</v>
      </c>
      <c r="L273" s="3">
        <f t="shared" si="259"/>
        <v>0.11161416834614395</v>
      </c>
      <c r="M273" s="3">
        <f t="shared" si="259"/>
        <v>0.11161416834614295</v>
      </c>
      <c r="N273" s="3">
        <f t="shared" si="259"/>
        <v>0.11161416834613289</v>
      </c>
      <c r="O273" s="3">
        <f t="shared" si="259"/>
        <v>0.11161416834603244</v>
      </c>
      <c r="P273" s="3">
        <f t="shared" si="259"/>
        <v>0.11161416834502777</v>
      </c>
      <c r="Q273" s="3">
        <f t="shared" si="259"/>
        <v>0.11161416833498114</v>
      </c>
      <c r="R273" s="3">
        <f t="shared" si="259"/>
        <v>0.11161416823451489</v>
      </c>
      <c r="S273" s="3">
        <f t="shared" si="259"/>
        <v>0.11161416722985248</v>
      </c>
      <c r="T273" s="3">
        <f t="shared" si="259"/>
        <v>0.11161415718322885</v>
      </c>
      <c r="U273" s="3">
        <f t="shared" si="259"/>
        <v>0.11161405671704221</v>
      </c>
      <c r="V273" s="3">
        <f t="shared" si="259"/>
        <v>0.11161305206014954</v>
      </c>
      <c r="W273" s="3">
        <f t="shared" si="259"/>
        <v>0.11160300598857911</v>
      </c>
      <c r="X273" s="3">
        <f t="shared" si="259"/>
        <v>0.11150259499194262</v>
      </c>
      <c r="Y273" s="3">
        <f t="shared" si="259"/>
        <v>0.11050344041346799</v>
      </c>
      <c r="Z273" s="3">
        <f t="shared" si="259"/>
        <v>0.10099131962148659</v>
      </c>
      <c r="AA273" s="3">
        <f t="shared" si="259"/>
        <v>4.1055043983894028E-2</v>
      </c>
      <c r="AB273" s="3">
        <f t="shared" si="259"/>
        <v>5.0604748280437821E-6</v>
      </c>
      <c r="AC273" s="3">
        <f t="shared" si="259"/>
        <v>4.0967431921688714E-45</v>
      </c>
      <c r="AD273" s="3">
        <f t="shared" si="259"/>
        <v>0</v>
      </c>
      <c r="AE273" s="3">
        <f t="shared" si="259"/>
        <v>0</v>
      </c>
      <c r="AF273" s="3">
        <f t="shared" si="259"/>
        <v>0</v>
      </c>
      <c r="AG273" s="3"/>
      <c r="AH273" s="3"/>
    </row>
    <row r="274" spans="1:34" x14ac:dyDescent="0.25">
      <c r="B274" s="3">
        <f t="shared" ref="B274:AF274" si="260">$C43*EXP(-B$246/$A43/EXP(-$E$126))</f>
        <v>6.6462351022397975E-2</v>
      </c>
      <c r="C274" s="3">
        <f t="shared" si="260"/>
        <v>6.6462351022397975E-2</v>
      </c>
      <c r="D274" s="3">
        <f t="shared" si="260"/>
        <v>6.6462351022397975E-2</v>
      </c>
      <c r="E274" s="3">
        <f t="shared" si="260"/>
        <v>6.6462351022397975E-2</v>
      </c>
      <c r="F274" s="3">
        <f t="shared" si="260"/>
        <v>6.6462351022397975E-2</v>
      </c>
      <c r="G274" s="3">
        <f t="shared" si="260"/>
        <v>6.6462351022397975E-2</v>
      </c>
      <c r="H274" s="3">
        <f t="shared" si="260"/>
        <v>6.6462351022397975E-2</v>
      </c>
      <c r="I274" s="3">
        <f t="shared" si="260"/>
        <v>6.6462351022397975E-2</v>
      </c>
      <c r="J274" s="3">
        <f t="shared" si="260"/>
        <v>6.6462351022397975E-2</v>
      </c>
      <c r="K274" s="3">
        <f t="shared" si="260"/>
        <v>6.6462351022397975E-2</v>
      </c>
      <c r="L274" s="3">
        <f t="shared" si="260"/>
        <v>6.6462351022397961E-2</v>
      </c>
      <c r="M274" s="3">
        <f t="shared" si="260"/>
        <v>6.6462351022397906E-2</v>
      </c>
      <c r="N274" s="3">
        <f t="shared" si="260"/>
        <v>6.6462351022397309E-2</v>
      </c>
      <c r="O274" s="3">
        <f t="shared" si="260"/>
        <v>6.6462351022391328E-2</v>
      </c>
      <c r="P274" s="3">
        <f t="shared" si="260"/>
        <v>6.6462351022331501E-2</v>
      </c>
      <c r="Q274" s="3">
        <f t="shared" si="260"/>
        <v>6.6462351021733257E-2</v>
      </c>
      <c r="R274" s="3">
        <f t="shared" si="260"/>
        <v>6.6462351015750848E-2</v>
      </c>
      <c r="S274" s="3">
        <f t="shared" si="260"/>
        <v>6.6462350955926702E-2</v>
      </c>
      <c r="T274" s="3">
        <f t="shared" si="260"/>
        <v>6.6462350357685218E-2</v>
      </c>
      <c r="U274" s="3">
        <f t="shared" si="260"/>
        <v>6.6462344375270641E-2</v>
      </c>
      <c r="V274" s="3">
        <f t="shared" si="260"/>
        <v>6.6462284551154577E-2</v>
      </c>
      <c r="W274" s="3">
        <f t="shared" si="260"/>
        <v>6.6461686312955542E-2</v>
      </c>
      <c r="X274" s="3">
        <f t="shared" si="260"/>
        <v>6.6455704227123574E-2</v>
      </c>
      <c r="Y274" s="3">
        <f t="shared" si="260"/>
        <v>6.6395912974777663E-2</v>
      </c>
      <c r="Z274" s="3">
        <f t="shared" si="260"/>
        <v>6.5800951212268505E-2</v>
      </c>
      <c r="AA274" s="3">
        <f t="shared" si="260"/>
        <v>6.0136814477552966E-2</v>
      </c>
      <c r="AB274" s="3">
        <f t="shared" si="260"/>
        <v>2.4446849221108038E-2</v>
      </c>
      <c r="AC274" s="3">
        <f t="shared" si="260"/>
        <v>3.0133365624192651E-6</v>
      </c>
      <c r="AD274" s="3">
        <f t="shared" si="260"/>
        <v>2.4394679288577361E-45</v>
      </c>
      <c r="AE274" s="3">
        <f t="shared" si="260"/>
        <v>0</v>
      </c>
      <c r="AF274" s="3">
        <f t="shared" si="260"/>
        <v>0</v>
      </c>
      <c r="AG274" s="3"/>
      <c r="AH274" s="3"/>
    </row>
    <row r="275" spans="1:34" x14ac:dyDescent="0.25">
      <c r="B275" s="3">
        <f t="shared" ref="B275:AF275" si="261">$C44*EXP(-B$246/$A44/EXP(-$E$126))</f>
        <v>4.7100906601755713E-2</v>
      </c>
      <c r="C275" s="3">
        <f t="shared" si="261"/>
        <v>4.7100906601755713E-2</v>
      </c>
      <c r="D275" s="3">
        <f t="shared" si="261"/>
        <v>4.7100906601755713E-2</v>
      </c>
      <c r="E275" s="3">
        <f t="shared" si="261"/>
        <v>4.7100906601755713E-2</v>
      </c>
      <c r="F275" s="3">
        <f t="shared" si="261"/>
        <v>4.7100906601755713E-2</v>
      </c>
      <c r="G275" s="3">
        <f t="shared" si="261"/>
        <v>4.7100906601755713E-2</v>
      </c>
      <c r="H275" s="3">
        <f t="shared" si="261"/>
        <v>4.7100906601755713E-2</v>
      </c>
      <c r="I275" s="3">
        <f t="shared" si="261"/>
        <v>4.7100906601755713E-2</v>
      </c>
      <c r="J275" s="3">
        <f t="shared" si="261"/>
        <v>4.7100906601755713E-2</v>
      </c>
      <c r="K275" s="3">
        <f t="shared" si="261"/>
        <v>4.7100906601755713E-2</v>
      </c>
      <c r="L275" s="3">
        <f t="shared" si="261"/>
        <v>4.7100906601755713E-2</v>
      </c>
      <c r="M275" s="3">
        <f t="shared" si="261"/>
        <v>4.7100906601755706E-2</v>
      </c>
      <c r="N275" s="3">
        <f t="shared" si="261"/>
        <v>4.7100906601755664E-2</v>
      </c>
      <c r="O275" s="3">
        <f t="shared" si="261"/>
        <v>4.7100906601755241E-2</v>
      </c>
      <c r="P275" s="3">
        <f t="shared" si="261"/>
        <v>4.7100906601751001E-2</v>
      </c>
      <c r="Q275" s="3">
        <f t="shared" si="261"/>
        <v>4.7100906601708604E-2</v>
      </c>
      <c r="R275" s="3">
        <f t="shared" si="261"/>
        <v>4.7100906601284638E-2</v>
      </c>
      <c r="S275" s="3">
        <f t="shared" si="261"/>
        <v>4.7100906597044988E-2</v>
      </c>
      <c r="T275" s="3">
        <f t="shared" si="261"/>
        <v>4.7100906554648478E-2</v>
      </c>
      <c r="U275" s="3">
        <f t="shared" si="261"/>
        <v>4.71009061306834E-2</v>
      </c>
      <c r="V275" s="3">
        <f t="shared" si="261"/>
        <v>4.7100901891032741E-2</v>
      </c>
      <c r="W275" s="3">
        <f t="shared" si="261"/>
        <v>4.7100859494547211E-2</v>
      </c>
      <c r="X275" s="3">
        <f t="shared" si="261"/>
        <v>4.7100435531790781E-2</v>
      </c>
      <c r="Y275" s="3">
        <f t="shared" si="261"/>
        <v>4.7096196114109638E-2</v>
      </c>
      <c r="Z275" s="3">
        <f t="shared" si="261"/>
        <v>4.7053822918623402E-2</v>
      </c>
      <c r="AA275" s="3">
        <f t="shared" si="261"/>
        <v>4.6632182125355096E-2</v>
      </c>
      <c r="AB275" s="3">
        <f t="shared" si="261"/>
        <v>4.2618090369384826E-2</v>
      </c>
      <c r="AC275" s="3">
        <f t="shared" si="261"/>
        <v>1.7325128349470607E-2</v>
      </c>
      <c r="AD275" s="3">
        <f t="shared" si="261"/>
        <v>2.1355080252628194E-6</v>
      </c>
      <c r="AE275" s="3">
        <f t="shared" si="261"/>
        <v>1.7288156273073264E-45</v>
      </c>
      <c r="AF275" s="3">
        <f t="shared" si="261"/>
        <v>0</v>
      </c>
      <c r="AG275" s="3"/>
      <c r="AH275" s="3"/>
    </row>
    <row r="276" spans="1:34" x14ac:dyDescent="0.25">
      <c r="B276" s="3">
        <f t="shared" ref="B276:AF276" si="262">$C45*EXP(-B$246/$A45/EXP(-$E$126))</f>
        <v>2.2598128773559236E-2</v>
      </c>
      <c r="C276" s="3">
        <f t="shared" si="262"/>
        <v>2.2598128773559236E-2</v>
      </c>
      <c r="D276" s="3">
        <f t="shared" si="262"/>
        <v>2.2598128773559236E-2</v>
      </c>
      <c r="E276" s="3">
        <f t="shared" si="262"/>
        <v>2.2598128773559236E-2</v>
      </c>
      <c r="F276" s="3">
        <f t="shared" si="262"/>
        <v>2.2598128773559236E-2</v>
      </c>
      <c r="G276" s="3">
        <f t="shared" si="262"/>
        <v>2.2598128773559236E-2</v>
      </c>
      <c r="H276" s="3">
        <f t="shared" si="262"/>
        <v>2.2598128773559236E-2</v>
      </c>
      <c r="I276" s="3">
        <f t="shared" si="262"/>
        <v>2.2598128773559236E-2</v>
      </c>
      <c r="J276" s="3">
        <f t="shared" si="262"/>
        <v>2.2598128773559236E-2</v>
      </c>
      <c r="K276" s="3">
        <f t="shared" si="262"/>
        <v>2.2598128773559236E-2</v>
      </c>
      <c r="L276" s="3">
        <f t="shared" si="262"/>
        <v>2.2598128773559236E-2</v>
      </c>
      <c r="M276" s="3">
        <f t="shared" si="262"/>
        <v>2.2598128773559236E-2</v>
      </c>
      <c r="N276" s="3">
        <f t="shared" si="262"/>
        <v>2.2598128773559233E-2</v>
      </c>
      <c r="O276" s="3">
        <f t="shared" si="262"/>
        <v>2.2598128773559212E-2</v>
      </c>
      <c r="P276" s="3">
        <f t="shared" si="262"/>
        <v>2.2598128773559011E-2</v>
      </c>
      <c r="Q276" s="3">
        <f t="shared" si="262"/>
        <v>2.2598128773556974E-2</v>
      </c>
      <c r="R276" s="3">
        <f t="shared" si="262"/>
        <v>2.2598128773536636E-2</v>
      </c>
      <c r="S276" s="3">
        <f t="shared" si="262"/>
        <v>2.2598128773333226E-2</v>
      </c>
      <c r="T276" s="3">
        <f t="shared" si="262"/>
        <v>2.259812877129912E-2</v>
      </c>
      <c r="U276" s="3">
        <f t="shared" si="262"/>
        <v>2.2598128750958072E-2</v>
      </c>
      <c r="V276" s="3">
        <f t="shared" si="262"/>
        <v>2.2598128547547603E-2</v>
      </c>
      <c r="W276" s="3">
        <f t="shared" si="262"/>
        <v>2.2598126513442989E-2</v>
      </c>
      <c r="X276" s="3">
        <f t="shared" si="262"/>
        <v>2.2598106172406929E-2</v>
      </c>
      <c r="Y276" s="3">
        <f t="shared" si="262"/>
        <v>2.2597902763053346E-2</v>
      </c>
      <c r="Z276" s="3">
        <f t="shared" si="262"/>
        <v>2.2595868770215514E-2</v>
      </c>
      <c r="AA276" s="3">
        <f t="shared" si="262"/>
        <v>2.2575538908282251E-2</v>
      </c>
      <c r="AB276" s="3">
        <f t="shared" si="262"/>
        <v>2.2373243588936793E-2</v>
      </c>
      <c r="AC276" s="3">
        <f t="shared" si="262"/>
        <v>2.0447357890445432E-2</v>
      </c>
      <c r="AD276" s="3">
        <f t="shared" si="262"/>
        <v>8.3122706059586687E-3</v>
      </c>
      <c r="AE276" s="3">
        <f t="shared" si="262"/>
        <v>1.024576570465833E-6</v>
      </c>
      <c r="AF276" s="3">
        <f t="shared" si="262"/>
        <v>8.2945320993410072E-46</v>
      </c>
      <c r="AG276" s="3"/>
      <c r="AH276" s="3"/>
    </row>
    <row r="277" spans="1:34" x14ac:dyDescent="0.25">
      <c r="B277" s="3">
        <f t="shared" ref="B277:AF277" si="263">$C46*EXP(-B$246/$A46/EXP(-$E$126))</f>
        <v>6.4467605952010509E-3</v>
      </c>
      <c r="C277" s="3">
        <f t="shared" si="263"/>
        <v>6.4467605952010509E-3</v>
      </c>
      <c r="D277" s="3">
        <f t="shared" si="263"/>
        <v>6.4467605952010509E-3</v>
      </c>
      <c r="E277" s="3">
        <f t="shared" si="263"/>
        <v>6.4467605952010509E-3</v>
      </c>
      <c r="F277" s="3">
        <f t="shared" si="263"/>
        <v>6.4467605952010509E-3</v>
      </c>
      <c r="G277" s="3">
        <f t="shared" si="263"/>
        <v>6.4467605952010509E-3</v>
      </c>
      <c r="H277" s="3">
        <f t="shared" si="263"/>
        <v>6.4467605952010509E-3</v>
      </c>
      <c r="I277" s="3">
        <f t="shared" si="263"/>
        <v>6.4467605952010509E-3</v>
      </c>
      <c r="J277" s="3">
        <f t="shared" si="263"/>
        <v>6.4467605952010509E-3</v>
      </c>
      <c r="K277" s="3">
        <f t="shared" si="263"/>
        <v>6.4467605952010509E-3</v>
      </c>
      <c r="L277" s="3">
        <f t="shared" si="263"/>
        <v>6.4467605952010509E-3</v>
      </c>
      <c r="M277" s="3">
        <f t="shared" si="263"/>
        <v>6.4467605952010509E-3</v>
      </c>
      <c r="N277" s="3">
        <f t="shared" si="263"/>
        <v>6.4467605952010509E-3</v>
      </c>
      <c r="O277" s="3">
        <f t="shared" si="263"/>
        <v>6.4467605952010501E-3</v>
      </c>
      <c r="P277" s="3">
        <f t="shared" si="263"/>
        <v>6.4467605952010449E-3</v>
      </c>
      <c r="Q277" s="3">
        <f t="shared" si="263"/>
        <v>6.4467605952009868E-3</v>
      </c>
      <c r="R277" s="3">
        <f t="shared" si="263"/>
        <v>6.4467605952004065E-3</v>
      </c>
      <c r="S277" s="3">
        <f t="shared" si="263"/>
        <v>6.4467605951946038E-3</v>
      </c>
      <c r="T277" s="3">
        <f t="shared" si="263"/>
        <v>6.4467605951365747E-3</v>
      </c>
      <c r="U277" s="3">
        <f t="shared" si="263"/>
        <v>6.446760594556288E-3</v>
      </c>
      <c r="V277" s="3">
        <f t="shared" si="263"/>
        <v>6.4467605887534246E-3</v>
      </c>
      <c r="W277" s="3">
        <f t="shared" si="263"/>
        <v>6.4467605307247881E-3</v>
      </c>
      <c r="X277" s="3">
        <f t="shared" si="263"/>
        <v>6.4467599504384465E-3</v>
      </c>
      <c r="Y277" s="3">
        <f t="shared" si="263"/>
        <v>6.4467541475779063E-3</v>
      </c>
      <c r="Z277" s="3">
        <f t="shared" si="263"/>
        <v>6.4466961192597878E-3</v>
      </c>
      <c r="AA277" s="3">
        <f t="shared" si="263"/>
        <v>6.4461158648055688E-3</v>
      </c>
      <c r="AB277" s="3">
        <f t="shared" si="263"/>
        <v>6.4403161920038735E-3</v>
      </c>
      <c r="AC277" s="3">
        <f t="shared" si="263"/>
        <v>6.3826056839163267E-3</v>
      </c>
      <c r="AD277" s="3">
        <f t="shared" si="263"/>
        <v>5.8331918737595193E-3</v>
      </c>
      <c r="AE277" s="3">
        <f t="shared" si="263"/>
        <v>2.3713122062496437E-3</v>
      </c>
      <c r="AF277" s="3">
        <f t="shared" si="263"/>
        <v>2.9228968147901379E-7</v>
      </c>
      <c r="AG277" s="3"/>
      <c r="AH277" s="3"/>
    </row>
    <row r="278" spans="1:34" x14ac:dyDescent="0.25">
      <c r="B278" s="3">
        <f t="shared" ref="B278:AF278" si="264">$C47*EXP(-B$246/$A47/EXP(-$E$126))</f>
        <v>9.8307104636690784E-5</v>
      </c>
      <c r="C278" s="3">
        <f t="shared" si="264"/>
        <v>9.8307104636690784E-5</v>
      </c>
      <c r="D278" s="3">
        <f t="shared" si="264"/>
        <v>9.8307104636690784E-5</v>
      </c>
      <c r="E278" s="3">
        <f t="shared" si="264"/>
        <v>9.8307104636690784E-5</v>
      </c>
      <c r="F278" s="3">
        <f t="shared" si="264"/>
        <v>9.8307104636690784E-5</v>
      </c>
      <c r="G278" s="3">
        <f t="shared" si="264"/>
        <v>9.8307104636690784E-5</v>
      </c>
      <c r="H278" s="3">
        <f t="shared" si="264"/>
        <v>9.8307104636690784E-5</v>
      </c>
      <c r="I278" s="3">
        <f t="shared" si="264"/>
        <v>9.8307104636690784E-5</v>
      </c>
      <c r="J278" s="3">
        <f t="shared" si="264"/>
        <v>9.8307104636690784E-5</v>
      </c>
      <c r="K278" s="3">
        <f t="shared" si="264"/>
        <v>9.8307104636690784E-5</v>
      </c>
      <c r="L278" s="3">
        <f t="shared" si="264"/>
        <v>9.8307104636690784E-5</v>
      </c>
      <c r="M278" s="3">
        <f t="shared" si="264"/>
        <v>9.8307104636690784E-5</v>
      </c>
      <c r="N278" s="3">
        <f t="shared" si="264"/>
        <v>9.8307104636690784E-5</v>
      </c>
      <c r="O278" s="3">
        <f t="shared" si="264"/>
        <v>9.8307104636690784E-5</v>
      </c>
      <c r="P278" s="3">
        <f t="shared" si="264"/>
        <v>9.830710463669077E-5</v>
      </c>
      <c r="Q278" s="3">
        <f t="shared" si="264"/>
        <v>9.8307104636690689E-5</v>
      </c>
      <c r="R278" s="3">
        <f t="shared" si="264"/>
        <v>9.8307104636689808E-5</v>
      </c>
      <c r="S278" s="3">
        <f t="shared" si="264"/>
        <v>9.8307104636680945E-5</v>
      </c>
      <c r="T278" s="3">
        <f t="shared" si="264"/>
        <v>9.8307104636592474E-5</v>
      </c>
      <c r="U278" s="3">
        <f t="shared" si="264"/>
        <v>9.8307104635707575E-5</v>
      </c>
      <c r="V278" s="3">
        <f t="shared" si="264"/>
        <v>9.8307104626858751E-5</v>
      </c>
      <c r="W278" s="3">
        <f t="shared" si="264"/>
        <v>9.8307104538370479E-5</v>
      </c>
      <c r="X278" s="3">
        <f t="shared" si="264"/>
        <v>9.8307103653487722E-5</v>
      </c>
      <c r="Y278" s="3">
        <f t="shared" si="264"/>
        <v>9.8307094804660588E-5</v>
      </c>
      <c r="Z278" s="3">
        <f t="shared" si="264"/>
        <v>9.8307006316433073E-5</v>
      </c>
      <c r="AA278" s="3">
        <f t="shared" si="264"/>
        <v>9.8306121438538672E-5</v>
      </c>
      <c r="AB278" s="3">
        <f t="shared" si="264"/>
        <v>9.8297273097654216E-5</v>
      </c>
      <c r="AC278" s="3">
        <f t="shared" si="264"/>
        <v>9.8208833480181945E-5</v>
      </c>
      <c r="AD278" s="3">
        <f t="shared" si="264"/>
        <v>9.7328801893244746E-5</v>
      </c>
      <c r="AE278" s="3">
        <f t="shared" si="264"/>
        <v>8.8950752153948696E-5</v>
      </c>
      <c r="AF278" s="3">
        <f t="shared" si="264"/>
        <v>3.616030621015728E-5</v>
      </c>
      <c r="AG278" s="3"/>
      <c r="AH278" s="3"/>
    </row>
    <row r="279" spans="1:34" x14ac:dyDescent="0.25">
      <c r="B279" s="3">
        <f t="shared" ref="B279:AF279" si="265">$C48*EXP(-B$246/$A48/EXP(-$E$126))</f>
        <v>1.1020901234699522E-2</v>
      </c>
      <c r="C279" s="3">
        <f t="shared" si="265"/>
        <v>1.1020901234699522E-2</v>
      </c>
      <c r="D279" s="3">
        <f t="shared" si="265"/>
        <v>1.1020901234699522E-2</v>
      </c>
      <c r="E279" s="3">
        <f t="shared" si="265"/>
        <v>1.1020901234699522E-2</v>
      </c>
      <c r="F279" s="3">
        <f t="shared" si="265"/>
        <v>1.1020901234699522E-2</v>
      </c>
      <c r="G279" s="3">
        <f t="shared" si="265"/>
        <v>1.1020901234699522E-2</v>
      </c>
      <c r="H279" s="3">
        <f t="shared" si="265"/>
        <v>1.1020901234699522E-2</v>
      </c>
      <c r="I279" s="3">
        <f t="shared" si="265"/>
        <v>1.1020901234699522E-2</v>
      </c>
      <c r="J279" s="3">
        <f t="shared" si="265"/>
        <v>1.1020901234699522E-2</v>
      </c>
      <c r="K279" s="3">
        <f t="shared" si="265"/>
        <v>1.1020901234699522E-2</v>
      </c>
      <c r="L279" s="3">
        <f t="shared" si="265"/>
        <v>1.1020901234699522E-2</v>
      </c>
      <c r="M279" s="3">
        <f t="shared" si="265"/>
        <v>1.1020901234699522E-2</v>
      </c>
      <c r="N279" s="3">
        <f t="shared" si="265"/>
        <v>1.1020901234699522E-2</v>
      </c>
      <c r="O279" s="3">
        <f t="shared" si="265"/>
        <v>1.1020901234699522E-2</v>
      </c>
      <c r="P279" s="3">
        <f t="shared" si="265"/>
        <v>1.1020901234699522E-2</v>
      </c>
      <c r="Q279" s="3">
        <f t="shared" si="265"/>
        <v>1.102090123469952E-2</v>
      </c>
      <c r="R279" s="3">
        <f t="shared" si="265"/>
        <v>1.1020901234699511E-2</v>
      </c>
      <c r="S279" s="3">
        <f t="shared" si="265"/>
        <v>1.1020901234699412E-2</v>
      </c>
      <c r="T279" s="3">
        <f t="shared" si="265"/>
        <v>1.1020901234698418E-2</v>
      </c>
      <c r="U279" s="3">
        <f t="shared" si="265"/>
        <v>1.1020901234688499E-2</v>
      </c>
      <c r="V279" s="3">
        <f t="shared" si="265"/>
        <v>1.1020901234589297E-2</v>
      </c>
      <c r="W279" s="3">
        <f t="shared" si="265"/>
        <v>1.1020901233597283E-2</v>
      </c>
      <c r="X279" s="3">
        <f t="shared" si="265"/>
        <v>1.1020901223677141E-2</v>
      </c>
      <c r="Y279" s="3">
        <f t="shared" si="265"/>
        <v>1.1020901124475709E-2</v>
      </c>
      <c r="Z279" s="3">
        <f t="shared" si="265"/>
        <v>1.1020900132461448E-2</v>
      </c>
      <c r="AA279" s="3">
        <f t="shared" si="265"/>
        <v>1.1020890212323737E-2</v>
      </c>
      <c r="AB279" s="3">
        <f t="shared" si="265"/>
        <v>1.1020791011437747E-2</v>
      </c>
      <c r="AC279" s="3">
        <f t="shared" si="265"/>
        <v>1.1019799051687342E-2</v>
      </c>
      <c r="AD279" s="3">
        <f t="shared" si="265"/>
        <v>1.1009884363496711E-2</v>
      </c>
      <c r="AE279" s="3">
        <f t="shared" si="265"/>
        <v>1.0911226781840797E-2</v>
      </c>
      <c r="AF279" s="3">
        <f t="shared" si="265"/>
        <v>9.9719898970051062E-3</v>
      </c>
      <c r="AG279" s="3"/>
      <c r="AH279" s="3"/>
    </row>
    <row r="280" spans="1:34" x14ac:dyDescent="0.25">
      <c r="A280" s="79">
        <f>AVERAGE(B280:AF280)</f>
        <v>2.7932508622604787E-5</v>
      </c>
      <c r="B280" s="80">
        <f>IF($D$61&lt;=B246,IF($E$61&gt;=B246,ABS((B248-B247)/B247),0),0)</f>
        <v>5.8822277032040659E-6</v>
      </c>
      <c r="C280" s="80">
        <f t="shared" ref="C280:AF280" si="266">IF($D$61&lt;=C246,IF($E$61&gt;=C246,ABS((C248-C247)/C247),0),0)</f>
        <v>3.1292460194521538E-7</v>
      </c>
      <c r="D280" s="80">
        <f t="shared" si="266"/>
        <v>3.4718330909384375E-6</v>
      </c>
      <c r="E280" s="80">
        <f t="shared" si="266"/>
        <v>4.6156940943663304E-6</v>
      </c>
      <c r="F280" s="80">
        <f t="shared" si="266"/>
        <v>4.9605873708739145E-6</v>
      </c>
      <c r="G280" s="80">
        <f t="shared" si="266"/>
        <v>5.0715877099317177E-6</v>
      </c>
      <c r="H280" s="80">
        <f t="shared" si="266"/>
        <v>5.1016771463554579E-6</v>
      </c>
      <c r="I280" s="80">
        <f t="shared" si="266"/>
        <v>4.847917211459166E-6</v>
      </c>
      <c r="J280" s="80">
        <f t="shared" si="266"/>
        <v>2.3437827562121742E-6</v>
      </c>
      <c r="K280" s="80">
        <f t="shared" si="266"/>
        <v>1.9690987949275783E-5</v>
      </c>
      <c r="L280" s="80">
        <f t="shared" si="266"/>
        <v>5.6890513971184819E-5</v>
      </c>
      <c r="M280" s="80">
        <f t="shared" si="266"/>
        <v>9.4513887548242374E-5</v>
      </c>
      <c r="N280" s="80">
        <f t="shared" si="266"/>
        <v>1.2298056803359067E-4</v>
      </c>
      <c r="O280" s="80">
        <f t="shared" si="266"/>
        <v>1.2985679469243889E-4</v>
      </c>
      <c r="P280" s="80">
        <f t="shared" si="266"/>
        <v>1.2606127474142767E-4</v>
      </c>
      <c r="Q280" s="80">
        <f t="shared" si="266"/>
        <v>9.7279463750948601E-5</v>
      </c>
      <c r="R280" s="80">
        <f t="shared" si="266"/>
        <v>7.2210643701427638E-5</v>
      </c>
      <c r="S280" s="80">
        <f t="shared" si="266"/>
        <v>3.8653242421412938E-5</v>
      </c>
      <c r="T280" s="80">
        <f t="shared" si="266"/>
        <v>2.6697501521095692E-5</v>
      </c>
      <c r="U280" s="80">
        <f t="shared" si="266"/>
        <v>6.0428549461299315E-6</v>
      </c>
      <c r="V280" s="80">
        <f t="shared" si="266"/>
        <v>8.6200376858590996E-6</v>
      </c>
      <c r="W280" s="80">
        <f t="shared" si="266"/>
        <v>4.0054269599130844E-6</v>
      </c>
      <c r="X280" s="80">
        <f t="shared" si="266"/>
        <v>1.1165000795255913E-5</v>
      </c>
      <c r="Y280" s="80">
        <f t="shared" si="266"/>
        <v>1.4631336897258769E-5</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1.2143836643044629E-3</v>
      </c>
      <c r="C281" s="21">
        <f t="shared" ref="C281:AF281" si="267">(C248-C247)^2</f>
        <v>3.4368220819685066E-6</v>
      </c>
      <c r="D281" s="21">
        <f t="shared" si="267"/>
        <v>4.2305031441779829E-4</v>
      </c>
      <c r="E281" s="21">
        <f t="shared" si="267"/>
        <v>7.4773444671986E-4</v>
      </c>
      <c r="F281" s="21">
        <f t="shared" si="267"/>
        <v>8.6365293955420225E-4</v>
      </c>
      <c r="G281" s="21">
        <f t="shared" si="267"/>
        <v>9.0273608139729658E-4</v>
      </c>
      <c r="H281" s="21">
        <f t="shared" si="267"/>
        <v>9.1347887103697617E-4</v>
      </c>
      <c r="I281" s="21">
        <f t="shared" si="267"/>
        <v>8.2485930432423102E-4</v>
      </c>
      <c r="J281" s="21">
        <f t="shared" si="267"/>
        <v>1.9278509724571813E-4</v>
      </c>
      <c r="K281" s="21">
        <f t="shared" si="267"/>
        <v>1.3597791038840942E-2</v>
      </c>
      <c r="L281" s="21">
        <f t="shared" si="267"/>
        <v>0.11276070301216173</v>
      </c>
      <c r="M281" s="21">
        <f t="shared" si="267"/>
        <v>0.29933927990351278</v>
      </c>
      <c r="N281" s="21">
        <f t="shared" si="267"/>
        <v>0.48241822325703898</v>
      </c>
      <c r="O281" s="21">
        <f t="shared" si="267"/>
        <v>0.50881666357163335</v>
      </c>
      <c r="P281" s="21">
        <f t="shared" si="267"/>
        <v>0.44810587962487369</v>
      </c>
      <c r="Q281" s="21">
        <f t="shared" si="267"/>
        <v>0.24777604014128485</v>
      </c>
      <c r="R281" s="21">
        <f t="shared" si="267"/>
        <v>0.12463608369765301</v>
      </c>
      <c r="S281" s="21">
        <f t="shared" si="267"/>
        <v>3.1602781246052036E-2</v>
      </c>
      <c r="T281" s="21">
        <f t="shared" si="267"/>
        <v>1.3010187381638959E-2</v>
      </c>
      <c r="U281" s="21">
        <f t="shared" si="267"/>
        <v>5.6719136266687731E-4</v>
      </c>
      <c r="V281" s="21">
        <f t="shared" si="267"/>
        <v>9.6754361784647891E-4</v>
      </c>
      <c r="W281" s="21">
        <f t="shared" si="267"/>
        <v>1.7076976336190744E-4</v>
      </c>
      <c r="X281" s="21">
        <f t="shared" si="267"/>
        <v>1.0063664635947486E-3</v>
      </c>
      <c r="Y281" s="21">
        <f t="shared" si="267"/>
        <v>1.1826377223603086E-3</v>
      </c>
      <c r="Z281" s="21">
        <f t="shared" si="267"/>
        <v>9.1224395339641723E-4</v>
      </c>
      <c r="AA281" s="21">
        <f t="shared" si="267"/>
        <v>2.1285234146496868E-3</v>
      </c>
      <c r="AB281" s="21">
        <f t="shared" si="267"/>
        <v>4.2389225830334176E-4</v>
      </c>
      <c r="AC281" s="21">
        <f t="shared" si="267"/>
        <v>1.3165581387714973E-4</v>
      </c>
      <c r="AD281" s="21">
        <f t="shared" si="267"/>
        <v>1.7002732758236038E-4</v>
      </c>
      <c r="AE281" s="21">
        <f t="shared" si="267"/>
        <v>3.0923082073333251E-6</v>
      </c>
      <c r="AF281" s="21">
        <f t="shared" si="267"/>
        <v>4.0840411933594537E-6</v>
      </c>
      <c r="AG281" s="3"/>
      <c r="AH281" s="3"/>
    </row>
    <row r="282" spans="1:34" s="3" customFormat="1" x14ac:dyDescent="0.25">
      <c r="A282" s="71">
        <f>SUM(B282:AF282)</f>
        <v>2.2920442593456034</v>
      </c>
      <c r="B282" s="21">
        <f>IF($D$61&lt;=B246,IF($E$61&gt;=B246,ABS(B281),0),0)</f>
        <v>1.2143836643044629E-3</v>
      </c>
      <c r="C282" s="21">
        <f t="shared" ref="C282:AF282" si="268">IF($D$61&lt;=C246,IF($E$61&gt;=C246,ABS(C281),0),0)</f>
        <v>3.4368220819685066E-6</v>
      </c>
      <c r="D282" s="21">
        <f t="shared" si="268"/>
        <v>4.2305031441779829E-4</v>
      </c>
      <c r="E282" s="21">
        <f t="shared" si="268"/>
        <v>7.4773444671986E-4</v>
      </c>
      <c r="F282" s="21">
        <f t="shared" si="268"/>
        <v>8.6365293955420225E-4</v>
      </c>
      <c r="G282" s="21">
        <f t="shared" si="268"/>
        <v>9.0273608139729658E-4</v>
      </c>
      <c r="H282" s="21">
        <f t="shared" si="268"/>
        <v>9.1347887103697617E-4</v>
      </c>
      <c r="I282" s="21">
        <f t="shared" si="268"/>
        <v>8.2485930432423102E-4</v>
      </c>
      <c r="J282" s="21">
        <f t="shared" si="268"/>
        <v>1.9278509724571813E-4</v>
      </c>
      <c r="K282" s="21">
        <f t="shared" si="268"/>
        <v>1.3597791038840942E-2</v>
      </c>
      <c r="L282" s="21">
        <f t="shared" si="268"/>
        <v>0.11276070301216173</v>
      </c>
      <c r="M282" s="21">
        <f t="shared" si="268"/>
        <v>0.29933927990351278</v>
      </c>
      <c r="N282" s="21">
        <f t="shared" si="268"/>
        <v>0.48241822325703898</v>
      </c>
      <c r="O282" s="21">
        <f t="shared" si="268"/>
        <v>0.50881666357163335</v>
      </c>
      <c r="P282" s="21">
        <f t="shared" si="268"/>
        <v>0.44810587962487369</v>
      </c>
      <c r="Q282" s="21">
        <f t="shared" si="268"/>
        <v>0.24777604014128485</v>
      </c>
      <c r="R282" s="21">
        <f t="shared" si="268"/>
        <v>0.12463608369765301</v>
      </c>
      <c r="S282" s="21">
        <f t="shared" si="268"/>
        <v>3.1602781246052036E-2</v>
      </c>
      <c r="T282" s="21">
        <f t="shared" si="268"/>
        <v>1.3010187381638959E-2</v>
      </c>
      <c r="U282" s="21">
        <f t="shared" si="268"/>
        <v>5.6719136266687731E-4</v>
      </c>
      <c r="V282" s="21">
        <f t="shared" si="268"/>
        <v>9.6754361784647891E-4</v>
      </c>
      <c r="W282" s="21">
        <f t="shared" si="268"/>
        <v>1.7076976336190744E-4</v>
      </c>
      <c r="X282" s="21">
        <f t="shared" si="268"/>
        <v>1.0063664635947486E-3</v>
      </c>
      <c r="Y282" s="21">
        <f t="shared" si="268"/>
        <v>1.1826377223603086E-3</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5916.6915694579875</v>
      </c>
      <c r="C286" s="26">
        <f>INDEX(Comparison!$AM$3:$AS$33,G$14,$F$122)</f>
        <v>5916.7227160627044</v>
      </c>
      <c r="D286" s="26">
        <f>INDEX(Comparison!$AM$3:$AS$33,H$14,$F$122)</f>
        <v>5916.6446401256508</v>
      </c>
      <c r="E286" s="26">
        <f>INDEX(Comparison!$AM$3:$AS$33,I$14,$F$122)</f>
        <v>5916.0822262002403</v>
      </c>
      <c r="F286" s="26">
        <f>INDEX(Comparison!$AM$3:$AS$33,J$14,$F$122)</f>
        <v>5910.6250002955303</v>
      </c>
      <c r="G286" s="26">
        <f>INDEX(Comparison!$AM$3:$AS$33,K$14,$F$122)</f>
        <v>5865.0413696390469</v>
      </c>
      <c r="H286" s="26">
        <f>INDEX(Comparison!$AM$3:$AS$33,L$14,$F$122)</f>
        <v>5722.4751414535358</v>
      </c>
      <c r="I286" s="26">
        <f>INDEX(Comparison!$AM$3:$AS$33,M$14,$F$122)</f>
        <v>5576.9650996615301</v>
      </c>
      <c r="J286" s="26">
        <f>INDEX(Comparison!$AM$3:$AS$33,N$14,$F$122)</f>
        <v>5410.5738362167167</v>
      </c>
      <c r="K286" s="26">
        <f>INDEX(Comparison!$AM$3:$AS$33,O$14,$F$122)</f>
        <v>5216.1277029195053</v>
      </c>
      <c r="L286" s="26">
        <f>INDEX(Comparison!$AM$3:$AS$33,P$14,$F$122)</f>
        <v>5018.4752297884525</v>
      </c>
      <c r="M286" s="26">
        <f>INDEX(Comparison!$AM$3:$AS$33,Q$14,$F$122)</f>
        <v>4771.2929786824907</v>
      </c>
      <c r="N286" s="26">
        <f>INDEX(Comparison!$AM$3:$AS$33,R$14,$F$122)</f>
        <v>4502.260327638488</v>
      </c>
      <c r="O286" s="26">
        <f>INDEX(Comparison!$AM$3:$AS$33,S$14,$F$122)</f>
        <v>4239.8922301770135</v>
      </c>
      <c r="P286" s="26">
        <f>INDEX(Comparison!$AM$3:$AS$33,T$14,$F$122)</f>
        <v>3958.4879028609685</v>
      </c>
      <c r="Q286" s="26">
        <f>INDEX(Comparison!$AM$3:$AS$33,U$14,$F$122)</f>
        <v>3659.7650677599231</v>
      </c>
      <c r="R286" s="26">
        <f>INDEX(Comparison!$AM$3:$AS$33,V$14,$F$122)</f>
        <v>3268.126124643903</v>
      </c>
      <c r="S286" s="26">
        <f>INDEX(Comparison!$AM$3:$AS$33,W$14,$F$122)</f>
        <v>2768.9657420868534</v>
      </c>
      <c r="T286" s="26">
        <f>INDEX(Comparison!$AM$3:$AS$33,X$14,$F$122)</f>
        <v>2204.5974524100161</v>
      </c>
      <c r="U286" s="26">
        <f>INDEX(Comparison!$AM$3:$AS$33,Y$14,$F$122)</f>
        <v>1586.454168957242</v>
      </c>
      <c r="V286" s="26">
        <f>INDEX(Comparison!$AM$3:$AS$33,Z$14,$F$122)</f>
        <v>1000.0232976856266</v>
      </c>
      <c r="W286" s="26">
        <f>INDEX(Comparison!$AM$3:$AS$33,AA$14,$F$122)</f>
        <v>576.00660610456418</v>
      </c>
      <c r="X286" s="26">
        <f>INDEX(Comparison!$AM$3:$AS$33,AB$14,$F$122)</f>
        <v>321.80010935687142</v>
      </c>
      <c r="Y286" s="26">
        <f>INDEX(Comparison!$AM$3:$AS$33,AC$14,$F$122)</f>
        <v>187.89777287454069</v>
      </c>
      <c r="Z286" s="26">
        <f>INDEX(Comparison!$AM$3:$AS$33,AD$14,$F$122)</f>
        <v>146.32445551645827</v>
      </c>
      <c r="AA286" s="26">
        <f>INDEX(Comparison!$AM$3:$AS$33,AE$14,$F$122)</f>
        <v>132.67557886184474</v>
      </c>
      <c r="AB286" s="26">
        <f>INDEX(Comparison!$AM$3:$AS$33,AF$14,$F$122)</f>
        <v>124.09266721325585</v>
      </c>
      <c r="AC286" s="26">
        <f>INDEX(Comparison!$AM$3:$AS$33,AG$14,$F$122)</f>
        <v>123.97220489326934</v>
      </c>
      <c r="AD286" s="26">
        <f>INDEX(Comparison!$AM$3:$AS$33,AH$14,$F$122)</f>
        <v>123.97018586453261</v>
      </c>
      <c r="AE286" s="26">
        <f>INDEX(Comparison!$AM$3:$AS$33,AI$14,$F$122)</f>
        <v>123.96849358445334</v>
      </c>
      <c r="AF286" s="26">
        <f>INDEX(Comparison!$AM$3:$AS$33,AJ$14,$F$122)</f>
        <v>123.96695327212331</v>
      </c>
      <c r="AG286" s="26"/>
      <c r="AH286" s="26"/>
    </row>
    <row r="287" spans="1:34" x14ac:dyDescent="0.25">
      <c r="A287" s="70" t="s">
        <v>22</v>
      </c>
      <c r="B287" s="27">
        <f>($C$17+SUM(B288:B318))*$B$51</f>
        <v>5924.321912063644</v>
      </c>
      <c r="C287" s="27">
        <f t="shared" ref="C287:AF287" si="269">($C$17+SUM(C288:C318))*$B$51</f>
        <v>5924.3180115668765</v>
      </c>
      <c r="D287" s="27">
        <f t="shared" si="269"/>
        <v>5924.2790164754879</v>
      </c>
      <c r="E287" s="27">
        <f t="shared" si="269"/>
        <v>5923.8900483272373</v>
      </c>
      <c r="F287" s="27">
        <f t="shared" si="269"/>
        <v>5920.0940024943375</v>
      </c>
      <c r="G287" s="27">
        <f t="shared" si="269"/>
        <v>5888.4258875195846</v>
      </c>
      <c r="H287" s="27">
        <f t="shared" si="269"/>
        <v>5745.6110296576971</v>
      </c>
      <c r="I287" s="27">
        <f t="shared" si="269"/>
        <v>5612.6713463634669</v>
      </c>
      <c r="J287" s="27">
        <f t="shared" si="269"/>
        <v>5444.8287627305854</v>
      </c>
      <c r="K287" s="27">
        <f t="shared" si="269"/>
        <v>5260.8783476217568</v>
      </c>
      <c r="L287" s="27">
        <f t="shared" si="269"/>
        <v>5064.5984943781405</v>
      </c>
      <c r="M287" s="27">
        <f t="shared" si="269"/>
        <v>4820.7838527865269</v>
      </c>
      <c r="N287" s="27">
        <f t="shared" si="269"/>
        <v>4521.3615942898577</v>
      </c>
      <c r="O287" s="27">
        <f t="shared" si="269"/>
        <v>4194.8407002807708</v>
      </c>
      <c r="P287" s="27">
        <f t="shared" si="269"/>
        <v>3867.7886386816922</v>
      </c>
      <c r="Q287" s="27">
        <f t="shared" si="269"/>
        <v>3531.6822648519296</v>
      </c>
      <c r="R287" s="27">
        <f t="shared" si="269"/>
        <v>3191.000272711336</v>
      </c>
      <c r="S287" s="27">
        <f t="shared" si="269"/>
        <v>2718.3714433792516</v>
      </c>
      <c r="T287" s="27">
        <f t="shared" si="269"/>
        <v>2210.0346039323917</v>
      </c>
      <c r="U287" s="27">
        <f t="shared" si="269"/>
        <v>1639.4925854806474</v>
      </c>
      <c r="V287" s="27">
        <f t="shared" si="269"/>
        <v>1038.5783340437279</v>
      </c>
      <c r="W287" s="27">
        <f t="shared" si="269"/>
        <v>618.15405733955788</v>
      </c>
      <c r="X287" s="27">
        <f t="shared" si="269"/>
        <v>343.41969865821699</v>
      </c>
      <c r="Y287" s="27">
        <f t="shared" si="269"/>
        <v>199.57342258556807</v>
      </c>
      <c r="Z287" s="27">
        <f t="shared" si="269"/>
        <v>149.44077549568993</v>
      </c>
      <c r="AA287" s="27">
        <f t="shared" si="269"/>
        <v>133.02303503161795</v>
      </c>
      <c r="AB287" s="27">
        <f t="shared" si="269"/>
        <v>89.501575132428584</v>
      </c>
      <c r="AC287" s="27">
        <f t="shared" si="269"/>
        <v>77.972136632751031</v>
      </c>
      <c r="AD287" s="27">
        <f t="shared" si="269"/>
        <v>77.972134725678558</v>
      </c>
      <c r="AE287" s="27">
        <f t="shared" si="269"/>
        <v>77.972134725678558</v>
      </c>
      <c r="AF287" s="27">
        <f t="shared" si="269"/>
        <v>77.972134725678558</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0</v>
      </c>
      <c r="C289" s="3">
        <f t="shared" si="271"/>
        <v>0</v>
      </c>
      <c r="D289" s="3">
        <f t="shared" si="271"/>
        <v>0</v>
      </c>
      <c r="E289" s="3">
        <f t="shared" si="271"/>
        <v>0</v>
      </c>
      <c r="F289" s="3">
        <f t="shared" si="271"/>
        <v>0</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0</v>
      </c>
      <c r="C290" s="3">
        <f t="shared" si="272"/>
        <v>0</v>
      </c>
      <c r="D290" s="3">
        <f t="shared" si="272"/>
        <v>0</v>
      </c>
      <c r="E290" s="3">
        <f t="shared" si="272"/>
        <v>0</v>
      </c>
      <c r="F290" s="3">
        <f t="shared" si="272"/>
        <v>0</v>
      </c>
      <c r="G290" s="3">
        <f t="shared" si="272"/>
        <v>0</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0</v>
      </c>
      <c r="C291" s="3">
        <f t="shared" si="273"/>
        <v>0</v>
      </c>
      <c r="D291" s="3">
        <f t="shared" si="273"/>
        <v>0</v>
      </c>
      <c r="E291" s="3">
        <f t="shared" si="273"/>
        <v>0</v>
      </c>
      <c r="F291" s="3">
        <f t="shared" si="273"/>
        <v>0</v>
      </c>
      <c r="G291" s="3">
        <f t="shared" si="273"/>
        <v>0</v>
      </c>
      <c r="H291" s="3">
        <f t="shared" si="273"/>
        <v>0</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0</v>
      </c>
      <c r="C292" s="3">
        <f t="shared" si="274"/>
        <v>0</v>
      </c>
      <c r="D292" s="3">
        <f t="shared" si="274"/>
        <v>0</v>
      </c>
      <c r="E292" s="3">
        <f t="shared" si="274"/>
        <v>0</v>
      </c>
      <c r="F292" s="3">
        <f t="shared" si="274"/>
        <v>0</v>
      </c>
      <c r="G292" s="3">
        <f t="shared" si="274"/>
        <v>0</v>
      </c>
      <c r="H292" s="3">
        <f t="shared" si="274"/>
        <v>0</v>
      </c>
      <c r="I292" s="3">
        <f t="shared" si="274"/>
        <v>0</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0</v>
      </c>
      <c r="C293" s="3">
        <f t="shared" si="275"/>
        <v>0</v>
      </c>
      <c r="D293" s="3">
        <f t="shared" si="275"/>
        <v>0</v>
      </c>
      <c r="E293" s="3">
        <f t="shared" si="275"/>
        <v>0</v>
      </c>
      <c r="F293" s="3">
        <f t="shared" si="275"/>
        <v>0</v>
      </c>
      <c r="G293" s="3">
        <f t="shared" si="275"/>
        <v>0</v>
      </c>
      <c r="H293" s="3">
        <f t="shared" si="275"/>
        <v>0</v>
      </c>
      <c r="I293" s="3">
        <f t="shared" si="275"/>
        <v>0</v>
      </c>
      <c r="J293" s="3">
        <f t="shared" si="275"/>
        <v>0</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0</v>
      </c>
      <c r="C294" s="3">
        <f t="shared" si="276"/>
        <v>0</v>
      </c>
      <c r="D294" s="3">
        <f t="shared" si="276"/>
        <v>0</v>
      </c>
      <c r="E294" s="3">
        <f t="shared" si="276"/>
        <v>0</v>
      </c>
      <c r="F294" s="3">
        <f t="shared" si="276"/>
        <v>0</v>
      </c>
      <c r="G294" s="3">
        <f t="shared" si="276"/>
        <v>0</v>
      </c>
      <c r="H294" s="3">
        <f t="shared" si="276"/>
        <v>0</v>
      </c>
      <c r="I294" s="3">
        <f t="shared" si="276"/>
        <v>0</v>
      </c>
      <c r="J294" s="3">
        <f t="shared" si="276"/>
        <v>0</v>
      </c>
      <c r="K294" s="3">
        <f t="shared" si="276"/>
        <v>0</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0</v>
      </c>
      <c r="C295" s="3">
        <f t="shared" si="277"/>
        <v>0</v>
      </c>
      <c r="D295" s="3">
        <f t="shared" si="277"/>
        <v>0</v>
      </c>
      <c r="E295" s="3">
        <f t="shared" si="277"/>
        <v>0</v>
      </c>
      <c r="F295" s="3">
        <f t="shared" si="277"/>
        <v>0</v>
      </c>
      <c r="G295" s="3">
        <f t="shared" si="277"/>
        <v>0</v>
      </c>
      <c r="H295" s="3">
        <f t="shared" si="277"/>
        <v>0</v>
      </c>
      <c r="I295" s="3">
        <f t="shared" si="277"/>
        <v>0</v>
      </c>
      <c r="J295" s="3">
        <f t="shared" si="277"/>
        <v>0</v>
      </c>
      <c r="K295" s="3">
        <f t="shared" si="277"/>
        <v>0</v>
      </c>
      <c r="L295" s="3">
        <f t="shared" si="277"/>
        <v>0</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0</v>
      </c>
      <c r="C296" s="3">
        <f t="shared" si="278"/>
        <v>0</v>
      </c>
      <c r="D296" s="3">
        <f t="shared" si="278"/>
        <v>0</v>
      </c>
      <c r="E296" s="3">
        <f t="shared" si="278"/>
        <v>0</v>
      </c>
      <c r="F296" s="3">
        <f t="shared" si="278"/>
        <v>0</v>
      </c>
      <c r="G296" s="3">
        <f t="shared" si="278"/>
        <v>0</v>
      </c>
      <c r="H296" s="3">
        <f t="shared" si="278"/>
        <v>0</v>
      </c>
      <c r="I296" s="3">
        <f t="shared" si="278"/>
        <v>0</v>
      </c>
      <c r="J296" s="3">
        <f t="shared" si="278"/>
        <v>0</v>
      </c>
      <c r="K296" s="3">
        <f t="shared" si="278"/>
        <v>0</v>
      </c>
      <c r="L296" s="3">
        <f t="shared" si="278"/>
        <v>0</v>
      </c>
      <c r="M296" s="3">
        <f t="shared" si="278"/>
        <v>0</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7.276047989417298E-4</v>
      </c>
      <c r="C297" s="3">
        <f t="shared" si="279"/>
        <v>7.2747719332655206E-4</v>
      </c>
      <c r="D297" s="3">
        <f t="shared" si="279"/>
        <v>7.2620236738187493E-4</v>
      </c>
      <c r="E297" s="3">
        <f t="shared" si="279"/>
        <v>7.135763340287445E-4</v>
      </c>
      <c r="F297" s="3">
        <f t="shared" si="279"/>
        <v>5.9878128169875704E-4</v>
      </c>
      <c r="G297" s="3">
        <f t="shared" si="279"/>
        <v>1.0364443538713485E-4</v>
      </c>
      <c r="H297" s="3">
        <f t="shared" si="279"/>
        <v>2.5022098811183614E-12</v>
      </c>
      <c r="I297" s="3">
        <f t="shared" si="279"/>
        <v>1.6830661373099442E-88</v>
      </c>
      <c r="J297" s="3">
        <f t="shared" si="279"/>
        <v>0</v>
      </c>
      <c r="K297" s="3">
        <f t="shared" si="279"/>
        <v>0</v>
      </c>
      <c r="L297" s="3">
        <f t="shared" si="279"/>
        <v>0</v>
      </c>
      <c r="M297" s="3">
        <f t="shared" si="279"/>
        <v>0</v>
      </c>
      <c r="N297" s="3">
        <f t="shared" si="279"/>
        <v>0</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3.1445969975267996E-2</v>
      </c>
      <c r="C298" s="3">
        <f t="shared" si="280"/>
        <v>3.1445472443900044E-2</v>
      </c>
      <c r="D298" s="3">
        <f t="shared" si="280"/>
        <v>3.1440497563150871E-2</v>
      </c>
      <c r="E298" s="3">
        <f t="shared" si="280"/>
        <v>3.1390792023358843E-2</v>
      </c>
      <c r="F298" s="3">
        <f t="shared" si="280"/>
        <v>3.0898038172877632E-2</v>
      </c>
      <c r="G298" s="3">
        <f t="shared" si="280"/>
        <v>2.6376503456461722E-2</v>
      </c>
      <c r="H298" s="3">
        <f t="shared" si="280"/>
        <v>5.4210124803027067E-3</v>
      </c>
      <c r="I298" s="3">
        <f t="shared" si="280"/>
        <v>7.2897433944892081E-10</v>
      </c>
      <c r="J298" s="3">
        <f t="shared" si="280"/>
        <v>1.4093880347690367E-78</v>
      </c>
      <c r="K298" s="3">
        <f t="shared" si="280"/>
        <v>0</v>
      </c>
      <c r="L298" s="3">
        <f t="shared" si="280"/>
        <v>0</v>
      </c>
      <c r="M298" s="3">
        <f t="shared" si="280"/>
        <v>0</v>
      </c>
      <c r="N298" s="3">
        <f t="shared" si="280"/>
        <v>0</v>
      </c>
      <c r="O298" s="3">
        <f t="shared" si="280"/>
        <v>0</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1.9599628963969735E-2</v>
      </c>
      <c r="C299" s="3">
        <f t="shared" si="281"/>
        <v>1.9599600990068439E-2</v>
      </c>
      <c r="D299" s="3">
        <f t="shared" si="281"/>
        <v>1.9599321253251419E-2</v>
      </c>
      <c r="E299" s="3">
        <f t="shared" si="281"/>
        <v>1.9596524104662932E-2</v>
      </c>
      <c r="F299" s="3">
        <f t="shared" si="281"/>
        <v>1.9568574565355542E-2</v>
      </c>
      <c r="G299" s="3">
        <f t="shared" si="281"/>
        <v>1.929126228439627E-2</v>
      </c>
      <c r="H299" s="3">
        <f t="shared" si="281"/>
        <v>1.6725348988757622E-2</v>
      </c>
      <c r="I299" s="3">
        <f t="shared" si="281"/>
        <v>4.0134754945051745E-3</v>
      </c>
      <c r="J299" s="3">
        <f t="shared" si="281"/>
        <v>2.5408257786774118E-9</v>
      </c>
      <c r="K299" s="3">
        <f t="shared" si="281"/>
        <v>2.6273480066211141E-71</v>
      </c>
      <c r="L299" s="3">
        <f t="shared" si="281"/>
        <v>0</v>
      </c>
      <c r="M299" s="3">
        <f t="shared" si="281"/>
        <v>0</v>
      </c>
      <c r="N299" s="3">
        <f t="shared" si="281"/>
        <v>0</v>
      </c>
      <c r="O299" s="3">
        <f t="shared" si="281"/>
        <v>0</v>
      </c>
      <c r="P299" s="3">
        <f t="shared" si="281"/>
        <v>0</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3.2516214099325327E-2</v>
      </c>
      <c r="C300" s="3">
        <f t="shared" si="282"/>
        <v>3.2516209912816271E-2</v>
      </c>
      <c r="D300" s="3">
        <f t="shared" si="282"/>
        <v>3.2516168047755298E-2</v>
      </c>
      <c r="E300" s="3">
        <f t="shared" si="282"/>
        <v>3.251574940011015E-2</v>
      </c>
      <c r="F300" s="3">
        <f t="shared" si="282"/>
        <v>3.2511563220103547E-2</v>
      </c>
      <c r="G300" s="3">
        <f t="shared" si="282"/>
        <v>3.2469731050401934E-2</v>
      </c>
      <c r="H300" s="3">
        <f t="shared" si="282"/>
        <v>3.2054358322991104E-2</v>
      </c>
      <c r="I300" s="3">
        <f t="shared" si="282"/>
        <v>2.8181950532873385E-2</v>
      </c>
      <c r="J300" s="3">
        <f t="shared" si="282"/>
        <v>7.7769741716744471E-3</v>
      </c>
      <c r="K300" s="3">
        <f t="shared" si="282"/>
        <v>1.9916211981134385E-8</v>
      </c>
      <c r="L300" s="3">
        <f t="shared" si="282"/>
        <v>2.4163930339263422E-64</v>
      </c>
      <c r="M300" s="3">
        <f t="shared" si="282"/>
        <v>0</v>
      </c>
      <c r="N300" s="3">
        <f t="shared" si="282"/>
        <v>0</v>
      </c>
      <c r="O300" s="3">
        <f t="shared" si="282"/>
        <v>0</v>
      </c>
      <c r="P300" s="3">
        <f t="shared" si="282"/>
        <v>0</v>
      </c>
      <c r="Q300" s="3">
        <f t="shared" si="282"/>
        <v>0</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3.2163923021761194E-2</v>
      </c>
      <c r="C301" s="3">
        <f t="shared" si="283"/>
        <v>3.2163922648194891E-2</v>
      </c>
      <c r="D301" s="3">
        <f t="shared" si="283"/>
        <v>3.2163918912532126E-2</v>
      </c>
      <c r="E301" s="3">
        <f t="shared" si="283"/>
        <v>3.2163881555928323E-2</v>
      </c>
      <c r="F301" s="3">
        <f t="shared" si="283"/>
        <v>3.2163507992276602E-2</v>
      </c>
      <c r="G301" s="3">
        <f t="shared" si="283"/>
        <v>3.2159772594380208E-2</v>
      </c>
      <c r="H301" s="3">
        <f t="shared" si="283"/>
        <v>3.2122442467246728E-2</v>
      </c>
      <c r="I301" s="3">
        <f t="shared" si="283"/>
        <v>3.1751516160767296E-2</v>
      </c>
      <c r="J301" s="3">
        <f t="shared" si="283"/>
        <v>2.8269852917427771E-2</v>
      </c>
      <c r="K301" s="3">
        <f t="shared" si="283"/>
        <v>8.8494108404461903E-3</v>
      </c>
      <c r="L301" s="3">
        <f t="shared" si="283"/>
        <v>7.9950732800233907E-8</v>
      </c>
      <c r="M301" s="3">
        <f t="shared" si="283"/>
        <v>2.8966989070123806E-58</v>
      </c>
      <c r="N301" s="3">
        <f t="shared" si="283"/>
        <v>0</v>
      </c>
      <c r="O301" s="3">
        <f t="shared" si="283"/>
        <v>0</v>
      </c>
      <c r="P301" s="3">
        <f t="shared" si="283"/>
        <v>0</v>
      </c>
      <c r="Q301" s="3">
        <f t="shared" si="283"/>
        <v>0</v>
      </c>
      <c r="R301" s="3">
        <f t="shared" si="283"/>
        <v>0</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3.3900572601054613E-2</v>
      </c>
      <c r="C302" s="3">
        <f t="shared" si="284"/>
        <v>3.3900572565536295E-2</v>
      </c>
      <c r="D302" s="3">
        <f t="shared" si="284"/>
        <v>3.390057221035319E-2</v>
      </c>
      <c r="E302" s="3">
        <f t="shared" si="284"/>
        <v>3.3900568658522326E-2</v>
      </c>
      <c r="F302" s="3">
        <f t="shared" si="284"/>
        <v>3.3900533140234133E-2</v>
      </c>
      <c r="G302" s="3">
        <f t="shared" si="284"/>
        <v>3.3900177959398967E-2</v>
      </c>
      <c r="H302" s="3">
        <f t="shared" si="284"/>
        <v>3.3896626355711293E-2</v>
      </c>
      <c r="I302" s="3">
        <f t="shared" si="284"/>
        <v>3.3861130777307652E-2</v>
      </c>
      <c r="J302" s="3">
        <f t="shared" si="284"/>
        <v>3.3508212931896278E-2</v>
      </c>
      <c r="K302" s="3">
        <f t="shared" si="284"/>
        <v>3.0175144692317135E-2</v>
      </c>
      <c r="L302" s="3">
        <f t="shared" si="284"/>
        <v>1.0583524225449212E-2</v>
      </c>
      <c r="M302" s="3">
        <f t="shared" si="284"/>
        <v>2.9815340809967501E-7</v>
      </c>
      <c r="N302" s="3">
        <f t="shared" si="284"/>
        <v>9.3871655200377763E-53</v>
      </c>
      <c r="O302" s="3">
        <f t="shared" si="284"/>
        <v>0</v>
      </c>
      <c r="P302" s="3">
        <f t="shared" si="284"/>
        <v>0</v>
      </c>
      <c r="Q302" s="3">
        <f t="shared" si="284"/>
        <v>0</v>
      </c>
      <c r="R302" s="3">
        <f t="shared" si="284"/>
        <v>0</v>
      </c>
      <c r="S302" s="3">
        <f t="shared" si="284"/>
        <v>0</v>
      </c>
      <c r="T302" s="3">
        <f t="shared" si="284"/>
        <v>0</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4.6234934193270023E-2</v>
      </c>
      <c r="C303" s="3">
        <f t="shared" si="285"/>
        <v>4.623493418890022E-2</v>
      </c>
      <c r="D303" s="3">
        <f t="shared" si="285"/>
        <v>4.6234934145202168E-2</v>
      </c>
      <c r="E303" s="3">
        <f t="shared" si="285"/>
        <v>4.6234933708221619E-2</v>
      </c>
      <c r="F303" s="3">
        <f t="shared" si="285"/>
        <v>4.6234929338416386E-2</v>
      </c>
      <c r="G303" s="3">
        <f t="shared" si="285"/>
        <v>4.6234885640386747E-2</v>
      </c>
      <c r="H303" s="3">
        <f t="shared" si="285"/>
        <v>4.6234448662361892E-2</v>
      </c>
      <c r="I303" s="3">
        <f t="shared" si="285"/>
        <v>4.6230079109256576E-2</v>
      </c>
      <c r="J303" s="3">
        <f t="shared" si="285"/>
        <v>4.6186406284584494E-2</v>
      </c>
      <c r="K303" s="3">
        <f t="shared" si="285"/>
        <v>4.5751940755622264E-2</v>
      </c>
      <c r="L303" s="3">
        <f t="shared" si="285"/>
        <v>4.1625840635067281E-2</v>
      </c>
      <c r="M303" s="3">
        <f t="shared" si="285"/>
        <v>1.6176999699535555E-2</v>
      </c>
      <c r="N303" s="3">
        <f t="shared" si="285"/>
        <v>1.2712986323169256E-6</v>
      </c>
      <c r="O303" s="3">
        <f t="shared" si="285"/>
        <v>1.1422038066077001E-47</v>
      </c>
      <c r="P303" s="3">
        <f t="shared" si="285"/>
        <v>0</v>
      </c>
      <c r="Q303" s="3">
        <f t="shared" si="285"/>
        <v>0</v>
      </c>
      <c r="R303" s="3">
        <f t="shared" si="285"/>
        <v>0</v>
      </c>
      <c r="S303" s="3">
        <f t="shared" si="285"/>
        <v>0</v>
      </c>
      <c r="T303" s="3">
        <f t="shared" si="285"/>
        <v>0</v>
      </c>
      <c r="U303" s="3">
        <f t="shared" si="285"/>
        <v>0</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5.6671396993833466E-2</v>
      </c>
      <c r="C304" s="3">
        <f t="shared" si="286"/>
        <v>5.667139699335029E-2</v>
      </c>
      <c r="D304" s="3">
        <f t="shared" si="286"/>
        <v>5.6671396988518564E-2</v>
      </c>
      <c r="E304" s="3">
        <f t="shared" si="286"/>
        <v>5.6671396940201298E-2</v>
      </c>
      <c r="F304" s="3">
        <f t="shared" si="286"/>
        <v>5.6671396457028615E-2</v>
      </c>
      <c r="G304" s="3">
        <f t="shared" si="286"/>
        <v>5.6671391625302062E-2</v>
      </c>
      <c r="H304" s="3">
        <f t="shared" si="286"/>
        <v>5.6671343308059091E-2</v>
      </c>
      <c r="I304" s="3">
        <f t="shared" si="286"/>
        <v>5.6670860137895129E-2</v>
      </c>
      <c r="J304" s="3">
        <f t="shared" si="286"/>
        <v>5.6666028662818155E-2</v>
      </c>
      <c r="K304" s="3">
        <f t="shared" si="286"/>
        <v>5.6617736561166691E-2</v>
      </c>
      <c r="L304" s="3">
        <f t="shared" si="286"/>
        <v>5.613707332792206E-2</v>
      </c>
      <c r="M304" s="3">
        <f t="shared" si="286"/>
        <v>5.1549256510798683E-2</v>
      </c>
      <c r="N304" s="3">
        <f t="shared" si="286"/>
        <v>2.1976007397986056E-2</v>
      </c>
      <c r="O304" s="3">
        <f t="shared" si="286"/>
        <v>4.3572518193127326E-6</v>
      </c>
      <c r="P304" s="3">
        <f t="shared" si="286"/>
        <v>4.0912058610668016E-43</v>
      </c>
      <c r="Q304" s="3">
        <f t="shared" si="286"/>
        <v>0</v>
      </c>
      <c r="R304" s="3">
        <f t="shared" si="286"/>
        <v>0</v>
      </c>
      <c r="S304" s="3">
        <f t="shared" si="286"/>
        <v>0</v>
      </c>
      <c r="T304" s="3">
        <f t="shared" si="286"/>
        <v>0</v>
      </c>
      <c r="U304" s="3">
        <f t="shared" si="286"/>
        <v>0</v>
      </c>
      <c r="V304" s="3">
        <f t="shared" si="286"/>
        <v>0</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5.8705737383093613E-2</v>
      </c>
      <c r="C305" s="3">
        <f t="shared" si="287"/>
        <v>5.8705737383048462E-2</v>
      </c>
      <c r="D305" s="3">
        <f t="shared" si="287"/>
        <v>5.8705737382596955E-2</v>
      </c>
      <c r="E305" s="3">
        <f t="shared" si="287"/>
        <v>5.8705737378081872E-2</v>
      </c>
      <c r="F305" s="3">
        <f t="shared" si="287"/>
        <v>5.8705737332931059E-2</v>
      </c>
      <c r="G305" s="3">
        <f t="shared" si="287"/>
        <v>5.8705736881422915E-2</v>
      </c>
      <c r="H305" s="3">
        <f t="shared" si="287"/>
        <v>5.8705732366341655E-2</v>
      </c>
      <c r="I305" s="3">
        <f t="shared" si="287"/>
        <v>5.8705687215548169E-2</v>
      </c>
      <c r="J305" s="3">
        <f t="shared" si="287"/>
        <v>5.8705235709523206E-2</v>
      </c>
      <c r="K305" s="3">
        <f t="shared" si="287"/>
        <v>5.8700720840258729E-2</v>
      </c>
      <c r="L305" s="3">
        <f t="shared" si="287"/>
        <v>5.865559124069495E-2</v>
      </c>
      <c r="M305" s="3">
        <f t="shared" si="287"/>
        <v>5.8206199131023928E-2</v>
      </c>
      <c r="N305" s="3">
        <f t="shared" si="287"/>
        <v>5.3897358430580244E-2</v>
      </c>
      <c r="O305" s="3">
        <f t="shared" si="287"/>
        <v>2.4977552327661176E-2</v>
      </c>
      <c r="P305" s="3">
        <f t="shared" si="287"/>
        <v>1.1412317558661587E-5</v>
      </c>
      <c r="Q305" s="3">
        <f t="shared" si="287"/>
        <v>4.524947566122639E-39</v>
      </c>
      <c r="R305" s="3">
        <f t="shared" si="287"/>
        <v>0</v>
      </c>
      <c r="S305" s="3">
        <f t="shared" si="287"/>
        <v>0</v>
      </c>
      <c r="T305" s="3">
        <f t="shared" si="287"/>
        <v>0</v>
      </c>
      <c r="U305" s="3">
        <f t="shared" si="287"/>
        <v>0</v>
      </c>
      <c r="V305" s="3">
        <f t="shared" si="287"/>
        <v>0</v>
      </c>
      <c r="W305" s="3">
        <f t="shared" si="287"/>
        <v>0</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5.620235606497169E-2</v>
      </c>
      <c r="C306" s="3">
        <f t="shared" si="288"/>
        <v>5.620235606496779E-2</v>
      </c>
      <c r="D306" s="3">
        <f t="shared" si="288"/>
        <v>5.6202356064928793E-2</v>
      </c>
      <c r="E306" s="3">
        <f t="shared" si="288"/>
        <v>5.6202356064538862E-2</v>
      </c>
      <c r="F306" s="3">
        <f t="shared" si="288"/>
        <v>5.6202356060639565E-2</v>
      </c>
      <c r="G306" s="3">
        <f t="shared" si="288"/>
        <v>5.6202356021646617E-2</v>
      </c>
      <c r="H306" s="3">
        <f t="shared" si="288"/>
        <v>5.6202355631717056E-2</v>
      </c>
      <c r="I306" s="3">
        <f t="shared" si="288"/>
        <v>5.6202351732421649E-2</v>
      </c>
      <c r="J306" s="3">
        <f t="shared" si="288"/>
        <v>5.6202312739482445E-2</v>
      </c>
      <c r="K306" s="3">
        <f t="shared" si="288"/>
        <v>5.6201922811578334E-2</v>
      </c>
      <c r="L306" s="3">
        <f t="shared" si="288"/>
        <v>5.6198023681325308E-2</v>
      </c>
      <c r="M306" s="3">
        <f t="shared" si="288"/>
        <v>5.6159047253782658E-2</v>
      </c>
      <c r="N306" s="3">
        <f t="shared" si="288"/>
        <v>5.5770766665725419E-2</v>
      </c>
      <c r="O306" s="3">
        <f t="shared" si="288"/>
        <v>5.2032590482115525E-2</v>
      </c>
      <c r="P306" s="3">
        <f t="shared" si="288"/>
        <v>2.5999427357290314E-2</v>
      </c>
      <c r="Q306" s="3">
        <f t="shared" si="288"/>
        <v>2.5225926616255866E-5</v>
      </c>
      <c r="R306" s="3">
        <f t="shared" si="288"/>
        <v>1.8650074954762643E-35</v>
      </c>
      <c r="S306" s="3">
        <f t="shared" si="288"/>
        <v>0</v>
      </c>
      <c r="T306" s="3">
        <f t="shared" si="288"/>
        <v>0</v>
      </c>
      <c r="U306" s="3">
        <f t="shared" si="288"/>
        <v>0</v>
      </c>
      <c r="V306" s="3">
        <f t="shared" si="288"/>
        <v>0</v>
      </c>
      <c r="W306" s="3">
        <f t="shared" si="288"/>
        <v>0</v>
      </c>
      <c r="X306" s="3">
        <f t="shared" si="288"/>
        <v>0</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6.3415296184233125E-2</v>
      </c>
      <c r="C307" s="3">
        <f t="shared" si="289"/>
        <v>6.3415296184232722E-2</v>
      </c>
      <c r="D307" s="3">
        <f t="shared" si="289"/>
        <v>6.3415296184228753E-2</v>
      </c>
      <c r="E307" s="3">
        <f t="shared" si="289"/>
        <v>6.3415296184189063E-2</v>
      </c>
      <c r="F307" s="3">
        <f t="shared" si="289"/>
        <v>6.3415296183792172E-2</v>
      </c>
      <c r="G307" s="3">
        <f t="shared" si="289"/>
        <v>6.3415296179823263E-2</v>
      </c>
      <c r="H307" s="3">
        <f t="shared" si="289"/>
        <v>6.3415296140134067E-2</v>
      </c>
      <c r="I307" s="3">
        <f t="shared" si="289"/>
        <v>6.3415295743242159E-2</v>
      </c>
      <c r="J307" s="3">
        <f t="shared" si="289"/>
        <v>6.341529177432316E-2</v>
      </c>
      <c r="K307" s="3">
        <f t="shared" si="289"/>
        <v>6.3415252085146964E-2</v>
      </c>
      <c r="L307" s="3">
        <f t="shared" si="289"/>
        <v>6.3414855194751138E-2</v>
      </c>
      <c r="M307" s="3">
        <f t="shared" si="289"/>
        <v>6.3410886427408969E-2</v>
      </c>
      <c r="N307" s="3">
        <f t="shared" si="289"/>
        <v>6.3371212412437691E-2</v>
      </c>
      <c r="O307" s="3">
        <f t="shared" si="289"/>
        <v>6.2975834950176168E-2</v>
      </c>
      <c r="P307" s="3">
        <f t="shared" si="289"/>
        <v>5.9155225645844918E-2</v>
      </c>
      <c r="Q307" s="3">
        <f t="shared" si="289"/>
        <v>3.1636244720028385E-2</v>
      </c>
      <c r="R307" s="3">
        <f t="shared" si="289"/>
        <v>6.0548450936776252E-5</v>
      </c>
      <c r="S307" s="3">
        <f t="shared" si="289"/>
        <v>3.992860526367616E-32</v>
      </c>
      <c r="T307" s="3">
        <f t="shared" si="289"/>
        <v>6.2100511249061322E-304</v>
      </c>
      <c r="U307" s="3">
        <f t="shared" si="289"/>
        <v>0</v>
      </c>
      <c r="V307" s="3">
        <f t="shared" si="289"/>
        <v>0</v>
      </c>
      <c r="W307" s="3">
        <f t="shared" si="289"/>
        <v>0</v>
      </c>
      <c r="X307" s="3">
        <f t="shared" si="289"/>
        <v>0</v>
      </c>
      <c r="Y307" s="3">
        <f t="shared" si="289"/>
        <v>0</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3.5348869965799556E-2</v>
      </c>
      <c r="C308" s="3">
        <f t="shared" si="290"/>
        <v>3.5348869965799543E-2</v>
      </c>
      <c r="D308" s="3">
        <f t="shared" si="290"/>
        <v>3.5348869965799341E-2</v>
      </c>
      <c r="E308" s="3">
        <f t="shared" si="290"/>
        <v>3.5348869965797343E-2</v>
      </c>
      <c r="F308" s="3">
        <f t="shared" si="290"/>
        <v>3.5348869965777387E-2</v>
      </c>
      <c r="G308" s="3">
        <f t="shared" si="290"/>
        <v>3.5348869965577817E-2</v>
      </c>
      <c r="H308" s="3">
        <f t="shared" si="290"/>
        <v>3.5348869963582094E-2</v>
      </c>
      <c r="I308" s="3">
        <f t="shared" si="290"/>
        <v>3.5348869943624864E-2</v>
      </c>
      <c r="J308" s="3">
        <f t="shared" si="290"/>
        <v>3.5348869744052519E-2</v>
      </c>
      <c r="K308" s="3">
        <f t="shared" si="290"/>
        <v>3.5348867748329182E-2</v>
      </c>
      <c r="L308" s="3">
        <f t="shared" si="290"/>
        <v>3.5348847791101978E-2</v>
      </c>
      <c r="M308" s="3">
        <f t="shared" si="290"/>
        <v>3.5348648219449691E-2</v>
      </c>
      <c r="N308" s="3">
        <f t="shared" si="290"/>
        <v>3.5346652564896289E-2</v>
      </c>
      <c r="O308" s="3">
        <f t="shared" si="290"/>
        <v>3.532670221501491E-2</v>
      </c>
      <c r="P308" s="3">
        <f t="shared" si="290"/>
        <v>3.5127816989179307E-2</v>
      </c>
      <c r="Q308" s="3">
        <f t="shared" si="290"/>
        <v>3.3199519764389639E-2</v>
      </c>
      <c r="R308" s="3">
        <f t="shared" si="290"/>
        <v>1.887722720150084E-2</v>
      </c>
      <c r="S308" s="3">
        <f t="shared" si="290"/>
        <v>6.6681017134505153E-5</v>
      </c>
      <c r="T308" s="3">
        <f t="shared" si="290"/>
        <v>2.0167048600450502E-29</v>
      </c>
      <c r="U308" s="3">
        <f t="shared" si="290"/>
        <v>1.2913490152906964E-274</v>
      </c>
      <c r="V308" s="3">
        <f t="shared" si="290"/>
        <v>0</v>
      </c>
      <c r="W308" s="3">
        <f t="shared" si="290"/>
        <v>0</v>
      </c>
      <c r="X308" s="3">
        <f t="shared" si="290"/>
        <v>0</v>
      </c>
      <c r="Y308" s="3">
        <f t="shared" si="290"/>
        <v>0</v>
      </c>
      <c r="Z308" s="3">
        <f t="shared" si="290"/>
        <v>0</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7.0460456800535406E-2</v>
      </c>
      <c r="C309" s="3">
        <f t="shared" si="291"/>
        <v>7.0460456800535393E-2</v>
      </c>
      <c r="D309" s="3">
        <f t="shared" si="291"/>
        <v>7.0460456800535282E-2</v>
      </c>
      <c r="E309" s="3">
        <f t="shared" si="291"/>
        <v>7.0460456800534185E-2</v>
      </c>
      <c r="F309" s="3">
        <f t="shared" si="291"/>
        <v>7.046045680052318E-2</v>
      </c>
      <c r="G309" s="3">
        <f t="shared" si="291"/>
        <v>7.0460456800413157E-2</v>
      </c>
      <c r="H309" s="3">
        <f t="shared" si="291"/>
        <v>7.0460456799312926E-2</v>
      </c>
      <c r="I309" s="3">
        <f t="shared" si="291"/>
        <v>7.046045678831063E-2</v>
      </c>
      <c r="J309" s="3">
        <f t="shared" si="291"/>
        <v>7.0460456678287722E-2</v>
      </c>
      <c r="K309" s="3">
        <f t="shared" si="291"/>
        <v>7.046045557805862E-2</v>
      </c>
      <c r="L309" s="3">
        <f t="shared" si="291"/>
        <v>7.0460444575768541E-2</v>
      </c>
      <c r="M309" s="3">
        <f t="shared" si="291"/>
        <v>7.0460334552962189E-2</v>
      </c>
      <c r="N309" s="3">
        <f t="shared" si="291"/>
        <v>7.0459234334347587E-2</v>
      </c>
      <c r="O309" s="3">
        <f t="shared" si="291"/>
        <v>7.0448233093035689E-2</v>
      </c>
      <c r="P309" s="3">
        <f t="shared" si="291"/>
        <v>7.0338315108775473E-2</v>
      </c>
      <c r="Q309" s="3">
        <f t="shared" si="291"/>
        <v>6.9248523822959374E-2</v>
      </c>
      <c r="R309" s="3">
        <f t="shared" si="291"/>
        <v>5.9237416513874756E-2</v>
      </c>
      <c r="S309" s="3">
        <f t="shared" si="291"/>
        <v>1.2429452717284061E-2</v>
      </c>
      <c r="T309" s="3">
        <f t="shared" si="291"/>
        <v>2.0559425561658149E-9</v>
      </c>
      <c r="U309" s="3">
        <f t="shared" si="291"/>
        <v>3.1521049689281151E-77</v>
      </c>
      <c r="V309" s="3">
        <f t="shared" si="291"/>
        <v>0</v>
      </c>
      <c r="W309" s="3">
        <f t="shared" si="291"/>
        <v>0</v>
      </c>
      <c r="X309" s="3">
        <f t="shared" si="291"/>
        <v>0</v>
      </c>
      <c r="Y309" s="3">
        <f t="shared" si="291"/>
        <v>0</v>
      </c>
      <c r="Z309" s="3">
        <f t="shared" si="291"/>
        <v>0</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8.6875447409324694E-2</v>
      </c>
      <c r="C310" s="3">
        <f t="shared" si="292"/>
        <v>8.6875447409324694E-2</v>
      </c>
      <c r="D310" s="3">
        <f t="shared" si="292"/>
        <v>8.687544740932468E-2</v>
      </c>
      <c r="E310" s="3">
        <f t="shared" si="292"/>
        <v>8.6875447409324541E-2</v>
      </c>
      <c r="F310" s="3">
        <f t="shared" si="292"/>
        <v>8.6875447409323195E-2</v>
      </c>
      <c r="G310" s="3">
        <f t="shared" si="292"/>
        <v>8.6875447409309622E-2</v>
      </c>
      <c r="H310" s="3">
        <f t="shared" si="292"/>
        <v>8.6875447409173967E-2</v>
      </c>
      <c r="I310" s="3">
        <f t="shared" si="292"/>
        <v>8.6875447407817427E-2</v>
      </c>
      <c r="J310" s="3">
        <f t="shared" si="292"/>
        <v>8.6875447394251945E-2</v>
      </c>
      <c r="K310" s="3">
        <f t="shared" si="292"/>
        <v>8.6875447258597291E-2</v>
      </c>
      <c r="L310" s="3">
        <f t="shared" si="292"/>
        <v>8.6875445902050652E-2</v>
      </c>
      <c r="M310" s="3">
        <f t="shared" si="292"/>
        <v>8.687543233658547E-2</v>
      </c>
      <c r="N310" s="3">
        <f t="shared" si="292"/>
        <v>8.6875296682050129E-2</v>
      </c>
      <c r="O310" s="3">
        <f t="shared" si="292"/>
        <v>8.6873940148346943E-2</v>
      </c>
      <c r="P310" s="3">
        <f t="shared" si="292"/>
        <v>8.6860375976264795E-2</v>
      </c>
      <c r="Q310" s="3">
        <f t="shared" si="292"/>
        <v>8.6724850683149404E-2</v>
      </c>
      <c r="R310" s="3">
        <f t="shared" si="292"/>
        <v>8.5381173536603613E-2</v>
      </c>
      <c r="S310" s="3">
        <f t="shared" si="292"/>
        <v>7.3037804418212116E-2</v>
      </c>
      <c r="T310" s="3">
        <f t="shared" si="292"/>
        <v>1.5325110209318061E-2</v>
      </c>
      <c r="U310" s="3">
        <f t="shared" si="292"/>
        <v>2.5349101826064038E-9</v>
      </c>
      <c r="V310" s="3">
        <f t="shared" si="292"/>
        <v>3.8864427210852927E-77</v>
      </c>
      <c r="W310" s="3">
        <f t="shared" si="292"/>
        <v>0</v>
      </c>
      <c r="X310" s="3">
        <f t="shared" si="292"/>
        <v>0</v>
      </c>
      <c r="Y310" s="3">
        <f t="shared" si="292"/>
        <v>0</v>
      </c>
      <c r="Z310" s="3">
        <f t="shared" si="292"/>
        <v>0</v>
      </c>
      <c r="AA310" s="3">
        <f t="shared" si="292"/>
        <v>0</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9.6215979999175721E-2</v>
      </c>
      <c r="C311" s="3">
        <f t="shared" si="293"/>
        <v>9.6215979999175721E-2</v>
      </c>
      <c r="D311" s="3">
        <f t="shared" si="293"/>
        <v>9.6215979999175721E-2</v>
      </c>
      <c r="E311" s="3">
        <f t="shared" si="293"/>
        <v>9.6215979999175694E-2</v>
      </c>
      <c r="F311" s="3">
        <f t="shared" si="293"/>
        <v>9.6215979999175555E-2</v>
      </c>
      <c r="G311" s="3">
        <f t="shared" si="293"/>
        <v>9.6215979999174056E-2</v>
      </c>
      <c r="H311" s="3">
        <f t="shared" si="293"/>
        <v>9.6215979999159026E-2</v>
      </c>
      <c r="I311" s="3">
        <f t="shared" si="293"/>
        <v>9.6215979999008786E-2</v>
      </c>
      <c r="J311" s="3">
        <f t="shared" si="293"/>
        <v>9.621597999750639E-2</v>
      </c>
      <c r="K311" s="3">
        <f t="shared" si="293"/>
        <v>9.6215979982482408E-2</v>
      </c>
      <c r="L311" s="3">
        <f t="shared" si="293"/>
        <v>9.6215979832242643E-2</v>
      </c>
      <c r="M311" s="3">
        <f t="shared" si="293"/>
        <v>9.6215978329845048E-2</v>
      </c>
      <c r="N311" s="3">
        <f t="shared" si="293"/>
        <v>9.6215963305870317E-2</v>
      </c>
      <c r="O311" s="3">
        <f t="shared" si="293"/>
        <v>9.6215813066252015E-2</v>
      </c>
      <c r="P311" s="3">
        <f t="shared" si="293"/>
        <v>9.6214310682971732E-2</v>
      </c>
      <c r="Q311" s="3">
        <f t="shared" si="293"/>
        <v>9.619928814036989E-2</v>
      </c>
      <c r="R311" s="3">
        <f t="shared" si="293"/>
        <v>9.6049191659941593E-2</v>
      </c>
      <c r="S311" s="3">
        <f t="shared" si="293"/>
        <v>9.4561047226586731E-2</v>
      </c>
      <c r="T311" s="3">
        <f t="shared" si="293"/>
        <v>8.0890563889425504E-2</v>
      </c>
      <c r="U311" s="3">
        <f t="shared" si="293"/>
        <v>1.6972810401050593E-2</v>
      </c>
      <c r="V311" s="3">
        <f t="shared" si="293"/>
        <v>2.807454519114062E-9</v>
      </c>
      <c r="W311" s="3">
        <f t="shared" si="293"/>
        <v>4.3042989276133302E-77</v>
      </c>
      <c r="X311" s="3">
        <f t="shared" si="293"/>
        <v>0</v>
      </c>
      <c r="Y311" s="3">
        <f t="shared" si="293"/>
        <v>0</v>
      </c>
      <c r="Z311" s="3">
        <f t="shared" si="293"/>
        <v>0</v>
      </c>
      <c r="AA311" s="3">
        <f t="shared" si="293"/>
        <v>0</v>
      </c>
      <c r="AB311" s="3">
        <f t="shared" si="293"/>
        <v>0</v>
      </c>
      <c r="AC311" s="3">
        <f t="shared" si="293"/>
        <v>0</v>
      </c>
      <c r="AD311" s="3">
        <f t="shared" si="293"/>
        <v>0</v>
      </c>
      <c r="AE311" s="3">
        <f t="shared" si="293"/>
        <v>0</v>
      </c>
      <c r="AF311" s="3">
        <f t="shared" si="293"/>
        <v>0</v>
      </c>
      <c r="AG311" s="3"/>
      <c r="AH311" s="3"/>
    </row>
    <row r="312" spans="1:34" x14ac:dyDescent="0.25">
      <c r="B312" s="3">
        <f t="shared" ref="B312:AF312" si="294">$C42*EXP(-B$285/$A42/EXP(-$F$126))</f>
        <v>0.11161416834614406</v>
      </c>
      <c r="C312" s="3">
        <f t="shared" si="294"/>
        <v>0.11161416834614406</v>
      </c>
      <c r="D312" s="3">
        <f t="shared" si="294"/>
        <v>0.11161416834614406</v>
      </c>
      <c r="E312" s="3">
        <f t="shared" si="294"/>
        <v>0.11161416834614406</v>
      </c>
      <c r="F312" s="3">
        <f t="shared" si="294"/>
        <v>0.11161416834614403</v>
      </c>
      <c r="G312" s="3">
        <f t="shared" si="294"/>
        <v>0.11161416834614386</v>
      </c>
      <c r="H312" s="3">
        <f t="shared" si="294"/>
        <v>0.11161416834614213</v>
      </c>
      <c r="I312" s="3">
        <f t="shared" si="294"/>
        <v>0.11161416834612468</v>
      </c>
      <c r="J312" s="3">
        <f t="shared" si="294"/>
        <v>0.11161416834595041</v>
      </c>
      <c r="K312" s="3">
        <f t="shared" si="294"/>
        <v>0.11161416834420758</v>
      </c>
      <c r="L312" s="3">
        <f t="shared" si="294"/>
        <v>0.11161416832677919</v>
      </c>
      <c r="M312" s="3">
        <f t="shared" si="294"/>
        <v>0.11161416815249539</v>
      </c>
      <c r="N312" s="3">
        <f t="shared" si="294"/>
        <v>0.11161416640965748</v>
      </c>
      <c r="O312" s="3">
        <f t="shared" si="294"/>
        <v>0.11161414898127972</v>
      </c>
      <c r="P312" s="3">
        <f t="shared" si="294"/>
        <v>0.1116139746976519</v>
      </c>
      <c r="Q312" s="3">
        <f t="shared" si="294"/>
        <v>0.11161223187634126</v>
      </c>
      <c r="R312" s="3">
        <f t="shared" si="294"/>
        <v>0.11159480515991678</v>
      </c>
      <c r="S312" s="3">
        <f t="shared" si="294"/>
        <v>0.11142068757742341</v>
      </c>
      <c r="T312" s="3">
        <f t="shared" si="294"/>
        <v>0.10969438386665448</v>
      </c>
      <c r="U312" s="3">
        <f t="shared" si="294"/>
        <v>9.3836107220923254E-2</v>
      </c>
      <c r="V312" s="3">
        <f t="shared" si="294"/>
        <v>1.9689100681885435E-2</v>
      </c>
      <c r="W312" s="3">
        <f t="shared" si="294"/>
        <v>3.2567532058939097E-9</v>
      </c>
      <c r="X312" s="3">
        <f t="shared" si="294"/>
        <v>4.9931492161996094E-77</v>
      </c>
      <c r="Y312" s="3">
        <f t="shared" si="294"/>
        <v>0</v>
      </c>
      <c r="Z312" s="3">
        <f t="shared" si="294"/>
        <v>0</v>
      </c>
      <c r="AA312" s="3">
        <f t="shared" si="294"/>
        <v>0</v>
      </c>
      <c r="AB312" s="3">
        <f t="shared" si="294"/>
        <v>0</v>
      </c>
      <c r="AC312" s="3">
        <f t="shared" si="294"/>
        <v>0</v>
      </c>
      <c r="AD312" s="3">
        <f t="shared" si="294"/>
        <v>0</v>
      </c>
      <c r="AE312" s="3">
        <f t="shared" si="294"/>
        <v>0</v>
      </c>
      <c r="AF312" s="3">
        <f t="shared" si="294"/>
        <v>0</v>
      </c>
      <c r="AG312" s="3"/>
      <c r="AH312" s="3"/>
    </row>
    <row r="313" spans="1:34" x14ac:dyDescent="0.25">
      <c r="B313" s="3">
        <f t="shared" ref="B313:AF313" si="295">$C43*EXP(-B$285/$A43/EXP(-$F$126))</f>
        <v>6.6462351022397975E-2</v>
      </c>
      <c r="C313" s="3">
        <f t="shared" si="295"/>
        <v>6.6462351022397975E-2</v>
      </c>
      <c r="D313" s="3">
        <f t="shared" si="295"/>
        <v>6.6462351022397975E-2</v>
      </c>
      <c r="E313" s="3">
        <f t="shared" si="295"/>
        <v>6.6462351022397975E-2</v>
      </c>
      <c r="F313" s="3">
        <f t="shared" si="295"/>
        <v>6.6462351022397975E-2</v>
      </c>
      <c r="G313" s="3">
        <f t="shared" si="295"/>
        <v>6.6462351022397961E-2</v>
      </c>
      <c r="H313" s="3">
        <f t="shared" si="295"/>
        <v>6.646235102239785E-2</v>
      </c>
      <c r="I313" s="3">
        <f t="shared" si="295"/>
        <v>6.6462351022396823E-2</v>
      </c>
      <c r="J313" s="3">
        <f t="shared" si="295"/>
        <v>6.6462351022386443E-2</v>
      </c>
      <c r="K313" s="3">
        <f t="shared" si="295"/>
        <v>6.6462351022282665E-2</v>
      </c>
      <c r="L313" s="3">
        <f t="shared" si="295"/>
        <v>6.646235102124487E-2</v>
      </c>
      <c r="M313" s="3">
        <f t="shared" si="295"/>
        <v>6.6462351010866866E-2</v>
      </c>
      <c r="N313" s="3">
        <f t="shared" si="295"/>
        <v>6.6462350907086937E-2</v>
      </c>
      <c r="O313" s="3">
        <f t="shared" si="295"/>
        <v>6.6462349869287632E-2</v>
      </c>
      <c r="P313" s="3">
        <f t="shared" si="295"/>
        <v>6.6462339491295513E-2</v>
      </c>
      <c r="Q313" s="3">
        <f t="shared" si="295"/>
        <v>6.6462235711463424E-2</v>
      </c>
      <c r="R313" s="3">
        <f t="shared" si="295"/>
        <v>6.646119792205521E-2</v>
      </c>
      <c r="S313" s="3">
        <f t="shared" si="295"/>
        <v>6.6450820919194964E-2</v>
      </c>
      <c r="T313" s="3">
        <f t="shared" si="295"/>
        <v>6.6347139961317303E-2</v>
      </c>
      <c r="U313" s="3">
        <f t="shared" si="295"/>
        <v>6.5319186208702557E-2</v>
      </c>
      <c r="V313" s="3">
        <f t="shared" si="295"/>
        <v>5.5876134626127234E-2</v>
      </c>
      <c r="W313" s="3">
        <f t="shared" si="295"/>
        <v>1.1724173912908187E-2</v>
      </c>
      <c r="X313" s="3">
        <f t="shared" si="295"/>
        <v>1.9392831391456472E-9</v>
      </c>
      <c r="Y313" s="3">
        <f t="shared" si="295"/>
        <v>2.9732465047367299E-77</v>
      </c>
      <c r="Z313" s="3">
        <f t="shared" si="295"/>
        <v>0</v>
      </c>
      <c r="AA313" s="3">
        <f t="shared" si="295"/>
        <v>0</v>
      </c>
      <c r="AB313" s="3">
        <f t="shared" si="295"/>
        <v>0</v>
      </c>
      <c r="AC313" s="3">
        <f t="shared" si="295"/>
        <v>0</v>
      </c>
      <c r="AD313" s="3">
        <f t="shared" si="295"/>
        <v>0</v>
      </c>
      <c r="AE313" s="3">
        <f t="shared" si="295"/>
        <v>0</v>
      </c>
      <c r="AF313" s="3">
        <f t="shared" si="295"/>
        <v>0</v>
      </c>
      <c r="AG313" s="3"/>
      <c r="AH313" s="3"/>
    </row>
    <row r="314" spans="1:34" x14ac:dyDescent="0.25">
      <c r="B314" s="3">
        <f t="shared" ref="B314:AF314" si="296">$C44*EXP(-B$285/$A44/EXP(-$F$126))</f>
        <v>4.7100906601755713E-2</v>
      </c>
      <c r="C314" s="3">
        <f t="shared" si="296"/>
        <v>4.7100906601755713E-2</v>
      </c>
      <c r="D314" s="3">
        <f t="shared" si="296"/>
        <v>4.7100906601755713E-2</v>
      </c>
      <c r="E314" s="3">
        <f t="shared" si="296"/>
        <v>4.7100906601755713E-2</v>
      </c>
      <c r="F314" s="3">
        <f t="shared" si="296"/>
        <v>4.7100906601755713E-2</v>
      </c>
      <c r="G314" s="3">
        <f t="shared" si="296"/>
        <v>4.7100906601755713E-2</v>
      </c>
      <c r="H314" s="3">
        <f t="shared" si="296"/>
        <v>4.7100906601755699E-2</v>
      </c>
      <c r="I314" s="3">
        <f t="shared" si="296"/>
        <v>4.7100906601755629E-2</v>
      </c>
      <c r="J314" s="3">
        <f t="shared" si="296"/>
        <v>4.7100906601754894E-2</v>
      </c>
      <c r="K314" s="3">
        <f t="shared" si="296"/>
        <v>4.7100906601747539E-2</v>
      </c>
      <c r="L314" s="3">
        <f t="shared" si="296"/>
        <v>4.7100906601673993E-2</v>
      </c>
      <c r="M314" s="3">
        <f t="shared" si="296"/>
        <v>4.7100906600938519E-2</v>
      </c>
      <c r="N314" s="3">
        <f t="shared" si="296"/>
        <v>4.7100906593583784E-2</v>
      </c>
      <c r="O314" s="3">
        <f t="shared" si="296"/>
        <v>4.7100906520036449E-2</v>
      </c>
      <c r="P314" s="3">
        <f t="shared" si="296"/>
        <v>4.71009057845631E-2</v>
      </c>
      <c r="Q314" s="3">
        <f t="shared" si="296"/>
        <v>4.7100898429830229E-2</v>
      </c>
      <c r="R314" s="3">
        <f t="shared" si="296"/>
        <v>4.7100824882564694E-2</v>
      </c>
      <c r="S314" s="3">
        <f t="shared" si="296"/>
        <v>4.7100089416225684E-2</v>
      </c>
      <c r="T314" s="3">
        <f t="shared" si="296"/>
        <v>4.7092735384431629E-2</v>
      </c>
      <c r="U314" s="3">
        <f t="shared" si="296"/>
        <v>4.7019258189625046E-2</v>
      </c>
      <c r="V314" s="3">
        <f t="shared" si="296"/>
        <v>4.6290762237435293E-2</v>
      </c>
      <c r="W314" s="3">
        <f t="shared" si="296"/>
        <v>3.9598608201587976E-2</v>
      </c>
      <c r="X314" s="3">
        <f t="shared" si="296"/>
        <v>8.3087524284016102E-3</v>
      </c>
      <c r="Y314" s="3">
        <f t="shared" si="296"/>
        <v>1.3743419034405852E-9</v>
      </c>
      <c r="Z314" s="3">
        <f t="shared" si="296"/>
        <v>2.107096781400445E-77</v>
      </c>
      <c r="AA314" s="3">
        <f t="shared" si="296"/>
        <v>0</v>
      </c>
      <c r="AB314" s="3">
        <f t="shared" si="296"/>
        <v>0</v>
      </c>
      <c r="AC314" s="3">
        <f t="shared" si="296"/>
        <v>0</v>
      </c>
      <c r="AD314" s="3">
        <f t="shared" si="296"/>
        <v>0</v>
      </c>
      <c r="AE314" s="3">
        <f t="shared" si="296"/>
        <v>0</v>
      </c>
      <c r="AF314" s="3">
        <f t="shared" si="296"/>
        <v>0</v>
      </c>
      <c r="AG314" s="3"/>
      <c r="AH314" s="3"/>
    </row>
    <row r="315" spans="1:34" x14ac:dyDescent="0.25">
      <c r="B315" s="3">
        <f t="shared" ref="B315:AF315" si="297">$C45*EXP(-B$285/$A45/EXP(-$F$126))</f>
        <v>2.2598128773559236E-2</v>
      </c>
      <c r="C315" s="3">
        <f t="shared" si="297"/>
        <v>2.2598128773559236E-2</v>
      </c>
      <c r="D315" s="3">
        <f t="shared" si="297"/>
        <v>2.2598128773559236E-2</v>
      </c>
      <c r="E315" s="3">
        <f t="shared" si="297"/>
        <v>2.2598128773559236E-2</v>
      </c>
      <c r="F315" s="3">
        <f t="shared" si="297"/>
        <v>2.2598128773559236E-2</v>
      </c>
      <c r="G315" s="3">
        <f t="shared" si="297"/>
        <v>2.2598128773559236E-2</v>
      </c>
      <c r="H315" s="3">
        <f t="shared" si="297"/>
        <v>2.2598128773559236E-2</v>
      </c>
      <c r="I315" s="3">
        <f t="shared" si="297"/>
        <v>2.2598128773559233E-2</v>
      </c>
      <c r="J315" s="3">
        <f t="shared" si="297"/>
        <v>2.2598128773559194E-2</v>
      </c>
      <c r="K315" s="3">
        <f t="shared" si="297"/>
        <v>2.2598128773558844E-2</v>
      </c>
      <c r="L315" s="3">
        <f t="shared" si="297"/>
        <v>2.2598128773555316E-2</v>
      </c>
      <c r="M315" s="3">
        <f t="shared" si="297"/>
        <v>2.2598128773520028E-2</v>
      </c>
      <c r="N315" s="3">
        <f t="shared" si="297"/>
        <v>2.2598128773167164E-2</v>
      </c>
      <c r="O315" s="3">
        <f t="shared" si="297"/>
        <v>2.2598128769638497E-2</v>
      </c>
      <c r="P315" s="3">
        <f t="shared" si="297"/>
        <v>2.259812873435187E-2</v>
      </c>
      <c r="Q315" s="3">
        <f t="shared" si="297"/>
        <v>2.2598128381485595E-2</v>
      </c>
      <c r="R315" s="3">
        <f t="shared" si="297"/>
        <v>2.2598124852823146E-2</v>
      </c>
      <c r="S315" s="3">
        <f t="shared" si="297"/>
        <v>2.2598089566228951E-2</v>
      </c>
      <c r="T315" s="3">
        <f t="shared" si="297"/>
        <v>2.2597736703317457E-2</v>
      </c>
      <c r="U315" s="3">
        <f t="shared" si="297"/>
        <v>2.2594208377230401E-2</v>
      </c>
      <c r="V315" s="3">
        <f t="shared" si="297"/>
        <v>2.2558955401651853E-2</v>
      </c>
      <c r="W315" s="3">
        <f t="shared" si="297"/>
        <v>2.2209436750603488E-2</v>
      </c>
      <c r="X315" s="3">
        <f t="shared" si="297"/>
        <v>1.8998667158560547E-2</v>
      </c>
      <c r="Y315" s="3">
        <f t="shared" si="297"/>
        <v>3.9863830841345982E-3</v>
      </c>
      <c r="Z315" s="3">
        <f t="shared" si="297"/>
        <v>6.5938338672426247E-10</v>
      </c>
      <c r="AA315" s="3">
        <f t="shared" si="297"/>
        <v>1.0109453902244956E-77</v>
      </c>
      <c r="AB315" s="3">
        <f t="shared" si="297"/>
        <v>0</v>
      </c>
      <c r="AC315" s="3">
        <f t="shared" si="297"/>
        <v>0</v>
      </c>
      <c r="AD315" s="3">
        <f t="shared" si="297"/>
        <v>0</v>
      </c>
      <c r="AE315" s="3">
        <f t="shared" si="297"/>
        <v>0</v>
      </c>
      <c r="AF315" s="3">
        <f t="shared" si="297"/>
        <v>0</v>
      </c>
      <c r="AG315" s="3"/>
      <c r="AH315" s="3"/>
    </row>
    <row r="316" spans="1:34" x14ac:dyDescent="0.25">
      <c r="B316" s="3">
        <f t="shared" ref="B316:AF316" si="298">$C46*EXP(-B$285/$A46/EXP(-$F$126))</f>
        <v>6.4467605952010509E-3</v>
      </c>
      <c r="C316" s="3">
        <f t="shared" si="298"/>
        <v>6.4467605952010509E-3</v>
      </c>
      <c r="D316" s="3">
        <f t="shared" si="298"/>
        <v>6.4467605952010509E-3</v>
      </c>
      <c r="E316" s="3">
        <f t="shared" si="298"/>
        <v>6.4467605952010509E-3</v>
      </c>
      <c r="F316" s="3">
        <f t="shared" si="298"/>
        <v>6.4467605952010509E-3</v>
      </c>
      <c r="G316" s="3">
        <f t="shared" si="298"/>
        <v>6.4467605952010509E-3</v>
      </c>
      <c r="H316" s="3">
        <f t="shared" si="298"/>
        <v>6.4467605952010509E-3</v>
      </c>
      <c r="I316" s="3">
        <f t="shared" si="298"/>
        <v>6.4467605952010509E-3</v>
      </c>
      <c r="J316" s="3">
        <f t="shared" si="298"/>
        <v>6.4467605952010492E-3</v>
      </c>
      <c r="K316" s="3">
        <f t="shared" si="298"/>
        <v>6.4467605952010397E-3</v>
      </c>
      <c r="L316" s="3">
        <f t="shared" si="298"/>
        <v>6.446760595200939E-3</v>
      </c>
      <c r="M316" s="3">
        <f t="shared" si="298"/>
        <v>6.446760595199932E-3</v>
      </c>
      <c r="N316" s="3">
        <f t="shared" si="298"/>
        <v>6.4467605951898663E-3</v>
      </c>
      <c r="O316" s="3">
        <f t="shared" si="298"/>
        <v>6.4467605950892012E-3</v>
      </c>
      <c r="P316" s="3">
        <f t="shared" si="298"/>
        <v>6.4467605940825489E-3</v>
      </c>
      <c r="Q316" s="3">
        <f t="shared" si="298"/>
        <v>6.4467605840160319E-3</v>
      </c>
      <c r="R316" s="3">
        <f t="shared" si="298"/>
        <v>6.4467604833508656E-3</v>
      </c>
      <c r="S316" s="3">
        <f t="shared" si="298"/>
        <v>6.4467594766992858E-3</v>
      </c>
      <c r="T316" s="3">
        <f t="shared" si="298"/>
        <v>6.4467494101921301E-3</v>
      </c>
      <c r="U316" s="3">
        <f t="shared" si="298"/>
        <v>6.4466487459851011E-3</v>
      </c>
      <c r="V316" s="3">
        <f t="shared" si="298"/>
        <v>6.4456421903621563E-3</v>
      </c>
      <c r="W316" s="3">
        <f t="shared" si="298"/>
        <v>6.4355852738758115E-3</v>
      </c>
      <c r="X316" s="3">
        <f t="shared" si="298"/>
        <v>6.3358751124971916E-3</v>
      </c>
      <c r="Y316" s="3">
        <f t="shared" si="298"/>
        <v>5.4199115345539162E-3</v>
      </c>
      <c r="Z316" s="3">
        <f t="shared" si="298"/>
        <v>1.137229442388353E-3</v>
      </c>
      <c r="AA316" s="3">
        <f t="shared" si="298"/>
        <v>1.8810791270637897E-10</v>
      </c>
      <c r="AB316" s="3">
        <f t="shared" si="298"/>
        <v>2.8840099863600079E-78</v>
      </c>
      <c r="AC316" s="3">
        <f t="shared" si="298"/>
        <v>0</v>
      </c>
      <c r="AD316" s="3">
        <f t="shared" si="298"/>
        <v>0</v>
      </c>
      <c r="AE316" s="3">
        <f t="shared" si="298"/>
        <v>0</v>
      </c>
      <c r="AF316" s="3">
        <f t="shared" si="298"/>
        <v>0</v>
      </c>
      <c r="AG316" s="3"/>
      <c r="AH316" s="3"/>
    </row>
    <row r="317" spans="1:34" x14ac:dyDescent="0.25">
      <c r="B317" s="3">
        <f t="shared" ref="B317:AF317" si="299">$C47*EXP(-B$285/$A47/EXP(-$F$126))</f>
        <v>9.8307104636690784E-5</v>
      </c>
      <c r="C317" s="3">
        <f t="shared" si="299"/>
        <v>9.8307104636690784E-5</v>
      </c>
      <c r="D317" s="3">
        <f t="shared" si="299"/>
        <v>9.8307104636690784E-5</v>
      </c>
      <c r="E317" s="3">
        <f t="shared" si="299"/>
        <v>9.8307104636690784E-5</v>
      </c>
      <c r="F317" s="3">
        <f t="shared" si="299"/>
        <v>9.8307104636690784E-5</v>
      </c>
      <c r="G317" s="3">
        <f t="shared" si="299"/>
        <v>9.8307104636690784E-5</v>
      </c>
      <c r="H317" s="3">
        <f t="shared" si="299"/>
        <v>9.8307104636690784E-5</v>
      </c>
      <c r="I317" s="3">
        <f t="shared" si="299"/>
        <v>9.8307104636690784E-5</v>
      </c>
      <c r="J317" s="3">
        <f t="shared" si="299"/>
        <v>9.8307104636690784E-5</v>
      </c>
      <c r="K317" s="3">
        <f t="shared" si="299"/>
        <v>9.8307104636690757E-5</v>
      </c>
      <c r="L317" s="3">
        <f t="shared" si="299"/>
        <v>9.8307104636690608E-5</v>
      </c>
      <c r="M317" s="3">
        <f t="shared" si="299"/>
        <v>9.8307104636689076E-5</v>
      </c>
      <c r="N317" s="3">
        <f t="shared" si="299"/>
        <v>9.8307104636673721E-5</v>
      </c>
      <c r="O317" s="3">
        <f t="shared" si="299"/>
        <v>9.8307104636520225E-5</v>
      </c>
      <c r="P317" s="3">
        <f t="shared" si="299"/>
        <v>9.8307104634985171E-5</v>
      </c>
      <c r="Q317" s="3">
        <f t="shared" si="299"/>
        <v>9.8307104619634671E-5</v>
      </c>
      <c r="R317" s="3">
        <f t="shared" si="299"/>
        <v>9.8307104466129641E-5</v>
      </c>
      <c r="S317" s="3">
        <f t="shared" si="299"/>
        <v>9.8307102931079464E-5</v>
      </c>
      <c r="T317" s="3">
        <f t="shared" si="299"/>
        <v>9.830708758057889E-5</v>
      </c>
      <c r="U317" s="3">
        <f t="shared" si="299"/>
        <v>9.8306934075704984E-5</v>
      </c>
      <c r="V317" s="3">
        <f t="shared" si="299"/>
        <v>9.8305399040149138E-5</v>
      </c>
      <c r="W317" s="3">
        <f t="shared" si="299"/>
        <v>9.8290050002832464E-5</v>
      </c>
      <c r="X317" s="3">
        <f t="shared" si="299"/>
        <v>9.8136691377714367E-5</v>
      </c>
      <c r="Y317" s="3">
        <f t="shared" si="299"/>
        <v>9.6616204130943321E-5</v>
      </c>
      <c r="Z317" s="3">
        <f t="shared" si="299"/>
        <v>8.2648611264644396E-5</v>
      </c>
      <c r="AA317" s="3">
        <f t="shared" si="299"/>
        <v>1.7341691557775423E-5</v>
      </c>
      <c r="AB317" s="3">
        <f t="shared" si="299"/>
        <v>2.8684707589701932E-12</v>
      </c>
      <c r="AC317" s="3">
        <f t="shared" si="299"/>
        <v>4.397847063118877E-80</v>
      </c>
      <c r="AD317" s="3">
        <f t="shared" si="299"/>
        <v>0</v>
      </c>
      <c r="AE317" s="3">
        <f t="shared" si="299"/>
        <v>0</v>
      </c>
      <c r="AF317" s="3">
        <f t="shared" si="299"/>
        <v>0</v>
      </c>
      <c r="AG317" s="3"/>
      <c r="AH317" s="3"/>
    </row>
    <row r="318" spans="1:34" x14ac:dyDescent="0.25">
      <c r="B318" s="3">
        <f t="shared" ref="B318:AF318" si="300">$C48*EXP(-B$285/$A48/EXP(-$F$126))</f>
        <v>1.1020901234699522E-2</v>
      </c>
      <c r="C318" s="3">
        <f t="shared" si="300"/>
        <v>1.1020901234699522E-2</v>
      </c>
      <c r="D318" s="3">
        <f t="shared" si="300"/>
        <v>1.1020901234699522E-2</v>
      </c>
      <c r="E318" s="3">
        <f t="shared" si="300"/>
        <v>1.1020901234699522E-2</v>
      </c>
      <c r="F318" s="3">
        <f t="shared" si="300"/>
        <v>1.1020901234699522E-2</v>
      </c>
      <c r="G318" s="3">
        <f t="shared" si="300"/>
        <v>1.1020901234699522E-2</v>
      </c>
      <c r="H318" s="3">
        <f t="shared" si="300"/>
        <v>1.1020901234699522E-2</v>
      </c>
      <c r="I318" s="3">
        <f t="shared" si="300"/>
        <v>1.1020901234699522E-2</v>
      </c>
      <c r="J318" s="3">
        <f t="shared" si="300"/>
        <v>1.1020901234699522E-2</v>
      </c>
      <c r="K318" s="3">
        <f t="shared" si="300"/>
        <v>1.1020901234699522E-2</v>
      </c>
      <c r="L318" s="3">
        <f t="shared" si="300"/>
        <v>1.102090123469952E-2</v>
      </c>
      <c r="M318" s="3">
        <f t="shared" si="300"/>
        <v>1.1020901234699503E-2</v>
      </c>
      <c r="N318" s="3">
        <f t="shared" si="300"/>
        <v>1.1020901234699331E-2</v>
      </c>
      <c r="O318" s="3">
        <f t="shared" si="300"/>
        <v>1.102090123469761E-2</v>
      </c>
      <c r="P318" s="3">
        <f t="shared" si="300"/>
        <v>1.1020901234680401E-2</v>
      </c>
      <c r="Q318" s="3">
        <f t="shared" si="300"/>
        <v>1.1020901234508312E-2</v>
      </c>
      <c r="R318" s="3">
        <f t="shared" si="300"/>
        <v>1.1020901232787414E-2</v>
      </c>
      <c r="S318" s="3">
        <f t="shared" si="300"/>
        <v>1.1020901215578447E-2</v>
      </c>
      <c r="T318" s="3">
        <f t="shared" si="300"/>
        <v>1.1020901043488783E-2</v>
      </c>
      <c r="U318" s="3">
        <f t="shared" si="300"/>
        <v>1.1020899322592301E-2</v>
      </c>
      <c r="V318" s="3">
        <f t="shared" si="300"/>
        <v>1.1020882113642241E-2</v>
      </c>
      <c r="W318" s="3">
        <f t="shared" si="300"/>
        <v>1.1020710025619556E-2</v>
      </c>
      <c r="X318" s="3">
        <f t="shared" si="300"/>
        <v>1.1018989293176667E-2</v>
      </c>
      <c r="Y318" s="3">
        <f t="shared" si="300"/>
        <v>1.1001796738608387E-2</v>
      </c>
      <c r="Z318" s="3">
        <f t="shared" si="300"/>
        <v>1.0831339681234838E-2</v>
      </c>
      <c r="AA318" s="3">
        <f t="shared" si="300"/>
        <v>9.2654766438189113E-3</v>
      </c>
      <c r="AB318" s="3">
        <f t="shared" si="300"/>
        <v>1.9441226614005478E-3</v>
      </c>
      <c r="AC318" s="3">
        <f t="shared" si="300"/>
        <v>3.2157526199215539E-10</v>
      </c>
      <c r="AD318" s="3">
        <f t="shared" si="300"/>
        <v>4.9302884371448458E-78</v>
      </c>
      <c r="AE318" s="3">
        <f t="shared" si="300"/>
        <v>0</v>
      </c>
      <c r="AF318" s="3">
        <f t="shared" si="300"/>
        <v>0</v>
      </c>
      <c r="AG318" s="3"/>
      <c r="AH318" s="3"/>
    </row>
    <row r="319" spans="1:34" x14ac:dyDescent="0.25">
      <c r="A319" s="79">
        <f>AVERAGE(B319:AF319)</f>
        <v>7.2067927380990632E-2</v>
      </c>
      <c r="B319" s="80">
        <f>IF($A$64&lt;=B285,IF($B$64&gt;=B285,ABS((B287-B286)/B286),0),0)</f>
        <v>1.2896299420176716E-3</v>
      </c>
      <c r="C319" s="80">
        <f t="shared" ref="C319:AF319" si="301">IF($A$64&lt;=C285,IF($B$64&gt;=C285,ABS((C287-C286)/C286),0),0)</f>
        <v>1.2836997555339901E-3</v>
      </c>
      <c r="D319" s="80">
        <f t="shared" si="301"/>
        <v>1.2903219331548332E-3</v>
      </c>
      <c r="E319" s="80">
        <f t="shared" si="301"/>
        <v>1.3197622731507964E-3</v>
      </c>
      <c r="F319" s="80">
        <f t="shared" si="301"/>
        <v>1.602030614077822E-3</v>
      </c>
      <c r="G319" s="80">
        <f t="shared" si="301"/>
        <v>3.9871019497986718E-3</v>
      </c>
      <c r="H319" s="80">
        <f t="shared" si="301"/>
        <v>4.0429862310043556E-3</v>
      </c>
      <c r="I319" s="80">
        <f t="shared" si="301"/>
        <v>6.4024511654383262E-3</v>
      </c>
      <c r="J319" s="80">
        <f t="shared" si="301"/>
        <v>6.3311078548779296E-3</v>
      </c>
      <c r="K319" s="80">
        <f t="shared" si="301"/>
        <v>8.5792847205800292E-3</v>
      </c>
      <c r="L319" s="80">
        <f t="shared" si="301"/>
        <v>9.1906928853432383E-3</v>
      </c>
      <c r="M319" s="80">
        <f t="shared" si="301"/>
        <v>1.0372633649862831E-2</v>
      </c>
      <c r="N319" s="80">
        <f t="shared" si="301"/>
        <v>4.2425948881966826E-3</v>
      </c>
      <c r="O319" s="80">
        <f t="shared" si="301"/>
        <v>1.0625630900614158E-2</v>
      </c>
      <c r="P319" s="80">
        <f t="shared" si="301"/>
        <v>2.2912603601421652E-2</v>
      </c>
      <c r="Q319" s="80">
        <f t="shared" si="301"/>
        <v>3.4997547803359598E-2</v>
      </c>
      <c r="R319" s="80">
        <f t="shared" si="301"/>
        <v>2.3599411097076518E-2</v>
      </c>
      <c r="S319" s="80">
        <f t="shared" si="301"/>
        <v>1.8271912121769721E-2</v>
      </c>
      <c r="T319" s="80">
        <f t="shared" si="301"/>
        <v>2.4662786017610027E-3</v>
      </c>
      <c r="U319" s="80">
        <f t="shared" si="301"/>
        <v>3.3432050897673878E-2</v>
      </c>
      <c r="V319" s="80">
        <f t="shared" si="301"/>
        <v>3.8554138135911339E-2</v>
      </c>
      <c r="W319" s="80">
        <f t="shared" si="301"/>
        <v>7.3171819191501675E-2</v>
      </c>
      <c r="X319" s="80">
        <f t="shared" si="301"/>
        <v>6.7183287614640846E-2</v>
      </c>
      <c r="Y319" s="80">
        <f t="shared" si="301"/>
        <v>6.21383081470753E-2</v>
      </c>
      <c r="Z319" s="80">
        <f t="shared" si="301"/>
        <v>2.1297328380498533E-2</v>
      </c>
      <c r="AA319" s="80">
        <f t="shared" si="301"/>
        <v>2.6188404283128586E-3</v>
      </c>
      <c r="AB319" s="80">
        <f t="shared" si="301"/>
        <v>0.2787521040335264</v>
      </c>
      <c r="AC319" s="80">
        <f t="shared" si="301"/>
        <v>0.37105146512575843</v>
      </c>
      <c r="AD319" s="80">
        <f t="shared" si="301"/>
        <v>0.37104123719809567</v>
      </c>
      <c r="AE319" s="80">
        <f t="shared" si="301"/>
        <v>0.37103265135217472</v>
      </c>
      <c r="AF319" s="80">
        <f t="shared" si="301"/>
        <v>0.37102483631649996</v>
      </c>
    </row>
    <row r="320" spans="1:34" x14ac:dyDescent="0.25">
      <c r="B320" s="21">
        <f>(B287-B286)^2</f>
        <v>58.222128279697607</v>
      </c>
      <c r="C320" s="21">
        <f t="shared" ref="C320:AF320" si="302">(C287-C286)^2</f>
        <v>57.688513795696913</v>
      </c>
      <c r="D320" s="21">
        <f t="shared" si="302"/>
        <v>58.283702250952224</v>
      </c>
      <c r="E320" s="21">
        <f t="shared" si="302"/>
        <v>60.962086366824778</v>
      </c>
      <c r="F320" s="21">
        <f t="shared" si="302"/>
        <v>89.662002641015107</v>
      </c>
      <c r="G320" s="21">
        <f t="shared" si="302"/>
        <v>546.83567650518808</v>
      </c>
      <c r="H320" s="21">
        <f t="shared" si="302"/>
        <v>535.26932299545217</v>
      </c>
      <c r="I320" s="21">
        <f t="shared" si="302"/>
        <v>1274.9360535395751</v>
      </c>
      <c r="J320" s="21">
        <f t="shared" si="302"/>
        <v>1173.3999904705427</v>
      </c>
      <c r="K320" s="21">
        <f t="shared" si="302"/>
        <v>2002.620201267152</v>
      </c>
      <c r="L320" s="21">
        <f t="shared" si="302"/>
        <v>2127.3555364103677</v>
      </c>
      <c r="M320" s="21">
        <f t="shared" si="302"/>
        <v>2449.3466195815677</v>
      </c>
      <c r="N320" s="21">
        <f t="shared" si="302"/>
        <v>364.85838768673091</v>
      </c>
      <c r="O320" s="21">
        <f t="shared" si="302"/>
        <v>2029.6403459920548</v>
      </c>
      <c r="P320" s="21">
        <f t="shared" si="302"/>
        <v>8226.3565226621467</v>
      </c>
      <c r="Q320" s="21">
        <f t="shared" si="302"/>
        <v>16405.204400767903</v>
      </c>
      <c r="R320" s="21">
        <f t="shared" si="302"/>
        <v>5948.3970363242488</v>
      </c>
      <c r="S320" s="21">
        <f t="shared" si="302"/>
        <v>2559.7830617140439</v>
      </c>
      <c r="T320" s="21">
        <f t="shared" si="302"/>
        <v>29.562616677271777</v>
      </c>
      <c r="U320" s="21">
        <f t="shared" si="302"/>
        <v>2813.0736273102461</v>
      </c>
      <c r="V320" s="21">
        <f t="shared" si="302"/>
        <v>1486.490828574508</v>
      </c>
      <c r="W320" s="21">
        <f t="shared" si="302"/>
        <v>1776.4076456061716</v>
      </c>
      <c r="X320" s="21">
        <f t="shared" si="302"/>
        <v>467.40664155885582</v>
      </c>
      <c r="Y320" s="21">
        <f t="shared" si="302"/>
        <v>136.32079617461363</v>
      </c>
      <c r="Z320" s="21">
        <f t="shared" si="302"/>
        <v>9.7114502129584253</v>
      </c>
      <c r="AA320" s="21">
        <f t="shared" si="302"/>
        <v>0.12072578991346967</v>
      </c>
      <c r="AB320" s="21">
        <f t="shared" si="302"/>
        <v>1196.5436513442708</v>
      </c>
      <c r="AC320" s="21">
        <f t="shared" si="302"/>
        <v>2116.0062799723437</v>
      </c>
      <c r="AD320" s="21">
        <f t="shared" si="302"/>
        <v>2115.8207085726326</v>
      </c>
      <c r="AE320" s="21">
        <f t="shared" si="302"/>
        <v>2115.6650282651894</v>
      </c>
      <c r="AF320" s="21">
        <f t="shared" si="302"/>
        <v>2115.5233331203776</v>
      </c>
      <c r="AG320" s="3"/>
      <c r="AH320" s="3"/>
    </row>
    <row r="321" spans="1:34" x14ac:dyDescent="0.25">
      <c r="A321" s="71">
        <f>SUM(B321:AF321)</f>
        <v>62347.474922430512</v>
      </c>
      <c r="B321" s="60">
        <f>IF($A$64&lt;=B285,IF($B$64&gt;=B285,ABS(B320),0),0)</f>
        <v>58.222128279697607</v>
      </c>
      <c r="C321" s="60">
        <f t="shared" ref="C321" si="303">IF($A$64&lt;=C285,IF($B$64&gt;=C285,ABS(C320),0),0)</f>
        <v>57.688513795696913</v>
      </c>
      <c r="D321" s="60">
        <f t="shared" ref="D321" si="304">IF($A$64&lt;=D285,IF($B$64&gt;=D285,ABS(D320),0),0)</f>
        <v>58.283702250952224</v>
      </c>
      <c r="E321" s="60">
        <f t="shared" ref="E321" si="305">IF($A$64&lt;=E285,IF($B$64&gt;=E285,ABS(E320),0),0)</f>
        <v>60.962086366824778</v>
      </c>
      <c r="F321" s="60">
        <f t="shared" ref="F321" si="306">IF($A$64&lt;=F285,IF($B$64&gt;=F285,ABS(F320),0),0)</f>
        <v>89.662002641015107</v>
      </c>
      <c r="G321" s="60">
        <f t="shared" ref="G321" si="307">IF($A$64&lt;=G285,IF($B$64&gt;=G285,ABS(G320),0),0)</f>
        <v>546.83567650518808</v>
      </c>
      <c r="H321" s="60">
        <f t="shared" ref="H321" si="308">IF($A$64&lt;=H285,IF($B$64&gt;=H285,ABS(H320),0),0)</f>
        <v>535.26932299545217</v>
      </c>
      <c r="I321" s="60">
        <f t="shared" ref="I321" si="309">IF($A$64&lt;=I285,IF($B$64&gt;=I285,ABS(I320),0),0)</f>
        <v>1274.9360535395751</v>
      </c>
      <c r="J321" s="60">
        <f t="shared" ref="J321" si="310">IF($A$64&lt;=J285,IF($B$64&gt;=J285,ABS(J320),0),0)</f>
        <v>1173.3999904705427</v>
      </c>
      <c r="K321" s="60">
        <f t="shared" ref="K321" si="311">IF($A$64&lt;=K285,IF($B$64&gt;=K285,ABS(K320),0),0)</f>
        <v>2002.620201267152</v>
      </c>
      <c r="L321" s="60">
        <f t="shared" ref="L321" si="312">IF($A$64&lt;=L285,IF($B$64&gt;=L285,ABS(L320),0),0)</f>
        <v>2127.3555364103677</v>
      </c>
      <c r="M321" s="60">
        <f t="shared" ref="M321" si="313">IF($A$64&lt;=M285,IF($B$64&gt;=M285,ABS(M320),0),0)</f>
        <v>2449.3466195815677</v>
      </c>
      <c r="N321" s="60">
        <f t="shared" ref="N321" si="314">IF($A$64&lt;=N285,IF($B$64&gt;=N285,ABS(N320),0),0)</f>
        <v>364.85838768673091</v>
      </c>
      <c r="O321" s="60">
        <f t="shared" ref="O321" si="315">IF($A$64&lt;=O285,IF($B$64&gt;=O285,ABS(O320),0),0)</f>
        <v>2029.6403459920548</v>
      </c>
      <c r="P321" s="60">
        <f t="shared" ref="P321" si="316">IF($A$64&lt;=P285,IF($B$64&gt;=P285,ABS(P320),0),0)</f>
        <v>8226.3565226621467</v>
      </c>
      <c r="Q321" s="60">
        <f t="shared" ref="Q321" si="317">IF($A$64&lt;=Q285,IF($B$64&gt;=Q285,ABS(Q320),0),0)</f>
        <v>16405.204400767903</v>
      </c>
      <c r="R321" s="60">
        <f t="shared" ref="R321" si="318">IF($A$64&lt;=R285,IF($B$64&gt;=R285,ABS(R320),0),0)</f>
        <v>5948.3970363242488</v>
      </c>
      <c r="S321" s="60">
        <f t="shared" ref="S321" si="319">IF($A$64&lt;=S285,IF($B$64&gt;=S285,ABS(S320),0),0)</f>
        <v>2559.7830617140439</v>
      </c>
      <c r="T321" s="60">
        <f t="shared" ref="T321" si="320">IF($A$64&lt;=T285,IF($B$64&gt;=T285,ABS(T320),0),0)</f>
        <v>29.562616677271777</v>
      </c>
      <c r="U321" s="60">
        <f t="shared" ref="U321" si="321">IF($A$64&lt;=U285,IF($B$64&gt;=U285,ABS(U320),0),0)</f>
        <v>2813.0736273102461</v>
      </c>
      <c r="V321" s="60">
        <f t="shared" ref="V321" si="322">IF($A$64&lt;=V285,IF($B$64&gt;=V285,ABS(V320),0),0)</f>
        <v>1486.490828574508</v>
      </c>
      <c r="W321" s="60">
        <f t="shared" ref="W321" si="323">IF($A$64&lt;=W285,IF($B$64&gt;=W285,ABS(W320),0),0)</f>
        <v>1776.4076456061716</v>
      </c>
      <c r="X321" s="60">
        <f t="shared" ref="X321" si="324">IF($A$64&lt;=X285,IF($B$64&gt;=X285,ABS(X320),0),0)</f>
        <v>467.40664155885582</v>
      </c>
      <c r="Y321" s="60">
        <f t="shared" ref="Y321" si="325">IF($A$64&lt;=Y285,IF($B$64&gt;=Y285,ABS(Y320),0),0)</f>
        <v>136.32079617461363</v>
      </c>
      <c r="Z321" s="60">
        <f t="shared" ref="Z321" si="326">IF($A$64&lt;=Z285,IF($B$64&gt;=Z285,ABS(Z320),0),0)</f>
        <v>9.7114502129584253</v>
      </c>
      <c r="AA321" s="60">
        <f t="shared" ref="AA321" si="327">IF($A$64&lt;=AA285,IF($B$64&gt;=AA285,ABS(AA320),0),0)</f>
        <v>0.12072578991346967</v>
      </c>
      <c r="AB321" s="60">
        <f t="shared" ref="AB321" si="328">IF($A$64&lt;=AB285,IF($B$64&gt;=AB285,ABS(AB320),0),0)</f>
        <v>1196.5436513442708</v>
      </c>
      <c r="AC321" s="60">
        <f t="shared" ref="AC321" si="329">IF($A$64&lt;=AC285,IF($B$64&gt;=AC285,ABS(AC320),0),0)</f>
        <v>2116.0062799723437</v>
      </c>
      <c r="AD321" s="60">
        <f t="shared" ref="AD321" si="330">IF($A$64&lt;=AD285,IF($B$64&gt;=AD285,ABS(AD320),0),0)</f>
        <v>2115.8207085726326</v>
      </c>
      <c r="AE321" s="60">
        <f t="shared" ref="AE321" si="331">IF($A$64&lt;=AE285,IF($B$64&gt;=AE285,ABS(AE320),0),0)</f>
        <v>2115.6650282651894</v>
      </c>
      <c r="AF321" s="60">
        <f t="shared" ref="AF321" si="332">IF($A$64&lt;=AF285,IF($B$64&gt;=AF285,ABS(AF320),0),0)</f>
        <v>2115.5233331203776</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5339.3938402799959</v>
      </c>
      <c r="C325" s="26">
        <f>INDEX(Comparison!$AM$3:$AS$33,G$14,$G$122)</f>
        <v>5092.5436233397832</v>
      </c>
      <c r="D325" s="26">
        <f>INDEX(Comparison!$AM$3:$AS$33,H$14,$G$122)</f>
        <v>4862.2074038193541</v>
      </c>
      <c r="E325" s="26">
        <f>INDEX(Comparison!$AM$3:$AS$33,I$14,$G$122)</f>
        <v>4600.0447702643005</v>
      </c>
      <c r="F325" s="26">
        <f>INDEX(Comparison!$AM$3:$AS$33,J$14,$G$122)</f>
        <v>4335.4686548713016</v>
      </c>
      <c r="G325" s="26">
        <f>INDEX(Comparison!$AM$3:$AS$33,K$14,$G$122)</f>
        <v>4064.2446060274551</v>
      </c>
      <c r="H325" s="26">
        <f>INDEX(Comparison!$AM$3:$AS$33,L$14,$G$122)</f>
        <v>3775.0165221687416</v>
      </c>
      <c r="I325" s="26">
        <f>INDEX(Comparison!$AM$3:$AS$33,M$14,$G$122)</f>
        <v>3440.8792936987693</v>
      </c>
      <c r="J325" s="26">
        <f>INDEX(Comparison!$AM$3:$AS$33,N$14,$G$122)</f>
        <v>3007.0276986600152</v>
      </c>
      <c r="K325" s="26">
        <f>INDEX(Comparison!$AM$3:$AS$33,O$14,$G$122)</f>
        <v>2483.1842311274095</v>
      </c>
      <c r="L325" s="26">
        <f>INDEX(Comparison!$AM$3:$AS$33,P$14,$G$122)</f>
        <v>1877.3036191571002</v>
      </c>
      <c r="M325" s="26">
        <f>INDEX(Comparison!$AM$3:$AS$33,Q$14,$G$122)</f>
        <v>1225.8372848665197</v>
      </c>
      <c r="N325" s="26">
        <f>INDEX(Comparison!$AM$3:$AS$33,R$14,$G$122)</f>
        <v>718.17933085631228</v>
      </c>
      <c r="O325" s="26">
        <f>INDEX(Comparison!$AM$3:$AS$33,S$14,$G$122)</f>
        <v>402.8254128419544</v>
      </c>
      <c r="P325" s="26">
        <f>INDEX(Comparison!$AM$3:$AS$33,T$14,$G$122)</f>
        <v>224.17774389747507</v>
      </c>
      <c r="Q325" s="26">
        <f>INDEX(Comparison!$AM$3:$AS$33,U$14,$G$122)</f>
        <v>157.32573154577258</v>
      </c>
      <c r="R325" s="26">
        <f>INDEX(Comparison!$AM$3:$AS$33,V$14,$G$122)</f>
        <v>138.47466281617423</v>
      </c>
      <c r="S325" s="26">
        <f>INDEX(Comparison!$AM$3:$AS$33,W$14,$G$122)</f>
        <v>126.92176045152465</v>
      </c>
      <c r="T325" s="26">
        <f>INDEX(Comparison!$AM$3:$AS$33,X$14,$G$122)</f>
        <v>125.32043450442224</v>
      </c>
      <c r="U325" s="26">
        <f>INDEX(Comparison!$AM$3:$AS$33,Y$14,$G$122)</f>
        <v>125.18975547765271</v>
      </c>
      <c r="V325" s="26">
        <f>INDEX(Comparison!$AM$3:$AS$33,Z$14,$G$122)</f>
        <v>125.05583743141311</v>
      </c>
      <c r="W325" s="26">
        <f>INDEX(Comparison!$AM$3:$AS$33,AA$14,$G$122)</f>
        <v>124.89217701523481</v>
      </c>
      <c r="X325" s="26">
        <f>INDEX(Comparison!$AM$3:$AS$33,AB$14,$G$122)</f>
        <v>124.70815441395035</v>
      </c>
      <c r="Y325" s="26">
        <f>INDEX(Comparison!$AM$3:$AS$33,AC$14,$G$122)</f>
        <v>124.51586541667818</v>
      </c>
      <c r="Z325" s="26">
        <f>INDEX(Comparison!$AM$3:$AS$33,AD$14,$G$122)</f>
        <v>124.45612407089325</v>
      </c>
      <c r="AA325" s="26">
        <f>INDEX(Comparison!$AM$3:$AS$33,AE$14,$G$122)</f>
        <v>124.36413594438419</v>
      </c>
      <c r="AB325" s="26">
        <f>INDEX(Comparison!$AM$3:$AS$33,AF$14,$G$122)</f>
        <v>124.24957869452857</v>
      </c>
      <c r="AC325" s="26">
        <f>INDEX(Comparison!$AM$3:$AS$33,AG$14,$G$122)</f>
        <v>124.12464463468883</v>
      </c>
      <c r="AD325" s="26">
        <f>INDEX(Comparison!$AM$3:$AS$33,AH$14,$G$122)</f>
        <v>124.11696893794122</v>
      </c>
      <c r="AE325" s="26">
        <f>INDEX(Comparison!$AM$3:$AS$33,AI$14,$G$122)</f>
        <v>124.11273578228328</v>
      </c>
      <c r="AF325" s="26">
        <f>INDEX(Comparison!$AM$3:$AS$33,AJ$14,$G$122)</f>
        <v>124.10930475258213</v>
      </c>
      <c r="AG325" s="26"/>
      <c r="AH325" s="26"/>
    </row>
    <row r="326" spans="1:34" x14ac:dyDescent="0.25">
      <c r="A326" s="77" t="s">
        <v>22</v>
      </c>
      <c r="B326" s="27">
        <f>($C$17+SUM(B327:B357))*$B$51</f>
        <v>5342.8247049049023</v>
      </c>
      <c r="C326" s="27">
        <f t="shared" ref="C326:AF326" si="333">($C$17+SUM(C327:C357))*$B$51</f>
        <v>5152.6707818606492</v>
      </c>
      <c r="D326" s="27">
        <f t="shared" si="333"/>
        <v>4933.6190507250803</v>
      </c>
      <c r="E326" s="27">
        <f t="shared" si="333"/>
        <v>4652.0071985099021</v>
      </c>
      <c r="F326" s="27">
        <f t="shared" si="333"/>
        <v>4326.7895444144378</v>
      </c>
      <c r="G326" s="27">
        <f t="shared" si="333"/>
        <v>3995.0067487284327</v>
      </c>
      <c r="H326" s="27">
        <f t="shared" si="333"/>
        <v>3666.0136061012226</v>
      </c>
      <c r="I326" s="27">
        <f t="shared" si="333"/>
        <v>3319.4311854646003</v>
      </c>
      <c r="J326" s="27">
        <f t="shared" si="333"/>
        <v>2940.1080057826393</v>
      </c>
      <c r="K326" s="27">
        <f t="shared" si="333"/>
        <v>2452.431941170651</v>
      </c>
      <c r="L326" s="27">
        <f t="shared" si="333"/>
        <v>1907.0936656960635</v>
      </c>
      <c r="M326" s="27">
        <f t="shared" si="333"/>
        <v>1310.7040482701552</v>
      </c>
      <c r="N326" s="27">
        <f t="shared" si="333"/>
        <v>784.61631334923106</v>
      </c>
      <c r="O326" s="27">
        <f t="shared" si="333"/>
        <v>454.45876595056933</v>
      </c>
      <c r="P326" s="27">
        <f t="shared" si="333"/>
        <v>250.34469622170457</v>
      </c>
      <c r="Q326" s="27">
        <f t="shared" si="333"/>
        <v>163.69216279530357</v>
      </c>
      <c r="R326" s="27">
        <f t="shared" si="333"/>
        <v>139.60342314748704</v>
      </c>
      <c r="S326" s="27">
        <f t="shared" si="333"/>
        <v>112.21098710363661</v>
      </c>
      <c r="T326" s="27">
        <f t="shared" si="333"/>
        <v>78.073844298523667</v>
      </c>
      <c r="U326" s="27">
        <f t="shared" si="333"/>
        <v>77.972134725678558</v>
      </c>
      <c r="V326" s="27">
        <f t="shared" si="333"/>
        <v>77.972134725678558</v>
      </c>
      <c r="W326" s="27">
        <f t="shared" si="333"/>
        <v>77.972134725678558</v>
      </c>
      <c r="X326" s="27">
        <f t="shared" si="333"/>
        <v>77.972134725678558</v>
      </c>
      <c r="Y326" s="27">
        <f t="shared" si="333"/>
        <v>77.972134725678558</v>
      </c>
      <c r="Z326" s="27">
        <f t="shared" si="333"/>
        <v>77.972134725678558</v>
      </c>
      <c r="AA326" s="27">
        <f t="shared" si="333"/>
        <v>77.972134725678558</v>
      </c>
      <c r="AB326" s="27">
        <f t="shared" si="333"/>
        <v>77.972134725678558</v>
      </c>
      <c r="AC326" s="27">
        <f t="shared" si="333"/>
        <v>77.972134725678558</v>
      </c>
      <c r="AD326" s="27">
        <f t="shared" si="333"/>
        <v>77.972134725678558</v>
      </c>
      <c r="AE326" s="27">
        <f t="shared" si="333"/>
        <v>77.972134725678558</v>
      </c>
      <c r="AF326" s="27">
        <f t="shared" si="333"/>
        <v>77.972134725678558</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0</v>
      </c>
      <c r="C328" s="3">
        <f t="shared" si="335"/>
        <v>0</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0</v>
      </c>
      <c r="C329" s="3">
        <f t="shared" si="336"/>
        <v>0</v>
      </c>
      <c r="D329" s="3">
        <f t="shared" si="336"/>
        <v>0</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0</v>
      </c>
      <c r="C330" s="3">
        <f t="shared" si="337"/>
        <v>0</v>
      </c>
      <c r="D330" s="3">
        <f t="shared" si="337"/>
        <v>0</v>
      </c>
      <c r="E330" s="3">
        <f t="shared" si="337"/>
        <v>0</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0</v>
      </c>
      <c r="C331" s="3">
        <f t="shared" si="338"/>
        <v>0</v>
      </c>
      <c r="D331" s="3">
        <f t="shared" si="338"/>
        <v>0</v>
      </c>
      <c r="E331" s="3">
        <f t="shared" si="338"/>
        <v>0</v>
      </c>
      <c r="F331" s="3">
        <f t="shared" si="338"/>
        <v>0</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0</v>
      </c>
      <c r="C332" s="3">
        <f t="shared" si="339"/>
        <v>0</v>
      </c>
      <c r="D332" s="3">
        <f t="shared" si="339"/>
        <v>0</v>
      </c>
      <c r="E332" s="3">
        <f t="shared" si="339"/>
        <v>0</v>
      </c>
      <c r="F332" s="3">
        <f t="shared" si="339"/>
        <v>0</v>
      </c>
      <c r="G332" s="3">
        <f t="shared" si="339"/>
        <v>0</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0</v>
      </c>
      <c r="C333" s="3">
        <f t="shared" si="340"/>
        <v>0</v>
      </c>
      <c r="D333" s="3">
        <f t="shared" si="340"/>
        <v>0</v>
      </c>
      <c r="E333" s="3">
        <f t="shared" si="340"/>
        <v>0</v>
      </c>
      <c r="F333" s="3">
        <f t="shared" si="340"/>
        <v>0</v>
      </c>
      <c r="G333" s="3">
        <f t="shared" si="340"/>
        <v>0</v>
      </c>
      <c r="H333" s="3">
        <f t="shared" si="340"/>
        <v>0</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0</v>
      </c>
      <c r="C334" s="3">
        <f t="shared" si="341"/>
        <v>0</v>
      </c>
      <c r="D334" s="3">
        <f t="shared" si="341"/>
        <v>0</v>
      </c>
      <c r="E334" s="3">
        <f t="shared" si="341"/>
        <v>0</v>
      </c>
      <c r="F334" s="3">
        <f t="shared" si="341"/>
        <v>0</v>
      </c>
      <c r="G334" s="3">
        <f t="shared" si="341"/>
        <v>0</v>
      </c>
      <c r="H334" s="3">
        <f t="shared" si="341"/>
        <v>0</v>
      </c>
      <c r="I334" s="3">
        <f t="shared" si="341"/>
        <v>0</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0</v>
      </c>
      <c r="C335" s="3">
        <f t="shared" si="342"/>
        <v>0</v>
      </c>
      <c r="D335" s="3">
        <f t="shared" si="342"/>
        <v>0</v>
      </c>
      <c r="E335" s="3">
        <f t="shared" si="342"/>
        <v>0</v>
      </c>
      <c r="F335" s="3">
        <f t="shared" si="342"/>
        <v>0</v>
      </c>
      <c r="G335" s="3">
        <f t="shared" si="342"/>
        <v>0</v>
      </c>
      <c r="H335" s="3">
        <f t="shared" si="342"/>
        <v>0</v>
      </c>
      <c r="I335" s="3">
        <f t="shared" si="342"/>
        <v>0</v>
      </c>
      <c r="J335" s="3">
        <f t="shared" si="342"/>
        <v>0</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0</v>
      </c>
      <c r="C336" s="3">
        <f t="shared" si="343"/>
        <v>0</v>
      </c>
      <c r="D336" s="3">
        <f t="shared" si="343"/>
        <v>0</v>
      </c>
      <c r="E336" s="3">
        <f t="shared" si="343"/>
        <v>0</v>
      </c>
      <c r="F336" s="3">
        <f t="shared" si="343"/>
        <v>0</v>
      </c>
      <c r="G336" s="3">
        <f t="shared" si="343"/>
        <v>0</v>
      </c>
      <c r="H336" s="3">
        <f t="shared" si="343"/>
        <v>0</v>
      </c>
      <c r="I336" s="3">
        <f t="shared" si="343"/>
        <v>0</v>
      </c>
      <c r="J336" s="3">
        <f t="shared" si="343"/>
        <v>0</v>
      </c>
      <c r="K336" s="3">
        <f t="shared" si="343"/>
        <v>0</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9.5507285526542148E-287</v>
      </c>
      <c r="C337" s="3">
        <f t="shared" si="344"/>
        <v>0</v>
      </c>
      <c r="D337" s="3">
        <f t="shared" si="344"/>
        <v>0</v>
      </c>
      <c r="E337" s="3">
        <f t="shared" si="344"/>
        <v>0</v>
      </c>
      <c r="F337" s="3">
        <f t="shared" si="344"/>
        <v>0</v>
      </c>
      <c r="G337" s="3">
        <f t="shared" si="344"/>
        <v>0</v>
      </c>
      <c r="H337" s="3">
        <f t="shared" si="344"/>
        <v>0</v>
      </c>
      <c r="I337" s="3">
        <f t="shared" si="344"/>
        <v>0</v>
      </c>
      <c r="J337" s="3">
        <f t="shared" si="344"/>
        <v>0</v>
      </c>
      <c r="K337" s="3">
        <f t="shared" si="344"/>
        <v>0</v>
      </c>
      <c r="L337" s="3">
        <f t="shared" si="344"/>
        <v>0</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4.2305791234475265E-28</v>
      </c>
      <c r="C338" s="3">
        <f t="shared" si="345"/>
        <v>4.3029564497582251E-259</v>
      </c>
      <c r="D338" s="3">
        <f t="shared" si="345"/>
        <v>0</v>
      </c>
      <c r="E338" s="3">
        <f t="shared" si="345"/>
        <v>0</v>
      </c>
      <c r="F338" s="3">
        <f t="shared" si="345"/>
        <v>0</v>
      </c>
      <c r="G338" s="3">
        <f t="shared" si="345"/>
        <v>0</v>
      </c>
      <c r="H338" s="3">
        <f t="shared" si="345"/>
        <v>0</v>
      </c>
      <c r="I338" s="3">
        <f t="shared" si="345"/>
        <v>0</v>
      </c>
      <c r="J338" s="3">
        <f t="shared" si="345"/>
        <v>0</v>
      </c>
      <c r="K338" s="3">
        <f t="shared" si="345"/>
        <v>0</v>
      </c>
      <c r="L338" s="3">
        <f t="shared" si="345"/>
        <v>0</v>
      </c>
      <c r="M338" s="3">
        <f t="shared" si="345"/>
        <v>0</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1.5733558637513544E-4</v>
      </c>
      <c r="C339" s="3">
        <f t="shared" si="346"/>
        <v>2.2875458338467119E-25</v>
      </c>
      <c r="D339" s="3">
        <f t="shared" si="346"/>
        <v>9.6560213780718278E-234</v>
      </c>
      <c r="E339" s="3">
        <f t="shared" si="346"/>
        <v>0</v>
      </c>
      <c r="F339" s="3">
        <f t="shared" si="346"/>
        <v>0</v>
      </c>
      <c r="G339" s="3">
        <f t="shared" si="346"/>
        <v>0</v>
      </c>
      <c r="H339" s="3">
        <f t="shared" si="346"/>
        <v>0</v>
      </c>
      <c r="I339" s="3">
        <f t="shared" si="346"/>
        <v>0</v>
      </c>
      <c r="J339" s="3">
        <f t="shared" si="346"/>
        <v>0</v>
      </c>
      <c r="K339" s="3">
        <f t="shared" si="346"/>
        <v>0</v>
      </c>
      <c r="L339" s="3">
        <f t="shared" si="346"/>
        <v>0</v>
      </c>
      <c r="M339" s="3">
        <f t="shared" si="346"/>
        <v>0</v>
      </c>
      <c r="N339" s="3">
        <f t="shared" si="346"/>
        <v>0</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1.9884383345897906E-2</v>
      </c>
      <c r="C340" s="3">
        <f t="shared" si="347"/>
        <v>2.6230111731891749E-4</v>
      </c>
      <c r="D340" s="3">
        <f t="shared" si="347"/>
        <v>4.1848536435565031E-23</v>
      </c>
      <c r="E340" s="3">
        <f t="shared" si="347"/>
        <v>4.4717921492426608E-211</v>
      </c>
      <c r="F340" s="3">
        <f t="shared" si="347"/>
        <v>0</v>
      </c>
      <c r="G340" s="3">
        <f t="shared" si="347"/>
        <v>0</v>
      </c>
      <c r="H340" s="3">
        <f t="shared" si="347"/>
        <v>0</v>
      </c>
      <c r="I340" s="3">
        <f t="shared" si="347"/>
        <v>0</v>
      </c>
      <c r="J340" s="3">
        <f t="shared" si="347"/>
        <v>0</v>
      </c>
      <c r="K340" s="3">
        <f t="shared" si="347"/>
        <v>0</v>
      </c>
      <c r="L340" s="3">
        <f t="shared" si="347"/>
        <v>0</v>
      </c>
      <c r="M340" s="3">
        <f t="shared" si="347"/>
        <v>0</v>
      </c>
      <c r="N340" s="3">
        <f t="shared" si="347"/>
        <v>0</v>
      </c>
      <c r="O340" s="3">
        <f t="shared" si="347"/>
        <v>0</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3.2461337127042779E-2</v>
      </c>
      <c r="C341" s="3">
        <f t="shared" si="348"/>
        <v>2.196851728287812E-2</v>
      </c>
      <c r="D341" s="3">
        <f t="shared" si="348"/>
        <v>4.4273530699478168E-4</v>
      </c>
      <c r="E341" s="3">
        <f t="shared" si="348"/>
        <v>4.893034387348338E-21</v>
      </c>
      <c r="F341" s="3">
        <f t="shared" si="348"/>
        <v>1.330207446949193E-190</v>
      </c>
      <c r="G341" s="3">
        <f t="shared" si="348"/>
        <v>0</v>
      </c>
      <c r="H341" s="3">
        <f t="shared" si="348"/>
        <v>0</v>
      </c>
      <c r="I341" s="3">
        <f t="shared" si="348"/>
        <v>0</v>
      </c>
      <c r="J341" s="3">
        <f t="shared" si="348"/>
        <v>0</v>
      </c>
      <c r="K341" s="3">
        <f t="shared" si="348"/>
        <v>0</v>
      </c>
      <c r="L341" s="3">
        <f t="shared" si="348"/>
        <v>0</v>
      </c>
      <c r="M341" s="3">
        <f t="shared" si="348"/>
        <v>0</v>
      </c>
      <c r="N341" s="3">
        <f t="shared" si="348"/>
        <v>0</v>
      </c>
      <c r="O341" s="3">
        <f t="shared" si="348"/>
        <v>0</v>
      </c>
      <c r="P341" s="3">
        <f t="shared" si="348"/>
        <v>0</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4.6054350553992686E-2</v>
      </c>
      <c r="C342" s="3">
        <f t="shared" si="349"/>
        <v>4.4460508892025401E-2</v>
      </c>
      <c r="D342" s="3">
        <f t="shared" si="349"/>
        <v>3.1261664539072566E-2</v>
      </c>
      <c r="E342" s="3">
        <f t="shared" si="349"/>
        <v>9.2339770370262802E-4</v>
      </c>
      <c r="F342" s="3">
        <f t="shared" si="349"/>
        <v>4.6682672177039471E-19</v>
      </c>
      <c r="G342" s="3">
        <f t="shared" si="349"/>
        <v>5.0912553818167509E-172</v>
      </c>
      <c r="H342" s="3">
        <f t="shared" si="349"/>
        <v>0</v>
      </c>
      <c r="I342" s="3">
        <f t="shared" si="349"/>
        <v>0</v>
      </c>
      <c r="J342" s="3">
        <f t="shared" si="349"/>
        <v>0</v>
      </c>
      <c r="K342" s="3">
        <f t="shared" si="349"/>
        <v>0</v>
      </c>
      <c r="L342" s="3">
        <f t="shared" si="349"/>
        <v>0</v>
      </c>
      <c r="M342" s="3">
        <f t="shared" si="349"/>
        <v>0</v>
      </c>
      <c r="N342" s="3">
        <f t="shared" si="349"/>
        <v>0</v>
      </c>
      <c r="O342" s="3">
        <f t="shared" si="349"/>
        <v>0</v>
      </c>
      <c r="P342" s="3">
        <f t="shared" si="349"/>
        <v>0</v>
      </c>
      <c r="Q342" s="3">
        <f t="shared" si="349"/>
        <v>0</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5.6651394160135503E-2</v>
      </c>
      <c r="C343" s="3">
        <f t="shared" si="350"/>
        <v>5.6471686068073366E-2</v>
      </c>
      <c r="D343" s="3">
        <f t="shared" si="350"/>
        <v>5.4705662250595186E-2</v>
      </c>
      <c r="E343" s="3">
        <f t="shared" si="350"/>
        <v>3.9815074454524077E-2</v>
      </c>
      <c r="F343" s="3">
        <f t="shared" si="350"/>
        <v>1.6603515645981569E-3</v>
      </c>
      <c r="G343" s="3">
        <f t="shared" si="350"/>
        <v>2.6407378560695293E-17</v>
      </c>
      <c r="H343" s="3">
        <f t="shared" si="350"/>
        <v>2.7351279439397554E-155</v>
      </c>
      <c r="I343" s="3">
        <f t="shared" si="350"/>
        <v>0</v>
      </c>
      <c r="J343" s="3">
        <f t="shared" si="350"/>
        <v>0</v>
      </c>
      <c r="K343" s="3">
        <f t="shared" si="350"/>
        <v>0</v>
      </c>
      <c r="L343" s="3">
        <f t="shared" si="350"/>
        <v>0</v>
      </c>
      <c r="M343" s="3">
        <f t="shared" si="350"/>
        <v>0</v>
      </c>
      <c r="N343" s="3">
        <f t="shared" si="350"/>
        <v>0</v>
      </c>
      <c r="O343" s="3">
        <f t="shared" si="350"/>
        <v>0</v>
      </c>
      <c r="P343" s="3">
        <f t="shared" si="350"/>
        <v>0</v>
      </c>
      <c r="Q343" s="3">
        <f t="shared" si="350"/>
        <v>0</v>
      </c>
      <c r="R343" s="3">
        <f t="shared" si="350"/>
        <v>0</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5.8703867887331812E-2</v>
      </c>
      <c r="C344" s="3">
        <f t="shared" si="351"/>
        <v>5.8687045104253724E-2</v>
      </c>
      <c r="D344" s="3">
        <f t="shared" si="351"/>
        <v>5.8519082195669918E-2</v>
      </c>
      <c r="E344" s="3">
        <f t="shared" si="351"/>
        <v>5.6865666530444961E-2</v>
      </c>
      <c r="F344" s="3">
        <f t="shared" si="351"/>
        <v>4.2694940468624744E-2</v>
      </c>
      <c r="G344" s="3">
        <f t="shared" si="351"/>
        <v>2.4301842189463282E-3</v>
      </c>
      <c r="H344" s="3">
        <f t="shared" si="351"/>
        <v>8.6749511174261325E-16</v>
      </c>
      <c r="I344" s="3">
        <f t="shared" si="351"/>
        <v>2.9143750184356455E-140</v>
      </c>
      <c r="J344" s="3">
        <f t="shared" si="351"/>
        <v>0</v>
      </c>
      <c r="K344" s="3">
        <f t="shared" si="351"/>
        <v>0</v>
      </c>
      <c r="L344" s="3">
        <f t="shared" si="351"/>
        <v>0</v>
      </c>
      <c r="M344" s="3">
        <f t="shared" si="351"/>
        <v>0</v>
      </c>
      <c r="N344" s="3">
        <f t="shared" si="351"/>
        <v>0</v>
      </c>
      <c r="O344" s="3">
        <f t="shared" si="351"/>
        <v>0</v>
      </c>
      <c r="P344" s="3">
        <f t="shared" si="351"/>
        <v>0</v>
      </c>
      <c r="Q344" s="3">
        <f t="shared" si="351"/>
        <v>0</v>
      </c>
      <c r="R344" s="3">
        <f t="shared" si="351"/>
        <v>0</v>
      </c>
      <c r="S344" s="3">
        <f t="shared" si="351"/>
        <v>0</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5.6202194610030093E-2</v>
      </c>
      <c r="C345" s="3">
        <f t="shared" si="352"/>
        <v>5.620074153642355E-2</v>
      </c>
      <c r="D345" s="3">
        <f t="shared" si="352"/>
        <v>5.6186212866456281E-2</v>
      </c>
      <c r="E345" s="3">
        <f t="shared" si="352"/>
        <v>5.6041132579091921E-2</v>
      </c>
      <c r="F345" s="3">
        <f t="shared" si="352"/>
        <v>5.461077483528036E-2</v>
      </c>
      <c r="G345" s="3">
        <f t="shared" si="352"/>
        <v>4.2168940203041835E-2</v>
      </c>
      <c r="H345" s="3">
        <f t="shared" si="352"/>
        <v>3.1778702797554486E-3</v>
      </c>
      <c r="I345" s="3">
        <f t="shared" si="352"/>
        <v>1.8774611344823283E-14</v>
      </c>
      <c r="J345" s="3">
        <f t="shared" si="352"/>
        <v>9.7256549046446051E-127</v>
      </c>
      <c r="K345" s="3">
        <f t="shared" si="352"/>
        <v>0</v>
      </c>
      <c r="L345" s="3">
        <f t="shared" si="352"/>
        <v>0</v>
      </c>
      <c r="M345" s="3">
        <f t="shared" si="352"/>
        <v>0</v>
      </c>
      <c r="N345" s="3">
        <f t="shared" si="352"/>
        <v>0</v>
      </c>
      <c r="O345" s="3">
        <f t="shared" si="352"/>
        <v>0</v>
      </c>
      <c r="P345" s="3">
        <f t="shared" si="352"/>
        <v>0</v>
      </c>
      <c r="Q345" s="3">
        <f t="shared" si="352"/>
        <v>0</v>
      </c>
      <c r="R345" s="3">
        <f t="shared" si="352"/>
        <v>0</v>
      </c>
      <c r="S345" s="3">
        <f t="shared" si="352"/>
        <v>0</v>
      </c>
      <c r="T345" s="3">
        <f t="shared" si="352"/>
        <v>0</v>
      </c>
      <c r="U345" s="3">
        <f t="shared" si="352"/>
        <v>0</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6.3415279750432887E-2</v>
      </c>
      <c r="C346" s="3">
        <f t="shared" si="353"/>
        <v>6.3415131846422043E-2</v>
      </c>
      <c r="D346" s="3">
        <f t="shared" si="353"/>
        <v>6.341365282528609E-2</v>
      </c>
      <c r="E346" s="3">
        <f t="shared" si="353"/>
        <v>6.3398864511017644E-2</v>
      </c>
      <c r="F346" s="3">
        <f t="shared" si="353"/>
        <v>6.3251170913824831E-2</v>
      </c>
      <c r="G346" s="3">
        <f t="shared" si="353"/>
        <v>6.1793026937225687E-2</v>
      </c>
      <c r="H346" s="3">
        <f t="shared" si="353"/>
        <v>4.8938253946876162E-2</v>
      </c>
      <c r="I346" s="3">
        <f t="shared" si="353"/>
        <v>4.7504907373218958E-3</v>
      </c>
      <c r="J346" s="3">
        <f t="shared" si="353"/>
        <v>3.5288933193811081E-13</v>
      </c>
      <c r="K346" s="3">
        <f t="shared" si="353"/>
        <v>1.8056728538949551E-114</v>
      </c>
      <c r="L346" s="3">
        <f t="shared" si="353"/>
        <v>0</v>
      </c>
      <c r="M346" s="3">
        <f t="shared" si="353"/>
        <v>0</v>
      </c>
      <c r="N346" s="3">
        <f t="shared" si="353"/>
        <v>0</v>
      </c>
      <c r="O346" s="3">
        <f t="shared" si="353"/>
        <v>0</v>
      </c>
      <c r="P346" s="3">
        <f t="shared" si="353"/>
        <v>0</v>
      </c>
      <c r="Q346" s="3">
        <f t="shared" si="353"/>
        <v>0</v>
      </c>
      <c r="R346" s="3">
        <f t="shared" si="353"/>
        <v>0</v>
      </c>
      <c r="S346" s="3">
        <f t="shared" si="353"/>
        <v>0</v>
      </c>
      <c r="T346" s="3">
        <f t="shared" si="353"/>
        <v>0</v>
      </c>
      <c r="U346" s="3">
        <f t="shared" si="353"/>
        <v>0</v>
      </c>
      <c r="V346" s="3">
        <f t="shared" si="353"/>
        <v>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3.5348869139445523E-2</v>
      </c>
      <c r="C347" s="3">
        <f t="shared" si="354"/>
        <v>3.5348861702260002E-2</v>
      </c>
      <c r="D347" s="3">
        <f t="shared" si="354"/>
        <v>3.534878733049087E-2</v>
      </c>
      <c r="E347" s="3">
        <f t="shared" si="354"/>
        <v>3.5348043621405513E-2</v>
      </c>
      <c r="F347" s="3">
        <f t="shared" si="354"/>
        <v>3.5340607391083807E-2</v>
      </c>
      <c r="G347" s="3">
        <f t="shared" si="354"/>
        <v>3.5266331074097407E-2</v>
      </c>
      <c r="H347" s="3">
        <f t="shared" si="354"/>
        <v>3.4532099965718516E-2</v>
      </c>
      <c r="I347" s="3">
        <f t="shared" si="354"/>
        <v>2.7980152767846898E-2</v>
      </c>
      <c r="J347" s="3">
        <f t="shared" si="354"/>
        <v>3.4128798575204671E-3</v>
      </c>
      <c r="K347" s="3">
        <f t="shared" si="354"/>
        <v>2.4878843542995501E-12</v>
      </c>
      <c r="L347" s="3">
        <f t="shared" si="354"/>
        <v>1.0541977284815878E-103</v>
      </c>
      <c r="M347" s="3">
        <f t="shared" si="354"/>
        <v>0</v>
      </c>
      <c r="N347" s="3">
        <f t="shared" si="354"/>
        <v>0</v>
      </c>
      <c r="O347" s="3">
        <f t="shared" si="354"/>
        <v>0</v>
      </c>
      <c r="P347" s="3">
        <f t="shared" si="354"/>
        <v>0</v>
      </c>
      <c r="Q347" s="3">
        <f t="shared" si="354"/>
        <v>0</v>
      </c>
      <c r="R347" s="3">
        <f t="shared" si="354"/>
        <v>0</v>
      </c>
      <c r="S347" s="3">
        <f t="shared" si="354"/>
        <v>0</v>
      </c>
      <c r="T347" s="3">
        <f t="shared" si="354"/>
        <v>0</v>
      </c>
      <c r="U347" s="3">
        <f t="shared" si="354"/>
        <v>0</v>
      </c>
      <c r="V347" s="3">
        <f t="shared" si="354"/>
        <v>0</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7.0460456344971875E-2</v>
      </c>
      <c r="C348" s="3">
        <f t="shared" si="355"/>
        <v>7.0460452244900329E-2</v>
      </c>
      <c r="D348" s="3">
        <f t="shared" si="355"/>
        <v>7.0460411244197829E-2</v>
      </c>
      <c r="E348" s="3">
        <f t="shared" si="355"/>
        <v>7.0460001238485129E-2</v>
      </c>
      <c r="F348" s="3">
        <f t="shared" si="355"/>
        <v>7.0455901312575009E-2</v>
      </c>
      <c r="G348" s="3">
        <f t="shared" si="355"/>
        <v>7.0414915172338374E-2</v>
      </c>
      <c r="H348" s="3">
        <f t="shared" si="355"/>
        <v>7.0006362836309441E-2</v>
      </c>
      <c r="I348" s="3">
        <f t="shared" si="355"/>
        <v>6.6048970997597337E-2</v>
      </c>
      <c r="J348" s="3">
        <f t="shared" si="355"/>
        <v>3.6910631015092336E-2</v>
      </c>
      <c r="K348" s="3">
        <f t="shared" si="355"/>
        <v>1.0964923568178579E-4</v>
      </c>
      <c r="L348" s="3">
        <f t="shared" si="355"/>
        <v>5.8687687570244925E-30</v>
      </c>
      <c r="M348" s="3">
        <f t="shared" si="355"/>
        <v>1.132298382009165E-282</v>
      </c>
      <c r="N348" s="3">
        <f t="shared" si="355"/>
        <v>0</v>
      </c>
      <c r="O348" s="3">
        <f t="shared" si="355"/>
        <v>0</v>
      </c>
      <c r="P348" s="3">
        <f t="shared" si="355"/>
        <v>0</v>
      </c>
      <c r="Q348" s="3">
        <f t="shared" si="355"/>
        <v>0</v>
      </c>
      <c r="R348" s="3">
        <f t="shared" si="355"/>
        <v>0</v>
      </c>
      <c r="S348" s="3">
        <f t="shared" si="355"/>
        <v>0</v>
      </c>
      <c r="T348" s="3">
        <f t="shared" si="355"/>
        <v>0</v>
      </c>
      <c r="U348" s="3">
        <f t="shared" si="355"/>
        <v>0</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8.6875447353155194E-2</v>
      </c>
      <c r="C349" s="3">
        <f t="shared" si="356"/>
        <v>8.6875446847629711E-2</v>
      </c>
      <c r="D349" s="3">
        <f t="shared" si="356"/>
        <v>8.687544179237508E-2</v>
      </c>
      <c r="E349" s="3">
        <f t="shared" si="356"/>
        <v>8.6875391239844835E-2</v>
      </c>
      <c r="F349" s="3">
        <f t="shared" si="356"/>
        <v>8.6874885716160366E-2</v>
      </c>
      <c r="G349" s="3">
        <f t="shared" si="356"/>
        <v>8.6869830641101806E-2</v>
      </c>
      <c r="H349" s="3">
        <f t="shared" si="356"/>
        <v>8.6819296065648824E-2</v>
      </c>
      <c r="I349" s="3">
        <f t="shared" si="356"/>
        <v>8.6315564347259385E-2</v>
      </c>
      <c r="J349" s="3">
        <f t="shared" si="356"/>
        <v>8.1436229154537326E-2</v>
      </c>
      <c r="K349" s="3">
        <f t="shared" si="356"/>
        <v>4.5509605375880523E-2</v>
      </c>
      <c r="L349" s="3">
        <f t="shared" si="356"/>
        <v>1.3519393487487636E-4</v>
      </c>
      <c r="M349" s="3">
        <f t="shared" si="356"/>
        <v>7.236000654263459E-30</v>
      </c>
      <c r="N349" s="3">
        <f t="shared" si="356"/>
        <v>1.3960870111354881E-282</v>
      </c>
      <c r="O349" s="3">
        <f t="shared" si="356"/>
        <v>0</v>
      </c>
      <c r="P349" s="3">
        <f t="shared" si="356"/>
        <v>0</v>
      </c>
      <c r="Q349" s="3">
        <f t="shared" si="356"/>
        <v>0</v>
      </c>
      <c r="R349" s="3">
        <f t="shared" si="356"/>
        <v>0</v>
      </c>
      <c r="S349" s="3">
        <f t="shared" si="356"/>
        <v>0</v>
      </c>
      <c r="T349" s="3">
        <f t="shared" si="356"/>
        <v>0</v>
      </c>
      <c r="U349" s="3">
        <f t="shared" si="356"/>
        <v>0</v>
      </c>
      <c r="V349" s="3">
        <f t="shared" si="356"/>
        <v>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9.6215979992954864E-2</v>
      </c>
      <c r="C350" s="3">
        <f t="shared" si="357"/>
        <v>9.621597993696708E-2</v>
      </c>
      <c r="D350" s="3">
        <f t="shared" si="357"/>
        <v>9.6215979377089339E-2</v>
      </c>
      <c r="E350" s="3">
        <f t="shared" si="357"/>
        <v>9.6215973778312078E-2</v>
      </c>
      <c r="F350" s="3">
        <f t="shared" si="357"/>
        <v>9.6215917790557381E-2</v>
      </c>
      <c r="G350" s="3">
        <f t="shared" si="357"/>
        <v>9.6215357914802332E-2</v>
      </c>
      <c r="H350" s="3">
        <f t="shared" si="357"/>
        <v>9.6209759336432568E-2</v>
      </c>
      <c r="I350" s="3">
        <f t="shared" si="357"/>
        <v>9.615379146695914E-2</v>
      </c>
      <c r="J350" s="3">
        <f t="shared" si="357"/>
        <v>9.5595900343669146E-2</v>
      </c>
      <c r="K350" s="3">
        <f t="shared" si="357"/>
        <v>9.0191956751870986E-2</v>
      </c>
      <c r="L350" s="3">
        <f t="shared" si="357"/>
        <v>5.0402632863403372E-2</v>
      </c>
      <c r="M350" s="3">
        <f t="shared" si="357"/>
        <v>1.4972949575319008E-4</v>
      </c>
      <c r="N350" s="3">
        <f t="shared" si="357"/>
        <v>8.0139891647902747E-30</v>
      </c>
      <c r="O350" s="3">
        <f t="shared" si="357"/>
        <v>1.5461892162422798E-282</v>
      </c>
      <c r="P350" s="3">
        <f t="shared" si="357"/>
        <v>0</v>
      </c>
      <c r="Q350" s="3">
        <f t="shared" si="357"/>
        <v>0</v>
      </c>
      <c r="R350" s="3">
        <f t="shared" si="357"/>
        <v>0</v>
      </c>
      <c r="S350" s="3">
        <f t="shared" si="357"/>
        <v>0</v>
      </c>
      <c r="T350" s="3">
        <f t="shared" si="357"/>
        <v>0</v>
      </c>
      <c r="U350" s="3">
        <f t="shared" si="357"/>
        <v>0</v>
      </c>
      <c r="V350" s="3">
        <f t="shared" si="357"/>
        <v>0</v>
      </c>
      <c r="W350" s="3">
        <f t="shared" si="357"/>
        <v>0</v>
      </c>
      <c r="X350" s="3">
        <f t="shared" si="357"/>
        <v>0</v>
      </c>
      <c r="Y350" s="3">
        <f t="shared" si="357"/>
        <v>0</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0.11161416834542241</v>
      </c>
      <c r="C351" s="3">
        <f t="shared" si="358"/>
        <v>0.11161416833892762</v>
      </c>
      <c r="D351" s="3">
        <f t="shared" si="358"/>
        <v>0.11161416827397969</v>
      </c>
      <c r="E351" s="3">
        <f t="shared" si="358"/>
        <v>0.11161416762450037</v>
      </c>
      <c r="F351" s="3">
        <f t="shared" si="358"/>
        <v>0.11161416112970743</v>
      </c>
      <c r="G351" s="3">
        <f t="shared" si="358"/>
        <v>0.11161409618179881</v>
      </c>
      <c r="H351" s="3">
        <f t="shared" si="358"/>
        <v>0.11161344670479116</v>
      </c>
      <c r="I351" s="3">
        <f t="shared" si="358"/>
        <v>0.11160695214257117</v>
      </c>
      <c r="J351" s="3">
        <f t="shared" si="358"/>
        <v>0.11154202730154751</v>
      </c>
      <c r="K351" s="3">
        <f t="shared" si="358"/>
        <v>0.11089485254165583</v>
      </c>
      <c r="L351" s="3">
        <f t="shared" si="358"/>
        <v>0.10462607401034332</v>
      </c>
      <c r="M351" s="3">
        <f t="shared" si="358"/>
        <v>5.846895650341026E-2</v>
      </c>
      <c r="N351" s="3">
        <f t="shared" si="358"/>
        <v>1.7369186641889411E-4</v>
      </c>
      <c r="O351" s="3">
        <f t="shared" si="358"/>
        <v>9.2965299087608844E-30</v>
      </c>
      <c r="P351" s="3">
        <f t="shared" si="358"/>
        <v>1.7936378497432214E-282</v>
      </c>
      <c r="Q351" s="3">
        <f t="shared" si="358"/>
        <v>0</v>
      </c>
      <c r="R351" s="3">
        <f t="shared" si="358"/>
        <v>0</v>
      </c>
      <c r="S351" s="3">
        <f t="shared" si="358"/>
        <v>0</v>
      </c>
      <c r="T351" s="3">
        <f t="shared" si="358"/>
        <v>0</v>
      </c>
      <c r="U351" s="3">
        <f t="shared" si="358"/>
        <v>0</v>
      </c>
      <c r="V351" s="3">
        <f t="shared" si="358"/>
        <v>0</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6.6462351022354996E-2</v>
      </c>
      <c r="C352" s="3">
        <f t="shared" si="359"/>
        <v>6.6462351021968263E-2</v>
      </c>
      <c r="D352" s="3">
        <f t="shared" si="359"/>
        <v>6.6462351018100843E-2</v>
      </c>
      <c r="E352" s="3">
        <f t="shared" si="359"/>
        <v>6.6462350979426613E-2</v>
      </c>
      <c r="F352" s="3">
        <f t="shared" si="359"/>
        <v>6.646235059268428E-2</v>
      </c>
      <c r="G352" s="3">
        <f t="shared" si="359"/>
        <v>6.6462346725261232E-2</v>
      </c>
      <c r="H352" s="3">
        <f t="shared" si="359"/>
        <v>6.6462308051043029E-2</v>
      </c>
      <c r="I352" s="3">
        <f t="shared" si="359"/>
        <v>6.6461921310098732E-2</v>
      </c>
      <c r="J352" s="3">
        <f t="shared" si="359"/>
        <v>6.6458054024427046E-2</v>
      </c>
      <c r="K352" s="3">
        <f t="shared" si="359"/>
        <v>6.6419393542177102E-2</v>
      </c>
      <c r="L352" s="3">
        <f t="shared" si="359"/>
        <v>6.6034023506256909E-2</v>
      </c>
      <c r="M352" s="3">
        <f t="shared" si="359"/>
        <v>6.2301184159753296E-2</v>
      </c>
      <c r="N352" s="3">
        <f t="shared" si="359"/>
        <v>3.4816227801756687E-2</v>
      </c>
      <c r="O352" s="3">
        <f t="shared" si="359"/>
        <v>1.0342745877805764E-4</v>
      </c>
      <c r="P352" s="3">
        <f t="shared" si="359"/>
        <v>5.5357598702891997E-30</v>
      </c>
      <c r="Q352" s="3">
        <f t="shared" si="359"/>
        <v>1.0680488879064877E-282</v>
      </c>
      <c r="R352" s="3">
        <f t="shared" si="359"/>
        <v>0</v>
      </c>
      <c r="S352" s="3">
        <f t="shared" si="359"/>
        <v>0</v>
      </c>
      <c r="T352" s="3">
        <f t="shared" si="359"/>
        <v>0</v>
      </c>
      <c r="U352" s="3">
        <f t="shared" si="359"/>
        <v>0</v>
      </c>
      <c r="V352" s="3">
        <f t="shared" si="359"/>
        <v>0</v>
      </c>
      <c r="W352" s="3">
        <f t="shared" si="359"/>
        <v>0</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4.7100906601752666E-2</v>
      </c>
      <c r="C353" s="3">
        <f t="shared" si="360"/>
        <v>4.7100906601725258E-2</v>
      </c>
      <c r="D353" s="3">
        <f t="shared" si="360"/>
        <v>4.7100906601451185E-2</v>
      </c>
      <c r="E353" s="3">
        <f t="shared" si="360"/>
        <v>4.7100906598710399E-2</v>
      </c>
      <c r="F353" s="3">
        <f t="shared" si="360"/>
        <v>4.7100906571302524E-2</v>
      </c>
      <c r="G353" s="3">
        <f t="shared" si="360"/>
        <v>4.7100906297223841E-2</v>
      </c>
      <c r="H353" s="3">
        <f t="shared" si="360"/>
        <v>4.710090355643707E-2</v>
      </c>
      <c r="I353" s="3">
        <f t="shared" si="360"/>
        <v>4.7100876148578164E-2</v>
      </c>
      <c r="J353" s="3">
        <f t="shared" si="360"/>
        <v>4.7100602070866256E-2</v>
      </c>
      <c r="K353" s="3">
        <f t="shared" si="360"/>
        <v>4.7097861381462075E-2</v>
      </c>
      <c r="L353" s="3">
        <f t="shared" si="360"/>
        <v>4.707046325702588E-2</v>
      </c>
      <c r="M353" s="3">
        <f t="shared" si="360"/>
        <v>4.6797357088047969E-2</v>
      </c>
      <c r="N353" s="3">
        <f t="shared" si="360"/>
        <v>4.4151947849368253E-2</v>
      </c>
      <c r="O353" s="3">
        <f t="shared" si="360"/>
        <v>2.467375692688557E-2</v>
      </c>
      <c r="P353" s="3">
        <f t="shared" si="360"/>
        <v>7.3297543662283554E-5</v>
      </c>
      <c r="Q353" s="3">
        <f t="shared" si="360"/>
        <v>3.9231129294894958E-30</v>
      </c>
      <c r="R353" s="3">
        <f t="shared" si="360"/>
        <v>7.5691079448031063E-283</v>
      </c>
      <c r="S353" s="3">
        <f t="shared" si="360"/>
        <v>0</v>
      </c>
      <c r="T353" s="3">
        <f t="shared" si="360"/>
        <v>0</v>
      </c>
      <c r="U353" s="3">
        <f t="shared" si="360"/>
        <v>0</v>
      </c>
      <c r="V353" s="3">
        <f t="shared" si="360"/>
        <v>0</v>
      </c>
      <c r="W353" s="3">
        <f t="shared" si="360"/>
        <v>0</v>
      </c>
      <c r="X353" s="3">
        <f t="shared" si="360"/>
        <v>0</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2.259812877355909E-2</v>
      </c>
      <c r="C354" s="3">
        <f t="shared" si="361"/>
        <v>2.2598128773557775E-2</v>
      </c>
      <c r="D354" s="3">
        <f t="shared" si="361"/>
        <v>2.2598128773544623E-2</v>
      </c>
      <c r="E354" s="3">
        <f t="shared" si="361"/>
        <v>2.2598128773413127E-2</v>
      </c>
      <c r="F354" s="3">
        <f t="shared" si="361"/>
        <v>2.2598128772098151E-2</v>
      </c>
      <c r="G354" s="3">
        <f t="shared" si="361"/>
        <v>2.2598128758948371E-2</v>
      </c>
      <c r="H354" s="3">
        <f t="shared" si="361"/>
        <v>2.2598128627450573E-2</v>
      </c>
      <c r="I354" s="3">
        <f t="shared" si="361"/>
        <v>2.2598127312472651E-2</v>
      </c>
      <c r="J354" s="3">
        <f t="shared" si="361"/>
        <v>2.2598114162697632E-2</v>
      </c>
      <c r="K354" s="3">
        <f t="shared" si="361"/>
        <v>2.2597982665368291E-2</v>
      </c>
      <c r="L354" s="3">
        <f t="shared" si="361"/>
        <v>2.2596667734158839E-2</v>
      </c>
      <c r="M354" s="3">
        <f t="shared" si="361"/>
        <v>2.2583522629556117E-2</v>
      </c>
      <c r="N354" s="3">
        <f t="shared" si="361"/>
        <v>2.2452491428233419E-2</v>
      </c>
      <c r="O354" s="3">
        <f t="shared" si="361"/>
        <v>2.1183273849474139E-2</v>
      </c>
      <c r="P354" s="3">
        <f t="shared" si="361"/>
        <v>1.1838004331332237E-2</v>
      </c>
      <c r="Q354" s="3">
        <f t="shared" si="361"/>
        <v>3.5166782339686891E-5</v>
      </c>
      <c r="R354" s="3">
        <f t="shared" si="361"/>
        <v>1.8822357693326051E-30</v>
      </c>
      <c r="S354" s="3">
        <f t="shared" si="361"/>
        <v>3.6315155774783958E-283</v>
      </c>
      <c r="T354" s="3">
        <f t="shared" si="361"/>
        <v>0</v>
      </c>
      <c r="U354" s="3">
        <f t="shared" si="361"/>
        <v>0</v>
      </c>
      <c r="V354" s="3">
        <f t="shared" si="361"/>
        <v>0</v>
      </c>
      <c r="W354" s="3">
        <f t="shared" si="361"/>
        <v>0</v>
      </c>
      <c r="X354" s="3">
        <f t="shared" si="361"/>
        <v>0</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6.4467605952010466E-3</v>
      </c>
      <c r="C355" s="3">
        <f t="shared" si="362"/>
        <v>6.4467605952010093E-3</v>
      </c>
      <c r="D355" s="3">
        <f t="shared" si="362"/>
        <v>6.4467605952006346E-3</v>
      </c>
      <c r="E355" s="3">
        <f t="shared" si="362"/>
        <v>6.4467605951968824E-3</v>
      </c>
      <c r="F355" s="3">
        <f t="shared" si="362"/>
        <v>6.4467605951593699E-3</v>
      </c>
      <c r="G355" s="3">
        <f t="shared" si="362"/>
        <v>6.4467605947842342E-3</v>
      </c>
      <c r="H355" s="3">
        <f t="shared" si="362"/>
        <v>6.4467605910328851E-3</v>
      </c>
      <c r="I355" s="3">
        <f t="shared" si="362"/>
        <v>6.4467605535193885E-3</v>
      </c>
      <c r="J355" s="3">
        <f t="shared" si="362"/>
        <v>6.4467601783844411E-3</v>
      </c>
      <c r="K355" s="3">
        <f t="shared" si="362"/>
        <v>6.4467564270361639E-3</v>
      </c>
      <c r="L355" s="3">
        <f t="shared" si="362"/>
        <v>6.4467189136734578E-3</v>
      </c>
      <c r="M355" s="3">
        <f t="shared" si="362"/>
        <v>6.4463437920520431E-3</v>
      </c>
      <c r="N355" s="3">
        <f t="shared" si="362"/>
        <v>6.4425937761448948E-3</v>
      </c>
      <c r="O355" s="3">
        <f t="shared" si="362"/>
        <v>6.4052133897468232E-3</v>
      </c>
      <c r="P355" s="3">
        <f t="shared" si="362"/>
        <v>6.043132884963812E-3</v>
      </c>
      <c r="Q355" s="3">
        <f t="shared" si="362"/>
        <v>3.377128284105801E-3</v>
      </c>
      <c r="R355" s="3">
        <f t="shared" si="362"/>
        <v>1.0032327407248341E-5</v>
      </c>
      <c r="S355" s="3">
        <f t="shared" si="362"/>
        <v>5.3696142323115903E-31</v>
      </c>
      <c r="T355" s="3">
        <f t="shared" si="362"/>
        <v>1.0359933674304471E-283</v>
      </c>
      <c r="U355" s="3">
        <f t="shared" si="362"/>
        <v>0</v>
      </c>
      <c r="V355" s="3">
        <f t="shared" si="362"/>
        <v>0</v>
      </c>
      <c r="W355" s="3">
        <f t="shared" si="362"/>
        <v>0</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9.830710463669077E-5</v>
      </c>
      <c r="C356" s="3">
        <f t="shared" si="363"/>
        <v>9.8307104636690716E-5</v>
      </c>
      <c r="D356" s="3">
        <f t="shared" si="363"/>
        <v>9.8307104636690147E-5</v>
      </c>
      <c r="E356" s="3">
        <f t="shared" si="363"/>
        <v>9.8307104636684428E-5</v>
      </c>
      <c r="F356" s="3">
        <f t="shared" si="363"/>
        <v>9.8307104636627222E-5</v>
      </c>
      <c r="G356" s="3">
        <f t="shared" si="363"/>
        <v>9.8307104636055184E-5</v>
      </c>
      <c r="H356" s="3">
        <f t="shared" si="363"/>
        <v>9.8307104630334716E-5</v>
      </c>
      <c r="I356" s="3">
        <f t="shared" si="363"/>
        <v>9.8307104573130123E-5</v>
      </c>
      <c r="J356" s="3">
        <f t="shared" si="363"/>
        <v>9.8307104001084186E-5</v>
      </c>
      <c r="K356" s="3">
        <f t="shared" si="363"/>
        <v>9.8307098280625059E-5</v>
      </c>
      <c r="L356" s="3">
        <f t="shared" si="363"/>
        <v>9.8307041076051976E-5</v>
      </c>
      <c r="M356" s="3">
        <f t="shared" si="363"/>
        <v>9.8306469032152042E-5</v>
      </c>
      <c r="N356" s="3">
        <f t="shared" si="363"/>
        <v>9.830074877622763E-5</v>
      </c>
      <c r="O356" s="3">
        <f t="shared" si="363"/>
        <v>9.8243564520549258E-5</v>
      </c>
      <c r="P356" s="3">
        <f t="shared" si="363"/>
        <v>9.7673548385665855E-5</v>
      </c>
      <c r="Q356" s="3">
        <f t="shared" si="363"/>
        <v>9.2152157363777087E-5</v>
      </c>
      <c r="R356" s="3">
        <f t="shared" si="363"/>
        <v>5.1498066151898609E-5</v>
      </c>
      <c r="S356" s="3">
        <f t="shared" si="363"/>
        <v>1.5298366452572541E-7</v>
      </c>
      <c r="T356" s="3">
        <f t="shared" si="363"/>
        <v>8.1881624173769579E-33</v>
      </c>
      <c r="U356" s="3">
        <f t="shared" si="363"/>
        <v>1.5797935547772022E-285</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1.1020901234699522E-2</v>
      </c>
      <c r="C357" s="3">
        <f t="shared" si="364"/>
        <v>1.102090123469952E-2</v>
      </c>
      <c r="D357" s="3">
        <f t="shared" si="364"/>
        <v>1.1020901234699515E-2</v>
      </c>
      <c r="E357" s="3">
        <f t="shared" si="364"/>
        <v>1.102090123469945E-2</v>
      </c>
      <c r="F357" s="3">
        <f t="shared" si="364"/>
        <v>1.1020901234698809E-2</v>
      </c>
      <c r="G357" s="3">
        <f t="shared" si="364"/>
        <v>1.1020901234692395E-2</v>
      </c>
      <c r="H357" s="3">
        <f t="shared" si="364"/>
        <v>1.1020901234628266E-2</v>
      </c>
      <c r="I357" s="3">
        <f t="shared" si="364"/>
        <v>1.1020901233986963E-2</v>
      </c>
      <c r="J357" s="3">
        <f t="shared" si="364"/>
        <v>1.1020901227573935E-2</v>
      </c>
      <c r="K357" s="3">
        <f t="shared" si="364"/>
        <v>1.1020901163443659E-2</v>
      </c>
      <c r="L357" s="3">
        <f t="shared" si="364"/>
        <v>1.1020900522140924E-2</v>
      </c>
      <c r="M357" s="3">
        <f t="shared" si="364"/>
        <v>1.1020894109115616E-2</v>
      </c>
      <c r="N357" s="3">
        <f t="shared" si="364"/>
        <v>1.1020829979067778E-2</v>
      </c>
      <c r="O357" s="3">
        <f t="shared" si="364"/>
        <v>1.1020188699113363E-2</v>
      </c>
      <c r="P357" s="3">
        <f t="shared" si="364"/>
        <v>1.1013777951524566E-2</v>
      </c>
      <c r="Q357" s="3">
        <f t="shared" si="364"/>
        <v>1.094987523006866E-2</v>
      </c>
      <c r="R357" s="3">
        <f t="shared" si="364"/>
        <v>1.0330889396285068E-2</v>
      </c>
      <c r="S357" s="3">
        <f t="shared" si="364"/>
        <v>5.7732867114293042E-3</v>
      </c>
      <c r="T357" s="3">
        <f t="shared" si="364"/>
        <v>1.7150518912049808E-5</v>
      </c>
      <c r="U357" s="3">
        <f t="shared" si="364"/>
        <v>9.1794921261377134E-31</v>
      </c>
      <c r="V357" s="3">
        <f t="shared" si="364"/>
        <v>1.7710570159459531E-283</v>
      </c>
      <c r="W357" s="3">
        <f t="shared" si="364"/>
        <v>0</v>
      </c>
      <c r="X357" s="3">
        <f t="shared" si="364"/>
        <v>0</v>
      </c>
      <c r="Y357" s="3">
        <f t="shared" si="364"/>
        <v>0</v>
      </c>
      <c r="Z357" s="3">
        <f t="shared" si="364"/>
        <v>0</v>
      </c>
      <c r="AA357" s="3">
        <f t="shared" si="364"/>
        <v>0</v>
      </c>
      <c r="AB357" s="3">
        <f t="shared" si="364"/>
        <v>0</v>
      </c>
      <c r="AC357" s="3">
        <f t="shared" si="364"/>
        <v>0</v>
      </c>
      <c r="AD357" s="3">
        <f t="shared" si="364"/>
        <v>0</v>
      </c>
      <c r="AE357" s="3">
        <f t="shared" si="364"/>
        <v>0</v>
      </c>
      <c r="AF357" s="3">
        <f t="shared" si="364"/>
        <v>0</v>
      </c>
      <c r="AG357" s="3"/>
      <c r="AH357" s="3"/>
    </row>
    <row r="358" spans="1:34" x14ac:dyDescent="0.25">
      <c r="A358" s="79">
        <f>AVERAGE(B358:AF358)</f>
        <v>0.18078508914206212</v>
      </c>
      <c r="B358" s="80">
        <f>IF($A$64&lt;=B324,IF($B$64&gt;=B324,ABS((B326-B325)/B325),0),0)</f>
        <v>6.4255695075801883E-4</v>
      </c>
      <c r="C358" s="80">
        <f t="shared" ref="C358:AF358" si="365">IF($A$64&lt;=C324,IF($B$64&gt;=C324,ABS((C326-C325)/C325),0),0)</f>
        <v>1.1806901023939298E-2</v>
      </c>
      <c r="D358" s="80">
        <f t="shared" si="365"/>
        <v>1.4687083658675493E-2</v>
      </c>
      <c r="E358" s="80">
        <f t="shared" si="365"/>
        <v>1.1296070112512411E-2</v>
      </c>
      <c r="F358" s="80">
        <f t="shared" si="365"/>
        <v>2.0018851819196054E-3</v>
      </c>
      <c r="G358" s="80">
        <f t="shared" si="365"/>
        <v>1.7035848973346625E-2</v>
      </c>
      <c r="H358" s="80">
        <f t="shared" si="365"/>
        <v>2.8874818276264647E-2</v>
      </c>
      <c r="I358" s="80">
        <f t="shared" si="365"/>
        <v>3.5295660750603808E-2</v>
      </c>
      <c r="J358" s="80">
        <f t="shared" si="365"/>
        <v>2.2254431812249831E-2</v>
      </c>
      <c r="K358" s="80">
        <f t="shared" si="365"/>
        <v>1.2384216028464529E-2</v>
      </c>
      <c r="L358" s="80">
        <f t="shared" si="365"/>
        <v>1.5868528795751645E-2</v>
      </c>
      <c r="M358" s="80">
        <f t="shared" si="365"/>
        <v>6.9231670835396913E-2</v>
      </c>
      <c r="N358" s="80">
        <f t="shared" si="365"/>
        <v>9.250751120016705E-2</v>
      </c>
      <c r="O358" s="80">
        <f t="shared" si="365"/>
        <v>0.12817799340001643</v>
      </c>
      <c r="P358" s="80">
        <f t="shared" si="365"/>
        <v>0.11672413090300629</v>
      </c>
      <c r="Q358" s="80">
        <f t="shared" si="365"/>
        <v>4.0466560599966006E-2</v>
      </c>
      <c r="R358" s="80">
        <f t="shared" si="365"/>
        <v>8.1513853029650564E-3</v>
      </c>
      <c r="S358" s="80">
        <f t="shared" si="365"/>
        <v>0.11590426492316529</v>
      </c>
      <c r="T358" s="80">
        <f t="shared" si="365"/>
        <v>0.37700627509579343</v>
      </c>
      <c r="U358" s="80">
        <f t="shared" si="365"/>
        <v>0.37716840784470457</v>
      </c>
      <c r="V358" s="80">
        <f t="shared" si="365"/>
        <v>0.37650143865981156</v>
      </c>
      <c r="W358" s="80">
        <f t="shared" si="365"/>
        <v>0.37568439762109979</v>
      </c>
      <c r="X358" s="80">
        <f t="shared" si="365"/>
        <v>0.37476314125488908</v>
      </c>
      <c r="Y358" s="80">
        <f t="shared" si="365"/>
        <v>0.37379759226060327</v>
      </c>
      <c r="Z358" s="80">
        <f t="shared" si="365"/>
        <v>0.37349700299791017</v>
      </c>
      <c r="AA358" s="80">
        <f t="shared" si="365"/>
        <v>0.37303359900680849</v>
      </c>
      <c r="AB358" s="80">
        <f t="shared" si="365"/>
        <v>0.37245554033325567</v>
      </c>
      <c r="AC358" s="80">
        <f t="shared" si="365"/>
        <v>0.37182390366426993</v>
      </c>
      <c r="AD358" s="80">
        <f t="shared" si="365"/>
        <v>0.37178505571897419</v>
      </c>
      <c r="AE358" s="80">
        <f t="shared" si="365"/>
        <v>0.37176362897635162</v>
      </c>
      <c r="AF358" s="80">
        <f t="shared" si="365"/>
        <v>0.37174626124028526</v>
      </c>
    </row>
    <row r="359" spans="1:34" x14ac:dyDescent="0.25">
      <c r="B359" s="21">
        <f>(B326-B325)^2</f>
        <v>11.77083207443456</v>
      </c>
      <c r="C359" s="21">
        <f t="shared" ref="C359:AF359" si="366">(C326-C325)^2</f>
        <v>3615.2751917933529</v>
      </c>
      <c r="D359" s="21">
        <f t="shared" si="366"/>
        <v>5099.6233137881181</v>
      </c>
      <c r="E359" s="21">
        <f t="shared" si="366"/>
        <v>2700.0939491792938</v>
      </c>
      <c r="F359" s="21">
        <f t="shared" si="366"/>
        <v>75.326958322442252</v>
      </c>
      <c r="G359" s="21">
        <f t="shared" si="366"/>
        <v>4793.8808833597868</v>
      </c>
      <c r="H359" s="21">
        <f t="shared" si="366"/>
        <v>11881.635711222587</v>
      </c>
      <c r="I359" s="21">
        <f t="shared" si="366"/>
        <v>14749.642993658432</v>
      </c>
      <c r="J359" s="21">
        <f t="shared" si="366"/>
        <v>4478.2452948023065</v>
      </c>
      <c r="K359" s="21">
        <f t="shared" si="366"/>
        <v>945.70333758454547</v>
      </c>
      <c r="L359" s="21">
        <f t="shared" si="366"/>
        <v>887.44687279359482</v>
      </c>
      <c r="M359" s="21">
        <f t="shared" si="366"/>
        <v>7202.3675306086561</v>
      </c>
      <c r="N359" s="21">
        <f t="shared" si="366"/>
        <v>4413.8726427643978</v>
      </c>
      <c r="O359" s="21">
        <f t="shared" si="366"/>
        <v>2666.0031532389148</v>
      </c>
      <c r="P359" s="21">
        <f t="shared" si="366"/>
        <v>684.7093939384996</v>
      </c>
      <c r="Q359" s="21">
        <f t="shared" si="366"/>
        <v>40.531446855004724</v>
      </c>
      <c r="R359" s="21">
        <f t="shared" si="366"/>
        <v>1.2740998855453922</v>
      </c>
      <c r="S359" s="21">
        <f t="shared" si="366"/>
        <v>216.40685249293298</v>
      </c>
      <c r="T359" s="21">
        <f t="shared" si="366"/>
        <v>2232.2402860841107</v>
      </c>
      <c r="U359" s="21">
        <f t="shared" si="366"/>
        <v>2229.5037094772601</v>
      </c>
      <c r="V359" s="21">
        <f t="shared" si="366"/>
        <v>2216.8750604819952</v>
      </c>
      <c r="W359" s="21">
        <f t="shared" si="366"/>
        <v>2201.4903684537467</v>
      </c>
      <c r="X359" s="21">
        <f t="shared" si="366"/>
        <v>2184.255536302529</v>
      </c>
      <c r="Y359" s="21">
        <f t="shared" si="366"/>
        <v>2166.3188666363003</v>
      </c>
      <c r="Z359" s="21">
        <f t="shared" si="366"/>
        <v>2160.7612654460331</v>
      </c>
      <c r="AA359" s="21">
        <f t="shared" si="366"/>
        <v>2152.2177770763847</v>
      </c>
      <c r="AB359" s="21">
        <f t="shared" si="366"/>
        <v>2141.6018202900518</v>
      </c>
      <c r="AC359" s="21">
        <f t="shared" si="366"/>
        <v>2130.0541709012919</v>
      </c>
      <c r="AD359" s="21">
        <f t="shared" si="366"/>
        <v>2129.3457244772071</v>
      </c>
      <c r="AE359" s="21">
        <f t="shared" si="366"/>
        <v>2128.9550658647527</v>
      </c>
      <c r="AF359" s="21">
        <f t="shared" si="366"/>
        <v>2128.6384580914096</v>
      </c>
      <c r="AG359" s="3"/>
      <c r="AH359" s="3"/>
    </row>
    <row r="360" spans="1:34" x14ac:dyDescent="0.25">
      <c r="A360" s="71">
        <f>SUM(B360:AF360)</f>
        <v>92666.068567945913</v>
      </c>
      <c r="B360" s="60">
        <f>IF($A$64&lt;=B324,IF($B$64&gt;=B324,ABS(B359),0),0)</f>
        <v>11.77083207443456</v>
      </c>
      <c r="C360" s="60">
        <f t="shared" ref="C360:AF360" si="367">IF($A$64&lt;=C324,IF($B$64&gt;=C324,ABS(C359),0),0)</f>
        <v>3615.2751917933529</v>
      </c>
      <c r="D360" s="60">
        <f t="shared" si="367"/>
        <v>5099.6233137881181</v>
      </c>
      <c r="E360" s="60">
        <f t="shared" si="367"/>
        <v>2700.0939491792938</v>
      </c>
      <c r="F360" s="60">
        <f t="shared" si="367"/>
        <v>75.326958322442252</v>
      </c>
      <c r="G360" s="60">
        <f t="shared" si="367"/>
        <v>4793.8808833597868</v>
      </c>
      <c r="H360" s="60">
        <f t="shared" si="367"/>
        <v>11881.635711222587</v>
      </c>
      <c r="I360" s="60">
        <f t="shared" si="367"/>
        <v>14749.642993658432</v>
      </c>
      <c r="J360" s="60">
        <f t="shared" si="367"/>
        <v>4478.2452948023065</v>
      </c>
      <c r="K360" s="60">
        <f t="shared" si="367"/>
        <v>945.70333758454547</v>
      </c>
      <c r="L360" s="60">
        <f t="shared" si="367"/>
        <v>887.44687279359482</v>
      </c>
      <c r="M360" s="60">
        <f t="shared" si="367"/>
        <v>7202.3675306086561</v>
      </c>
      <c r="N360" s="60">
        <f t="shared" si="367"/>
        <v>4413.8726427643978</v>
      </c>
      <c r="O360" s="60">
        <f t="shared" si="367"/>
        <v>2666.0031532389148</v>
      </c>
      <c r="P360" s="60">
        <f t="shared" si="367"/>
        <v>684.7093939384996</v>
      </c>
      <c r="Q360" s="60">
        <f t="shared" si="367"/>
        <v>40.531446855004724</v>
      </c>
      <c r="R360" s="60">
        <f t="shared" si="367"/>
        <v>1.2740998855453922</v>
      </c>
      <c r="S360" s="60">
        <f t="shared" si="367"/>
        <v>216.40685249293298</v>
      </c>
      <c r="T360" s="60">
        <f t="shared" si="367"/>
        <v>2232.2402860841107</v>
      </c>
      <c r="U360" s="60">
        <f t="shared" si="367"/>
        <v>2229.5037094772601</v>
      </c>
      <c r="V360" s="60">
        <f t="shared" si="367"/>
        <v>2216.8750604819952</v>
      </c>
      <c r="W360" s="60">
        <f t="shared" si="367"/>
        <v>2201.4903684537467</v>
      </c>
      <c r="X360" s="60">
        <f t="shared" si="367"/>
        <v>2184.255536302529</v>
      </c>
      <c r="Y360" s="60">
        <f t="shared" si="367"/>
        <v>2166.3188666363003</v>
      </c>
      <c r="Z360" s="60">
        <f t="shared" si="367"/>
        <v>2160.7612654460331</v>
      </c>
      <c r="AA360" s="60">
        <f t="shared" si="367"/>
        <v>2152.2177770763847</v>
      </c>
      <c r="AB360" s="60">
        <f t="shared" si="367"/>
        <v>2141.6018202900518</v>
      </c>
      <c r="AC360" s="60">
        <f t="shared" si="367"/>
        <v>2130.0541709012919</v>
      </c>
      <c r="AD360" s="60">
        <f t="shared" si="367"/>
        <v>2129.3457244772071</v>
      </c>
      <c r="AE360" s="60">
        <f t="shared" si="367"/>
        <v>2128.9550658647527</v>
      </c>
      <c r="AF360" s="60">
        <f t="shared" si="367"/>
        <v>2128.6384580914096</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4973.1641667493986</v>
      </c>
      <c r="C364" s="26">
        <f>INDEX(Comparison!$AM$3:$AS$33,G$14,$H$122)</f>
        <v>4659.596505568883</v>
      </c>
      <c r="D364" s="26">
        <f>INDEX(Comparison!$AM$3:$AS$33,H$14,$H$122)</f>
        <v>4385.9516115251872</v>
      </c>
      <c r="E364" s="26">
        <f>INDEX(Comparison!$AM$3:$AS$33,I$14,$H$122)</f>
        <v>4118.3569666620651</v>
      </c>
      <c r="F364" s="26">
        <f>INDEX(Comparison!$AM$3:$AS$33,J$14,$H$122)</f>
        <v>3829.8022738739742</v>
      </c>
      <c r="G364" s="26">
        <f>INDEX(Comparison!$AM$3:$AS$33,K$14,$H$122)</f>
        <v>3513.4556215320054</v>
      </c>
      <c r="H364" s="26">
        <f>INDEX(Comparison!$AM$3:$AS$33,L$14,$H$122)</f>
        <v>3097.9149297690292</v>
      </c>
      <c r="I364" s="26">
        <f>INDEX(Comparison!$AM$3:$AS$33,M$14,$H$122)</f>
        <v>2591.2184022941196</v>
      </c>
      <c r="J364" s="26">
        <f>INDEX(Comparison!$AM$3:$AS$33,N$14,$H$122)</f>
        <v>2005.3525724949279</v>
      </c>
      <c r="K364" s="26">
        <f>INDEX(Comparison!$AM$3:$AS$33,O$14,$H$122)</f>
        <v>1355.6696144527521</v>
      </c>
      <c r="L364" s="26">
        <f>INDEX(Comparison!$AM$3:$AS$33,P$14,$H$122)</f>
        <v>816.95203291347548</v>
      </c>
      <c r="M364" s="26">
        <f>INDEX(Comparison!$AM$3:$AS$33,Q$14,$H$122)</f>
        <v>463.37163713330017</v>
      </c>
      <c r="N364" s="26">
        <f>INDEX(Comparison!$AM$3:$AS$33,R$14,$H$122)</f>
        <v>256.97131232473913</v>
      </c>
      <c r="O364" s="26">
        <f>INDEX(Comparison!$AM$3:$AS$33,S$14,$H$122)</f>
        <v>167.49490825050054</v>
      </c>
      <c r="P364" s="26">
        <f>INDEX(Comparison!$AM$3:$AS$33,T$14,$H$122)</f>
        <v>141.80358734877336</v>
      </c>
      <c r="Q364" s="26">
        <f>INDEX(Comparison!$AM$3:$AS$33,U$14,$H$122)</f>
        <v>129.19132461504012</v>
      </c>
      <c r="R364" s="26">
        <f>INDEX(Comparison!$AM$3:$AS$33,V$14,$H$122)</f>
        <v>125.45582042457461</v>
      </c>
      <c r="S364" s="26">
        <f>INDEX(Comparison!$AM$3:$AS$33,W$14,$H$122)</f>
        <v>125.37751528072498</v>
      </c>
      <c r="T364" s="26">
        <f>INDEX(Comparison!$AM$3:$AS$33,X$14,$H$122)</f>
        <v>125.26241312398497</v>
      </c>
      <c r="U364" s="26">
        <f>INDEX(Comparison!$AM$3:$AS$33,Y$14,$H$122)</f>
        <v>125.1369355609138</v>
      </c>
      <c r="V364" s="26">
        <f>INDEX(Comparison!$AM$3:$AS$33,Z$14,$H$122)</f>
        <v>124.97859027478171</v>
      </c>
      <c r="W364" s="26">
        <f>INDEX(Comparison!$AM$3:$AS$33,AA$14,$H$122)</f>
        <v>124.79521194858673</v>
      </c>
      <c r="X364" s="26">
        <f>INDEX(Comparison!$AM$3:$AS$33,AB$14,$H$122)</f>
        <v>124.60066288549459</v>
      </c>
      <c r="Y364" s="26">
        <f>INDEX(Comparison!$AM$3:$AS$33,AC$14,$H$122)</f>
        <v>124.40326066206676</v>
      </c>
      <c r="Z364" s="26">
        <f>INDEX(Comparison!$AM$3:$AS$33,AD$14,$H$122)</f>
        <v>124.39897169961779</v>
      </c>
      <c r="AA364" s="26">
        <f>INDEX(Comparison!$AM$3:$AS$33,AE$14,$H$122)</f>
        <v>124.30647199515475</v>
      </c>
      <c r="AB364" s="26">
        <f>INDEX(Comparison!$AM$3:$AS$33,AF$14,$H$122)</f>
        <v>124.18164826003697</v>
      </c>
      <c r="AC364" s="26">
        <f>INDEX(Comparison!$AM$3:$AS$33,AG$14,$H$122)</f>
        <v>124.05329261398603</v>
      </c>
      <c r="AD364" s="26">
        <f>INDEX(Comparison!$AM$3:$AS$33,AH$14,$H$122)</f>
        <v>124.04585962671396</v>
      </c>
      <c r="AE364" s="26">
        <f>INDEX(Comparison!$AM$3:$AS$33,AI$14,$H$122)</f>
        <v>124.04225732695286</v>
      </c>
      <c r="AF364" s="26">
        <f>INDEX(Comparison!$AM$3:$AS$33,AJ$14,$H$122)</f>
        <v>124.03970146521578</v>
      </c>
      <c r="AG364" s="26"/>
      <c r="AH364" s="26"/>
    </row>
    <row r="365" spans="1:34" x14ac:dyDescent="0.25">
      <c r="A365" s="70" t="s">
        <v>22</v>
      </c>
      <c r="B365" s="27">
        <f>($C$17+SUM(B366:B396))*$B$51</f>
        <v>4985.6078696347631</v>
      </c>
      <c r="C365" s="27">
        <f t="shared" ref="C365:AF365" si="368">($C$17+SUM(C366:C396))*$B$51</f>
        <v>4717.4609408265123</v>
      </c>
      <c r="D365" s="27">
        <f t="shared" si="368"/>
        <v>4400.7745814630189</v>
      </c>
      <c r="E365" s="27">
        <f t="shared" si="368"/>
        <v>4071.7572607779039</v>
      </c>
      <c r="F365" s="27">
        <f t="shared" si="368"/>
        <v>3746.6693843059847</v>
      </c>
      <c r="G365" s="27">
        <f t="shared" si="368"/>
        <v>3404.2164154729508</v>
      </c>
      <c r="H365" s="27">
        <f t="shared" si="368"/>
        <v>3057.0145623233448</v>
      </c>
      <c r="I365" s="27">
        <f t="shared" si="368"/>
        <v>2562.2475666937253</v>
      </c>
      <c r="J365" s="27">
        <f t="shared" si="368"/>
        <v>2029.6726976398313</v>
      </c>
      <c r="K365" s="27">
        <f t="shared" si="368"/>
        <v>1442.1444265098808</v>
      </c>
      <c r="L365" s="27">
        <f t="shared" si="368"/>
        <v>870.98176741095051</v>
      </c>
      <c r="M365" s="27">
        <f t="shared" si="368"/>
        <v>512.21930321478601</v>
      </c>
      <c r="N365" s="27">
        <f t="shared" si="368"/>
        <v>279.32775495546281</v>
      </c>
      <c r="O365" s="27">
        <f t="shared" si="368"/>
        <v>173.05357904749263</v>
      </c>
      <c r="P365" s="27">
        <f t="shared" si="368"/>
        <v>142.21892541950976</v>
      </c>
      <c r="Q365" s="27">
        <f t="shared" si="368"/>
        <v>122.88900268739194</v>
      </c>
      <c r="R365" s="27">
        <f t="shared" si="368"/>
        <v>79.50342906687797</v>
      </c>
      <c r="S365" s="27">
        <f t="shared" si="368"/>
        <v>77.972134725678558</v>
      </c>
      <c r="T365" s="27">
        <f t="shared" si="368"/>
        <v>77.972134725678558</v>
      </c>
      <c r="U365" s="27">
        <f t="shared" si="368"/>
        <v>77.972134725678558</v>
      </c>
      <c r="V365" s="27">
        <f t="shared" si="368"/>
        <v>77.972134725678558</v>
      </c>
      <c r="W365" s="27">
        <f t="shared" si="368"/>
        <v>77.972134725678558</v>
      </c>
      <c r="X365" s="27">
        <f t="shared" si="368"/>
        <v>77.972134725678558</v>
      </c>
      <c r="Y365" s="27">
        <f t="shared" si="368"/>
        <v>77.972134725678558</v>
      </c>
      <c r="Z365" s="27">
        <f t="shared" si="368"/>
        <v>77.972134725678558</v>
      </c>
      <c r="AA365" s="27">
        <f t="shared" si="368"/>
        <v>77.972134725678558</v>
      </c>
      <c r="AB365" s="27">
        <f t="shared" si="368"/>
        <v>77.972134725678558</v>
      </c>
      <c r="AC365" s="27">
        <f t="shared" si="368"/>
        <v>77.972134725678558</v>
      </c>
      <c r="AD365" s="27">
        <f t="shared" si="368"/>
        <v>77.972134725678558</v>
      </c>
      <c r="AE365" s="27">
        <f t="shared" si="368"/>
        <v>77.972134725678558</v>
      </c>
      <c r="AF365" s="27">
        <f t="shared" si="368"/>
        <v>77.972134725678558</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0</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0</v>
      </c>
      <c r="C370" s="3">
        <f t="shared" si="373"/>
        <v>0</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0</v>
      </c>
      <c r="C371" s="3">
        <f t="shared" si="374"/>
        <v>0</v>
      </c>
      <c r="D371" s="3">
        <f t="shared" si="374"/>
        <v>0</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0</v>
      </c>
      <c r="C372" s="3">
        <f t="shared" si="375"/>
        <v>0</v>
      </c>
      <c r="D372" s="3">
        <f t="shared" si="375"/>
        <v>0</v>
      </c>
      <c r="E372" s="3">
        <f t="shared" si="375"/>
        <v>0</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0</v>
      </c>
      <c r="C373" s="3">
        <f t="shared" si="376"/>
        <v>0</v>
      </c>
      <c r="D373" s="3">
        <f t="shared" si="376"/>
        <v>0</v>
      </c>
      <c r="E373" s="3">
        <f t="shared" si="376"/>
        <v>0</v>
      </c>
      <c r="F373" s="3">
        <f t="shared" si="376"/>
        <v>0</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0</v>
      </c>
      <c r="C374" s="3">
        <f t="shared" si="377"/>
        <v>0</v>
      </c>
      <c r="D374" s="3">
        <f t="shared" si="377"/>
        <v>0</v>
      </c>
      <c r="E374" s="3">
        <f t="shared" si="377"/>
        <v>0</v>
      </c>
      <c r="F374" s="3">
        <f t="shared" si="377"/>
        <v>0</v>
      </c>
      <c r="G374" s="3">
        <f t="shared" si="377"/>
        <v>0</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0</v>
      </c>
      <c r="C375" s="3">
        <f t="shared" si="378"/>
        <v>0</v>
      </c>
      <c r="D375" s="3">
        <f t="shared" si="378"/>
        <v>0</v>
      </c>
      <c r="E375" s="3">
        <f t="shared" si="378"/>
        <v>0</v>
      </c>
      <c r="F375" s="3">
        <f t="shared" si="378"/>
        <v>0</v>
      </c>
      <c r="G375" s="3">
        <f t="shared" si="378"/>
        <v>0</v>
      </c>
      <c r="H375" s="3">
        <f t="shared" si="378"/>
        <v>0</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0</v>
      </c>
      <c r="C376" s="3">
        <f t="shared" si="379"/>
        <v>0</v>
      </c>
      <c r="D376" s="3">
        <f t="shared" si="379"/>
        <v>0</v>
      </c>
      <c r="E376" s="3">
        <f t="shared" si="379"/>
        <v>0</v>
      </c>
      <c r="F376" s="3">
        <f t="shared" si="379"/>
        <v>0</v>
      </c>
      <c r="G376" s="3">
        <f t="shared" si="379"/>
        <v>0</v>
      </c>
      <c r="H376" s="3">
        <f t="shared" si="379"/>
        <v>0</v>
      </c>
      <c r="I376" s="3">
        <f t="shared" si="379"/>
        <v>0</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0</v>
      </c>
      <c r="C377" s="3">
        <f t="shared" si="380"/>
        <v>0</v>
      </c>
      <c r="D377" s="3">
        <f t="shared" si="380"/>
        <v>0</v>
      </c>
      <c r="E377" s="3">
        <f t="shared" si="380"/>
        <v>0</v>
      </c>
      <c r="F377" s="3">
        <f t="shared" si="380"/>
        <v>0</v>
      </c>
      <c r="G377" s="3">
        <f t="shared" si="380"/>
        <v>0</v>
      </c>
      <c r="H377" s="3">
        <f t="shared" si="380"/>
        <v>0</v>
      </c>
      <c r="I377" s="3">
        <f t="shared" si="380"/>
        <v>0</v>
      </c>
      <c r="J377" s="3">
        <f t="shared" si="380"/>
        <v>0</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1.2337117791089249E-136</v>
      </c>
      <c r="C378" s="3">
        <f t="shared" si="381"/>
        <v>0</v>
      </c>
      <c r="D378" s="3">
        <f t="shared" si="381"/>
        <v>0</v>
      </c>
      <c r="E378" s="3">
        <f t="shared" si="381"/>
        <v>0</v>
      </c>
      <c r="F378" s="3">
        <f t="shared" si="381"/>
        <v>0</v>
      </c>
      <c r="G378" s="3">
        <f t="shared" si="381"/>
        <v>0</v>
      </c>
      <c r="H378" s="3">
        <f t="shared" si="381"/>
        <v>0</v>
      </c>
      <c r="I378" s="3">
        <f t="shared" si="381"/>
        <v>0</v>
      </c>
      <c r="J378" s="3">
        <f t="shared" si="381"/>
        <v>0</v>
      </c>
      <c r="K378" s="3">
        <f t="shared" si="381"/>
        <v>0</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2.4070593522408619E-14</v>
      </c>
      <c r="C379" s="3">
        <f t="shared" si="382"/>
        <v>1.7723392650576598E-123</v>
      </c>
      <c r="D379" s="3">
        <f t="shared" si="382"/>
        <v>0</v>
      </c>
      <c r="E379" s="3">
        <f t="shared" si="382"/>
        <v>0</v>
      </c>
      <c r="F379" s="3">
        <f t="shared" si="382"/>
        <v>0</v>
      </c>
      <c r="G379" s="3">
        <f t="shared" si="382"/>
        <v>0</v>
      </c>
      <c r="H379" s="3">
        <f t="shared" si="382"/>
        <v>0</v>
      </c>
      <c r="I379" s="3">
        <f t="shared" si="382"/>
        <v>0</v>
      </c>
      <c r="J379" s="3">
        <f t="shared" si="382"/>
        <v>0</v>
      </c>
      <c r="K379" s="3">
        <f t="shared" si="382"/>
        <v>0</v>
      </c>
      <c r="L379" s="3">
        <f t="shared" si="382"/>
        <v>0</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2.7311879039514462E-3</v>
      </c>
      <c r="C380" s="3">
        <f t="shared" si="383"/>
        <v>3.9052828943344146E-13</v>
      </c>
      <c r="D380" s="3">
        <f t="shared" si="383"/>
        <v>1.3952810223887099E-111</v>
      </c>
      <c r="E380" s="3">
        <f t="shared" si="383"/>
        <v>0</v>
      </c>
      <c r="F380" s="3">
        <f t="shared" si="383"/>
        <v>0</v>
      </c>
      <c r="G380" s="3">
        <f t="shared" si="383"/>
        <v>0</v>
      </c>
      <c r="H380" s="3">
        <f t="shared" si="383"/>
        <v>0</v>
      </c>
      <c r="I380" s="3">
        <f t="shared" si="383"/>
        <v>0</v>
      </c>
      <c r="J380" s="3">
        <f t="shared" si="383"/>
        <v>0</v>
      </c>
      <c r="K380" s="3">
        <f t="shared" si="383"/>
        <v>0</v>
      </c>
      <c r="L380" s="3">
        <f t="shared" si="383"/>
        <v>0</v>
      </c>
      <c r="M380" s="3">
        <f t="shared" si="383"/>
        <v>0</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3.6837943879580018E-2</v>
      </c>
      <c r="C381" s="3">
        <f t="shared" si="384"/>
        <v>4.7667417632956104E-3</v>
      </c>
      <c r="D381" s="3">
        <f t="shared" si="384"/>
        <v>6.2731266178958748E-12</v>
      </c>
      <c r="E381" s="3">
        <f t="shared" si="384"/>
        <v>9.7748103616322278E-101</v>
      </c>
      <c r="F381" s="3">
        <f t="shared" si="384"/>
        <v>0</v>
      </c>
      <c r="G381" s="3">
        <f t="shared" si="384"/>
        <v>0</v>
      </c>
      <c r="H381" s="3">
        <f t="shared" si="384"/>
        <v>0</v>
      </c>
      <c r="I381" s="3">
        <f t="shared" si="384"/>
        <v>0</v>
      </c>
      <c r="J381" s="3">
        <f t="shared" si="384"/>
        <v>0</v>
      </c>
      <c r="K381" s="3">
        <f t="shared" si="384"/>
        <v>0</v>
      </c>
      <c r="L381" s="3">
        <f t="shared" si="384"/>
        <v>0</v>
      </c>
      <c r="M381" s="3">
        <f t="shared" si="384"/>
        <v>0</v>
      </c>
      <c r="N381" s="3">
        <f t="shared" si="384"/>
        <v>0</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5.5521683363066107E-2</v>
      </c>
      <c r="C382" s="3">
        <f t="shared" si="385"/>
        <v>4.616905485998099E-2</v>
      </c>
      <c r="D382" s="3">
        <f t="shared" si="385"/>
        <v>7.2985161696080313E-3</v>
      </c>
      <c r="E382" s="3">
        <f t="shared" si="385"/>
        <v>7.1132894154603088E-11</v>
      </c>
      <c r="F382" s="3">
        <f t="shared" si="385"/>
        <v>5.5008464712136805E-91</v>
      </c>
      <c r="G382" s="3">
        <f t="shared" si="385"/>
        <v>0</v>
      </c>
      <c r="H382" s="3">
        <f t="shared" si="385"/>
        <v>0</v>
      </c>
      <c r="I382" s="3">
        <f t="shared" si="385"/>
        <v>0</v>
      </c>
      <c r="J382" s="3">
        <f t="shared" si="385"/>
        <v>0</v>
      </c>
      <c r="K382" s="3">
        <f t="shared" si="385"/>
        <v>0</v>
      </c>
      <c r="L382" s="3">
        <f t="shared" si="385"/>
        <v>0</v>
      </c>
      <c r="M382" s="3">
        <f t="shared" si="385"/>
        <v>0</v>
      </c>
      <c r="N382" s="3">
        <f t="shared" si="385"/>
        <v>0</v>
      </c>
      <c r="O382" s="3">
        <f t="shared" si="385"/>
        <v>0</v>
      </c>
      <c r="P382" s="3">
        <f t="shared" si="385"/>
        <v>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5.8597296131417773E-2</v>
      </c>
      <c r="C383" s="3">
        <f t="shared" si="386"/>
        <v>5.7630294679119766E-2</v>
      </c>
      <c r="D383" s="3">
        <f t="shared" si="386"/>
        <v>4.8795916050066876E-2</v>
      </c>
      <c r="E383" s="3">
        <f t="shared" si="386"/>
        <v>9.2408054627766394E-3</v>
      </c>
      <c r="F383" s="3">
        <f t="shared" si="386"/>
        <v>5.4824332000912976E-10</v>
      </c>
      <c r="G383" s="3">
        <f t="shared" si="386"/>
        <v>2.9621603254461042E-82</v>
      </c>
      <c r="H383" s="3">
        <f t="shared" si="386"/>
        <v>0</v>
      </c>
      <c r="I383" s="3">
        <f t="shared" si="386"/>
        <v>0</v>
      </c>
      <c r="J383" s="3">
        <f t="shared" si="386"/>
        <v>0</v>
      </c>
      <c r="K383" s="3">
        <f t="shared" si="386"/>
        <v>0</v>
      </c>
      <c r="L383" s="3">
        <f t="shared" si="386"/>
        <v>0</v>
      </c>
      <c r="M383" s="3">
        <f t="shared" si="386"/>
        <v>0</v>
      </c>
      <c r="N383" s="3">
        <f t="shared" si="386"/>
        <v>0</v>
      </c>
      <c r="O383" s="3">
        <f t="shared" si="386"/>
        <v>0</v>
      </c>
      <c r="P383" s="3">
        <f t="shared" si="386"/>
        <v>0</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5.6192983028779564E-2</v>
      </c>
      <c r="C384" s="3">
        <f t="shared" si="387"/>
        <v>5.6108696014398773E-2</v>
      </c>
      <c r="D384" s="3">
        <f t="shared" si="387"/>
        <v>5.5272748150261945E-2</v>
      </c>
      <c r="E384" s="3">
        <f t="shared" si="387"/>
        <v>4.7568546685062114E-2</v>
      </c>
      <c r="F384" s="3">
        <f t="shared" si="387"/>
        <v>1.0602496359405853E-2</v>
      </c>
      <c r="G384" s="3">
        <f t="shared" si="387"/>
        <v>3.2084156167311595E-9</v>
      </c>
      <c r="H384" s="3">
        <f t="shared" si="387"/>
        <v>2.0659295955817299E-74</v>
      </c>
      <c r="I384" s="3">
        <f t="shared" si="387"/>
        <v>0</v>
      </c>
      <c r="J384" s="3">
        <f t="shared" si="387"/>
        <v>0</v>
      </c>
      <c r="K384" s="3">
        <f t="shared" si="387"/>
        <v>0</v>
      </c>
      <c r="L384" s="3">
        <f t="shared" si="387"/>
        <v>0</v>
      </c>
      <c r="M384" s="3">
        <f t="shared" si="387"/>
        <v>0</v>
      </c>
      <c r="N384" s="3">
        <f t="shared" si="387"/>
        <v>0</v>
      </c>
      <c r="O384" s="3">
        <f t="shared" si="387"/>
        <v>0</v>
      </c>
      <c r="P384" s="3">
        <f t="shared" si="387"/>
        <v>0</v>
      </c>
      <c r="Q384" s="3">
        <f t="shared" si="387"/>
        <v>0</v>
      </c>
      <c r="R384" s="3">
        <f t="shared" si="387"/>
        <v>0</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6.3414342072277752E-2</v>
      </c>
      <c r="C385" s="3">
        <f t="shared" si="388"/>
        <v>6.340575571063034E-2</v>
      </c>
      <c r="D385" s="3">
        <f t="shared" si="388"/>
        <v>6.3319956011269343E-2</v>
      </c>
      <c r="E385" s="3">
        <f t="shared" si="388"/>
        <v>6.2468318821053019E-2</v>
      </c>
      <c r="F385" s="3">
        <f t="shared" si="388"/>
        <v>5.4557185124635164E-2</v>
      </c>
      <c r="G385" s="3">
        <f t="shared" si="388"/>
        <v>1.4085534171060078E-2</v>
      </c>
      <c r="H385" s="3">
        <f t="shared" si="388"/>
        <v>1.8534760935648588E-8</v>
      </c>
      <c r="I385" s="3">
        <f t="shared" si="388"/>
        <v>2.8848528212732625E-67</v>
      </c>
      <c r="J385" s="3">
        <f t="shared" si="388"/>
        <v>0</v>
      </c>
      <c r="K385" s="3">
        <f t="shared" si="388"/>
        <v>0</v>
      </c>
      <c r="L385" s="3">
        <f t="shared" si="388"/>
        <v>0</v>
      </c>
      <c r="M385" s="3">
        <f t="shared" si="388"/>
        <v>0</v>
      </c>
      <c r="N385" s="3">
        <f t="shared" si="388"/>
        <v>0</v>
      </c>
      <c r="O385" s="3">
        <f t="shared" si="388"/>
        <v>0</v>
      </c>
      <c r="P385" s="3">
        <f t="shared" si="388"/>
        <v>0</v>
      </c>
      <c r="Q385" s="3">
        <f t="shared" si="388"/>
        <v>0</v>
      </c>
      <c r="R385" s="3">
        <f t="shared" si="388"/>
        <v>0</v>
      </c>
      <c r="S385" s="3">
        <f t="shared" si="388"/>
        <v>0</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3.5348821989095336E-2</v>
      </c>
      <c r="C386" s="3">
        <f t="shared" si="389"/>
        <v>3.5348390201687459E-2</v>
      </c>
      <c r="D386" s="3">
        <f t="shared" si="389"/>
        <v>3.5344072617684734E-2</v>
      </c>
      <c r="E386" s="3">
        <f t="shared" si="389"/>
        <v>3.5300925772149917E-2</v>
      </c>
      <c r="F386" s="3">
        <f t="shared" si="389"/>
        <v>3.4872343704427072E-2</v>
      </c>
      <c r="G386" s="3">
        <f t="shared" si="389"/>
        <v>3.0862531869544158E-2</v>
      </c>
      <c r="H386" s="3">
        <f t="shared" si="389"/>
        <v>9.0977856587990576E-3</v>
      </c>
      <c r="I386" s="3">
        <f t="shared" si="389"/>
        <v>4.507930318770578E-8</v>
      </c>
      <c r="J386" s="3">
        <f t="shared" si="389"/>
        <v>4.0215375670028477E-61</v>
      </c>
      <c r="K386" s="3">
        <f t="shared" si="389"/>
        <v>0</v>
      </c>
      <c r="L386" s="3">
        <f t="shared" si="389"/>
        <v>0</v>
      </c>
      <c r="M386" s="3">
        <f t="shared" si="389"/>
        <v>0</v>
      </c>
      <c r="N386" s="3">
        <f t="shared" si="389"/>
        <v>0</v>
      </c>
      <c r="O386" s="3">
        <f t="shared" si="389"/>
        <v>0</v>
      </c>
      <c r="P386" s="3">
        <f t="shared" si="389"/>
        <v>0</v>
      </c>
      <c r="Q386" s="3">
        <f t="shared" si="389"/>
        <v>0</v>
      </c>
      <c r="R386" s="3">
        <f t="shared" si="389"/>
        <v>0</v>
      </c>
      <c r="S386" s="3">
        <f t="shared" si="389"/>
        <v>0</v>
      </c>
      <c r="T386" s="3">
        <f t="shared" si="389"/>
        <v>0</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7.0460430351282743E-2</v>
      </c>
      <c r="C387" s="3">
        <f t="shared" si="390"/>
        <v>7.0460192308455585E-2</v>
      </c>
      <c r="D387" s="3">
        <f t="shared" si="390"/>
        <v>7.0457811924414609E-2</v>
      </c>
      <c r="E387" s="3">
        <f t="shared" si="390"/>
        <v>7.043401250651582E-2</v>
      </c>
      <c r="F387" s="3">
        <f t="shared" si="390"/>
        <v>7.0196460026298424E-2</v>
      </c>
      <c r="G387" s="3">
        <f t="shared" si="390"/>
        <v>6.7864557928755204E-2</v>
      </c>
      <c r="H387" s="3">
        <f t="shared" si="390"/>
        <v>4.8408447489121632E-2</v>
      </c>
      <c r="I387" s="3">
        <f t="shared" si="390"/>
        <v>1.6508303930451193E-3</v>
      </c>
      <c r="J387" s="3">
        <f t="shared" si="390"/>
        <v>3.5116843321582909E-18</v>
      </c>
      <c r="K387" s="3">
        <f t="shared" si="390"/>
        <v>6.6626286757304946E-165</v>
      </c>
      <c r="L387" s="3">
        <f t="shared" si="390"/>
        <v>0</v>
      </c>
      <c r="M387" s="3">
        <f t="shared" si="390"/>
        <v>0</v>
      </c>
      <c r="N387" s="3">
        <f t="shared" si="390"/>
        <v>0</v>
      </c>
      <c r="O387" s="3">
        <f t="shared" si="390"/>
        <v>0</v>
      </c>
      <c r="P387" s="3">
        <f t="shared" si="390"/>
        <v>0</v>
      </c>
      <c r="Q387" s="3">
        <f t="shared" si="390"/>
        <v>0</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8.6875444148217462E-2</v>
      </c>
      <c r="C388" s="3">
        <f t="shared" si="391"/>
        <v>8.6875414798257958E-2</v>
      </c>
      <c r="D388" s="3">
        <f t="shared" si="391"/>
        <v>8.6875121299208269E-2</v>
      </c>
      <c r="E388" s="3">
        <f t="shared" si="391"/>
        <v>8.6872186363246229E-2</v>
      </c>
      <c r="F388" s="3">
        <f t="shared" si="391"/>
        <v>8.6842842456437724E-2</v>
      </c>
      <c r="G388" s="3">
        <f t="shared" si="391"/>
        <v>8.6549947988544873E-2</v>
      </c>
      <c r="H388" s="3">
        <f t="shared" si="391"/>
        <v>8.3674788683059498E-2</v>
      </c>
      <c r="I388" s="3">
        <f t="shared" si="391"/>
        <v>5.9686038452936706E-2</v>
      </c>
      <c r="J388" s="3">
        <f t="shared" si="391"/>
        <v>2.0354200853210528E-3</v>
      </c>
      <c r="K388" s="3">
        <f t="shared" si="391"/>
        <v>4.3297923597090402E-18</v>
      </c>
      <c r="L388" s="3">
        <f t="shared" si="391"/>
        <v>8.2148040675468909E-165</v>
      </c>
      <c r="M388" s="3">
        <f t="shared" si="391"/>
        <v>0</v>
      </c>
      <c r="N388" s="3">
        <f t="shared" si="391"/>
        <v>0</v>
      </c>
      <c r="O388" s="3">
        <f t="shared" si="391"/>
        <v>0</v>
      </c>
      <c r="P388" s="3">
        <f t="shared" si="391"/>
        <v>0</v>
      </c>
      <c r="Q388" s="3">
        <f t="shared" si="391"/>
        <v>0</v>
      </c>
      <c r="R388" s="3">
        <f t="shared" si="391"/>
        <v>0</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9.6215979638002755E-2</v>
      </c>
      <c r="C389" s="3">
        <f t="shared" si="392"/>
        <v>9.6215976387446084E-2</v>
      </c>
      <c r="D389" s="3">
        <f t="shared" si="392"/>
        <v>9.6215943881885535E-2</v>
      </c>
      <c r="E389" s="3">
        <f t="shared" si="392"/>
        <v>9.6215618826883953E-2</v>
      </c>
      <c r="F389" s="3">
        <f t="shared" si="392"/>
        <v>9.6212368337266416E-2</v>
      </c>
      <c r="G389" s="3">
        <f t="shared" si="392"/>
        <v>9.617986948016953E-2</v>
      </c>
      <c r="H389" s="3">
        <f t="shared" si="392"/>
        <v>9.5855484062827498E-2</v>
      </c>
      <c r="I389" s="3">
        <f t="shared" si="392"/>
        <v>9.2671198070864574E-2</v>
      </c>
      <c r="J389" s="3">
        <f t="shared" si="392"/>
        <v>6.6103264538714748E-2</v>
      </c>
      <c r="K389" s="3">
        <f t="shared" si="392"/>
        <v>2.2542610606244851E-3</v>
      </c>
      <c r="L389" s="3">
        <f t="shared" si="392"/>
        <v>4.7953159092177646E-18</v>
      </c>
      <c r="M389" s="3">
        <f t="shared" si="392"/>
        <v>9.0980299662364992E-165</v>
      </c>
      <c r="N389" s="3">
        <f t="shared" si="392"/>
        <v>0</v>
      </c>
      <c r="O389" s="3">
        <f t="shared" si="392"/>
        <v>0</v>
      </c>
      <c r="P389" s="3">
        <f t="shared" si="392"/>
        <v>0</v>
      </c>
      <c r="Q389" s="3">
        <f t="shared" si="392"/>
        <v>0</v>
      </c>
      <c r="R389" s="3">
        <f t="shared" si="392"/>
        <v>0</v>
      </c>
      <c r="S389" s="3">
        <f t="shared" si="392"/>
        <v>0</v>
      </c>
      <c r="T389" s="3">
        <f t="shared" si="392"/>
        <v>0</v>
      </c>
      <c r="U389" s="3">
        <f t="shared" si="392"/>
        <v>0</v>
      </c>
      <c r="V389" s="3">
        <f t="shared" si="392"/>
        <v>0</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0.11161416830424663</v>
      </c>
      <c r="C390" s="3">
        <f t="shared" si="393"/>
        <v>0.11161416792716979</v>
      </c>
      <c r="D390" s="3">
        <f t="shared" si="393"/>
        <v>0.11161416415640137</v>
      </c>
      <c r="E390" s="3">
        <f t="shared" si="393"/>
        <v>0.11161412644872425</v>
      </c>
      <c r="F390" s="3">
        <f t="shared" si="393"/>
        <v>0.11161374937265363</v>
      </c>
      <c r="G390" s="3">
        <f t="shared" si="393"/>
        <v>0.11160997868201178</v>
      </c>
      <c r="H390" s="3">
        <f t="shared" si="393"/>
        <v>0.11157227878115226</v>
      </c>
      <c r="I390" s="3">
        <f t="shared" si="393"/>
        <v>0.11119597945352959</v>
      </c>
      <c r="J390" s="3">
        <f t="shared" si="393"/>
        <v>0.10750208751611687</v>
      </c>
      <c r="K390" s="3">
        <f t="shared" si="393"/>
        <v>7.6682281846705821E-2</v>
      </c>
      <c r="L390" s="3">
        <f t="shared" si="393"/>
        <v>2.6150279144779684E-3</v>
      </c>
      <c r="M390" s="3">
        <f t="shared" si="393"/>
        <v>5.5627474476585231E-18</v>
      </c>
      <c r="N390" s="3">
        <f t="shared" si="393"/>
        <v>1.055405815414948E-164</v>
      </c>
      <c r="O390" s="3">
        <f t="shared" si="393"/>
        <v>0</v>
      </c>
      <c r="P390" s="3">
        <f t="shared" si="393"/>
        <v>0</v>
      </c>
      <c r="Q390" s="3">
        <f t="shared" si="393"/>
        <v>0</v>
      </c>
      <c r="R390" s="3">
        <f t="shared" si="393"/>
        <v>0</v>
      </c>
      <c r="S390" s="3">
        <f t="shared" si="393"/>
        <v>0</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6.6462351019903124E-2</v>
      </c>
      <c r="C391" s="3">
        <f t="shared" si="394"/>
        <v>6.6462350997449515E-2</v>
      </c>
      <c r="D391" s="3">
        <f t="shared" si="394"/>
        <v>6.6462350772913389E-2</v>
      </c>
      <c r="E391" s="3">
        <f t="shared" si="394"/>
        <v>6.6462348527552076E-2</v>
      </c>
      <c r="F391" s="3">
        <f t="shared" si="394"/>
        <v>6.646232607394327E-2</v>
      </c>
      <c r="G391" s="3">
        <f t="shared" si="394"/>
        <v>6.6462101538272408E-2</v>
      </c>
      <c r="H391" s="3">
        <f t="shared" si="394"/>
        <v>6.6459856223284638E-2</v>
      </c>
      <c r="I391" s="3">
        <f t="shared" si="394"/>
        <v>6.6437407244973351E-2</v>
      </c>
      <c r="J391" s="3">
        <f t="shared" si="394"/>
        <v>6.621333409751784E-2</v>
      </c>
      <c r="K391" s="3">
        <f t="shared" si="394"/>
        <v>6.4013750064227756E-2</v>
      </c>
      <c r="L391" s="3">
        <f t="shared" si="394"/>
        <v>4.5661628884683503E-2</v>
      </c>
      <c r="M391" s="3">
        <f t="shared" si="394"/>
        <v>1.5571580719609273E-3</v>
      </c>
      <c r="N391" s="3">
        <f t="shared" si="394"/>
        <v>3.3124224190664919E-18</v>
      </c>
      <c r="O391" s="3">
        <f t="shared" si="394"/>
        <v>6.2845741552857021E-165</v>
      </c>
      <c r="P391" s="3">
        <f t="shared" si="394"/>
        <v>0</v>
      </c>
      <c r="Q391" s="3">
        <f t="shared" si="394"/>
        <v>0</v>
      </c>
      <c r="R391" s="3">
        <f t="shared" si="394"/>
        <v>0</v>
      </c>
      <c r="S391" s="3">
        <f t="shared" si="394"/>
        <v>0</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4.710090660157891E-2</v>
      </c>
      <c r="C392" s="3">
        <f t="shared" si="395"/>
        <v>4.7100906599987648E-2</v>
      </c>
      <c r="D392" s="3">
        <f t="shared" si="395"/>
        <v>4.7100906584075106E-2</v>
      </c>
      <c r="E392" s="3">
        <f t="shared" si="395"/>
        <v>4.7100906424949594E-2</v>
      </c>
      <c r="F392" s="3">
        <f t="shared" si="395"/>
        <v>4.7100904833694522E-2</v>
      </c>
      <c r="G392" s="3">
        <f t="shared" si="395"/>
        <v>4.7100888921146819E-2</v>
      </c>
      <c r="H392" s="3">
        <f t="shared" si="395"/>
        <v>4.7100729795965426E-2</v>
      </c>
      <c r="I392" s="3">
        <f t="shared" si="395"/>
        <v>4.7099138573718495E-2</v>
      </c>
      <c r="J392" s="3">
        <f t="shared" si="395"/>
        <v>4.7083229307577898E-2</v>
      </c>
      <c r="K392" s="3">
        <f t="shared" si="395"/>
        <v>4.6924431909834523E-2</v>
      </c>
      <c r="L392" s="3">
        <f t="shared" si="395"/>
        <v>4.5365618528709996E-2</v>
      </c>
      <c r="M392" s="3">
        <f t="shared" si="395"/>
        <v>3.235973576463938E-2</v>
      </c>
      <c r="N392" s="3">
        <f t="shared" si="395"/>
        <v>1.1035353968577592E-3</v>
      </c>
      <c r="O392" s="3">
        <f t="shared" si="395"/>
        <v>2.3474658447371817E-18</v>
      </c>
      <c r="P392" s="3">
        <f t="shared" si="395"/>
        <v>4.4537867795282153E-165</v>
      </c>
      <c r="Q392" s="3">
        <f t="shared" si="395"/>
        <v>0</v>
      </c>
      <c r="R392" s="3">
        <f t="shared" si="395"/>
        <v>0</v>
      </c>
      <c r="S392" s="3">
        <f t="shared" si="395"/>
        <v>0</v>
      </c>
      <c r="T392" s="3">
        <f t="shared" si="395"/>
        <v>0</v>
      </c>
      <c r="U392" s="3">
        <f t="shared" si="395"/>
        <v>0</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2.2598128773550753E-2</v>
      </c>
      <c r="C393" s="3">
        <f t="shared" si="396"/>
        <v>2.2598128773474408E-2</v>
      </c>
      <c r="D393" s="3">
        <f t="shared" si="396"/>
        <v>2.2598128772710953E-2</v>
      </c>
      <c r="E393" s="3">
        <f t="shared" si="396"/>
        <v>2.2598128765076411E-2</v>
      </c>
      <c r="F393" s="3">
        <f t="shared" si="396"/>
        <v>2.2598128688730987E-2</v>
      </c>
      <c r="G393" s="3">
        <f t="shared" si="396"/>
        <v>2.2598127925276743E-2</v>
      </c>
      <c r="H393" s="3">
        <f t="shared" si="396"/>
        <v>2.2598120290735754E-2</v>
      </c>
      <c r="I393" s="3">
        <f t="shared" si="396"/>
        <v>2.2598043945467695E-2</v>
      </c>
      <c r="J393" s="3">
        <f t="shared" si="396"/>
        <v>2.2597280506972815E-2</v>
      </c>
      <c r="K393" s="3">
        <f t="shared" si="396"/>
        <v>2.2589647540414919E-2</v>
      </c>
      <c r="L393" s="3">
        <f t="shared" si="396"/>
        <v>2.2513459536785765E-2</v>
      </c>
      <c r="M393" s="3">
        <f t="shared" si="396"/>
        <v>2.1765570205940353E-2</v>
      </c>
      <c r="N393" s="3">
        <f t="shared" si="396"/>
        <v>1.5525592364296712E-2</v>
      </c>
      <c r="O393" s="3">
        <f t="shared" si="396"/>
        <v>5.2945552015007001E-4</v>
      </c>
      <c r="P393" s="3">
        <f t="shared" si="396"/>
        <v>1.1262699442164333E-18</v>
      </c>
      <c r="Q393" s="3">
        <f t="shared" si="396"/>
        <v>2.1368430978354588E-165</v>
      </c>
      <c r="R393" s="3">
        <f t="shared" si="396"/>
        <v>0</v>
      </c>
      <c r="S393" s="3">
        <f t="shared" si="396"/>
        <v>0</v>
      </c>
      <c r="T393" s="3">
        <f t="shared" si="396"/>
        <v>0</v>
      </c>
      <c r="U393" s="3">
        <f t="shared" si="396"/>
        <v>0</v>
      </c>
      <c r="V393" s="3">
        <f t="shared" si="396"/>
        <v>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6.4467605952008089E-3</v>
      </c>
      <c r="C394" s="3">
        <f t="shared" si="397"/>
        <v>6.446760595198631E-3</v>
      </c>
      <c r="D394" s="3">
        <f t="shared" si="397"/>
        <v>6.4467605951768515E-3</v>
      </c>
      <c r="E394" s="3">
        <f t="shared" si="397"/>
        <v>6.4467605949590544E-3</v>
      </c>
      <c r="F394" s="3">
        <f t="shared" si="397"/>
        <v>6.4467605927810831E-3</v>
      </c>
      <c r="G394" s="3">
        <f t="shared" si="397"/>
        <v>6.446760571001374E-3</v>
      </c>
      <c r="H394" s="3">
        <f t="shared" si="397"/>
        <v>6.446760353204282E-3</v>
      </c>
      <c r="I394" s="3">
        <f t="shared" si="397"/>
        <v>6.4467581752337732E-3</v>
      </c>
      <c r="J394" s="3">
        <f t="shared" si="397"/>
        <v>6.4467363955691527E-3</v>
      </c>
      <c r="K394" s="3">
        <f t="shared" si="397"/>
        <v>6.4465186029698199E-3</v>
      </c>
      <c r="L394" s="3">
        <f t="shared" si="397"/>
        <v>6.4443410816129396E-3</v>
      </c>
      <c r="M394" s="3">
        <f t="shared" si="397"/>
        <v>6.4226062811546759E-3</v>
      </c>
      <c r="N394" s="3">
        <f t="shared" si="397"/>
        <v>6.2092495242312088E-3</v>
      </c>
      <c r="O394" s="3">
        <f t="shared" si="397"/>
        <v>4.4291179183124059E-3</v>
      </c>
      <c r="P394" s="3">
        <f t="shared" si="397"/>
        <v>1.5104228400578107E-4</v>
      </c>
      <c r="Q394" s="3">
        <f t="shared" si="397"/>
        <v>3.2130061602397904E-19</v>
      </c>
      <c r="R394" s="3">
        <f t="shared" si="397"/>
        <v>6.0959542355432313E-166</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9.8307104636690418E-5</v>
      </c>
      <c r="C395" s="3">
        <f t="shared" si="398"/>
        <v>9.8307104636687098E-5</v>
      </c>
      <c r="D395" s="3">
        <f t="shared" si="398"/>
        <v>9.830710463665388E-5</v>
      </c>
      <c r="E395" s="3">
        <f t="shared" si="398"/>
        <v>9.8307104636321762E-5</v>
      </c>
      <c r="F395" s="3">
        <f t="shared" si="398"/>
        <v>9.8307104633000553E-5</v>
      </c>
      <c r="G395" s="3">
        <f t="shared" si="398"/>
        <v>9.8307104599788526E-5</v>
      </c>
      <c r="H395" s="3">
        <f t="shared" si="398"/>
        <v>9.8307104267668209E-5</v>
      </c>
      <c r="I395" s="3">
        <f t="shared" si="398"/>
        <v>9.8307100946465074E-5</v>
      </c>
      <c r="J395" s="3">
        <f t="shared" si="398"/>
        <v>9.830706773443997E-5</v>
      </c>
      <c r="K395" s="3">
        <f t="shared" si="398"/>
        <v>9.8306735614806065E-5</v>
      </c>
      <c r="L395" s="3">
        <f t="shared" si="398"/>
        <v>9.8303414480177973E-5</v>
      </c>
      <c r="M395" s="3">
        <f t="shared" si="398"/>
        <v>9.8270209304226694E-5</v>
      </c>
      <c r="N395" s="3">
        <f t="shared" si="398"/>
        <v>9.793877380707195E-5</v>
      </c>
      <c r="O395" s="3">
        <f t="shared" si="398"/>
        <v>9.468528165111479E-5</v>
      </c>
      <c r="P395" s="3">
        <f t="shared" si="398"/>
        <v>6.7539929894077407E-5</v>
      </c>
      <c r="Q395" s="3">
        <f t="shared" si="398"/>
        <v>2.3032543862997315E-6</v>
      </c>
      <c r="R395" s="3">
        <f t="shared" si="398"/>
        <v>4.8995356369856728E-21</v>
      </c>
      <c r="S395" s="3">
        <f t="shared" si="398"/>
        <v>9.2957633844837639E-168</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1.1020901234699518E-2</v>
      </c>
      <c r="C396" s="3">
        <f t="shared" si="399"/>
        <v>1.102090123469948E-2</v>
      </c>
      <c r="D396" s="3">
        <f t="shared" si="399"/>
        <v>1.1020901234699109E-2</v>
      </c>
      <c r="E396" s="3">
        <f t="shared" si="399"/>
        <v>1.1020901234695384E-2</v>
      </c>
      <c r="F396" s="3">
        <f t="shared" si="399"/>
        <v>1.1020901234658152E-2</v>
      </c>
      <c r="G396" s="3">
        <f t="shared" si="399"/>
        <v>1.1020901234285821E-2</v>
      </c>
      <c r="H396" s="3">
        <f t="shared" si="399"/>
        <v>1.1020901230562525E-2</v>
      </c>
      <c r="I396" s="3">
        <f t="shared" si="399"/>
        <v>1.1020901193329559E-2</v>
      </c>
      <c r="J396" s="3">
        <f t="shared" si="399"/>
        <v>1.102090082099989E-2</v>
      </c>
      <c r="K396" s="3">
        <f t="shared" si="399"/>
        <v>1.1020897097703901E-2</v>
      </c>
      <c r="L396" s="3">
        <f t="shared" si="399"/>
        <v>1.1020859864813186E-2</v>
      </c>
      <c r="M396" s="3">
        <f t="shared" si="399"/>
        <v>1.1020487542824265E-2</v>
      </c>
      <c r="N396" s="3">
        <f t="shared" si="399"/>
        <v>1.1016765014671368E-2</v>
      </c>
      <c r="O396" s="3">
        <f t="shared" si="399"/>
        <v>1.0979608820382916E-2</v>
      </c>
      <c r="P396" s="3">
        <f t="shared" si="399"/>
        <v>1.0614870016903895E-2</v>
      </c>
      <c r="Q396" s="3">
        <f t="shared" si="399"/>
        <v>7.5716897523533172E-3</v>
      </c>
      <c r="R396" s="3">
        <f t="shared" si="399"/>
        <v>2.5821062682710572E-4</v>
      </c>
      <c r="S396" s="3">
        <f t="shared" si="399"/>
        <v>5.4927157656270245E-19</v>
      </c>
      <c r="T396" s="3">
        <f t="shared" si="399"/>
        <v>1.0421188838807033E-165</v>
      </c>
      <c r="U396" s="3">
        <f t="shared" si="399"/>
        <v>0</v>
      </c>
      <c r="V396" s="3">
        <f t="shared" si="399"/>
        <v>0</v>
      </c>
      <c r="W396" s="3">
        <f t="shared" si="399"/>
        <v>0</v>
      </c>
      <c r="X396" s="3">
        <f t="shared" si="399"/>
        <v>0</v>
      </c>
      <c r="Y396" s="3">
        <f t="shared" si="399"/>
        <v>0</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79">
        <f>AVERAGE(B397:AF397)</f>
        <v>0.19766148361514879</v>
      </c>
      <c r="B397" s="80">
        <f>IF($A$64&lt;=B363,IF($B$64&gt;=B363,ABS((B365-B364)/B364),0),0)</f>
        <v>2.5021701412077115E-3</v>
      </c>
      <c r="C397" s="80">
        <f t="shared" ref="C397:AF397" si="400">IF($A$64&lt;=C363,IF($B$64&gt;=C363,ABS((C365-C364)/C364),0),0)</f>
        <v>1.2418336048727198E-2</v>
      </c>
      <c r="D397" s="80">
        <f t="shared" si="400"/>
        <v>3.3796473948505472E-3</v>
      </c>
      <c r="E397" s="80">
        <f t="shared" si="400"/>
        <v>1.1315120632180266E-2</v>
      </c>
      <c r="F397" s="80">
        <f t="shared" si="400"/>
        <v>2.1706835920773972E-2</v>
      </c>
      <c r="G397" s="80">
        <f t="shared" si="400"/>
        <v>3.1091670943440574E-2</v>
      </c>
      <c r="H397" s="80">
        <f t="shared" si="400"/>
        <v>1.3202546994643854E-2</v>
      </c>
      <c r="I397" s="80">
        <f t="shared" si="400"/>
        <v>1.1180391268734897E-2</v>
      </c>
      <c r="J397" s="80">
        <f t="shared" si="400"/>
        <v>1.2127605628294024E-2</v>
      </c>
      <c r="K397" s="80">
        <f t="shared" si="400"/>
        <v>6.3787526942570213E-2</v>
      </c>
      <c r="L397" s="80">
        <f t="shared" si="400"/>
        <v>6.6135748882085704E-2</v>
      </c>
      <c r="M397" s="80">
        <f t="shared" si="400"/>
        <v>0.10541790253647661</v>
      </c>
      <c r="N397" s="80">
        <f t="shared" si="400"/>
        <v>8.6999760512066232E-2</v>
      </c>
      <c r="O397" s="80">
        <f t="shared" si="400"/>
        <v>3.3187103148704093E-2</v>
      </c>
      <c r="P397" s="80">
        <f t="shared" si="400"/>
        <v>2.9289673026032179E-3</v>
      </c>
      <c r="Q397" s="80">
        <f t="shared" si="400"/>
        <v>4.8782857103041727E-2</v>
      </c>
      <c r="R397" s="80">
        <f t="shared" si="400"/>
        <v>0.36628345502171189</v>
      </c>
      <c r="S397" s="80">
        <f t="shared" si="400"/>
        <v>0.37810113279804586</v>
      </c>
      <c r="T397" s="80">
        <f t="shared" si="400"/>
        <v>0.37752967725041675</v>
      </c>
      <c r="U397" s="80">
        <f t="shared" si="400"/>
        <v>0.37690551253971288</v>
      </c>
      <c r="V397" s="80">
        <f t="shared" si="400"/>
        <v>0.37611606472559289</v>
      </c>
      <c r="W397" s="80">
        <f t="shared" si="400"/>
        <v>0.3751993084654433</v>
      </c>
      <c r="X397" s="80">
        <f t="shared" si="400"/>
        <v>0.37422375676016006</v>
      </c>
      <c r="Y397" s="80">
        <f t="shared" si="400"/>
        <v>0.37323077939665333</v>
      </c>
      <c r="Z397" s="80">
        <f t="shared" si="400"/>
        <v>0.37320916997645792</v>
      </c>
      <c r="AA397" s="80">
        <f t="shared" si="400"/>
        <v>0.37274275848873117</v>
      </c>
      <c r="AB397" s="80">
        <f t="shared" si="400"/>
        <v>0.37211225798513692</v>
      </c>
      <c r="AC397" s="80">
        <f t="shared" si="400"/>
        <v>0.37146259415860267</v>
      </c>
      <c r="AD397" s="80">
        <f t="shared" si="400"/>
        <v>0.37142493138975491</v>
      </c>
      <c r="AE397" s="80">
        <f t="shared" si="400"/>
        <v>0.37140667699912805</v>
      </c>
      <c r="AF397" s="80">
        <f t="shared" si="400"/>
        <v>0.3713937247136625</v>
      </c>
    </row>
    <row r="398" spans="1:34" x14ac:dyDescent="0.25">
      <c r="B398" s="21">
        <f>(B365-B364)^2</f>
        <v>154.84574149922813</v>
      </c>
      <c r="C398" s="21">
        <f t="shared" ref="C398:AF398" si="401">(C365-C364)^2</f>
        <v>3348.2928676843771</v>
      </c>
      <c r="D398" s="21">
        <f t="shared" si="401"/>
        <v>219.72043777786106</v>
      </c>
      <c r="E398" s="21">
        <f t="shared" si="401"/>
        <v>2171.5325884903341</v>
      </c>
      <c r="F398" s="21">
        <f t="shared" si="401"/>
        <v>6911.0773279235245</v>
      </c>
      <c r="G398" s="21">
        <f t="shared" si="401"/>
        <v>11933.20414041259</v>
      </c>
      <c r="H398" s="21">
        <f t="shared" si="401"/>
        <v>1672.8400571920022</v>
      </c>
      <c r="I398" s="21">
        <f t="shared" si="401"/>
        <v>839.30931538507764</v>
      </c>
      <c r="J398" s="21">
        <f t="shared" si="401"/>
        <v>591.46848706376193</v>
      </c>
      <c r="K398" s="21">
        <f t="shared" si="401"/>
        <v>7477.8931203157317</v>
      </c>
      <c r="L398" s="21">
        <f t="shared" si="401"/>
        <v>2919.2122098676437</v>
      </c>
      <c r="M398" s="21">
        <f t="shared" si="401"/>
        <v>2386.0944816083424</v>
      </c>
      <c r="N398" s="21">
        <f t="shared" si="401"/>
        <v>499.81052710083901</v>
      </c>
      <c r="O398" s="21">
        <f t="shared" si="401"/>
        <v>30.898821029332669</v>
      </c>
      <c r="P398" s="21">
        <f t="shared" si="401"/>
        <v>0.17250571300303191</v>
      </c>
      <c r="Q398" s="21">
        <f t="shared" si="401"/>
        <v>39.719261679715068</v>
      </c>
      <c r="R398" s="21">
        <f t="shared" si="401"/>
        <v>2111.6222714909131</v>
      </c>
      <c r="S398" s="21">
        <f t="shared" si="401"/>
        <v>2247.2701055687735</v>
      </c>
      <c r="T398" s="21">
        <f t="shared" si="401"/>
        <v>2236.370430989326</v>
      </c>
      <c r="U398" s="21">
        <f t="shared" si="401"/>
        <v>2224.5184378274071</v>
      </c>
      <c r="V398" s="21">
        <f t="shared" si="401"/>
        <v>2209.6068632898105</v>
      </c>
      <c r="W398" s="21">
        <f t="shared" si="401"/>
        <v>2192.4005606224218</v>
      </c>
      <c r="X398" s="21">
        <f t="shared" si="401"/>
        <v>2174.2196383507562</v>
      </c>
      <c r="Y398" s="21">
        <f t="shared" si="401"/>
        <v>2155.8494557207409</v>
      </c>
      <c r="Z398" s="21">
        <f t="shared" si="401"/>
        <v>2155.4511914047307</v>
      </c>
      <c r="AA398" s="21">
        <f t="shared" si="401"/>
        <v>2146.8708102015707</v>
      </c>
      <c r="AB398" s="21">
        <f t="shared" si="401"/>
        <v>2135.3191410820527</v>
      </c>
      <c r="AC398" s="21">
        <f t="shared" si="401"/>
        <v>2123.4731123271222</v>
      </c>
      <c r="AD398" s="21">
        <f t="shared" si="401"/>
        <v>2122.7881262562901</v>
      </c>
      <c r="AE398" s="21">
        <f t="shared" si="401"/>
        <v>2122.4561964964455</v>
      </c>
      <c r="AF398" s="21">
        <f t="shared" si="401"/>
        <v>2122.2207053017164</v>
      </c>
      <c r="AG398" s="3"/>
      <c r="AH398" s="3"/>
    </row>
    <row r="399" spans="1:34" x14ac:dyDescent="0.25">
      <c r="A399" s="71">
        <f>SUM(B399:AF399)</f>
        <v>73676.528937673458</v>
      </c>
      <c r="B399" s="60">
        <f>IF($A$64&lt;=B363,IF($B$64&gt;=B363,ABS(B398),0),0)</f>
        <v>154.84574149922813</v>
      </c>
      <c r="C399" s="60">
        <f t="shared" ref="C399" si="402">IF($A$64&lt;=C363,IF($B$64&gt;=C363,ABS(C398),0),0)</f>
        <v>3348.2928676843771</v>
      </c>
      <c r="D399" s="60">
        <f t="shared" ref="D399" si="403">IF($A$64&lt;=D363,IF($B$64&gt;=D363,ABS(D398),0),0)</f>
        <v>219.72043777786106</v>
      </c>
      <c r="E399" s="60">
        <f t="shared" ref="E399" si="404">IF($A$64&lt;=E363,IF($B$64&gt;=E363,ABS(E398),0),0)</f>
        <v>2171.5325884903341</v>
      </c>
      <c r="F399" s="60">
        <f t="shared" ref="F399" si="405">IF($A$64&lt;=F363,IF($B$64&gt;=F363,ABS(F398),0),0)</f>
        <v>6911.0773279235245</v>
      </c>
      <c r="G399" s="60">
        <f t="shared" ref="G399" si="406">IF($A$64&lt;=G363,IF($B$64&gt;=G363,ABS(G398),0),0)</f>
        <v>11933.20414041259</v>
      </c>
      <c r="H399" s="60">
        <f t="shared" ref="H399" si="407">IF($A$64&lt;=H363,IF($B$64&gt;=H363,ABS(H398),0),0)</f>
        <v>1672.8400571920022</v>
      </c>
      <c r="I399" s="60">
        <f t="shared" ref="I399" si="408">IF($A$64&lt;=I363,IF($B$64&gt;=I363,ABS(I398),0),0)</f>
        <v>839.30931538507764</v>
      </c>
      <c r="J399" s="60">
        <f t="shared" ref="J399" si="409">IF($A$64&lt;=J363,IF($B$64&gt;=J363,ABS(J398),0),0)</f>
        <v>591.46848706376193</v>
      </c>
      <c r="K399" s="60">
        <f t="shared" ref="K399" si="410">IF($A$64&lt;=K363,IF($B$64&gt;=K363,ABS(K398),0),0)</f>
        <v>7477.8931203157317</v>
      </c>
      <c r="L399" s="60">
        <f t="shared" ref="L399" si="411">IF($A$64&lt;=L363,IF($B$64&gt;=L363,ABS(L398),0),0)</f>
        <v>2919.2122098676437</v>
      </c>
      <c r="M399" s="60">
        <f t="shared" ref="M399" si="412">IF($A$64&lt;=M363,IF($B$64&gt;=M363,ABS(M398),0),0)</f>
        <v>2386.0944816083424</v>
      </c>
      <c r="N399" s="60">
        <f t="shared" ref="N399" si="413">IF($A$64&lt;=N363,IF($B$64&gt;=N363,ABS(N398),0),0)</f>
        <v>499.81052710083901</v>
      </c>
      <c r="O399" s="60">
        <f t="shared" ref="O399" si="414">IF($A$64&lt;=O363,IF($B$64&gt;=O363,ABS(O398),0),0)</f>
        <v>30.898821029332669</v>
      </c>
      <c r="P399" s="60">
        <f t="shared" ref="P399" si="415">IF($A$64&lt;=P363,IF($B$64&gt;=P363,ABS(P398),0),0)</f>
        <v>0.17250571300303191</v>
      </c>
      <c r="Q399" s="60">
        <f t="shared" ref="Q399" si="416">IF($A$64&lt;=Q363,IF($B$64&gt;=Q363,ABS(Q398),0),0)</f>
        <v>39.719261679715068</v>
      </c>
      <c r="R399" s="60">
        <f t="shared" ref="R399" si="417">IF($A$64&lt;=R363,IF($B$64&gt;=R363,ABS(R398),0),0)</f>
        <v>2111.6222714909131</v>
      </c>
      <c r="S399" s="60">
        <f t="shared" ref="S399" si="418">IF($A$64&lt;=S363,IF($B$64&gt;=S363,ABS(S398),0),0)</f>
        <v>2247.2701055687735</v>
      </c>
      <c r="T399" s="60">
        <f t="shared" ref="T399" si="419">IF($A$64&lt;=T363,IF($B$64&gt;=T363,ABS(T398),0),0)</f>
        <v>2236.370430989326</v>
      </c>
      <c r="U399" s="60">
        <f t="shared" ref="U399" si="420">IF($A$64&lt;=U363,IF($B$64&gt;=U363,ABS(U398),0),0)</f>
        <v>2224.5184378274071</v>
      </c>
      <c r="V399" s="60">
        <f t="shared" ref="V399" si="421">IF($A$64&lt;=V363,IF($B$64&gt;=V363,ABS(V398),0),0)</f>
        <v>2209.6068632898105</v>
      </c>
      <c r="W399" s="60">
        <f t="shared" ref="W399" si="422">IF($A$64&lt;=W363,IF($B$64&gt;=W363,ABS(W398),0),0)</f>
        <v>2192.4005606224218</v>
      </c>
      <c r="X399" s="60">
        <f t="shared" ref="X399" si="423">IF($A$64&lt;=X363,IF($B$64&gt;=X363,ABS(X398),0),0)</f>
        <v>2174.2196383507562</v>
      </c>
      <c r="Y399" s="60">
        <f t="shared" ref="Y399" si="424">IF($A$64&lt;=Y363,IF($B$64&gt;=Y363,ABS(Y398),0),0)</f>
        <v>2155.8494557207409</v>
      </c>
      <c r="Z399" s="60">
        <f t="shared" ref="Z399" si="425">IF($A$64&lt;=Z363,IF($B$64&gt;=Z363,ABS(Z398),0),0)</f>
        <v>2155.4511914047307</v>
      </c>
      <c r="AA399" s="60">
        <f t="shared" ref="AA399" si="426">IF($A$64&lt;=AA363,IF($B$64&gt;=AA363,ABS(AA398),0),0)</f>
        <v>2146.8708102015707</v>
      </c>
      <c r="AB399" s="60">
        <f t="shared" ref="AB399" si="427">IF($A$64&lt;=AB363,IF($B$64&gt;=AB363,ABS(AB398),0),0)</f>
        <v>2135.3191410820527</v>
      </c>
      <c r="AC399" s="60">
        <f t="shared" ref="AC399" si="428">IF($A$64&lt;=AC363,IF($B$64&gt;=AC363,ABS(AC398),0),0)</f>
        <v>2123.4731123271222</v>
      </c>
      <c r="AD399" s="60">
        <f t="shared" ref="AD399" si="429">IF($A$64&lt;=AD363,IF($B$64&gt;=AD363,ABS(AD398),0),0)</f>
        <v>2122.7881262562901</v>
      </c>
      <c r="AE399" s="60">
        <f t="shared" ref="AE399" si="430">IF($A$64&lt;=AE363,IF($B$64&gt;=AE363,ABS(AE398),0),0)</f>
        <v>2122.4561964964455</v>
      </c>
      <c r="AF399" s="60">
        <f t="shared" ref="AF399" si="431">IF($A$64&lt;=AF363,IF($B$64&gt;=AF363,ABS(AF398),0),0)</f>
        <v>2122.2207053017164</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20" t="s">
        <v>163</v>
      </c>
      <c r="K402" s="120"/>
      <c r="L402" s="120"/>
      <c r="M402" s="120"/>
      <c r="N402" s="120"/>
      <c r="O402" s="120"/>
      <c r="P402" s="120"/>
      <c r="Q402" s="22"/>
      <c r="R402" s="22"/>
      <c r="S402" s="22"/>
      <c r="T402" s="22"/>
      <c r="U402" s="22"/>
      <c r="V402" s="22"/>
      <c r="W402" s="22"/>
      <c r="X402" s="22"/>
      <c r="Y402" s="22"/>
      <c r="Z402" s="22"/>
      <c r="AA402" s="22"/>
      <c r="AB402" s="22"/>
      <c r="AC402" s="22"/>
      <c r="AD402" s="22"/>
      <c r="AE402" s="22"/>
      <c r="AF402" s="22"/>
      <c r="AG402" s="22"/>
      <c r="AH402" s="22"/>
    </row>
    <row r="403" spans="1:34" x14ac:dyDescent="0.25">
      <c r="A403" s="118" t="s">
        <v>0</v>
      </c>
      <c r="B403" s="117">
        <f>IF(B125=$B$2,0,B126)</f>
        <v>-14.406800109604639</v>
      </c>
      <c r="C403" s="117">
        <f t="shared" ref="C403:H403" si="432">IF(C125=$B$2,0,C126)</f>
        <v>-10.950515452938541</v>
      </c>
      <c r="D403" s="117">
        <f t="shared" si="432"/>
        <v>-6.5770330385822291</v>
      </c>
      <c r="E403" s="117">
        <f t="shared" si="432"/>
        <v>0</v>
      </c>
      <c r="F403" s="117">
        <f t="shared" si="432"/>
        <v>12.063922953615501</v>
      </c>
      <c r="G403" s="117">
        <f t="shared" si="432"/>
        <v>31.8000897176249</v>
      </c>
      <c r="H403" s="117">
        <f t="shared" si="432"/>
        <v>35.861537922668312</v>
      </c>
      <c r="I403" s="119" t="str">
        <f>Comparison!AL2</f>
        <v>Time</v>
      </c>
      <c r="J403" s="121">
        <f>Comparison!AM2</f>
        <v>-40</v>
      </c>
      <c r="K403" s="121">
        <f>Comparison!AN2</f>
        <v>0</v>
      </c>
      <c r="L403" s="121">
        <f>Comparison!AO2</f>
        <v>25</v>
      </c>
      <c r="M403" s="121">
        <f>Comparison!AP2</f>
        <v>50</v>
      </c>
      <c r="N403" s="121">
        <f>Comparison!AQ2</f>
        <v>80</v>
      </c>
      <c r="O403" s="121">
        <f>Comparison!AR2</f>
        <v>125</v>
      </c>
      <c r="P403" s="121">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19">
        <v>1.0000000000000001E-15</v>
      </c>
      <c r="B404" s="3">
        <f>$A404/EXP(-B$403)</f>
        <v>5.5361291178458031E-22</v>
      </c>
      <c r="C404" s="3">
        <f t="shared" ref="C404:K419" si="433">$A404/EXP(-C$403)</f>
        <v>1.7548967302632991E-20</v>
      </c>
      <c r="D404" s="3">
        <f t="shared" si="433"/>
        <v>1.3919731047146803E-18</v>
      </c>
      <c r="E404" s="3">
        <f t="shared" si="433"/>
        <v>1.0000000000000001E-15</v>
      </c>
      <c r="F404" s="3">
        <f t="shared" si="433"/>
        <v>1.73498278063804E-10</v>
      </c>
      <c r="G404" s="3">
        <f t="shared" si="433"/>
        <v>6.4655204306795444E-2</v>
      </c>
      <c r="H404" s="3">
        <f t="shared" si="433"/>
        <v>3.7537732261831018</v>
      </c>
      <c r="I404" s="119">
        <f>Comparison!AL3</f>
        <v>1.0000000000000001E-15</v>
      </c>
      <c r="J404" s="3">
        <f>Comparison!AM3</f>
        <v>5945.4862308501361</v>
      </c>
      <c r="K404" s="3">
        <f>Comparison!AN3</f>
        <v>5936.3433151657146</v>
      </c>
      <c r="L404" s="3">
        <f>Comparison!AO3</f>
        <v>5930.406376183163</v>
      </c>
      <c r="M404" s="3">
        <f>Comparison!AP3</f>
        <v>5924.2874974527258</v>
      </c>
      <c r="N404" s="3">
        <f>Comparison!AQ3</f>
        <v>5916.6915694579875</v>
      </c>
      <c r="O404" s="3">
        <f>Comparison!AR3</f>
        <v>5339.3938402799959</v>
      </c>
      <c r="P404" s="3">
        <f>Comparison!AS3</f>
        <v>4973.1641667493986</v>
      </c>
      <c r="Q404" s="22"/>
      <c r="R404" s="22"/>
      <c r="S404" s="22"/>
      <c r="T404" s="22"/>
      <c r="U404" s="22"/>
      <c r="V404" s="22"/>
      <c r="W404" s="22"/>
      <c r="X404" s="22"/>
      <c r="Y404" s="22"/>
      <c r="Z404" s="22"/>
      <c r="AA404" s="22"/>
      <c r="AB404" s="22"/>
      <c r="AC404" s="22"/>
      <c r="AD404" s="22"/>
      <c r="AE404" s="22"/>
      <c r="AF404" s="22"/>
      <c r="AG404" s="27"/>
      <c r="AH404" s="27"/>
    </row>
    <row r="405" spans="1:34" x14ac:dyDescent="0.25">
      <c r="A405" s="119">
        <v>1E-14</v>
      </c>
      <c r="B405" s="3">
        <f t="shared" ref="B405:K434" si="434">$A405/EXP(-B$403)</f>
        <v>5.536129117845803E-21</v>
      </c>
      <c r="C405" s="3">
        <f t="shared" si="433"/>
        <v>1.7548967302632989E-19</v>
      </c>
      <c r="D405" s="3">
        <f t="shared" si="433"/>
        <v>1.3919731047146802E-17</v>
      </c>
      <c r="E405" s="3">
        <f t="shared" si="433"/>
        <v>1E-14</v>
      </c>
      <c r="F405" s="3">
        <f t="shared" si="433"/>
        <v>1.7349827806380399E-9</v>
      </c>
      <c r="G405" s="3">
        <f t="shared" si="433"/>
        <v>0.64655204306795433</v>
      </c>
      <c r="H405" s="3">
        <f t="shared" si="433"/>
        <v>37.537732261831017</v>
      </c>
      <c r="I405" s="119">
        <f>Comparison!AL4</f>
        <v>1E-14</v>
      </c>
      <c r="J405" s="3">
        <f>Comparison!AM4</f>
        <v>5945.5233978276192</v>
      </c>
      <c r="K405" s="3">
        <f>Comparison!AN4</f>
        <v>5936.3803075081632</v>
      </c>
      <c r="L405" s="3">
        <f>Comparison!AO4</f>
        <v>5930.4431337924134</v>
      </c>
      <c r="M405" s="3">
        <f>Comparison!AP4</f>
        <v>5924.3241993050724</v>
      </c>
      <c r="N405" s="3">
        <f>Comparison!AQ4</f>
        <v>5916.7227160627044</v>
      </c>
      <c r="O405" s="3">
        <f>Comparison!AR4</f>
        <v>5092.5436233397832</v>
      </c>
      <c r="P405" s="3">
        <f>Comparison!AS4</f>
        <v>4659.596505568883</v>
      </c>
      <c r="Q405" s="42"/>
      <c r="R405" s="42"/>
      <c r="S405" s="42"/>
      <c r="T405" s="42"/>
      <c r="U405" s="42"/>
      <c r="V405" s="42"/>
      <c r="W405" s="42"/>
      <c r="X405" s="42"/>
      <c r="Y405" s="42"/>
      <c r="Z405" s="42"/>
      <c r="AA405" s="42"/>
      <c r="AB405" s="42"/>
      <c r="AC405" s="42"/>
      <c r="AD405" s="42"/>
      <c r="AE405" s="42"/>
      <c r="AF405" s="42"/>
      <c r="AG405" s="3"/>
      <c r="AH405" s="3"/>
    </row>
    <row r="406" spans="1:34" x14ac:dyDescent="0.25">
      <c r="A406" s="119">
        <v>1E-13</v>
      </c>
      <c r="B406" s="3">
        <f t="shared" si="434"/>
        <v>5.5361291178458031E-20</v>
      </c>
      <c r="C406" s="3">
        <f t="shared" si="433"/>
        <v>1.754896730263299E-18</v>
      </c>
      <c r="D406" s="3">
        <f t="shared" si="433"/>
        <v>1.3919731047146801E-16</v>
      </c>
      <c r="E406" s="3">
        <f t="shared" si="433"/>
        <v>1E-13</v>
      </c>
      <c r="F406" s="3">
        <f t="shared" si="433"/>
        <v>1.7349827806380399E-8</v>
      </c>
      <c r="G406" s="3">
        <f t="shared" si="433"/>
        <v>6.4655204306795442</v>
      </c>
      <c r="H406" s="3">
        <f t="shared" si="433"/>
        <v>375.37732261831019</v>
      </c>
      <c r="I406" s="119">
        <f>Comparison!AL5</f>
        <v>1E-13</v>
      </c>
      <c r="J406" s="3">
        <f>Comparison!AM5</f>
        <v>5945.5006733975988</v>
      </c>
      <c r="K406" s="3">
        <f>Comparison!AN5</f>
        <v>5936.3578341520697</v>
      </c>
      <c r="L406" s="3">
        <f>Comparison!AO5</f>
        <v>5930.4206852693951</v>
      </c>
      <c r="M406" s="3">
        <f>Comparison!AP5</f>
        <v>5924.3017770264787</v>
      </c>
      <c r="N406" s="3">
        <f>Comparison!AQ5</f>
        <v>5916.6446401256508</v>
      </c>
      <c r="O406" s="3">
        <f>Comparison!AR5</f>
        <v>4862.2074038193541</v>
      </c>
      <c r="P406" s="3">
        <f>Comparison!AS5</f>
        <v>4385.9516115251872</v>
      </c>
      <c r="Q406" s="42"/>
      <c r="R406" s="42"/>
      <c r="S406" s="42"/>
      <c r="T406" s="42"/>
      <c r="U406" s="42"/>
      <c r="V406" s="42"/>
      <c r="W406" s="42"/>
      <c r="X406" s="42"/>
      <c r="Y406" s="42"/>
      <c r="Z406" s="42"/>
      <c r="AA406" s="42"/>
      <c r="AB406" s="42"/>
      <c r="AC406" s="42"/>
      <c r="AD406" s="42"/>
      <c r="AE406" s="42"/>
      <c r="AF406" s="42"/>
      <c r="AG406" s="3"/>
      <c r="AH406" s="3"/>
    </row>
    <row r="407" spans="1:34" x14ac:dyDescent="0.25">
      <c r="A407" s="119">
        <v>9.9999999999999998E-13</v>
      </c>
      <c r="B407" s="3">
        <f t="shared" si="434"/>
        <v>5.5361291178458031E-19</v>
      </c>
      <c r="C407" s="3">
        <f t="shared" si="433"/>
        <v>1.7548967302632987E-17</v>
      </c>
      <c r="D407" s="3">
        <f t="shared" si="433"/>
        <v>1.3919731047146801E-15</v>
      </c>
      <c r="E407" s="3">
        <f t="shared" si="433"/>
        <v>9.9999999999999998E-13</v>
      </c>
      <c r="F407" s="3">
        <f t="shared" si="433"/>
        <v>1.7349827806380399E-7</v>
      </c>
      <c r="G407" s="3">
        <f t="shared" si="433"/>
        <v>64.65520430679544</v>
      </c>
      <c r="H407" s="3">
        <f t="shared" si="433"/>
        <v>3753.7732261831015</v>
      </c>
      <c r="I407" s="119">
        <f>Comparison!AL6</f>
        <v>9.9999999999999998E-13</v>
      </c>
      <c r="J407" s="3">
        <f>Comparison!AM6</f>
        <v>5945.4940479964844</v>
      </c>
      <c r="K407" s="3">
        <f>Comparison!AN6</f>
        <v>5936.3510277390824</v>
      </c>
      <c r="L407" s="3">
        <f>Comparison!AO6</f>
        <v>5930.413892464232</v>
      </c>
      <c r="M407" s="3">
        <f>Comparison!AP6</f>
        <v>5924.2949982314785</v>
      </c>
      <c r="N407" s="3">
        <f>Comparison!AQ6</f>
        <v>5916.0822262002403</v>
      </c>
      <c r="O407" s="3">
        <f>Comparison!AR6</f>
        <v>4600.0447702643005</v>
      </c>
      <c r="P407" s="3">
        <f>Comparison!AS6</f>
        <v>4118.3569666620651</v>
      </c>
      <c r="Q407" s="42"/>
      <c r="R407" s="42"/>
      <c r="S407" s="42"/>
      <c r="T407" s="42"/>
      <c r="U407" s="42"/>
      <c r="V407" s="42"/>
      <c r="W407" s="42"/>
      <c r="X407" s="42"/>
      <c r="Y407" s="42"/>
      <c r="Z407" s="42"/>
      <c r="AA407" s="42"/>
      <c r="AB407" s="42"/>
      <c r="AC407" s="42"/>
      <c r="AD407" s="42"/>
      <c r="AE407" s="42"/>
      <c r="AF407" s="42"/>
      <c r="AG407" s="3"/>
      <c r="AH407" s="3"/>
    </row>
    <row r="408" spans="1:34" x14ac:dyDescent="0.25">
      <c r="A408" s="119">
        <v>9.9999999999999994E-12</v>
      </c>
      <c r="B408" s="3">
        <f t="shared" si="434"/>
        <v>5.5361291178458027E-18</v>
      </c>
      <c r="C408" s="3">
        <f t="shared" si="433"/>
        <v>1.7548967302632987E-16</v>
      </c>
      <c r="D408" s="3">
        <f t="shared" si="433"/>
        <v>1.3919731047146801E-14</v>
      </c>
      <c r="E408" s="3">
        <f t="shared" si="433"/>
        <v>9.9999999999999994E-12</v>
      </c>
      <c r="F408" s="3">
        <f t="shared" si="433"/>
        <v>1.7349827806380398E-6</v>
      </c>
      <c r="G408" s="3">
        <f t="shared" si="433"/>
        <v>646.55204306795429</v>
      </c>
      <c r="H408" s="3">
        <f t="shared" si="433"/>
        <v>37537.732261831014</v>
      </c>
      <c r="I408" s="119">
        <f>Comparison!AL7</f>
        <v>9.9999999999999994E-12</v>
      </c>
      <c r="J408" s="3">
        <f>Comparison!AM7</f>
        <v>5945.491987661344</v>
      </c>
      <c r="K408" s="3">
        <f>Comparison!AN7</f>
        <v>5936.3489535985827</v>
      </c>
      <c r="L408" s="3">
        <f>Comparison!AO7</f>
        <v>5930.4118224704844</v>
      </c>
      <c r="M408" s="3">
        <f>Comparison!AP7</f>
        <v>5924.2929325070927</v>
      </c>
      <c r="N408" s="3">
        <f>Comparison!AQ7</f>
        <v>5910.6250002955303</v>
      </c>
      <c r="O408" s="3">
        <f>Comparison!AR7</f>
        <v>4335.4686548713016</v>
      </c>
      <c r="P408" s="3">
        <f>Comparison!AS7</f>
        <v>3829.8022738739742</v>
      </c>
      <c r="Q408" s="42"/>
      <c r="R408" s="42"/>
      <c r="S408" s="42"/>
      <c r="T408" s="42"/>
      <c r="U408" s="42"/>
      <c r="V408" s="42"/>
      <c r="W408" s="42"/>
      <c r="X408" s="42"/>
      <c r="Y408" s="42"/>
      <c r="Z408" s="42"/>
      <c r="AA408" s="42"/>
      <c r="AB408" s="42"/>
      <c r="AC408" s="42"/>
      <c r="AD408" s="42"/>
      <c r="AE408" s="42"/>
      <c r="AF408" s="42"/>
      <c r="AG408" s="3"/>
      <c r="AH408" s="3"/>
    </row>
    <row r="409" spans="1:34" x14ac:dyDescent="0.25">
      <c r="A409" s="119">
        <v>1E-10</v>
      </c>
      <c r="B409" s="3">
        <f t="shared" si="434"/>
        <v>5.5361291178458029E-17</v>
      </c>
      <c r="C409" s="3">
        <f t="shared" si="433"/>
        <v>1.7548967302632989E-15</v>
      </c>
      <c r="D409" s="3">
        <f t="shared" si="433"/>
        <v>1.3919731047146803E-13</v>
      </c>
      <c r="E409" s="3">
        <f t="shared" si="433"/>
        <v>1E-10</v>
      </c>
      <c r="F409" s="3">
        <f t="shared" si="433"/>
        <v>1.7349827806380399E-5</v>
      </c>
      <c r="G409" s="3">
        <f t="shared" si="433"/>
        <v>6465.520430679544</v>
      </c>
      <c r="H409" s="3">
        <f t="shared" si="433"/>
        <v>375377.32261831017</v>
      </c>
      <c r="I409" s="119">
        <f>Comparison!AL8</f>
        <v>1E-10</v>
      </c>
      <c r="J409" s="3">
        <f>Comparison!AM8</f>
        <v>5945.4911594878167</v>
      </c>
      <c r="K409" s="3">
        <f>Comparison!AN8</f>
        <v>5936.3483494802622</v>
      </c>
      <c r="L409" s="3">
        <f>Comparison!AO8</f>
        <v>5930.4110185898089</v>
      </c>
      <c r="M409" s="3">
        <f>Comparison!AP8</f>
        <v>5924.292050062164</v>
      </c>
      <c r="N409" s="3">
        <f>Comparison!AQ8</f>
        <v>5865.0413696390469</v>
      </c>
      <c r="O409" s="3">
        <f>Comparison!AR8</f>
        <v>4064.2446060274551</v>
      </c>
      <c r="P409" s="3">
        <f>Comparison!AS8</f>
        <v>3513.4556215320054</v>
      </c>
      <c r="Q409" s="42"/>
      <c r="R409" s="42"/>
      <c r="S409" s="42"/>
      <c r="T409" s="42"/>
      <c r="U409" s="42"/>
      <c r="V409" s="42"/>
      <c r="W409" s="42"/>
      <c r="X409" s="42"/>
      <c r="Y409" s="42"/>
      <c r="Z409" s="42"/>
      <c r="AA409" s="42"/>
      <c r="AB409" s="42"/>
      <c r="AC409" s="42"/>
      <c r="AD409" s="42"/>
      <c r="AE409" s="42"/>
      <c r="AF409" s="42"/>
      <c r="AG409" s="3"/>
      <c r="AH409" s="3"/>
    </row>
    <row r="410" spans="1:34" x14ac:dyDescent="0.25">
      <c r="A410" s="119">
        <v>1.0000000000000001E-9</v>
      </c>
      <c r="B410" s="3">
        <f t="shared" si="434"/>
        <v>5.5361291178458028E-16</v>
      </c>
      <c r="C410" s="3">
        <f t="shared" si="433"/>
        <v>1.7548967302632989E-14</v>
      </c>
      <c r="D410" s="3">
        <f t="shared" si="433"/>
        <v>1.3919731047146802E-12</v>
      </c>
      <c r="E410" s="3">
        <f t="shared" si="433"/>
        <v>1.0000000000000001E-9</v>
      </c>
      <c r="F410" s="3">
        <f t="shared" si="433"/>
        <v>1.7349827806380401E-4</v>
      </c>
      <c r="G410" s="3">
        <f t="shared" si="433"/>
        <v>64655.204306795444</v>
      </c>
      <c r="H410" s="3">
        <f t="shared" si="433"/>
        <v>3753773.226183102</v>
      </c>
      <c r="I410" s="119">
        <f>Comparison!AL9</f>
        <v>1.0000000000000001E-9</v>
      </c>
      <c r="J410" s="3">
        <f>Comparison!AM9</f>
        <v>5945.4908968962591</v>
      </c>
      <c r="K410" s="3">
        <f>Comparison!AN9</f>
        <v>5936.3480675584215</v>
      </c>
      <c r="L410" s="3">
        <f>Comparison!AO9</f>
        <v>5930.4109382017532</v>
      </c>
      <c r="M410" s="3">
        <f>Comparison!AP9</f>
        <v>5924.2896233399624</v>
      </c>
      <c r="N410" s="3">
        <f>Comparison!AQ9</f>
        <v>5722.4751414535358</v>
      </c>
      <c r="O410" s="3">
        <f>Comparison!AR9</f>
        <v>3775.0165221687416</v>
      </c>
      <c r="P410" s="3">
        <f>Comparison!AS9</f>
        <v>3097.9149297690292</v>
      </c>
      <c r="Q410" s="42"/>
      <c r="R410" s="42"/>
      <c r="S410" s="42"/>
      <c r="T410" s="42"/>
      <c r="U410" s="42"/>
      <c r="V410" s="42"/>
      <c r="W410" s="42"/>
      <c r="X410" s="42"/>
      <c r="Y410" s="42"/>
      <c r="Z410" s="42"/>
      <c r="AA410" s="42"/>
      <c r="AB410" s="42"/>
      <c r="AC410" s="42"/>
      <c r="AD410" s="42"/>
      <c r="AE410" s="42"/>
      <c r="AF410" s="42"/>
      <c r="AG410" s="3"/>
      <c r="AH410" s="3"/>
    </row>
    <row r="411" spans="1:34" x14ac:dyDescent="0.25">
      <c r="A411" s="119">
        <v>1E-8</v>
      </c>
      <c r="B411" s="3">
        <f t="shared" si="434"/>
        <v>5.5361291178458028E-15</v>
      </c>
      <c r="C411" s="3">
        <f t="shared" si="433"/>
        <v>1.754896730263299E-13</v>
      </c>
      <c r="D411" s="3">
        <f t="shared" si="433"/>
        <v>1.3919731047146802E-11</v>
      </c>
      <c r="E411" s="3">
        <f t="shared" si="433"/>
        <v>1E-8</v>
      </c>
      <c r="F411" s="3">
        <f t="shared" si="433"/>
        <v>1.73498278063804E-3</v>
      </c>
      <c r="G411" s="3">
        <f t="shared" si="433"/>
        <v>646552.04306795436</v>
      </c>
      <c r="H411" s="3">
        <f t="shared" si="433"/>
        <v>37537732.261831015</v>
      </c>
      <c r="I411" s="119">
        <f>Comparison!AL10</f>
        <v>1E-8</v>
      </c>
      <c r="J411" s="3">
        <f>Comparison!AM10</f>
        <v>5945.4908564975603</v>
      </c>
      <c r="K411" s="3">
        <f>Comparison!AN10</f>
        <v>5936.3480474211492</v>
      </c>
      <c r="L411" s="3">
        <f>Comparison!AO10</f>
        <v>5930.4106970375988</v>
      </c>
      <c r="M411" s="3">
        <f>Comparison!AP10</f>
        <v>5924.2686453119095</v>
      </c>
      <c r="N411" s="3">
        <f>Comparison!AQ10</f>
        <v>5576.9650996615301</v>
      </c>
      <c r="O411" s="3">
        <f>Comparison!AR10</f>
        <v>3440.8792936987693</v>
      </c>
      <c r="P411" s="3">
        <f>Comparison!AS10</f>
        <v>2591.2184022941196</v>
      </c>
      <c r="Q411" s="42"/>
      <c r="R411" s="42"/>
      <c r="S411" s="42"/>
      <c r="T411" s="42"/>
      <c r="U411" s="42"/>
      <c r="V411" s="42"/>
      <c r="W411" s="42"/>
      <c r="X411" s="42"/>
      <c r="Y411" s="42"/>
      <c r="Z411" s="42"/>
      <c r="AA411" s="42"/>
      <c r="AB411" s="42"/>
      <c r="AC411" s="42"/>
      <c r="AD411" s="42"/>
      <c r="AE411" s="42"/>
      <c r="AF411" s="42"/>
      <c r="AG411" s="3"/>
      <c r="AH411" s="3"/>
    </row>
    <row r="412" spans="1:34" x14ac:dyDescent="0.25">
      <c r="A412" s="119">
        <v>9.9999999999999995E-8</v>
      </c>
      <c r="B412" s="3">
        <f t="shared" si="434"/>
        <v>5.5361291178458024E-14</v>
      </c>
      <c r="C412" s="3">
        <f t="shared" si="433"/>
        <v>1.7548967302632988E-12</v>
      </c>
      <c r="D412" s="3">
        <f t="shared" si="433"/>
        <v>1.3919731047146801E-10</v>
      </c>
      <c r="E412" s="3">
        <f t="shared" si="433"/>
        <v>9.9999999999999995E-8</v>
      </c>
      <c r="F412" s="3">
        <f t="shared" si="433"/>
        <v>1.7349827806380398E-2</v>
      </c>
      <c r="G412" s="3">
        <f t="shared" si="433"/>
        <v>6465520.4306795439</v>
      </c>
      <c r="H412" s="3">
        <f t="shared" si="433"/>
        <v>375377322.61831015</v>
      </c>
      <c r="I412" s="119">
        <f>Comparison!AL11</f>
        <v>9.9999999999999995E-8</v>
      </c>
      <c r="J412" s="3">
        <f>Comparison!AM11</f>
        <v>5945.4908564975603</v>
      </c>
      <c r="K412" s="3">
        <f>Comparison!AN11</f>
        <v>5936.3478259111525</v>
      </c>
      <c r="L412" s="3">
        <f>Comparison!AO11</f>
        <v>5930.4104156794438</v>
      </c>
      <c r="M412" s="3">
        <f>Comparison!AP11</f>
        <v>5924.0589935262078</v>
      </c>
      <c r="N412" s="3">
        <f>Comparison!AQ11</f>
        <v>5410.5738362167167</v>
      </c>
      <c r="O412" s="3">
        <f>Comparison!AR11</f>
        <v>3007.0276986600152</v>
      </c>
      <c r="P412" s="3">
        <f>Comparison!AS11</f>
        <v>2005.3525724949279</v>
      </c>
      <c r="Q412" s="42"/>
      <c r="R412" s="42"/>
      <c r="S412" s="42"/>
      <c r="T412" s="42"/>
      <c r="U412" s="42"/>
      <c r="V412" s="42"/>
      <c r="W412" s="42"/>
      <c r="X412" s="42"/>
      <c r="Y412" s="42"/>
      <c r="Z412" s="42"/>
      <c r="AA412" s="42"/>
      <c r="AB412" s="42"/>
      <c r="AC412" s="42"/>
      <c r="AD412" s="42"/>
      <c r="AE412" s="42"/>
      <c r="AF412" s="42"/>
      <c r="AG412" s="3"/>
      <c r="AH412" s="3"/>
    </row>
    <row r="413" spans="1:34" x14ac:dyDescent="0.25">
      <c r="A413" s="119">
        <v>9.9999999999999995E-7</v>
      </c>
      <c r="B413" s="3">
        <f t="shared" si="434"/>
        <v>5.5361291178458022E-13</v>
      </c>
      <c r="C413" s="3">
        <f t="shared" si="433"/>
        <v>1.7548967302632989E-11</v>
      </c>
      <c r="D413" s="3">
        <f t="shared" si="433"/>
        <v>1.3919731047146802E-9</v>
      </c>
      <c r="E413" s="3">
        <f t="shared" si="433"/>
        <v>9.9999999999999995E-7</v>
      </c>
      <c r="F413" s="3">
        <f t="shared" si="433"/>
        <v>0.173498278063804</v>
      </c>
      <c r="G413" s="3">
        <f t="shared" si="433"/>
        <v>64655204.306795433</v>
      </c>
      <c r="H413" s="3">
        <f t="shared" si="433"/>
        <v>3753773226.1831017</v>
      </c>
      <c r="I413" s="119">
        <f>Comparison!AL12</f>
        <v>9.9999999999999995E-7</v>
      </c>
      <c r="J413" s="3">
        <f>Comparison!AM12</f>
        <v>5945.4908564975603</v>
      </c>
      <c r="K413" s="3">
        <f>Comparison!AN12</f>
        <v>5936.3478259111525</v>
      </c>
      <c r="L413" s="3">
        <f>Comparison!AO12</f>
        <v>5930.408164815165</v>
      </c>
      <c r="M413" s="3">
        <f>Comparison!AP12</f>
        <v>5921.976437640149</v>
      </c>
      <c r="N413" s="3">
        <f>Comparison!AQ12</f>
        <v>5216.1277029195053</v>
      </c>
      <c r="O413" s="3">
        <f>Comparison!AR12</f>
        <v>2483.1842311274095</v>
      </c>
      <c r="P413" s="3">
        <f>Comparison!AS12</f>
        <v>1355.6696144527521</v>
      </c>
      <c r="Q413" s="42"/>
      <c r="R413" s="42"/>
      <c r="S413" s="42"/>
      <c r="T413" s="42"/>
      <c r="U413" s="42"/>
      <c r="V413" s="42"/>
      <c r="W413" s="42"/>
      <c r="X413" s="42"/>
      <c r="Y413" s="42"/>
      <c r="Z413" s="42"/>
      <c r="AA413" s="42"/>
      <c r="AB413" s="42"/>
      <c r="AC413" s="42"/>
      <c r="AD413" s="42"/>
      <c r="AE413" s="42"/>
      <c r="AF413" s="42"/>
      <c r="AG413" s="3"/>
      <c r="AH413" s="3"/>
    </row>
    <row r="414" spans="1:34" x14ac:dyDescent="0.25">
      <c r="A414" s="119">
        <v>1.0000000000000001E-5</v>
      </c>
      <c r="B414" s="3">
        <f t="shared" si="434"/>
        <v>5.536129117845803E-12</v>
      </c>
      <c r="C414" s="3">
        <f t="shared" si="433"/>
        <v>1.754896730263299E-10</v>
      </c>
      <c r="D414" s="3">
        <f t="shared" si="433"/>
        <v>1.3919731047146804E-8</v>
      </c>
      <c r="E414" s="3">
        <f t="shared" si="433"/>
        <v>1.0000000000000001E-5</v>
      </c>
      <c r="F414" s="3">
        <f t="shared" si="433"/>
        <v>1.73498278063804</v>
      </c>
      <c r="G414" s="3">
        <f t="shared" si="433"/>
        <v>646552043.06795442</v>
      </c>
      <c r="H414" s="3">
        <f t="shared" si="433"/>
        <v>37537732261.831017</v>
      </c>
      <c r="I414" s="119">
        <f>Comparison!AL13</f>
        <v>1.0000000000000001E-5</v>
      </c>
      <c r="J414" s="3">
        <f>Comparison!AM13</f>
        <v>5945.4908564975603</v>
      </c>
      <c r="K414" s="3">
        <f>Comparison!AN13</f>
        <v>5936.3475238520905</v>
      </c>
      <c r="L414" s="3">
        <f>Comparison!AO13</f>
        <v>5930.384691618081</v>
      </c>
      <c r="M414" s="3">
        <f>Comparison!AP13</f>
        <v>5902.5412392933085</v>
      </c>
      <c r="N414" s="3">
        <f>Comparison!AQ13</f>
        <v>5018.4752297884525</v>
      </c>
      <c r="O414" s="3">
        <f>Comparison!AR13</f>
        <v>1877.3036191571002</v>
      </c>
      <c r="P414" s="3">
        <f>Comparison!AS13</f>
        <v>816.95203291347548</v>
      </c>
      <c r="Q414" s="42"/>
      <c r="R414" s="42"/>
      <c r="S414" s="42"/>
      <c r="T414" s="42"/>
      <c r="U414" s="42"/>
      <c r="V414" s="42"/>
      <c r="W414" s="42"/>
      <c r="X414" s="42"/>
      <c r="Y414" s="42"/>
      <c r="Z414" s="42"/>
      <c r="AA414" s="42"/>
      <c r="AB414" s="42"/>
      <c r="AC414" s="42"/>
      <c r="AD414" s="42"/>
      <c r="AE414" s="42"/>
      <c r="AF414" s="42"/>
      <c r="AG414" s="3"/>
      <c r="AH414" s="3"/>
    </row>
    <row r="415" spans="1:34" x14ac:dyDescent="0.25">
      <c r="A415" s="119">
        <v>1E-4</v>
      </c>
      <c r="B415" s="3">
        <f t="shared" si="434"/>
        <v>5.5361291178458032E-11</v>
      </c>
      <c r="C415" s="3">
        <f t="shared" si="433"/>
        <v>1.754896730263299E-9</v>
      </c>
      <c r="D415" s="3">
        <f t="shared" si="433"/>
        <v>1.3919731047146803E-7</v>
      </c>
      <c r="E415" s="3">
        <f t="shared" si="433"/>
        <v>1E-4</v>
      </c>
      <c r="F415" s="3">
        <f t="shared" si="433"/>
        <v>17.3498278063804</v>
      </c>
      <c r="G415" s="3">
        <f t="shared" si="433"/>
        <v>6465520430.6795444</v>
      </c>
      <c r="H415" s="3">
        <f t="shared" si="433"/>
        <v>375377322618.31018</v>
      </c>
      <c r="I415" s="119">
        <f>Comparison!AL14</f>
        <v>1E-4</v>
      </c>
      <c r="J415" s="3">
        <f>Comparison!AM14</f>
        <v>5945.4908160988625</v>
      </c>
      <c r="K415" s="3">
        <f>Comparison!AN14</f>
        <v>5936.3452282042372</v>
      </c>
      <c r="L415" s="3">
        <f>Comparison!AO14</f>
        <v>5930.150894248286</v>
      </c>
      <c r="M415" s="3">
        <f>Comparison!AP14</f>
        <v>5788.7691117948852</v>
      </c>
      <c r="N415" s="3">
        <f>Comparison!AQ14</f>
        <v>4771.2929786824907</v>
      </c>
      <c r="O415" s="3">
        <f>Comparison!AR14</f>
        <v>1225.8372848665197</v>
      </c>
      <c r="P415" s="3">
        <f>Comparison!AS14</f>
        <v>463.37163713330017</v>
      </c>
      <c r="Q415" s="42"/>
      <c r="R415" s="42"/>
      <c r="S415" s="42"/>
      <c r="T415" s="42"/>
      <c r="U415" s="42"/>
      <c r="V415" s="42"/>
      <c r="W415" s="42"/>
      <c r="X415" s="42"/>
      <c r="Y415" s="42"/>
      <c r="Z415" s="42"/>
      <c r="AA415" s="42"/>
      <c r="AB415" s="42"/>
      <c r="AC415" s="42"/>
      <c r="AD415" s="42"/>
      <c r="AE415" s="42"/>
      <c r="AF415" s="42"/>
      <c r="AG415" s="3"/>
      <c r="AH415" s="3"/>
    </row>
    <row r="416" spans="1:34" x14ac:dyDescent="0.25">
      <c r="A416" s="119">
        <v>1E-3</v>
      </c>
      <c r="B416" s="3">
        <f t="shared" si="434"/>
        <v>5.5361291178458029E-10</v>
      </c>
      <c r="C416" s="3">
        <f t="shared" si="433"/>
        <v>1.754896730263299E-8</v>
      </c>
      <c r="D416" s="3">
        <f t="shared" si="433"/>
        <v>1.3919731047146803E-6</v>
      </c>
      <c r="E416" s="3">
        <f t="shared" si="433"/>
        <v>1E-3</v>
      </c>
      <c r="F416" s="3">
        <f t="shared" si="433"/>
        <v>173.49827806380401</v>
      </c>
      <c r="G416" s="3">
        <f t="shared" si="433"/>
        <v>64655204306.795441</v>
      </c>
      <c r="H416" s="3">
        <f t="shared" si="433"/>
        <v>3753773226183.1016</v>
      </c>
      <c r="I416" s="119">
        <f>Comparison!AL15</f>
        <v>1E-3</v>
      </c>
      <c r="J416" s="3">
        <f>Comparison!AM15</f>
        <v>5945.4901697197583</v>
      </c>
      <c r="K416" s="3">
        <f>Comparison!AN15</f>
        <v>5936.3201171545998</v>
      </c>
      <c r="L416" s="3">
        <f>Comparison!AO15</f>
        <v>5927.8308007940832</v>
      </c>
      <c r="M416" s="3">
        <f>Comparison!AP15</f>
        <v>5647.748615055857</v>
      </c>
      <c r="N416" s="3">
        <f>Comparison!AQ15</f>
        <v>4502.260327638488</v>
      </c>
      <c r="O416" s="3">
        <f>Comparison!AR15</f>
        <v>718.17933085631228</v>
      </c>
      <c r="P416" s="3">
        <f>Comparison!AS15</f>
        <v>256.97131232473913</v>
      </c>
      <c r="Q416" s="42"/>
      <c r="R416" s="42"/>
      <c r="S416" s="42"/>
      <c r="T416" s="42"/>
      <c r="U416" s="42"/>
      <c r="V416" s="42"/>
      <c r="W416" s="42"/>
      <c r="X416" s="42"/>
      <c r="Y416" s="42"/>
      <c r="Z416" s="42"/>
      <c r="AA416" s="42"/>
      <c r="AB416" s="42"/>
      <c r="AC416" s="42"/>
      <c r="AD416" s="42"/>
      <c r="AE416" s="42"/>
      <c r="AF416" s="42"/>
      <c r="AG416" s="3"/>
      <c r="AH416" s="3"/>
    </row>
    <row r="417" spans="1:34" x14ac:dyDescent="0.25">
      <c r="A417" s="119">
        <v>0.01</v>
      </c>
      <c r="B417" s="3">
        <f t="shared" si="434"/>
        <v>5.5361291178458027E-9</v>
      </c>
      <c r="C417" s="3">
        <f t="shared" si="433"/>
        <v>1.7548967302632988E-7</v>
      </c>
      <c r="D417" s="3">
        <f t="shared" si="433"/>
        <v>1.3919731047146802E-5</v>
      </c>
      <c r="E417" s="3">
        <f t="shared" si="433"/>
        <v>0.01</v>
      </c>
      <c r="F417" s="3">
        <f t="shared" si="433"/>
        <v>1734.9827806380399</v>
      </c>
      <c r="G417" s="3">
        <f t="shared" si="433"/>
        <v>646552043067.95435</v>
      </c>
      <c r="H417" s="3">
        <f t="shared" si="433"/>
        <v>37537732261831.016</v>
      </c>
      <c r="I417" s="119">
        <f>Comparison!AL16</f>
        <v>0.01</v>
      </c>
      <c r="J417" s="3">
        <f>Comparison!AM16</f>
        <v>5945.4832413525728</v>
      </c>
      <c r="K417" s="3">
        <f>Comparison!AN16</f>
        <v>5936.0699445696901</v>
      </c>
      <c r="L417" s="3">
        <f>Comparison!AO16</f>
        <v>5906.3450308766669</v>
      </c>
      <c r="M417" s="3">
        <f>Comparison!AP16</f>
        <v>5493.0807600988655</v>
      </c>
      <c r="N417" s="3">
        <f>Comparison!AQ16</f>
        <v>4239.8922301770135</v>
      </c>
      <c r="O417" s="3">
        <f>Comparison!AR16</f>
        <v>402.8254128419544</v>
      </c>
      <c r="P417" s="3">
        <f>Comparison!AS16</f>
        <v>167.49490825050054</v>
      </c>
      <c r="Q417" s="42"/>
      <c r="R417" s="42"/>
      <c r="S417" s="42"/>
      <c r="T417" s="42"/>
      <c r="U417" s="42"/>
      <c r="V417" s="42"/>
      <c r="W417" s="42"/>
      <c r="X417" s="42"/>
      <c r="Y417" s="42"/>
      <c r="Z417" s="42"/>
      <c r="AA417" s="42"/>
      <c r="AB417" s="42"/>
      <c r="AC417" s="42"/>
      <c r="AD417" s="42"/>
      <c r="AE417" s="42"/>
      <c r="AF417" s="42"/>
      <c r="AG417" s="3"/>
      <c r="AH417" s="3"/>
    </row>
    <row r="418" spans="1:34" x14ac:dyDescent="0.25">
      <c r="A418" s="119">
        <v>0.1</v>
      </c>
      <c r="B418" s="3">
        <f t="shared" si="434"/>
        <v>5.5361291178458029E-8</v>
      </c>
      <c r="C418" s="3">
        <f t="shared" si="433"/>
        <v>1.7548967302632988E-6</v>
      </c>
      <c r="D418" s="3">
        <f t="shared" si="433"/>
        <v>1.3919731047146804E-4</v>
      </c>
      <c r="E418" s="3">
        <f t="shared" si="433"/>
        <v>0.1</v>
      </c>
      <c r="F418" s="3">
        <f t="shared" si="433"/>
        <v>17349.827806380399</v>
      </c>
      <c r="G418" s="3">
        <f t="shared" si="433"/>
        <v>6465520430679.5439</v>
      </c>
      <c r="H418" s="3">
        <f t="shared" si="433"/>
        <v>375377322618310.19</v>
      </c>
      <c r="I418" s="119">
        <f>Comparison!AL17</f>
        <v>0.1</v>
      </c>
      <c r="J418" s="3">
        <f>Comparison!AM17</f>
        <v>5945.4144029430536</v>
      </c>
      <c r="K418" s="3">
        <f>Comparison!AN17</f>
        <v>5933.5894562136173</v>
      </c>
      <c r="L418" s="3">
        <f>Comparison!AO17</f>
        <v>5787.3961464989843</v>
      </c>
      <c r="M418" s="3">
        <f>Comparison!AP17</f>
        <v>5310.1724689095536</v>
      </c>
      <c r="N418" s="3">
        <f>Comparison!AQ17</f>
        <v>3958.4879028609685</v>
      </c>
      <c r="O418" s="3">
        <f>Comparison!AR17</f>
        <v>224.17774389747507</v>
      </c>
      <c r="P418" s="3">
        <f>Comparison!AS17</f>
        <v>141.80358734877336</v>
      </c>
      <c r="Q418" s="42"/>
      <c r="R418" s="42"/>
      <c r="S418" s="42"/>
      <c r="T418" s="42"/>
      <c r="U418" s="42"/>
      <c r="V418" s="42"/>
      <c r="W418" s="42"/>
      <c r="X418" s="42"/>
      <c r="Y418" s="42"/>
      <c r="Z418" s="42"/>
      <c r="AA418" s="42"/>
      <c r="AB418" s="42"/>
      <c r="AC418" s="42"/>
      <c r="AD418" s="42"/>
      <c r="AE418" s="42"/>
      <c r="AF418" s="42"/>
      <c r="AG418" s="3"/>
      <c r="AH418" s="3"/>
    </row>
    <row r="419" spans="1:34" x14ac:dyDescent="0.25">
      <c r="A419" s="119">
        <v>1</v>
      </c>
      <c r="B419" s="3">
        <f t="shared" si="434"/>
        <v>5.5361291178458027E-7</v>
      </c>
      <c r="C419" s="3">
        <f t="shared" si="433"/>
        <v>1.7548967302632987E-5</v>
      </c>
      <c r="D419" s="3">
        <f t="shared" si="433"/>
        <v>1.3919731047146802E-3</v>
      </c>
      <c r="E419" s="3">
        <f t="shared" si="433"/>
        <v>1</v>
      </c>
      <c r="F419" s="3">
        <f t="shared" si="433"/>
        <v>173498.278063804</v>
      </c>
      <c r="G419" s="3">
        <f t="shared" si="433"/>
        <v>64655204306795.437</v>
      </c>
      <c r="H419" s="3">
        <f t="shared" si="433"/>
        <v>3753773226183101.5</v>
      </c>
      <c r="I419" s="119">
        <f>Comparison!AL18</f>
        <v>1</v>
      </c>
      <c r="J419" s="3">
        <f>Comparison!AM18</f>
        <v>5944.7274999078909</v>
      </c>
      <c r="K419" s="3">
        <f>Comparison!AN18</f>
        <v>5910.7352387881974</v>
      </c>
      <c r="L419" s="3">
        <f>Comparison!AO18</f>
        <v>5645.7736928586964</v>
      </c>
      <c r="M419" s="3">
        <f>Comparison!AP18</f>
        <v>5116.9183384452708</v>
      </c>
      <c r="N419" s="3">
        <f>Comparison!AQ18</f>
        <v>3659.7650677599231</v>
      </c>
      <c r="O419" s="3">
        <f>Comparison!AR18</f>
        <v>157.32573154577258</v>
      </c>
      <c r="P419" s="3">
        <f>Comparison!AS18</f>
        <v>129.19132461504012</v>
      </c>
      <c r="Q419" s="42"/>
      <c r="R419" s="42"/>
      <c r="S419" s="42"/>
      <c r="T419" s="42"/>
      <c r="U419" s="42"/>
      <c r="V419" s="42"/>
      <c r="W419" s="42"/>
      <c r="X419" s="42"/>
      <c r="Y419" s="42"/>
      <c r="Z419" s="42"/>
      <c r="AA419" s="42"/>
      <c r="AB419" s="42"/>
      <c r="AC419" s="42"/>
      <c r="AD419" s="42"/>
      <c r="AE419" s="42"/>
      <c r="AF419" s="42"/>
      <c r="AG419" s="3"/>
      <c r="AH419" s="3"/>
    </row>
    <row r="420" spans="1:34" x14ac:dyDescent="0.25">
      <c r="A420" s="119">
        <v>10</v>
      </c>
      <c r="B420" s="3">
        <f t="shared" si="434"/>
        <v>5.5361291178458029E-6</v>
      </c>
      <c r="C420" s="3">
        <f t="shared" si="434"/>
        <v>1.7548967302632987E-4</v>
      </c>
      <c r="D420" s="3">
        <f t="shared" si="434"/>
        <v>1.3919731047146802E-2</v>
      </c>
      <c r="E420" s="3">
        <f t="shared" si="434"/>
        <v>10</v>
      </c>
      <c r="F420" s="3">
        <f t="shared" si="434"/>
        <v>1734982.78063804</v>
      </c>
      <c r="G420" s="3">
        <f t="shared" si="434"/>
        <v>646552043067954.37</v>
      </c>
      <c r="H420" s="3">
        <f t="shared" si="434"/>
        <v>3.7537732261831016E+16</v>
      </c>
      <c r="I420" s="119">
        <f>Comparison!AL19</f>
        <v>10</v>
      </c>
      <c r="J420" s="3">
        <f>Comparison!AM19</f>
        <v>5938.0129605513939</v>
      </c>
      <c r="K420" s="3">
        <f>Comparison!AN19</f>
        <v>5788.6039225333288</v>
      </c>
      <c r="L420" s="3">
        <f>Comparison!AO19</f>
        <v>5488.7797063617654</v>
      </c>
      <c r="M420" s="3">
        <f>Comparison!AP19</f>
        <v>4889.0072432178858</v>
      </c>
      <c r="N420" s="3">
        <f>Comparison!AQ19</f>
        <v>3268.126124643903</v>
      </c>
      <c r="O420" s="3">
        <f>Comparison!AR19</f>
        <v>138.47466281617423</v>
      </c>
      <c r="P420" s="3">
        <f>Comparison!AS19</f>
        <v>125.45582042457461</v>
      </c>
      <c r="Q420" s="42"/>
      <c r="R420" s="42"/>
      <c r="S420" s="42"/>
      <c r="T420" s="42"/>
      <c r="U420" s="42"/>
      <c r="V420" s="42"/>
      <c r="W420" s="42"/>
      <c r="X420" s="42"/>
      <c r="Y420" s="42"/>
      <c r="Z420" s="42"/>
      <c r="AA420" s="42"/>
      <c r="AB420" s="42"/>
      <c r="AC420" s="42"/>
      <c r="AD420" s="42"/>
      <c r="AE420" s="42"/>
      <c r="AF420" s="42"/>
      <c r="AG420" s="3"/>
      <c r="AH420" s="3"/>
    </row>
    <row r="421" spans="1:34" x14ac:dyDescent="0.25">
      <c r="A421" s="119">
        <v>100</v>
      </c>
      <c r="B421" s="3">
        <f t="shared" si="434"/>
        <v>5.5361291178458028E-5</v>
      </c>
      <c r="C421" s="3">
        <f t="shared" si="434"/>
        <v>1.7548967302632988E-3</v>
      </c>
      <c r="D421" s="3">
        <f t="shared" si="434"/>
        <v>0.13919731047146802</v>
      </c>
      <c r="E421" s="3">
        <f t="shared" si="434"/>
        <v>100</v>
      </c>
      <c r="F421" s="3">
        <f t="shared" si="434"/>
        <v>17349827.806380399</v>
      </c>
      <c r="G421" s="3">
        <f t="shared" si="434"/>
        <v>6465520430679544</v>
      </c>
      <c r="H421" s="3">
        <f t="shared" si="434"/>
        <v>3.7537732261831014E+17</v>
      </c>
      <c r="I421" s="119">
        <f>Comparison!AL20</f>
        <v>100</v>
      </c>
      <c r="J421" s="3">
        <f>Comparison!AM20</f>
        <v>5884.0318384088569</v>
      </c>
      <c r="K421" s="3">
        <f>Comparison!AN20</f>
        <v>5645.2982525424422</v>
      </c>
      <c r="L421" s="3">
        <f>Comparison!AO20</f>
        <v>5295.6687137139643</v>
      </c>
      <c r="M421" s="3">
        <f>Comparison!AP20</f>
        <v>4599.1409750767552</v>
      </c>
      <c r="N421" s="3">
        <f>Comparison!AQ20</f>
        <v>2768.9657420868534</v>
      </c>
      <c r="O421" s="3">
        <f>Comparison!AR20</f>
        <v>126.92176045152465</v>
      </c>
      <c r="P421" s="3">
        <f>Comparison!AS20</f>
        <v>125.37751528072498</v>
      </c>
      <c r="Q421" s="42"/>
      <c r="R421" s="42"/>
      <c r="S421" s="42"/>
      <c r="T421" s="42"/>
      <c r="U421" s="42"/>
      <c r="V421" s="42"/>
      <c r="W421" s="42"/>
      <c r="X421" s="42"/>
      <c r="Y421" s="42"/>
      <c r="Z421" s="42"/>
      <c r="AA421" s="42"/>
      <c r="AB421" s="42"/>
      <c r="AC421" s="42"/>
      <c r="AD421" s="42"/>
      <c r="AE421" s="42"/>
      <c r="AF421" s="42"/>
      <c r="AG421" s="3"/>
      <c r="AH421" s="3"/>
    </row>
    <row r="422" spans="1:34" x14ac:dyDescent="0.25">
      <c r="A422" s="119">
        <v>1000</v>
      </c>
      <c r="B422" s="3">
        <f t="shared" si="434"/>
        <v>5.5361291178458033E-4</v>
      </c>
      <c r="C422" s="3">
        <f t="shared" si="434"/>
        <v>1.7548967302632987E-2</v>
      </c>
      <c r="D422" s="3">
        <f t="shared" si="434"/>
        <v>1.3919731047146802</v>
      </c>
      <c r="E422" s="3">
        <f t="shared" si="434"/>
        <v>1000</v>
      </c>
      <c r="F422" s="3">
        <f t="shared" si="434"/>
        <v>173498278.063804</v>
      </c>
      <c r="G422" s="3">
        <f t="shared" si="434"/>
        <v>6.465520430679544E+16</v>
      </c>
      <c r="H422" s="3">
        <f t="shared" si="434"/>
        <v>3.753773226183102E+18</v>
      </c>
      <c r="I422" s="119">
        <f>Comparison!AL21</f>
        <v>1000</v>
      </c>
      <c r="J422" s="3">
        <f>Comparison!AM21</f>
        <v>5738.5639340162998</v>
      </c>
      <c r="K422" s="3">
        <f>Comparison!AN21</f>
        <v>5477.0166152184411</v>
      </c>
      <c r="L422" s="3">
        <f>Comparison!AO21</f>
        <v>5062.6547205141496</v>
      </c>
      <c r="M422" s="3">
        <f>Comparison!AP21</f>
        <v>4272.3926167684576</v>
      </c>
      <c r="N422" s="3">
        <f>Comparison!AQ21</f>
        <v>2204.5974524100161</v>
      </c>
      <c r="O422" s="3">
        <f>Comparison!AR21</f>
        <v>125.32043450442224</v>
      </c>
      <c r="P422" s="3">
        <f>Comparison!AS21</f>
        <v>125.26241312398497</v>
      </c>
      <c r="Q422" s="42"/>
      <c r="R422" s="42"/>
      <c r="S422" s="42"/>
      <c r="T422" s="42"/>
      <c r="U422" s="42"/>
      <c r="V422" s="42"/>
      <c r="W422" s="42"/>
      <c r="X422" s="42"/>
      <c r="Y422" s="42"/>
      <c r="Z422" s="42"/>
      <c r="AA422" s="42"/>
      <c r="AB422" s="42"/>
      <c r="AC422" s="42"/>
      <c r="AD422" s="42"/>
      <c r="AE422" s="42"/>
      <c r="AF422" s="42"/>
      <c r="AG422" s="3"/>
      <c r="AH422" s="3"/>
    </row>
    <row r="423" spans="1:34" x14ac:dyDescent="0.25">
      <c r="A423" s="119">
        <v>10000</v>
      </c>
      <c r="B423" s="3">
        <f t="shared" si="434"/>
        <v>5.5361291178458024E-3</v>
      </c>
      <c r="C423" s="3">
        <f t="shared" si="434"/>
        <v>0.1754896730263299</v>
      </c>
      <c r="D423" s="3">
        <f t="shared" si="434"/>
        <v>13.919731047146803</v>
      </c>
      <c r="E423" s="3">
        <f t="shared" si="434"/>
        <v>10000</v>
      </c>
      <c r="F423" s="3">
        <f t="shared" si="434"/>
        <v>1734982780.6380401</v>
      </c>
      <c r="G423" s="3">
        <f t="shared" si="434"/>
        <v>6.4655204306795443E+17</v>
      </c>
      <c r="H423" s="3">
        <f t="shared" si="434"/>
        <v>3.7537732261831016E+19</v>
      </c>
      <c r="I423" s="119">
        <f>Comparison!AL22</f>
        <v>10000</v>
      </c>
      <c r="J423" s="3">
        <f>Comparison!AM22</f>
        <v>5588.2751906456833</v>
      </c>
      <c r="K423" s="3">
        <f>Comparison!AN22</f>
        <v>5242.9581566849647</v>
      </c>
      <c r="L423" s="3">
        <f>Comparison!AO22</f>
        <v>4762.2359802766141</v>
      </c>
      <c r="M423" s="3">
        <f>Comparison!AP22</f>
        <v>3941.1470093551798</v>
      </c>
      <c r="N423" s="3">
        <f>Comparison!AQ22</f>
        <v>1586.454168957242</v>
      </c>
      <c r="O423" s="3">
        <f>Comparison!AR22</f>
        <v>125.18975547765271</v>
      </c>
      <c r="P423" s="3">
        <f>Comparison!AS22</f>
        <v>125.1369355609138</v>
      </c>
      <c r="Q423" s="42"/>
      <c r="R423" s="42"/>
      <c r="S423" s="42"/>
      <c r="T423" s="42"/>
      <c r="U423" s="42"/>
      <c r="V423" s="42"/>
      <c r="W423" s="42"/>
      <c r="X423" s="42"/>
      <c r="Y423" s="42"/>
      <c r="Z423" s="42"/>
      <c r="AA423" s="42"/>
      <c r="AB423" s="42"/>
      <c r="AC423" s="42"/>
      <c r="AD423" s="42"/>
      <c r="AE423" s="42"/>
      <c r="AF423" s="42"/>
      <c r="AG423" s="3"/>
      <c r="AH423" s="3"/>
    </row>
    <row r="424" spans="1:34" x14ac:dyDescent="0.25">
      <c r="A424" s="119">
        <v>100000</v>
      </c>
      <c r="B424" s="3">
        <f t="shared" si="434"/>
        <v>5.5361291178458026E-2</v>
      </c>
      <c r="C424" s="3">
        <f t="shared" si="434"/>
        <v>1.7548967302632987</v>
      </c>
      <c r="D424" s="3">
        <f t="shared" si="434"/>
        <v>139.19731047146803</v>
      </c>
      <c r="E424" s="3">
        <f t="shared" si="434"/>
        <v>100000</v>
      </c>
      <c r="F424" s="3">
        <f t="shared" si="434"/>
        <v>17349827806.380398</v>
      </c>
      <c r="G424" s="3">
        <f t="shared" si="434"/>
        <v>6.4655204306795438E+18</v>
      </c>
      <c r="H424" s="3">
        <f t="shared" si="434"/>
        <v>3.7537732261831016E+20</v>
      </c>
      <c r="I424" s="119">
        <f>Comparison!AL23</f>
        <v>100000</v>
      </c>
      <c r="J424" s="3">
        <f>Comparison!AM23</f>
        <v>5399.4936644871386</v>
      </c>
      <c r="K424" s="3">
        <f>Comparison!AN23</f>
        <v>4967.1522364522052</v>
      </c>
      <c r="L424" s="3">
        <f>Comparison!AO23</f>
        <v>4428.9407335348296</v>
      </c>
      <c r="M424" s="3">
        <f>Comparison!AP23</f>
        <v>3608.495032401398</v>
      </c>
      <c r="N424" s="3">
        <f>Comparison!AQ23</f>
        <v>1000.0232976856266</v>
      </c>
      <c r="O424" s="3">
        <f>Comparison!AR23</f>
        <v>125.05583743141311</v>
      </c>
      <c r="P424" s="3">
        <f>Comparison!AS23</f>
        <v>124.97859027478171</v>
      </c>
      <c r="Q424" s="42"/>
      <c r="R424" s="42"/>
      <c r="S424" s="42"/>
      <c r="T424" s="42"/>
      <c r="U424" s="42"/>
      <c r="V424" s="42"/>
      <c r="W424" s="42"/>
      <c r="X424" s="42"/>
      <c r="Y424" s="42"/>
      <c r="Z424" s="42"/>
      <c r="AA424" s="42"/>
      <c r="AB424" s="42"/>
      <c r="AC424" s="42"/>
      <c r="AD424" s="42"/>
      <c r="AE424" s="42"/>
      <c r="AF424" s="42"/>
      <c r="AG424" s="3"/>
      <c r="AH424" s="3"/>
    </row>
    <row r="425" spans="1:34" x14ac:dyDescent="0.25">
      <c r="A425" s="119">
        <v>1000000</v>
      </c>
      <c r="B425" s="3">
        <f t="shared" si="434"/>
        <v>0.55361291178458027</v>
      </c>
      <c r="C425" s="3">
        <f t="shared" si="434"/>
        <v>17.548967302632988</v>
      </c>
      <c r="D425" s="3">
        <f t="shared" si="434"/>
        <v>1391.9731047146802</v>
      </c>
      <c r="E425" s="3">
        <f t="shared" si="434"/>
        <v>1000000</v>
      </c>
      <c r="F425" s="3">
        <f t="shared" si="434"/>
        <v>173498278063.80399</v>
      </c>
      <c r="G425" s="3">
        <f t="shared" si="434"/>
        <v>6.4655204306795438E+19</v>
      </c>
      <c r="H425" s="3">
        <f t="shared" si="434"/>
        <v>3.7537732261831015E+21</v>
      </c>
      <c r="I425" s="119">
        <f>Comparison!AL24</f>
        <v>1000000</v>
      </c>
      <c r="J425" s="3">
        <f>Comparison!AM24</f>
        <v>5141.8460502498219</v>
      </c>
      <c r="K425" s="3">
        <f>Comparison!AN24</f>
        <v>4663.1486629646943</v>
      </c>
      <c r="L425" s="3">
        <f>Comparison!AO24</f>
        <v>4111.7161259908762</v>
      </c>
      <c r="M425" s="3">
        <f>Comparison!AP24</f>
        <v>3262.5462100054015</v>
      </c>
      <c r="N425" s="3">
        <f>Comparison!AQ24</f>
        <v>576.00660610456418</v>
      </c>
      <c r="O425" s="3">
        <f>Comparison!AR24</f>
        <v>124.89217701523481</v>
      </c>
      <c r="P425" s="3">
        <f>Comparison!AS24</f>
        <v>124.79521194858673</v>
      </c>
      <c r="Q425" s="42"/>
      <c r="R425" s="42"/>
      <c r="S425" s="42"/>
      <c r="T425" s="42"/>
      <c r="U425" s="42"/>
      <c r="V425" s="42"/>
      <c r="W425" s="42"/>
      <c r="X425" s="42"/>
      <c r="Y425" s="42"/>
      <c r="Z425" s="42"/>
      <c r="AA425" s="42"/>
      <c r="AB425" s="42"/>
      <c r="AC425" s="42"/>
      <c r="AD425" s="42"/>
      <c r="AE425" s="42"/>
      <c r="AF425" s="42"/>
      <c r="AG425" s="3"/>
      <c r="AH425" s="3"/>
    </row>
    <row r="426" spans="1:34" x14ac:dyDescent="0.25">
      <c r="A426" s="119">
        <v>10000000</v>
      </c>
      <c r="B426" s="3">
        <f t="shared" si="434"/>
        <v>5.5361291178458032</v>
      </c>
      <c r="C426" s="3">
        <f t="shared" si="434"/>
        <v>175.48967302632988</v>
      </c>
      <c r="D426" s="3">
        <f t="shared" si="434"/>
        <v>13919.731047146801</v>
      </c>
      <c r="E426" s="3">
        <f t="shared" si="434"/>
        <v>10000000</v>
      </c>
      <c r="F426" s="3">
        <f t="shared" si="434"/>
        <v>1734982780638.04</v>
      </c>
      <c r="G426" s="3">
        <f t="shared" si="434"/>
        <v>6.4655204306795443E+20</v>
      </c>
      <c r="H426" s="3">
        <f t="shared" si="434"/>
        <v>3.7537732261831017E+22</v>
      </c>
      <c r="I426" s="119">
        <f>Comparison!AL25</f>
        <v>10000000</v>
      </c>
      <c r="J426" s="3">
        <f>Comparison!AM25</f>
        <v>4855.3493085479013</v>
      </c>
      <c r="K426" s="3">
        <f>Comparison!AN25</f>
        <v>4346.263159926043</v>
      </c>
      <c r="L426" s="3">
        <f>Comparison!AO25</f>
        <v>3814.2268394370481</v>
      </c>
      <c r="M426" s="3">
        <f>Comparison!AP25</f>
        <v>2841.314577864513</v>
      </c>
      <c r="N426" s="3">
        <f>Comparison!AQ25</f>
        <v>321.80010935687142</v>
      </c>
      <c r="O426" s="3">
        <f>Comparison!AR25</f>
        <v>124.70815441395035</v>
      </c>
      <c r="P426" s="3">
        <f>Comparison!AS25</f>
        <v>124.60066288549459</v>
      </c>
      <c r="Q426" s="42"/>
      <c r="R426" s="42"/>
      <c r="S426" s="42"/>
      <c r="T426" s="42"/>
      <c r="U426" s="42"/>
      <c r="V426" s="42"/>
      <c r="W426" s="42"/>
      <c r="X426" s="42"/>
      <c r="Y426" s="42"/>
      <c r="Z426" s="42"/>
      <c r="AA426" s="42"/>
      <c r="AB426" s="42"/>
      <c r="AC426" s="42"/>
      <c r="AD426" s="42"/>
      <c r="AE426" s="42"/>
      <c r="AF426" s="42"/>
      <c r="AG426" s="3"/>
      <c r="AH426" s="3"/>
    </row>
    <row r="427" spans="1:34" x14ac:dyDescent="0.25">
      <c r="A427" s="119">
        <v>100000000</v>
      </c>
      <c r="B427" s="3">
        <f t="shared" si="434"/>
        <v>55.361291178458032</v>
      </c>
      <c r="C427" s="3">
        <f t="shared" si="434"/>
        <v>1754.8967302632989</v>
      </c>
      <c r="D427" s="3">
        <f t="shared" si="434"/>
        <v>139197.31047146802</v>
      </c>
      <c r="E427" s="3">
        <f t="shared" si="434"/>
        <v>100000000</v>
      </c>
      <c r="F427" s="3">
        <f t="shared" si="434"/>
        <v>17349827806380.4</v>
      </c>
      <c r="G427" s="3">
        <f t="shared" si="434"/>
        <v>6.4655204306795438E+21</v>
      </c>
      <c r="H427" s="3">
        <f t="shared" si="434"/>
        <v>3.753773226183102E+23</v>
      </c>
      <c r="I427" s="119">
        <f>Comparison!AL26</f>
        <v>100000000</v>
      </c>
      <c r="J427" s="3">
        <f>Comparison!AM26</f>
        <v>4530.5898566513597</v>
      </c>
      <c r="K427" s="3">
        <f>Comparison!AN26</f>
        <v>4052.7215067045913</v>
      </c>
      <c r="L427" s="3">
        <f>Comparison!AO26</f>
        <v>3517.7803393025779</v>
      </c>
      <c r="M427" s="3">
        <f>Comparison!AP26</f>
        <v>2350.4004054830193</v>
      </c>
      <c r="N427" s="3">
        <f>Comparison!AQ26</f>
        <v>187.89777287454069</v>
      </c>
      <c r="O427" s="3">
        <f>Comparison!AR26</f>
        <v>124.51586541667818</v>
      </c>
      <c r="P427" s="3">
        <f>Comparison!AS26</f>
        <v>124.40326066206676</v>
      </c>
      <c r="Q427" s="42"/>
      <c r="R427" s="42"/>
      <c r="S427" s="42"/>
      <c r="T427" s="42"/>
      <c r="U427" s="42"/>
      <c r="V427" s="42"/>
      <c r="W427" s="42"/>
      <c r="X427" s="42"/>
      <c r="Y427" s="42"/>
      <c r="Z427" s="42"/>
      <c r="AA427" s="42"/>
      <c r="AB427" s="42"/>
      <c r="AC427" s="42"/>
      <c r="AD427" s="42"/>
      <c r="AE427" s="42"/>
      <c r="AF427" s="42"/>
      <c r="AG427" s="3"/>
      <c r="AH427" s="3"/>
    </row>
    <row r="428" spans="1:34" x14ac:dyDescent="0.25">
      <c r="A428" s="119">
        <v>1000000000</v>
      </c>
      <c r="B428" s="3">
        <f t="shared" si="434"/>
        <v>553.61291178458032</v>
      </c>
      <c r="C428" s="3">
        <f t="shared" si="434"/>
        <v>17548.967302632987</v>
      </c>
      <c r="D428" s="3">
        <f t="shared" si="434"/>
        <v>1391973.1047146802</v>
      </c>
      <c r="E428" s="3">
        <f t="shared" si="434"/>
        <v>1000000000</v>
      </c>
      <c r="F428" s="3">
        <f t="shared" si="434"/>
        <v>173498278063804</v>
      </c>
      <c r="G428" s="3">
        <f t="shared" si="434"/>
        <v>6.4655204306795436E+22</v>
      </c>
      <c r="H428" s="3">
        <f t="shared" si="434"/>
        <v>3.7537732261831014E+24</v>
      </c>
      <c r="I428" s="119">
        <f>Comparison!AL27</f>
        <v>1000000000</v>
      </c>
      <c r="J428" s="3">
        <f>Comparison!AM27</f>
        <v>4215.1902304511941</v>
      </c>
      <c r="K428" s="3">
        <f>Comparison!AN27</f>
        <v>3771.4995408899726</v>
      </c>
      <c r="L428" s="3">
        <f>Comparison!AO27</f>
        <v>3195.2414492417452</v>
      </c>
      <c r="M428" s="3">
        <f>Comparison!AP27</f>
        <v>1794.2797745605371</v>
      </c>
      <c r="N428" s="3">
        <f>Comparison!AQ27</f>
        <v>146.32445551645827</v>
      </c>
      <c r="O428" s="3">
        <f>Comparison!AR27</f>
        <v>124.45612407089325</v>
      </c>
      <c r="P428" s="3">
        <f>Comparison!AS27</f>
        <v>124.39897169961779</v>
      </c>
      <c r="Q428" s="42"/>
      <c r="R428" s="42"/>
      <c r="S428" s="42"/>
      <c r="T428" s="42"/>
      <c r="U428" s="42"/>
      <c r="V428" s="42"/>
      <c r="W428" s="42"/>
      <c r="X428" s="42"/>
      <c r="Y428" s="42"/>
      <c r="Z428" s="42"/>
      <c r="AA428" s="42"/>
      <c r="AB428" s="42"/>
      <c r="AC428" s="42"/>
      <c r="AD428" s="42"/>
      <c r="AE428" s="42"/>
      <c r="AF428" s="42"/>
      <c r="AG428" s="3"/>
      <c r="AH428" s="3"/>
    </row>
    <row r="429" spans="1:34" x14ac:dyDescent="0.25">
      <c r="A429" s="119">
        <v>10000000000</v>
      </c>
      <c r="B429" s="3">
        <f t="shared" si="434"/>
        <v>5536.1291178458032</v>
      </c>
      <c r="C429" s="3">
        <f t="shared" si="434"/>
        <v>175489.6730263299</v>
      </c>
      <c r="D429" s="3">
        <f t="shared" si="434"/>
        <v>13919731.047146801</v>
      </c>
      <c r="E429" s="3">
        <f t="shared" si="434"/>
        <v>10000000000</v>
      </c>
      <c r="F429" s="3">
        <f t="shared" si="434"/>
        <v>1734982780638040</v>
      </c>
      <c r="G429" s="3">
        <f t="shared" si="434"/>
        <v>6.4655204306795436E+23</v>
      </c>
      <c r="H429" s="3">
        <f t="shared" si="434"/>
        <v>3.7537732261831017E+25</v>
      </c>
      <c r="I429" s="119">
        <f>Comparison!AL28</f>
        <v>10000000000</v>
      </c>
      <c r="J429" s="3">
        <f>Comparison!AM28</f>
        <v>3929.081471457625</v>
      </c>
      <c r="K429" s="3">
        <f>Comparison!AN28</f>
        <v>3487.2930712528305</v>
      </c>
      <c r="L429" s="3">
        <f>Comparison!AO28</f>
        <v>2791.4157044377589</v>
      </c>
      <c r="M429" s="3">
        <f>Comparison!AP28</f>
        <v>1192.7526197056241</v>
      </c>
      <c r="N429" s="3">
        <f>Comparison!AQ28</f>
        <v>132.67557886184474</v>
      </c>
      <c r="O429" s="3">
        <f>Comparison!AR28</f>
        <v>124.36413594438419</v>
      </c>
      <c r="P429" s="3">
        <f>Comparison!AS28</f>
        <v>124.30647199515475</v>
      </c>
      <c r="Q429" s="42"/>
      <c r="R429" s="42"/>
      <c r="S429" s="42"/>
      <c r="T429" s="42"/>
      <c r="U429" s="42"/>
      <c r="V429" s="42"/>
      <c r="W429" s="42"/>
      <c r="X429" s="42"/>
      <c r="Y429" s="42"/>
      <c r="Z429" s="42"/>
      <c r="AA429" s="42"/>
      <c r="AB429" s="42"/>
      <c r="AC429" s="42"/>
      <c r="AD429" s="42"/>
      <c r="AE429" s="42"/>
      <c r="AF429" s="42"/>
      <c r="AG429" s="3"/>
      <c r="AH429" s="3"/>
    </row>
    <row r="430" spans="1:34" x14ac:dyDescent="0.25">
      <c r="A430" s="119">
        <v>100000000000</v>
      </c>
      <c r="B430" s="3">
        <f t="shared" si="434"/>
        <v>55361.291178458028</v>
      </c>
      <c r="C430" s="3">
        <f t="shared" si="434"/>
        <v>1754896.7302632988</v>
      </c>
      <c r="D430" s="3">
        <f t="shared" si="434"/>
        <v>139197310.47146803</v>
      </c>
      <c r="E430" s="3">
        <f t="shared" si="434"/>
        <v>100000000000</v>
      </c>
      <c r="F430" s="3">
        <f t="shared" si="434"/>
        <v>1.73498278063804E+16</v>
      </c>
      <c r="G430" s="3">
        <f t="shared" si="434"/>
        <v>6.4655204306795436E+24</v>
      </c>
      <c r="H430" s="3">
        <f t="shared" si="434"/>
        <v>3.7537732261831014E+26</v>
      </c>
      <c r="I430" s="119">
        <f>Comparison!AL29</f>
        <v>100000000000</v>
      </c>
      <c r="J430" s="3">
        <f>Comparison!AM29</f>
        <v>3641.242030569621</v>
      </c>
      <c r="K430" s="3">
        <f>Comparison!AN29</f>
        <v>3171.2944430186703</v>
      </c>
      <c r="L430" s="3">
        <f>Comparison!AO29</f>
        <v>2312.1801528163464</v>
      </c>
      <c r="M430" s="3">
        <f>Comparison!AP29</f>
        <v>712.56207316539314</v>
      </c>
      <c r="N430" s="3">
        <f>Comparison!AQ29</f>
        <v>124.09266721325585</v>
      </c>
      <c r="O430" s="3">
        <f>Comparison!AR29</f>
        <v>124.24957869452857</v>
      </c>
      <c r="P430" s="3">
        <f>Comparison!AS29</f>
        <v>124.18164826003697</v>
      </c>
      <c r="Q430" s="42"/>
      <c r="R430" s="42"/>
      <c r="S430" s="42"/>
      <c r="T430" s="42"/>
      <c r="U430" s="42"/>
      <c r="V430" s="42"/>
      <c r="W430" s="42"/>
      <c r="X430" s="42"/>
      <c r="Y430" s="42"/>
      <c r="Z430" s="42"/>
      <c r="AA430" s="42"/>
      <c r="AB430" s="42"/>
      <c r="AC430" s="42"/>
      <c r="AD430" s="42"/>
      <c r="AE430" s="42"/>
      <c r="AF430" s="42"/>
      <c r="AG430" s="3"/>
      <c r="AH430" s="3"/>
    </row>
    <row r="431" spans="1:34" x14ac:dyDescent="0.25">
      <c r="A431" s="119">
        <v>1000000000000</v>
      </c>
      <c r="B431" s="3">
        <f t="shared" si="434"/>
        <v>553612.91178458033</v>
      </c>
      <c r="C431" s="3">
        <f t="shared" si="434"/>
        <v>17548967.302632987</v>
      </c>
      <c r="D431" s="3">
        <f t="shared" si="434"/>
        <v>1391973104.7146802</v>
      </c>
      <c r="E431" s="3">
        <f t="shared" si="434"/>
        <v>1000000000000</v>
      </c>
      <c r="F431" s="3">
        <f t="shared" si="434"/>
        <v>1.73498278063804E+17</v>
      </c>
      <c r="G431" s="3">
        <f t="shared" si="434"/>
        <v>6.465520430679544E+25</v>
      </c>
      <c r="H431" s="3">
        <f t="shared" si="434"/>
        <v>3.7537732261831019E+27</v>
      </c>
      <c r="I431" s="119">
        <f>Comparison!AL30</f>
        <v>1000000000000</v>
      </c>
      <c r="J431" s="3">
        <f>Comparison!AM30</f>
        <v>3352.5216988135498</v>
      </c>
      <c r="K431" s="3">
        <f>Comparison!AN30</f>
        <v>2771.7245513357993</v>
      </c>
      <c r="L431" s="3">
        <f>Comparison!AO30</f>
        <v>1761.4184833894965</v>
      </c>
      <c r="M431" s="3">
        <f>Comparison!AP30</f>
        <v>405.79350694215293</v>
      </c>
      <c r="N431" s="3">
        <f>Comparison!AQ30</f>
        <v>123.97220489326934</v>
      </c>
      <c r="O431" s="3">
        <f>Comparison!AR30</f>
        <v>124.12464463468883</v>
      </c>
      <c r="P431" s="3">
        <f>Comparison!AS30</f>
        <v>124.05329261398603</v>
      </c>
      <c r="Q431" s="42"/>
      <c r="R431" s="42"/>
      <c r="S431" s="42"/>
      <c r="T431" s="42"/>
      <c r="U431" s="42"/>
      <c r="V431" s="42"/>
      <c r="W431" s="42"/>
      <c r="X431" s="42"/>
      <c r="Y431" s="42"/>
      <c r="Z431" s="42"/>
      <c r="AA431" s="42"/>
      <c r="AB431" s="42"/>
      <c r="AC431" s="42"/>
      <c r="AD431" s="42"/>
      <c r="AE431" s="42"/>
      <c r="AF431" s="42"/>
      <c r="AG431" s="3"/>
      <c r="AH431" s="3"/>
    </row>
    <row r="432" spans="1:34" x14ac:dyDescent="0.25">
      <c r="A432" s="119">
        <v>10000000000000</v>
      </c>
      <c r="B432" s="3">
        <f t="shared" si="434"/>
        <v>5536129.1178458026</v>
      </c>
      <c r="C432" s="3">
        <f t="shared" si="434"/>
        <v>175489673.02632987</v>
      </c>
      <c r="D432" s="3">
        <f t="shared" si="434"/>
        <v>13919731047.146801</v>
      </c>
      <c r="E432" s="3">
        <f t="shared" si="434"/>
        <v>10000000000000</v>
      </c>
      <c r="F432" s="3">
        <f t="shared" si="434"/>
        <v>1.7349827806380401E+18</v>
      </c>
      <c r="G432" s="3">
        <f t="shared" si="434"/>
        <v>6.4655204306795438E+26</v>
      </c>
      <c r="H432" s="3">
        <f t="shared" si="434"/>
        <v>3.7537732261831017E+28</v>
      </c>
      <c r="I432" s="119">
        <f>Comparison!AL31</f>
        <v>10000000000000</v>
      </c>
      <c r="J432" s="3">
        <f>Comparison!AM31</f>
        <v>2996.6335305209523</v>
      </c>
      <c r="K432" s="3">
        <f>Comparison!AN31</f>
        <v>2294.6891766146468</v>
      </c>
      <c r="L432" s="3">
        <f>Comparison!AO31</f>
        <v>1165.0893454090649</v>
      </c>
      <c r="M432" s="3">
        <f>Comparison!AP31</f>
        <v>227.75650575396227</v>
      </c>
      <c r="N432" s="3">
        <f>Comparison!AQ31</f>
        <v>123.97018586453261</v>
      </c>
      <c r="O432" s="3">
        <f>Comparison!AR31</f>
        <v>124.11696893794122</v>
      </c>
      <c r="P432" s="3">
        <f>Comparison!AS31</f>
        <v>124.04585962671396</v>
      </c>
      <c r="Q432" s="42"/>
      <c r="R432" s="42"/>
      <c r="S432" s="42"/>
      <c r="T432" s="42"/>
      <c r="U432" s="42"/>
      <c r="V432" s="42"/>
      <c r="W432" s="42"/>
      <c r="X432" s="42"/>
      <c r="Y432" s="42"/>
      <c r="Z432" s="42"/>
      <c r="AA432" s="42"/>
      <c r="AB432" s="42"/>
      <c r="AC432" s="42"/>
      <c r="AD432" s="42"/>
      <c r="AE432" s="42"/>
      <c r="AF432" s="42"/>
      <c r="AG432" s="3"/>
      <c r="AH432" s="3"/>
    </row>
    <row r="433" spans="1:34" x14ac:dyDescent="0.25">
      <c r="A433" s="119">
        <v>100000000000000</v>
      </c>
      <c r="B433" s="3">
        <f t="shared" si="434"/>
        <v>55361291.178458028</v>
      </c>
      <c r="C433" s="3">
        <f t="shared" si="434"/>
        <v>1754896730.2632987</v>
      </c>
      <c r="D433" s="3">
        <f t="shared" si="434"/>
        <v>139197310471.46802</v>
      </c>
      <c r="E433" s="3">
        <f t="shared" si="434"/>
        <v>100000000000000</v>
      </c>
      <c r="F433" s="3">
        <f t="shared" si="434"/>
        <v>1.7349827806380401E+19</v>
      </c>
      <c r="G433" s="3">
        <f t="shared" si="434"/>
        <v>6.4655204306795435E+27</v>
      </c>
      <c r="H433" s="3">
        <f t="shared" si="434"/>
        <v>3.7537732261831018E+29</v>
      </c>
      <c r="I433" s="119">
        <f>Comparison!AL32</f>
        <v>100000000000000</v>
      </c>
      <c r="J433" s="3">
        <f>Comparison!AM32</f>
        <v>2563.0064610610193</v>
      </c>
      <c r="K433" s="3">
        <f>Comparison!AN32</f>
        <v>1744.1842965326991</v>
      </c>
      <c r="L433" s="3">
        <f>Comparison!AO32</f>
        <v>692.87414966525068</v>
      </c>
      <c r="M433" s="3">
        <f>Comparison!AP32</f>
        <v>157.27484077697326</v>
      </c>
      <c r="N433" s="3">
        <f>Comparison!AQ32</f>
        <v>123.96849358445334</v>
      </c>
      <c r="O433" s="3">
        <f>Comparison!AR32</f>
        <v>124.11273578228328</v>
      </c>
      <c r="P433" s="3">
        <f>Comparison!AS32</f>
        <v>124.04225732695286</v>
      </c>
      <c r="Q433" s="42"/>
      <c r="R433" s="42"/>
      <c r="S433" s="42"/>
      <c r="T433" s="42"/>
      <c r="U433" s="42"/>
      <c r="V433" s="42"/>
      <c r="W433" s="42"/>
      <c r="X433" s="42"/>
      <c r="Y433" s="42"/>
      <c r="Z433" s="42"/>
      <c r="AA433" s="42"/>
      <c r="AB433" s="42"/>
      <c r="AC433" s="42"/>
      <c r="AD433" s="42"/>
      <c r="AE433" s="42"/>
      <c r="AF433" s="42"/>
      <c r="AG433" s="3"/>
      <c r="AH433" s="3"/>
    </row>
    <row r="434" spans="1:34" x14ac:dyDescent="0.25">
      <c r="A434" s="119">
        <v>1000000000000000</v>
      </c>
      <c r="B434" s="3">
        <f t="shared" si="434"/>
        <v>553612911.78458023</v>
      </c>
      <c r="C434" s="3">
        <f t="shared" si="434"/>
        <v>17548967302.632988</v>
      </c>
      <c r="D434" s="3">
        <f t="shared" si="434"/>
        <v>1391973104714.6802</v>
      </c>
      <c r="E434" s="3">
        <f t="shared" si="434"/>
        <v>1000000000000000</v>
      </c>
      <c r="F434" s="3">
        <f t="shared" si="434"/>
        <v>1.7349827806380399E+20</v>
      </c>
      <c r="G434" s="3">
        <f t="shared" si="434"/>
        <v>6.465520430679544E+28</v>
      </c>
      <c r="H434" s="3">
        <f t="shared" si="434"/>
        <v>3.7537732261831017E+30</v>
      </c>
      <c r="I434" s="119">
        <f>Comparison!AL33</f>
        <v>1000000000000000</v>
      </c>
      <c r="J434" s="3">
        <f>Comparison!AM33</f>
        <v>2059.5134179476377</v>
      </c>
      <c r="K434" s="3">
        <f>Comparison!AN33</f>
        <v>1149.8282974544306</v>
      </c>
      <c r="L434" s="3">
        <f>Comparison!AO33</f>
        <v>393.89092728068977</v>
      </c>
      <c r="M434" s="3">
        <f>Comparison!AP33</f>
        <v>137.32830205333357</v>
      </c>
      <c r="N434" s="3">
        <f>Comparison!AQ33</f>
        <v>123.96695327212331</v>
      </c>
      <c r="O434" s="3">
        <f>Comparison!AR33</f>
        <v>124.10930475258213</v>
      </c>
      <c r="P434" s="3">
        <f>Comparison!AS33</f>
        <v>124.03970146521578</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05"/>
      <c r="B532" s="105"/>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06"/>
      <c r="B534" s="10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05"/>
      <c r="B581" s="105"/>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05"/>
      <c r="B596" s="105"/>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06"/>
      <c r="B597" s="10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06"/>
      <c r="B626" s="10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06"/>
      <c r="B627" s="10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05"/>
      <c r="B650" s="105"/>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06"/>
      <c r="B651" s="10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06"/>
      <c r="B652" s="10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06"/>
      <c r="B653" s="10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06"/>
      <c r="B654" s="10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 ref="A650:B650"/>
    <mergeCell ref="A651:B651"/>
    <mergeCell ref="A652:B652"/>
    <mergeCell ref="A653:B653"/>
    <mergeCell ref="A654:B654"/>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-14.406800109604639</v>
      </c>
      <c r="M1" s="54">
        <v>1</v>
      </c>
      <c r="N1" s="56">
        <f>INDEX($H$217:$P$217,1,Q1)</f>
        <v>0.52427832349594095</v>
      </c>
      <c r="O1" s="11"/>
      <c r="P1" s="55">
        <v>1</v>
      </c>
      <c r="Q1" s="11">
        <v>2</v>
      </c>
    </row>
    <row r="2" spans="1:17" x14ac:dyDescent="0.25">
      <c r="A2" s="11">
        <f>'Mastercurve bestimmen'!M119</f>
        <v>0</v>
      </c>
      <c r="B2" s="11">
        <f>'Mastercurve bestimmen'!N119</f>
        <v>-10.950515452938541</v>
      </c>
      <c r="M2" s="54">
        <v>2</v>
      </c>
      <c r="N2" s="56">
        <f t="shared" ref="N2:N9" si="0">INDEX($H$217:$P$217,1,Q2)</f>
        <v>-3.5315284282063972E-2</v>
      </c>
      <c r="O2" s="11"/>
      <c r="P2" s="55">
        <v>2</v>
      </c>
      <c r="Q2" s="11">
        <f>Q1+1</f>
        <v>3</v>
      </c>
    </row>
    <row r="3" spans="1:17" x14ac:dyDescent="0.25">
      <c r="A3" s="11">
        <f>'Mastercurve bestimmen'!M120</f>
        <v>25</v>
      </c>
      <c r="B3" s="11">
        <f>'Mastercurve bestimmen'!N120</f>
        <v>-6.5770330385822291</v>
      </c>
      <c r="M3" s="54">
        <v>3</v>
      </c>
      <c r="N3" s="56">
        <f t="shared" si="0"/>
        <v>-1.5218672356373552E-4</v>
      </c>
      <c r="O3" s="11"/>
      <c r="P3" s="55">
        <v>3</v>
      </c>
      <c r="Q3" s="11">
        <f t="shared" ref="Q3:Q8" si="1">Q2+1</f>
        <v>4</v>
      </c>
    </row>
    <row r="4" spans="1:17" x14ac:dyDescent="0.25">
      <c r="A4" s="11">
        <f>'Mastercurve bestimmen'!M121</f>
        <v>50</v>
      </c>
      <c r="B4" s="11">
        <f>'Mastercurve bestimmen'!N121</f>
        <v>0</v>
      </c>
      <c r="M4" s="54">
        <v>4</v>
      </c>
      <c r="N4" s="56">
        <f t="shared" si="0"/>
        <v>1.2965286752905169E-5</v>
      </c>
      <c r="O4" s="11"/>
      <c r="P4" s="55">
        <v>4</v>
      </c>
      <c r="Q4" s="11">
        <f t="shared" si="1"/>
        <v>5</v>
      </c>
    </row>
    <row r="5" spans="1:17" x14ac:dyDescent="0.25">
      <c r="A5" s="11">
        <f>'Mastercurve bestimmen'!M122</f>
        <v>80</v>
      </c>
      <c r="B5" s="11">
        <f>'Mastercurve bestimmen'!N122</f>
        <v>12.063922953615501</v>
      </c>
      <c r="M5" s="54">
        <v>5</v>
      </c>
      <c r="N5" s="56">
        <f t="shared" si="0"/>
        <v>3.2635184253375725E-8</v>
      </c>
      <c r="O5" s="11"/>
      <c r="P5" s="55">
        <v>5</v>
      </c>
      <c r="Q5" s="11">
        <f t="shared" si="1"/>
        <v>6</v>
      </c>
    </row>
    <row r="6" spans="1:17" x14ac:dyDescent="0.25">
      <c r="A6" s="11">
        <f>'Mastercurve bestimmen'!M123</f>
        <v>125</v>
      </c>
      <c r="B6" s="11">
        <f>'Mastercurve bestimmen'!N123</f>
        <v>31.8000897176249</v>
      </c>
      <c r="M6" s="54">
        <v>6</v>
      </c>
      <c r="N6" s="56">
        <f t="shared" si="0"/>
        <v>-1.7212797645557277E-9</v>
      </c>
      <c r="O6" s="11"/>
      <c r="P6" s="55">
        <v>6</v>
      </c>
      <c r="Q6" s="11">
        <f t="shared" si="1"/>
        <v>7</v>
      </c>
    </row>
    <row r="7" spans="1:17" x14ac:dyDescent="0.25">
      <c r="A7" s="11">
        <f>'Mastercurve bestimmen'!M124</f>
        <v>160</v>
      </c>
      <c r="B7" s="11">
        <f>'Mastercurve bestimmen'!N124</f>
        <v>35.861537922668312</v>
      </c>
      <c r="M7" s="54">
        <v>7</v>
      </c>
      <c r="N7" s="56">
        <f t="shared" si="0"/>
        <v>-2.1573002487892906E-12</v>
      </c>
      <c r="O7" s="11"/>
      <c r="P7" s="55">
        <v>7</v>
      </c>
      <c r="Q7" s="11">
        <f t="shared" si="1"/>
        <v>8</v>
      </c>
    </row>
    <row r="8" spans="1:17" x14ac:dyDescent="0.25">
      <c r="A8" s="11"/>
      <c r="B8" s="11"/>
      <c r="M8" s="54">
        <v>8</v>
      </c>
      <c r="N8" s="56">
        <f t="shared" si="0"/>
        <v>7.6314676318104761E-14</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-45.801625734711926</v>
      </c>
      <c r="E15" s="11">
        <f>A15-'Mastercurve bestimmen'!$B$2</f>
        <v>-90</v>
      </c>
      <c r="F15" s="11">
        <f>B15</f>
        <v>-45.801625734711926</v>
      </c>
      <c r="G15" s="11"/>
      <c r="H15" s="11">
        <f>IF($H$12&gt;=H$14,$E15^H$14,0)</f>
        <v>4304672100000000</v>
      </c>
      <c r="I15" s="11">
        <f t="shared" ref="I15:O30" si="3">IF($H$12&gt;=I$14,$E15^I$14,0)</f>
        <v>-47829690000000</v>
      </c>
      <c r="J15" s="11">
        <f t="shared" si="3"/>
        <v>531441000000</v>
      </c>
      <c r="K15" s="11">
        <f t="shared" si="3"/>
        <v>-5904900000</v>
      </c>
      <c r="L15" s="11">
        <f t="shared" si="3"/>
        <v>65610000</v>
      </c>
      <c r="M15" s="11">
        <f t="shared" si="3"/>
        <v>-729000</v>
      </c>
      <c r="N15" s="11">
        <f t="shared" si="3"/>
        <v>8100</v>
      </c>
      <c r="O15" s="11">
        <f t="shared" si="3"/>
        <v>-90</v>
      </c>
      <c r="P15" s="11">
        <v>0</v>
      </c>
    </row>
    <row r="16" spans="1:17" x14ac:dyDescent="0.25">
      <c r="A16" s="11">
        <f>A15+1</f>
        <v>-39</v>
      </c>
      <c r="B16" s="11">
        <v>-45.738092888466561</v>
      </c>
      <c r="E16" s="11">
        <f>A16-'Mastercurve bestimmen'!$B$2</f>
        <v>-89</v>
      </c>
      <c r="F16" s="11">
        <f t="shared" ref="F16:F79" si="4">B16</f>
        <v>-45.738092888466561</v>
      </c>
      <c r="G16" s="11"/>
      <c r="H16" s="11">
        <f t="shared" ref="H16:O47" si="5">IF($H$12&gt;=H$14,$E16^H$14,0)</f>
        <v>3936588805702081</v>
      </c>
      <c r="I16" s="11">
        <f t="shared" si="3"/>
        <v>-44231334895529</v>
      </c>
      <c r="J16" s="11">
        <f t="shared" si="3"/>
        <v>496981290961</v>
      </c>
      <c r="K16" s="11">
        <f t="shared" si="3"/>
        <v>-5584059449</v>
      </c>
      <c r="L16" s="11">
        <f t="shared" si="3"/>
        <v>62742241</v>
      </c>
      <c r="M16" s="11">
        <f t="shared" si="3"/>
        <v>-704969</v>
      </c>
      <c r="N16" s="11">
        <f t="shared" si="3"/>
        <v>7921</v>
      </c>
      <c r="O16" s="11">
        <f t="shared" si="3"/>
        <v>-89</v>
      </c>
      <c r="P16" s="11">
        <f>P15</f>
        <v>0</v>
      </c>
    </row>
    <row r="17" spans="1:16" x14ac:dyDescent="0.25">
      <c r="A17" s="11">
        <f t="shared" ref="A17:A80" si="6">A16+1</f>
        <v>-38</v>
      </c>
      <c r="B17" s="11">
        <v>-45.67441338219669</v>
      </c>
      <c r="E17" s="11">
        <f>A17-'Mastercurve bestimmen'!$B$2</f>
        <v>-88</v>
      </c>
      <c r="F17" s="11">
        <f t="shared" si="4"/>
        <v>-45.67441338219669</v>
      </c>
      <c r="G17" s="11"/>
      <c r="H17" s="11">
        <f t="shared" si="5"/>
        <v>3596345248055296</v>
      </c>
      <c r="I17" s="11">
        <f t="shared" si="3"/>
        <v>-40867559636992</v>
      </c>
      <c r="J17" s="11">
        <f t="shared" si="3"/>
        <v>464404086784</v>
      </c>
      <c r="K17" s="11">
        <f t="shared" si="3"/>
        <v>-5277319168</v>
      </c>
      <c r="L17" s="11">
        <f t="shared" si="3"/>
        <v>59969536</v>
      </c>
      <c r="M17" s="11">
        <f t="shared" si="3"/>
        <v>-681472</v>
      </c>
      <c r="N17" s="11">
        <f t="shared" si="3"/>
        <v>7744</v>
      </c>
      <c r="O17" s="11">
        <f t="shared" si="3"/>
        <v>-88</v>
      </c>
      <c r="P17" s="11">
        <f t="shared" ref="P17:P80" si="7">P16</f>
        <v>0</v>
      </c>
    </row>
    <row r="18" spans="1:16" x14ac:dyDescent="0.25">
      <c r="A18" s="11">
        <f t="shared" si="6"/>
        <v>-37</v>
      </c>
      <c r="B18" s="11">
        <v>-45.610440555877801</v>
      </c>
      <c r="E18" s="11">
        <f>A18-'Mastercurve bestimmen'!$B$2</f>
        <v>-87</v>
      </c>
      <c r="F18" s="11">
        <f t="shared" si="4"/>
        <v>-45.610440555877801</v>
      </c>
      <c r="G18" s="11"/>
      <c r="H18" s="11">
        <f t="shared" si="5"/>
        <v>3282116715437121</v>
      </c>
      <c r="I18" s="11">
        <f t="shared" si="3"/>
        <v>-37725479487783</v>
      </c>
      <c r="J18" s="11">
        <f t="shared" si="3"/>
        <v>433626201009</v>
      </c>
      <c r="K18" s="11">
        <f t="shared" si="3"/>
        <v>-4984209207</v>
      </c>
      <c r="L18" s="11">
        <f t="shared" si="3"/>
        <v>57289761</v>
      </c>
      <c r="M18" s="11">
        <f t="shared" si="3"/>
        <v>-658503</v>
      </c>
      <c r="N18" s="11">
        <f t="shared" si="3"/>
        <v>7569</v>
      </c>
      <c r="O18" s="11">
        <f t="shared" si="3"/>
        <v>-87</v>
      </c>
      <c r="P18" s="11">
        <f t="shared" si="7"/>
        <v>0</v>
      </c>
    </row>
    <row r="19" spans="1:16" x14ac:dyDescent="0.25">
      <c r="A19" s="11">
        <f t="shared" si="6"/>
        <v>-36</v>
      </c>
      <c r="B19" s="11">
        <v>-45.54602774948539</v>
      </c>
      <c r="E19" s="11">
        <f>A19-'Mastercurve bestimmen'!$B$2</f>
        <v>-86</v>
      </c>
      <c r="F19" s="11">
        <f t="shared" si="4"/>
        <v>-45.54602774948539</v>
      </c>
      <c r="G19" s="11"/>
      <c r="H19" s="11">
        <f t="shared" si="5"/>
        <v>2992179271065856</v>
      </c>
      <c r="I19" s="11">
        <f t="shared" si="3"/>
        <v>-34792782221696</v>
      </c>
      <c r="J19" s="11">
        <f t="shared" si="3"/>
        <v>404567235136</v>
      </c>
      <c r="K19" s="11">
        <f t="shared" si="3"/>
        <v>-4704270176</v>
      </c>
      <c r="L19" s="11">
        <f t="shared" si="3"/>
        <v>54700816</v>
      </c>
      <c r="M19" s="11">
        <f t="shared" si="3"/>
        <v>-636056</v>
      </c>
      <c r="N19" s="11">
        <f t="shared" si="3"/>
        <v>7396</v>
      </c>
      <c r="O19" s="11">
        <f t="shared" si="3"/>
        <v>-86</v>
      </c>
      <c r="P19" s="11">
        <f t="shared" si="7"/>
        <v>0</v>
      </c>
    </row>
    <row r="20" spans="1:16" x14ac:dyDescent="0.25">
      <c r="A20" s="11">
        <f t="shared" si="6"/>
        <v>-35</v>
      </c>
      <c r="B20" s="11">
        <v>-45.481028302994957</v>
      </c>
      <c r="E20" s="11">
        <f>A20-'Mastercurve bestimmen'!$B$2</f>
        <v>-85</v>
      </c>
      <c r="F20" s="11">
        <f t="shared" si="4"/>
        <v>-45.481028302994957</v>
      </c>
      <c r="G20" s="11"/>
      <c r="H20" s="11">
        <f t="shared" si="5"/>
        <v>2724905250390625</v>
      </c>
      <c r="I20" s="11">
        <f t="shared" si="3"/>
        <v>-32057708828125</v>
      </c>
      <c r="J20" s="11">
        <f t="shared" si="3"/>
        <v>377149515625</v>
      </c>
      <c r="K20" s="11">
        <f t="shared" si="3"/>
        <v>-4437053125</v>
      </c>
      <c r="L20" s="11">
        <f t="shared" si="3"/>
        <v>52200625</v>
      </c>
      <c r="M20" s="11">
        <f t="shared" si="3"/>
        <v>-614125</v>
      </c>
      <c r="N20" s="11">
        <f t="shared" si="3"/>
        <v>7225</v>
      </c>
      <c r="O20" s="11">
        <f t="shared" si="3"/>
        <v>-85</v>
      </c>
      <c r="P20" s="11">
        <f t="shared" si="7"/>
        <v>0</v>
      </c>
    </row>
    <row r="21" spans="1:16" x14ac:dyDescent="0.25">
      <c r="A21" s="11">
        <f t="shared" si="6"/>
        <v>-34</v>
      </c>
      <c r="B21" s="11">
        <v>-45.415295556381992</v>
      </c>
      <c r="E21" s="11">
        <f>A21-'Mastercurve bestimmen'!$B$2</f>
        <v>-84</v>
      </c>
      <c r="F21" s="11">
        <f t="shared" si="4"/>
        <v>-45.415295556381992</v>
      </c>
      <c r="G21" s="11"/>
      <c r="H21" s="11">
        <f t="shared" si="5"/>
        <v>2478758911082496</v>
      </c>
      <c r="I21" s="11">
        <f t="shared" si="3"/>
        <v>-29509034655744</v>
      </c>
      <c r="J21" s="11">
        <f t="shared" si="3"/>
        <v>351298031616</v>
      </c>
      <c r="K21" s="11">
        <f t="shared" si="3"/>
        <v>-4182119424</v>
      </c>
      <c r="L21" s="11">
        <f t="shared" si="3"/>
        <v>49787136</v>
      </c>
      <c r="M21" s="11">
        <f t="shared" si="3"/>
        <v>-592704</v>
      </c>
      <c r="N21" s="11">
        <f t="shared" si="3"/>
        <v>7056</v>
      </c>
      <c r="O21" s="11">
        <f t="shared" si="3"/>
        <v>-84</v>
      </c>
      <c r="P21" s="11">
        <f t="shared" si="7"/>
        <v>0</v>
      </c>
    </row>
    <row r="22" spans="1:16" x14ac:dyDescent="0.25">
      <c r="A22" s="11">
        <f t="shared" si="6"/>
        <v>-33</v>
      </c>
      <c r="B22">
        <v>-45.34868284962198</v>
      </c>
      <c r="E22" s="11">
        <f>A22-'Mastercurve bestimmen'!$B$2</f>
        <v>-83</v>
      </c>
      <c r="F22" s="11">
        <f t="shared" si="4"/>
        <v>-45.34868284962198</v>
      </c>
      <c r="G22" s="11"/>
      <c r="H22" s="11">
        <f t="shared" si="5"/>
        <v>2252292232139041</v>
      </c>
      <c r="I22" s="11">
        <f t="shared" si="3"/>
        <v>-27136050989627</v>
      </c>
      <c r="J22" s="11">
        <f t="shared" si="3"/>
        <v>326940373369</v>
      </c>
      <c r="K22" s="11">
        <f t="shared" si="3"/>
        <v>-3939040643</v>
      </c>
      <c r="L22" s="11">
        <f t="shared" si="3"/>
        <v>47458321</v>
      </c>
      <c r="M22" s="11">
        <f t="shared" si="3"/>
        <v>-571787</v>
      </c>
      <c r="N22" s="11">
        <f t="shared" si="3"/>
        <v>6889</v>
      </c>
      <c r="O22" s="11">
        <f t="shared" si="3"/>
        <v>-83</v>
      </c>
      <c r="P22" s="11">
        <f t="shared" si="7"/>
        <v>0</v>
      </c>
    </row>
    <row r="23" spans="1:16" x14ac:dyDescent="0.25">
      <c r="A23" s="11">
        <f t="shared" si="6"/>
        <v>-32</v>
      </c>
      <c r="B23">
        <v>-45.281043522690418</v>
      </c>
      <c r="E23" s="11">
        <f>A23-'Mastercurve bestimmen'!$B$2</f>
        <v>-82</v>
      </c>
      <c r="F23" s="11">
        <f t="shared" si="4"/>
        <v>-45.281043522690418</v>
      </c>
      <c r="G23" s="11"/>
      <c r="H23" s="11">
        <f t="shared" si="5"/>
        <v>2044140858654976</v>
      </c>
      <c r="I23" s="11">
        <f t="shared" si="3"/>
        <v>-24928547056768</v>
      </c>
      <c r="J23" s="11">
        <f t="shared" si="3"/>
        <v>304006671424</v>
      </c>
      <c r="K23" s="11">
        <f t="shared" si="3"/>
        <v>-3707398432</v>
      </c>
      <c r="L23" s="11">
        <f t="shared" si="3"/>
        <v>45212176</v>
      </c>
      <c r="M23" s="11">
        <f t="shared" si="3"/>
        <v>-551368</v>
      </c>
      <c r="N23" s="11">
        <f t="shared" si="3"/>
        <v>6724</v>
      </c>
      <c r="O23" s="11">
        <f t="shared" si="3"/>
        <v>-82</v>
      </c>
      <c r="P23" s="11">
        <f t="shared" si="7"/>
        <v>0</v>
      </c>
    </row>
    <row r="24" spans="1:16" x14ac:dyDescent="0.25">
      <c r="A24" s="11">
        <f t="shared" si="6"/>
        <v>-31</v>
      </c>
      <c r="B24">
        <v>-45.212230915562813</v>
      </c>
      <c r="E24" s="11">
        <f>A24-'Mastercurve bestimmen'!$B$2</f>
        <v>-81</v>
      </c>
      <c r="F24" s="11">
        <f t="shared" si="4"/>
        <v>-45.212230915562813</v>
      </c>
      <c r="G24" s="11"/>
      <c r="H24" s="11">
        <f t="shared" si="5"/>
        <v>1853020188851841</v>
      </c>
      <c r="I24" s="11">
        <f t="shared" si="3"/>
        <v>-22876792454961</v>
      </c>
      <c r="J24" s="11">
        <f t="shared" si="3"/>
        <v>282429536481</v>
      </c>
      <c r="K24" s="11">
        <f t="shared" si="3"/>
        <v>-3486784401</v>
      </c>
      <c r="L24" s="11">
        <f t="shared" si="3"/>
        <v>43046721</v>
      </c>
      <c r="M24" s="11">
        <f t="shared" si="3"/>
        <v>-531441</v>
      </c>
      <c r="N24" s="11">
        <f t="shared" si="3"/>
        <v>6561</v>
      </c>
      <c r="O24" s="11">
        <f t="shared" si="3"/>
        <v>-81</v>
      </c>
      <c r="P24" s="11">
        <f t="shared" si="7"/>
        <v>0</v>
      </c>
    </row>
    <row r="25" spans="1:16" x14ac:dyDescent="0.25">
      <c r="A25" s="11">
        <f t="shared" si="6"/>
        <v>-30</v>
      </c>
      <c r="B25">
        <v>-45.14209836821464</v>
      </c>
      <c r="E25" s="11">
        <f>A25-'Mastercurve bestimmen'!$B$2</f>
        <v>-80</v>
      </c>
      <c r="F25" s="11">
        <f t="shared" si="4"/>
        <v>-45.14209836821464</v>
      </c>
      <c r="G25" s="11"/>
      <c r="H25" s="11">
        <f t="shared" si="5"/>
        <v>1677721600000000</v>
      </c>
      <c r="I25" s="11">
        <f t="shared" si="3"/>
        <v>-20971520000000</v>
      </c>
      <c r="J25" s="11">
        <f t="shared" si="3"/>
        <v>262144000000</v>
      </c>
      <c r="K25" s="11">
        <f t="shared" si="3"/>
        <v>-3276800000</v>
      </c>
      <c r="L25" s="11">
        <f t="shared" si="3"/>
        <v>40960000</v>
      </c>
      <c r="M25" s="11">
        <f t="shared" si="3"/>
        <v>-512000</v>
      </c>
      <c r="N25" s="11">
        <f t="shared" si="3"/>
        <v>6400</v>
      </c>
      <c r="O25" s="11">
        <f t="shared" si="3"/>
        <v>-80</v>
      </c>
      <c r="P25" s="11">
        <f t="shared" si="7"/>
        <v>0</v>
      </c>
    </row>
    <row r="26" spans="1:16" x14ac:dyDescent="0.25">
      <c r="A26" s="11">
        <f t="shared" si="6"/>
        <v>-29</v>
      </c>
      <c r="B26">
        <v>-45.0704992206214</v>
      </c>
      <c r="E26" s="11">
        <f>A26-'Mastercurve bestimmen'!$B$2</f>
        <v>-79</v>
      </c>
      <c r="F26" s="11">
        <f t="shared" si="4"/>
        <v>-45.0704992206214</v>
      </c>
      <c r="G26" s="11"/>
      <c r="H26" s="11">
        <f t="shared" si="5"/>
        <v>1517108809906561</v>
      </c>
      <c r="I26" s="11">
        <f t="shared" si="3"/>
        <v>-19203908986159</v>
      </c>
      <c r="J26" s="11">
        <f t="shared" si="3"/>
        <v>243087455521</v>
      </c>
      <c r="K26" s="11">
        <f t="shared" si="3"/>
        <v>-3077056399</v>
      </c>
      <c r="L26" s="11">
        <f t="shared" si="3"/>
        <v>38950081</v>
      </c>
      <c r="M26" s="11">
        <f t="shared" si="3"/>
        <v>-493039</v>
      </c>
      <c r="N26" s="11">
        <f t="shared" si="3"/>
        <v>6241</v>
      </c>
      <c r="O26" s="11">
        <f t="shared" si="3"/>
        <v>-79</v>
      </c>
      <c r="P26" s="11">
        <f t="shared" si="7"/>
        <v>0</v>
      </c>
    </row>
    <row r="27" spans="1:16" x14ac:dyDescent="0.25">
      <c r="A27" s="11">
        <f t="shared" si="6"/>
        <v>-28</v>
      </c>
      <c r="B27">
        <v>-44.997286812758588</v>
      </c>
      <c r="E27" s="11">
        <f>A27-'Mastercurve bestimmen'!$B$2</f>
        <v>-78</v>
      </c>
      <c r="F27" s="11">
        <f t="shared" si="4"/>
        <v>-44.997286812758588</v>
      </c>
      <c r="G27" s="11"/>
      <c r="H27" s="11">
        <f t="shared" si="5"/>
        <v>1370114370683136</v>
      </c>
      <c r="I27" s="11">
        <f t="shared" si="3"/>
        <v>-17565568854912</v>
      </c>
      <c r="J27" s="11">
        <f t="shared" si="3"/>
        <v>225199600704</v>
      </c>
      <c r="K27" s="11">
        <f t="shared" si="3"/>
        <v>-2887174368</v>
      </c>
      <c r="L27" s="11">
        <f t="shared" si="3"/>
        <v>37015056</v>
      </c>
      <c r="M27" s="11">
        <f t="shared" si="3"/>
        <v>-474552</v>
      </c>
      <c r="N27" s="11">
        <f t="shared" si="3"/>
        <v>6084</v>
      </c>
      <c r="O27" s="11">
        <f t="shared" si="3"/>
        <v>-78</v>
      </c>
      <c r="P27" s="11">
        <f t="shared" si="7"/>
        <v>0</v>
      </c>
    </row>
    <row r="28" spans="1:16" x14ac:dyDescent="0.25">
      <c r="A28" s="11">
        <f t="shared" si="6"/>
        <v>-27</v>
      </c>
      <c r="B28">
        <v>-44.922314484601692</v>
      </c>
      <c r="E28" s="11">
        <f>A28-'Mastercurve bestimmen'!$B$2</f>
        <v>-77</v>
      </c>
      <c r="F28" s="11">
        <f t="shared" si="4"/>
        <v>-44.922314484601692</v>
      </c>
      <c r="G28" s="11"/>
      <c r="H28" s="11">
        <f t="shared" si="5"/>
        <v>1235736291547681</v>
      </c>
      <c r="I28" s="11">
        <f t="shared" si="3"/>
        <v>-16048523266853</v>
      </c>
      <c r="J28" s="11">
        <f t="shared" si="3"/>
        <v>208422380089</v>
      </c>
      <c r="K28" s="11">
        <f t="shared" si="3"/>
        <v>-2706784157</v>
      </c>
      <c r="L28" s="11">
        <f t="shared" si="3"/>
        <v>35153041</v>
      </c>
      <c r="M28" s="11">
        <f t="shared" si="3"/>
        <v>-456533</v>
      </c>
      <c r="N28" s="11">
        <f t="shared" si="3"/>
        <v>5929</v>
      </c>
      <c r="O28" s="11">
        <f t="shared" si="3"/>
        <v>-77</v>
      </c>
      <c r="P28" s="11">
        <f t="shared" si="7"/>
        <v>0</v>
      </c>
    </row>
    <row r="29" spans="1:16" x14ac:dyDescent="0.25">
      <c r="A29" s="11">
        <f t="shared" si="6"/>
        <v>-26</v>
      </c>
      <c r="B29">
        <v>-44.845435576126206</v>
      </c>
      <c r="E29" s="11">
        <f>A29-'Mastercurve bestimmen'!$B$2</f>
        <v>-76</v>
      </c>
      <c r="F29" s="11">
        <f t="shared" si="4"/>
        <v>-44.845435576126206</v>
      </c>
      <c r="G29" s="11"/>
      <c r="H29" s="11">
        <f t="shared" si="5"/>
        <v>1113034787454976</v>
      </c>
      <c r="I29" s="11">
        <f t="shared" si="3"/>
        <v>-14645194571776</v>
      </c>
      <c r="J29" s="11">
        <f t="shared" si="3"/>
        <v>192699928576</v>
      </c>
      <c r="K29" s="11">
        <f t="shared" si="3"/>
        <v>-2535525376</v>
      </c>
      <c r="L29" s="11">
        <f t="shared" si="3"/>
        <v>33362176</v>
      </c>
      <c r="M29" s="11">
        <f t="shared" si="3"/>
        <v>-438976</v>
      </c>
      <c r="N29" s="11">
        <f t="shared" si="3"/>
        <v>5776</v>
      </c>
      <c r="O29" s="11">
        <f t="shared" si="3"/>
        <v>-76</v>
      </c>
      <c r="P29" s="11">
        <f t="shared" si="7"/>
        <v>0</v>
      </c>
    </row>
    <row r="30" spans="1:16" x14ac:dyDescent="0.25">
      <c r="A30" s="11">
        <f t="shared" si="6"/>
        <v>-25</v>
      </c>
      <c r="B30">
        <v>-44.766503427307626</v>
      </c>
      <c r="E30" s="11">
        <f>A30-'Mastercurve bestimmen'!$B$2</f>
        <v>-75</v>
      </c>
      <c r="F30" s="11">
        <f t="shared" si="4"/>
        <v>-44.766503427307626</v>
      </c>
      <c r="G30" s="11"/>
      <c r="H30" s="11">
        <f t="shared" si="5"/>
        <v>1001129150390625</v>
      </c>
      <c r="I30" s="11">
        <f t="shared" si="3"/>
        <v>-13348388671875</v>
      </c>
      <c r="J30" s="11">
        <f t="shared" si="3"/>
        <v>177978515625</v>
      </c>
      <c r="K30" s="11">
        <f t="shared" si="3"/>
        <v>-2373046875</v>
      </c>
      <c r="L30" s="11">
        <f t="shared" si="3"/>
        <v>31640625</v>
      </c>
      <c r="M30" s="11">
        <f t="shared" si="3"/>
        <v>-421875</v>
      </c>
      <c r="N30" s="11">
        <f t="shared" si="3"/>
        <v>5625</v>
      </c>
      <c r="O30" s="11">
        <f t="shared" si="3"/>
        <v>-75</v>
      </c>
      <c r="P30" s="11">
        <f t="shared" si="7"/>
        <v>0</v>
      </c>
    </row>
    <row r="31" spans="1:16" x14ac:dyDescent="0.25">
      <c r="A31" s="11">
        <f t="shared" si="6"/>
        <v>-24</v>
      </c>
      <c r="B31">
        <v>-44.685371378121459</v>
      </c>
      <c r="E31" s="11">
        <f>A31-'Mastercurve bestimmen'!$B$2</f>
        <v>-74</v>
      </c>
      <c r="F31" s="11">
        <f t="shared" si="4"/>
        <v>-44.685371378121459</v>
      </c>
      <c r="G31" s="11"/>
      <c r="H31" s="11">
        <f t="shared" si="5"/>
        <v>899194740203776</v>
      </c>
      <c r="I31" s="11">
        <f t="shared" si="5"/>
        <v>-12151280273024</v>
      </c>
      <c r="J31" s="11">
        <f t="shared" si="5"/>
        <v>164206490176</v>
      </c>
      <c r="K31" s="11">
        <f t="shared" si="5"/>
        <v>-2219006624</v>
      </c>
      <c r="L31" s="11">
        <f t="shared" si="5"/>
        <v>29986576</v>
      </c>
      <c r="M31" s="11">
        <f t="shared" si="5"/>
        <v>-405224</v>
      </c>
      <c r="N31" s="11">
        <f t="shared" si="5"/>
        <v>5476</v>
      </c>
      <c r="O31" s="11">
        <f t="shared" si="5"/>
        <v>-74</v>
      </c>
      <c r="P31" s="11">
        <f t="shared" si="7"/>
        <v>0</v>
      </c>
    </row>
    <row r="32" spans="1:16" x14ac:dyDescent="0.25">
      <c r="A32" s="11">
        <f t="shared" si="6"/>
        <v>-23</v>
      </c>
      <c r="B32">
        <v>-44.601892768543166</v>
      </c>
      <c r="E32" s="11">
        <f>A32-'Mastercurve bestimmen'!$B$2</f>
        <v>-73</v>
      </c>
      <c r="F32" s="11">
        <f t="shared" si="4"/>
        <v>-44.601892768543166</v>
      </c>
      <c r="G32" s="11"/>
      <c r="H32" s="11">
        <f t="shared" si="5"/>
        <v>806460091894081</v>
      </c>
      <c r="I32" s="11">
        <f t="shared" si="5"/>
        <v>-11047398519097</v>
      </c>
      <c r="J32" s="11">
        <f t="shared" si="5"/>
        <v>151334226289</v>
      </c>
      <c r="K32" s="11">
        <f t="shared" si="5"/>
        <v>-2073071593</v>
      </c>
      <c r="L32" s="11">
        <f t="shared" si="5"/>
        <v>28398241</v>
      </c>
      <c r="M32" s="11">
        <f t="shared" si="5"/>
        <v>-389017</v>
      </c>
      <c r="N32" s="11">
        <f t="shared" si="5"/>
        <v>5329</v>
      </c>
      <c r="O32" s="11">
        <f t="shared" si="5"/>
        <v>-73</v>
      </c>
      <c r="P32" s="11">
        <f t="shared" si="7"/>
        <v>0</v>
      </c>
    </row>
    <row r="33" spans="1:16" x14ac:dyDescent="0.25">
      <c r="A33" s="11">
        <f t="shared" si="6"/>
        <v>-22</v>
      </c>
      <c r="B33">
        <v>-44.515920938548263</v>
      </c>
      <c r="E33" s="11">
        <f>A33-'Mastercurve bestimmen'!$B$2</f>
        <v>-72</v>
      </c>
      <c r="F33" s="11">
        <f t="shared" si="4"/>
        <v>-44.515920938548263</v>
      </c>
      <c r="G33" s="11"/>
      <c r="H33" s="11">
        <f t="shared" si="5"/>
        <v>722204136308736</v>
      </c>
      <c r="I33" s="11">
        <f t="shared" si="5"/>
        <v>-10030613004288</v>
      </c>
      <c r="J33" s="11">
        <f t="shared" si="5"/>
        <v>139314069504</v>
      </c>
      <c r="K33" s="11">
        <f t="shared" si="5"/>
        <v>-1934917632</v>
      </c>
      <c r="L33" s="11">
        <f t="shared" si="5"/>
        <v>26873856</v>
      </c>
      <c r="M33" s="11">
        <f t="shared" si="5"/>
        <v>-373248</v>
      </c>
      <c r="N33" s="11">
        <f t="shared" si="5"/>
        <v>5184</v>
      </c>
      <c r="O33" s="11">
        <f t="shared" si="5"/>
        <v>-72</v>
      </c>
      <c r="P33" s="11">
        <f t="shared" si="7"/>
        <v>0</v>
      </c>
    </row>
    <row r="34" spans="1:16" x14ac:dyDescent="0.25">
      <c r="A34" s="11">
        <f t="shared" si="6"/>
        <v>-21</v>
      </c>
      <c r="B34">
        <v>-44.427309228112236</v>
      </c>
      <c r="E34" s="11">
        <f>A34-'Mastercurve bestimmen'!$B$2</f>
        <v>-71</v>
      </c>
      <c r="F34" s="11">
        <f t="shared" si="4"/>
        <v>-44.427309228112236</v>
      </c>
      <c r="G34" s="11"/>
      <c r="H34" s="11">
        <f t="shared" si="5"/>
        <v>645753531245761</v>
      </c>
      <c r="I34" s="11">
        <f t="shared" si="5"/>
        <v>-9095120158391</v>
      </c>
      <c r="J34" s="11">
        <f t="shared" si="5"/>
        <v>128100283921</v>
      </c>
      <c r="K34" s="11">
        <f t="shared" si="5"/>
        <v>-1804229351</v>
      </c>
      <c r="L34" s="11">
        <f t="shared" si="5"/>
        <v>25411681</v>
      </c>
      <c r="M34" s="11">
        <f t="shared" si="5"/>
        <v>-357911</v>
      </c>
      <c r="N34" s="11">
        <f t="shared" si="5"/>
        <v>5041</v>
      </c>
      <c r="O34" s="11">
        <f t="shared" si="5"/>
        <v>-71</v>
      </c>
      <c r="P34" s="11">
        <f t="shared" si="7"/>
        <v>0</v>
      </c>
    </row>
    <row r="35" spans="1:16" x14ac:dyDescent="0.25">
      <c r="A35" s="11">
        <f t="shared" si="6"/>
        <v>-20</v>
      </c>
      <c r="B35">
        <v>-44.335910977210588</v>
      </c>
      <c r="E35" s="11">
        <f>A35-'Mastercurve bestimmen'!$B$2</f>
        <v>-70</v>
      </c>
      <c r="F35" s="11">
        <f t="shared" si="4"/>
        <v>-44.335910977210588</v>
      </c>
      <c r="G35" s="11"/>
      <c r="H35" s="11">
        <f t="shared" si="5"/>
        <v>576480100000000</v>
      </c>
      <c r="I35" s="11">
        <f t="shared" si="5"/>
        <v>-8235430000000</v>
      </c>
      <c r="J35" s="11">
        <f t="shared" si="5"/>
        <v>117649000000</v>
      </c>
      <c r="K35" s="11">
        <f t="shared" si="5"/>
        <v>-1680700000</v>
      </c>
      <c r="L35" s="11">
        <f t="shared" si="5"/>
        <v>24010000</v>
      </c>
      <c r="M35" s="11">
        <f t="shared" si="5"/>
        <v>-343000</v>
      </c>
      <c r="N35" s="11">
        <f t="shared" si="5"/>
        <v>4900</v>
      </c>
      <c r="O35" s="11">
        <f t="shared" si="5"/>
        <v>-70</v>
      </c>
      <c r="P35" s="11">
        <f t="shared" si="7"/>
        <v>0</v>
      </c>
    </row>
    <row r="36" spans="1:16" x14ac:dyDescent="0.25">
      <c r="A36" s="11">
        <f t="shared" si="6"/>
        <v>-19</v>
      </c>
      <c r="B36">
        <v>-44.2415795258188</v>
      </c>
      <c r="E36" s="11">
        <f>A36-'Mastercurve bestimmen'!$B$2</f>
        <v>-69</v>
      </c>
      <c r="F36" s="11">
        <f t="shared" si="4"/>
        <v>-44.2415795258188</v>
      </c>
      <c r="G36" s="11"/>
      <c r="H36" s="11">
        <f t="shared" si="5"/>
        <v>513798374428641</v>
      </c>
      <c r="I36" s="11">
        <f t="shared" si="5"/>
        <v>-7446353252589</v>
      </c>
      <c r="J36" s="11">
        <f t="shared" si="5"/>
        <v>107918163081</v>
      </c>
      <c r="K36" s="11">
        <f t="shared" si="5"/>
        <v>-1564031349</v>
      </c>
      <c r="L36" s="11">
        <f t="shared" si="5"/>
        <v>22667121</v>
      </c>
      <c r="M36" s="11">
        <f t="shared" si="5"/>
        <v>-328509</v>
      </c>
      <c r="N36" s="11">
        <f t="shared" si="5"/>
        <v>4761</v>
      </c>
      <c r="O36" s="11">
        <f t="shared" si="5"/>
        <v>-69</v>
      </c>
      <c r="P36" s="11">
        <f t="shared" si="7"/>
        <v>0</v>
      </c>
    </row>
    <row r="37" spans="1:16" x14ac:dyDescent="0.25">
      <c r="A37" s="11">
        <f t="shared" si="6"/>
        <v>-18</v>
      </c>
      <c r="B37">
        <v>-44.144168213912366</v>
      </c>
      <c r="E37" s="11">
        <f>A37-'Mastercurve bestimmen'!$B$2</f>
        <v>-68</v>
      </c>
      <c r="F37" s="11">
        <f t="shared" si="4"/>
        <v>-44.144168213912366</v>
      </c>
      <c r="G37" s="11"/>
      <c r="H37" s="11">
        <f t="shared" si="5"/>
        <v>457163239653376</v>
      </c>
      <c r="I37" s="11">
        <f t="shared" si="5"/>
        <v>-6722988818432</v>
      </c>
      <c r="J37" s="11">
        <f t="shared" si="5"/>
        <v>98867482624</v>
      </c>
      <c r="K37" s="11">
        <f t="shared" si="5"/>
        <v>-1453933568</v>
      </c>
      <c r="L37" s="11">
        <f t="shared" si="5"/>
        <v>21381376</v>
      </c>
      <c r="M37" s="11">
        <f t="shared" si="5"/>
        <v>-314432</v>
      </c>
      <c r="N37" s="11">
        <f t="shared" si="5"/>
        <v>4624</v>
      </c>
      <c r="O37" s="11">
        <f t="shared" si="5"/>
        <v>-68</v>
      </c>
      <c r="P37" s="11">
        <f t="shared" si="7"/>
        <v>0</v>
      </c>
    </row>
    <row r="38" spans="1:16" x14ac:dyDescent="0.25">
      <c r="A38" s="11">
        <f t="shared" si="6"/>
        <v>-17</v>
      </c>
      <c r="B38">
        <v>-44.043530381466795</v>
      </c>
      <c r="E38" s="11">
        <f>A38-'Mastercurve bestimmen'!$B$2</f>
        <v>-67</v>
      </c>
      <c r="F38" s="11">
        <f t="shared" si="4"/>
        <v>-44.043530381466795</v>
      </c>
      <c r="G38" s="11"/>
      <c r="H38" s="11">
        <f t="shared" si="5"/>
        <v>406067677556641</v>
      </c>
      <c r="I38" s="11">
        <f t="shared" si="5"/>
        <v>-6060711605323</v>
      </c>
      <c r="J38" s="11">
        <f t="shared" si="5"/>
        <v>90458382169</v>
      </c>
      <c r="K38" s="11">
        <f t="shared" si="5"/>
        <v>-1350125107</v>
      </c>
      <c r="L38" s="11">
        <f t="shared" si="5"/>
        <v>20151121</v>
      </c>
      <c r="M38" s="11">
        <f t="shared" si="5"/>
        <v>-300763</v>
      </c>
      <c r="N38" s="11">
        <f t="shared" si="5"/>
        <v>4489</v>
      </c>
      <c r="O38" s="11">
        <f t="shared" si="5"/>
        <v>-67</v>
      </c>
      <c r="P38" s="11">
        <f t="shared" si="7"/>
        <v>0</v>
      </c>
    </row>
    <row r="39" spans="1:16" x14ac:dyDescent="0.25">
      <c r="A39" s="11">
        <f t="shared" si="6"/>
        <v>-16</v>
      </c>
      <c r="B39">
        <v>-43.939519368457553</v>
      </c>
      <c r="E39" s="11">
        <f>A39-'Mastercurve bestimmen'!$B$2</f>
        <v>-66</v>
      </c>
      <c r="F39" s="11">
        <f t="shared" si="4"/>
        <v>-43.939519368457553</v>
      </c>
      <c r="G39" s="11"/>
      <c r="H39" s="11">
        <f t="shared" si="5"/>
        <v>360040606269696</v>
      </c>
      <c r="I39" s="11">
        <f t="shared" si="5"/>
        <v>-5455160701056</v>
      </c>
      <c r="J39" s="11">
        <f t="shared" si="5"/>
        <v>82653950016</v>
      </c>
      <c r="K39" s="11">
        <f t="shared" si="5"/>
        <v>-1252332576</v>
      </c>
      <c r="L39" s="11">
        <f t="shared" si="5"/>
        <v>18974736</v>
      </c>
      <c r="M39" s="11">
        <f t="shared" si="5"/>
        <v>-287496</v>
      </c>
      <c r="N39" s="11">
        <f t="shared" si="5"/>
        <v>4356</v>
      </c>
      <c r="O39" s="11">
        <f t="shared" si="5"/>
        <v>-66</v>
      </c>
      <c r="P39" s="11">
        <f t="shared" si="7"/>
        <v>0</v>
      </c>
    </row>
    <row r="40" spans="1:16" x14ac:dyDescent="0.25">
      <c r="A40" s="11">
        <f t="shared" si="6"/>
        <v>-15</v>
      </c>
      <c r="B40">
        <v>-43.831988514860157</v>
      </c>
      <c r="E40" s="11">
        <f>A40-'Mastercurve bestimmen'!$B$2</f>
        <v>-65</v>
      </c>
      <c r="F40" s="11">
        <f t="shared" si="4"/>
        <v>-43.831988514860157</v>
      </c>
      <c r="G40" s="11"/>
      <c r="H40" s="11">
        <f t="shared" si="5"/>
        <v>318644812890625</v>
      </c>
      <c r="I40" s="11">
        <f t="shared" si="5"/>
        <v>-4902227890625</v>
      </c>
      <c r="J40" s="11">
        <f t="shared" si="5"/>
        <v>75418890625</v>
      </c>
      <c r="K40" s="11">
        <f t="shared" si="5"/>
        <v>-1160290625</v>
      </c>
      <c r="L40" s="11">
        <f t="shared" si="5"/>
        <v>17850625</v>
      </c>
      <c r="M40" s="11">
        <f t="shared" si="5"/>
        <v>-274625</v>
      </c>
      <c r="N40" s="11">
        <f t="shared" si="5"/>
        <v>4225</v>
      </c>
      <c r="O40" s="11">
        <f t="shared" si="5"/>
        <v>-65</v>
      </c>
      <c r="P40" s="11">
        <f t="shared" si="7"/>
        <v>0</v>
      </c>
    </row>
    <row r="41" spans="1:16" x14ac:dyDescent="0.25">
      <c r="A41" s="11">
        <f t="shared" si="6"/>
        <v>-14</v>
      </c>
      <c r="B41">
        <v>-43.720791160650094</v>
      </c>
      <c r="E41" s="11">
        <f>A41-'Mastercurve bestimmen'!$B$2</f>
        <v>-64</v>
      </c>
      <c r="F41" s="11">
        <f t="shared" si="4"/>
        <v>-43.720791160650094</v>
      </c>
      <c r="G41" s="11"/>
      <c r="H41" s="11">
        <f t="shared" si="5"/>
        <v>281474976710656</v>
      </c>
      <c r="I41" s="11">
        <f t="shared" si="5"/>
        <v>-4398046511104</v>
      </c>
      <c r="J41" s="11">
        <f t="shared" si="5"/>
        <v>68719476736</v>
      </c>
      <c r="K41" s="11">
        <f t="shared" si="5"/>
        <v>-1073741824</v>
      </c>
      <c r="L41" s="11">
        <f t="shared" si="5"/>
        <v>16777216</v>
      </c>
      <c r="M41" s="11">
        <f t="shared" si="5"/>
        <v>-262144</v>
      </c>
      <c r="N41" s="11">
        <f t="shared" si="5"/>
        <v>4096</v>
      </c>
      <c r="O41" s="11">
        <f t="shared" si="5"/>
        <v>-64</v>
      </c>
      <c r="P41" s="11">
        <f t="shared" si="7"/>
        <v>0</v>
      </c>
    </row>
    <row r="42" spans="1:16" x14ac:dyDescent="0.25">
      <c r="A42" s="11">
        <f t="shared" si="6"/>
        <v>-13</v>
      </c>
      <c r="B42">
        <v>-43.605780645802852</v>
      </c>
      <c r="E42" s="11">
        <f>A42-'Mastercurve bestimmen'!$B$2</f>
        <v>-63</v>
      </c>
      <c r="F42" s="11">
        <f t="shared" si="4"/>
        <v>-43.605780645802852</v>
      </c>
      <c r="G42" s="11"/>
      <c r="H42" s="11">
        <f t="shared" si="5"/>
        <v>248155780267521</v>
      </c>
      <c r="I42" s="11">
        <f t="shared" si="5"/>
        <v>-3938980639167</v>
      </c>
      <c r="J42" s="11">
        <f t="shared" si="5"/>
        <v>62523502209</v>
      </c>
      <c r="K42" s="11">
        <f t="shared" si="5"/>
        <v>-992436543</v>
      </c>
      <c r="L42" s="11">
        <f t="shared" si="5"/>
        <v>15752961</v>
      </c>
      <c r="M42" s="11">
        <f t="shared" si="5"/>
        <v>-250047</v>
      </c>
      <c r="N42" s="11">
        <f t="shared" si="5"/>
        <v>3969</v>
      </c>
      <c r="O42" s="11">
        <f t="shared" si="5"/>
        <v>-63</v>
      </c>
      <c r="P42" s="11">
        <f t="shared" si="7"/>
        <v>0</v>
      </c>
    </row>
    <row r="43" spans="1:16" x14ac:dyDescent="0.25">
      <c r="A43" s="11">
        <f t="shared" si="6"/>
        <v>-12</v>
      </c>
      <c r="B43">
        <v>-43.486810310293926</v>
      </c>
      <c r="E43" s="11">
        <f>A43-'Mastercurve bestimmen'!$B$2</f>
        <v>-62</v>
      </c>
      <c r="F43" s="11">
        <f t="shared" si="4"/>
        <v>-43.486810310293926</v>
      </c>
      <c r="G43" s="11"/>
      <c r="H43" s="11">
        <f t="shared" si="5"/>
        <v>218340105584896</v>
      </c>
      <c r="I43" s="11">
        <f t="shared" si="5"/>
        <v>-3521614606208</v>
      </c>
      <c r="J43" s="11">
        <f t="shared" si="5"/>
        <v>56800235584</v>
      </c>
      <c r="K43" s="11">
        <f t="shared" si="5"/>
        <v>-916132832</v>
      </c>
      <c r="L43" s="11">
        <f t="shared" si="5"/>
        <v>14776336</v>
      </c>
      <c r="M43" s="11">
        <f t="shared" si="5"/>
        <v>-238328</v>
      </c>
      <c r="N43" s="11">
        <f t="shared" si="5"/>
        <v>3844</v>
      </c>
      <c r="O43" s="11">
        <f t="shared" si="5"/>
        <v>-62</v>
      </c>
      <c r="P43" s="11">
        <f t="shared" si="7"/>
        <v>0</v>
      </c>
    </row>
    <row r="44" spans="1:16" x14ac:dyDescent="0.25">
      <c r="A44" s="11">
        <f t="shared" si="6"/>
        <v>-11</v>
      </c>
      <c r="B44">
        <v>-43.36373349409881</v>
      </c>
      <c r="E44" s="11">
        <f>A44-'Mastercurve bestimmen'!$B$2</f>
        <v>-61</v>
      </c>
      <c r="F44" s="11">
        <f t="shared" si="4"/>
        <v>-43.36373349409881</v>
      </c>
      <c r="G44" s="11"/>
      <c r="H44" s="11">
        <f t="shared" si="5"/>
        <v>191707312997281</v>
      </c>
      <c r="I44" s="11">
        <f t="shared" si="5"/>
        <v>-3142742836021</v>
      </c>
      <c r="J44" s="11">
        <f t="shared" si="5"/>
        <v>51520374361</v>
      </c>
      <c r="K44" s="11">
        <f t="shared" si="5"/>
        <v>-844596301</v>
      </c>
      <c r="L44" s="11">
        <f t="shared" si="5"/>
        <v>13845841</v>
      </c>
      <c r="M44" s="11">
        <f t="shared" si="5"/>
        <v>-226981</v>
      </c>
      <c r="N44" s="11">
        <f t="shared" si="5"/>
        <v>3721</v>
      </c>
      <c r="O44" s="11">
        <f t="shared" si="5"/>
        <v>-61</v>
      </c>
      <c r="P44" s="11">
        <f t="shared" si="7"/>
        <v>0</v>
      </c>
    </row>
    <row r="45" spans="1:16" x14ac:dyDescent="0.25">
      <c r="A45" s="11">
        <f t="shared" si="6"/>
        <v>-10</v>
      </c>
      <c r="B45">
        <v>-43.236403537192999</v>
      </c>
      <c r="E45" s="11">
        <f>A45-'Mastercurve bestimmen'!$B$2</f>
        <v>-60</v>
      </c>
      <c r="F45" s="11">
        <f t="shared" si="4"/>
        <v>-43.236403537192999</v>
      </c>
      <c r="G45" s="11"/>
      <c r="H45" s="11">
        <f t="shared" si="5"/>
        <v>167961600000000</v>
      </c>
      <c r="I45" s="11">
        <f t="shared" si="5"/>
        <v>-2799360000000</v>
      </c>
      <c r="J45" s="11">
        <f t="shared" si="5"/>
        <v>46656000000</v>
      </c>
      <c r="K45" s="11">
        <f t="shared" si="5"/>
        <v>-777600000</v>
      </c>
      <c r="L45" s="11">
        <f t="shared" si="5"/>
        <v>12960000</v>
      </c>
      <c r="M45" s="11">
        <f t="shared" si="5"/>
        <v>-216000</v>
      </c>
      <c r="N45" s="11">
        <f t="shared" si="5"/>
        <v>3600</v>
      </c>
      <c r="O45" s="11">
        <f t="shared" si="5"/>
        <v>-60</v>
      </c>
      <c r="P45" s="11">
        <f t="shared" si="7"/>
        <v>0</v>
      </c>
    </row>
    <row r="46" spans="1:16" x14ac:dyDescent="0.25">
      <c r="A46" s="11">
        <f t="shared" si="6"/>
        <v>-9</v>
      </c>
      <c r="B46">
        <v>-43.104673779551987</v>
      </c>
      <c r="E46" s="11">
        <f>A46-'Mastercurve bestimmen'!$B$2</f>
        <v>-59</v>
      </c>
      <c r="F46" s="11">
        <f t="shared" si="4"/>
        <v>-43.104673779551987</v>
      </c>
      <c r="G46" s="11"/>
      <c r="H46" s="11">
        <f t="shared" si="5"/>
        <v>146830437604321</v>
      </c>
      <c r="I46" s="11">
        <f t="shared" si="5"/>
        <v>-2488651484819</v>
      </c>
      <c r="J46" s="11">
        <f t="shared" si="5"/>
        <v>42180533641</v>
      </c>
      <c r="K46" s="11">
        <f t="shared" si="5"/>
        <v>-714924299</v>
      </c>
      <c r="L46" s="11">
        <f t="shared" si="5"/>
        <v>12117361</v>
      </c>
      <c r="M46" s="11">
        <f t="shared" si="5"/>
        <v>-205379</v>
      </c>
      <c r="N46" s="11">
        <f t="shared" si="5"/>
        <v>3481</v>
      </c>
      <c r="O46" s="11">
        <f t="shared" si="5"/>
        <v>-59</v>
      </c>
      <c r="P46" s="11">
        <f t="shared" si="7"/>
        <v>0</v>
      </c>
    </row>
    <row r="47" spans="1:16" x14ac:dyDescent="0.25">
      <c r="A47" s="11">
        <f t="shared" si="6"/>
        <v>-8</v>
      </c>
      <c r="B47">
        <v>-42.968397561151264</v>
      </c>
      <c r="E47" s="11">
        <f>A47-'Mastercurve bestimmen'!$B$2</f>
        <v>-58</v>
      </c>
      <c r="F47" s="11">
        <f t="shared" si="4"/>
        <v>-42.968397561151264</v>
      </c>
      <c r="G47" s="11"/>
      <c r="H47" s="11">
        <f t="shared" si="5"/>
        <v>128063081718016</v>
      </c>
      <c r="I47" s="11">
        <f t="shared" si="5"/>
        <v>-2207984167552</v>
      </c>
      <c r="J47" s="11">
        <f t="shared" si="5"/>
        <v>38068692544</v>
      </c>
      <c r="K47" s="11">
        <f t="shared" si="5"/>
        <v>-656356768</v>
      </c>
      <c r="L47" s="11">
        <f t="shared" si="5"/>
        <v>11316496</v>
      </c>
      <c r="M47" s="11">
        <f t="shared" si="5"/>
        <v>-195112</v>
      </c>
      <c r="N47" s="11">
        <f t="shared" si="5"/>
        <v>3364</v>
      </c>
      <c r="O47" s="11">
        <f t="shared" si="5"/>
        <v>-58</v>
      </c>
      <c r="P47" s="11">
        <f t="shared" si="7"/>
        <v>0</v>
      </c>
    </row>
    <row r="48" spans="1:16" x14ac:dyDescent="0.25">
      <c r="A48" s="11">
        <f t="shared" si="6"/>
        <v>-7</v>
      </c>
      <c r="B48">
        <v>-42.827428221966329</v>
      </c>
      <c r="E48" s="11">
        <f>A48-'Mastercurve bestimmen'!$B$2</f>
        <v>-57</v>
      </c>
      <c r="F48" s="11">
        <f t="shared" si="4"/>
        <v>-42.827428221966329</v>
      </c>
      <c r="G48" s="11"/>
      <c r="H48" s="11">
        <f t="shared" ref="H48:O79" si="8">IF($H$12&gt;=H$14,$E48^H$14,0)</f>
        <v>111429157112001</v>
      </c>
      <c r="I48" s="11">
        <f t="shared" si="8"/>
        <v>-1954897493193</v>
      </c>
      <c r="J48" s="11">
        <f t="shared" si="8"/>
        <v>34296447249</v>
      </c>
      <c r="K48" s="11">
        <f t="shared" si="8"/>
        <v>-601692057</v>
      </c>
      <c r="L48" s="11">
        <f t="shared" si="8"/>
        <v>10556001</v>
      </c>
      <c r="M48" s="11">
        <f t="shared" si="8"/>
        <v>-185193</v>
      </c>
      <c r="N48" s="11">
        <f t="shared" si="8"/>
        <v>3249</v>
      </c>
      <c r="O48" s="11">
        <f t="shared" si="8"/>
        <v>-57</v>
      </c>
      <c r="P48" s="11">
        <f t="shared" si="7"/>
        <v>0</v>
      </c>
    </row>
    <row r="49" spans="1:16" x14ac:dyDescent="0.25">
      <c r="A49" s="11">
        <f t="shared" si="6"/>
        <v>-6</v>
      </c>
      <c r="B49">
        <v>-42.681619101972665</v>
      </c>
      <c r="E49" s="11">
        <f>A49-'Mastercurve bestimmen'!$B$2</f>
        <v>-56</v>
      </c>
      <c r="F49" s="11">
        <f t="shared" si="4"/>
        <v>-42.681619101972665</v>
      </c>
      <c r="G49" s="11"/>
      <c r="H49" s="11">
        <f t="shared" si="8"/>
        <v>96717311574016</v>
      </c>
      <c r="I49" s="11">
        <f t="shared" si="8"/>
        <v>-1727094849536</v>
      </c>
      <c r="J49" s="11">
        <f t="shared" si="8"/>
        <v>30840979456</v>
      </c>
      <c r="K49" s="11">
        <f t="shared" si="8"/>
        <v>-550731776</v>
      </c>
      <c r="L49" s="11">
        <f t="shared" si="8"/>
        <v>9834496</v>
      </c>
      <c r="M49" s="11">
        <f t="shared" si="8"/>
        <v>-175616</v>
      </c>
      <c r="N49" s="11">
        <f t="shared" si="8"/>
        <v>3136</v>
      </c>
      <c r="O49" s="11">
        <f t="shared" si="8"/>
        <v>-56</v>
      </c>
      <c r="P49" s="11">
        <f t="shared" si="7"/>
        <v>0</v>
      </c>
    </row>
    <row r="50" spans="1:16" x14ac:dyDescent="0.25">
      <c r="A50" s="11">
        <f t="shared" si="6"/>
        <v>-5</v>
      </c>
      <c r="B50">
        <v>-42.530823541145764</v>
      </c>
      <c r="E50" s="11">
        <f>A50-'Mastercurve bestimmen'!$B$2</f>
        <v>-55</v>
      </c>
      <c r="F50" s="11">
        <f t="shared" si="4"/>
        <v>-42.530823541145764</v>
      </c>
      <c r="G50" s="11"/>
      <c r="H50" s="11">
        <f t="shared" si="8"/>
        <v>83733937890625</v>
      </c>
      <c r="I50" s="11">
        <f t="shared" si="8"/>
        <v>-1522435234375</v>
      </c>
      <c r="J50" s="11">
        <f t="shared" si="8"/>
        <v>27680640625</v>
      </c>
      <c r="K50" s="11">
        <f t="shared" si="8"/>
        <v>-503284375</v>
      </c>
      <c r="L50" s="11">
        <f t="shared" si="8"/>
        <v>9150625</v>
      </c>
      <c r="M50" s="11">
        <f t="shared" si="8"/>
        <v>-166375</v>
      </c>
      <c r="N50" s="11">
        <f t="shared" si="8"/>
        <v>3025</v>
      </c>
      <c r="O50" s="11">
        <f t="shared" si="8"/>
        <v>-55</v>
      </c>
      <c r="P50" s="11">
        <f t="shared" si="7"/>
        <v>0</v>
      </c>
    </row>
    <row r="51" spans="1:16" x14ac:dyDescent="0.25">
      <c r="A51" s="11">
        <f t="shared" si="6"/>
        <v>-4</v>
      </c>
      <c r="B51">
        <v>-42.374894879461138</v>
      </c>
      <c r="E51" s="11">
        <f>A51-'Mastercurve bestimmen'!$B$2</f>
        <v>-54</v>
      </c>
      <c r="F51" s="11">
        <f t="shared" si="4"/>
        <v>-42.374894879461138</v>
      </c>
      <c r="G51" s="11"/>
      <c r="H51" s="11">
        <f t="shared" si="8"/>
        <v>72301961339136</v>
      </c>
      <c r="I51" s="11">
        <f t="shared" si="8"/>
        <v>-1338925209984</v>
      </c>
      <c r="J51" s="11">
        <f t="shared" si="8"/>
        <v>24794911296</v>
      </c>
      <c r="K51" s="11">
        <f t="shared" si="8"/>
        <v>-459165024</v>
      </c>
      <c r="L51" s="11">
        <f t="shared" si="8"/>
        <v>8503056</v>
      </c>
      <c r="M51" s="11">
        <f t="shared" si="8"/>
        <v>-157464</v>
      </c>
      <c r="N51" s="11">
        <f t="shared" si="8"/>
        <v>2916</v>
      </c>
      <c r="O51" s="11">
        <f t="shared" si="8"/>
        <v>-54</v>
      </c>
      <c r="P51" s="11">
        <f t="shared" si="7"/>
        <v>0</v>
      </c>
    </row>
    <row r="52" spans="1:16" x14ac:dyDescent="0.25">
      <c r="A52" s="11">
        <f t="shared" si="6"/>
        <v>-3</v>
      </c>
      <c r="B52">
        <v>-42.213686456894266</v>
      </c>
      <c r="E52" s="11">
        <f>A52-'Mastercurve bestimmen'!$B$2</f>
        <v>-53</v>
      </c>
      <c r="F52" s="11">
        <f t="shared" si="4"/>
        <v>-42.213686456894266</v>
      </c>
      <c r="G52" s="11"/>
      <c r="H52" s="11">
        <f t="shared" si="8"/>
        <v>62259690411361</v>
      </c>
      <c r="I52" s="11">
        <f t="shared" si="8"/>
        <v>-1174711139837</v>
      </c>
      <c r="J52" s="11">
        <f t="shared" si="8"/>
        <v>22164361129</v>
      </c>
      <c r="K52" s="11">
        <f t="shared" si="8"/>
        <v>-418195493</v>
      </c>
      <c r="L52" s="11">
        <f t="shared" si="8"/>
        <v>7890481</v>
      </c>
      <c r="M52" s="11">
        <f t="shared" si="8"/>
        <v>-148877</v>
      </c>
      <c r="N52" s="11">
        <f t="shared" si="8"/>
        <v>2809</v>
      </c>
      <c r="O52" s="11">
        <f t="shared" si="8"/>
        <v>-53</v>
      </c>
      <c r="P52" s="11">
        <f t="shared" si="7"/>
        <v>0</v>
      </c>
    </row>
    <row r="53" spans="1:16" x14ac:dyDescent="0.25">
      <c r="A53" s="11">
        <f t="shared" si="6"/>
        <v>-2</v>
      </c>
      <c r="B53">
        <v>-42.047051613420642</v>
      </c>
      <c r="E53" s="11">
        <f>A53-'Mastercurve bestimmen'!$B$2</f>
        <v>-52</v>
      </c>
      <c r="F53" s="11">
        <f t="shared" si="4"/>
        <v>-42.047051613420642</v>
      </c>
      <c r="G53" s="11"/>
      <c r="H53" s="11">
        <f t="shared" si="8"/>
        <v>53459728531456</v>
      </c>
      <c r="I53" s="11">
        <f t="shared" si="8"/>
        <v>-1028071702528</v>
      </c>
      <c r="J53" s="11">
        <f t="shared" si="8"/>
        <v>19770609664</v>
      </c>
      <c r="K53" s="11">
        <f t="shared" si="8"/>
        <v>-380204032</v>
      </c>
      <c r="L53" s="11">
        <f t="shared" si="8"/>
        <v>7311616</v>
      </c>
      <c r="M53" s="11">
        <f t="shared" si="8"/>
        <v>-140608</v>
      </c>
      <c r="N53" s="11">
        <f t="shared" si="8"/>
        <v>2704</v>
      </c>
      <c r="O53" s="11">
        <f t="shared" si="8"/>
        <v>-52</v>
      </c>
      <c r="P53" s="11">
        <f t="shared" si="7"/>
        <v>0</v>
      </c>
    </row>
    <row r="54" spans="1:16" x14ac:dyDescent="0.25">
      <c r="A54" s="11">
        <f t="shared" si="6"/>
        <v>-1</v>
      </c>
      <c r="B54">
        <v>-41.874843689015755</v>
      </c>
      <c r="E54" s="11">
        <f>A54-'Mastercurve bestimmen'!$B$2</f>
        <v>-51</v>
      </c>
      <c r="F54" s="11">
        <f t="shared" si="4"/>
        <v>-41.874843689015755</v>
      </c>
      <c r="G54" s="11"/>
      <c r="H54" s="11">
        <f t="shared" si="8"/>
        <v>45767944570401</v>
      </c>
      <c r="I54" s="11">
        <f t="shared" si="8"/>
        <v>-897410677851</v>
      </c>
      <c r="J54" s="11">
        <f t="shared" si="8"/>
        <v>17596287801</v>
      </c>
      <c r="K54" s="11">
        <f t="shared" si="8"/>
        <v>-345025251</v>
      </c>
      <c r="L54" s="11">
        <f t="shared" si="8"/>
        <v>6765201</v>
      </c>
      <c r="M54" s="11">
        <f t="shared" si="8"/>
        <v>-132651</v>
      </c>
      <c r="N54" s="11">
        <f t="shared" si="8"/>
        <v>2601</v>
      </c>
      <c r="O54" s="11">
        <f t="shared" si="8"/>
        <v>-51</v>
      </c>
      <c r="P54" s="11">
        <f t="shared" si="7"/>
        <v>0</v>
      </c>
    </row>
    <row r="55" spans="1:16" x14ac:dyDescent="0.25">
      <c r="A55" s="11">
        <f t="shared" si="6"/>
        <v>0</v>
      </c>
      <c r="B55">
        <v>-41.696916023655113</v>
      </c>
      <c r="E55" s="11">
        <f>A55-'Mastercurve bestimmen'!$B$2</f>
        <v>-50</v>
      </c>
      <c r="F55" s="11">
        <f t="shared" si="4"/>
        <v>-41.696916023655113</v>
      </c>
      <c r="G55" s="11"/>
      <c r="H55" s="11">
        <f t="shared" si="8"/>
        <v>39062500000000</v>
      </c>
      <c r="I55" s="11">
        <f t="shared" si="8"/>
        <v>-781250000000</v>
      </c>
      <c r="J55" s="11">
        <f t="shared" si="8"/>
        <v>15625000000</v>
      </c>
      <c r="K55" s="11">
        <f t="shared" si="8"/>
        <v>-312500000</v>
      </c>
      <c r="L55" s="11">
        <f t="shared" si="8"/>
        <v>6250000</v>
      </c>
      <c r="M55" s="11">
        <f t="shared" si="8"/>
        <v>-125000</v>
      </c>
      <c r="N55" s="11">
        <f t="shared" si="8"/>
        <v>2500</v>
      </c>
      <c r="O55" s="11">
        <f t="shared" si="8"/>
        <v>-50</v>
      </c>
      <c r="P55" s="11">
        <f t="shared" si="7"/>
        <v>0</v>
      </c>
    </row>
    <row r="56" spans="1:16" x14ac:dyDescent="0.25">
      <c r="A56" s="11">
        <f t="shared" si="6"/>
        <v>1</v>
      </c>
      <c r="B56">
        <v>-41.565532961159505</v>
      </c>
      <c r="E56" s="11">
        <f>A56-'Mastercurve bestimmen'!$B$2</f>
        <v>-49</v>
      </c>
      <c r="F56" s="11">
        <f t="shared" si="4"/>
        <v>-41.565532961159505</v>
      </c>
      <c r="G56" s="11"/>
      <c r="H56" s="11">
        <f t="shared" si="8"/>
        <v>33232930569601</v>
      </c>
      <c r="I56" s="11">
        <f t="shared" si="8"/>
        <v>-678223072849</v>
      </c>
      <c r="J56" s="11">
        <f t="shared" si="8"/>
        <v>13841287201</v>
      </c>
      <c r="K56" s="11">
        <f t="shared" si="8"/>
        <v>-282475249</v>
      </c>
      <c r="L56" s="11">
        <f t="shared" si="8"/>
        <v>5764801</v>
      </c>
      <c r="M56" s="11">
        <f t="shared" si="8"/>
        <v>-117649</v>
      </c>
      <c r="N56" s="11">
        <f t="shared" si="8"/>
        <v>2401</v>
      </c>
      <c r="O56" s="11">
        <f t="shared" si="8"/>
        <v>-49</v>
      </c>
      <c r="P56" s="11">
        <f t="shared" si="7"/>
        <v>0</v>
      </c>
    </row>
    <row r="57" spans="1:16" x14ac:dyDescent="0.25">
      <c r="A57" s="11">
        <f t="shared" si="6"/>
        <v>2</v>
      </c>
      <c r="B57">
        <v>-41.428597079596727</v>
      </c>
      <c r="E57" s="11">
        <f>A57-'Mastercurve bestimmen'!$B$2</f>
        <v>-48</v>
      </c>
      <c r="F57" s="11">
        <f t="shared" si="4"/>
        <v>-41.428597079596727</v>
      </c>
      <c r="G57" s="11"/>
      <c r="H57" s="11">
        <f t="shared" si="8"/>
        <v>28179280429056</v>
      </c>
      <c r="I57" s="11">
        <f t="shared" si="8"/>
        <v>-587068342272</v>
      </c>
      <c r="J57" s="11">
        <f t="shared" si="8"/>
        <v>12230590464</v>
      </c>
      <c r="K57" s="11">
        <f t="shared" si="8"/>
        <v>-254803968</v>
      </c>
      <c r="L57" s="11">
        <f t="shared" si="8"/>
        <v>5308416</v>
      </c>
      <c r="M57" s="11">
        <f t="shared" si="8"/>
        <v>-110592</v>
      </c>
      <c r="N57" s="11">
        <f t="shared" si="8"/>
        <v>2304</v>
      </c>
      <c r="O57" s="11">
        <f t="shared" si="8"/>
        <v>-48</v>
      </c>
      <c r="P57" s="11">
        <f t="shared" si="7"/>
        <v>0</v>
      </c>
    </row>
    <row r="58" spans="1:16" x14ac:dyDescent="0.25">
      <c r="A58" s="11">
        <f t="shared" si="6"/>
        <v>3</v>
      </c>
      <c r="B58">
        <v>-41.286421960879899</v>
      </c>
      <c r="E58" s="11">
        <f>A58-'Mastercurve bestimmen'!$B$2</f>
        <v>-47</v>
      </c>
      <c r="F58" s="11">
        <f t="shared" si="4"/>
        <v>-41.286421960879899</v>
      </c>
      <c r="G58" s="11"/>
      <c r="H58" s="11">
        <f t="shared" si="8"/>
        <v>23811286661761</v>
      </c>
      <c r="I58" s="11">
        <f t="shared" si="8"/>
        <v>-506623120463</v>
      </c>
      <c r="J58" s="11">
        <f t="shared" si="8"/>
        <v>10779215329</v>
      </c>
      <c r="K58" s="11">
        <f t="shared" si="8"/>
        <v>-229345007</v>
      </c>
      <c r="L58" s="11">
        <f t="shared" si="8"/>
        <v>4879681</v>
      </c>
      <c r="M58" s="11">
        <f t="shared" si="8"/>
        <v>-103823</v>
      </c>
      <c r="N58" s="11">
        <f t="shared" si="8"/>
        <v>2209</v>
      </c>
      <c r="O58" s="11">
        <f t="shared" si="8"/>
        <v>-47</v>
      </c>
      <c r="P58" s="11">
        <f t="shared" si="7"/>
        <v>0</v>
      </c>
    </row>
    <row r="59" spans="1:16" x14ac:dyDescent="0.25">
      <c r="A59" s="11">
        <f t="shared" si="6"/>
        <v>4</v>
      </c>
      <c r="B59">
        <v>-41.139321186922089</v>
      </c>
      <c r="E59" s="11">
        <f>A59-'Mastercurve bestimmen'!$B$2</f>
        <v>-46</v>
      </c>
      <c r="F59" s="11">
        <f t="shared" si="4"/>
        <v>-41.139321186922089</v>
      </c>
      <c r="G59" s="11"/>
      <c r="H59" s="11">
        <f t="shared" si="8"/>
        <v>20047612231936</v>
      </c>
      <c r="I59" s="11">
        <f t="shared" si="8"/>
        <v>-435817657216</v>
      </c>
      <c r="J59" s="11">
        <f t="shared" si="8"/>
        <v>9474296896</v>
      </c>
      <c r="K59" s="11">
        <f t="shared" si="8"/>
        <v>-205962976</v>
      </c>
      <c r="L59" s="11">
        <f t="shared" si="8"/>
        <v>4477456</v>
      </c>
      <c r="M59" s="11">
        <f t="shared" si="8"/>
        <v>-97336</v>
      </c>
      <c r="N59" s="11">
        <f t="shared" si="8"/>
        <v>2116</v>
      </c>
      <c r="O59" s="11">
        <f t="shared" si="8"/>
        <v>-46</v>
      </c>
      <c r="P59" s="11">
        <f t="shared" si="7"/>
        <v>0</v>
      </c>
    </row>
    <row r="60" spans="1:16" x14ac:dyDescent="0.25">
      <c r="A60" s="11">
        <f t="shared" si="6"/>
        <v>5</v>
      </c>
      <c r="B60">
        <v>-40.987608339636431</v>
      </c>
      <c r="E60" s="11">
        <f>A60-'Mastercurve bestimmen'!$B$2</f>
        <v>-45</v>
      </c>
      <c r="F60" s="11">
        <f t="shared" si="4"/>
        <v>-40.987608339636431</v>
      </c>
      <c r="G60" s="11"/>
      <c r="H60" s="11">
        <f t="shared" si="8"/>
        <v>16815125390625</v>
      </c>
      <c r="I60" s="11">
        <f t="shared" si="8"/>
        <v>-373669453125</v>
      </c>
      <c r="J60" s="11">
        <f t="shared" si="8"/>
        <v>8303765625</v>
      </c>
      <c r="K60" s="11">
        <f t="shared" si="8"/>
        <v>-184528125</v>
      </c>
      <c r="L60" s="11">
        <f t="shared" si="8"/>
        <v>4100625</v>
      </c>
      <c r="M60" s="11">
        <f t="shared" si="8"/>
        <v>-91125</v>
      </c>
      <c r="N60" s="11">
        <f t="shared" si="8"/>
        <v>2025</v>
      </c>
      <c r="O60" s="11">
        <f t="shared" si="8"/>
        <v>-45</v>
      </c>
      <c r="P60" s="11">
        <f t="shared" si="7"/>
        <v>0</v>
      </c>
    </row>
    <row r="61" spans="1:16" x14ac:dyDescent="0.25">
      <c r="A61" s="11">
        <f t="shared" si="6"/>
        <v>6</v>
      </c>
      <c r="B61">
        <v>-40.831597000936014</v>
      </c>
      <c r="E61" s="11">
        <f>A61-'Mastercurve bestimmen'!$B$2</f>
        <v>-44</v>
      </c>
      <c r="F61" s="11">
        <f t="shared" si="4"/>
        <v>-40.831597000936014</v>
      </c>
      <c r="G61" s="11"/>
      <c r="H61" s="11">
        <f t="shared" si="8"/>
        <v>14048223625216</v>
      </c>
      <c r="I61" s="11">
        <f t="shared" si="8"/>
        <v>-319277809664</v>
      </c>
      <c r="J61" s="11">
        <f t="shared" si="8"/>
        <v>7256313856</v>
      </c>
      <c r="K61" s="11">
        <f t="shared" si="8"/>
        <v>-164916224</v>
      </c>
      <c r="L61" s="11">
        <f t="shared" si="8"/>
        <v>3748096</v>
      </c>
      <c r="M61" s="11">
        <f t="shared" si="8"/>
        <v>-85184</v>
      </c>
      <c r="N61" s="11">
        <f t="shared" si="8"/>
        <v>1936</v>
      </c>
      <c r="O61" s="11">
        <f t="shared" si="8"/>
        <v>-44</v>
      </c>
      <c r="P61" s="11">
        <f t="shared" si="7"/>
        <v>0</v>
      </c>
    </row>
    <row r="62" spans="1:16" x14ac:dyDescent="0.25">
      <c r="A62" s="11">
        <f t="shared" si="6"/>
        <v>7</v>
      </c>
      <c r="B62">
        <v>-40.671600752733944</v>
      </c>
      <c r="E62" s="11">
        <f>A62-'Mastercurve bestimmen'!$B$2</f>
        <v>-43</v>
      </c>
      <c r="F62" s="11">
        <f t="shared" si="4"/>
        <v>-40.671600752733944</v>
      </c>
      <c r="G62" s="11"/>
      <c r="H62" s="11">
        <f t="shared" si="8"/>
        <v>11688200277601</v>
      </c>
      <c r="I62" s="11">
        <f t="shared" si="8"/>
        <v>-271818611107</v>
      </c>
      <c r="J62" s="11">
        <f t="shared" si="8"/>
        <v>6321363049</v>
      </c>
      <c r="K62" s="11">
        <f t="shared" si="8"/>
        <v>-147008443</v>
      </c>
      <c r="L62" s="11">
        <f t="shared" si="8"/>
        <v>3418801</v>
      </c>
      <c r="M62" s="11">
        <f t="shared" si="8"/>
        <v>-79507</v>
      </c>
      <c r="N62" s="11">
        <f t="shared" si="8"/>
        <v>1849</v>
      </c>
      <c r="O62" s="11">
        <f t="shared" si="8"/>
        <v>-43</v>
      </c>
      <c r="P62" s="11">
        <f t="shared" si="7"/>
        <v>0</v>
      </c>
    </row>
    <row r="63" spans="1:16" x14ac:dyDescent="0.25">
      <c r="A63" s="11">
        <f t="shared" si="6"/>
        <v>8</v>
      </c>
      <c r="B63">
        <v>-40.507933176943325</v>
      </c>
      <c r="E63" s="11">
        <f>A63-'Mastercurve bestimmen'!$B$2</f>
        <v>-42</v>
      </c>
      <c r="F63" s="11">
        <f t="shared" si="4"/>
        <v>-40.507933176943325</v>
      </c>
      <c r="G63" s="11"/>
      <c r="H63" s="11">
        <f t="shared" si="8"/>
        <v>9682651996416</v>
      </c>
      <c r="I63" s="11">
        <f t="shared" si="8"/>
        <v>-230539333248</v>
      </c>
      <c r="J63" s="11">
        <f t="shared" si="8"/>
        <v>5489031744</v>
      </c>
      <c r="K63" s="11">
        <f t="shared" si="8"/>
        <v>-130691232</v>
      </c>
      <c r="L63" s="11">
        <f t="shared" si="8"/>
        <v>3111696</v>
      </c>
      <c r="M63" s="11">
        <f t="shared" si="8"/>
        <v>-74088</v>
      </c>
      <c r="N63" s="11">
        <f t="shared" si="8"/>
        <v>1764</v>
      </c>
      <c r="O63" s="11">
        <f t="shared" si="8"/>
        <v>-42</v>
      </c>
      <c r="P63" s="11">
        <f t="shared" si="7"/>
        <v>0</v>
      </c>
    </row>
    <row r="64" spans="1:16" x14ac:dyDescent="0.25">
      <c r="A64" s="11">
        <f t="shared" si="6"/>
        <v>9</v>
      </c>
      <c r="B64">
        <v>-40.340907855477255</v>
      </c>
      <c r="E64" s="11">
        <f>A64-'Mastercurve bestimmen'!$B$2</f>
        <v>-41</v>
      </c>
      <c r="F64" s="11">
        <f t="shared" si="4"/>
        <v>-40.340907855477255</v>
      </c>
      <c r="G64" s="11"/>
      <c r="H64" s="11">
        <f t="shared" si="8"/>
        <v>7984925229121</v>
      </c>
      <c r="I64" s="11">
        <f t="shared" si="8"/>
        <v>-194754273881</v>
      </c>
      <c r="J64" s="11">
        <f t="shared" si="8"/>
        <v>4750104241</v>
      </c>
      <c r="K64" s="11">
        <f t="shared" si="8"/>
        <v>-115856201</v>
      </c>
      <c r="L64" s="11">
        <f t="shared" si="8"/>
        <v>2825761</v>
      </c>
      <c r="M64" s="11">
        <f t="shared" si="8"/>
        <v>-68921</v>
      </c>
      <c r="N64" s="11">
        <f t="shared" si="8"/>
        <v>1681</v>
      </c>
      <c r="O64" s="11">
        <f t="shared" si="8"/>
        <v>-41</v>
      </c>
      <c r="P64" s="11">
        <f t="shared" si="7"/>
        <v>0</v>
      </c>
    </row>
    <row r="65" spans="1:16" x14ac:dyDescent="0.25">
      <c r="A65" s="11">
        <f t="shared" si="6"/>
        <v>10</v>
      </c>
      <c r="B65">
        <v>-40.170838370248845</v>
      </c>
      <c r="E65" s="11">
        <f>A65-'Mastercurve bestimmen'!$B$2</f>
        <v>-40</v>
      </c>
      <c r="F65" s="11">
        <f t="shared" si="4"/>
        <v>-40.170838370248845</v>
      </c>
      <c r="G65" s="11"/>
      <c r="H65" s="11">
        <f t="shared" si="8"/>
        <v>6553600000000</v>
      </c>
      <c r="I65" s="11">
        <f t="shared" si="8"/>
        <v>-163840000000</v>
      </c>
      <c r="J65" s="11">
        <f t="shared" si="8"/>
        <v>4096000000</v>
      </c>
      <c r="K65" s="11">
        <f t="shared" si="8"/>
        <v>-102400000</v>
      </c>
      <c r="L65" s="11">
        <f t="shared" si="8"/>
        <v>2560000</v>
      </c>
      <c r="M65" s="11">
        <f t="shared" si="8"/>
        <v>-64000</v>
      </c>
      <c r="N65" s="11">
        <f t="shared" si="8"/>
        <v>1600</v>
      </c>
      <c r="O65" s="11">
        <f t="shared" si="8"/>
        <v>-40</v>
      </c>
      <c r="P65" s="11">
        <f t="shared" si="7"/>
        <v>0</v>
      </c>
    </row>
    <row r="66" spans="1:16" x14ac:dyDescent="0.25">
      <c r="A66" s="11">
        <f t="shared" si="6"/>
        <v>11</v>
      </c>
      <c r="B66">
        <v>-39.998038303171192</v>
      </c>
      <c r="E66" s="11">
        <f>A66-'Mastercurve bestimmen'!$B$2</f>
        <v>-39</v>
      </c>
      <c r="F66" s="11">
        <f t="shared" si="4"/>
        <v>-39.998038303171192</v>
      </c>
      <c r="G66" s="11"/>
      <c r="H66" s="11">
        <f t="shared" si="8"/>
        <v>5352009260481</v>
      </c>
      <c r="I66" s="11">
        <f t="shared" si="8"/>
        <v>-137231006679</v>
      </c>
      <c r="J66" s="11">
        <f t="shared" si="8"/>
        <v>3518743761</v>
      </c>
      <c r="K66" s="11">
        <f t="shared" si="8"/>
        <v>-90224199</v>
      </c>
      <c r="L66" s="11">
        <f t="shared" si="8"/>
        <v>2313441</v>
      </c>
      <c r="M66" s="11">
        <f t="shared" si="8"/>
        <v>-59319</v>
      </c>
      <c r="N66" s="11">
        <f t="shared" si="8"/>
        <v>1521</v>
      </c>
      <c r="O66" s="11">
        <f t="shared" si="8"/>
        <v>-39</v>
      </c>
      <c r="P66" s="11">
        <f t="shared" si="7"/>
        <v>0</v>
      </c>
    </row>
    <row r="67" spans="1:16" x14ac:dyDescent="0.25">
      <c r="A67" s="11">
        <f t="shared" si="6"/>
        <v>12</v>
      </c>
      <c r="B67">
        <v>-39.822821236157395</v>
      </c>
      <c r="E67" s="11">
        <f>A67-'Mastercurve bestimmen'!$B$2</f>
        <v>-38</v>
      </c>
      <c r="F67" s="11">
        <f t="shared" si="4"/>
        <v>-39.822821236157395</v>
      </c>
      <c r="G67" s="11"/>
      <c r="H67" s="11">
        <f t="shared" si="8"/>
        <v>4347792138496</v>
      </c>
      <c r="I67" s="11">
        <f t="shared" si="8"/>
        <v>-114415582592</v>
      </c>
      <c r="J67" s="11">
        <f t="shared" si="8"/>
        <v>3010936384</v>
      </c>
      <c r="K67" s="11">
        <f t="shared" si="8"/>
        <v>-79235168</v>
      </c>
      <c r="L67" s="11">
        <f t="shared" si="8"/>
        <v>2085136</v>
      </c>
      <c r="M67" s="11">
        <f t="shared" si="8"/>
        <v>-54872</v>
      </c>
      <c r="N67" s="11">
        <f t="shared" si="8"/>
        <v>1444</v>
      </c>
      <c r="O67" s="11">
        <f t="shared" si="8"/>
        <v>-38</v>
      </c>
      <c r="P67" s="11">
        <f t="shared" si="7"/>
        <v>0</v>
      </c>
    </row>
    <row r="68" spans="1:16" x14ac:dyDescent="0.25">
      <c r="A68" s="11">
        <f t="shared" si="6"/>
        <v>13</v>
      </c>
      <c r="B68">
        <v>-39.645500751120565</v>
      </c>
      <c r="E68" s="11">
        <f>A68-'Mastercurve bestimmen'!$B$2</f>
        <v>-37</v>
      </c>
      <c r="F68" s="11">
        <f t="shared" si="4"/>
        <v>-39.645500751120565</v>
      </c>
      <c r="G68" s="11"/>
      <c r="H68" s="11">
        <f t="shared" si="8"/>
        <v>3512479453921</v>
      </c>
      <c r="I68" s="11">
        <f t="shared" si="8"/>
        <v>-94931877133</v>
      </c>
      <c r="J68" s="11">
        <f t="shared" si="8"/>
        <v>2565726409</v>
      </c>
      <c r="K68" s="11">
        <f t="shared" si="8"/>
        <v>-69343957</v>
      </c>
      <c r="L68" s="11">
        <f t="shared" si="8"/>
        <v>1874161</v>
      </c>
      <c r="M68" s="11">
        <f t="shared" si="8"/>
        <v>-50653</v>
      </c>
      <c r="N68" s="11">
        <f t="shared" si="8"/>
        <v>1369</v>
      </c>
      <c r="O68" s="11">
        <f t="shared" si="8"/>
        <v>-37</v>
      </c>
      <c r="P68" s="11">
        <f t="shared" si="7"/>
        <v>0</v>
      </c>
    </row>
    <row r="69" spans="1:16" x14ac:dyDescent="0.25">
      <c r="A69" s="11">
        <f t="shared" si="6"/>
        <v>14</v>
      </c>
      <c r="B69">
        <v>-39.466390429973806</v>
      </c>
      <c r="E69" s="11">
        <f>A69-'Mastercurve bestimmen'!$B$2</f>
        <v>-36</v>
      </c>
      <c r="F69" s="11">
        <f t="shared" si="4"/>
        <v>-39.466390429973806</v>
      </c>
      <c r="G69" s="11"/>
      <c r="H69" s="11">
        <f t="shared" si="8"/>
        <v>2821109907456</v>
      </c>
      <c r="I69" s="11">
        <f t="shared" si="8"/>
        <v>-78364164096</v>
      </c>
      <c r="J69" s="11">
        <f t="shared" si="8"/>
        <v>2176782336</v>
      </c>
      <c r="K69" s="11">
        <f t="shared" si="8"/>
        <v>-60466176</v>
      </c>
      <c r="L69" s="11">
        <f t="shared" si="8"/>
        <v>1679616</v>
      </c>
      <c r="M69" s="11">
        <f t="shared" si="8"/>
        <v>-46656</v>
      </c>
      <c r="N69" s="11">
        <f t="shared" si="8"/>
        <v>1296</v>
      </c>
      <c r="O69" s="11">
        <f t="shared" si="8"/>
        <v>-36</v>
      </c>
      <c r="P69" s="11">
        <f t="shared" si="7"/>
        <v>0</v>
      </c>
    </row>
    <row r="70" spans="1:16" x14ac:dyDescent="0.25">
      <c r="A70" s="11">
        <f t="shared" si="6"/>
        <v>15</v>
      </c>
      <c r="B70">
        <v>-39.285803854630217</v>
      </c>
      <c r="E70" s="11">
        <f>A70-'Mastercurve bestimmen'!$B$2</f>
        <v>-35</v>
      </c>
      <c r="F70" s="11">
        <f t="shared" si="4"/>
        <v>-39.285803854630217</v>
      </c>
      <c r="G70" s="11"/>
      <c r="H70" s="11">
        <f t="shared" si="8"/>
        <v>2251875390625</v>
      </c>
      <c r="I70" s="11">
        <f t="shared" si="8"/>
        <v>-64339296875</v>
      </c>
      <c r="J70" s="11">
        <f t="shared" si="8"/>
        <v>1838265625</v>
      </c>
      <c r="K70" s="11">
        <f t="shared" si="8"/>
        <v>-52521875</v>
      </c>
      <c r="L70" s="11">
        <f t="shared" si="8"/>
        <v>1500625</v>
      </c>
      <c r="M70" s="11">
        <f t="shared" si="8"/>
        <v>-42875</v>
      </c>
      <c r="N70" s="11">
        <f t="shared" si="8"/>
        <v>1225</v>
      </c>
      <c r="O70" s="11">
        <f t="shared" si="8"/>
        <v>-35</v>
      </c>
      <c r="P70" s="11">
        <f t="shared" si="7"/>
        <v>0</v>
      </c>
    </row>
    <row r="71" spans="1:16" x14ac:dyDescent="0.25">
      <c r="A71" s="11">
        <f t="shared" si="6"/>
        <v>16</v>
      </c>
      <c r="B71">
        <v>-39.104054607002894</v>
      </c>
      <c r="E71" s="11">
        <f>A71-'Mastercurve bestimmen'!$B$2</f>
        <v>-34</v>
      </c>
      <c r="F71" s="11">
        <f t="shared" si="4"/>
        <v>-39.104054607002894</v>
      </c>
      <c r="G71" s="11"/>
      <c r="H71" s="11">
        <f t="shared" si="8"/>
        <v>1785793904896</v>
      </c>
      <c r="I71" s="11">
        <f t="shared" si="8"/>
        <v>-52523350144</v>
      </c>
      <c r="J71" s="11">
        <f t="shared" si="8"/>
        <v>1544804416</v>
      </c>
      <c r="K71" s="11">
        <f t="shared" si="8"/>
        <v>-45435424</v>
      </c>
      <c r="L71" s="11">
        <f t="shared" si="8"/>
        <v>1336336</v>
      </c>
      <c r="M71" s="11">
        <f t="shared" si="8"/>
        <v>-39304</v>
      </c>
      <c r="N71" s="11">
        <f t="shared" si="8"/>
        <v>1156</v>
      </c>
      <c r="O71" s="11">
        <f t="shared" si="8"/>
        <v>-34</v>
      </c>
      <c r="P71" s="11">
        <f t="shared" si="7"/>
        <v>0</v>
      </c>
    </row>
    <row r="72" spans="1:16" x14ac:dyDescent="0.25">
      <c r="A72" s="11">
        <f t="shared" si="6"/>
        <v>17</v>
      </c>
      <c r="B72">
        <v>-38.921456269004949</v>
      </c>
      <c r="E72" s="11">
        <f>A72-'Mastercurve bestimmen'!$B$2</f>
        <v>-33</v>
      </c>
      <c r="F72" s="11">
        <f t="shared" si="4"/>
        <v>-38.921456269004949</v>
      </c>
      <c r="G72" s="11"/>
      <c r="H72" s="11">
        <f t="shared" si="8"/>
        <v>1406408618241</v>
      </c>
      <c r="I72" s="11">
        <f t="shared" si="8"/>
        <v>-42618442977</v>
      </c>
      <c r="J72" s="11">
        <f t="shared" si="8"/>
        <v>1291467969</v>
      </c>
      <c r="K72" s="11">
        <f t="shared" si="8"/>
        <v>-39135393</v>
      </c>
      <c r="L72" s="11">
        <f t="shared" si="8"/>
        <v>1185921</v>
      </c>
      <c r="M72" s="11">
        <f t="shared" si="8"/>
        <v>-35937</v>
      </c>
      <c r="N72" s="11">
        <f t="shared" si="8"/>
        <v>1089</v>
      </c>
      <c r="O72" s="11">
        <f t="shared" si="8"/>
        <v>-33</v>
      </c>
      <c r="P72" s="11">
        <f t="shared" si="7"/>
        <v>0</v>
      </c>
    </row>
    <row r="73" spans="1:16" x14ac:dyDescent="0.25">
      <c r="A73" s="11">
        <f t="shared" si="6"/>
        <v>18</v>
      </c>
      <c r="B73">
        <v>-38.738322422549487</v>
      </c>
      <c r="E73" s="11">
        <f>A73-'Mastercurve bestimmen'!$B$2</f>
        <v>-32</v>
      </c>
      <c r="F73" s="11">
        <f t="shared" si="4"/>
        <v>-38.738322422549487</v>
      </c>
      <c r="G73" s="11"/>
      <c r="H73" s="11">
        <f t="shared" si="8"/>
        <v>1099511627776</v>
      </c>
      <c r="I73" s="11">
        <f t="shared" si="8"/>
        <v>-34359738368</v>
      </c>
      <c r="J73" s="11">
        <f t="shared" si="8"/>
        <v>1073741824</v>
      </c>
      <c r="K73" s="11">
        <f t="shared" si="8"/>
        <v>-33554432</v>
      </c>
      <c r="L73" s="11">
        <f t="shared" si="8"/>
        <v>1048576</v>
      </c>
      <c r="M73" s="11">
        <f t="shared" si="8"/>
        <v>-32768</v>
      </c>
      <c r="N73" s="11">
        <f t="shared" si="8"/>
        <v>1024</v>
      </c>
      <c r="O73" s="11">
        <f t="shared" si="8"/>
        <v>-32</v>
      </c>
      <c r="P73" s="11">
        <f t="shared" si="7"/>
        <v>0</v>
      </c>
    </row>
    <row r="74" spans="1:16" x14ac:dyDescent="0.25">
      <c r="A74" s="11">
        <f t="shared" si="6"/>
        <v>19</v>
      </c>
      <c r="B74">
        <v>-38.554966649549606</v>
      </c>
      <c r="E74" s="11">
        <f>A74-'Mastercurve bestimmen'!$B$2</f>
        <v>-31</v>
      </c>
      <c r="F74" s="11">
        <f t="shared" si="4"/>
        <v>-38.554966649549606</v>
      </c>
      <c r="G74" s="11"/>
      <c r="H74" s="11">
        <f t="shared" si="8"/>
        <v>852891037441</v>
      </c>
      <c r="I74" s="11">
        <f t="shared" si="8"/>
        <v>-27512614111</v>
      </c>
      <c r="J74" s="11">
        <f t="shared" si="8"/>
        <v>887503681</v>
      </c>
      <c r="K74" s="11">
        <f t="shared" si="8"/>
        <v>-28629151</v>
      </c>
      <c r="L74" s="11">
        <f t="shared" si="8"/>
        <v>923521</v>
      </c>
      <c r="M74" s="11">
        <f t="shared" si="8"/>
        <v>-29791</v>
      </c>
      <c r="N74" s="11">
        <f t="shared" si="8"/>
        <v>961</v>
      </c>
      <c r="O74" s="11">
        <f t="shared" si="8"/>
        <v>-31</v>
      </c>
      <c r="P74" s="11">
        <f t="shared" si="7"/>
        <v>0</v>
      </c>
    </row>
    <row r="75" spans="1:16" x14ac:dyDescent="0.25">
      <c r="A75" s="11">
        <f t="shared" si="6"/>
        <v>20</v>
      </c>
      <c r="B75">
        <v>-38.371702531918402</v>
      </c>
      <c r="E75" s="11">
        <f>A75-'Mastercurve bestimmen'!$B$2</f>
        <v>-30</v>
      </c>
      <c r="F75" s="11">
        <f t="shared" si="4"/>
        <v>-38.371702531918402</v>
      </c>
      <c r="G75" s="11"/>
      <c r="H75" s="11">
        <f t="shared" si="8"/>
        <v>656100000000</v>
      </c>
      <c r="I75" s="11">
        <f t="shared" si="8"/>
        <v>-21870000000</v>
      </c>
      <c r="J75" s="11">
        <f t="shared" si="8"/>
        <v>729000000</v>
      </c>
      <c r="K75" s="11">
        <f t="shared" si="8"/>
        <v>-24300000</v>
      </c>
      <c r="L75" s="11">
        <f t="shared" si="8"/>
        <v>810000</v>
      </c>
      <c r="M75" s="11">
        <f t="shared" si="8"/>
        <v>-27000</v>
      </c>
      <c r="N75" s="11">
        <f t="shared" si="8"/>
        <v>900</v>
      </c>
      <c r="O75" s="11">
        <f t="shared" si="8"/>
        <v>-30</v>
      </c>
      <c r="P75" s="11">
        <f t="shared" si="7"/>
        <v>0</v>
      </c>
    </row>
    <row r="76" spans="1:16" x14ac:dyDescent="0.25">
      <c r="A76" s="11">
        <f t="shared" si="6"/>
        <v>21</v>
      </c>
      <c r="B76">
        <v>-38.188843651568995</v>
      </c>
      <c r="E76" s="11">
        <f>A76-'Mastercurve bestimmen'!$B$2</f>
        <v>-29</v>
      </c>
      <c r="F76" s="11">
        <f t="shared" si="4"/>
        <v>-38.188843651568995</v>
      </c>
      <c r="G76" s="11"/>
      <c r="H76" s="11">
        <f t="shared" si="8"/>
        <v>500246412961</v>
      </c>
      <c r="I76" s="11">
        <f t="shared" si="8"/>
        <v>-17249876309</v>
      </c>
      <c r="J76" s="11">
        <f t="shared" si="8"/>
        <v>594823321</v>
      </c>
      <c r="K76" s="11">
        <f t="shared" si="8"/>
        <v>-20511149</v>
      </c>
      <c r="L76" s="11">
        <f t="shared" si="8"/>
        <v>707281</v>
      </c>
      <c r="M76" s="11">
        <f t="shared" si="8"/>
        <v>-24389</v>
      </c>
      <c r="N76" s="11">
        <f t="shared" si="8"/>
        <v>841</v>
      </c>
      <c r="O76" s="11">
        <f t="shared" si="8"/>
        <v>-29</v>
      </c>
      <c r="P76" s="11">
        <f t="shared" si="7"/>
        <v>0</v>
      </c>
    </row>
    <row r="77" spans="1:16" x14ac:dyDescent="0.25">
      <c r="A77" s="11">
        <f t="shared" si="6"/>
        <v>22</v>
      </c>
      <c r="B77">
        <v>-38.006703590414475</v>
      </c>
      <c r="E77" s="11">
        <f>A77-'Mastercurve bestimmen'!$B$2</f>
        <v>-28</v>
      </c>
      <c r="F77" s="11">
        <f t="shared" si="4"/>
        <v>-38.006703590414475</v>
      </c>
      <c r="G77" s="11"/>
      <c r="H77" s="11">
        <f t="shared" si="8"/>
        <v>377801998336</v>
      </c>
      <c r="I77" s="11">
        <f t="shared" si="8"/>
        <v>-13492928512</v>
      </c>
      <c r="J77" s="11">
        <f t="shared" si="8"/>
        <v>481890304</v>
      </c>
      <c r="K77" s="11">
        <f t="shared" si="8"/>
        <v>-17210368</v>
      </c>
      <c r="L77" s="11">
        <f t="shared" si="8"/>
        <v>614656</v>
      </c>
      <c r="M77" s="11">
        <f t="shared" si="8"/>
        <v>-21952</v>
      </c>
      <c r="N77" s="11">
        <f t="shared" si="8"/>
        <v>784</v>
      </c>
      <c r="O77" s="11">
        <f t="shared" si="8"/>
        <v>-28</v>
      </c>
      <c r="P77" s="11">
        <f t="shared" si="7"/>
        <v>0</v>
      </c>
    </row>
    <row r="78" spans="1:16" x14ac:dyDescent="0.25">
      <c r="A78" s="11">
        <f t="shared" si="6"/>
        <v>23</v>
      </c>
      <c r="B78">
        <v>-37.825595930367939</v>
      </c>
      <c r="E78" s="11">
        <f>A78-'Mastercurve bestimmen'!$B$2</f>
        <v>-27</v>
      </c>
      <c r="F78" s="11">
        <f t="shared" si="4"/>
        <v>-37.825595930367939</v>
      </c>
      <c r="G78" s="11"/>
      <c r="H78" s="11">
        <f t="shared" si="8"/>
        <v>282429536481</v>
      </c>
      <c r="I78" s="11">
        <f t="shared" si="8"/>
        <v>-10460353203</v>
      </c>
      <c r="J78" s="11">
        <f t="shared" si="8"/>
        <v>387420489</v>
      </c>
      <c r="K78" s="11">
        <f t="shared" si="8"/>
        <v>-14348907</v>
      </c>
      <c r="L78" s="11">
        <f t="shared" si="8"/>
        <v>531441</v>
      </c>
      <c r="M78" s="11">
        <f t="shared" si="8"/>
        <v>-19683</v>
      </c>
      <c r="N78" s="11">
        <f t="shared" si="8"/>
        <v>729</v>
      </c>
      <c r="O78" s="11">
        <f t="shared" si="8"/>
        <v>-27</v>
      </c>
      <c r="P78" s="11">
        <f t="shared" si="7"/>
        <v>0</v>
      </c>
    </row>
    <row r="79" spans="1:16" x14ac:dyDescent="0.25">
      <c r="A79" s="11">
        <f t="shared" si="6"/>
        <v>24</v>
      </c>
      <c r="B79">
        <v>-37.645834253342514</v>
      </c>
      <c r="E79" s="11">
        <f>A79-'Mastercurve bestimmen'!$B$2</f>
        <v>-26</v>
      </c>
      <c r="F79" s="11">
        <f t="shared" si="4"/>
        <v>-37.645834253342514</v>
      </c>
      <c r="G79" s="11"/>
      <c r="H79" s="11">
        <f t="shared" si="8"/>
        <v>208827064576</v>
      </c>
      <c r="I79" s="11">
        <f t="shared" si="8"/>
        <v>-8031810176</v>
      </c>
      <c r="J79" s="11">
        <f t="shared" si="8"/>
        <v>308915776</v>
      </c>
      <c r="K79" s="11">
        <f t="shared" si="8"/>
        <v>-11881376</v>
      </c>
      <c r="L79" s="11">
        <f t="shared" si="8"/>
        <v>456976</v>
      </c>
      <c r="M79" s="11">
        <f t="shared" si="8"/>
        <v>-17576</v>
      </c>
      <c r="N79" s="11">
        <f t="shared" si="8"/>
        <v>676</v>
      </c>
      <c r="O79" s="11">
        <f t="shared" ref="I79:O116" si="9">IF($H$12&gt;=O$14,$E79^O$14,0)</f>
        <v>-26</v>
      </c>
      <c r="P79" s="11">
        <f t="shared" si="7"/>
        <v>0</v>
      </c>
    </row>
    <row r="80" spans="1:16" x14ac:dyDescent="0.25">
      <c r="A80" s="11">
        <f t="shared" si="6"/>
        <v>25</v>
      </c>
      <c r="B80">
        <v>-37.467732141251275</v>
      </c>
      <c r="E80" s="11">
        <f>A80-'Mastercurve bestimmen'!$B$2</f>
        <v>-25</v>
      </c>
      <c r="F80" s="11">
        <f t="shared" ref="F80:F143" si="10">B80</f>
        <v>-37.467732141251275</v>
      </c>
      <c r="G80" s="11"/>
      <c r="H80" s="11">
        <f t="shared" ref="H80:H143" si="11">IF($H$12&gt;=H$14,$E80^H$14,0)</f>
        <v>152587890625</v>
      </c>
      <c r="I80" s="11">
        <f t="shared" si="9"/>
        <v>-6103515625</v>
      </c>
      <c r="J80" s="11">
        <f t="shared" si="9"/>
        <v>244140625</v>
      </c>
      <c r="K80" s="11">
        <f t="shared" si="9"/>
        <v>-9765625</v>
      </c>
      <c r="L80" s="11">
        <f t="shared" si="9"/>
        <v>390625</v>
      </c>
      <c r="M80" s="11">
        <f t="shared" si="9"/>
        <v>-15625</v>
      </c>
      <c r="N80" s="11">
        <f t="shared" si="9"/>
        <v>625</v>
      </c>
      <c r="O80" s="11">
        <f t="shared" si="9"/>
        <v>-25</v>
      </c>
      <c r="P80" s="11">
        <f t="shared" si="7"/>
        <v>0</v>
      </c>
    </row>
    <row r="81" spans="1:16" x14ac:dyDescent="0.25">
      <c r="A81" s="11">
        <f t="shared" ref="A81:A144" si="12">A80+1</f>
        <v>26</v>
      </c>
      <c r="B81">
        <v>-37.291414253640276</v>
      </c>
      <c r="E81" s="11">
        <f>A81-'Mastercurve bestimmen'!$B$2</f>
        <v>-24</v>
      </c>
      <c r="F81" s="11">
        <f t="shared" si="10"/>
        <v>-37.291414253640276</v>
      </c>
      <c r="G81" s="11"/>
      <c r="H81" s="11">
        <f t="shared" si="11"/>
        <v>110075314176</v>
      </c>
      <c r="I81" s="11">
        <f t="shared" si="9"/>
        <v>-4586471424</v>
      </c>
      <c r="J81" s="11">
        <f t="shared" si="9"/>
        <v>191102976</v>
      </c>
      <c r="K81" s="11">
        <f t="shared" si="9"/>
        <v>-7962624</v>
      </c>
      <c r="L81" s="11">
        <f t="shared" si="9"/>
        <v>331776</v>
      </c>
      <c r="M81" s="11">
        <f t="shared" si="9"/>
        <v>-13824</v>
      </c>
      <c r="N81" s="11">
        <f t="shared" si="9"/>
        <v>576</v>
      </c>
      <c r="O81" s="11">
        <f t="shared" si="9"/>
        <v>-24</v>
      </c>
      <c r="P81" s="11">
        <f t="shared" ref="P81:P144" si="13">P80</f>
        <v>0</v>
      </c>
    </row>
    <row r="82" spans="1:16" x14ac:dyDescent="0.25">
      <c r="A82" s="11">
        <f t="shared" si="12"/>
        <v>27</v>
      </c>
      <c r="B82">
        <v>-37.116249560587271</v>
      </c>
      <c r="E82" s="11">
        <f>A82-'Mastercurve bestimmen'!$B$2</f>
        <v>-23</v>
      </c>
      <c r="F82" s="11">
        <f t="shared" si="10"/>
        <v>-37.116249560587271</v>
      </c>
      <c r="G82" s="11"/>
      <c r="H82" s="11">
        <f t="shared" si="11"/>
        <v>78310985281</v>
      </c>
      <c r="I82" s="11">
        <f t="shared" si="9"/>
        <v>-3404825447</v>
      </c>
      <c r="J82" s="11">
        <f t="shared" si="9"/>
        <v>148035889</v>
      </c>
      <c r="K82" s="11">
        <f t="shared" si="9"/>
        <v>-6436343</v>
      </c>
      <c r="L82" s="11">
        <f t="shared" si="9"/>
        <v>279841</v>
      </c>
      <c r="M82" s="11">
        <f t="shared" si="9"/>
        <v>-12167</v>
      </c>
      <c r="N82" s="11">
        <f t="shared" si="9"/>
        <v>529</v>
      </c>
      <c r="O82" s="11">
        <f t="shared" si="9"/>
        <v>-23</v>
      </c>
      <c r="P82" s="11">
        <f t="shared" si="13"/>
        <v>0</v>
      </c>
    </row>
    <row r="83" spans="1:16" x14ac:dyDescent="0.25">
      <c r="A83" s="11">
        <f t="shared" si="12"/>
        <v>28</v>
      </c>
      <c r="B83">
        <v>-36.941418109802967</v>
      </c>
      <c r="E83" s="11">
        <f>A83-'Mastercurve bestimmen'!$B$2</f>
        <v>-22</v>
      </c>
      <c r="F83" s="11">
        <f t="shared" si="10"/>
        <v>-36.941418109802967</v>
      </c>
      <c r="G83" s="11"/>
      <c r="H83" s="11">
        <f t="shared" si="11"/>
        <v>54875873536</v>
      </c>
      <c r="I83" s="11">
        <f t="shared" si="9"/>
        <v>-2494357888</v>
      </c>
      <c r="J83" s="11">
        <f t="shared" si="9"/>
        <v>113379904</v>
      </c>
      <c r="K83" s="11">
        <f t="shared" si="9"/>
        <v>-5153632</v>
      </c>
      <c r="L83" s="11">
        <f t="shared" si="9"/>
        <v>234256</v>
      </c>
      <c r="M83" s="11">
        <f t="shared" si="9"/>
        <v>-10648</v>
      </c>
      <c r="N83" s="11">
        <f t="shared" si="9"/>
        <v>484</v>
      </c>
      <c r="O83" s="11">
        <f t="shared" si="9"/>
        <v>-22</v>
      </c>
      <c r="P83" s="11">
        <f t="shared" si="13"/>
        <v>0</v>
      </c>
    </row>
    <row r="84" spans="1:16" x14ac:dyDescent="0.25">
      <c r="A84" s="11">
        <f t="shared" si="12"/>
        <v>29</v>
      </c>
      <c r="B84">
        <v>-36.766099948998033</v>
      </c>
      <c r="E84" s="11">
        <f>A84-'Mastercurve bestimmen'!$B$2</f>
        <v>-21</v>
      </c>
      <c r="F84" s="11">
        <f t="shared" si="10"/>
        <v>-36.766099948998033</v>
      </c>
      <c r="G84" s="11"/>
      <c r="H84" s="11">
        <f t="shared" si="11"/>
        <v>37822859361</v>
      </c>
      <c r="I84" s="11">
        <f t="shared" si="9"/>
        <v>-1801088541</v>
      </c>
      <c r="J84" s="11">
        <f t="shared" si="9"/>
        <v>85766121</v>
      </c>
      <c r="K84" s="11">
        <f t="shared" si="9"/>
        <v>-4084101</v>
      </c>
      <c r="L84" s="11">
        <f t="shared" si="9"/>
        <v>194481</v>
      </c>
      <c r="M84" s="11">
        <f t="shared" si="9"/>
        <v>-9261</v>
      </c>
      <c r="N84" s="11">
        <f t="shared" si="9"/>
        <v>441</v>
      </c>
      <c r="O84" s="11">
        <f t="shared" si="9"/>
        <v>-21</v>
      </c>
      <c r="P84" s="11">
        <f t="shared" si="13"/>
        <v>0</v>
      </c>
    </row>
    <row r="85" spans="1:16" x14ac:dyDescent="0.25">
      <c r="A85" s="11">
        <f t="shared" si="12"/>
        <v>30</v>
      </c>
      <c r="B85">
        <v>-36.589475125883204</v>
      </c>
      <c r="E85" s="11">
        <f>A85-'Mastercurve bestimmen'!$B$2</f>
        <v>-20</v>
      </c>
      <c r="F85" s="11">
        <f t="shared" si="10"/>
        <v>-36.589475125883204</v>
      </c>
      <c r="G85" s="11"/>
      <c r="H85" s="11">
        <f t="shared" si="11"/>
        <v>25600000000</v>
      </c>
      <c r="I85" s="11">
        <f t="shared" si="9"/>
        <v>-1280000000</v>
      </c>
      <c r="J85" s="11">
        <f t="shared" si="9"/>
        <v>64000000</v>
      </c>
      <c r="K85" s="11">
        <f t="shared" si="9"/>
        <v>-3200000</v>
      </c>
      <c r="L85" s="11">
        <f t="shared" si="9"/>
        <v>160000</v>
      </c>
      <c r="M85" s="11">
        <f t="shared" si="9"/>
        <v>-8000</v>
      </c>
      <c r="N85" s="11">
        <f t="shared" si="9"/>
        <v>400</v>
      </c>
      <c r="O85" s="11">
        <f t="shared" si="9"/>
        <v>-20</v>
      </c>
      <c r="P85" s="11">
        <f t="shared" si="13"/>
        <v>0</v>
      </c>
    </row>
    <row r="86" spans="1:16" x14ac:dyDescent="0.25">
      <c r="A86" s="11">
        <f t="shared" si="12"/>
        <v>31</v>
      </c>
      <c r="B86">
        <v>-36.410723688169142</v>
      </c>
      <c r="E86" s="11">
        <f>A86-'Mastercurve bestimmen'!$B$2</f>
        <v>-19</v>
      </c>
      <c r="F86" s="11">
        <f t="shared" si="10"/>
        <v>-36.410723688169142</v>
      </c>
      <c r="G86" s="11"/>
      <c r="H86" s="11">
        <f t="shared" si="11"/>
        <v>16983563041</v>
      </c>
      <c r="I86" s="11">
        <f t="shared" si="9"/>
        <v>-893871739</v>
      </c>
      <c r="J86" s="11">
        <f t="shared" si="9"/>
        <v>47045881</v>
      </c>
      <c r="K86" s="11">
        <f t="shared" si="9"/>
        <v>-2476099</v>
      </c>
      <c r="L86" s="11">
        <f t="shared" si="9"/>
        <v>130321</v>
      </c>
      <c r="M86" s="11">
        <f t="shared" si="9"/>
        <v>-6859</v>
      </c>
      <c r="N86" s="11">
        <f t="shared" si="9"/>
        <v>361</v>
      </c>
      <c r="O86" s="11">
        <f t="shared" si="9"/>
        <v>-19</v>
      </c>
      <c r="P86" s="11">
        <f t="shared" si="13"/>
        <v>0</v>
      </c>
    </row>
    <row r="87" spans="1:16" x14ac:dyDescent="0.25">
      <c r="A87" s="11">
        <f t="shared" si="12"/>
        <v>32</v>
      </c>
      <c r="B87">
        <v>-36.229025683566562</v>
      </c>
      <c r="E87" s="11">
        <f>A87-'Mastercurve bestimmen'!$B$2</f>
        <v>-18</v>
      </c>
      <c r="F87" s="11">
        <f t="shared" si="10"/>
        <v>-36.229025683566562</v>
      </c>
      <c r="G87" s="11"/>
      <c r="H87" s="11">
        <f t="shared" si="11"/>
        <v>11019960576</v>
      </c>
      <c r="I87" s="11">
        <f t="shared" si="9"/>
        <v>-612220032</v>
      </c>
      <c r="J87" s="11">
        <f t="shared" si="9"/>
        <v>34012224</v>
      </c>
      <c r="K87" s="11">
        <f t="shared" si="9"/>
        <v>-1889568</v>
      </c>
      <c r="L87" s="11">
        <f t="shared" si="9"/>
        <v>104976</v>
      </c>
      <c r="M87" s="11">
        <f t="shared" si="9"/>
        <v>-5832</v>
      </c>
      <c r="N87" s="11">
        <f t="shared" si="9"/>
        <v>324</v>
      </c>
      <c r="O87" s="11">
        <f t="shared" si="9"/>
        <v>-18</v>
      </c>
      <c r="P87" s="11">
        <f t="shared" si="13"/>
        <v>0</v>
      </c>
    </row>
    <row r="88" spans="1:16" x14ac:dyDescent="0.25">
      <c r="A88" s="11">
        <f t="shared" si="12"/>
        <v>33</v>
      </c>
      <c r="B88">
        <v>-36.043561159786151</v>
      </c>
      <c r="E88" s="11">
        <f>A88-'Mastercurve bestimmen'!$B$2</f>
        <v>-17</v>
      </c>
      <c r="F88" s="11">
        <f t="shared" si="10"/>
        <v>-36.043561159786151</v>
      </c>
      <c r="G88" s="11"/>
      <c r="H88" s="11">
        <f t="shared" si="11"/>
        <v>6975757441</v>
      </c>
      <c r="I88" s="11">
        <f t="shared" si="9"/>
        <v>-410338673</v>
      </c>
      <c r="J88" s="11">
        <f t="shared" si="9"/>
        <v>24137569</v>
      </c>
      <c r="K88" s="11">
        <f t="shared" si="9"/>
        <v>-1419857</v>
      </c>
      <c r="L88" s="11">
        <f t="shared" si="9"/>
        <v>83521</v>
      </c>
      <c r="M88" s="11">
        <f t="shared" si="9"/>
        <v>-4913</v>
      </c>
      <c r="N88" s="11">
        <f t="shared" si="9"/>
        <v>289</v>
      </c>
      <c r="O88" s="11">
        <f t="shared" si="9"/>
        <v>-17</v>
      </c>
      <c r="P88" s="11">
        <f t="shared" si="13"/>
        <v>0</v>
      </c>
    </row>
    <row r="89" spans="1:16" x14ac:dyDescent="0.25">
      <c r="A89" s="11">
        <f t="shared" si="12"/>
        <v>34</v>
      </c>
      <c r="B89">
        <v>-35.853510164538605</v>
      </c>
      <c r="E89" s="11">
        <f>A89-'Mastercurve bestimmen'!$B$2</f>
        <v>-16</v>
      </c>
      <c r="F89" s="11">
        <f t="shared" si="10"/>
        <v>-35.853510164538605</v>
      </c>
      <c r="G89" s="11"/>
      <c r="H89" s="11">
        <f t="shared" si="11"/>
        <v>4294967296</v>
      </c>
      <c r="I89" s="11">
        <f t="shared" si="9"/>
        <v>-268435456</v>
      </c>
      <c r="J89" s="11">
        <f t="shared" si="9"/>
        <v>16777216</v>
      </c>
      <c r="K89" s="11">
        <f t="shared" si="9"/>
        <v>-1048576</v>
      </c>
      <c r="L89" s="11">
        <f t="shared" si="9"/>
        <v>65536</v>
      </c>
      <c r="M89" s="11">
        <f t="shared" si="9"/>
        <v>-4096</v>
      </c>
      <c r="N89" s="11">
        <f t="shared" si="9"/>
        <v>256</v>
      </c>
      <c r="O89" s="11">
        <f t="shared" si="9"/>
        <v>-16</v>
      </c>
      <c r="P89" s="11">
        <f t="shared" si="13"/>
        <v>0</v>
      </c>
    </row>
    <row r="90" spans="1:16" x14ac:dyDescent="0.25">
      <c r="A90" s="11">
        <f t="shared" si="12"/>
        <v>35</v>
      </c>
      <c r="B90">
        <v>-35.658052745534626</v>
      </c>
      <c r="E90" s="11">
        <f>A90-'Mastercurve bestimmen'!$B$2</f>
        <v>-15</v>
      </c>
      <c r="F90" s="11">
        <f t="shared" si="10"/>
        <v>-35.658052745534626</v>
      </c>
      <c r="G90" s="11"/>
      <c r="H90" s="11">
        <f t="shared" si="11"/>
        <v>2562890625</v>
      </c>
      <c r="I90" s="11">
        <f t="shared" si="9"/>
        <v>-170859375</v>
      </c>
      <c r="J90" s="11">
        <f t="shared" si="9"/>
        <v>11390625</v>
      </c>
      <c r="K90" s="11">
        <f t="shared" si="9"/>
        <v>-759375</v>
      </c>
      <c r="L90" s="11">
        <f t="shared" si="9"/>
        <v>50625</v>
      </c>
      <c r="M90" s="11">
        <f t="shared" si="9"/>
        <v>-3375</v>
      </c>
      <c r="N90" s="11">
        <f t="shared" si="9"/>
        <v>225</v>
      </c>
      <c r="O90" s="11">
        <f t="shared" si="9"/>
        <v>-15</v>
      </c>
      <c r="P90" s="11">
        <f t="shared" si="13"/>
        <v>0</v>
      </c>
    </row>
    <row r="91" spans="1:16" x14ac:dyDescent="0.25">
      <c r="A91" s="11">
        <f t="shared" si="12"/>
        <v>36</v>
      </c>
      <c r="B91">
        <v>-35.456368950484901</v>
      </c>
      <c r="E91" s="11">
        <f>A91-'Mastercurve bestimmen'!$B$2</f>
        <v>-14</v>
      </c>
      <c r="F91" s="11">
        <f t="shared" si="10"/>
        <v>-35.456368950484901</v>
      </c>
      <c r="G91" s="11"/>
      <c r="H91" s="11">
        <f t="shared" si="11"/>
        <v>1475789056</v>
      </c>
      <c r="I91" s="11">
        <f t="shared" si="9"/>
        <v>-105413504</v>
      </c>
      <c r="J91" s="11">
        <f t="shared" si="9"/>
        <v>7529536</v>
      </c>
      <c r="K91" s="11">
        <f t="shared" si="9"/>
        <v>-537824</v>
      </c>
      <c r="L91" s="11">
        <f t="shared" si="9"/>
        <v>38416</v>
      </c>
      <c r="M91" s="11">
        <f t="shared" si="9"/>
        <v>-2744</v>
      </c>
      <c r="N91" s="11">
        <f t="shared" si="9"/>
        <v>196</v>
      </c>
      <c r="O91" s="11">
        <f t="shared" si="9"/>
        <v>-14</v>
      </c>
      <c r="P91" s="11">
        <f t="shared" si="13"/>
        <v>0</v>
      </c>
    </row>
    <row r="92" spans="1:16" x14ac:dyDescent="0.25">
      <c r="A92" s="11">
        <f t="shared" si="12"/>
        <v>37</v>
      </c>
      <c r="B92">
        <v>-35.247638827100133</v>
      </c>
      <c r="E92" s="11">
        <f>A92-'Mastercurve bestimmen'!$B$2</f>
        <v>-13</v>
      </c>
      <c r="F92" s="11">
        <f t="shared" si="10"/>
        <v>-35.247638827100133</v>
      </c>
      <c r="G92" s="11"/>
      <c r="H92" s="11">
        <f t="shared" si="11"/>
        <v>815730721</v>
      </c>
      <c r="I92" s="11">
        <f t="shared" si="9"/>
        <v>-62748517</v>
      </c>
      <c r="J92" s="11">
        <f t="shared" si="9"/>
        <v>4826809</v>
      </c>
      <c r="K92" s="11">
        <f t="shared" si="9"/>
        <v>-371293</v>
      </c>
      <c r="L92" s="11">
        <f t="shared" si="9"/>
        <v>28561</v>
      </c>
      <c r="M92" s="11">
        <f t="shared" si="9"/>
        <v>-2197</v>
      </c>
      <c r="N92" s="11">
        <f t="shared" si="9"/>
        <v>169</v>
      </c>
      <c r="O92" s="11">
        <f t="shared" si="9"/>
        <v>-13</v>
      </c>
      <c r="P92" s="11">
        <f t="shared" si="13"/>
        <v>0</v>
      </c>
    </row>
    <row r="93" spans="1:16" x14ac:dyDescent="0.25">
      <c r="A93" s="11">
        <f t="shared" si="12"/>
        <v>38</v>
      </c>
      <c r="B93">
        <v>-35.031042423091009</v>
      </c>
      <c r="E93" s="11">
        <f>A93-'Mastercurve bestimmen'!$B$2</f>
        <v>-12</v>
      </c>
      <c r="F93" s="11">
        <f t="shared" si="10"/>
        <v>-35.031042423091009</v>
      </c>
      <c r="G93" s="11"/>
      <c r="H93" s="11">
        <f t="shared" si="11"/>
        <v>429981696</v>
      </c>
      <c r="I93" s="11">
        <f t="shared" si="9"/>
        <v>-35831808</v>
      </c>
      <c r="J93" s="11">
        <f t="shared" si="9"/>
        <v>2985984</v>
      </c>
      <c r="K93" s="11">
        <f t="shared" si="9"/>
        <v>-248832</v>
      </c>
      <c r="L93" s="11">
        <f t="shared" si="9"/>
        <v>20736</v>
      </c>
      <c r="M93" s="11">
        <f t="shared" si="9"/>
        <v>-1728</v>
      </c>
      <c r="N93" s="11">
        <f t="shared" si="9"/>
        <v>144</v>
      </c>
      <c r="O93" s="11">
        <f t="shared" si="9"/>
        <v>-12</v>
      </c>
      <c r="P93" s="11">
        <f t="shared" si="13"/>
        <v>0</v>
      </c>
    </row>
    <row r="94" spans="1:16" x14ac:dyDescent="0.25">
      <c r="A94" s="11">
        <f t="shared" si="12"/>
        <v>39</v>
      </c>
      <c r="B94">
        <v>-34.805759786168238</v>
      </c>
      <c r="E94" s="11">
        <f>A94-'Mastercurve bestimmen'!$B$2</f>
        <v>-11</v>
      </c>
      <c r="F94" s="11">
        <f t="shared" si="10"/>
        <v>-34.805759786168238</v>
      </c>
      <c r="G94" s="11"/>
      <c r="H94" s="11">
        <f t="shared" si="11"/>
        <v>214358881</v>
      </c>
      <c r="I94" s="11">
        <f t="shared" si="9"/>
        <v>-19487171</v>
      </c>
      <c r="J94" s="11">
        <f t="shared" si="9"/>
        <v>1771561</v>
      </c>
      <c r="K94" s="11">
        <f t="shared" si="9"/>
        <v>-161051</v>
      </c>
      <c r="L94" s="11">
        <f t="shared" si="9"/>
        <v>14641</v>
      </c>
      <c r="M94" s="11">
        <f t="shared" si="9"/>
        <v>-1331</v>
      </c>
      <c r="N94" s="11">
        <f t="shared" si="9"/>
        <v>121</v>
      </c>
      <c r="O94" s="11">
        <f t="shared" si="9"/>
        <v>-11</v>
      </c>
      <c r="P94" s="11">
        <f t="shared" si="13"/>
        <v>0</v>
      </c>
    </row>
    <row r="95" spans="1:16" x14ac:dyDescent="0.25">
      <c r="A95" s="11">
        <f t="shared" si="12"/>
        <v>40</v>
      </c>
      <c r="B95">
        <v>-34.570970964042495</v>
      </c>
      <c r="E95" s="11">
        <f>A95-'Mastercurve bestimmen'!$B$2</f>
        <v>-10</v>
      </c>
      <c r="F95" s="11">
        <f t="shared" si="10"/>
        <v>-34.570970964042495</v>
      </c>
      <c r="G95" s="11"/>
      <c r="H95" s="11">
        <f t="shared" si="11"/>
        <v>100000000</v>
      </c>
      <c r="I95" s="11">
        <f t="shared" si="9"/>
        <v>-10000000</v>
      </c>
      <c r="J95" s="11">
        <f t="shared" si="9"/>
        <v>1000000</v>
      </c>
      <c r="K95" s="11">
        <f t="shared" si="9"/>
        <v>-100000</v>
      </c>
      <c r="L95" s="11">
        <f t="shared" si="9"/>
        <v>10000</v>
      </c>
      <c r="M95" s="11">
        <f t="shared" si="9"/>
        <v>-1000</v>
      </c>
      <c r="N95" s="11">
        <f t="shared" si="9"/>
        <v>100</v>
      </c>
      <c r="O95" s="11">
        <f t="shared" si="9"/>
        <v>-10</v>
      </c>
      <c r="P95" s="11">
        <f t="shared" si="13"/>
        <v>0</v>
      </c>
    </row>
    <row r="96" spans="1:16" x14ac:dyDescent="0.25">
      <c r="A96" s="11">
        <f t="shared" si="12"/>
        <v>41</v>
      </c>
      <c r="B96">
        <v>-34.325856004424494</v>
      </c>
      <c r="E96" s="11">
        <f>A96-'Mastercurve bestimmen'!$B$2</f>
        <v>-9</v>
      </c>
      <c r="F96" s="11">
        <f t="shared" si="10"/>
        <v>-34.325856004424494</v>
      </c>
      <c r="G96" s="11"/>
      <c r="H96" s="11">
        <f t="shared" si="11"/>
        <v>43046721</v>
      </c>
      <c r="I96" s="11">
        <f t="shared" si="9"/>
        <v>-4782969</v>
      </c>
      <c r="J96" s="11">
        <f t="shared" si="9"/>
        <v>531441</v>
      </c>
      <c r="K96" s="11">
        <f t="shared" si="9"/>
        <v>-59049</v>
      </c>
      <c r="L96" s="11">
        <f t="shared" si="9"/>
        <v>6561</v>
      </c>
      <c r="M96" s="11">
        <f t="shared" si="9"/>
        <v>-729</v>
      </c>
      <c r="N96" s="11">
        <f t="shared" si="9"/>
        <v>81</v>
      </c>
      <c r="O96" s="11">
        <f t="shared" si="9"/>
        <v>-9</v>
      </c>
      <c r="P96" s="11">
        <f t="shared" si="13"/>
        <v>0</v>
      </c>
    </row>
    <row r="97" spans="1:16" x14ac:dyDescent="0.25">
      <c r="A97" s="11">
        <f t="shared" si="12"/>
        <v>42</v>
      </c>
      <c r="B97">
        <v>-34.069594955024925</v>
      </c>
      <c r="E97" s="11">
        <f>A97-'Mastercurve bestimmen'!$B$2</f>
        <v>-8</v>
      </c>
      <c r="F97" s="11">
        <f t="shared" si="10"/>
        <v>-34.069594955024925</v>
      </c>
      <c r="G97" s="11"/>
      <c r="H97" s="11">
        <f t="shared" si="11"/>
        <v>16777216</v>
      </c>
      <c r="I97" s="11">
        <f t="shared" si="9"/>
        <v>-2097152</v>
      </c>
      <c r="J97" s="11">
        <f t="shared" si="9"/>
        <v>262144</v>
      </c>
      <c r="K97" s="11">
        <f t="shared" si="9"/>
        <v>-32768</v>
      </c>
      <c r="L97" s="11">
        <f t="shared" si="9"/>
        <v>4096</v>
      </c>
      <c r="M97" s="11">
        <f t="shared" si="9"/>
        <v>-512</v>
      </c>
      <c r="N97" s="11">
        <f t="shared" si="9"/>
        <v>64</v>
      </c>
      <c r="O97" s="11">
        <f t="shared" si="9"/>
        <v>-8</v>
      </c>
      <c r="P97" s="11">
        <f t="shared" si="13"/>
        <v>0</v>
      </c>
    </row>
    <row r="98" spans="1:16" x14ac:dyDescent="0.25">
      <c r="A98" s="11">
        <f t="shared" si="12"/>
        <v>43</v>
      </c>
      <c r="B98">
        <v>-33.801367863554489</v>
      </c>
      <c r="E98" s="11">
        <f>A98-'Mastercurve bestimmen'!$B$2</f>
        <v>-7</v>
      </c>
      <c r="F98" s="11">
        <f t="shared" si="10"/>
        <v>-33.801367863554489</v>
      </c>
      <c r="G98" s="11"/>
      <c r="H98" s="11">
        <f t="shared" si="11"/>
        <v>5764801</v>
      </c>
      <c r="I98" s="11">
        <f t="shared" si="9"/>
        <v>-823543</v>
      </c>
      <c r="J98" s="11">
        <f t="shared" si="9"/>
        <v>117649</v>
      </c>
      <c r="K98" s="11">
        <f t="shared" si="9"/>
        <v>-16807</v>
      </c>
      <c r="L98" s="11">
        <f t="shared" si="9"/>
        <v>2401</v>
      </c>
      <c r="M98" s="11">
        <f t="shared" si="9"/>
        <v>-343</v>
      </c>
      <c r="N98" s="11">
        <f t="shared" si="9"/>
        <v>49</v>
      </c>
      <c r="O98" s="11">
        <f t="shared" si="9"/>
        <v>-7</v>
      </c>
      <c r="P98" s="11">
        <f t="shared" si="13"/>
        <v>0</v>
      </c>
    </row>
    <row r="99" spans="1:16" x14ac:dyDescent="0.25">
      <c r="A99" s="11">
        <f t="shared" si="12"/>
        <v>44</v>
      </c>
      <c r="B99">
        <v>-33.520354777723867</v>
      </c>
      <c r="E99" s="11">
        <f>A99-'Mastercurve bestimmen'!$B$2</f>
        <v>-6</v>
      </c>
      <c r="F99" s="11">
        <f t="shared" si="10"/>
        <v>-33.520354777723867</v>
      </c>
      <c r="G99" s="11"/>
      <c r="H99" s="11">
        <f t="shared" si="11"/>
        <v>1679616</v>
      </c>
      <c r="I99" s="11">
        <f t="shared" si="9"/>
        <v>-279936</v>
      </c>
      <c r="J99" s="11">
        <f t="shared" si="9"/>
        <v>46656</v>
      </c>
      <c r="K99" s="11">
        <f t="shared" si="9"/>
        <v>-7776</v>
      </c>
      <c r="L99" s="11">
        <f t="shared" si="9"/>
        <v>1296</v>
      </c>
      <c r="M99" s="11">
        <f t="shared" si="9"/>
        <v>-216</v>
      </c>
      <c r="N99" s="11">
        <f t="shared" si="9"/>
        <v>36</v>
      </c>
      <c r="O99" s="11">
        <f t="shared" si="9"/>
        <v>-6</v>
      </c>
      <c r="P99" s="11">
        <f t="shared" si="13"/>
        <v>0</v>
      </c>
    </row>
    <row r="100" spans="1:16" x14ac:dyDescent="0.25">
      <c r="A100" s="11">
        <f t="shared" si="12"/>
        <v>45</v>
      </c>
      <c r="B100">
        <v>-33.225735745243767</v>
      </c>
      <c r="E100" s="11">
        <f>A100-'Mastercurve bestimmen'!$B$2</f>
        <v>-5</v>
      </c>
      <c r="F100" s="11">
        <f t="shared" si="10"/>
        <v>-33.225735745243767</v>
      </c>
      <c r="G100" s="11"/>
      <c r="H100" s="11">
        <f t="shared" si="11"/>
        <v>390625</v>
      </c>
      <c r="I100" s="11">
        <f t="shared" si="9"/>
        <v>-78125</v>
      </c>
      <c r="J100" s="11">
        <f t="shared" si="9"/>
        <v>15625</v>
      </c>
      <c r="K100" s="11">
        <f t="shared" si="9"/>
        <v>-3125</v>
      </c>
      <c r="L100" s="11">
        <f t="shared" si="9"/>
        <v>625</v>
      </c>
      <c r="M100" s="11">
        <f t="shared" si="9"/>
        <v>-125</v>
      </c>
      <c r="N100" s="11">
        <f t="shared" si="9"/>
        <v>25</v>
      </c>
      <c r="O100" s="11">
        <f t="shared" si="9"/>
        <v>-5</v>
      </c>
      <c r="P100" s="11">
        <f t="shared" si="13"/>
        <v>0</v>
      </c>
    </row>
    <row r="101" spans="1:16" x14ac:dyDescent="0.25">
      <c r="A101" s="11">
        <f t="shared" si="12"/>
        <v>46</v>
      </c>
      <c r="B101">
        <v>-32.916690813824886</v>
      </c>
      <c r="E101" s="11">
        <f>A101-'Mastercurve bestimmen'!$B$2</f>
        <v>-4</v>
      </c>
      <c r="F101" s="11">
        <f t="shared" si="10"/>
        <v>-32.916690813824886</v>
      </c>
      <c r="G101" s="11"/>
      <c r="H101" s="11">
        <f t="shared" si="11"/>
        <v>65536</v>
      </c>
      <c r="I101" s="11">
        <f t="shared" si="9"/>
        <v>-16384</v>
      </c>
      <c r="J101" s="11">
        <f t="shared" si="9"/>
        <v>4096</v>
      </c>
      <c r="K101" s="11">
        <f t="shared" si="9"/>
        <v>-1024</v>
      </c>
      <c r="L101" s="11">
        <f t="shared" si="9"/>
        <v>256</v>
      </c>
      <c r="M101" s="11">
        <f t="shared" si="9"/>
        <v>-64</v>
      </c>
      <c r="N101" s="11">
        <f t="shared" si="9"/>
        <v>16</v>
      </c>
      <c r="O101" s="11">
        <f t="shared" si="9"/>
        <v>-4</v>
      </c>
      <c r="P101" s="11">
        <f t="shared" si="13"/>
        <v>0</v>
      </c>
    </row>
    <row r="102" spans="1:16" x14ac:dyDescent="0.25">
      <c r="A102" s="11">
        <f t="shared" si="12"/>
        <v>47</v>
      </c>
      <c r="B102">
        <v>-32.592400031177917</v>
      </c>
      <c r="E102" s="11">
        <f>A102-'Mastercurve bestimmen'!$B$2</f>
        <v>-3</v>
      </c>
      <c r="F102" s="11">
        <f t="shared" si="10"/>
        <v>-32.592400031177917</v>
      </c>
      <c r="G102" s="11"/>
      <c r="H102" s="11">
        <f t="shared" si="11"/>
        <v>6561</v>
      </c>
      <c r="I102" s="11">
        <f t="shared" si="9"/>
        <v>-2187</v>
      </c>
      <c r="J102" s="11">
        <f t="shared" si="9"/>
        <v>729</v>
      </c>
      <c r="K102" s="11">
        <f t="shared" si="9"/>
        <v>-243</v>
      </c>
      <c r="L102" s="11">
        <f t="shared" si="9"/>
        <v>81</v>
      </c>
      <c r="M102" s="11">
        <f t="shared" si="9"/>
        <v>-27</v>
      </c>
      <c r="N102" s="11">
        <f t="shared" si="9"/>
        <v>9</v>
      </c>
      <c r="O102" s="11">
        <f t="shared" si="9"/>
        <v>-3</v>
      </c>
      <c r="P102" s="11">
        <f t="shared" si="13"/>
        <v>0</v>
      </c>
    </row>
    <row r="103" spans="1:16" x14ac:dyDescent="0.25">
      <c r="A103" s="11">
        <f t="shared" si="12"/>
        <v>48</v>
      </c>
      <c r="B103">
        <v>-32.252043445013541</v>
      </c>
      <c r="E103" s="11">
        <f>A103-'Mastercurve bestimmen'!$B$2</f>
        <v>-2</v>
      </c>
      <c r="F103" s="11">
        <f t="shared" si="10"/>
        <v>-32.252043445013541</v>
      </c>
      <c r="G103" s="11"/>
      <c r="H103" s="11">
        <f t="shared" si="11"/>
        <v>256</v>
      </c>
      <c r="I103" s="11">
        <f t="shared" si="9"/>
        <v>-128</v>
      </c>
      <c r="J103" s="11">
        <f t="shared" si="9"/>
        <v>64</v>
      </c>
      <c r="K103" s="11">
        <f t="shared" si="9"/>
        <v>-32</v>
      </c>
      <c r="L103" s="11">
        <f t="shared" si="9"/>
        <v>16</v>
      </c>
      <c r="M103" s="11">
        <f t="shared" si="9"/>
        <v>-8</v>
      </c>
      <c r="N103" s="11">
        <f t="shared" si="9"/>
        <v>4</v>
      </c>
      <c r="O103" s="11">
        <f t="shared" si="9"/>
        <v>-2</v>
      </c>
      <c r="P103" s="11">
        <f t="shared" si="13"/>
        <v>0</v>
      </c>
    </row>
    <row r="104" spans="1:16" x14ac:dyDescent="0.25">
      <c r="A104" s="11">
        <f t="shared" si="12"/>
        <v>49</v>
      </c>
      <c r="B104">
        <v>-31.894801103042475</v>
      </c>
      <c r="E104" s="11">
        <f>A104-'Mastercurve bestimmen'!$B$2</f>
        <v>-1</v>
      </c>
      <c r="F104" s="11">
        <f t="shared" si="10"/>
        <v>-31.894801103042475</v>
      </c>
      <c r="G104" s="11"/>
      <c r="H104" s="11">
        <f t="shared" si="11"/>
        <v>1</v>
      </c>
      <c r="I104" s="11">
        <f t="shared" si="9"/>
        <v>-1</v>
      </c>
      <c r="J104" s="11">
        <f t="shared" si="9"/>
        <v>1</v>
      </c>
      <c r="K104" s="11">
        <f t="shared" si="9"/>
        <v>-1</v>
      </c>
      <c r="L104" s="11">
        <f t="shared" si="9"/>
        <v>1</v>
      </c>
      <c r="M104" s="11">
        <f t="shared" si="9"/>
        <v>-1</v>
      </c>
      <c r="N104" s="11">
        <f t="shared" si="9"/>
        <v>1</v>
      </c>
      <c r="O104" s="11">
        <f t="shared" si="9"/>
        <v>-1</v>
      </c>
      <c r="P104" s="11">
        <f t="shared" si="13"/>
        <v>0</v>
      </c>
    </row>
    <row r="105" spans="1:16" x14ac:dyDescent="0.25">
      <c r="A105" s="11">
        <f t="shared" si="12"/>
        <v>50</v>
      </c>
      <c r="B105">
        <v>-31.519853052975407</v>
      </c>
      <c r="E105" s="11">
        <f>A105-'Mastercurve bestimmen'!$B$2</f>
        <v>0</v>
      </c>
      <c r="F105" s="11">
        <f t="shared" si="10"/>
        <v>-31.519853052975407</v>
      </c>
      <c r="G105" s="11"/>
      <c r="H105" s="11">
        <f t="shared" si="11"/>
        <v>0</v>
      </c>
      <c r="I105" s="11">
        <f t="shared" si="9"/>
        <v>0</v>
      </c>
      <c r="J105" s="11">
        <f t="shared" si="9"/>
        <v>0</v>
      </c>
      <c r="K105" s="11">
        <f t="shared" si="9"/>
        <v>0</v>
      </c>
      <c r="L105" s="11">
        <f t="shared" si="9"/>
        <v>0</v>
      </c>
      <c r="M105" s="11">
        <f t="shared" si="9"/>
        <v>0</v>
      </c>
      <c r="N105" s="11">
        <f t="shared" si="9"/>
        <v>0</v>
      </c>
      <c r="O105" s="11">
        <f t="shared" si="9"/>
        <v>0</v>
      </c>
      <c r="P105" s="11">
        <f t="shared" si="13"/>
        <v>0</v>
      </c>
    </row>
    <row r="106" spans="1:16" x14ac:dyDescent="0.25">
      <c r="A106" s="11">
        <f t="shared" si="12"/>
        <v>51</v>
      </c>
      <c r="B106">
        <v>-31.126667810396924</v>
      </c>
      <c r="E106" s="11">
        <f>A106-'Mastercurve bestimmen'!$B$2</f>
        <v>1</v>
      </c>
      <c r="F106" s="11">
        <f t="shared" si="10"/>
        <v>-31.126667810396924</v>
      </c>
      <c r="G106" s="11"/>
      <c r="H106" s="11">
        <f t="shared" si="11"/>
        <v>1</v>
      </c>
      <c r="I106" s="11">
        <f t="shared" si="9"/>
        <v>1</v>
      </c>
      <c r="J106" s="11">
        <f t="shared" si="9"/>
        <v>1</v>
      </c>
      <c r="K106" s="11">
        <f t="shared" si="9"/>
        <v>1</v>
      </c>
      <c r="L106" s="11">
        <f t="shared" si="9"/>
        <v>1</v>
      </c>
      <c r="M106" s="11">
        <f t="shared" si="9"/>
        <v>1</v>
      </c>
      <c r="N106" s="11">
        <f t="shared" si="9"/>
        <v>1</v>
      </c>
      <c r="O106" s="11">
        <f t="shared" si="9"/>
        <v>1</v>
      </c>
      <c r="P106" s="11">
        <f t="shared" si="13"/>
        <v>0</v>
      </c>
    </row>
    <row r="107" spans="1:16" x14ac:dyDescent="0.25">
      <c r="A107" s="11">
        <f t="shared" si="12"/>
        <v>52</v>
      </c>
      <c r="B107">
        <v>-30.715867762387184</v>
      </c>
      <c r="E107" s="11">
        <f>A107-'Mastercurve bestimmen'!$B$2</f>
        <v>2</v>
      </c>
      <c r="F107" s="11">
        <f t="shared" si="10"/>
        <v>-30.715867762387184</v>
      </c>
      <c r="G107" s="11"/>
      <c r="H107" s="11">
        <f t="shared" si="11"/>
        <v>256</v>
      </c>
      <c r="I107" s="11">
        <f t="shared" si="9"/>
        <v>128</v>
      </c>
      <c r="J107" s="11">
        <f t="shared" si="9"/>
        <v>64</v>
      </c>
      <c r="K107" s="11">
        <f t="shared" si="9"/>
        <v>32</v>
      </c>
      <c r="L107" s="11">
        <f t="shared" si="9"/>
        <v>16</v>
      </c>
      <c r="M107" s="11">
        <f t="shared" si="9"/>
        <v>8</v>
      </c>
      <c r="N107" s="11">
        <f t="shared" si="9"/>
        <v>4</v>
      </c>
      <c r="O107" s="11">
        <f t="shared" si="9"/>
        <v>2</v>
      </c>
      <c r="P107" s="11">
        <f t="shared" si="13"/>
        <v>0</v>
      </c>
    </row>
    <row r="108" spans="1:16" x14ac:dyDescent="0.25">
      <c r="A108" s="11">
        <f t="shared" si="12"/>
        <v>53</v>
      </c>
      <c r="B108">
        <v>-30.288363763900247</v>
      </c>
      <c r="E108" s="11">
        <f>A108-'Mastercurve bestimmen'!$B$2</f>
        <v>3</v>
      </c>
      <c r="F108" s="11">
        <f t="shared" si="10"/>
        <v>-30.288363763900247</v>
      </c>
      <c r="G108" s="11"/>
      <c r="H108" s="11">
        <f t="shared" si="11"/>
        <v>6561</v>
      </c>
      <c r="I108" s="11">
        <f t="shared" si="9"/>
        <v>2187</v>
      </c>
      <c r="J108" s="11">
        <f t="shared" si="9"/>
        <v>729</v>
      </c>
      <c r="K108" s="11">
        <f t="shared" si="9"/>
        <v>243</v>
      </c>
      <c r="L108" s="11">
        <f t="shared" si="9"/>
        <v>81</v>
      </c>
      <c r="M108" s="11">
        <f t="shared" si="9"/>
        <v>27</v>
      </c>
      <c r="N108" s="11">
        <f t="shared" si="9"/>
        <v>9</v>
      </c>
      <c r="O108" s="11">
        <f t="shared" si="9"/>
        <v>3</v>
      </c>
      <c r="P108" s="11">
        <f t="shared" si="13"/>
        <v>0</v>
      </c>
    </row>
    <row r="109" spans="1:16" x14ac:dyDescent="0.25">
      <c r="A109" s="11">
        <f t="shared" si="12"/>
        <v>54</v>
      </c>
      <c r="B109">
        <v>-29.845066669890162</v>
      </c>
      <c r="E109" s="11">
        <f>A109-'Mastercurve bestimmen'!$B$2</f>
        <v>4</v>
      </c>
      <c r="F109" s="11">
        <f t="shared" si="10"/>
        <v>-29.845066669890162</v>
      </c>
      <c r="G109" s="11"/>
      <c r="H109" s="11">
        <f t="shared" si="11"/>
        <v>65536</v>
      </c>
      <c r="I109" s="11">
        <f t="shared" si="9"/>
        <v>16384</v>
      </c>
      <c r="J109" s="11">
        <f t="shared" si="9"/>
        <v>4096</v>
      </c>
      <c r="K109" s="11">
        <f t="shared" si="9"/>
        <v>1024</v>
      </c>
      <c r="L109" s="11">
        <f t="shared" si="9"/>
        <v>256</v>
      </c>
      <c r="M109" s="11">
        <f t="shared" si="9"/>
        <v>64</v>
      </c>
      <c r="N109" s="11">
        <f t="shared" si="9"/>
        <v>16</v>
      </c>
      <c r="O109" s="11">
        <f t="shared" si="9"/>
        <v>4</v>
      </c>
      <c r="P109" s="11">
        <f t="shared" si="13"/>
        <v>0</v>
      </c>
    </row>
    <row r="110" spans="1:16" x14ac:dyDescent="0.25">
      <c r="A110" s="11">
        <f t="shared" si="12"/>
        <v>55</v>
      </c>
      <c r="B110">
        <v>-29.386887335310995</v>
      </c>
      <c r="E110" s="11">
        <f>A110-'Mastercurve bestimmen'!$B$2</f>
        <v>5</v>
      </c>
      <c r="F110" s="11">
        <f t="shared" si="10"/>
        <v>-29.386887335310995</v>
      </c>
      <c r="G110" s="11"/>
      <c r="H110" s="11">
        <f t="shared" si="11"/>
        <v>390625</v>
      </c>
      <c r="I110" s="11">
        <f t="shared" si="9"/>
        <v>78125</v>
      </c>
      <c r="J110" s="11">
        <f t="shared" si="9"/>
        <v>15625</v>
      </c>
      <c r="K110" s="11">
        <f t="shared" si="9"/>
        <v>3125</v>
      </c>
      <c r="L110" s="11">
        <f t="shared" si="9"/>
        <v>625</v>
      </c>
      <c r="M110" s="11">
        <f t="shared" si="9"/>
        <v>125</v>
      </c>
      <c r="N110" s="11">
        <f t="shared" si="9"/>
        <v>25</v>
      </c>
      <c r="O110" s="11">
        <f t="shared" si="9"/>
        <v>5</v>
      </c>
      <c r="P110" s="11">
        <f t="shared" si="13"/>
        <v>0</v>
      </c>
    </row>
    <row r="111" spans="1:16" x14ac:dyDescent="0.25">
      <c r="A111" s="11">
        <f t="shared" si="12"/>
        <v>56</v>
      </c>
      <c r="B111">
        <v>-28.914736615116791</v>
      </c>
      <c r="E111" s="11">
        <f>A111-'Mastercurve bestimmen'!$B$2</f>
        <v>6</v>
      </c>
      <c r="F111" s="11">
        <f t="shared" si="10"/>
        <v>-28.914736615116791</v>
      </c>
      <c r="G111" s="11"/>
      <c r="H111" s="11">
        <f t="shared" si="11"/>
        <v>1679616</v>
      </c>
      <c r="I111" s="11">
        <f t="shared" si="9"/>
        <v>279936</v>
      </c>
      <c r="J111" s="11">
        <f t="shared" si="9"/>
        <v>46656</v>
      </c>
      <c r="K111" s="11">
        <f t="shared" si="9"/>
        <v>7776</v>
      </c>
      <c r="L111" s="11">
        <f t="shared" si="9"/>
        <v>1296</v>
      </c>
      <c r="M111" s="11">
        <f t="shared" si="9"/>
        <v>216</v>
      </c>
      <c r="N111" s="11">
        <f t="shared" si="9"/>
        <v>36</v>
      </c>
      <c r="O111" s="11">
        <f t="shared" si="9"/>
        <v>6</v>
      </c>
      <c r="P111" s="11">
        <f t="shared" si="13"/>
        <v>0</v>
      </c>
    </row>
    <row r="112" spans="1:16" x14ac:dyDescent="0.25">
      <c r="A112" s="11">
        <f t="shared" si="12"/>
        <v>57</v>
      </c>
      <c r="B112">
        <v>-28.429525364261607</v>
      </c>
      <c r="E112" s="11">
        <f>A112-'Mastercurve bestimmen'!$B$2</f>
        <v>7</v>
      </c>
      <c r="F112" s="11">
        <f t="shared" si="10"/>
        <v>-28.429525364261607</v>
      </c>
      <c r="G112" s="11"/>
      <c r="H112" s="11">
        <f t="shared" si="11"/>
        <v>5764801</v>
      </c>
      <c r="I112" s="11">
        <f t="shared" si="9"/>
        <v>823543</v>
      </c>
      <c r="J112" s="11">
        <f t="shared" si="9"/>
        <v>117649</v>
      </c>
      <c r="K112" s="11">
        <f t="shared" si="9"/>
        <v>16807</v>
      </c>
      <c r="L112" s="11">
        <f t="shared" si="9"/>
        <v>2401</v>
      </c>
      <c r="M112" s="11">
        <f t="shared" si="9"/>
        <v>343</v>
      </c>
      <c r="N112" s="11">
        <f t="shared" si="9"/>
        <v>49</v>
      </c>
      <c r="O112" s="11">
        <f t="shared" si="9"/>
        <v>7</v>
      </c>
      <c r="P112" s="11">
        <f t="shared" si="13"/>
        <v>0</v>
      </c>
    </row>
    <row r="113" spans="1:16" x14ac:dyDescent="0.25">
      <c r="A113" s="11">
        <f t="shared" si="12"/>
        <v>58</v>
      </c>
      <c r="B113">
        <v>-27.932164437699502</v>
      </c>
      <c r="E113" s="11">
        <f>A113-'Mastercurve bestimmen'!$B$2</f>
        <v>8</v>
      </c>
      <c r="F113" s="11">
        <f t="shared" si="10"/>
        <v>-27.932164437699502</v>
      </c>
      <c r="G113" s="11"/>
      <c r="H113" s="11">
        <f t="shared" si="11"/>
        <v>16777216</v>
      </c>
      <c r="I113" s="11">
        <f t="shared" si="9"/>
        <v>2097152</v>
      </c>
      <c r="J113" s="11">
        <f t="shared" si="9"/>
        <v>262144</v>
      </c>
      <c r="K113" s="11">
        <f t="shared" si="9"/>
        <v>32768</v>
      </c>
      <c r="L113" s="11">
        <f t="shared" si="9"/>
        <v>4096</v>
      </c>
      <c r="M113" s="11">
        <f t="shared" si="9"/>
        <v>512</v>
      </c>
      <c r="N113" s="11">
        <f t="shared" si="9"/>
        <v>64</v>
      </c>
      <c r="O113" s="11">
        <f t="shared" si="9"/>
        <v>8</v>
      </c>
      <c r="P113" s="11">
        <f t="shared" si="13"/>
        <v>0</v>
      </c>
    </row>
    <row r="114" spans="1:16" x14ac:dyDescent="0.25">
      <c r="A114" s="11">
        <f t="shared" si="12"/>
        <v>59</v>
      </c>
      <c r="B114">
        <v>-27.42356469038452</v>
      </c>
      <c r="E114" s="11">
        <f>A114-'Mastercurve bestimmen'!$B$2</f>
        <v>9</v>
      </c>
      <c r="F114" s="11">
        <f t="shared" si="10"/>
        <v>-27.42356469038452</v>
      </c>
      <c r="G114" s="11"/>
      <c r="H114" s="11">
        <f t="shared" si="11"/>
        <v>43046721</v>
      </c>
      <c r="I114" s="11">
        <f t="shared" si="9"/>
        <v>4782969</v>
      </c>
      <c r="J114" s="11">
        <f t="shared" si="9"/>
        <v>531441</v>
      </c>
      <c r="K114" s="11">
        <f t="shared" si="9"/>
        <v>59049</v>
      </c>
      <c r="L114" s="11">
        <f t="shared" si="9"/>
        <v>6561</v>
      </c>
      <c r="M114" s="11">
        <f t="shared" si="9"/>
        <v>729</v>
      </c>
      <c r="N114" s="11">
        <f t="shared" si="9"/>
        <v>81</v>
      </c>
      <c r="O114" s="11">
        <f t="shared" si="9"/>
        <v>9</v>
      </c>
      <c r="P114" s="11">
        <f t="shared" si="13"/>
        <v>0</v>
      </c>
    </row>
    <row r="115" spans="1:16" x14ac:dyDescent="0.25">
      <c r="A115" s="11">
        <f t="shared" si="12"/>
        <v>60</v>
      </c>
      <c r="B115">
        <v>-26.904636977270727</v>
      </c>
      <c r="E115" s="11">
        <f>A115-'Mastercurve bestimmen'!$B$2</f>
        <v>10</v>
      </c>
      <c r="F115" s="11">
        <f t="shared" si="10"/>
        <v>-26.904636977270727</v>
      </c>
      <c r="G115" s="11"/>
      <c r="H115" s="11">
        <f t="shared" si="11"/>
        <v>100000000</v>
      </c>
      <c r="I115" s="11">
        <f t="shared" si="9"/>
        <v>10000000</v>
      </c>
      <c r="J115" s="11">
        <f t="shared" si="9"/>
        <v>1000000</v>
      </c>
      <c r="K115" s="11">
        <f t="shared" si="9"/>
        <v>100000</v>
      </c>
      <c r="L115" s="11">
        <f t="shared" si="9"/>
        <v>10000</v>
      </c>
      <c r="M115" s="11">
        <f t="shared" si="9"/>
        <v>1000</v>
      </c>
      <c r="N115" s="11">
        <f t="shared" si="9"/>
        <v>100</v>
      </c>
      <c r="O115" s="11">
        <f t="shared" si="9"/>
        <v>10</v>
      </c>
      <c r="P115" s="11">
        <f t="shared" si="13"/>
        <v>0</v>
      </c>
    </row>
    <row r="116" spans="1:16" x14ac:dyDescent="0.25">
      <c r="A116" s="11">
        <f t="shared" si="12"/>
        <v>61</v>
      </c>
      <c r="B116">
        <v>-26.376292153312171</v>
      </c>
      <c r="E116" s="11">
        <f>A116-'Mastercurve bestimmen'!$B$2</f>
        <v>11</v>
      </c>
      <c r="F116" s="11">
        <f t="shared" si="10"/>
        <v>-26.376292153312171</v>
      </c>
      <c r="G116" s="11"/>
      <c r="H116" s="11">
        <f t="shared" si="11"/>
        <v>214358881</v>
      </c>
      <c r="I116" s="11">
        <f t="shared" si="9"/>
        <v>19487171</v>
      </c>
      <c r="J116" s="11">
        <f t="shared" si="9"/>
        <v>1771561</v>
      </c>
      <c r="K116" s="11">
        <f t="shared" ref="I116:O152" si="14">IF($H$12&gt;=K$14,$E116^K$14,0)</f>
        <v>161051</v>
      </c>
      <c r="L116" s="11">
        <f t="shared" si="14"/>
        <v>14641</v>
      </c>
      <c r="M116" s="11">
        <f t="shared" si="14"/>
        <v>1331</v>
      </c>
      <c r="N116" s="11">
        <f t="shared" si="14"/>
        <v>121</v>
      </c>
      <c r="O116" s="11">
        <f t="shared" si="14"/>
        <v>11</v>
      </c>
      <c r="P116" s="11">
        <f t="shared" si="13"/>
        <v>0</v>
      </c>
    </row>
    <row r="117" spans="1:16" x14ac:dyDescent="0.25">
      <c r="A117" s="11">
        <f t="shared" si="12"/>
        <v>62</v>
      </c>
      <c r="B117">
        <v>-25.839441073462908</v>
      </c>
      <c r="E117" s="11">
        <f>A117-'Mastercurve bestimmen'!$B$2</f>
        <v>12</v>
      </c>
      <c r="F117" s="11">
        <f t="shared" si="10"/>
        <v>-25.839441073462908</v>
      </c>
      <c r="G117" s="11"/>
      <c r="H117" s="11">
        <f t="shared" si="11"/>
        <v>429981696</v>
      </c>
      <c r="I117" s="11">
        <f t="shared" si="14"/>
        <v>35831808</v>
      </c>
      <c r="J117" s="11">
        <f t="shared" si="14"/>
        <v>2985984</v>
      </c>
      <c r="K117" s="11">
        <f t="shared" si="14"/>
        <v>248832</v>
      </c>
      <c r="L117" s="11">
        <f t="shared" si="14"/>
        <v>20736</v>
      </c>
      <c r="M117" s="11">
        <f t="shared" si="14"/>
        <v>1728</v>
      </c>
      <c r="N117" s="11">
        <f t="shared" si="14"/>
        <v>144</v>
      </c>
      <c r="O117" s="11">
        <f t="shared" si="14"/>
        <v>12</v>
      </c>
      <c r="P117" s="11">
        <f t="shared" si="13"/>
        <v>0</v>
      </c>
    </row>
    <row r="118" spans="1:16" x14ac:dyDescent="0.25">
      <c r="A118" s="11">
        <f t="shared" si="12"/>
        <v>63</v>
      </c>
      <c r="B118">
        <v>-25.294994592676993</v>
      </c>
      <c r="E118" s="11">
        <f>A118-'Mastercurve bestimmen'!$B$2</f>
        <v>13</v>
      </c>
      <c r="F118" s="11">
        <f t="shared" si="10"/>
        <v>-25.294994592676993</v>
      </c>
      <c r="G118" s="11"/>
      <c r="H118" s="11">
        <f t="shared" si="11"/>
        <v>815730721</v>
      </c>
      <c r="I118" s="11">
        <f t="shared" si="14"/>
        <v>62748517</v>
      </c>
      <c r="J118" s="11">
        <f t="shared" si="14"/>
        <v>4826809</v>
      </c>
      <c r="K118" s="11">
        <f t="shared" si="14"/>
        <v>371293</v>
      </c>
      <c r="L118" s="11">
        <f t="shared" si="14"/>
        <v>28561</v>
      </c>
      <c r="M118" s="11">
        <f t="shared" si="14"/>
        <v>2197</v>
      </c>
      <c r="N118" s="11">
        <f t="shared" si="14"/>
        <v>169</v>
      </c>
      <c r="O118" s="11">
        <f t="shared" si="14"/>
        <v>13</v>
      </c>
      <c r="P118" s="11">
        <f t="shared" si="13"/>
        <v>0</v>
      </c>
    </row>
    <row r="119" spans="1:16" x14ac:dyDescent="0.25">
      <c r="A119" s="11">
        <f t="shared" si="12"/>
        <v>64</v>
      </c>
      <c r="B119">
        <v>-24.743863565908484</v>
      </c>
      <c r="E119" s="11">
        <f>A119-'Mastercurve bestimmen'!$B$2</f>
        <v>14</v>
      </c>
      <c r="F119" s="11">
        <f t="shared" si="10"/>
        <v>-24.743863565908484</v>
      </c>
      <c r="G119" s="11"/>
      <c r="H119" s="11">
        <f t="shared" si="11"/>
        <v>1475789056</v>
      </c>
      <c r="I119" s="11">
        <f t="shared" si="14"/>
        <v>105413504</v>
      </c>
      <c r="J119" s="11">
        <f t="shared" si="14"/>
        <v>7529536</v>
      </c>
      <c r="K119" s="11">
        <f t="shared" si="14"/>
        <v>537824</v>
      </c>
      <c r="L119" s="11">
        <f t="shared" si="14"/>
        <v>38416</v>
      </c>
      <c r="M119" s="11">
        <f t="shared" si="14"/>
        <v>2744</v>
      </c>
      <c r="N119" s="11">
        <f t="shared" si="14"/>
        <v>196</v>
      </c>
      <c r="O119" s="11">
        <f t="shared" si="14"/>
        <v>14</v>
      </c>
      <c r="P119" s="11">
        <f t="shared" si="13"/>
        <v>0</v>
      </c>
    </row>
    <row r="120" spans="1:16" x14ac:dyDescent="0.25">
      <c r="A120" s="11">
        <f t="shared" si="12"/>
        <v>65</v>
      </c>
      <c r="B120">
        <v>-24.186958848111431</v>
      </c>
      <c r="E120" s="11">
        <f>A120-'Mastercurve bestimmen'!$B$2</f>
        <v>15</v>
      </c>
      <c r="F120" s="11">
        <f t="shared" si="10"/>
        <v>-24.186958848111431</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-23.62519129423989</v>
      </c>
      <c r="E121" s="11">
        <f>A121-'Mastercurve bestimmen'!$B$2</f>
        <v>16</v>
      </c>
      <c r="F121" s="11">
        <f t="shared" si="10"/>
        <v>-23.62519129423989</v>
      </c>
      <c r="G121" s="11"/>
      <c r="H121" s="11">
        <f t="shared" si="11"/>
        <v>4294967296</v>
      </c>
      <c r="I121" s="11">
        <f t="shared" si="14"/>
        <v>268435456</v>
      </c>
      <c r="J121" s="11">
        <f t="shared" si="14"/>
        <v>16777216</v>
      </c>
      <c r="K121" s="11">
        <f t="shared" si="14"/>
        <v>1048576</v>
      </c>
      <c r="L121" s="11">
        <f t="shared" si="14"/>
        <v>65536</v>
      </c>
      <c r="M121" s="11">
        <f t="shared" si="14"/>
        <v>4096</v>
      </c>
      <c r="N121" s="11">
        <f t="shared" si="14"/>
        <v>256</v>
      </c>
      <c r="O121" s="11">
        <f t="shared" si="14"/>
        <v>16</v>
      </c>
      <c r="P121" s="11">
        <f t="shared" si="13"/>
        <v>0</v>
      </c>
    </row>
    <row r="122" spans="1:16" x14ac:dyDescent="0.25">
      <c r="A122" s="11">
        <f t="shared" si="12"/>
        <v>67</v>
      </c>
      <c r="B122">
        <v>-23.059471759247913</v>
      </c>
      <c r="E122" s="11">
        <f>A122-'Mastercurve bestimmen'!$B$2</f>
        <v>17</v>
      </c>
      <c r="F122" s="11">
        <f t="shared" si="10"/>
        <v>-23.059471759247913</v>
      </c>
      <c r="G122" s="11"/>
      <c r="H122" s="11">
        <f t="shared" si="11"/>
        <v>6975757441</v>
      </c>
      <c r="I122" s="11">
        <f t="shared" si="14"/>
        <v>410338673</v>
      </c>
      <c r="J122" s="11">
        <f t="shared" si="14"/>
        <v>24137569</v>
      </c>
      <c r="K122" s="11">
        <f t="shared" si="14"/>
        <v>1419857</v>
      </c>
      <c r="L122" s="11">
        <f t="shared" si="14"/>
        <v>83521</v>
      </c>
      <c r="M122" s="11">
        <f t="shared" si="14"/>
        <v>4913</v>
      </c>
      <c r="N122" s="11">
        <f t="shared" si="14"/>
        <v>289</v>
      </c>
      <c r="O122" s="11">
        <f t="shared" si="14"/>
        <v>17</v>
      </c>
      <c r="P122" s="11">
        <f t="shared" si="13"/>
        <v>0</v>
      </c>
    </row>
    <row r="123" spans="1:16" x14ac:dyDescent="0.25">
      <c r="A123" s="11">
        <f t="shared" si="12"/>
        <v>68</v>
      </c>
      <c r="B123">
        <v>-22.490711098089562</v>
      </c>
      <c r="E123" s="11">
        <f>A123-'Mastercurve bestimmen'!$B$2</f>
        <v>18</v>
      </c>
      <c r="F123" s="11">
        <f t="shared" si="10"/>
        <v>-22.490711098089562</v>
      </c>
      <c r="G123" s="11"/>
      <c r="H123" s="11">
        <f t="shared" si="11"/>
        <v>11019960576</v>
      </c>
      <c r="I123" s="11">
        <f t="shared" si="14"/>
        <v>612220032</v>
      </c>
      <c r="J123" s="11">
        <f t="shared" si="14"/>
        <v>34012224</v>
      </c>
      <c r="K123" s="11">
        <f t="shared" si="14"/>
        <v>1889568</v>
      </c>
      <c r="L123" s="11">
        <f t="shared" si="14"/>
        <v>104976</v>
      </c>
      <c r="M123" s="11">
        <f t="shared" si="14"/>
        <v>5832</v>
      </c>
      <c r="N123" s="11">
        <f t="shared" si="14"/>
        <v>324</v>
      </c>
      <c r="O123" s="11">
        <f t="shared" si="14"/>
        <v>18</v>
      </c>
      <c r="P123" s="11">
        <f t="shared" si="13"/>
        <v>0</v>
      </c>
    </row>
    <row r="124" spans="1:16" x14ac:dyDescent="0.25">
      <c r="A124" s="11">
        <f t="shared" si="12"/>
        <v>69</v>
      </c>
      <c r="B124">
        <v>-21.919820165718889</v>
      </c>
      <c r="E124" s="11">
        <f>A124-'Mastercurve bestimmen'!$B$2</f>
        <v>19</v>
      </c>
      <c r="F124" s="11">
        <f t="shared" si="10"/>
        <v>-21.919820165718889</v>
      </c>
      <c r="G124" s="11"/>
      <c r="H124" s="11">
        <f t="shared" si="11"/>
        <v>16983563041</v>
      </c>
      <c r="I124" s="11">
        <f t="shared" si="14"/>
        <v>893871739</v>
      </c>
      <c r="J124" s="11">
        <f t="shared" si="14"/>
        <v>47045881</v>
      </c>
      <c r="K124" s="11">
        <f t="shared" si="14"/>
        <v>2476099</v>
      </c>
      <c r="L124" s="11">
        <f t="shared" si="14"/>
        <v>130321</v>
      </c>
      <c r="M124" s="11">
        <f t="shared" si="14"/>
        <v>6859</v>
      </c>
      <c r="N124" s="11">
        <f t="shared" si="14"/>
        <v>361</v>
      </c>
      <c r="O124" s="11">
        <f t="shared" si="14"/>
        <v>19</v>
      </c>
      <c r="P124" s="11">
        <f t="shared" si="13"/>
        <v>0</v>
      </c>
    </row>
    <row r="125" spans="1:16" x14ac:dyDescent="0.25">
      <c r="A125" s="11">
        <f t="shared" si="12"/>
        <v>70</v>
      </c>
      <c r="B125">
        <v>-21.347709817089942</v>
      </c>
      <c r="E125" s="11">
        <f>A125-'Mastercurve bestimmen'!$B$2</f>
        <v>20</v>
      </c>
      <c r="F125" s="11">
        <f t="shared" si="10"/>
        <v>-21.347709817089942</v>
      </c>
      <c r="G125" s="11"/>
      <c r="H125" s="11">
        <f t="shared" si="11"/>
        <v>25600000000</v>
      </c>
      <c r="I125" s="11">
        <f t="shared" si="14"/>
        <v>1280000000</v>
      </c>
      <c r="J125" s="11">
        <f t="shared" si="14"/>
        <v>64000000</v>
      </c>
      <c r="K125" s="11">
        <f t="shared" si="14"/>
        <v>3200000</v>
      </c>
      <c r="L125" s="11">
        <f t="shared" si="14"/>
        <v>160000</v>
      </c>
      <c r="M125" s="11">
        <f t="shared" si="14"/>
        <v>8000</v>
      </c>
      <c r="N125" s="11">
        <f t="shared" si="14"/>
        <v>400</v>
      </c>
      <c r="O125" s="11">
        <f t="shared" si="14"/>
        <v>20</v>
      </c>
      <c r="P125" s="11">
        <f t="shared" si="13"/>
        <v>0</v>
      </c>
    </row>
    <row r="126" spans="1:16" x14ac:dyDescent="0.25">
      <c r="A126" s="11">
        <f t="shared" si="12"/>
        <v>71</v>
      </c>
      <c r="B126">
        <v>-20.77529090715678</v>
      </c>
      <c r="E126" s="11">
        <f>A126-'Mastercurve bestimmen'!$B$2</f>
        <v>21</v>
      </c>
      <c r="F126" s="11">
        <f t="shared" si="10"/>
        <v>-20.77529090715678</v>
      </c>
      <c r="G126" s="11"/>
      <c r="H126" s="11">
        <f t="shared" si="11"/>
        <v>37822859361</v>
      </c>
      <c r="I126" s="11">
        <f t="shared" si="14"/>
        <v>1801088541</v>
      </c>
      <c r="J126" s="11">
        <f t="shared" si="14"/>
        <v>85766121</v>
      </c>
      <c r="K126" s="11">
        <f t="shared" si="14"/>
        <v>4084101</v>
      </c>
      <c r="L126" s="11">
        <f t="shared" si="14"/>
        <v>194481</v>
      </c>
      <c r="M126" s="11">
        <f t="shared" si="14"/>
        <v>9261</v>
      </c>
      <c r="N126" s="11">
        <f t="shared" si="14"/>
        <v>441</v>
      </c>
      <c r="O126" s="11">
        <f t="shared" si="14"/>
        <v>21</v>
      </c>
      <c r="P126" s="11">
        <f t="shared" si="13"/>
        <v>0</v>
      </c>
    </row>
    <row r="127" spans="1:16" x14ac:dyDescent="0.25">
      <c r="A127" s="11">
        <f t="shared" si="12"/>
        <v>72</v>
      </c>
      <c r="B127">
        <v>-20.203474290873459</v>
      </c>
      <c r="E127" s="11">
        <f>A127-'Mastercurve bestimmen'!$B$2</f>
        <v>22</v>
      </c>
      <c r="F127" s="11">
        <f t="shared" si="10"/>
        <v>-20.203474290873459</v>
      </c>
      <c r="G127" s="11"/>
      <c r="H127" s="11">
        <f t="shared" si="11"/>
        <v>54875873536</v>
      </c>
      <c r="I127" s="11">
        <f t="shared" si="14"/>
        <v>2494357888</v>
      </c>
      <c r="J127" s="11">
        <f t="shared" si="14"/>
        <v>113379904</v>
      </c>
      <c r="K127" s="11">
        <f t="shared" si="14"/>
        <v>5153632</v>
      </c>
      <c r="L127" s="11">
        <f t="shared" si="14"/>
        <v>234256</v>
      </c>
      <c r="M127" s="11">
        <f t="shared" si="14"/>
        <v>10648</v>
      </c>
      <c r="N127" s="11">
        <f t="shared" si="14"/>
        <v>484</v>
      </c>
      <c r="O127" s="11">
        <f t="shared" si="14"/>
        <v>22</v>
      </c>
      <c r="P127" s="11">
        <f t="shared" si="13"/>
        <v>0</v>
      </c>
    </row>
    <row r="128" spans="1:16" x14ac:dyDescent="0.25">
      <c r="A128" s="11">
        <f t="shared" si="12"/>
        <v>73</v>
      </c>
      <c r="B128">
        <v>-19.633170823194035</v>
      </c>
      <c r="E128" s="11">
        <f>A128-'Mastercurve bestimmen'!$B$2</f>
        <v>23</v>
      </c>
      <c r="F128" s="11">
        <f t="shared" si="10"/>
        <v>-19.633170823194035</v>
      </c>
      <c r="G128" s="11"/>
      <c r="H128" s="11">
        <f t="shared" si="11"/>
        <v>78310985281</v>
      </c>
      <c r="I128" s="11">
        <f t="shared" si="14"/>
        <v>3404825447</v>
      </c>
      <c r="J128" s="11">
        <f t="shared" si="14"/>
        <v>148035889</v>
      </c>
      <c r="K128" s="11">
        <f t="shared" si="14"/>
        <v>6436343</v>
      </c>
      <c r="L128" s="11">
        <f t="shared" si="14"/>
        <v>279841</v>
      </c>
      <c r="M128" s="11">
        <f t="shared" si="14"/>
        <v>12167</v>
      </c>
      <c r="N128" s="11">
        <f t="shared" si="14"/>
        <v>529</v>
      </c>
      <c r="O128" s="11">
        <f t="shared" si="14"/>
        <v>23</v>
      </c>
      <c r="P128" s="11">
        <f t="shared" si="13"/>
        <v>0</v>
      </c>
    </row>
    <row r="129" spans="1:16" x14ac:dyDescent="0.25">
      <c r="A129" s="11">
        <f t="shared" si="12"/>
        <v>74</v>
      </c>
      <c r="B129">
        <v>-19.06529135907256</v>
      </c>
      <c r="E129" s="11">
        <f>A129-'Mastercurve bestimmen'!$B$2</f>
        <v>24</v>
      </c>
      <c r="F129" s="11">
        <f t="shared" si="10"/>
        <v>-19.06529135907256</v>
      </c>
      <c r="G129" s="11"/>
      <c r="H129" s="11">
        <f t="shared" si="11"/>
        <v>110075314176</v>
      </c>
      <c r="I129" s="11">
        <f t="shared" si="14"/>
        <v>4586471424</v>
      </c>
      <c r="J129" s="11">
        <f t="shared" si="14"/>
        <v>191102976</v>
      </c>
      <c r="K129" s="11">
        <f t="shared" si="14"/>
        <v>7962624</v>
      </c>
      <c r="L129" s="11">
        <f t="shared" si="14"/>
        <v>331776</v>
      </c>
      <c r="M129" s="11">
        <f t="shared" si="14"/>
        <v>13824</v>
      </c>
      <c r="N129" s="11">
        <f t="shared" si="14"/>
        <v>576</v>
      </c>
      <c r="O129" s="11">
        <f t="shared" si="14"/>
        <v>24</v>
      </c>
      <c r="P129" s="11">
        <f t="shared" si="13"/>
        <v>0</v>
      </c>
    </row>
    <row r="130" spans="1:16" x14ac:dyDescent="0.25">
      <c r="A130" s="11">
        <f t="shared" si="12"/>
        <v>75</v>
      </c>
      <c r="B130">
        <v>-18.500746753463087</v>
      </c>
      <c r="E130" s="11">
        <f>A130-'Mastercurve bestimmen'!$B$2</f>
        <v>25</v>
      </c>
      <c r="F130" s="11">
        <f t="shared" si="10"/>
        <v>-18.500746753463087</v>
      </c>
      <c r="G130" s="11"/>
      <c r="H130" s="11">
        <f t="shared" si="11"/>
        <v>152587890625</v>
      </c>
      <c r="I130" s="11">
        <f t="shared" si="14"/>
        <v>6103515625</v>
      </c>
      <c r="J130" s="11">
        <f t="shared" si="14"/>
        <v>244140625</v>
      </c>
      <c r="K130" s="11">
        <f t="shared" si="14"/>
        <v>9765625</v>
      </c>
      <c r="L130" s="11">
        <f t="shared" si="14"/>
        <v>390625</v>
      </c>
      <c r="M130" s="11">
        <f t="shared" si="14"/>
        <v>15625</v>
      </c>
      <c r="N130" s="11">
        <f t="shared" si="14"/>
        <v>625</v>
      </c>
      <c r="O130" s="11">
        <f t="shared" si="14"/>
        <v>25</v>
      </c>
      <c r="P130" s="11">
        <f t="shared" si="13"/>
        <v>0</v>
      </c>
    </row>
    <row r="131" spans="1:16" x14ac:dyDescent="0.25">
      <c r="A131" s="11">
        <f t="shared" si="12"/>
        <v>76</v>
      </c>
      <c r="B131">
        <v>-17.940447861319676</v>
      </c>
      <c r="E131" s="11">
        <f>A131-'Mastercurve bestimmen'!$B$2</f>
        <v>26</v>
      </c>
      <c r="F131" s="11">
        <f t="shared" si="10"/>
        <v>-17.940447861319676</v>
      </c>
      <c r="G131" s="11"/>
      <c r="H131" s="11">
        <f t="shared" si="11"/>
        <v>208827064576</v>
      </c>
      <c r="I131" s="11">
        <f t="shared" si="14"/>
        <v>8031810176</v>
      </c>
      <c r="J131" s="11">
        <f t="shared" si="14"/>
        <v>308915776</v>
      </c>
      <c r="K131" s="11">
        <f t="shared" si="14"/>
        <v>11881376</v>
      </c>
      <c r="L131" s="11">
        <f t="shared" si="14"/>
        <v>456976</v>
      </c>
      <c r="M131" s="11">
        <f t="shared" si="14"/>
        <v>17576</v>
      </c>
      <c r="N131" s="11">
        <f t="shared" si="14"/>
        <v>676</v>
      </c>
      <c r="O131" s="11">
        <f t="shared" si="14"/>
        <v>26</v>
      </c>
      <c r="P131" s="11">
        <f t="shared" si="13"/>
        <v>0</v>
      </c>
    </row>
    <row r="132" spans="1:16" x14ac:dyDescent="0.25">
      <c r="A132" s="11">
        <f t="shared" si="12"/>
        <v>77</v>
      </c>
      <c r="B132">
        <v>-17.385305537596373</v>
      </c>
      <c r="E132" s="11">
        <f>A132-'Mastercurve bestimmen'!$B$2</f>
        <v>27</v>
      </c>
      <c r="F132" s="11">
        <f t="shared" si="10"/>
        <v>-17.385305537596373</v>
      </c>
      <c r="G132" s="11"/>
      <c r="H132" s="11">
        <f t="shared" si="11"/>
        <v>282429536481</v>
      </c>
      <c r="I132" s="11">
        <f t="shared" si="14"/>
        <v>10460353203</v>
      </c>
      <c r="J132" s="11">
        <f t="shared" si="14"/>
        <v>387420489</v>
      </c>
      <c r="K132" s="11">
        <f t="shared" si="14"/>
        <v>14348907</v>
      </c>
      <c r="L132" s="11">
        <f t="shared" si="14"/>
        <v>531441</v>
      </c>
      <c r="M132" s="11">
        <f t="shared" si="14"/>
        <v>19683</v>
      </c>
      <c r="N132" s="11">
        <f t="shared" si="14"/>
        <v>729</v>
      </c>
      <c r="O132" s="11">
        <f t="shared" si="14"/>
        <v>27</v>
      </c>
      <c r="P132" s="11">
        <f t="shared" si="13"/>
        <v>0</v>
      </c>
    </row>
    <row r="133" spans="1:16" x14ac:dyDescent="0.25">
      <c r="A133" s="11">
        <f t="shared" si="12"/>
        <v>78</v>
      </c>
      <c r="B133">
        <v>-16.836230637247244</v>
      </c>
      <c r="E133" s="11">
        <f>A133-'Mastercurve bestimmen'!$B$2</f>
        <v>28</v>
      </c>
      <c r="F133" s="11">
        <f t="shared" si="10"/>
        <v>-16.836230637247244</v>
      </c>
      <c r="G133" s="11"/>
      <c r="H133" s="11">
        <f t="shared" si="11"/>
        <v>377801998336</v>
      </c>
      <c r="I133" s="11">
        <f t="shared" si="14"/>
        <v>13492928512</v>
      </c>
      <c r="J133" s="11">
        <f t="shared" si="14"/>
        <v>481890304</v>
      </c>
      <c r="K133" s="11">
        <f t="shared" si="14"/>
        <v>17210368</v>
      </c>
      <c r="L133" s="11">
        <f t="shared" si="14"/>
        <v>614656</v>
      </c>
      <c r="M133" s="11">
        <f t="shared" si="14"/>
        <v>21952</v>
      </c>
      <c r="N133" s="11">
        <f t="shared" si="14"/>
        <v>784</v>
      </c>
      <c r="O133" s="11">
        <f t="shared" si="14"/>
        <v>28</v>
      </c>
      <c r="P133" s="11">
        <f t="shared" si="13"/>
        <v>0</v>
      </c>
    </row>
    <row r="134" spans="1:16" x14ac:dyDescent="0.25">
      <c r="A134" s="11">
        <f t="shared" si="12"/>
        <v>79</v>
      </c>
      <c r="B134">
        <v>-16.294134015226334</v>
      </c>
      <c r="E134" s="11">
        <f>A134-'Mastercurve bestimmen'!$B$2</f>
        <v>29</v>
      </c>
      <c r="F134" s="11">
        <f t="shared" si="10"/>
        <v>-16.294134015226334</v>
      </c>
      <c r="G134" s="11"/>
      <c r="H134" s="11">
        <f t="shared" si="11"/>
        <v>500246412961</v>
      </c>
      <c r="I134" s="11">
        <f t="shared" si="14"/>
        <v>17249876309</v>
      </c>
      <c r="J134" s="11">
        <f t="shared" si="14"/>
        <v>594823321</v>
      </c>
      <c r="K134" s="11">
        <f t="shared" si="14"/>
        <v>20511149</v>
      </c>
      <c r="L134" s="11">
        <f t="shared" si="14"/>
        <v>707281</v>
      </c>
      <c r="M134" s="11">
        <f t="shared" si="14"/>
        <v>24389</v>
      </c>
      <c r="N134" s="11">
        <f t="shared" si="14"/>
        <v>841</v>
      </c>
      <c r="O134" s="11">
        <f t="shared" si="14"/>
        <v>29</v>
      </c>
      <c r="P134" s="11">
        <f t="shared" si="13"/>
        <v>0</v>
      </c>
    </row>
    <row r="135" spans="1:16" x14ac:dyDescent="0.25">
      <c r="A135" s="11">
        <f t="shared" si="12"/>
        <v>80</v>
      </c>
      <c r="B135">
        <v>-15.759926526487703</v>
      </c>
      <c r="E135" s="11">
        <f>A135-'Mastercurve bestimmen'!$B$2</f>
        <v>30</v>
      </c>
      <c r="F135" s="11">
        <f t="shared" si="10"/>
        <v>-15.759926526487703</v>
      </c>
      <c r="G135" s="11"/>
      <c r="H135" s="11">
        <f t="shared" si="11"/>
        <v>656100000000</v>
      </c>
      <c r="I135" s="11">
        <f t="shared" si="14"/>
        <v>21870000000</v>
      </c>
      <c r="J135" s="11">
        <f t="shared" si="14"/>
        <v>729000000</v>
      </c>
      <c r="K135" s="11">
        <f t="shared" si="14"/>
        <v>24300000</v>
      </c>
      <c r="L135" s="11">
        <f t="shared" si="14"/>
        <v>810000</v>
      </c>
      <c r="M135" s="11">
        <f t="shared" si="14"/>
        <v>27000</v>
      </c>
      <c r="N135" s="11">
        <f t="shared" si="14"/>
        <v>900</v>
      </c>
      <c r="O135" s="11">
        <f t="shared" si="14"/>
        <v>30</v>
      </c>
      <c r="P135" s="11">
        <f t="shared" si="13"/>
        <v>0</v>
      </c>
    </row>
    <row r="136" spans="1:16" x14ac:dyDescent="0.25">
      <c r="A136" s="11">
        <f t="shared" si="12"/>
        <v>81</v>
      </c>
      <c r="B136">
        <v>-15.234358199038235</v>
      </c>
      <c r="E136" s="11">
        <f>A136-'Mastercurve bestimmen'!$B$2</f>
        <v>31</v>
      </c>
      <c r="F136" s="11">
        <f t="shared" si="10"/>
        <v>-15.234358199038235</v>
      </c>
      <c r="G136" s="11"/>
      <c r="H136" s="11">
        <f t="shared" si="11"/>
        <v>852891037441</v>
      </c>
      <c r="I136" s="11">
        <f t="shared" si="14"/>
        <v>27512614111</v>
      </c>
      <c r="J136" s="11">
        <f t="shared" si="14"/>
        <v>887503681</v>
      </c>
      <c r="K136" s="11">
        <f t="shared" si="14"/>
        <v>28629151</v>
      </c>
      <c r="L136" s="11">
        <f t="shared" si="14"/>
        <v>923521</v>
      </c>
      <c r="M136" s="11">
        <f t="shared" si="14"/>
        <v>29791</v>
      </c>
      <c r="N136" s="11">
        <f t="shared" si="14"/>
        <v>961</v>
      </c>
      <c r="O136" s="11">
        <f t="shared" si="14"/>
        <v>31</v>
      </c>
      <c r="P136" s="11">
        <f t="shared" si="13"/>
        <v>0</v>
      </c>
    </row>
    <row r="137" spans="1:16" x14ac:dyDescent="0.25">
      <c r="A137" s="11">
        <f t="shared" si="12"/>
        <v>82</v>
      </c>
      <c r="B137">
        <v>-14.717535753096168</v>
      </c>
      <c r="E137" s="11">
        <f>A137-'Mastercurve bestimmen'!$B$2</f>
        <v>32</v>
      </c>
      <c r="F137" s="11">
        <f t="shared" si="10"/>
        <v>-14.717535753096168</v>
      </c>
      <c r="G137" s="11"/>
      <c r="H137" s="11">
        <f t="shared" si="11"/>
        <v>1099511627776</v>
      </c>
      <c r="I137" s="11">
        <f t="shared" si="14"/>
        <v>34359738368</v>
      </c>
      <c r="J137" s="11">
        <f t="shared" si="14"/>
        <v>1073741824</v>
      </c>
      <c r="K137" s="11">
        <f t="shared" si="14"/>
        <v>33554432</v>
      </c>
      <c r="L137" s="11">
        <f t="shared" si="14"/>
        <v>1048576</v>
      </c>
      <c r="M137" s="11">
        <f t="shared" si="14"/>
        <v>32768</v>
      </c>
      <c r="N137" s="11">
        <f t="shared" si="14"/>
        <v>1024</v>
      </c>
      <c r="O137" s="11">
        <f t="shared" si="14"/>
        <v>32</v>
      </c>
      <c r="P137" s="11">
        <f t="shared" si="13"/>
        <v>0</v>
      </c>
    </row>
    <row r="138" spans="1:16" x14ac:dyDescent="0.25">
      <c r="A138" s="11">
        <f t="shared" si="12"/>
        <v>83</v>
      </c>
      <c r="B138">
        <v>-14.209405081932562</v>
      </c>
      <c r="E138" s="11">
        <f>A138-'Mastercurve bestimmen'!$B$2</f>
        <v>33</v>
      </c>
      <c r="F138" s="11">
        <f t="shared" si="10"/>
        <v>-14.209405081932562</v>
      </c>
      <c r="G138" s="11"/>
      <c r="H138" s="11">
        <f t="shared" si="11"/>
        <v>1406408618241</v>
      </c>
      <c r="I138" s="11">
        <f t="shared" si="14"/>
        <v>42618442977</v>
      </c>
      <c r="J138" s="11">
        <f t="shared" si="14"/>
        <v>1291467969</v>
      </c>
      <c r="K138" s="11">
        <f t="shared" si="14"/>
        <v>39135393</v>
      </c>
      <c r="L138" s="11">
        <f t="shared" si="14"/>
        <v>1185921</v>
      </c>
      <c r="M138" s="11">
        <f t="shared" si="14"/>
        <v>35937</v>
      </c>
      <c r="N138" s="11">
        <f t="shared" si="14"/>
        <v>1089</v>
      </c>
      <c r="O138" s="11">
        <f t="shared" si="14"/>
        <v>33</v>
      </c>
      <c r="P138" s="11">
        <f t="shared" si="13"/>
        <v>0</v>
      </c>
    </row>
    <row r="139" spans="1:16" x14ac:dyDescent="0.25">
      <c r="A139" s="11">
        <f t="shared" si="12"/>
        <v>84</v>
      </c>
      <c r="B139">
        <v>-13.709912078818485</v>
      </c>
      <c r="E139" s="11">
        <f>A139-'Mastercurve bestimmen'!$B$2</f>
        <v>34</v>
      </c>
      <c r="F139" s="11">
        <f t="shared" si="10"/>
        <v>-13.709912078818485</v>
      </c>
      <c r="G139" s="11"/>
      <c r="H139" s="11">
        <f t="shared" si="11"/>
        <v>1785793904896</v>
      </c>
      <c r="I139" s="11">
        <f t="shared" si="14"/>
        <v>52523350144</v>
      </c>
      <c r="J139" s="11">
        <f t="shared" si="14"/>
        <v>1544804416</v>
      </c>
      <c r="K139" s="11">
        <f t="shared" si="14"/>
        <v>45435424</v>
      </c>
      <c r="L139" s="11">
        <f t="shared" si="14"/>
        <v>1336336</v>
      </c>
      <c r="M139" s="11">
        <f t="shared" si="14"/>
        <v>39304</v>
      </c>
      <c r="N139" s="11">
        <f t="shared" si="14"/>
        <v>1156</v>
      </c>
      <c r="O139" s="11">
        <f t="shared" si="14"/>
        <v>34</v>
      </c>
      <c r="P139" s="11">
        <f t="shared" si="13"/>
        <v>0</v>
      </c>
    </row>
    <row r="140" spans="1:16" x14ac:dyDescent="0.25">
      <c r="A140" s="11">
        <f t="shared" si="12"/>
        <v>85</v>
      </c>
      <c r="B140">
        <v>-13.219002637025</v>
      </c>
      <c r="E140" s="11">
        <f>A140-'Mastercurve bestimmen'!$B$2</f>
        <v>35</v>
      </c>
      <c r="F140" s="11">
        <f t="shared" si="10"/>
        <v>-13.219002637025</v>
      </c>
      <c r="G140" s="11"/>
      <c r="H140" s="11">
        <f t="shared" si="11"/>
        <v>2251875390625</v>
      </c>
      <c r="I140" s="11">
        <f t="shared" si="14"/>
        <v>64339296875</v>
      </c>
      <c r="J140" s="11">
        <f t="shared" si="14"/>
        <v>1838265625</v>
      </c>
      <c r="K140" s="11">
        <f t="shared" si="14"/>
        <v>52521875</v>
      </c>
      <c r="L140" s="11">
        <f t="shared" si="14"/>
        <v>1500625</v>
      </c>
      <c r="M140" s="11">
        <f t="shared" si="14"/>
        <v>42875</v>
      </c>
      <c r="N140" s="11">
        <f t="shared" si="14"/>
        <v>1225</v>
      </c>
      <c r="O140" s="11">
        <f t="shared" si="14"/>
        <v>35</v>
      </c>
      <c r="P140" s="11">
        <f t="shared" si="13"/>
        <v>0</v>
      </c>
    </row>
    <row r="141" spans="1:16" x14ac:dyDescent="0.25">
      <c r="A141" s="11">
        <f t="shared" si="12"/>
        <v>86</v>
      </c>
      <c r="B141">
        <v>-12.736622649823172</v>
      </c>
      <c r="E141" s="11">
        <f>A141-'Mastercurve bestimmen'!$B$2</f>
        <v>36</v>
      </c>
      <c r="F141" s="11">
        <f t="shared" si="10"/>
        <v>-12.736622649823172</v>
      </c>
      <c r="G141" s="11"/>
      <c r="H141" s="11">
        <f t="shared" si="11"/>
        <v>2821109907456</v>
      </c>
      <c r="I141" s="11">
        <f t="shared" si="14"/>
        <v>78364164096</v>
      </c>
      <c r="J141" s="11">
        <f t="shared" si="14"/>
        <v>2176782336</v>
      </c>
      <c r="K141" s="11">
        <f t="shared" si="14"/>
        <v>60466176</v>
      </c>
      <c r="L141" s="11">
        <f t="shared" si="14"/>
        <v>1679616</v>
      </c>
      <c r="M141" s="11">
        <f t="shared" si="14"/>
        <v>46656</v>
      </c>
      <c r="N141" s="11">
        <f t="shared" si="14"/>
        <v>1296</v>
      </c>
      <c r="O141" s="11">
        <f t="shared" si="14"/>
        <v>36</v>
      </c>
      <c r="P141" s="11">
        <f t="shared" si="13"/>
        <v>0</v>
      </c>
    </row>
    <row r="142" spans="1:16" x14ac:dyDescent="0.25">
      <c r="A142" s="11">
        <f t="shared" si="12"/>
        <v>87</v>
      </c>
      <c r="B142">
        <v>-12.262718010484072</v>
      </c>
      <c r="E142" s="11">
        <f>A142-'Mastercurve bestimmen'!$B$2</f>
        <v>37</v>
      </c>
      <c r="F142" s="11">
        <f t="shared" si="10"/>
        <v>-12.262718010484072</v>
      </c>
      <c r="G142" s="11"/>
      <c r="H142" s="11">
        <f t="shared" si="11"/>
        <v>3512479453921</v>
      </c>
      <c r="I142" s="11">
        <f t="shared" si="14"/>
        <v>94931877133</v>
      </c>
      <c r="J142" s="11">
        <f t="shared" si="14"/>
        <v>2565726409</v>
      </c>
      <c r="K142" s="11">
        <f t="shared" si="14"/>
        <v>69343957</v>
      </c>
      <c r="L142" s="11">
        <f t="shared" si="14"/>
        <v>1874161</v>
      </c>
      <c r="M142" s="11">
        <f t="shared" si="14"/>
        <v>50653</v>
      </c>
      <c r="N142" s="11">
        <f t="shared" si="14"/>
        <v>1369</v>
      </c>
      <c r="O142" s="11">
        <f t="shared" si="14"/>
        <v>37</v>
      </c>
      <c r="P142" s="11">
        <f t="shared" si="13"/>
        <v>0</v>
      </c>
    </row>
    <row r="143" spans="1:16" x14ac:dyDescent="0.25">
      <c r="A143" s="11">
        <f t="shared" si="12"/>
        <v>88</v>
      </c>
      <c r="B143">
        <v>-11.797234612278755</v>
      </c>
      <c r="E143" s="11">
        <f>A143-'Mastercurve bestimmen'!$B$2</f>
        <v>38</v>
      </c>
      <c r="F143" s="11">
        <f t="shared" si="10"/>
        <v>-11.797234612278755</v>
      </c>
      <c r="G143" s="11"/>
      <c r="H143" s="11">
        <f t="shared" si="11"/>
        <v>4347792138496</v>
      </c>
      <c r="I143" s="11">
        <f t="shared" si="14"/>
        <v>114415582592</v>
      </c>
      <c r="J143" s="11">
        <f t="shared" si="14"/>
        <v>3010936384</v>
      </c>
      <c r="K143" s="11">
        <f t="shared" si="14"/>
        <v>79235168</v>
      </c>
      <c r="L143" s="11">
        <f t="shared" si="14"/>
        <v>2085136</v>
      </c>
      <c r="M143" s="11">
        <f t="shared" si="14"/>
        <v>54872</v>
      </c>
      <c r="N143" s="11">
        <f t="shared" si="14"/>
        <v>1444</v>
      </c>
      <c r="O143" s="11">
        <f t="shared" si="14"/>
        <v>38</v>
      </c>
      <c r="P143" s="11">
        <f t="shared" si="13"/>
        <v>0</v>
      </c>
    </row>
    <row r="144" spans="1:16" x14ac:dyDescent="0.25">
      <c r="A144" s="11">
        <f t="shared" si="12"/>
        <v>89</v>
      </c>
      <c r="B144">
        <v>-11.340118348478292</v>
      </c>
      <c r="E144" s="11">
        <f>A144-'Mastercurve bestimmen'!$B$2</f>
        <v>39</v>
      </c>
      <c r="F144" s="11">
        <f t="shared" ref="F144:F207" si="15">B144</f>
        <v>-11.340118348478292</v>
      </c>
      <c r="G144" s="11"/>
      <c r="H144" s="11">
        <f t="shared" ref="H144:H207" si="16">IF($H$12&gt;=H$14,$E144^H$14,0)</f>
        <v>5352009260481</v>
      </c>
      <c r="I144" s="11">
        <f t="shared" si="14"/>
        <v>137231006679</v>
      </c>
      <c r="J144" s="11">
        <f t="shared" si="14"/>
        <v>3518743761</v>
      </c>
      <c r="K144" s="11">
        <f t="shared" si="14"/>
        <v>90224199</v>
      </c>
      <c r="L144" s="11">
        <f t="shared" si="14"/>
        <v>2313441</v>
      </c>
      <c r="M144" s="11">
        <f t="shared" si="14"/>
        <v>59319</v>
      </c>
      <c r="N144" s="11">
        <f t="shared" si="14"/>
        <v>1521</v>
      </c>
      <c r="O144" s="11">
        <f t="shared" si="14"/>
        <v>39</v>
      </c>
      <c r="P144" s="11">
        <f t="shared" si="13"/>
        <v>0</v>
      </c>
    </row>
    <row r="145" spans="1:16" x14ac:dyDescent="0.25">
      <c r="A145" s="11">
        <f t="shared" ref="A145:A208" si="17">A144+1</f>
        <v>90</v>
      </c>
      <c r="B145">
        <v>-10.891315112353752</v>
      </c>
      <c r="E145" s="11">
        <f>A145-'Mastercurve bestimmen'!$B$2</f>
        <v>40</v>
      </c>
      <c r="F145" s="11">
        <f t="shared" si="15"/>
        <v>-10.891315112353752</v>
      </c>
      <c r="G145" s="11"/>
      <c r="H145" s="11">
        <f t="shared" si="16"/>
        <v>6553600000000</v>
      </c>
      <c r="I145" s="11">
        <f t="shared" si="14"/>
        <v>163840000000</v>
      </c>
      <c r="J145" s="11">
        <f t="shared" si="14"/>
        <v>4096000000</v>
      </c>
      <c r="K145" s="11">
        <f t="shared" si="14"/>
        <v>102400000</v>
      </c>
      <c r="L145" s="11">
        <f t="shared" si="14"/>
        <v>2560000</v>
      </c>
      <c r="M145" s="11">
        <f t="shared" si="14"/>
        <v>64000</v>
      </c>
      <c r="N145" s="11">
        <f t="shared" si="14"/>
        <v>1600</v>
      </c>
      <c r="O145" s="11">
        <f t="shared" si="14"/>
        <v>40</v>
      </c>
      <c r="P145" s="11">
        <f t="shared" ref="P145:P208" si="18">P144</f>
        <v>0</v>
      </c>
    </row>
    <row r="146" spans="1:16" x14ac:dyDescent="0.25">
      <c r="A146" s="11">
        <f t="shared" si="17"/>
        <v>91</v>
      </c>
      <c r="B146">
        <v>-10.450770797176192</v>
      </c>
      <c r="E146" s="11">
        <f>A146-'Mastercurve bestimmen'!$B$2</f>
        <v>41</v>
      </c>
      <c r="F146" s="11">
        <f t="shared" si="15"/>
        <v>-10.450770797176192</v>
      </c>
      <c r="G146" s="11"/>
      <c r="H146" s="11">
        <f t="shared" si="16"/>
        <v>7984925229121</v>
      </c>
      <c r="I146" s="11">
        <f t="shared" si="14"/>
        <v>194754273881</v>
      </c>
      <c r="J146" s="11">
        <f t="shared" si="14"/>
        <v>4750104241</v>
      </c>
      <c r="K146" s="11">
        <f t="shared" si="14"/>
        <v>115856201</v>
      </c>
      <c r="L146" s="11">
        <f t="shared" si="14"/>
        <v>2825761</v>
      </c>
      <c r="M146" s="11">
        <f t="shared" si="14"/>
        <v>68921</v>
      </c>
      <c r="N146" s="11">
        <f t="shared" si="14"/>
        <v>1681</v>
      </c>
      <c r="O146" s="11">
        <f t="shared" si="14"/>
        <v>41</v>
      </c>
      <c r="P146" s="11">
        <f t="shared" si="18"/>
        <v>0</v>
      </c>
    </row>
    <row r="147" spans="1:16" x14ac:dyDescent="0.25">
      <c r="A147" s="11">
        <f t="shared" si="17"/>
        <v>92</v>
      </c>
      <c r="B147">
        <v>-10.018431296216681</v>
      </c>
      <c r="E147" s="11">
        <f>A147-'Mastercurve bestimmen'!$B$2</f>
        <v>42</v>
      </c>
      <c r="F147" s="11">
        <f t="shared" si="15"/>
        <v>-10.018431296216681</v>
      </c>
      <c r="G147" s="11"/>
      <c r="H147" s="11">
        <f t="shared" si="16"/>
        <v>9682651996416</v>
      </c>
      <c r="I147" s="11">
        <f t="shared" si="14"/>
        <v>230539333248</v>
      </c>
      <c r="J147" s="11">
        <f t="shared" si="14"/>
        <v>5489031744</v>
      </c>
      <c r="K147" s="11">
        <f t="shared" si="14"/>
        <v>130691232</v>
      </c>
      <c r="L147" s="11">
        <f t="shared" si="14"/>
        <v>3111696</v>
      </c>
      <c r="M147" s="11">
        <f t="shared" si="14"/>
        <v>74088</v>
      </c>
      <c r="N147" s="11">
        <f t="shared" si="14"/>
        <v>1764</v>
      </c>
      <c r="O147" s="11">
        <f t="shared" si="14"/>
        <v>42</v>
      </c>
      <c r="P147" s="11">
        <f t="shared" si="18"/>
        <v>0</v>
      </c>
    </row>
    <row r="148" spans="1:16" x14ac:dyDescent="0.25">
      <c r="A148" s="11">
        <f t="shared" si="17"/>
        <v>93</v>
      </c>
      <c r="B148">
        <v>-9.594242502746285</v>
      </c>
      <c r="E148" s="11">
        <f>A148-'Mastercurve bestimmen'!$B$2</f>
        <v>43</v>
      </c>
      <c r="F148" s="11">
        <f t="shared" si="15"/>
        <v>-9.594242502746285</v>
      </c>
      <c r="G148" s="11"/>
      <c r="H148" s="11">
        <f t="shared" si="16"/>
        <v>11688200277601</v>
      </c>
      <c r="I148" s="11">
        <f t="shared" si="14"/>
        <v>271818611107</v>
      </c>
      <c r="J148" s="11">
        <f t="shared" si="14"/>
        <v>6321363049</v>
      </c>
      <c r="K148" s="11">
        <f t="shared" si="14"/>
        <v>147008443</v>
      </c>
      <c r="L148" s="11">
        <f t="shared" si="14"/>
        <v>3418801</v>
      </c>
      <c r="M148" s="11">
        <f t="shared" si="14"/>
        <v>79507</v>
      </c>
      <c r="N148" s="11">
        <f t="shared" si="14"/>
        <v>1849</v>
      </c>
      <c r="O148" s="11">
        <f t="shared" si="14"/>
        <v>43</v>
      </c>
      <c r="P148" s="11">
        <f t="shared" si="18"/>
        <v>0</v>
      </c>
    </row>
    <row r="149" spans="1:16" x14ac:dyDescent="0.25">
      <c r="A149" s="11">
        <f t="shared" si="17"/>
        <v>94</v>
      </c>
      <c r="B149">
        <v>-9.1781503100360666</v>
      </c>
      <c r="E149" s="11">
        <f>A149-'Mastercurve bestimmen'!$B$2</f>
        <v>44</v>
      </c>
      <c r="F149" s="11">
        <f t="shared" si="15"/>
        <v>-9.1781503100360666</v>
      </c>
      <c r="G149" s="11"/>
      <c r="H149" s="11">
        <f t="shared" si="16"/>
        <v>14048223625216</v>
      </c>
      <c r="I149" s="11">
        <f t="shared" si="14"/>
        <v>319277809664</v>
      </c>
      <c r="J149" s="11">
        <f t="shared" si="14"/>
        <v>7256313856</v>
      </c>
      <c r="K149" s="11">
        <f t="shared" si="14"/>
        <v>164916224</v>
      </c>
      <c r="L149" s="11">
        <f t="shared" si="14"/>
        <v>3748096</v>
      </c>
      <c r="M149" s="11">
        <f t="shared" si="14"/>
        <v>85184</v>
      </c>
      <c r="N149" s="11">
        <f t="shared" si="14"/>
        <v>1936</v>
      </c>
      <c r="O149" s="11">
        <f t="shared" si="14"/>
        <v>44</v>
      </c>
      <c r="P149" s="11">
        <f t="shared" si="18"/>
        <v>0</v>
      </c>
    </row>
    <row r="150" spans="1:16" x14ac:dyDescent="0.25">
      <c r="A150" s="11">
        <f t="shared" si="17"/>
        <v>95</v>
      </c>
      <c r="B150">
        <v>-8.7701006113570976</v>
      </c>
      <c r="E150" s="11">
        <f>A150-'Mastercurve bestimmen'!$B$2</f>
        <v>45</v>
      </c>
      <c r="F150" s="11">
        <f t="shared" si="15"/>
        <v>-8.7701006113570976</v>
      </c>
      <c r="G150" s="11"/>
      <c r="H150" s="11">
        <f t="shared" si="16"/>
        <v>16815125390625</v>
      </c>
      <c r="I150" s="11">
        <f t="shared" si="14"/>
        <v>373669453125</v>
      </c>
      <c r="J150" s="11">
        <f t="shared" si="14"/>
        <v>8303765625</v>
      </c>
      <c r="K150" s="11">
        <f t="shared" si="14"/>
        <v>184528125</v>
      </c>
      <c r="L150" s="11">
        <f t="shared" si="14"/>
        <v>4100625</v>
      </c>
      <c r="M150" s="11">
        <f t="shared" si="14"/>
        <v>91125</v>
      </c>
      <c r="N150" s="11">
        <f t="shared" si="14"/>
        <v>2025</v>
      </c>
      <c r="O150" s="11">
        <f t="shared" si="14"/>
        <v>45</v>
      </c>
      <c r="P150" s="11">
        <f t="shared" si="18"/>
        <v>0</v>
      </c>
    </row>
    <row r="151" spans="1:16" x14ac:dyDescent="0.25">
      <c r="A151" s="11">
        <f t="shared" si="17"/>
        <v>96</v>
      </c>
      <c r="B151">
        <v>-8.3700392999804354</v>
      </c>
      <c r="E151" s="11">
        <f>A151-'Mastercurve bestimmen'!$B$2</f>
        <v>46</v>
      </c>
      <c r="F151" s="11">
        <f t="shared" si="15"/>
        <v>-8.3700392999804354</v>
      </c>
      <c r="G151" s="11"/>
      <c r="H151" s="11">
        <f t="shared" si="16"/>
        <v>20047612231936</v>
      </c>
      <c r="I151" s="11">
        <f t="shared" si="14"/>
        <v>435817657216</v>
      </c>
      <c r="J151" s="11">
        <f t="shared" si="14"/>
        <v>9474296896</v>
      </c>
      <c r="K151" s="11">
        <f t="shared" si="14"/>
        <v>205962976</v>
      </c>
      <c r="L151" s="11">
        <f t="shared" si="14"/>
        <v>4477456</v>
      </c>
      <c r="M151" s="11">
        <f t="shared" si="14"/>
        <v>97336</v>
      </c>
      <c r="N151" s="11">
        <f t="shared" si="14"/>
        <v>2116</v>
      </c>
      <c r="O151" s="11">
        <f t="shared" si="14"/>
        <v>46</v>
      </c>
      <c r="P151" s="11">
        <f t="shared" si="18"/>
        <v>0</v>
      </c>
    </row>
    <row r="152" spans="1:16" x14ac:dyDescent="0.25">
      <c r="A152" s="11">
        <f t="shared" si="17"/>
        <v>97</v>
      </c>
      <c r="B152">
        <v>-7.977912269177148</v>
      </c>
      <c r="E152" s="11">
        <f>A152-'Mastercurve bestimmen'!$B$2</f>
        <v>47</v>
      </c>
      <c r="F152" s="11">
        <f t="shared" si="15"/>
        <v>-7.977912269177148</v>
      </c>
      <c r="G152" s="11"/>
      <c r="H152" s="11">
        <f t="shared" si="16"/>
        <v>23811286661761</v>
      </c>
      <c r="I152" s="11">
        <f t="shared" si="14"/>
        <v>506623120463</v>
      </c>
      <c r="J152" s="11">
        <f t="shared" si="14"/>
        <v>10779215329</v>
      </c>
      <c r="K152" s="11">
        <f t="shared" si="14"/>
        <v>229345007</v>
      </c>
      <c r="L152" s="11">
        <f t="shared" si="14"/>
        <v>4879681</v>
      </c>
      <c r="M152" s="11">
        <f t="shared" si="14"/>
        <v>103823</v>
      </c>
      <c r="N152" s="11">
        <f t="shared" ref="I152:O189" si="19">IF($H$12&gt;=N$14,$E152^N$14,0)</f>
        <v>2209</v>
      </c>
      <c r="O152" s="11">
        <f t="shared" si="19"/>
        <v>47</v>
      </c>
      <c r="P152" s="11">
        <f t="shared" si="18"/>
        <v>0</v>
      </c>
    </row>
    <row r="153" spans="1:16" x14ac:dyDescent="0.25">
      <c r="A153" s="11">
        <f t="shared" si="17"/>
        <v>98</v>
      </c>
      <c r="B153">
        <v>-7.5936654122183009</v>
      </c>
      <c r="E153" s="11">
        <f>A153-'Mastercurve bestimmen'!$B$2</f>
        <v>48</v>
      </c>
      <c r="F153" s="11">
        <f t="shared" si="15"/>
        <v>-7.5936654122183009</v>
      </c>
      <c r="G153" s="11"/>
      <c r="H153" s="11">
        <f t="shared" si="16"/>
        <v>28179280429056</v>
      </c>
      <c r="I153" s="11">
        <f t="shared" si="19"/>
        <v>587068342272</v>
      </c>
      <c r="J153" s="11">
        <f t="shared" si="19"/>
        <v>12230590464</v>
      </c>
      <c r="K153" s="11">
        <f t="shared" si="19"/>
        <v>254803968</v>
      </c>
      <c r="L153" s="11">
        <f t="shared" si="19"/>
        <v>5308416</v>
      </c>
      <c r="M153" s="11">
        <f t="shared" si="19"/>
        <v>110592</v>
      </c>
      <c r="N153" s="11">
        <f t="shared" si="19"/>
        <v>2304</v>
      </c>
      <c r="O153" s="11">
        <f t="shared" si="19"/>
        <v>48</v>
      </c>
      <c r="P153" s="11">
        <f t="shared" si="18"/>
        <v>0</v>
      </c>
    </row>
    <row r="154" spans="1:16" x14ac:dyDescent="0.25">
      <c r="A154" s="11">
        <f t="shared" si="17"/>
        <v>99</v>
      </c>
      <c r="B154">
        <v>-7.2172446223749596</v>
      </c>
      <c r="E154" s="11">
        <f>A154-'Mastercurve bestimmen'!$B$2</f>
        <v>49</v>
      </c>
      <c r="F154" s="11">
        <f t="shared" si="15"/>
        <v>-7.2172446223749596</v>
      </c>
      <c r="G154" s="11"/>
      <c r="H154" s="11">
        <f t="shared" si="16"/>
        <v>33232930569601</v>
      </c>
      <c r="I154" s="11">
        <f t="shared" si="19"/>
        <v>678223072849</v>
      </c>
      <c r="J154" s="11">
        <f t="shared" si="19"/>
        <v>13841287201</v>
      </c>
      <c r="K154" s="11">
        <f t="shared" si="19"/>
        <v>282475249</v>
      </c>
      <c r="L154" s="11">
        <f t="shared" si="19"/>
        <v>5764801</v>
      </c>
      <c r="M154" s="11">
        <f t="shared" si="19"/>
        <v>117649</v>
      </c>
      <c r="N154" s="11">
        <f t="shared" si="19"/>
        <v>2401</v>
      </c>
      <c r="O154" s="11">
        <f t="shared" si="19"/>
        <v>49</v>
      </c>
      <c r="P154" s="11">
        <f t="shared" si="18"/>
        <v>0</v>
      </c>
    </row>
    <row r="155" spans="1:16" x14ac:dyDescent="0.25">
      <c r="A155" s="11">
        <f t="shared" si="17"/>
        <v>100</v>
      </c>
      <c r="B155">
        <v>-6.8485957929181875</v>
      </c>
      <c r="E155" s="11">
        <f>A155-'Mastercurve bestimmen'!$B$2</f>
        <v>50</v>
      </c>
      <c r="F155" s="11">
        <f t="shared" si="15"/>
        <v>-6.8485957929181875</v>
      </c>
      <c r="G155" s="11"/>
      <c r="H155" s="11">
        <f t="shared" si="16"/>
        <v>39062500000000</v>
      </c>
      <c r="I155" s="11">
        <f t="shared" si="19"/>
        <v>781250000000</v>
      </c>
      <c r="J155" s="11">
        <f t="shared" si="19"/>
        <v>15625000000</v>
      </c>
      <c r="K155" s="11">
        <f t="shared" si="19"/>
        <v>312500000</v>
      </c>
      <c r="L155" s="11">
        <f t="shared" si="19"/>
        <v>6250000</v>
      </c>
      <c r="M155" s="11">
        <f t="shared" si="19"/>
        <v>125000</v>
      </c>
      <c r="N155" s="11">
        <f t="shared" si="19"/>
        <v>2500</v>
      </c>
      <c r="O155" s="11">
        <f t="shared" si="19"/>
        <v>50</v>
      </c>
      <c r="P155" s="11">
        <f t="shared" si="18"/>
        <v>0</v>
      </c>
    </row>
    <row r="156" spans="1:16" x14ac:dyDescent="0.25">
      <c r="A156" s="11">
        <f t="shared" si="17"/>
        <v>101</v>
      </c>
      <c r="B156">
        <v>-6.4876648171190521</v>
      </c>
      <c r="E156" s="11">
        <f>A156-'Mastercurve bestimmen'!$B$2</f>
        <v>51</v>
      </c>
      <c r="F156" s="11">
        <f t="shared" si="15"/>
        <v>-6.4876648171190521</v>
      </c>
      <c r="G156" s="11"/>
      <c r="H156" s="11">
        <f t="shared" si="16"/>
        <v>45767944570401</v>
      </c>
      <c r="I156" s="11">
        <f t="shared" si="19"/>
        <v>897410677851</v>
      </c>
      <c r="J156" s="11">
        <f t="shared" si="19"/>
        <v>17596287801</v>
      </c>
      <c r="K156" s="11">
        <f t="shared" si="19"/>
        <v>345025251</v>
      </c>
      <c r="L156" s="11">
        <f t="shared" si="19"/>
        <v>6765201</v>
      </c>
      <c r="M156" s="11">
        <f t="shared" si="19"/>
        <v>132651</v>
      </c>
      <c r="N156" s="11">
        <f t="shared" si="19"/>
        <v>2601</v>
      </c>
      <c r="O156" s="11">
        <f t="shared" si="19"/>
        <v>51</v>
      </c>
      <c r="P156" s="11">
        <f t="shared" si="18"/>
        <v>0</v>
      </c>
    </row>
    <row r="157" spans="1:16" x14ac:dyDescent="0.25">
      <c r="A157" s="11">
        <f t="shared" si="17"/>
        <v>102</v>
      </c>
      <c r="B157">
        <v>-6.1343975882486186</v>
      </c>
      <c r="E157" s="11">
        <f>A157-'Mastercurve bestimmen'!$B$2</f>
        <v>52</v>
      </c>
      <c r="F157" s="11">
        <f t="shared" si="15"/>
        <v>-6.1343975882486186</v>
      </c>
      <c r="G157" s="11"/>
      <c r="H157" s="11">
        <f t="shared" si="16"/>
        <v>53459728531456</v>
      </c>
      <c r="I157" s="11">
        <f t="shared" si="19"/>
        <v>1028071702528</v>
      </c>
      <c r="J157" s="11">
        <f t="shared" si="19"/>
        <v>19770609664</v>
      </c>
      <c r="K157" s="11">
        <f t="shared" si="19"/>
        <v>380204032</v>
      </c>
      <c r="L157" s="11">
        <f t="shared" si="19"/>
        <v>7311616</v>
      </c>
      <c r="M157" s="11">
        <f t="shared" si="19"/>
        <v>140608</v>
      </c>
      <c r="N157" s="11">
        <f t="shared" si="19"/>
        <v>2704</v>
      </c>
      <c r="O157" s="11">
        <f t="shared" si="19"/>
        <v>52</v>
      </c>
      <c r="P157" s="11">
        <f t="shared" si="18"/>
        <v>0</v>
      </c>
    </row>
    <row r="158" spans="1:16" x14ac:dyDescent="0.25">
      <c r="A158" s="11">
        <f t="shared" si="17"/>
        <v>103</v>
      </c>
      <c r="B158">
        <v>-5.7887399995779507</v>
      </c>
      <c r="E158" s="11">
        <f>A158-'Mastercurve bestimmen'!$B$2</f>
        <v>53</v>
      </c>
      <c r="F158" s="11">
        <f t="shared" si="15"/>
        <v>-5.7887399995779507</v>
      </c>
      <c r="G158" s="11"/>
      <c r="H158" s="11">
        <f t="shared" si="16"/>
        <v>62259690411361</v>
      </c>
      <c r="I158" s="11">
        <f t="shared" si="19"/>
        <v>1174711139837</v>
      </c>
      <c r="J158" s="11">
        <f t="shared" si="19"/>
        <v>22164361129</v>
      </c>
      <c r="K158" s="11">
        <f t="shared" si="19"/>
        <v>418195493</v>
      </c>
      <c r="L158" s="11">
        <f t="shared" si="19"/>
        <v>7890481</v>
      </c>
      <c r="M158" s="11">
        <f t="shared" si="19"/>
        <v>148877</v>
      </c>
      <c r="N158" s="11">
        <f t="shared" si="19"/>
        <v>2809</v>
      </c>
      <c r="O158" s="11">
        <f t="shared" si="19"/>
        <v>53</v>
      </c>
      <c r="P158" s="11">
        <f t="shared" si="18"/>
        <v>0</v>
      </c>
    </row>
    <row r="159" spans="1:16" x14ac:dyDescent="0.25">
      <c r="A159" s="11">
        <f t="shared" si="17"/>
        <v>104</v>
      </c>
      <c r="B159">
        <v>-5.4506379443781121</v>
      </c>
      <c r="E159" s="11">
        <f>A159-'Mastercurve bestimmen'!$B$2</f>
        <v>54</v>
      </c>
      <c r="F159" s="11">
        <f t="shared" si="15"/>
        <v>-5.4506379443781121</v>
      </c>
      <c r="G159" s="11"/>
      <c r="H159" s="11">
        <f t="shared" si="16"/>
        <v>72301961339136</v>
      </c>
      <c r="I159" s="11">
        <f t="shared" si="19"/>
        <v>1338925209984</v>
      </c>
      <c r="J159" s="11">
        <f t="shared" si="19"/>
        <v>24794911296</v>
      </c>
      <c r="K159" s="11">
        <f t="shared" si="19"/>
        <v>459165024</v>
      </c>
      <c r="L159" s="11">
        <f t="shared" si="19"/>
        <v>8503056</v>
      </c>
      <c r="M159" s="11">
        <f t="shared" si="19"/>
        <v>157464</v>
      </c>
      <c r="N159" s="11">
        <f t="shared" si="19"/>
        <v>2916</v>
      </c>
      <c r="O159" s="11">
        <f t="shared" si="19"/>
        <v>54</v>
      </c>
      <c r="P159" s="11">
        <f t="shared" si="18"/>
        <v>0</v>
      </c>
    </row>
    <row r="160" spans="1:16" x14ac:dyDescent="0.25">
      <c r="A160" s="11">
        <f t="shared" si="17"/>
        <v>105</v>
      </c>
      <c r="B160">
        <v>-5.1200373159201717</v>
      </c>
      <c r="E160" s="11">
        <f>A160-'Mastercurve bestimmen'!$B$2</f>
        <v>55</v>
      </c>
      <c r="F160" s="11">
        <f t="shared" si="15"/>
        <v>-5.1200373159201717</v>
      </c>
      <c r="G160" s="11"/>
      <c r="H160" s="11">
        <f t="shared" si="16"/>
        <v>83733937890625</v>
      </c>
      <c r="I160" s="11">
        <f t="shared" si="19"/>
        <v>1522435234375</v>
      </c>
      <c r="J160" s="11">
        <f t="shared" si="19"/>
        <v>27680640625</v>
      </c>
      <c r="K160" s="11">
        <f t="shared" si="19"/>
        <v>503284375</v>
      </c>
      <c r="L160" s="11">
        <f t="shared" si="19"/>
        <v>9150625</v>
      </c>
      <c r="M160" s="11">
        <f t="shared" si="19"/>
        <v>166375</v>
      </c>
      <c r="N160" s="11">
        <f t="shared" si="19"/>
        <v>3025</v>
      </c>
      <c r="O160" s="11">
        <f t="shared" si="19"/>
        <v>55</v>
      </c>
      <c r="P160" s="11">
        <f t="shared" si="18"/>
        <v>0</v>
      </c>
    </row>
    <row r="161" spans="1:16" x14ac:dyDescent="0.25">
      <c r="A161" s="11">
        <f t="shared" si="17"/>
        <v>106</v>
      </c>
      <c r="B161">
        <v>-4.7968840074751924</v>
      </c>
      <c r="E161" s="11">
        <f>A161-'Mastercurve bestimmen'!$B$2</f>
        <v>56</v>
      </c>
      <c r="F161" s="11">
        <f t="shared" si="15"/>
        <v>-4.7968840074751924</v>
      </c>
      <c r="G161" s="11"/>
      <c r="H161" s="11">
        <f t="shared" si="16"/>
        <v>96717311574016</v>
      </c>
      <c r="I161" s="11">
        <f t="shared" si="19"/>
        <v>1727094849536</v>
      </c>
      <c r="J161" s="11">
        <f t="shared" si="19"/>
        <v>30840979456</v>
      </c>
      <c r="K161" s="11">
        <f t="shared" si="19"/>
        <v>550731776</v>
      </c>
      <c r="L161" s="11">
        <f t="shared" si="19"/>
        <v>9834496</v>
      </c>
      <c r="M161" s="11">
        <f t="shared" si="19"/>
        <v>175616</v>
      </c>
      <c r="N161" s="11">
        <f t="shared" si="19"/>
        <v>3136</v>
      </c>
      <c r="O161" s="11">
        <f t="shared" si="19"/>
        <v>56</v>
      </c>
      <c r="P161" s="11">
        <f t="shared" si="18"/>
        <v>0</v>
      </c>
    </row>
    <row r="162" spans="1:16" x14ac:dyDescent="0.25">
      <c r="A162" s="11">
        <f t="shared" si="17"/>
        <v>107</v>
      </c>
      <c r="B162">
        <v>-4.4811239123142403</v>
      </c>
      <c r="E162" s="11">
        <f>A162-'Mastercurve bestimmen'!$B$2</f>
        <v>57</v>
      </c>
      <c r="F162" s="11">
        <f t="shared" si="15"/>
        <v>-4.4811239123142403</v>
      </c>
      <c r="G162" s="11"/>
      <c r="H162" s="11">
        <f t="shared" si="16"/>
        <v>111429157112001</v>
      </c>
      <c r="I162" s="11">
        <f t="shared" si="19"/>
        <v>1954897493193</v>
      </c>
      <c r="J162" s="11">
        <f t="shared" si="19"/>
        <v>34296447249</v>
      </c>
      <c r="K162" s="11">
        <f t="shared" si="19"/>
        <v>601692057</v>
      </c>
      <c r="L162" s="11">
        <f t="shared" si="19"/>
        <v>10556001</v>
      </c>
      <c r="M162" s="11">
        <f t="shared" si="19"/>
        <v>185193</v>
      </c>
      <c r="N162" s="11">
        <f t="shared" si="19"/>
        <v>3249</v>
      </c>
      <c r="O162" s="11">
        <f t="shared" si="19"/>
        <v>57</v>
      </c>
      <c r="P162" s="11">
        <f t="shared" si="18"/>
        <v>0</v>
      </c>
    </row>
    <row r="163" spans="1:16" x14ac:dyDescent="0.25">
      <c r="A163" s="11">
        <f t="shared" si="17"/>
        <v>108</v>
      </c>
      <c r="B163">
        <v>-4.1727029237083801</v>
      </c>
      <c r="E163" s="11">
        <f>A163-'Mastercurve bestimmen'!$B$2</f>
        <v>58</v>
      </c>
      <c r="F163" s="11">
        <f t="shared" si="15"/>
        <v>-4.1727029237083801</v>
      </c>
      <c r="G163" s="11"/>
      <c r="H163" s="11">
        <f t="shared" si="16"/>
        <v>128063081718016</v>
      </c>
      <c r="I163" s="11">
        <f t="shared" si="19"/>
        <v>2207984167552</v>
      </c>
      <c r="J163" s="11">
        <f t="shared" si="19"/>
        <v>38068692544</v>
      </c>
      <c r="K163" s="11">
        <f t="shared" si="19"/>
        <v>656356768</v>
      </c>
      <c r="L163" s="11">
        <f t="shared" si="19"/>
        <v>11316496</v>
      </c>
      <c r="M163" s="11">
        <f t="shared" si="19"/>
        <v>195112</v>
      </c>
      <c r="N163" s="11">
        <f t="shared" si="19"/>
        <v>3364</v>
      </c>
      <c r="O163" s="11">
        <f t="shared" si="19"/>
        <v>58</v>
      </c>
      <c r="P163" s="11">
        <f t="shared" si="18"/>
        <v>0</v>
      </c>
    </row>
    <row r="164" spans="1:16" x14ac:dyDescent="0.25">
      <c r="A164" s="11">
        <f t="shared" si="17"/>
        <v>109</v>
      </c>
      <c r="B164">
        <v>-3.8715669349286768</v>
      </c>
      <c r="E164" s="11">
        <f>A164-'Mastercurve bestimmen'!$B$2</f>
        <v>59</v>
      </c>
      <c r="F164" s="11">
        <f t="shared" si="15"/>
        <v>-3.8715669349286768</v>
      </c>
      <c r="G164" s="11"/>
      <c r="H164" s="11">
        <f t="shared" si="16"/>
        <v>146830437604321</v>
      </c>
      <c r="I164" s="11">
        <f t="shared" si="19"/>
        <v>2488651484819</v>
      </c>
      <c r="J164" s="11">
        <f t="shared" si="19"/>
        <v>42180533641</v>
      </c>
      <c r="K164" s="11">
        <f t="shared" si="19"/>
        <v>714924299</v>
      </c>
      <c r="L164" s="11">
        <f t="shared" si="19"/>
        <v>12117361</v>
      </c>
      <c r="M164" s="11">
        <f t="shared" si="19"/>
        <v>205379</v>
      </c>
      <c r="N164" s="11">
        <f t="shared" si="19"/>
        <v>3481</v>
      </c>
      <c r="O164" s="11">
        <f t="shared" si="19"/>
        <v>59</v>
      </c>
      <c r="P164" s="11">
        <f t="shared" si="18"/>
        <v>0</v>
      </c>
    </row>
    <row r="165" spans="1:16" x14ac:dyDescent="0.25">
      <c r="A165" s="11">
        <f t="shared" si="17"/>
        <v>110</v>
      </c>
      <c r="B165">
        <v>-3.577661839246197</v>
      </c>
      <c r="E165" s="11">
        <f>A165-'Mastercurve bestimmen'!$B$2</f>
        <v>60</v>
      </c>
      <c r="F165" s="11">
        <f t="shared" si="15"/>
        <v>-3.577661839246197</v>
      </c>
      <c r="G165" s="11"/>
      <c r="H165" s="11">
        <f t="shared" si="16"/>
        <v>167961600000000</v>
      </c>
      <c r="I165" s="11">
        <f t="shared" si="19"/>
        <v>2799360000000</v>
      </c>
      <c r="J165" s="11">
        <f t="shared" si="19"/>
        <v>46656000000</v>
      </c>
      <c r="K165" s="11">
        <f t="shared" si="19"/>
        <v>777600000</v>
      </c>
      <c r="L165" s="11">
        <f t="shared" si="19"/>
        <v>12960000</v>
      </c>
      <c r="M165" s="11">
        <f t="shared" si="19"/>
        <v>216000</v>
      </c>
      <c r="N165" s="11">
        <f t="shared" si="19"/>
        <v>3600</v>
      </c>
      <c r="O165" s="11">
        <f t="shared" si="19"/>
        <v>60</v>
      </c>
      <c r="P165" s="11">
        <f t="shared" si="18"/>
        <v>0</v>
      </c>
    </row>
    <row r="166" spans="1:16" x14ac:dyDescent="0.25">
      <c r="A166" s="11">
        <f t="shared" si="17"/>
        <v>111</v>
      </c>
      <c r="B166">
        <v>-3.2909335299320035</v>
      </c>
      <c r="E166" s="11">
        <f>A166-'Mastercurve bestimmen'!$B$2</f>
        <v>61</v>
      </c>
      <c r="F166" s="11">
        <f t="shared" si="15"/>
        <v>-3.2909335299320035</v>
      </c>
      <c r="G166" s="11"/>
      <c r="H166" s="11">
        <f t="shared" si="16"/>
        <v>191707312997281</v>
      </c>
      <c r="I166" s="11">
        <f t="shared" si="19"/>
        <v>3142742836021</v>
      </c>
      <c r="J166" s="11">
        <f t="shared" si="19"/>
        <v>51520374361</v>
      </c>
      <c r="K166" s="11">
        <f t="shared" si="19"/>
        <v>844596301</v>
      </c>
      <c r="L166" s="11">
        <f t="shared" si="19"/>
        <v>13845841</v>
      </c>
      <c r="M166" s="11">
        <f t="shared" si="19"/>
        <v>226981</v>
      </c>
      <c r="N166" s="11">
        <f t="shared" si="19"/>
        <v>3721</v>
      </c>
      <c r="O166" s="11">
        <f t="shared" si="19"/>
        <v>61</v>
      </c>
      <c r="P166" s="11">
        <f t="shared" si="18"/>
        <v>0</v>
      </c>
    </row>
    <row r="167" spans="1:16" x14ac:dyDescent="0.25">
      <c r="A167" s="11">
        <f t="shared" si="17"/>
        <v>112</v>
      </c>
      <c r="B167">
        <v>-3.0113279002571627</v>
      </c>
      <c r="E167" s="11">
        <f>A167-'Mastercurve bestimmen'!$B$2</f>
        <v>62</v>
      </c>
      <c r="F167" s="11">
        <f t="shared" si="15"/>
        <v>-3.0113279002571627</v>
      </c>
      <c r="G167" s="11"/>
      <c r="H167" s="11">
        <f t="shared" si="16"/>
        <v>218340105584896</v>
      </c>
      <c r="I167" s="11">
        <f t="shared" si="19"/>
        <v>3521614606208</v>
      </c>
      <c r="J167" s="11">
        <f t="shared" si="19"/>
        <v>56800235584</v>
      </c>
      <c r="K167" s="11">
        <f t="shared" si="19"/>
        <v>916132832</v>
      </c>
      <c r="L167" s="11">
        <f t="shared" si="19"/>
        <v>14776336</v>
      </c>
      <c r="M167" s="11">
        <f t="shared" si="19"/>
        <v>238328</v>
      </c>
      <c r="N167" s="11">
        <f t="shared" si="19"/>
        <v>3844</v>
      </c>
      <c r="O167" s="11">
        <f t="shared" si="19"/>
        <v>62</v>
      </c>
      <c r="P167" s="11">
        <f t="shared" si="18"/>
        <v>0</v>
      </c>
    </row>
    <row r="168" spans="1:16" x14ac:dyDescent="0.25">
      <c r="A168" s="11">
        <f t="shared" si="17"/>
        <v>113</v>
      </c>
      <c r="B168">
        <v>-2.7387908434927408</v>
      </c>
      <c r="E168" s="11">
        <f>A168-'Mastercurve bestimmen'!$B$2</f>
        <v>63</v>
      </c>
      <c r="F168" s="11">
        <f t="shared" si="15"/>
        <v>-2.7387908434927408</v>
      </c>
      <c r="G168" s="11"/>
      <c r="H168" s="11">
        <f t="shared" si="16"/>
        <v>248155780267521</v>
      </c>
      <c r="I168" s="11">
        <f t="shared" si="19"/>
        <v>3938980639167</v>
      </c>
      <c r="J168" s="11">
        <f t="shared" si="19"/>
        <v>62523502209</v>
      </c>
      <c r="K168" s="11">
        <f t="shared" si="19"/>
        <v>992436543</v>
      </c>
      <c r="L168" s="11">
        <f t="shared" si="19"/>
        <v>15752961</v>
      </c>
      <c r="M168" s="11">
        <f t="shared" si="19"/>
        <v>250047</v>
      </c>
      <c r="N168" s="11">
        <f t="shared" si="19"/>
        <v>3969</v>
      </c>
      <c r="O168" s="11">
        <f t="shared" si="19"/>
        <v>63</v>
      </c>
      <c r="P168" s="11">
        <f t="shared" si="18"/>
        <v>0</v>
      </c>
    </row>
    <row r="169" spans="1:16" x14ac:dyDescent="0.25">
      <c r="A169" s="11">
        <f t="shared" si="17"/>
        <v>114</v>
      </c>
      <c r="B169">
        <v>-2.4732682529098016</v>
      </c>
      <c r="E169" s="11">
        <f>A169-'Mastercurve bestimmen'!$B$2</f>
        <v>64</v>
      </c>
      <c r="F169" s="11">
        <f t="shared" si="15"/>
        <v>-2.4732682529098016</v>
      </c>
      <c r="G169" s="11"/>
      <c r="H169" s="11">
        <f t="shared" si="16"/>
        <v>281474976710656</v>
      </c>
      <c r="I169" s="11">
        <f t="shared" si="19"/>
        <v>4398046511104</v>
      </c>
      <c r="J169" s="11">
        <f t="shared" si="19"/>
        <v>68719476736</v>
      </c>
      <c r="K169" s="11">
        <f t="shared" si="19"/>
        <v>1073741824</v>
      </c>
      <c r="L169" s="11">
        <f t="shared" si="19"/>
        <v>16777216</v>
      </c>
      <c r="M169" s="11">
        <f t="shared" si="19"/>
        <v>262144</v>
      </c>
      <c r="N169" s="11">
        <f t="shared" si="19"/>
        <v>4096</v>
      </c>
      <c r="O169" s="11">
        <f t="shared" si="19"/>
        <v>64</v>
      </c>
      <c r="P169" s="11">
        <f t="shared" si="18"/>
        <v>0</v>
      </c>
    </row>
    <row r="170" spans="1:16" x14ac:dyDescent="0.25">
      <c r="A170" s="11">
        <f t="shared" si="17"/>
        <v>115</v>
      </c>
      <c r="B170">
        <v>-2.2147060217794103</v>
      </c>
      <c r="E170" s="11">
        <f>A170-'Mastercurve bestimmen'!$B$2</f>
        <v>65</v>
      </c>
      <c r="F170" s="11">
        <f t="shared" si="15"/>
        <v>-2.2147060217794103</v>
      </c>
      <c r="G170" s="11"/>
      <c r="H170" s="11">
        <f t="shared" si="16"/>
        <v>318644812890625</v>
      </c>
      <c r="I170" s="11">
        <f t="shared" si="19"/>
        <v>4902227890625</v>
      </c>
      <c r="J170" s="11">
        <f t="shared" si="19"/>
        <v>75418890625</v>
      </c>
      <c r="K170" s="11">
        <f t="shared" si="19"/>
        <v>1160290625</v>
      </c>
      <c r="L170" s="11">
        <f t="shared" si="19"/>
        <v>17850625</v>
      </c>
      <c r="M170" s="11">
        <f t="shared" si="19"/>
        <v>274625</v>
      </c>
      <c r="N170" s="11">
        <f t="shared" si="19"/>
        <v>4225</v>
      </c>
      <c r="O170" s="11">
        <f t="shared" si="19"/>
        <v>65</v>
      </c>
      <c r="P170" s="11">
        <f t="shared" si="18"/>
        <v>0</v>
      </c>
    </row>
    <row r="171" spans="1:16" x14ac:dyDescent="0.25">
      <c r="A171" s="11">
        <f t="shared" si="17"/>
        <v>116</v>
      </c>
      <c r="B171">
        <v>-1.963050043372633</v>
      </c>
      <c r="E171" s="11">
        <f>A171-'Mastercurve bestimmen'!$B$2</f>
        <v>66</v>
      </c>
      <c r="F171" s="11">
        <f t="shared" si="15"/>
        <v>-1.963050043372633</v>
      </c>
      <c r="G171" s="11"/>
      <c r="H171" s="11">
        <f t="shared" si="16"/>
        <v>360040606269696</v>
      </c>
      <c r="I171" s="11">
        <f t="shared" si="19"/>
        <v>5455160701056</v>
      </c>
      <c r="J171" s="11">
        <f t="shared" si="19"/>
        <v>82653950016</v>
      </c>
      <c r="K171" s="11">
        <f t="shared" si="19"/>
        <v>1252332576</v>
      </c>
      <c r="L171" s="11">
        <f t="shared" si="19"/>
        <v>18974736</v>
      </c>
      <c r="M171" s="11">
        <f t="shared" si="19"/>
        <v>287496</v>
      </c>
      <c r="N171" s="11">
        <f t="shared" si="19"/>
        <v>4356</v>
      </c>
      <c r="O171" s="11">
        <f t="shared" si="19"/>
        <v>66</v>
      </c>
      <c r="P171" s="11">
        <f t="shared" si="18"/>
        <v>0</v>
      </c>
    </row>
    <row r="172" spans="1:16" x14ac:dyDescent="0.25">
      <c r="A172" s="11">
        <f t="shared" si="17"/>
        <v>117</v>
      </c>
      <c r="B172">
        <v>-1.7182462109605345</v>
      </c>
      <c r="E172" s="11">
        <f>A172-'Mastercurve bestimmen'!$B$2</f>
        <v>67</v>
      </c>
      <c r="F172" s="11">
        <f t="shared" si="15"/>
        <v>-1.7182462109605345</v>
      </c>
      <c r="G172" s="11"/>
      <c r="H172" s="11">
        <f t="shared" si="16"/>
        <v>406067677556641</v>
      </c>
      <c r="I172" s="11">
        <f t="shared" si="19"/>
        <v>6060711605323</v>
      </c>
      <c r="J172" s="11">
        <f t="shared" si="19"/>
        <v>90458382169</v>
      </c>
      <c r="K172" s="11">
        <f t="shared" si="19"/>
        <v>1350125107</v>
      </c>
      <c r="L172" s="11">
        <f t="shared" si="19"/>
        <v>20151121</v>
      </c>
      <c r="M172" s="11">
        <f t="shared" si="19"/>
        <v>300763</v>
      </c>
      <c r="N172" s="11">
        <f t="shared" si="19"/>
        <v>4489</v>
      </c>
      <c r="O172" s="11">
        <f t="shared" si="19"/>
        <v>67</v>
      </c>
      <c r="P172" s="11">
        <f t="shared" si="18"/>
        <v>0</v>
      </c>
    </row>
    <row r="173" spans="1:16" x14ac:dyDescent="0.25">
      <c r="A173" s="11">
        <f t="shared" si="17"/>
        <v>118</v>
      </c>
      <c r="B173">
        <v>-1.4802404178141799</v>
      </c>
      <c r="E173" s="11">
        <f>A173-'Mastercurve bestimmen'!$B$2</f>
        <v>68</v>
      </c>
      <c r="F173" s="11">
        <f t="shared" si="15"/>
        <v>-1.4802404178141799</v>
      </c>
      <c r="G173" s="11"/>
      <c r="H173" s="11">
        <f t="shared" si="16"/>
        <v>457163239653376</v>
      </c>
      <c r="I173" s="11">
        <f t="shared" si="19"/>
        <v>6722988818432</v>
      </c>
      <c r="J173" s="11">
        <f t="shared" si="19"/>
        <v>98867482624</v>
      </c>
      <c r="K173" s="11">
        <f t="shared" si="19"/>
        <v>1453933568</v>
      </c>
      <c r="L173" s="11">
        <f t="shared" si="19"/>
        <v>21381376</v>
      </c>
      <c r="M173" s="11">
        <f t="shared" si="19"/>
        <v>314432</v>
      </c>
      <c r="N173" s="11">
        <f t="shared" si="19"/>
        <v>4624</v>
      </c>
      <c r="O173" s="11">
        <f t="shared" si="19"/>
        <v>68</v>
      </c>
      <c r="P173" s="11">
        <f t="shared" si="18"/>
        <v>0</v>
      </c>
    </row>
    <row r="174" spans="1:16" x14ac:dyDescent="0.25">
      <c r="A174" s="11">
        <f t="shared" si="17"/>
        <v>119</v>
      </c>
      <c r="B174">
        <v>-1.2489785572046341</v>
      </c>
      <c r="E174" s="11">
        <f>A174-'Mastercurve bestimmen'!$B$2</f>
        <v>69</v>
      </c>
      <c r="F174" s="11">
        <f t="shared" si="15"/>
        <v>-1.2489785572046341</v>
      </c>
      <c r="G174" s="11"/>
      <c r="H174" s="11">
        <f t="shared" si="16"/>
        <v>513798374428641</v>
      </c>
      <c r="I174" s="11">
        <f t="shared" si="19"/>
        <v>7446353252589</v>
      </c>
      <c r="J174" s="11">
        <f t="shared" si="19"/>
        <v>107918163081</v>
      </c>
      <c r="K174" s="11">
        <f t="shared" si="19"/>
        <v>1564031349</v>
      </c>
      <c r="L174" s="11">
        <f t="shared" si="19"/>
        <v>22667121</v>
      </c>
      <c r="M174" s="11">
        <f t="shared" si="19"/>
        <v>328509</v>
      </c>
      <c r="N174" s="11">
        <f t="shared" si="19"/>
        <v>4761</v>
      </c>
      <c r="O174" s="11">
        <f t="shared" si="19"/>
        <v>69</v>
      </c>
      <c r="P174" s="11">
        <f t="shared" si="18"/>
        <v>0</v>
      </c>
    </row>
    <row r="175" spans="1:16" x14ac:dyDescent="0.25">
      <c r="A175" s="11">
        <f t="shared" si="17"/>
        <v>120</v>
      </c>
      <c r="B175">
        <v>-1.0244065224029626</v>
      </c>
      <c r="E175" s="11">
        <f>A175-'Mastercurve bestimmen'!$B$2</f>
        <v>70</v>
      </c>
      <c r="F175" s="11">
        <f t="shared" si="15"/>
        <v>-1.0244065224029626</v>
      </c>
      <c r="G175" s="11"/>
      <c r="H175" s="11">
        <f t="shared" si="16"/>
        <v>576480100000000</v>
      </c>
      <c r="I175" s="11">
        <f t="shared" si="19"/>
        <v>8235430000000</v>
      </c>
      <c r="J175" s="11">
        <f t="shared" si="19"/>
        <v>117649000000</v>
      </c>
      <c r="K175" s="11">
        <f t="shared" si="19"/>
        <v>1680700000</v>
      </c>
      <c r="L175" s="11">
        <f t="shared" si="19"/>
        <v>24010000</v>
      </c>
      <c r="M175" s="11">
        <f t="shared" si="19"/>
        <v>343000</v>
      </c>
      <c r="N175" s="11">
        <f t="shared" si="19"/>
        <v>4900</v>
      </c>
      <c r="O175" s="11">
        <f t="shared" si="19"/>
        <v>70</v>
      </c>
      <c r="P175" s="11">
        <f t="shared" si="18"/>
        <v>0</v>
      </c>
    </row>
    <row r="176" spans="1:16" x14ac:dyDescent="0.25">
      <c r="A176" s="11">
        <f t="shared" si="17"/>
        <v>121</v>
      </c>
      <c r="B176">
        <v>-0.80647020668023028</v>
      </c>
      <c r="E176" s="11">
        <f>A176-'Mastercurve bestimmen'!$B$2</f>
        <v>71</v>
      </c>
      <c r="F176" s="11">
        <f t="shared" si="15"/>
        <v>-0.80647020668023028</v>
      </c>
      <c r="G176" s="11"/>
      <c r="H176" s="11">
        <f t="shared" si="16"/>
        <v>645753531245761</v>
      </c>
      <c r="I176" s="11">
        <f t="shared" si="19"/>
        <v>9095120158391</v>
      </c>
      <c r="J176" s="11">
        <f t="shared" si="19"/>
        <v>128100283921</v>
      </c>
      <c r="K176" s="11">
        <f t="shared" si="19"/>
        <v>1804229351</v>
      </c>
      <c r="L176" s="11">
        <f t="shared" si="19"/>
        <v>25411681</v>
      </c>
      <c r="M176" s="11">
        <f t="shared" si="19"/>
        <v>357911</v>
      </c>
      <c r="N176" s="11">
        <f t="shared" si="19"/>
        <v>5041</v>
      </c>
      <c r="O176" s="11">
        <f t="shared" si="19"/>
        <v>71</v>
      </c>
      <c r="P176" s="11">
        <f t="shared" si="18"/>
        <v>0</v>
      </c>
    </row>
    <row r="177" spans="1:16" x14ac:dyDescent="0.25">
      <c r="A177" s="11">
        <f t="shared" si="17"/>
        <v>122</v>
      </c>
      <c r="B177">
        <v>-0.59511550330750262</v>
      </c>
      <c r="E177" s="11">
        <f>A177-'Mastercurve bestimmen'!$B$2</f>
        <v>72</v>
      </c>
      <c r="F177" s="11">
        <f t="shared" si="15"/>
        <v>-0.59511550330750262</v>
      </c>
      <c r="G177" s="11"/>
      <c r="H177" s="11">
        <f t="shared" si="16"/>
        <v>722204136308736</v>
      </c>
      <c r="I177" s="11">
        <f t="shared" si="19"/>
        <v>10030613004288</v>
      </c>
      <c r="J177" s="11">
        <f t="shared" si="19"/>
        <v>139314069504</v>
      </c>
      <c r="K177" s="11">
        <f t="shared" si="19"/>
        <v>1934917632</v>
      </c>
      <c r="L177" s="11">
        <f t="shared" si="19"/>
        <v>26873856</v>
      </c>
      <c r="M177" s="11">
        <f t="shared" si="19"/>
        <v>373248</v>
      </c>
      <c r="N177" s="11">
        <f t="shared" si="19"/>
        <v>5184</v>
      </c>
      <c r="O177" s="11">
        <f t="shared" si="19"/>
        <v>72</v>
      </c>
      <c r="P177" s="11">
        <f t="shared" si="18"/>
        <v>0</v>
      </c>
    </row>
    <row r="178" spans="1:16" x14ac:dyDescent="0.25">
      <c r="A178" s="11">
        <f t="shared" si="17"/>
        <v>123</v>
      </c>
      <c r="B178">
        <v>-0.39028830555584504</v>
      </c>
      <c r="E178" s="11">
        <f>A178-'Mastercurve bestimmen'!$B$2</f>
        <v>73</v>
      </c>
      <c r="F178" s="11">
        <f t="shared" si="15"/>
        <v>-0.39028830555584504</v>
      </c>
      <c r="G178" s="11"/>
      <c r="H178" s="11">
        <f t="shared" si="16"/>
        <v>806460091894081</v>
      </c>
      <c r="I178" s="11">
        <f t="shared" si="19"/>
        <v>11047398519097</v>
      </c>
      <c r="J178" s="11">
        <f t="shared" si="19"/>
        <v>151334226289</v>
      </c>
      <c r="K178" s="11">
        <f t="shared" si="19"/>
        <v>2073071593</v>
      </c>
      <c r="L178" s="11">
        <f t="shared" si="19"/>
        <v>28398241</v>
      </c>
      <c r="M178" s="11">
        <f t="shared" si="19"/>
        <v>389017</v>
      </c>
      <c r="N178" s="11">
        <f t="shared" si="19"/>
        <v>5329</v>
      </c>
      <c r="O178" s="11">
        <f t="shared" si="19"/>
        <v>73</v>
      </c>
      <c r="P178" s="11">
        <f t="shared" si="18"/>
        <v>0</v>
      </c>
    </row>
    <row r="179" spans="1:16" x14ac:dyDescent="0.25">
      <c r="A179" s="11">
        <f t="shared" si="17"/>
        <v>124</v>
      </c>
      <c r="B179">
        <v>-0.19193450669632295</v>
      </c>
      <c r="E179" s="11">
        <f>A179-'Mastercurve bestimmen'!$B$2</f>
        <v>74</v>
      </c>
      <c r="F179" s="11">
        <f t="shared" si="15"/>
        <v>-0.19193450669632295</v>
      </c>
      <c r="G179" s="11"/>
      <c r="H179" s="11">
        <f t="shared" si="16"/>
        <v>899194740203776</v>
      </c>
      <c r="I179" s="11">
        <f t="shared" si="19"/>
        <v>12151280273024</v>
      </c>
      <c r="J179" s="11">
        <f t="shared" si="19"/>
        <v>164206490176</v>
      </c>
      <c r="K179" s="11">
        <f t="shared" si="19"/>
        <v>2219006624</v>
      </c>
      <c r="L179" s="11">
        <f t="shared" si="19"/>
        <v>29986576</v>
      </c>
      <c r="M179" s="11">
        <f t="shared" si="19"/>
        <v>405224</v>
      </c>
      <c r="N179" s="11">
        <f t="shared" si="19"/>
        <v>5476</v>
      </c>
      <c r="O179" s="11">
        <f t="shared" si="19"/>
        <v>74</v>
      </c>
      <c r="P179" s="11">
        <f t="shared" si="18"/>
        <v>0</v>
      </c>
    </row>
    <row r="180" spans="1:16" x14ac:dyDescent="0.25">
      <c r="A180" s="11">
        <f t="shared" si="17"/>
        <v>125</v>
      </c>
      <c r="B180">
        <v>0</v>
      </c>
      <c r="E180" s="11">
        <f>A180-'Mastercurve bestimmen'!$B$2</f>
        <v>75</v>
      </c>
      <c r="F180" s="11">
        <f t="shared" si="15"/>
        <v>0</v>
      </c>
      <c r="G180" s="11"/>
      <c r="H180" s="11">
        <f t="shared" si="16"/>
        <v>1001129150390625</v>
      </c>
      <c r="I180" s="11">
        <f t="shared" si="19"/>
        <v>13348388671875</v>
      </c>
      <c r="J180" s="11">
        <f t="shared" si="19"/>
        <v>177978515625</v>
      </c>
      <c r="K180" s="11">
        <f t="shared" si="19"/>
        <v>2373046875</v>
      </c>
      <c r="L180" s="11">
        <f t="shared" si="19"/>
        <v>31640625</v>
      </c>
      <c r="M180" s="11">
        <f t="shared" si="19"/>
        <v>421875</v>
      </c>
      <c r="N180" s="11">
        <f t="shared" si="19"/>
        <v>5625</v>
      </c>
      <c r="O180" s="11">
        <f t="shared" si="19"/>
        <v>75</v>
      </c>
      <c r="P180" s="11">
        <f t="shared" si="18"/>
        <v>0</v>
      </c>
    </row>
    <row r="181" spans="1:16" x14ac:dyDescent="0.25">
      <c r="A181" s="11">
        <f t="shared" si="17"/>
        <v>126</v>
      </c>
      <c r="B181">
        <v>0.1855906138807312</v>
      </c>
      <c r="E181" s="11">
        <f>A181-'Mastercurve bestimmen'!$B$2</f>
        <v>76</v>
      </c>
      <c r="F181" s="11">
        <f t="shared" si="15"/>
        <v>0.1855906138807312</v>
      </c>
      <c r="G181" s="11"/>
      <c r="H181" s="11">
        <f t="shared" si="16"/>
        <v>1113034787454976</v>
      </c>
      <c r="I181" s="11">
        <f t="shared" si="19"/>
        <v>14645194571776</v>
      </c>
      <c r="J181" s="11">
        <f t="shared" si="19"/>
        <v>192699928576</v>
      </c>
      <c r="K181" s="11">
        <f t="shared" si="19"/>
        <v>2535525376</v>
      </c>
      <c r="L181" s="11">
        <f t="shared" si="19"/>
        <v>33362176</v>
      </c>
      <c r="M181" s="11">
        <f t="shared" si="19"/>
        <v>438976</v>
      </c>
      <c r="N181" s="11">
        <f t="shared" si="19"/>
        <v>5776</v>
      </c>
      <c r="O181" s="11">
        <f t="shared" si="19"/>
        <v>76</v>
      </c>
      <c r="P181" s="11">
        <f t="shared" si="18"/>
        <v>0</v>
      </c>
    </row>
    <row r="182" spans="1:16" x14ac:dyDescent="0.25">
      <c r="A182" s="11">
        <f t="shared" si="17"/>
        <v>127</v>
      </c>
      <c r="B182">
        <v>0.36499790476817601</v>
      </c>
      <c r="E182" s="11">
        <f>A182-'Mastercurve bestimmen'!$B$2</f>
        <v>77</v>
      </c>
      <c r="F182" s="11">
        <f t="shared" si="15"/>
        <v>0.36499790476817601</v>
      </c>
      <c r="G182" s="11"/>
      <c r="H182" s="11">
        <f t="shared" si="16"/>
        <v>1235736291547681</v>
      </c>
      <c r="I182" s="11">
        <f t="shared" si="19"/>
        <v>16048523266853</v>
      </c>
      <c r="J182" s="11">
        <f t="shared" si="19"/>
        <v>208422380089</v>
      </c>
      <c r="K182" s="11">
        <f t="shared" si="19"/>
        <v>2706784157</v>
      </c>
      <c r="L182" s="11">
        <f t="shared" si="19"/>
        <v>35153041</v>
      </c>
      <c r="M182" s="11">
        <f t="shared" si="19"/>
        <v>456533</v>
      </c>
      <c r="N182" s="11">
        <f t="shared" si="19"/>
        <v>5929</v>
      </c>
      <c r="O182" s="11">
        <f t="shared" si="19"/>
        <v>77</v>
      </c>
      <c r="P182" s="11">
        <f t="shared" si="18"/>
        <v>0</v>
      </c>
    </row>
    <row r="183" spans="1:16" x14ac:dyDescent="0.25">
      <c r="A183" s="11">
        <f t="shared" si="17"/>
        <v>128</v>
      </c>
      <c r="B183">
        <v>0.53840373510331363</v>
      </c>
      <c r="E183" s="11">
        <f>A183-'Mastercurve bestimmen'!$B$2</f>
        <v>78</v>
      </c>
      <c r="F183" s="11">
        <f t="shared" si="15"/>
        <v>0.53840373510331363</v>
      </c>
      <c r="G183" s="11"/>
      <c r="H183" s="11">
        <f t="shared" si="16"/>
        <v>1370114370683136</v>
      </c>
      <c r="I183" s="11">
        <f t="shared" si="19"/>
        <v>17565568854912</v>
      </c>
      <c r="J183" s="11">
        <f t="shared" si="19"/>
        <v>225199600704</v>
      </c>
      <c r="K183" s="11">
        <f t="shared" si="19"/>
        <v>2887174368</v>
      </c>
      <c r="L183" s="11">
        <f t="shared" si="19"/>
        <v>37015056</v>
      </c>
      <c r="M183" s="11">
        <f t="shared" si="19"/>
        <v>474552</v>
      </c>
      <c r="N183" s="11">
        <f t="shared" si="19"/>
        <v>6084</v>
      </c>
      <c r="O183" s="11">
        <f t="shared" si="19"/>
        <v>78</v>
      </c>
      <c r="P183" s="11">
        <f t="shared" si="18"/>
        <v>0</v>
      </c>
    </row>
    <row r="184" spans="1:16" x14ac:dyDescent="0.25">
      <c r="A184" s="11">
        <f t="shared" si="17"/>
        <v>129</v>
      </c>
      <c r="B184">
        <v>0.70598996732712282</v>
      </c>
      <c r="E184" s="11">
        <f>A184-'Mastercurve bestimmen'!$B$2</f>
        <v>79</v>
      </c>
      <c r="F184" s="11">
        <f t="shared" si="15"/>
        <v>0.70598996732712282</v>
      </c>
      <c r="G184" s="11"/>
      <c r="H184" s="11">
        <f t="shared" si="16"/>
        <v>1517108809906561</v>
      </c>
      <c r="I184" s="11">
        <f t="shared" si="19"/>
        <v>19203908986159</v>
      </c>
      <c r="J184" s="11">
        <f t="shared" si="19"/>
        <v>243087455521</v>
      </c>
      <c r="K184" s="11">
        <f t="shared" si="19"/>
        <v>3077056399</v>
      </c>
      <c r="L184" s="11">
        <f t="shared" si="19"/>
        <v>38950081</v>
      </c>
      <c r="M184" s="11">
        <f t="shared" si="19"/>
        <v>493039</v>
      </c>
      <c r="N184" s="11">
        <f t="shared" si="19"/>
        <v>6241</v>
      </c>
      <c r="O184" s="11">
        <f t="shared" si="19"/>
        <v>79</v>
      </c>
      <c r="P184" s="11">
        <f t="shared" si="18"/>
        <v>0</v>
      </c>
    </row>
    <row r="185" spans="1:16" x14ac:dyDescent="0.25">
      <c r="A185" s="11">
        <f t="shared" si="17"/>
        <v>130</v>
      </c>
      <c r="B185">
        <v>0.8679384638805826</v>
      </c>
      <c r="E185" s="11">
        <f>A185-'Mastercurve bestimmen'!$B$2</f>
        <v>80</v>
      </c>
      <c r="F185" s="11">
        <f t="shared" si="15"/>
        <v>0.8679384638805826</v>
      </c>
      <c r="G185" s="11"/>
      <c r="H185" s="11">
        <f t="shared" si="16"/>
        <v>1677721600000000</v>
      </c>
      <c r="I185" s="11">
        <f t="shared" si="19"/>
        <v>20971520000000</v>
      </c>
      <c r="J185" s="11">
        <f t="shared" si="19"/>
        <v>262144000000</v>
      </c>
      <c r="K185" s="11">
        <f t="shared" si="19"/>
        <v>3276800000</v>
      </c>
      <c r="L185" s="11">
        <f t="shared" si="19"/>
        <v>40960000</v>
      </c>
      <c r="M185" s="11">
        <f t="shared" si="19"/>
        <v>512000</v>
      </c>
      <c r="N185" s="11">
        <f t="shared" si="19"/>
        <v>6400</v>
      </c>
      <c r="O185" s="11">
        <f t="shared" si="19"/>
        <v>80</v>
      </c>
      <c r="P185" s="11">
        <f t="shared" si="18"/>
        <v>0</v>
      </c>
    </row>
    <row r="186" spans="1:16" x14ac:dyDescent="0.25">
      <c r="A186" s="11">
        <f t="shared" si="17"/>
        <v>131</v>
      </c>
      <c r="B186">
        <v>1.0244310872046722</v>
      </c>
      <c r="E186" s="11">
        <f>A186-'Mastercurve bestimmen'!$B$2</f>
        <v>81</v>
      </c>
      <c r="F186" s="11">
        <f t="shared" si="15"/>
        <v>1.0244310872046722</v>
      </c>
      <c r="G186" s="11"/>
      <c r="H186" s="11">
        <f t="shared" si="16"/>
        <v>1853020188851841</v>
      </c>
      <c r="I186" s="11">
        <f t="shared" si="19"/>
        <v>22876792454961</v>
      </c>
      <c r="J186" s="11">
        <f t="shared" si="19"/>
        <v>282429536481</v>
      </c>
      <c r="K186" s="11">
        <f t="shared" si="19"/>
        <v>3486784401</v>
      </c>
      <c r="L186" s="11">
        <f t="shared" si="19"/>
        <v>43046721</v>
      </c>
      <c r="M186" s="11">
        <f t="shared" si="19"/>
        <v>531441</v>
      </c>
      <c r="N186" s="11">
        <f t="shared" si="19"/>
        <v>6561</v>
      </c>
      <c r="O186" s="11">
        <f t="shared" si="19"/>
        <v>81</v>
      </c>
      <c r="P186" s="11">
        <f t="shared" si="18"/>
        <v>0</v>
      </c>
    </row>
    <row r="187" spans="1:16" x14ac:dyDescent="0.25">
      <c r="A187" s="11">
        <f t="shared" si="17"/>
        <v>132</v>
      </c>
      <c r="B187">
        <v>1.1756496997403705</v>
      </c>
      <c r="E187" s="11">
        <f>A187-'Mastercurve bestimmen'!$B$2</f>
        <v>82</v>
      </c>
      <c r="F187" s="11">
        <f t="shared" si="15"/>
        <v>1.1756496997403705</v>
      </c>
      <c r="G187" s="11"/>
      <c r="H187" s="11">
        <f t="shared" si="16"/>
        <v>2044140858654976</v>
      </c>
      <c r="I187" s="11">
        <f t="shared" si="19"/>
        <v>24928547056768</v>
      </c>
      <c r="J187" s="11">
        <f t="shared" si="19"/>
        <v>304006671424</v>
      </c>
      <c r="K187" s="11">
        <f t="shared" si="19"/>
        <v>3707398432</v>
      </c>
      <c r="L187" s="11">
        <f t="shared" si="19"/>
        <v>45212176</v>
      </c>
      <c r="M187" s="11">
        <f t="shared" si="19"/>
        <v>551368</v>
      </c>
      <c r="N187" s="11">
        <f t="shared" si="19"/>
        <v>6724</v>
      </c>
      <c r="O187" s="11">
        <f t="shared" si="19"/>
        <v>82</v>
      </c>
      <c r="P187" s="11">
        <f t="shared" si="18"/>
        <v>0</v>
      </c>
    </row>
    <row r="188" spans="1:16" x14ac:dyDescent="0.25">
      <c r="A188" s="11">
        <f t="shared" si="17"/>
        <v>133</v>
      </c>
      <c r="B188">
        <v>1.3217761639286563</v>
      </c>
      <c r="E188" s="11">
        <f>A188-'Mastercurve bestimmen'!$B$2</f>
        <v>83</v>
      </c>
      <c r="F188" s="11">
        <f t="shared" si="15"/>
        <v>1.3217761639286563</v>
      </c>
      <c r="G188" s="11"/>
      <c r="H188" s="11">
        <f t="shared" si="16"/>
        <v>2252292232139041</v>
      </c>
      <c r="I188" s="11">
        <f t="shared" si="19"/>
        <v>27136050989627</v>
      </c>
      <c r="J188" s="11">
        <f t="shared" si="19"/>
        <v>326940373369</v>
      </c>
      <c r="K188" s="11">
        <f t="shared" si="19"/>
        <v>3939040643</v>
      </c>
      <c r="L188" s="11">
        <f t="shared" si="19"/>
        <v>47458321</v>
      </c>
      <c r="M188" s="11">
        <f t="shared" si="19"/>
        <v>571787</v>
      </c>
      <c r="N188" s="11">
        <f t="shared" si="19"/>
        <v>6889</v>
      </c>
      <c r="O188" s="11">
        <f t="shared" si="19"/>
        <v>83</v>
      </c>
      <c r="P188" s="11">
        <f t="shared" si="18"/>
        <v>0</v>
      </c>
    </row>
    <row r="189" spans="1:16" x14ac:dyDescent="0.25">
      <c r="A189" s="11">
        <f t="shared" si="17"/>
        <v>134</v>
      </c>
      <c r="B189">
        <v>1.4629923422105091</v>
      </c>
      <c r="E189" s="11">
        <f>A189-'Mastercurve bestimmen'!$B$2</f>
        <v>84</v>
      </c>
      <c r="F189" s="11">
        <f t="shared" si="15"/>
        <v>1.4629923422105091</v>
      </c>
      <c r="G189" s="11"/>
      <c r="H189" s="11">
        <f t="shared" si="16"/>
        <v>2478758911082496</v>
      </c>
      <c r="I189" s="11">
        <f t="shared" si="19"/>
        <v>29509034655744</v>
      </c>
      <c r="J189" s="11">
        <f t="shared" ref="I189:O215" si="20">IF($H$12&gt;=J$14,$E189^J$14,0)</f>
        <v>351298031616</v>
      </c>
      <c r="K189" s="11">
        <f t="shared" si="20"/>
        <v>4182119424</v>
      </c>
      <c r="L189" s="11">
        <f t="shared" si="20"/>
        <v>49787136</v>
      </c>
      <c r="M189" s="11">
        <f t="shared" si="20"/>
        <v>592704</v>
      </c>
      <c r="N189" s="11">
        <f t="shared" si="20"/>
        <v>7056</v>
      </c>
      <c r="O189" s="11">
        <f t="shared" si="20"/>
        <v>84</v>
      </c>
      <c r="P189" s="11">
        <f t="shared" si="18"/>
        <v>0</v>
      </c>
    </row>
    <row r="190" spans="1:16" x14ac:dyDescent="0.25">
      <c r="A190" s="11">
        <f t="shared" si="17"/>
        <v>135</v>
      </c>
      <c r="B190">
        <v>1.5994800970269076</v>
      </c>
      <c r="E190" s="11">
        <f>A190-'Mastercurve bestimmen'!$B$2</f>
        <v>85</v>
      </c>
      <c r="F190" s="11">
        <f t="shared" si="15"/>
        <v>1.5994800970269076</v>
      </c>
      <c r="G190" s="11"/>
      <c r="H190" s="11">
        <f t="shared" si="16"/>
        <v>2724905250390625</v>
      </c>
      <c r="I190" s="11">
        <f t="shared" si="20"/>
        <v>32057708828125</v>
      </c>
      <c r="J190" s="11">
        <f t="shared" si="20"/>
        <v>377149515625</v>
      </c>
      <c r="K190" s="11">
        <f t="shared" si="20"/>
        <v>4437053125</v>
      </c>
      <c r="L190" s="11">
        <f t="shared" si="20"/>
        <v>52200625</v>
      </c>
      <c r="M190" s="11">
        <f t="shared" si="20"/>
        <v>614125</v>
      </c>
      <c r="N190" s="11">
        <f t="shared" si="20"/>
        <v>7225</v>
      </c>
      <c r="O190" s="11">
        <f t="shared" si="20"/>
        <v>85</v>
      </c>
      <c r="P190" s="11">
        <f t="shared" si="18"/>
        <v>0</v>
      </c>
    </row>
    <row r="191" spans="1:16" x14ac:dyDescent="0.25">
      <c r="A191" s="11">
        <f t="shared" si="17"/>
        <v>136</v>
      </c>
      <c r="B191">
        <v>1.7314212908188309</v>
      </c>
      <c r="E191" s="11">
        <f>A191-'Mastercurve bestimmen'!$B$2</f>
        <v>86</v>
      </c>
      <c r="F191" s="11">
        <f t="shared" si="15"/>
        <v>1.7314212908188309</v>
      </c>
      <c r="G191" s="11"/>
      <c r="H191" s="11">
        <f t="shared" si="16"/>
        <v>2992179271065856</v>
      </c>
      <c r="I191" s="11">
        <f t="shared" si="20"/>
        <v>34792782221696</v>
      </c>
      <c r="J191" s="11">
        <f t="shared" si="20"/>
        <v>404567235136</v>
      </c>
      <c r="K191" s="11">
        <f t="shared" si="20"/>
        <v>4704270176</v>
      </c>
      <c r="L191" s="11">
        <f t="shared" si="20"/>
        <v>54700816</v>
      </c>
      <c r="M191" s="11">
        <f t="shared" si="20"/>
        <v>636056</v>
      </c>
      <c r="N191" s="11">
        <f t="shared" si="20"/>
        <v>7396</v>
      </c>
      <c r="O191" s="11">
        <f t="shared" si="20"/>
        <v>86</v>
      </c>
      <c r="P191" s="11">
        <f t="shared" si="18"/>
        <v>0</v>
      </c>
    </row>
    <row r="192" spans="1:16" x14ac:dyDescent="0.25">
      <c r="A192" s="11">
        <f t="shared" si="17"/>
        <v>137</v>
      </c>
      <c r="B192">
        <v>1.8589977860272577</v>
      </c>
      <c r="E192" s="11">
        <f>A192-'Mastercurve bestimmen'!$B$2</f>
        <v>87</v>
      </c>
      <c r="F192" s="11">
        <f t="shared" si="15"/>
        <v>1.8589977860272577</v>
      </c>
      <c r="G192" s="11"/>
      <c r="H192" s="11">
        <f t="shared" si="16"/>
        <v>3282116715437121</v>
      </c>
      <c r="I192" s="11">
        <f t="shared" si="20"/>
        <v>37725479487783</v>
      </c>
      <c r="J192" s="11">
        <f t="shared" si="20"/>
        <v>433626201009</v>
      </c>
      <c r="K192" s="11">
        <f t="shared" si="20"/>
        <v>4984209207</v>
      </c>
      <c r="L192" s="11">
        <f t="shared" si="20"/>
        <v>57289761</v>
      </c>
      <c r="M192" s="11">
        <f t="shared" si="20"/>
        <v>658503</v>
      </c>
      <c r="N192" s="11">
        <f t="shared" si="20"/>
        <v>7569</v>
      </c>
      <c r="O192" s="11">
        <f t="shared" si="20"/>
        <v>87</v>
      </c>
      <c r="P192" s="11">
        <f t="shared" si="18"/>
        <v>0</v>
      </c>
    </row>
    <row r="193" spans="1:16" x14ac:dyDescent="0.25">
      <c r="A193" s="11">
        <f t="shared" si="17"/>
        <v>138</v>
      </c>
      <c r="B193">
        <v>1.9823914450931674</v>
      </c>
      <c r="E193" s="11">
        <f>A193-'Mastercurve bestimmen'!$B$2</f>
        <v>88</v>
      </c>
      <c r="F193" s="11">
        <f t="shared" si="15"/>
        <v>1.9823914450931674</v>
      </c>
      <c r="G193" s="11"/>
      <c r="H193" s="11">
        <f t="shared" si="16"/>
        <v>3596345248055296</v>
      </c>
      <c r="I193" s="11">
        <f t="shared" si="20"/>
        <v>40867559636992</v>
      </c>
      <c r="J193" s="11">
        <f t="shared" si="20"/>
        <v>464404086784</v>
      </c>
      <c r="K193" s="11">
        <f t="shared" si="20"/>
        <v>5277319168</v>
      </c>
      <c r="L193" s="11">
        <f t="shared" si="20"/>
        <v>59969536</v>
      </c>
      <c r="M193" s="11">
        <f t="shared" si="20"/>
        <v>681472</v>
      </c>
      <c r="N193" s="11">
        <f t="shared" si="20"/>
        <v>7744</v>
      </c>
      <c r="O193" s="11">
        <f t="shared" si="20"/>
        <v>88</v>
      </c>
      <c r="P193" s="11">
        <f t="shared" si="18"/>
        <v>0</v>
      </c>
    </row>
    <row r="194" spans="1:16" x14ac:dyDescent="0.25">
      <c r="A194" s="11">
        <f t="shared" si="17"/>
        <v>139</v>
      </c>
      <c r="B194">
        <v>2.1017841304575389</v>
      </c>
      <c r="E194" s="11">
        <f>A194-'Mastercurve bestimmen'!$B$2</f>
        <v>89</v>
      </c>
      <c r="F194" s="11">
        <f t="shared" si="15"/>
        <v>2.1017841304575389</v>
      </c>
      <c r="G194" s="11"/>
      <c r="H194" s="11">
        <f t="shared" si="16"/>
        <v>3936588805702081</v>
      </c>
      <c r="I194" s="11">
        <f t="shared" si="20"/>
        <v>44231334895529</v>
      </c>
      <c r="J194" s="11">
        <f t="shared" si="20"/>
        <v>496981290961</v>
      </c>
      <c r="K194" s="11">
        <f t="shared" si="20"/>
        <v>5584059449</v>
      </c>
      <c r="L194" s="11">
        <f t="shared" si="20"/>
        <v>62742241</v>
      </c>
      <c r="M194" s="11">
        <f t="shared" si="20"/>
        <v>704969</v>
      </c>
      <c r="N194" s="11">
        <f t="shared" si="20"/>
        <v>7921</v>
      </c>
      <c r="O194" s="11">
        <f t="shared" si="20"/>
        <v>89</v>
      </c>
      <c r="P194" s="11">
        <f t="shared" si="18"/>
        <v>0</v>
      </c>
    </row>
    <row r="195" spans="1:16" x14ac:dyDescent="0.25">
      <c r="A195" s="11">
        <f t="shared" si="17"/>
        <v>140</v>
      </c>
      <c r="B195">
        <v>2.2173577045613508</v>
      </c>
      <c r="E195" s="11">
        <f>A195-'Mastercurve bestimmen'!$B$2</f>
        <v>90</v>
      </c>
      <c r="F195" s="11">
        <f t="shared" si="15"/>
        <v>2.2173577045613508</v>
      </c>
      <c r="G195" s="11"/>
      <c r="H195" s="11">
        <f t="shared" si="16"/>
        <v>4304672100000000</v>
      </c>
      <c r="I195" s="11">
        <f t="shared" si="20"/>
        <v>47829690000000</v>
      </c>
      <c r="J195" s="11">
        <f t="shared" si="20"/>
        <v>531441000000</v>
      </c>
      <c r="K195" s="11">
        <f t="shared" si="20"/>
        <v>5904900000</v>
      </c>
      <c r="L195" s="11">
        <f t="shared" si="20"/>
        <v>65610000</v>
      </c>
      <c r="M195" s="11">
        <f t="shared" si="20"/>
        <v>729000</v>
      </c>
      <c r="N195" s="11">
        <f t="shared" si="20"/>
        <v>8100</v>
      </c>
      <c r="O195" s="11">
        <f t="shared" si="20"/>
        <v>90</v>
      </c>
      <c r="P195" s="11">
        <f t="shared" si="18"/>
        <v>0</v>
      </c>
    </row>
    <row r="196" spans="1:16" x14ac:dyDescent="0.25">
      <c r="A196" s="11">
        <f t="shared" si="17"/>
        <v>141</v>
      </c>
      <c r="B196">
        <v>2.3292940298455829</v>
      </c>
      <c r="E196" s="11">
        <f>A196-'Mastercurve bestimmen'!$B$2</f>
        <v>91</v>
      </c>
      <c r="F196" s="11">
        <f t="shared" si="15"/>
        <v>2.3292940298455829</v>
      </c>
      <c r="G196" s="11"/>
      <c r="H196" s="11">
        <f t="shared" si="16"/>
        <v>4702525276151521</v>
      </c>
      <c r="I196" s="11">
        <f t="shared" si="20"/>
        <v>51676101935731</v>
      </c>
      <c r="J196" s="11">
        <f t="shared" si="20"/>
        <v>567869252041</v>
      </c>
      <c r="K196" s="11">
        <f t="shared" si="20"/>
        <v>6240321451</v>
      </c>
      <c r="L196" s="11">
        <f t="shared" si="20"/>
        <v>68574961</v>
      </c>
      <c r="M196" s="11">
        <f t="shared" si="20"/>
        <v>753571</v>
      </c>
      <c r="N196" s="11">
        <f t="shared" si="20"/>
        <v>8281</v>
      </c>
      <c r="O196" s="11">
        <f t="shared" si="20"/>
        <v>91</v>
      </c>
      <c r="P196" s="11">
        <f t="shared" si="18"/>
        <v>0</v>
      </c>
    </row>
    <row r="197" spans="1:16" x14ac:dyDescent="0.25">
      <c r="A197" s="11">
        <f t="shared" si="17"/>
        <v>142</v>
      </c>
      <c r="B197">
        <v>2.437774968751214</v>
      </c>
      <c r="E197" s="11">
        <f>A197-'Mastercurve bestimmen'!$B$2</f>
        <v>92</v>
      </c>
      <c r="F197" s="11">
        <f t="shared" si="15"/>
        <v>2.437774968751214</v>
      </c>
      <c r="G197" s="11"/>
      <c r="H197" s="11">
        <f t="shared" si="16"/>
        <v>5132188731375616</v>
      </c>
      <c r="I197" s="11">
        <f t="shared" si="20"/>
        <v>55784660123648</v>
      </c>
      <c r="J197" s="11">
        <f t="shared" si="20"/>
        <v>606355001344</v>
      </c>
      <c r="K197" s="11">
        <f t="shared" si="20"/>
        <v>6590815232</v>
      </c>
      <c r="L197" s="11">
        <f t="shared" si="20"/>
        <v>71639296</v>
      </c>
      <c r="M197" s="11">
        <f t="shared" si="20"/>
        <v>778688</v>
      </c>
      <c r="N197" s="11">
        <f t="shared" si="20"/>
        <v>8464</v>
      </c>
      <c r="O197" s="11">
        <f t="shared" si="20"/>
        <v>92</v>
      </c>
      <c r="P197" s="11">
        <f t="shared" si="18"/>
        <v>0</v>
      </c>
    </row>
    <row r="198" spans="1:16" x14ac:dyDescent="0.25">
      <c r="A198" s="11">
        <f t="shared" si="17"/>
        <v>143</v>
      </c>
      <c r="B198">
        <v>2.5429823837192229</v>
      </c>
      <c r="E198" s="11">
        <f>A198-'Mastercurve bestimmen'!$B$2</f>
        <v>93</v>
      </c>
      <c r="F198" s="11">
        <f t="shared" si="15"/>
        <v>2.5429823837192229</v>
      </c>
      <c r="G198" s="11"/>
      <c r="H198" s="11">
        <f t="shared" si="16"/>
        <v>5595818096650401</v>
      </c>
      <c r="I198" s="11">
        <f t="shared" si="20"/>
        <v>60170087060757</v>
      </c>
      <c r="J198" s="11">
        <f t="shared" si="20"/>
        <v>646990183449</v>
      </c>
      <c r="K198" s="11">
        <f t="shared" si="20"/>
        <v>6956883693</v>
      </c>
      <c r="L198" s="11">
        <f t="shared" si="20"/>
        <v>74805201</v>
      </c>
      <c r="M198" s="11">
        <f t="shared" si="20"/>
        <v>804357</v>
      </c>
      <c r="N198" s="11">
        <f t="shared" si="20"/>
        <v>8649</v>
      </c>
      <c r="O198" s="11">
        <f t="shared" si="20"/>
        <v>93</v>
      </c>
      <c r="P198" s="11">
        <f t="shared" si="18"/>
        <v>0</v>
      </c>
    </row>
    <row r="199" spans="1:16" x14ac:dyDescent="0.25">
      <c r="A199" s="11">
        <f t="shared" si="17"/>
        <v>144</v>
      </c>
      <c r="B199">
        <v>2.6450981371905882</v>
      </c>
      <c r="E199" s="11">
        <f>A199-'Mastercurve bestimmen'!$B$2</f>
        <v>94</v>
      </c>
      <c r="F199" s="11">
        <f t="shared" si="15"/>
        <v>2.6450981371905882</v>
      </c>
      <c r="G199" s="11"/>
      <c r="H199" s="11">
        <f t="shared" si="16"/>
        <v>6095689385410816</v>
      </c>
      <c r="I199" s="11">
        <f t="shared" si="20"/>
        <v>64847759419264</v>
      </c>
      <c r="J199" s="11">
        <f t="shared" si="20"/>
        <v>689869781056</v>
      </c>
      <c r="K199" s="11">
        <f t="shared" si="20"/>
        <v>7339040224</v>
      </c>
      <c r="L199" s="11">
        <f t="shared" si="20"/>
        <v>78074896</v>
      </c>
      <c r="M199" s="11">
        <f t="shared" si="20"/>
        <v>830584</v>
      </c>
      <c r="N199" s="11">
        <f t="shared" si="20"/>
        <v>8836</v>
      </c>
      <c r="O199" s="11">
        <f t="shared" si="20"/>
        <v>94</v>
      </c>
      <c r="P199" s="11">
        <f t="shared" si="18"/>
        <v>0</v>
      </c>
    </row>
    <row r="200" spans="1:16" x14ac:dyDescent="0.25">
      <c r="A200" s="11">
        <f t="shared" si="17"/>
        <v>145</v>
      </c>
      <c r="B200">
        <v>2.7443040916062893</v>
      </c>
      <c r="E200" s="11">
        <f>A200-'Mastercurve bestimmen'!$B$2</f>
        <v>95</v>
      </c>
      <c r="F200" s="11">
        <f t="shared" si="15"/>
        <v>2.7443040916062893</v>
      </c>
      <c r="G200" s="11"/>
      <c r="H200" s="11">
        <f t="shared" si="16"/>
        <v>6634204312890625</v>
      </c>
      <c r="I200" s="11">
        <f t="shared" si="20"/>
        <v>69833729609375</v>
      </c>
      <c r="J200" s="11">
        <f t="shared" si="20"/>
        <v>735091890625</v>
      </c>
      <c r="K200" s="11">
        <f t="shared" si="20"/>
        <v>7737809375</v>
      </c>
      <c r="L200" s="11">
        <f t="shared" si="20"/>
        <v>81450625</v>
      </c>
      <c r="M200" s="11">
        <f t="shared" si="20"/>
        <v>857375</v>
      </c>
      <c r="N200" s="11">
        <f t="shared" si="20"/>
        <v>9025</v>
      </c>
      <c r="O200" s="11">
        <f t="shared" si="20"/>
        <v>95</v>
      </c>
      <c r="P200" s="11">
        <f t="shared" si="18"/>
        <v>0</v>
      </c>
    </row>
    <row r="201" spans="1:16" x14ac:dyDescent="0.25">
      <c r="A201" s="11">
        <f t="shared" si="17"/>
        <v>146</v>
      </c>
      <c r="B201">
        <v>2.8407821094073058</v>
      </c>
      <c r="E201" s="11">
        <f>A201-'Mastercurve bestimmen'!$B$2</f>
        <v>96</v>
      </c>
      <c r="F201" s="11">
        <f t="shared" si="15"/>
        <v>2.8407821094073058</v>
      </c>
      <c r="G201" s="11"/>
      <c r="H201" s="11">
        <f t="shared" si="16"/>
        <v>7213895789838336</v>
      </c>
      <c r="I201" s="11">
        <f t="shared" si="20"/>
        <v>75144747810816</v>
      </c>
      <c r="J201" s="11">
        <f t="shared" si="20"/>
        <v>782757789696</v>
      </c>
      <c r="K201" s="11">
        <f t="shared" si="20"/>
        <v>8153726976</v>
      </c>
      <c r="L201" s="11">
        <f t="shared" si="20"/>
        <v>84934656</v>
      </c>
      <c r="M201" s="11">
        <f t="shared" si="20"/>
        <v>884736</v>
      </c>
      <c r="N201" s="11">
        <f t="shared" si="20"/>
        <v>9216</v>
      </c>
      <c r="O201" s="11">
        <f t="shared" si="20"/>
        <v>96</v>
      </c>
      <c r="P201" s="11">
        <f t="shared" si="18"/>
        <v>0</v>
      </c>
    </row>
    <row r="202" spans="1:16" x14ac:dyDescent="0.25">
      <c r="A202" s="11">
        <f t="shared" si="17"/>
        <v>147</v>
      </c>
      <c r="B202">
        <v>2.9347140530346154</v>
      </c>
      <c r="E202" s="11">
        <f>A202-'Mastercurve bestimmen'!$B$2</f>
        <v>97</v>
      </c>
      <c r="F202" s="11">
        <f t="shared" si="15"/>
        <v>2.9347140530346154</v>
      </c>
      <c r="G202" s="11"/>
      <c r="H202" s="11">
        <f t="shared" si="16"/>
        <v>7837433594376961</v>
      </c>
      <c r="I202" s="11">
        <f t="shared" si="20"/>
        <v>80798284478113</v>
      </c>
      <c r="J202" s="11">
        <f t="shared" si="20"/>
        <v>832972004929</v>
      </c>
      <c r="K202" s="11">
        <f t="shared" si="20"/>
        <v>8587340257</v>
      </c>
      <c r="L202" s="11">
        <f t="shared" si="20"/>
        <v>88529281</v>
      </c>
      <c r="M202" s="11">
        <f t="shared" si="20"/>
        <v>912673</v>
      </c>
      <c r="N202" s="11">
        <f t="shared" si="20"/>
        <v>9409</v>
      </c>
      <c r="O202" s="11">
        <f t="shared" si="20"/>
        <v>97</v>
      </c>
      <c r="P202" s="11">
        <f t="shared" si="18"/>
        <v>0</v>
      </c>
    </row>
    <row r="203" spans="1:16" x14ac:dyDescent="0.25">
      <c r="A203" s="11">
        <f t="shared" si="17"/>
        <v>148</v>
      </c>
      <c r="B203">
        <v>3.0262817849291981</v>
      </c>
      <c r="E203" s="11">
        <f>A203-'Mastercurve bestimmen'!$B$2</f>
        <v>98</v>
      </c>
      <c r="F203" s="11">
        <f t="shared" si="15"/>
        <v>3.0262817849291981</v>
      </c>
      <c r="G203" s="11"/>
      <c r="H203" s="11">
        <f t="shared" si="16"/>
        <v>8507630225817856</v>
      </c>
      <c r="I203" s="11">
        <f t="shared" si="20"/>
        <v>86812553324672</v>
      </c>
      <c r="J203" s="11">
        <f t="shared" si="20"/>
        <v>885842380864</v>
      </c>
      <c r="K203" s="11">
        <f t="shared" si="20"/>
        <v>9039207968</v>
      </c>
      <c r="L203" s="11">
        <f t="shared" si="20"/>
        <v>92236816</v>
      </c>
      <c r="M203" s="11">
        <f t="shared" si="20"/>
        <v>941192</v>
      </c>
      <c r="N203" s="11">
        <f t="shared" si="20"/>
        <v>9604</v>
      </c>
      <c r="O203" s="11">
        <f t="shared" si="20"/>
        <v>98</v>
      </c>
      <c r="P203" s="11">
        <f t="shared" si="18"/>
        <v>0</v>
      </c>
    </row>
    <row r="204" spans="1:16" x14ac:dyDescent="0.25">
      <c r="A204" s="11">
        <f t="shared" si="17"/>
        <v>149</v>
      </c>
      <c r="B204">
        <v>3.1156671675320333</v>
      </c>
      <c r="E204" s="11">
        <f>A204-'Mastercurve bestimmen'!$B$2</f>
        <v>99</v>
      </c>
      <c r="F204" s="11">
        <f t="shared" si="15"/>
        <v>3.1156671675320333</v>
      </c>
      <c r="G204" s="11"/>
      <c r="H204" s="11">
        <f t="shared" si="16"/>
        <v>9227446944279200</v>
      </c>
      <c r="I204" s="11">
        <f t="shared" si="20"/>
        <v>93206534790699</v>
      </c>
      <c r="J204" s="11">
        <f t="shared" si="20"/>
        <v>941480149401</v>
      </c>
      <c r="K204" s="11">
        <f t="shared" si="20"/>
        <v>9509900499</v>
      </c>
      <c r="L204" s="11">
        <f t="shared" si="20"/>
        <v>96059601</v>
      </c>
      <c r="M204" s="11">
        <f t="shared" si="20"/>
        <v>970299</v>
      </c>
      <c r="N204" s="11">
        <f t="shared" si="20"/>
        <v>9801</v>
      </c>
      <c r="O204" s="11">
        <f t="shared" si="20"/>
        <v>99</v>
      </c>
      <c r="P204" s="11">
        <f t="shared" si="18"/>
        <v>0</v>
      </c>
    </row>
    <row r="205" spans="1:16" x14ac:dyDescent="0.25">
      <c r="A205" s="11">
        <f t="shared" si="17"/>
        <v>150</v>
      </c>
      <c r="B205">
        <v>3.2030520632840989</v>
      </c>
      <c r="E205" s="11">
        <f>A205-'Mastercurve bestimmen'!$B$2</f>
        <v>100</v>
      </c>
      <c r="F205" s="11">
        <f t="shared" si="15"/>
        <v>3.2030520632840989</v>
      </c>
      <c r="G205" s="11"/>
      <c r="H205" s="11">
        <f t="shared" si="16"/>
        <v>1E+16</v>
      </c>
      <c r="I205" s="11">
        <f t="shared" si="20"/>
        <v>100000000000000</v>
      </c>
      <c r="J205" s="11">
        <f t="shared" si="20"/>
        <v>1000000000000</v>
      </c>
      <c r="K205" s="11">
        <f t="shared" si="20"/>
        <v>10000000000</v>
      </c>
      <c r="L205" s="11">
        <f t="shared" si="20"/>
        <v>100000000</v>
      </c>
      <c r="M205" s="11">
        <f t="shared" si="20"/>
        <v>1000000</v>
      </c>
      <c r="N205" s="11">
        <f t="shared" si="20"/>
        <v>10000</v>
      </c>
      <c r="O205" s="11">
        <f t="shared" si="20"/>
        <v>100</v>
      </c>
      <c r="P205" s="11">
        <f t="shared" si="18"/>
        <v>0</v>
      </c>
    </row>
    <row r="206" spans="1:16" x14ac:dyDescent="0.25">
      <c r="A206" s="11">
        <f t="shared" si="17"/>
        <v>151</v>
      </c>
      <c r="B206">
        <v>3.2886183346263742</v>
      </c>
      <c r="E206" s="11">
        <f>A206-'Mastercurve bestimmen'!$B$2</f>
        <v>101</v>
      </c>
      <c r="F206" s="11">
        <f t="shared" si="15"/>
        <v>3.2886183346263742</v>
      </c>
      <c r="G206" s="11"/>
      <c r="H206" s="11">
        <f t="shared" si="16"/>
        <v>1.08285670562808E+16</v>
      </c>
      <c r="I206" s="11">
        <f t="shared" si="20"/>
        <v>107213535210701</v>
      </c>
      <c r="J206" s="11">
        <f t="shared" si="20"/>
        <v>1061520150601</v>
      </c>
      <c r="K206" s="11">
        <f t="shared" si="20"/>
        <v>10510100501</v>
      </c>
      <c r="L206" s="11">
        <f t="shared" si="20"/>
        <v>104060401</v>
      </c>
      <c r="M206" s="11">
        <f t="shared" si="20"/>
        <v>1030301</v>
      </c>
      <c r="N206" s="11">
        <f t="shared" si="20"/>
        <v>10201</v>
      </c>
      <c r="O206" s="11">
        <f t="shared" si="20"/>
        <v>101</v>
      </c>
      <c r="P206" s="11">
        <f t="shared" si="18"/>
        <v>0</v>
      </c>
    </row>
    <row r="207" spans="1:16" x14ac:dyDescent="0.25">
      <c r="A207" s="11">
        <f t="shared" si="17"/>
        <v>152</v>
      </c>
      <c r="B207">
        <v>3.3725478439998384</v>
      </c>
      <c r="E207" s="11">
        <f>A207-'Mastercurve bestimmen'!$B$2</f>
        <v>102</v>
      </c>
      <c r="F207" s="11">
        <f t="shared" si="15"/>
        <v>3.3725478439998384</v>
      </c>
      <c r="G207" s="11"/>
      <c r="H207" s="11">
        <f t="shared" si="16"/>
        <v>1.1716593810022656E+16</v>
      </c>
      <c r="I207" s="11">
        <f t="shared" si="20"/>
        <v>114868566764928</v>
      </c>
      <c r="J207" s="11">
        <f t="shared" si="20"/>
        <v>1126162419264</v>
      </c>
      <c r="K207" s="11">
        <f t="shared" si="20"/>
        <v>11040808032</v>
      </c>
      <c r="L207" s="11">
        <f t="shared" si="20"/>
        <v>108243216</v>
      </c>
      <c r="M207" s="11">
        <f t="shared" si="20"/>
        <v>1061208</v>
      </c>
      <c r="N207" s="11">
        <f t="shared" si="20"/>
        <v>10404</v>
      </c>
      <c r="O207" s="11">
        <f t="shared" si="20"/>
        <v>102</v>
      </c>
      <c r="P207" s="11">
        <f t="shared" si="18"/>
        <v>0</v>
      </c>
    </row>
    <row r="208" spans="1:16" x14ac:dyDescent="0.25">
      <c r="A208" s="11">
        <f t="shared" si="17"/>
        <v>153</v>
      </c>
      <c r="B208">
        <v>3.455022453845471</v>
      </c>
      <c r="E208" s="11">
        <f>A208-'Mastercurve bestimmen'!$B$2</f>
        <v>103</v>
      </c>
      <c r="F208" s="11">
        <f t="shared" ref="F208:F215" si="21">B208</f>
        <v>3.455022453845471</v>
      </c>
      <c r="G208" s="11"/>
      <c r="H208" s="11">
        <f t="shared" ref="H208:H215" si="22">IF($H$12&gt;=H$14,$E208^H$14,0)</f>
        <v>1.266770081387616E+16</v>
      </c>
      <c r="I208" s="11">
        <f t="shared" si="20"/>
        <v>122987386542487</v>
      </c>
      <c r="J208" s="11">
        <f t="shared" si="20"/>
        <v>1194052296529</v>
      </c>
      <c r="K208" s="11">
        <f t="shared" si="20"/>
        <v>11592740743</v>
      </c>
      <c r="L208" s="11">
        <f t="shared" si="20"/>
        <v>112550881</v>
      </c>
      <c r="M208" s="11">
        <f t="shared" si="20"/>
        <v>1092727</v>
      </c>
      <c r="N208" s="11">
        <f t="shared" si="20"/>
        <v>10609</v>
      </c>
      <c r="O208" s="11">
        <f t="shared" si="20"/>
        <v>103</v>
      </c>
      <c r="P208" s="11">
        <f t="shared" si="18"/>
        <v>0</v>
      </c>
    </row>
    <row r="209" spans="1:16" x14ac:dyDescent="0.25">
      <c r="A209" s="11">
        <f t="shared" ref="A209:A215" si="23">A208+1</f>
        <v>154</v>
      </c>
      <c r="B209">
        <v>3.5362240266042502</v>
      </c>
      <c r="E209" s="11">
        <f>A209-'Mastercurve bestimmen'!$B$2</f>
        <v>104</v>
      </c>
      <c r="F209" s="11">
        <f t="shared" si="21"/>
        <v>3.5362240266042502</v>
      </c>
      <c r="G209" s="11"/>
      <c r="H209" s="11">
        <f t="shared" si="22"/>
        <v>1.3685690504052736E+16</v>
      </c>
      <c r="I209" s="11">
        <f t="shared" si="20"/>
        <v>131593177923584</v>
      </c>
      <c r="J209" s="11">
        <f t="shared" si="20"/>
        <v>1265319018496</v>
      </c>
      <c r="K209" s="11">
        <f t="shared" si="20"/>
        <v>12166529024</v>
      </c>
      <c r="L209" s="11">
        <f t="shared" si="20"/>
        <v>116985856</v>
      </c>
      <c r="M209" s="11">
        <f t="shared" si="20"/>
        <v>1124864</v>
      </c>
      <c r="N209" s="11">
        <f t="shared" si="20"/>
        <v>10816</v>
      </c>
      <c r="O209" s="11">
        <f t="shared" si="20"/>
        <v>104</v>
      </c>
      <c r="P209" s="11">
        <f t="shared" ref="P209:P215" si="24">P208</f>
        <v>0</v>
      </c>
    </row>
    <row r="210" spans="1:16" x14ac:dyDescent="0.25">
      <c r="A210" s="11">
        <f t="shared" si="23"/>
        <v>155</v>
      </c>
      <c r="B210">
        <v>3.6163344247171554</v>
      </c>
      <c r="E210" s="11">
        <f>A210-'Mastercurve bestimmen'!$B$2</f>
        <v>105</v>
      </c>
      <c r="F210" s="11">
        <f t="shared" si="21"/>
        <v>3.6163344247171554</v>
      </c>
      <c r="G210" s="11"/>
      <c r="H210" s="11">
        <f t="shared" si="22"/>
        <v>1.4774554437890624E+16</v>
      </c>
      <c r="I210" s="11">
        <f t="shared" si="20"/>
        <v>140710042265625</v>
      </c>
      <c r="J210" s="11">
        <f t="shared" si="20"/>
        <v>1340095640625</v>
      </c>
      <c r="K210" s="11">
        <f t="shared" si="20"/>
        <v>12762815625</v>
      </c>
      <c r="L210" s="11">
        <f t="shared" si="20"/>
        <v>121550625</v>
      </c>
      <c r="M210" s="11">
        <f t="shared" si="20"/>
        <v>1157625</v>
      </c>
      <c r="N210" s="11">
        <f t="shared" si="20"/>
        <v>11025</v>
      </c>
      <c r="O210" s="11">
        <f t="shared" si="20"/>
        <v>105</v>
      </c>
      <c r="P210" s="11">
        <f t="shared" si="24"/>
        <v>0</v>
      </c>
    </row>
    <row r="211" spans="1:16" x14ac:dyDescent="0.25">
      <c r="A211" s="11">
        <f t="shared" si="23"/>
        <v>156</v>
      </c>
      <c r="B211">
        <v>3.6955355106251657</v>
      </c>
      <c r="E211" s="11">
        <f>A211-'Mastercurve bestimmen'!$B$2</f>
        <v>106</v>
      </c>
      <c r="F211" s="11">
        <f t="shared" si="21"/>
        <v>3.6955355106251657</v>
      </c>
      <c r="G211" s="11"/>
      <c r="H211" s="11">
        <f t="shared" si="22"/>
        <v>1.5938480745308416E+16</v>
      </c>
      <c r="I211" s="11">
        <f t="shared" si="20"/>
        <v>150363025899136</v>
      </c>
      <c r="J211" s="11">
        <f t="shared" si="20"/>
        <v>1418519112256</v>
      </c>
      <c r="K211" s="11">
        <f t="shared" si="20"/>
        <v>13382255776</v>
      </c>
      <c r="L211" s="11">
        <f t="shared" si="20"/>
        <v>126247696</v>
      </c>
      <c r="M211" s="11">
        <f t="shared" si="20"/>
        <v>1191016</v>
      </c>
      <c r="N211" s="11">
        <f t="shared" si="20"/>
        <v>11236</v>
      </c>
      <c r="O211" s="11">
        <f t="shared" si="20"/>
        <v>106</v>
      </c>
      <c r="P211" s="11">
        <f t="shared" si="24"/>
        <v>0</v>
      </c>
    </row>
    <row r="212" spans="1:16" x14ac:dyDescent="0.25">
      <c r="A212" s="11">
        <f t="shared" si="23"/>
        <v>157</v>
      </c>
      <c r="B212">
        <v>3.7740091467692598</v>
      </c>
      <c r="E212" s="11">
        <f>A212-'Mastercurve bestimmen'!$B$2</f>
        <v>107</v>
      </c>
      <c r="F212" s="11">
        <f t="shared" si="21"/>
        <v>3.7740091467692598</v>
      </c>
      <c r="G212" s="11"/>
      <c r="H212" s="11">
        <f t="shared" si="22"/>
        <v>1.71818617983192E+16</v>
      </c>
      <c r="I212" s="11">
        <f t="shared" si="20"/>
        <v>160578147647843</v>
      </c>
      <c r="J212" s="11">
        <f t="shared" si="20"/>
        <v>1500730351849</v>
      </c>
      <c r="K212" s="11">
        <f t="shared" si="20"/>
        <v>14025517307</v>
      </c>
      <c r="L212" s="11">
        <f t="shared" si="20"/>
        <v>131079601</v>
      </c>
      <c r="M212" s="11">
        <f t="shared" si="20"/>
        <v>1225043</v>
      </c>
      <c r="N212" s="11">
        <f t="shared" si="20"/>
        <v>11449</v>
      </c>
      <c r="O212" s="11">
        <f t="shared" si="20"/>
        <v>107</v>
      </c>
      <c r="P212" s="11">
        <f t="shared" si="24"/>
        <v>0</v>
      </c>
    </row>
    <row r="213" spans="1:16" x14ac:dyDescent="0.25">
      <c r="A213" s="11">
        <f t="shared" si="23"/>
        <v>158</v>
      </c>
      <c r="B213">
        <v>3.8519371955904167</v>
      </c>
      <c r="E213" s="11">
        <f>A213-'Mastercurve bestimmen'!$B$2</f>
        <v>108</v>
      </c>
      <c r="F213" s="11">
        <f t="shared" si="21"/>
        <v>3.8519371955904167</v>
      </c>
      <c r="G213" s="11"/>
      <c r="H213" s="11">
        <f t="shared" si="22"/>
        <v>1.8509302102818816E+16</v>
      </c>
      <c r="I213" s="11">
        <f t="shared" si="20"/>
        <v>171382426877952</v>
      </c>
      <c r="J213" s="11">
        <f t="shared" si="20"/>
        <v>1586874322944</v>
      </c>
      <c r="K213" s="11">
        <f t="shared" si="20"/>
        <v>14693280768</v>
      </c>
      <c r="L213" s="11">
        <f t="shared" si="20"/>
        <v>136048896</v>
      </c>
      <c r="M213" s="11">
        <f t="shared" si="20"/>
        <v>1259712</v>
      </c>
      <c r="N213" s="11">
        <f t="shared" si="20"/>
        <v>11664</v>
      </c>
      <c r="O213" s="11">
        <f t="shared" si="20"/>
        <v>108</v>
      </c>
      <c r="P213" s="11">
        <f t="shared" si="24"/>
        <v>0</v>
      </c>
    </row>
    <row r="214" spans="1:16" x14ac:dyDescent="0.25">
      <c r="A214" s="11">
        <f t="shared" si="23"/>
        <v>159</v>
      </c>
      <c r="B214">
        <v>3.9295015195296163</v>
      </c>
      <c r="E214" s="11">
        <f>A214-'Mastercurve bestimmen'!$B$2</f>
        <v>109</v>
      </c>
      <c r="F214" s="11">
        <f t="shared" si="21"/>
        <v>3.9295015195296163</v>
      </c>
      <c r="G214" s="11"/>
      <c r="H214" s="11">
        <f t="shared" si="22"/>
        <v>1.992562641690192E+16</v>
      </c>
      <c r="I214" s="11">
        <f t="shared" si="20"/>
        <v>182803912081669</v>
      </c>
      <c r="J214" s="11">
        <f t="shared" si="20"/>
        <v>1677100110841</v>
      </c>
      <c r="K214" s="11">
        <f t="shared" si="20"/>
        <v>15386239549</v>
      </c>
      <c r="L214" s="11">
        <f t="shared" si="20"/>
        <v>141158161</v>
      </c>
      <c r="M214" s="11">
        <f t="shared" si="20"/>
        <v>1295029</v>
      </c>
      <c r="N214" s="11">
        <f t="shared" si="20"/>
        <v>11881</v>
      </c>
      <c r="O214" s="11">
        <f t="shared" si="20"/>
        <v>109</v>
      </c>
      <c r="P214" s="11">
        <f t="shared" si="24"/>
        <v>0</v>
      </c>
    </row>
    <row r="215" spans="1:16" x14ac:dyDescent="0.25">
      <c r="A215" s="11">
        <f t="shared" si="23"/>
        <v>160</v>
      </c>
      <c r="B215">
        <v>4.0068839810278361</v>
      </c>
      <c r="E215" s="11">
        <f>A215-'Mastercurve bestimmen'!$B$2</f>
        <v>110</v>
      </c>
      <c r="F215" s="11">
        <f t="shared" si="21"/>
        <v>4.0068839810278361</v>
      </c>
      <c r="G215" s="11"/>
      <c r="H215" s="11">
        <f t="shared" si="22"/>
        <v>2.14358881E+16</v>
      </c>
      <c r="I215" s="11">
        <f t="shared" si="20"/>
        <v>194871710000000</v>
      </c>
      <c r="J215" s="11">
        <f t="shared" si="20"/>
        <v>1771561000000</v>
      </c>
      <c r="K215" s="11">
        <f t="shared" si="20"/>
        <v>16105100000</v>
      </c>
      <c r="L215" s="11">
        <f t="shared" si="20"/>
        <v>146410000</v>
      </c>
      <c r="M215" s="11">
        <f t="shared" si="20"/>
        <v>1331000</v>
      </c>
      <c r="N215" s="11">
        <f t="shared" si="20"/>
        <v>12100</v>
      </c>
      <c r="O215" s="11">
        <f t="shared" si="20"/>
        <v>110</v>
      </c>
      <c r="P215" s="11">
        <f t="shared" si="24"/>
        <v>0</v>
      </c>
    </row>
    <row r="216" spans="1:16" x14ac:dyDescent="0.25">
      <c r="G216" s="11"/>
      <c r="H216" s="13">
        <v>1</v>
      </c>
      <c r="I216" s="97" t="s">
        <v>138</v>
      </c>
      <c r="J216" s="97" t="s">
        <v>139</v>
      </c>
      <c r="K216" s="97" t="s">
        <v>140</v>
      </c>
      <c r="L216" s="97" t="s">
        <v>141</v>
      </c>
      <c r="M216" s="97" t="s">
        <v>142</v>
      </c>
      <c r="N216" s="97" t="s">
        <v>143</v>
      </c>
      <c r="O216" s="97" t="s">
        <v>144</v>
      </c>
      <c r="P216" s="97" t="s">
        <v>145</v>
      </c>
    </row>
    <row r="217" spans="1:16" x14ac:dyDescent="0.25">
      <c r="G217" s="35" t="s">
        <v>146</v>
      </c>
      <c r="H217" s="98">
        <f t="array" ref="H217:P219">LINEST(F15:F215,H15:P215,FALSE,TRUE)</f>
        <v>0</v>
      </c>
      <c r="I217" s="98">
        <v>0.52427832349594095</v>
      </c>
      <c r="J217" s="98">
        <v>-3.5315284282063972E-2</v>
      </c>
      <c r="K217" s="98">
        <v>-1.5218672356373552E-4</v>
      </c>
      <c r="L217" s="98">
        <v>1.2965286752905169E-5</v>
      </c>
      <c r="M217" s="98">
        <v>3.2635184253375725E-8</v>
      </c>
      <c r="N217" s="98">
        <v>-1.7212797645557277E-9</v>
      </c>
      <c r="O217" s="98">
        <v>-2.1573002487892906E-12</v>
      </c>
      <c r="P217" s="98">
        <v>7.6314676318104761E-14</v>
      </c>
    </row>
    <row r="218" spans="1:16" x14ac:dyDescent="0.25">
      <c r="G218" s="11"/>
      <c r="H218" s="11">
        <v>0</v>
      </c>
      <c r="I218" s="11">
        <v>0.11883437827828065</v>
      </c>
      <c r="J218" s="11">
        <v>2.6690301459261689E-3</v>
      </c>
      <c r="K218" s="3">
        <v>9.981444187013635E-5</v>
      </c>
      <c r="L218" s="3">
        <v>1.4984858230152606E-6</v>
      </c>
      <c r="M218" s="3">
        <v>2.4370629390323229E-8</v>
      </c>
      <c r="N218" s="3">
        <v>2.8176428127932897E-10</v>
      </c>
      <c r="O218" s="11">
        <v>1.7648779090405688E-12</v>
      </c>
      <c r="P218" s="11">
        <v>1.7814190606788563E-14</v>
      </c>
    </row>
    <row r="219" spans="1:16" x14ac:dyDescent="0.25">
      <c r="G219" s="11"/>
      <c r="H219" s="11">
        <v>0.79979045971086982</v>
      </c>
      <c r="I219" s="11">
        <v>13.317739258598893</v>
      </c>
      <c r="J219" s="11" t="e">
        <v>#N/A</v>
      </c>
      <c r="K219" s="11" t="e">
        <v>#N/A</v>
      </c>
      <c r="L219" s="11" t="e">
        <v>#N/A</v>
      </c>
      <c r="M219" s="11" t="e">
        <v>#N/A</v>
      </c>
      <c r="N219" s="11" t="e">
        <v>#N/A</v>
      </c>
      <c r="O219" s="11" t="e">
        <v>#N/A</v>
      </c>
      <c r="P219" s="11" t="e">
        <v>#N/A</v>
      </c>
    </row>
    <row r="222" spans="1:16" x14ac:dyDescent="0.25">
      <c r="E222">
        <f>E15</f>
        <v>-90</v>
      </c>
      <c r="F222">
        <f>$H$217*0+E222*$I$217+E222^2*$J$217+E222^3*$K$217+E222^4*$L$217+E222^5*$M$217+E222^6*$N$217+E222^7*$O$217+E222^8*$P$217</f>
        <v>-47.415745212709396</v>
      </c>
      <c r="G222">
        <f>F15</f>
        <v>-45.801625734711926</v>
      </c>
    </row>
    <row r="223" spans="1:16" x14ac:dyDescent="0.25">
      <c r="E223" s="11">
        <f t="shared" ref="E223:E286" si="25">E16</f>
        <v>-89</v>
      </c>
      <c r="F223" s="11">
        <f t="shared" ref="F223:F286" si="26">$H$217*0+E223*$I$217+E223^2*$J$217+E223^3*$K$217+E223^4*$L$217+E223^5*$M$217+E223^6*$N$217+E223^7*$O$217+E223^8*$P$217</f>
        <v>-47.475947395315245</v>
      </c>
      <c r="G223" s="11">
        <f t="shared" ref="G223:G286" si="27">F16</f>
        <v>-45.738092888466561</v>
      </c>
    </row>
    <row r="224" spans="1:16" x14ac:dyDescent="0.25">
      <c r="E224" s="11">
        <f t="shared" si="25"/>
        <v>-88</v>
      </c>
      <c r="F224" s="11">
        <f t="shared" si="26"/>
        <v>-47.362952852895148</v>
      </c>
      <c r="G224" s="11">
        <f t="shared" si="27"/>
        <v>-45.67441338219669</v>
      </c>
    </row>
    <row r="225" spans="5:7" x14ac:dyDescent="0.25">
      <c r="E225" s="11">
        <f t="shared" si="25"/>
        <v>-87</v>
      </c>
      <c r="F225" s="11">
        <f t="shared" si="26"/>
        <v>-47.113737422063565</v>
      </c>
      <c r="G225" s="11">
        <f t="shared" si="27"/>
        <v>-45.610440555877801</v>
      </c>
    </row>
    <row r="226" spans="5:7" x14ac:dyDescent="0.25">
      <c r="E226" s="11">
        <f t="shared" si="25"/>
        <v>-86</v>
      </c>
      <c r="F226" s="11">
        <f t="shared" si="26"/>
        <v>-46.761183583043703</v>
      </c>
      <c r="G226" s="11">
        <f t="shared" si="27"/>
        <v>-45.54602774948539</v>
      </c>
    </row>
    <row r="227" spans="5:7" x14ac:dyDescent="0.25">
      <c r="E227" s="11">
        <f t="shared" si="25"/>
        <v>-85</v>
      </c>
      <c r="F227" s="11">
        <f t="shared" si="26"/>
        <v>-46.334353342722551</v>
      </c>
      <c r="G227" s="11">
        <f t="shared" si="27"/>
        <v>-45.481028302994957</v>
      </c>
    </row>
    <row r="228" spans="5:7" x14ac:dyDescent="0.25">
      <c r="E228" s="11">
        <f t="shared" si="25"/>
        <v>-84</v>
      </c>
      <c r="F228" s="11">
        <f t="shared" si="26"/>
        <v>-45.858749765387756</v>
      </c>
      <c r="G228" s="11">
        <f t="shared" si="27"/>
        <v>-45.415295556381992</v>
      </c>
    </row>
    <row r="229" spans="5:7" x14ac:dyDescent="0.25">
      <c r="E229" s="11">
        <f t="shared" si="25"/>
        <v>-83</v>
      </c>
      <c r="F229" s="11">
        <f t="shared" si="26"/>
        <v>-45.356567428183752</v>
      </c>
      <c r="G229" s="11">
        <f t="shared" si="27"/>
        <v>-45.34868284962198</v>
      </c>
    </row>
    <row r="230" spans="5:7" x14ac:dyDescent="0.25">
      <c r="E230" s="11">
        <f t="shared" si="25"/>
        <v>-82</v>
      </c>
      <c r="F230" s="11">
        <f t="shared" si="26"/>
        <v>-44.846932075239607</v>
      </c>
      <c r="G230" s="11">
        <f t="shared" si="27"/>
        <v>-45.281043522690418</v>
      </c>
    </row>
    <row r="231" spans="5:7" x14ac:dyDescent="0.25">
      <c r="E231" s="11">
        <f t="shared" si="25"/>
        <v>-81</v>
      </c>
      <c r="F231" s="11">
        <f t="shared" si="26"/>
        <v>-44.346129741353366</v>
      </c>
      <c r="G231" s="11">
        <f t="shared" si="27"/>
        <v>-45.212230915562813</v>
      </c>
    </row>
    <row r="232" spans="5:7" x14ac:dyDescent="0.25">
      <c r="E232" s="11">
        <f t="shared" si="25"/>
        <v>-80</v>
      </c>
      <c r="F232" s="11">
        <f t="shared" si="26"/>
        <v>-43.867825613032181</v>
      </c>
      <c r="G232" s="11">
        <f t="shared" si="27"/>
        <v>-45.14209836821464</v>
      </c>
    </row>
    <row r="233" spans="5:7" x14ac:dyDescent="0.25">
      <c r="E233" s="11">
        <f t="shared" si="25"/>
        <v>-79</v>
      </c>
      <c r="F233" s="11">
        <f t="shared" si="26"/>
        <v>-43.423272891616307</v>
      </c>
      <c r="G233" s="11">
        <f t="shared" si="27"/>
        <v>-45.0704992206214</v>
      </c>
    </row>
    <row r="234" spans="5:7" x14ac:dyDescent="0.25">
      <c r="E234" s="11">
        <f t="shared" si="25"/>
        <v>-78</v>
      </c>
      <c r="F234" s="11">
        <f t="shared" si="26"/>
        <v>-43.021511920134046</v>
      </c>
      <c r="G234" s="11">
        <f t="shared" si="27"/>
        <v>-44.997286812758588</v>
      </c>
    </row>
    <row r="235" spans="5:7" x14ac:dyDescent="0.25">
      <c r="E235" s="11">
        <f t="shared" si="25"/>
        <v>-77</v>
      </c>
      <c r="F235" s="11">
        <f t="shared" si="26"/>
        <v>-42.669559832462085</v>
      </c>
      <c r="G235" s="11">
        <f t="shared" si="27"/>
        <v>-44.922314484601692</v>
      </c>
    </row>
    <row r="236" spans="5:7" x14ac:dyDescent="0.25">
      <c r="E236" s="11">
        <f t="shared" si="25"/>
        <v>-76</v>
      </c>
      <c r="F236" s="11">
        <f t="shared" si="26"/>
        <v>-42.372590980283519</v>
      </c>
      <c r="G236" s="11">
        <f t="shared" si="27"/>
        <v>-44.845435576126206</v>
      </c>
    </row>
    <row r="237" spans="5:7" x14ac:dyDescent="0.25">
      <c r="E237" s="11">
        <f t="shared" si="25"/>
        <v>-75</v>
      </c>
      <c r="F237" s="11">
        <f t="shared" si="26"/>
        <v>-42.134108390262938</v>
      </c>
      <c r="G237" s="11">
        <f t="shared" si="27"/>
        <v>-44.766503427307626</v>
      </c>
    </row>
    <row r="238" spans="5:7" x14ac:dyDescent="0.25">
      <c r="E238" s="11">
        <f t="shared" si="25"/>
        <v>-74</v>
      </c>
      <c r="F238" s="11">
        <f t="shared" si="26"/>
        <v>-41.956106500779029</v>
      </c>
      <c r="G238" s="11">
        <f t="shared" si="27"/>
        <v>-44.685371378121459</v>
      </c>
    </row>
    <row r="239" spans="5:7" x14ac:dyDescent="0.25">
      <c r="E239" s="11">
        <f t="shared" si="25"/>
        <v>-73</v>
      </c>
      <c r="F239" s="11">
        <f t="shared" si="26"/>
        <v>-41.839225424479444</v>
      </c>
      <c r="G239" s="11">
        <f t="shared" si="27"/>
        <v>-44.601892768543166</v>
      </c>
    </row>
    <row r="240" spans="5:7" x14ac:dyDescent="0.25">
      <c r="E240" s="11">
        <f t="shared" si="25"/>
        <v>-72</v>
      </c>
      <c r="F240" s="11">
        <f t="shared" si="26"/>
        <v>-41.78289697984281</v>
      </c>
      <c r="G240" s="11">
        <f t="shared" si="27"/>
        <v>-44.515920938548263</v>
      </c>
    </row>
    <row r="241" spans="5:7" x14ac:dyDescent="0.25">
      <c r="E241" s="11">
        <f t="shared" si="25"/>
        <v>-71</v>
      </c>
      <c r="F241" s="11">
        <f t="shared" si="26"/>
        <v>-41.785482731859574</v>
      </c>
      <c r="G241" s="11">
        <f t="shared" si="27"/>
        <v>-44.427309228112236</v>
      </c>
    </row>
    <row r="242" spans="5:7" x14ac:dyDescent="0.25">
      <c r="E242" s="11">
        <f t="shared" si="25"/>
        <v>-70</v>
      </c>
      <c r="F242" s="11">
        <f t="shared" si="26"/>
        <v>-41.844404278864836</v>
      </c>
      <c r="G242" s="11">
        <f t="shared" si="27"/>
        <v>-44.335910977210588</v>
      </c>
    </row>
    <row r="243" spans="5:7" x14ac:dyDescent="0.25">
      <c r="E243" s="11">
        <f t="shared" si="25"/>
        <v>-69</v>
      </c>
      <c r="F243" s="11">
        <f t="shared" si="26"/>
        <v>-41.956266019476502</v>
      </c>
      <c r="G243" s="11">
        <f t="shared" si="27"/>
        <v>-44.2415795258188</v>
      </c>
    </row>
    <row r="244" spans="5:7" x14ac:dyDescent="0.25">
      <c r="E244" s="11">
        <f t="shared" si="25"/>
        <v>-68</v>
      </c>
      <c r="F244" s="11">
        <f t="shared" si="26"/>
        <v>-42.116970630520505</v>
      </c>
      <c r="G244" s="11">
        <f t="shared" si="27"/>
        <v>-44.144168213912366</v>
      </c>
    </row>
    <row r="245" spans="5:7" x14ac:dyDescent="0.25">
      <c r="E245" s="11">
        <f t="shared" si="25"/>
        <v>-67</v>
      </c>
      <c r="F245" s="11">
        <f t="shared" si="26"/>
        <v>-42.32182748374322</v>
      </c>
      <c r="G245" s="11">
        <f t="shared" si="27"/>
        <v>-44.043530381466795</v>
      </c>
    </row>
    <row r="246" spans="5:7" x14ac:dyDescent="0.25">
      <c r="E246" s="11">
        <f t="shared" si="25"/>
        <v>-66</v>
      </c>
      <c r="F246" s="11">
        <f t="shared" si="26"/>
        <v>-42.565654226036578</v>
      </c>
      <c r="G246" s="11">
        <f t="shared" si="27"/>
        <v>-43.939519368457553</v>
      </c>
    </row>
    <row r="247" spans="5:7" x14ac:dyDescent="0.25">
      <c r="E247" s="11">
        <f t="shared" si="25"/>
        <v>-65</v>
      </c>
      <c r="F247" s="11">
        <f t="shared" si="26"/>
        <v>-42.842871744823206</v>
      </c>
      <c r="G247" s="11">
        <f t="shared" si="27"/>
        <v>-43.831988514860157</v>
      </c>
    </row>
    <row r="248" spans="5:7" x14ac:dyDescent="0.25">
      <c r="E248" s="11">
        <f t="shared" si="25"/>
        <v>-64</v>
      </c>
      <c r="F248" s="11">
        <f t="shared" si="26"/>
        <v>-43.147592737173014</v>
      </c>
      <c r="G248" s="11">
        <f t="shared" si="27"/>
        <v>-43.720791160650094</v>
      </c>
    </row>
    <row r="249" spans="5:7" x14ac:dyDescent="0.25">
      <c r="E249" s="11">
        <f t="shared" si="25"/>
        <v>-63</v>
      </c>
      <c r="F249" s="11">
        <f t="shared" si="26"/>
        <v>-43.473704098144609</v>
      </c>
      <c r="G249" s="11">
        <f t="shared" si="27"/>
        <v>-43.605780645802852</v>
      </c>
    </row>
    <row r="250" spans="5:7" x14ac:dyDescent="0.25">
      <c r="E250" s="11">
        <f t="shared" si="25"/>
        <v>-62</v>
      </c>
      <c r="F250" s="11">
        <f t="shared" si="26"/>
        <v>-43.814943340768146</v>
      </c>
      <c r="G250" s="11">
        <f t="shared" si="27"/>
        <v>-43.486810310293926</v>
      </c>
    </row>
    <row r="251" spans="5:7" x14ac:dyDescent="0.25">
      <c r="E251" s="11">
        <f t="shared" si="25"/>
        <v>-61</v>
      </c>
      <c r="F251" s="11">
        <f t="shared" si="26"/>
        <v>-44.164969257010583</v>
      </c>
      <c r="G251" s="11">
        <f t="shared" si="27"/>
        <v>-43.36373349409881</v>
      </c>
    </row>
    <row r="252" spans="5:7" x14ac:dyDescent="0.25">
      <c r="E252" s="11">
        <f t="shared" si="25"/>
        <v>-60</v>
      </c>
      <c r="F252" s="11">
        <f t="shared" si="26"/>
        <v>-44.517427025984112</v>
      </c>
      <c r="G252" s="11">
        <f t="shared" si="27"/>
        <v>-43.236403537192999</v>
      </c>
    </row>
    <row r="253" spans="5:7" x14ac:dyDescent="0.25">
      <c r="E253" s="11">
        <f t="shared" si="25"/>
        <v>-59</v>
      </c>
      <c r="F253" s="11">
        <f t="shared" si="26"/>
        <v>-44.866007972585635</v>
      </c>
      <c r="G253" s="11">
        <f t="shared" si="27"/>
        <v>-43.104673779551987</v>
      </c>
    </row>
    <row r="254" spans="5:7" x14ac:dyDescent="0.25">
      <c r="E254" s="11">
        <f t="shared" si="25"/>
        <v>-58</v>
      </c>
      <c r="F254" s="11">
        <f t="shared" si="26"/>
        <v>-45.204504176674618</v>
      </c>
      <c r="G254" s="11">
        <f t="shared" si="27"/>
        <v>-42.968397561151264</v>
      </c>
    </row>
    <row r="255" spans="5:7" x14ac:dyDescent="0.25">
      <c r="E255" s="11">
        <f t="shared" si="25"/>
        <v>-57</v>
      </c>
      <c r="F255" s="11">
        <f t="shared" si="26"/>
        <v>-45.526858129821797</v>
      </c>
      <c r="G255" s="11">
        <f t="shared" si="27"/>
        <v>-42.827428221966329</v>
      </c>
    </row>
    <row r="256" spans="5:7" x14ac:dyDescent="0.25">
      <c r="E256" s="11">
        <f t="shared" si="25"/>
        <v>-56</v>
      </c>
      <c r="F256" s="11">
        <f t="shared" si="26"/>
        <v>-45.827207633582987</v>
      </c>
      <c r="G256" s="11">
        <f t="shared" si="27"/>
        <v>-42.681619101972665</v>
      </c>
    </row>
    <row r="257" spans="5:7" x14ac:dyDescent="0.25">
      <c r="E257" s="11">
        <f t="shared" si="25"/>
        <v>-55</v>
      </c>
      <c r="F257" s="11">
        <f t="shared" si="26"/>
        <v>-46.099926130176542</v>
      </c>
      <c r="G257" s="11">
        <f t="shared" si="27"/>
        <v>-42.530823541145764</v>
      </c>
    </row>
    <row r="258" spans="5:7" x14ac:dyDescent="0.25">
      <c r="E258" s="11">
        <f t="shared" si="25"/>
        <v>-54</v>
      </c>
      <c r="F258" s="11">
        <f t="shared" si="26"/>
        <v>-46.339658653364175</v>
      </c>
      <c r="G258" s="11">
        <f t="shared" si="27"/>
        <v>-42.374894879461138</v>
      </c>
    </row>
    <row r="259" spans="5:7" x14ac:dyDescent="0.25">
      <c r="E259" s="11">
        <f t="shared" si="25"/>
        <v>-53</v>
      </c>
      <c r="F259" s="11">
        <f t="shared" si="26"/>
        <v>-46.541353584259596</v>
      </c>
      <c r="G259" s="11">
        <f t="shared" si="27"/>
        <v>-42.213686456894266</v>
      </c>
    </row>
    <row r="260" spans="5:7" x14ac:dyDescent="0.25">
      <c r="E260" s="11">
        <f t="shared" si="25"/>
        <v>-52</v>
      </c>
      <c r="F260" s="11">
        <f t="shared" si="26"/>
        <v>-46.700290393711498</v>
      </c>
      <c r="G260" s="11">
        <f t="shared" si="27"/>
        <v>-42.047051613420642</v>
      </c>
    </row>
    <row r="261" spans="5:7" x14ac:dyDescent="0.25">
      <c r="E261" s="11">
        <f t="shared" si="25"/>
        <v>-51</v>
      </c>
      <c r="F261" s="11">
        <f t="shared" si="26"/>
        <v>-46.81210354983056</v>
      </c>
      <c r="G261" s="11">
        <f t="shared" si="27"/>
        <v>-41.874843689015755</v>
      </c>
    </row>
    <row r="262" spans="5:7" x14ac:dyDescent="0.25">
      <c r="E262" s="11">
        <f t="shared" si="25"/>
        <v>-50</v>
      </c>
      <c r="F262" s="11">
        <f t="shared" si="26"/>
        <v>-46.872802766153285</v>
      </c>
      <c r="G262" s="11">
        <f t="shared" si="27"/>
        <v>-41.696916023655113</v>
      </c>
    </row>
    <row r="263" spans="5:7" x14ac:dyDescent="0.25">
      <c r="E263" s="11">
        <f t="shared" si="25"/>
        <v>-49</v>
      </c>
      <c r="F263" s="11">
        <f t="shared" si="26"/>
        <v>-46.878789762858041</v>
      </c>
      <c r="G263" s="11">
        <f t="shared" si="27"/>
        <v>-41.565532961159505</v>
      </c>
    </row>
    <row r="264" spans="5:7" x14ac:dyDescent="0.25">
      <c r="E264" s="11">
        <f t="shared" si="25"/>
        <v>-48</v>
      </c>
      <c r="F264" s="11">
        <f t="shared" si="26"/>
        <v>-46.826871710372565</v>
      </c>
      <c r="G264" s="11">
        <f t="shared" si="27"/>
        <v>-41.428597079596727</v>
      </c>
    </row>
    <row r="265" spans="5:7" x14ac:dyDescent="0.25">
      <c r="E265" s="11">
        <f t="shared" si="25"/>
        <v>-47</v>
      </c>
      <c r="F265" s="11">
        <f t="shared" si="26"/>
        <v>-46.714271521633989</v>
      </c>
      <c r="G265" s="11">
        <f t="shared" si="27"/>
        <v>-41.286421960879899</v>
      </c>
    </row>
    <row r="266" spans="5:7" x14ac:dyDescent="0.25">
      <c r="E266" s="11">
        <f t="shared" si="25"/>
        <v>-46</v>
      </c>
      <c r="F266" s="11">
        <f t="shared" si="26"/>
        <v>-46.538635156186757</v>
      </c>
      <c r="G266" s="11">
        <f t="shared" si="27"/>
        <v>-41.139321186922089</v>
      </c>
    </row>
    <row r="267" spans="5:7" x14ac:dyDescent="0.25">
      <c r="E267" s="11">
        <f t="shared" si="25"/>
        <v>-45</v>
      </c>
      <c r="F267" s="11">
        <f t="shared" si="26"/>
        <v>-46.298036096225204</v>
      </c>
      <c r="G267" s="11">
        <f t="shared" si="27"/>
        <v>-40.987608339636431</v>
      </c>
    </row>
    <row r="268" spans="5:7" x14ac:dyDescent="0.25">
      <c r="E268" s="11">
        <f t="shared" si="25"/>
        <v>-44</v>
      </c>
      <c r="F268" s="11">
        <f t="shared" si="26"/>
        <v>-45.990977151612526</v>
      </c>
      <c r="G268" s="11">
        <f t="shared" si="27"/>
        <v>-40.831597000936014</v>
      </c>
    </row>
    <row r="269" spans="5:7" x14ac:dyDescent="0.25">
      <c r="E269" s="11">
        <f t="shared" si="25"/>
        <v>-43</v>
      </c>
      <c r="F269" s="11">
        <f t="shared" si="26"/>
        <v>-45.616389747828755</v>
      </c>
      <c r="G269" s="11">
        <f t="shared" si="27"/>
        <v>-40.671600752733944</v>
      </c>
    </row>
    <row r="270" spans="5:7" x14ac:dyDescent="0.25">
      <c r="E270" s="11">
        <f t="shared" si="25"/>
        <v>-42</v>
      </c>
      <c r="F270" s="11">
        <f t="shared" si="26"/>
        <v>-45.173630847725271</v>
      </c>
      <c r="G270" s="11">
        <f t="shared" si="27"/>
        <v>-40.507933176943325</v>
      </c>
    </row>
    <row r="271" spans="5:7" x14ac:dyDescent="0.25">
      <c r="E271" s="11">
        <f t="shared" si="25"/>
        <v>-41</v>
      </c>
      <c r="F271" s="11">
        <f t="shared" si="26"/>
        <v>-44.662477654884718</v>
      </c>
      <c r="G271" s="11">
        <f t="shared" si="27"/>
        <v>-40.340907855477255</v>
      </c>
    </row>
    <row r="272" spans="5:7" x14ac:dyDescent="0.25">
      <c r="E272" s="11">
        <f t="shared" si="25"/>
        <v>-40</v>
      </c>
      <c r="F272" s="11">
        <f t="shared" si="26"/>
        <v>-44.083120243309644</v>
      </c>
      <c r="G272" s="11">
        <f t="shared" si="27"/>
        <v>-40.170838370248845</v>
      </c>
    </row>
    <row r="273" spans="5:7" x14ac:dyDescent="0.25">
      <c r="E273" s="11">
        <f t="shared" si="25"/>
        <v>-39</v>
      </c>
      <c r="F273" s="11">
        <f t="shared" si="26"/>
        <v>-43.436152255085027</v>
      </c>
      <c r="G273" s="11">
        <f t="shared" si="27"/>
        <v>-39.998038303171192</v>
      </c>
    </row>
    <row r="274" spans="5:7" x14ac:dyDescent="0.25">
      <c r="E274" s="11">
        <f t="shared" si="25"/>
        <v>-38</v>
      </c>
      <c r="F274" s="11">
        <f t="shared" si="26"/>
        <v>-42.722559804583319</v>
      </c>
      <c r="G274" s="11">
        <f t="shared" si="27"/>
        <v>-39.822821236157395</v>
      </c>
    </row>
    <row r="275" spans="5:7" x14ac:dyDescent="0.25">
      <c r="E275" s="11">
        <f t="shared" si="25"/>
        <v>-37</v>
      </c>
      <c r="F275" s="11">
        <f t="shared" si="26"/>
        <v>-41.943708724704052</v>
      </c>
      <c r="G275" s="11">
        <f t="shared" si="27"/>
        <v>-39.645500751120565</v>
      </c>
    </row>
    <row r="276" spans="5:7" x14ac:dyDescent="0.25">
      <c r="E276" s="11">
        <f t="shared" si="25"/>
        <v>-36</v>
      </c>
      <c r="F276" s="11">
        <f t="shared" si="26"/>
        <v>-41.101330287561986</v>
      </c>
      <c r="G276" s="11">
        <f t="shared" si="27"/>
        <v>-39.466390429973806</v>
      </c>
    </row>
    <row r="277" spans="5:7" x14ac:dyDescent="0.25">
      <c r="E277" s="11">
        <f t="shared" si="25"/>
        <v>-35</v>
      </c>
      <c r="F277" s="11">
        <f t="shared" si="26"/>
        <v>-40.197505528961855</v>
      </c>
      <c r="G277" s="11">
        <f t="shared" si="27"/>
        <v>-39.285803854630217</v>
      </c>
    </row>
    <row r="278" spans="5:7" x14ac:dyDescent="0.25">
      <c r="E278" s="11">
        <f t="shared" si="25"/>
        <v>-34</v>
      </c>
      <c r="F278" s="11">
        <f t="shared" si="26"/>
        <v>-39.234648302920093</v>
      </c>
      <c r="G278" s="11">
        <f t="shared" si="27"/>
        <v>-39.104054607002894</v>
      </c>
    </row>
    <row r="279" spans="5:7" x14ac:dyDescent="0.25">
      <c r="E279" s="11">
        <f t="shared" si="25"/>
        <v>-33</v>
      </c>
      <c r="F279" s="11">
        <f t="shared" si="26"/>
        <v>-38.215487189417203</v>
      </c>
      <c r="G279" s="11">
        <f t="shared" si="27"/>
        <v>-38.921456269004949</v>
      </c>
    </row>
    <row r="280" spans="5:7" x14ac:dyDescent="0.25">
      <c r="E280" s="11">
        <f t="shared" si="25"/>
        <v>-32</v>
      </c>
      <c r="F280" s="11">
        <f t="shared" si="26"/>
        <v>-37.143046375487224</v>
      </c>
      <c r="G280" s="11">
        <f t="shared" si="27"/>
        <v>-38.738322422549487</v>
      </c>
    </row>
    <row r="281" spans="5:7" x14ac:dyDescent="0.25">
      <c r="E281" s="11">
        <f t="shared" si="25"/>
        <v>-31</v>
      </c>
      <c r="F281" s="11">
        <f t="shared" si="26"/>
        <v>-36.020625626673976</v>
      </c>
      <c r="G281" s="11">
        <f t="shared" si="27"/>
        <v>-38.554966649549606</v>
      </c>
    </row>
    <row r="282" spans="5:7" x14ac:dyDescent="0.25">
      <c r="E282" s="11">
        <f t="shared" si="25"/>
        <v>-30</v>
      </c>
      <c r="F282" s="11">
        <f t="shared" si="26"/>
        <v>-34.851779462806583</v>
      </c>
      <c r="G282" s="11">
        <f t="shared" si="27"/>
        <v>-38.371702531918402</v>
      </c>
    </row>
    <row r="283" spans="5:7" x14ac:dyDescent="0.25">
      <c r="E283" s="11">
        <f t="shared" si="25"/>
        <v>-29</v>
      </c>
      <c r="F283" s="11">
        <f t="shared" si="26"/>
        <v>-33.640295648969804</v>
      </c>
      <c r="G283" s="11">
        <f t="shared" si="27"/>
        <v>-38.188843651568995</v>
      </c>
    </row>
    <row r="284" spans="5:7" x14ac:dyDescent="0.25">
      <c r="E284" s="11">
        <f t="shared" si="25"/>
        <v>-28</v>
      </c>
      <c r="F284" s="11">
        <f t="shared" si="26"/>
        <v>-32.390173109467725</v>
      </c>
      <c r="G284" s="11">
        <f t="shared" si="27"/>
        <v>-38.006703590414475</v>
      </c>
    </row>
    <row r="285" spans="5:7" x14ac:dyDescent="0.25">
      <c r="E285" s="11">
        <f t="shared" si="25"/>
        <v>-27</v>
      </c>
      <c r="F285" s="11">
        <f t="shared" si="26"/>
        <v>-31.105599369502425</v>
      </c>
      <c r="G285" s="11">
        <f t="shared" si="27"/>
        <v>-37.825595930367939</v>
      </c>
    </row>
    <row r="286" spans="5:7" x14ac:dyDescent="0.25">
      <c r="E286" s="11">
        <f t="shared" si="25"/>
        <v>-26</v>
      </c>
      <c r="F286" s="11">
        <f t="shared" si="26"/>
        <v>-29.790927626211872</v>
      </c>
      <c r="G286" s="11">
        <f t="shared" si="27"/>
        <v>-37.645834253342514</v>
      </c>
    </row>
    <row r="287" spans="5:7" x14ac:dyDescent="0.25">
      <c r="E287" s="11">
        <f t="shared" ref="E287:E350" si="28">E80</f>
        <v>-25</v>
      </c>
      <c r="F287" s="11">
        <f t="shared" ref="F287:F350" si="29">$H$217*0+E287*$I$217+E287^2*$J$217+E287^3*$K$217+E287^4*$L$217+E287^5*$M$217+E287^6*$N$217+E287^7*$O$217+E287^8*$P$217</f>
        <v>-28.45065354763501</v>
      </c>
      <c r="G287" s="11">
        <f t="shared" ref="G287:G350" si="30">F80</f>
        <v>-37.467732141251275</v>
      </c>
    </row>
    <row r="288" spans="5:7" x14ac:dyDescent="0.25">
      <c r="E288" s="11">
        <f t="shared" si="28"/>
        <v>-24</v>
      </c>
      <c r="F288" s="11">
        <f t="shared" si="29"/>
        <v>-27.089391895094</v>
      </c>
      <c r="G288" s="11">
        <f t="shared" si="30"/>
        <v>-37.291414253640276</v>
      </c>
    </row>
    <row r="289" spans="5:7" x14ac:dyDescent="0.25">
      <c r="E289" s="11">
        <f t="shared" si="28"/>
        <v>-23</v>
      </c>
      <c r="F289" s="11">
        <f t="shared" si="29"/>
        <v>-25.711853061407652</v>
      </c>
      <c r="G289" s="11">
        <f t="shared" si="30"/>
        <v>-37.116249560587271</v>
      </c>
    </row>
    <row r="290" spans="5:7" x14ac:dyDescent="0.25">
      <c r="E290" s="11">
        <f t="shared" si="28"/>
        <v>-22</v>
      </c>
      <c r="F290" s="11">
        <f t="shared" si="29"/>
        <v>-24.322819614272092</v>
      </c>
      <c r="G290" s="11">
        <f t="shared" si="30"/>
        <v>-36.941418109802967</v>
      </c>
    </row>
    <row r="291" spans="5:7" x14ac:dyDescent="0.25">
      <c r="E291" s="11">
        <f t="shared" si="28"/>
        <v>-21</v>
      </c>
      <c r="F291" s="11">
        <f t="shared" si="29"/>
        <v>-22.927122931068453</v>
      </c>
      <c r="G291" s="11">
        <f t="shared" si="30"/>
        <v>-36.766099948998033</v>
      </c>
    </row>
    <row r="292" spans="5:7" x14ac:dyDescent="0.25">
      <c r="E292" s="11">
        <f t="shared" si="28"/>
        <v>-20</v>
      </c>
      <c r="F292" s="11">
        <f t="shared" si="29"/>
        <v>-21.529620008279867</v>
      </c>
      <c r="G292" s="11">
        <f t="shared" si="30"/>
        <v>-36.589475125883204</v>
      </c>
    </row>
    <row r="293" spans="5:7" x14ac:dyDescent="0.25">
      <c r="E293" s="11">
        <f t="shared" si="28"/>
        <v>-19</v>
      </c>
      <c r="F293" s="11">
        <f t="shared" si="29"/>
        <v>-20.135170525623419</v>
      </c>
      <c r="G293" s="11">
        <f t="shared" si="30"/>
        <v>-36.410723688169142</v>
      </c>
    </row>
    <row r="294" spans="5:7" x14ac:dyDescent="0.25">
      <c r="E294" s="11">
        <f t="shared" si="28"/>
        <v>-18</v>
      </c>
      <c r="F294" s="11">
        <f t="shared" si="29"/>
        <v>-18.748614241925264</v>
      </c>
      <c r="G294" s="11">
        <f t="shared" si="30"/>
        <v>-36.229025683566562</v>
      </c>
    </row>
    <row r="295" spans="5:7" x14ac:dyDescent="0.25">
      <c r="E295" s="11">
        <f t="shared" si="28"/>
        <v>-17</v>
      </c>
      <c r="F295" s="11">
        <f t="shared" si="29"/>
        <v>-17.374748796690639</v>
      </c>
      <c r="G295" s="11">
        <f t="shared" si="30"/>
        <v>-36.043561159786151</v>
      </c>
    </row>
    <row r="296" spans="5:7" x14ac:dyDescent="0.25">
      <c r="E296" s="11">
        <f t="shared" si="28"/>
        <v>-16</v>
      </c>
      <c r="F296" s="11">
        <f t="shared" si="29"/>
        <v>-16.018307988243023</v>
      </c>
      <c r="G296" s="11">
        <f t="shared" si="30"/>
        <v>-35.853510164538605</v>
      </c>
    </row>
    <row r="297" spans="5:7" x14ac:dyDescent="0.25">
      <c r="E297" s="11">
        <f t="shared" si="28"/>
        <v>-15</v>
      </c>
      <c r="F297" s="11">
        <f t="shared" si="29"/>
        <v>-14.683940596229945</v>
      </c>
      <c r="G297" s="11">
        <f t="shared" si="30"/>
        <v>-35.658052745534626</v>
      </c>
    </row>
    <row r="298" spans="5:7" x14ac:dyDescent="0.25">
      <c r="E298" s="11">
        <f t="shared" si="28"/>
        <v>-14</v>
      </c>
      <c r="F298" s="11">
        <f t="shared" si="29"/>
        <v>-13.376189813215868</v>
      </c>
      <c r="G298" s="11">
        <f t="shared" si="30"/>
        <v>-35.456368950484901</v>
      </c>
    </row>
    <row r="299" spans="5:7" x14ac:dyDescent="0.25">
      <c r="E299" s="11">
        <f t="shared" si="28"/>
        <v>-13</v>
      </c>
      <c r="F299" s="11">
        <f t="shared" si="29"/>
        <v>-12.099473347005583</v>
      </c>
      <c r="G299" s="11">
        <f t="shared" si="30"/>
        <v>-35.247638827100133</v>
      </c>
    </row>
    <row r="300" spans="5:7" x14ac:dyDescent="0.25">
      <c r="E300" s="11">
        <f t="shared" si="28"/>
        <v>-12</v>
      </c>
      <c r="F300" s="11">
        <f t="shared" si="29"/>
        <v>-10.858064252264485</v>
      </c>
      <c r="G300" s="11">
        <f t="shared" si="30"/>
        <v>-35.031042423091009</v>
      </c>
    </row>
    <row r="301" spans="5:7" x14ac:dyDescent="0.25">
      <c r="E301" s="11">
        <f t="shared" si="28"/>
        <v>-11</v>
      </c>
      <c r="F301" s="11">
        <f t="shared" si="29"/>
        <v>-9.6560725469251789</v>
      </c>
      <c r="G301" s="11">
        <f t="shared" si="30"/>
        <v>-34.805759786168238</v>
      </c>
    </row>
    <row r="302" spans="5:7" x14ac:dyDescent="0.25">
      <c r="E302" s="11">
        <f t="shared" si="28"/>
        <v>-10</v>
      </c>
      <c r="F302" s="11">
        <f t="shared" si="29"/>
        <v>-8.4974276657927934</v>
      </c>
      <c r="G302" s="11">
        <f t="shared" si="30"/>
        <v>-34.570970964042495</v>
      </c>
    </row>
    <row r="303" spans="5:7" x14ac:dyDescent="0.25">
      <c r="E303" s="11">
        <f t="shared" si="28"/>
        <v>-9</v>
      </c>
      <c r="F303" s="11">
        <f t="shared" si="29"/>
        <v>-7.3858618006844159</v>
      </c>
      <c r="G303" s="11">
        <f t="shared" si="30"/>
        <v>-34.325856004424494</v>
      </c>
    </row>
    <row r="304" spans="5:7" x14ac:dyDescent="0.25">
      <c r="E304" s="11">
        <f t="shared" si="28"/>
        <v>-8</v>
      </c>
      <c r="F304" s="11">
        <f t="shared" si="29"/>
        <v>-6.3248941733609643</v>
      </c>
      <c r="G304" s="11">
        <f t="shared" si="30"/>
        <v>-34.069594955024925</v>
      </c>
    </row>
    <row r="305" spans="5:7" x14ac:dyDescent="0.25">
      <c r="E305" s="11">
        <f t="shared" si="28"/>
        <v>-7</v>
      </c>
      <c r="F305" s="11">
        <f t="shared" si="29"/>
        <v>-5.3178162844329604</v>
      </c>
      <c r="G305" s="11">
        <f t="shared" si="30"/>
        <v>-33.801367863554489</v>
      </c>
    </row>
    <row r="306" spans="5:7" x14ac:dyDescent="0.25">
      <c r="E306" s="11">
        <f t="shared" si="28"/>
        <v>-6</v>
      </c>
      <c r="F306" s="11">
        <f t="shared" si="29"/>
        <v>-4.3676781783445122</v>
      </c>
      <c r="G306" s="11">
        <f t="shared" si="30"/>
        <v>-33.520354777723867</v>
      </c>
    </row>
    <row r="307" spans="5:7" x14ac:dyDescent="0.25">
      <c r="E307" s="11">
        <f t="shared" si="28"/>
        <v>-5</v>
      </c>
      <c r="F307" s="11">
        <f t="shared" si="29"/>
        <v>-3.4772757614628818</v>
      </c>
      <c r="G307" s="11">
        <f t="shared" si="30"/>
        <v>-33.225735745243767</v>
      </c>
    </row>
    <row r="308" spans="5:7" x14ac:dyDescent="0.25">
      <c r="E308" s="11">
        <f t="shared" si="28"/>
        <v>-4</v>
      </c>
      <c r="F308" s="11">
        <f t="shared" si="29"/>
        <v>-2.6491392072239903</v>
      </c>
      <c r="G308" s="11">
        <f t="shared" si="30"/>
        <v>-32.916690813824886</v>
      </c>
    </row>
    <row r="309" spans="5:7" x14ac:dyDescent="0.25">
      <c r="E309" s="11">
        <f t="shared" si="28"/>
        <v>-3</v>
      </c>
      <c r="F309" s="11">
        <f t="shared" si="29"/>
        <v>-1.8855224792071983</v>
      </c>
      <c r="G309" s="11">
        <f t="shared" si="30"/>
        <v>-32.592400031177917</v>
      </c>
    </row>
    <row r="310" spans="5:7" x14ac:dyDescent="0.25">
      <c r="E310" s="11">
        <f t="shared" si="28"/>
        <v>-2</v>
      </c>
      <c r="F310" s="11">
        <f t="shared" si="29"/>
        <v>-1.1883939999357116</v>
      </c>
      <c r="G310" s="11">
        <f t="shared" si="30"/>
        <v>-32.252043445013541</v>
      </c>
    </row>
    <row r="311" spans="5:7" x14ac:dyDescent="0.25">
      <c r="E311" s="11">
        <f t="shared" si="28"/>
        <v>-1</v>
      </c>
      <c r="F311" s="11">
        <f t="shared" si="29"/>
        <v>-0.55942849012191875</v>
      </c>
      <c r="G311" s="11">
        <f t="shared" si="30"/>
        <v>-31.894801103042475</v>
      </c>
    </row>
    <row r="312" spans="5:7" x14ac:dyDescent="0.25">
      <c r="E312" s="11">
        <f t="shared" si="28"/>
        <v>0</v>
      </c>
      <c r="F312" s="11">
        <f t="shared" si="29"/>
        <v>0</v>
      </c>
      <c r="G312" s="11">
        <f t="shared" si="30"/>
        <v>-31.519853052975407</v>
      </c>
    </row>
    <row r="313" spans="5:7" x14ac:dyDescent="0.25">
      <c r="E313" s="11">
        <f t="shared" si="28"/>
        <v>1</v>
      </c>
      <c r="F313" s="11">
        <f t="shared" si="29"/>
        <v>0.48882384868888967</v>
      </c>
      <c r="G313" s="11">
        <f t="shared" si="30"/>
        <v>-31.126667810396924</v>
      </c>
    </row>
    <row r="314" spans="5:7" x14ac:dyDescent="0.25">
      <c r="E314" s="11">
        <f t="shared" si="28"/>
        <v>2</v>
      </c>
      <c r="F314" s="11">
        <f t="shared" si="29"/>
        <v>0.90628639457055582</v>
      </c>
      <c r="G314" s="11">
        <f t="shared" si="30"/>
        <v>-30.715867762387184</v>
      </c>
    </row>
    <row r="315" spans="5:7" x14ac:dyDescent="0.25">
      <c r="E315" s="11">
        <f t="shared" si="28"/>
        <v>3</v>
      </c>
      <c r="F315" s="11">
        <f t="shared" si="29"/>
        <v>1.2519452299595217</v>
      </c>
      <c r="G315" s="11">
        <f t="shared" si="30"/>
        <v>-30.288363763900247</v>
      </c>
    </row>
    <row r="316" spans="5:7" x14ac:dyDescent="0.25">
      <c r="E316" s="11">
        <f t="shared" si="28"/>
        <v>4</v>
      </c>
      <c r="F316" s="11">
        <f t="shared" si="29"/>
        <v>1.5256742462943162</v>
      </c>
      <c r="G316" s="11">
        <f t="shared" si="30"/>
        <v>-29.845066669890162</v>
      </c>
    </row>
    <row r="317" spans="5:7" x14ac:dyDescent="0.25">
      <c r="E317" s="11">
        <f t="shared" si="28"/>
        <v>5</v>
      </c>
      <c r="F317" s="11">
        <f t="shared" si="29"/>
        <v>1.7276644254290132</v>
      </c>
      <c r="G317" s="11">
        <f t="shared" si="30"/>
        <v>-29.386887335310995</v>
      </c>
    </row>
    <row r="318" spans="5:7" x14ac:dyDescent="0.25">
      <c r="E318" s="11">
        <f t="shared" si="28"/>
        <v>6</v>
      </c>
      <c r="F318" s="11">
        <f t="shared" si="29"/>
        <v>1.8584233736007487</v>
      </c>
      <c r="G318" s="11">
        <f t="shared" si="30"/>
        <v>-28.914736615116791</v>
      </c>
    </row>
    <row r="319" spans="5:7" x14ac:dyDescent="0.25">
      <c r="E319" s="11">
        <f t="shared" si="28"/>
        <v>7</v>
      </c>
      <c r="F319" s="11">
        <f t="shared" si="29"/>
        <v>1.9187735979699458</v>
      </c>
      <c r="G319" s="11">
        <f t="shared" si="30"/>
        <v>-28.429525364261607</v>
      </c>
    </row>
    <row r="320" spans="5:7" x14ac:dyDescent="0.25">
      <c r="E320" s="11">
        <f t="shared" si="28"/>
        <v>8</v>
      </c>
      <c r="F320" s="11">
        <f t="shared" si="29"/>
        <v>1.9098495287069925</v>
      </c>
      <c r="G320" s="11">
        <f t="shared" si="30"/>
        <v>-27.932164437699502</v>
      </c>
    </row>
    <row r="321" spans="5:7" x14ac:dyDescent="0.25">
      <c r="E321" s="11">
        <f t="shared" si="28"/>
        <v>9</v>
      </c>
      <c r="F321" s="11">
        <f t="shared" si="29"/>
        <v>1.8330932926761228</v>
      </c>
      <c r="G321" s="11">
        <f t="shared" si="30"/>
        <v>-27.42356469038452</v>
      </c>
    </row>
    <row r="322" spans="5:7" x14ac:dyDescent="0.25">
      <c r="E322" s="11">
        <f t="shared" si="28"/>
        <v>10</v>
      </c>
      <c r="F322" s="11">
        <f t="shared" si="29"/>
        <v>1.6902492478442541</v>
      </c>
      <c r="G322" s="11">
        <f t="shared" si="30"/>
        <v>-26.904636977270727</v>
      </c>
    </row>
    <row r="323" spans="5:7" x14ac:dyDescent="0.25">
      <c r="E323" s="11">
        <f t="shared" si="28"/>
        <v>11</v>
      </c>
      <c r="F323" s="11">
        <f t="shared" si="29"/>
        <v>1.4833572906195498</v>
      </c>
      <c r="G323" s="11">
        <f t="shared" si="30"/>
        <v>-26.376292153312171</v>
      </c>
    </row>
    <row r="324" spans="5:7" x14ac:dyDescent="0.25">
      <c r="E324" s="11">
        <f t="shared" si="28"/>
        <v>12</v>
      </c>
      <c r="F324" s="11">
        <f t="shared" si="29"/>
        <v>1.2147449514014743</v>
      </c>
      <c r="G324" s="11">
        <f t="shared" si="30"/>
        <v>-25.839441073462908</v>
      </c>
    </row>
    <row r="325" spans="5:7" x14ac:dyDescent="0.25">
      <c r="E325" s="11">
        <f t="shared" si="28"/>
        <v>13</v>
      </c>
      <c r="F325" s="11">
        <f t="shared" si="29"/>
        <v>0.8870182967011323</v>
      </c>
      <c r="G325" s="11">
        <f t="shared" si="30"/>
        <v>-25.294994592676993</v>
      </c>
    </row>
    <row r="326" spans="5:7" x14ac:dyDescent="0.25">
      <c r="E326" s="11">
        <f t="shared" si="28"/>
        <v>14</v>
      </c>
      <c r="F326" s="11">
        <f t="shared" si="29"/>
        <v>0.50305165926766104</v>
      </c>
      <c r="G326" s="11">
        <f t="shared" si="30"/>
        <v>-24.743863565908484</v>
      </c>
    </row>
    <row r="327" spans="5:7" x14ac:dyDescent="0.25">
      <c r="E327" s="11">
        <f t="shared" si="28"/>
        <v>15</v>
      </c>
      <c r="F327" s="11">
        <f t="shared" si="29"/>
        <v>6.5976220733492144E-2</v>
      </c>
      <c r="G327" s="11">
        <f t="shared" si="30"/>
        <v>-24.186958848111431</v>
      </c>
    </row>
    <row r="328" spans="5:7" x14ac:dyDescent="0.25">
      <c r="E328" s="11">
        <f t="shared" si="28"/>
        <v>16</v>
      </c>
      <c r="F328" s="11">
        <f t="shared" si="29"/>
        <v>-0.42083252563172369</v>
      </c>
      <c r="G328" s="11">
        <f t="shared" si="30"/>
        <v>-23.62519129423989</v>
      </c>
    </row>
    <row r="329" spans="5:7" x14ac:dyDescent="0.25">
      <c r="E329" s="11">
        <f t="shared" si="28"/>
        <v>17</v>
      </c>
      <c r="F329" s="11">
        <f t="shared" si="29"/>
        <v>-0.95376840139172059</v>
      </c>
      <c r="G329" s="11">
        <f t="shared" si="30"/>
        <v>-23.059471759247913</v>
      </c>
    </row>
    <row r="330" spans="5:7" x14ac:dyDescent="0.25">
      <c r="E330" s="11">
        <f t="shared" si="28"/>
        <v>18</v>
      </c>
      <c r="F330" s="11">
        <f t="shared" si="29"/>
        <v>-1.5290092248949285</v>
      </c>
      <c r="G330" s="11">
        <f t="shared" si="30"/>
        <v>-22.490711098089562</v>
      </c>
    </row>
    <row r="331" spans="5:7" x14ac:dyDescent="0.25">
      <c r="E331" s="11">
        <f t="shared" si="28"/>
        <v>19</v>
      </c>
      <c r="F331" s="11">
        <f t="shared" si="29"/>
        <v>-2.14253251188565</v>
      </c>
      <c r="G331" s="11">
        <f t="shared" si="30"/>
        <v>-21.919820165718889</v>
      </c>
    </row>
    <row r="332" spans="5:7" x14ac:dyDescent="0.25">
      <c r="E332" s="11">
        <f t="shared" si="28"/>
        <v>20</v>
      </c>
      <c r="F332" s="11">
        <f t="shared" si="29"/>
        <v>-2.7901321548772979</v>
      </c>
      <c r="G332" s="11">
        <f t="shared" si="30"/>
        <v>-21.347709817089942</v>
      </c>
    </row>
    <row r="333" spans="5:7" x14ac:dyDescent="0.25">
      <c r="E333" s="11">
        <f t="shared" si="28"/>
        <v>21</v>
      </c>
      <c r="F333" s="11">
        <f t="shared" si="29"/>
        <v>-3.4674360383128278</v>
      </c>
      <c r="G333" s="11">
        <f t="shared" si="30"/>
        <v>-20.77529090715678</v>
      </c>
    </row>
    <row r="334" spans="5:7" x14ac:dyDescent="0.25">
      <c r="E334" s="11">
        <f t="shared" si="28"/>
        <v>22</v>
      </c>
      <c r="F334" s="11">
        <f t="shared" si="29"/>
        <v>-4.1699245434605219</v>
      </c>
      <c r="G334" s="11">
        <f t="shared" si="30"/>
        <v>-20.203474290873459</v>
      </c>
    </row>
    <row r="335" spans="5:7" x14ac:dyDescent="0.25">
      <c r="E335" s="11">
        <f t="shared" si="28"/>
        <v>23</v>
      </c>
      <c r="F335" s="11">
        <f t="shared" si="29"/>
        <v>-4.8929498939162546</v>
      </c>
      <c r="G335" s="11">
        <f t="shared" si="30"/>
        <v>-19.633170823194035</v>
      </c>
    </row>
    <row r="336" spans="5:7" x14ac:dyDescent="0.25">
      <c r="E336" s="11">
        <f t="shared" si="28"/>
        <v>24</v>
      </c>
      <c r="F336" s="11">
        <f t="shared" si="29"/>
        <v>-5.6317562895064128</v>
      </c>
      <c r="G336" s="11">
        <f t="shared" si="30"/>
        <v>-19.06529135907256</v>
      </c>
    </row>
    <row r="337" spans="5:7" x14ac:dyDescent="0.25">
      <c r="E337" s="11">
        <f t="shared" si="28"/>
        <v>25</v>
      </c>
      <c r="F337" s="11">
        <f t="shared" si="29"/>
        <v>-6.3815007733085523</v>
      </c>
      <c r="G337" s="11">
        <f t="shared" si="30"/>
        <v>-18.500746753463087</v>
      </c>
    </row>
    <row r="338" spans="5:7" x14ac:dyDescent="0.25">
      <c r="E338" s="11">
        <f t="shared" si="28"/>
        <v>26</v>
      </c>
      <c r="F338" s="11">
        <f t="shared" si="29"/>
        <v>-7.137274773429934</v>
      </c>
      <c r="G338" s="11">
        <f t="shared" si="30"/>
        <v>-17.940447861319676</v>
      </c>
    </row>
    <row r="339" spans="5:7" x14ac:dyDescent="0.25">
      <c r="E339" s="11">
        <f t="shared" si="28"/>
        <v>27</v>
      </c>
      <c r="F339" s="11">
        <f t="shared" si="29"/>
        <v>-7.8941262581070299</v>
      </c>
      <c r="G339" s="11">
        <f t="shared" si="30"/>
        <v>-17.385305537596373</v>
      </c>
    </row>
    <row r="340" spans="5:7" x14ac:dyDescent="0.25">
      <c r="E340" s="11">
        <f t="shared" si="28"/>
        <v>28</v>
      </c>
      <c r="F340" s="11">
        <f t="shared" si="29"/>
        <v>-8.6470824396121451</v>
      </c>
      <c r="G340" s="11">
        <f t="shared" si="30"/>
        <v>-16.836230637247244</v>
      </c>
    </row>
    <row r="341" spans="5:7" x14ac:dyDescent="0.25">
      <c r="E341" s="11">
        <f t="shared" si="28"/>
        <v>29</v>
      </c>
      <c r="F341" s="11">
        <f t="shared" si="29"/>
        <v>-9.3911729593762097</v>
      </c>
      <c r="G341" s="11">
        <f t="shared" si="30"/>
        <v>-16.294134015226334</v>
      </c>
    </row>
    <row r="342" spans="5:7" x14ac:dyDescent="0.25">
      <c r="E342" s="11">
        <f t="shared" si="28"/>
        <v>30</v>
      </c>
      <c r="F342" s="11">
        <f t="shared" si="29"/>
        <v>-10.121453483659824</v>
      </c>
      <c r="G342" s="11">
        <f t="shared" si="30"/>
        <v>-15.759926526487703</v>
      </c>
    </row>
    <row r="343" spans="5:7" x14ac:dyDescent="0.25">
      <c r="E343" s="11">
        <f t="shared" si="28"/>
        <v>31</v>
      </c>
      <c r="F343" s="11">
        <f t="shared" si="29"/>
        <v>-10.833029636027705</v>
      </c>
      <c r="G343" s="11">
        <f t="shared" si="30"/>
        <v>-15.234358199038235</v>
      </c>
    </row>
    <row r="344" spans="5:7" x14ac:dyDescent="0.25">
      <c r="E344" s="11">
        <f t="shared" si="28"/>
        <v>32</v>
      </c>
      <c r="F344" s="11">
        <f t="shared" si="29"/>
        <v>-11.521081189804487</v>
      </c>
      <c r="G344" s="11">
        <f t="shared" si="30"/>
        <v>-14.717535753096168</v>
      </c>
    </row>
    <row r="345" spans="5:7" x14ac:dyDescent="0.25">
      <c r="E345" s="11">
        <f t="shared" si="28"/>
        <v>33</v>
      </c>
      <c r="F345" s="11">
        <f t="shared" si="29"/>
        <v>-12.180886440613079</v>
      </c>
      <c r="G345" s="11">
        <f t="shared" si="30"/>
        <v>-14.209405081932562</v>
      </c>
    </row>
    <row r="346" spans="5:7" x14ac:dyDescent="0.25">
      <c r="E346" s="11">
        <f t="shared" si="28"/>
        <v>34</v>
      </c>
      <c r="F346" s="11">
        <f t="shared" si="29"/>
        <v>-12.807846676019533</v>
      </c>
      <c r="G346" s="11">
        <f t="shared" si="30"/>
        <v>-13.709912078818485</v>
      </c>
    </row>
    <row r="347" spans="5:7" x14ac:dyDescent="0.25">
      <c r="E347" s="11">
        <f t="shared" si="28"/>
        <v>35</v>
      </c>
      <c r="F347" s="11">
        <f t="shared" si="29"/>
        <v>-13.397510656231505</v>
      </c>
      <c r="G347" s="11">
        <f t="shared" si="30"/>
        <v>-13.219002637025</v>
      </c>
    </row>
    <row r="348" spans="5:7" x14ac:dyDescent="0.25">
      <c r="E348" s="11">
        <f t="shared" si="28"/>
        <v>36</v>
      </c>
      <c r="F348" s="11">
        <f t="shared" si="29"/>
        <v>-13.945599016720379</v>
      </c>
      <c r="G348" s="11">
        <f t="shared" si="30"/>
        <v>-12.736622649823172</v>
      </c>
    </row>
    <row r="349" spans="5:7" x14ac:dyDescent="0.25">
      <c r="E349" s="11">
        <f t="shared" si="28"/>
        <v>37</v>
      </c>
      <c r="F349" s="11">
        <f t="shared" si="29"/>
        <v>-14.448028500559998</v>
      </c>
      <c r="G349" s="11">
        <f t="shared" si="30"/>
        <v>-12.262718010484072</v>
      </c>
    </row>
    <row r="350" spans="5:7" x14ac:dyDescent="0.25">
      <c r="E350" s="11">
        <f t="shared" si="28"/>
        <v>38</v>
      </c>
      <c r="F350" s="11">
        <f t="shared" si="29"/>
        <v>-14.900935925198233</v>
      </c>
      <c r="G350" s="11">
        <f t="shared" si="30"/>
        <v>-11.797234612278755</v>
      </c>
    </row>
    <row r="351" spans="5:7" x14ac:dyDescent="0.25">
      <c r="E351" s="11">
        <f t="shared" ref="E351:E414" si="31">E144</f>
        <v>39</v>
      </c>
      <c r="F351" s="11">
        <f t="shared" ref="F351:F414" si="32">$H$217*0+E351*$I$217+E351^2*$J$217+E351^3*$K$217+E351^4*$L$217+E351^5*$M$217+E351^6*$N$217+E351^7*$O$217+E351^8*$P$217</f>
        <v>-15.30070178530003</v>
      </c>
      <c r="G351" s="11">
        <f t="shared" ref="G351:G414" si="33">F144</f>
        <v>-11.340118348478292</v>
      </c>
    </row>
    <row r="352" spans="5:7" x14ac:dyDescent="0.25">
      <c r="E352" s="11">
        <f t="shared" si="31"/>
        <v>40</v>
      </c>
      <c r="F352" s="11">
        <f t="shared" si="32"/>
        <v>-15.643973390224449</v>
      </c>
      <c r="G352" s="11">
        <f t="shared" si="33"/>
        <v>-10.891315112353752</v>
      </c>
    </row>
    <row r="353" spans="5:7" x14ac:dyDescent="0.25">
      <c r="E353" s="11">
        <f t="shared" si="31"/>
        <v>41</v>
      </c>
      <c r="F353" s="11">
        <f t="shared" si="32"/>
        <v>-15.927687431620239</v>
      </c>
      <c r="G353" s="11">
        <f t="shared" si="33"/>
        <v>-10.450770797176192</v>
      </c>
    </row>
    <row r="354" spans="5:7" x14ac:dyDescent="0.25">
      <c r="E354" s="11">
        <f t="shared" si="31"/>
        <v>42</v>
      </c>
      <c r="F354" s="11">
        <f t="shared" si="32"/>
        <v>-16.149091873548201</v>
      </c>
      <c r="G354" s="11">
        <f t="shared" si="33"/>
        <v>-10.018431296216681</v>
      </c>
    </row>
    <row r="355" spans="5:7" x14ac:dyDescent="0.25">
      <c r="E355" s="11">
        <f t="shared" si="31"/>
        <v>43</v>
      </c>
      <c r="F355" s="11">
        <f t="shared" si="32"/>
        <v>-16.305767054461292</v>
      </c>
      <c r="G355" s="11">
        <f t="shared" si="33"/>
        <v>-9.594242502746285</v>
      </c>
    </row>
    <row r="356" spans="5:7" x14ac:dyDescent="0.25">
      <c r="E356" s="11">
        <f t="shared" si="31"/>
        <v>44</v>
      </c>
      <c r="F356" s="11">
        <f t="shared" si="32"/>
        <v>-16.395645887296343</v>
      </c>
      <c r="G356" s="11">
        <f t="shared" si="33"/>
        <v>-9.1781503100360666</v>
      </c>
    </row>
    <row r="357" spans="5:7" x14ac:dyDescent="0.25">
      <c r="E357" s="11">
        <f t="shared" si="31"/>
        <v>45</v>
      </c>
      <c r="F357" s="11">
        <f t="shared" si="32"/>
        <v>-16.417033040854463</v>
      </c>
      <c r="G357" s="11">
        <f t="shared" si="33"/>
        <v>-8.7701006113570976</v>
      </c>
    </row>
    <row r="358" spans="5:7" x14ac:dyDescent="0.25">
      <c r="E358" s="11">
        <f t="shared" si="31"/>
        <v>46</v>
      </c>
      <c r="F358" s="11">
        <f t="shared" si="32"/>
        <v>-16.368622982570191</v>
      </c>
      <c r="G358" s="11">
        <f t="shared" si="33"/>
        <v>-8.3700392999804354</v>
      </c>
    </row>
    <row r="359" spans="5:7" x14ac:dyDescent="0.25">
      <c r="E359" s="11">
        <f t="shared" si="31"/>
        <v>47</v>
      </c>
      <c r="F359" s="11">
        <f t="shared" si="32"/>
        <v>-16.249516759691964</v>
      </c>
      <c r="G359" s="11">
        <f t="shared" si="33"/>
        <v>-7.977912269177148</v>
      </c>
    </row>
    <row r="360" spans="5:7" x14ac:dyDescent="0.25">
      <c r="E360" s="11">
        <f t="shared" si="31"/>
        <v>48</v>
      </c>
      <c r="F360" s="11">
        <f t="shared" si="32"/>
        <v>-16.059237392820414</v>
      </c>
      <c r="G360" s="11">
        <f t="shared" si="33"/>
        <v>-7.5936654122183009</v>
      </c>
    </row>
    <row r="361" spans="5:7" x14ac:dyDescent="0.25">
      <c r="E361" s="11">
        <f t="shared" si="31"/>
        <v>49</v>
      </c>
      <c r="F361" s="11">
        <f t="shared" si="32"/>
        <v>-15.797743752672861</v>
      </c>
      <c r="G361" s="11">
        <f t="shared" si="33"/>
        <v>-7.2172446223749596</v>
      </c>
    </row>
    <row r="362" spans="5:7" x14ac:dyDescent="0.25">
      <c r="E362" s="11">
        <f t="shared" si="31"/>
        <v>50</v>
      </c>
      <c r="F362" s="11">
        <f t="shared" si="32"/>
        <v>-15.465442787866511</v>
      </c>
      <c r="G362" s="11">
        <f t="shared" si="33"/>
        <v>-6.8485957929181875</v>
      </c>
    </row>
    <row r="363" spans="5:7" x14ac:dyDescent="0.25">
      <c r="E363" s="11">
        <f t="shared" si="31"/>
        <v>51</v>
      </c>
      <c r="F363" s="11">
        <f t="shared" si="32"/>
        <v>-15.063199968434597</v>
      </c>
      <c r="G363" s="11">
        <f t="shared" si="33"/>
        <v>-6.4876648171190521</v>
      </c>
    </row>
    <row r="364" spans="5:7" x14ac:dyDescent="0.25">
      <c r="E364" s="11">
        <f t="shared" si="31"/>
        <v>52</v>
      </c>
      <c r="F364" s="11">
        <f t="shared" si="32"/>
        <v>-14.59234780671412</v>
      </c>
      <c r="G364" s="11">
        <f t="shared" si="33"/>
        <v>-6.1343975882486186</v>
      </c>
    </row>
    <row r="365" spans="5:7" x14ac:dyDescent="0.25">
      <c r="E365" s="11">
        <f t="shared" si="31"/>
        <v>53</v>
      </c>
      <c r="F365" s="11">
        <f t="shared" si="32"/>
        <v>-14.05469231416558</v>
      </c>
      <c r="G365" s="11">
        <f t="shared" si="33"/>
        <v>-5.7887399995779507</v>
      </c>
    </row>
    <row r="366" spans="5:7" x14ac:dyDescent="0.25">
      <c r="E366" s="11">
        <f t="shared" si="31"/>
        <v>54</v>
      </c>
      <c r="F366" s="11">
        <f t="shared" si="32"/>
        <v>-13.45251724960878</v>
      </c>
      <c r="G366" s="11">
        <f t="shared" si="33"/>
        <v>-5.4506379443781121</v>
      </c>
    </row>
    <row r="367" spans="5:7" x14ac:dyDescent="0.25">
      <c r="E367" s="11">
        <f t="shared" si="31"/>
        <v>55</v>
      </c>
      <c r="F367" s="11">
        <f t="shared" si="32"/>
        <v>-12.788586011281492</v>
      </c>
      <c r="G367" s="11">
        <f t="shared" si="33"/>
        <v>-5.1200373159201717</v>
      </c>
    </row>
    <row r="368" spans="5:7" x14ac:dyDescent="0.25">
      <c r="E368" s="11">
        <f t="shared" si="31"/>
        <v>56</v>
      </c>
      <c r="F368" s="11">
        <f t="shared" si="32"/>
        <v>-12.066141022051283</v>
      </c>
      <c r="G368" s="11">
        <f t="shared" si="33"/>
        <v>-4.7968840074751924</v>
      </c>
    </row>
    <row r="369" spans="5:7" x14ac:dyDescent="0.25">
      <c r="E369" s="11">
        <f t="shared" si="31"/>
        <v>57</v>
      </c>
      <c r="F369" s="11">
        <f t="shared" si="32"/>
        <v>-11.288900454032595</v>
      </c>
      <c r="G369" s="11">
        <f t="shared" si="33"/>
        <v>-4.4811239123142403</v>
      </c>
    </row>
    <row r="370" spans="5:7" x14ac:dyDescent="0.25">
      <c r="E370" s="11">
        <f t="shared" si="31"/>
        <v>58</v>
      </c>
      <c r="F370" s="11">
        <f t="shared" si="32"/>
        <v>-10.461052135785714</v>
      </c>
      <c r="G370" s="11">
        <f t="shared" si="33"/>
        <v>-4.1727029237083801</v>
      </c>
    </row>
    <row r="371" spans="5:7" x14ac:dyDescent="0.25">
      <c r="E371" s="11">
        <f t="shared" si="31"/>
        <v>59</v>
      </c>
      <c r="F371" s="11">
        <f t="shared" si="32"/>
        <v>-9.5872444821962706</v>
      </c>
      <c r="G371" s="11">
        <f t="shared" si="33"/>
        <v>-3.8715669349286768</v>
      </c>
    </row>
    <row r="372" spans="5:7" x14ac:dyDescent="0.25">
      <c r="E372" s="11">
        <f t="shared" si="31"/>
        <v>60</v>
      </c>
      <c r="F372" s="11">
        <f t="shared" si="32"/>
        <v>-8.672574284056596</v>
      </c>
      <c r="G372" s="11">
        <f t="shared" si="33"/>
        <v>-3.577661839246197</v>
      </c>
    </row>
    <row r="373" spans="5:7" x14ac:dyDescent="0.25">
      <c r="E373" s="11">
        <f t="shared" si="31"/>
        <v>61</v>
      </c>
      <c r="F373" s="11">
        <f t="shared" si="32"/>
        <v>-7.7225711912948327</v>
      </c>
      <c r="G373" s="11">
        <f t="shared" si="33"/>
        <v>-3.2909335299320035</v>
      </c>
    </row>
    <row r="374" spans="5:7" x14ac:dyDescent="0.25">
      <c r="E374" s="11">
        <f t="shared" si="31"/>
        <v>62</v>
      </c>
      <c r="F374" s="11">
        <f t="shared" si="32"/>
        <v>-6.7431787207186282</v>
      </c>
      <c r="G374" s="11">
        <f t="shared" si="33"/>
        <v>-3.0113279002571627</v>
      </c>
    </row>
    <row r="375" spans="5:7" x14ac:dyDescent="0.25">
      <c r="E375" s="11">
        <f t="shared" si="31"/>
        <v>63</v>
      </c>
      <c r="F375" s="11">
        <f t="shared" si="32"/>
        <v>-5.7407316160646076</v>
      </c>
      <c r="G375" s="11">
        <f t="shared" si="33"/>
        <v>-2.7387908434927408</v>
      </c>
    </row>
    <row r="376" spans="5:7" x14ac:dyDescent="0.25">
      <c r="E376" s="11">
        <f t="shared" si="31"/>
        <v>64</v>
      </c>
      <c r="F376" s="11">
        <f t="shared" si="32"/>
        <v>-4.7219293850679485</v>
      </c>
      <c r="G376" s="11">
        <f t="shared" si="33"/>
        <v>-2.4732682529098016</v>
      </c>
    </row>
    <row r="377" spans="5:7" x14ac:dyDescent="0.25">
      <c r="E377" s="11">
        <f t="shared" si="31"/>
        <v>65</v>
      </c>
      <c r="F377" s="11">
        <f t="shared" si="32"/>
        <v>-3.6938058351878702</v>
      </c>
      <c r="G377" s="11">
        <f t="shared" si="33"/>
        <v>-2.2147060217794103</v>
      </c>
    </row>
    <row r="378" spans="5:7" x14ac:dyDescent="0.25">
      <c r="E378" s="11">
        <f t="shared" si="31"/>
        <v>66</v>
      </c>
      <c r="F378" s="11">
        <f t="shared" si="32"/>
        <v>-2.6636944265498101</v>
      </c>
      <c r="G378" s="11">
        <f t="shared" si="33"/>
        <v>-1.963050043372633</v>
      </c>
    </row>
    <row r="379" spans="5:7" x14ac:dyDescent="0.25">
      <c r="E379" s="11">
        <f t="shared" si="31"/>
        <v>67</v>
      </c>
      <c r="F379" s="11">
        <f t="shared" si="32"/>
        <v>-1.6391892575863416</v>
      </c>
      <c r="G379" s="11">
        <f t="shared" si="33"/>
        <v>-1.7182462109605345</v>
      </c>
    </row>
    <row r="380" spans="5:7" x14ac:dyDescent="0.25">
      <c r="E380" s="11">
        <f t="shared" si="31"/>
        <v>68</v>
      </c>
      <c r="F380" s="11">
        <f t="shared" si="32"/>
        <v>-0.62810149578346142</v>
      </c>
      <c r="G380" s="11">
        <f t="shared" si="33"/>
        <v>-1.4802404178141799</v>
      </c>
    </row>
    <row r="381" spans="5:7" x14ac:dyDescent="0.25">
      <c r="E381" s="11">
        <f t="shared" si="31"/>
        <v>69</v>
      </c>
      <c r="F381" s="11">
        <f t="shared" si="32"/>
        <v>0.36158893714010532</v>
      </c>
      <c r="G381" s="11">
        <f t="shared" si="33"/>
        <v>-1.2489785572046341</v>
      </c>
    </row>
    <row r="382" spans="5:7" x14ac:dyDescent="0.25">
      <c r="E382" s="11">
        <f t="shared" si="31"/>
        <v>70</v>
      </c>
      <c r="F382" s="11">
        <f t="shared" si="32"/>
        <v>1.3217866193679058</v>
      </c>
      <c r="G382" s="11">
        <f t="shared" si="33"/>
        <v>-1.0244065224029626</v>
      </c>
    </row>
    <row r="383" spans="5:7" x14ac:dyDescent="0.25">
      <c r="E383" s="11">
        <f t="shared" si="31"/>
        <v>71</v>
      </c>
      <c r="F383" s="11">
        <f t="shared" si="32"/>
        <v>2.2443390192599253</v>
      </c>
      <c r="G383" s="11">
        <f t="shared" si="33"/>
        <v>-0.80647020668023028</v>
      </c>
    </row>
    <row r="384" spans="5:7" x14ac:dyDescent="0.25">
      <c r="E384" s="11">
        <f t="shared" si="31"/>
        <v>72</v>
      </c>
      <c r="F384" s="11">
        <f t="shared" si="32"/>
        <v>3.1211002216700976</v>
      </c>
      <c r="G384" s="11">
        <f t="shared" si="33"/>
        <v>-0.59511550330750262</v>
      </c>
    </row>
    <row r="385" spans="5:7" x14ac:dyDescent="0.25">
      <c r="E385" s="11">
        <f t="shared" si="31"/>
        <v>73</v>
      </c>
      <c r="F385" s="11">
        <f t="shared" si="32"/>
        <v>3.9440001932839337</v>
      </c>
      <c r="G385" s="11">
        <f t="shared" si="33"/>
        <v>-0.39028830555584504</v>
      </c>
    </row>
    <row r="386" spans="5:7" x14ac:dyDescent="0.25">
      <c r="E386" s="11">
        <f t="shared" si="31"/>
        <v>74</v>
      </c>
      <c r="F386" s="11">
        <f t="shared" si="32"/>
        <v>4.705119793034207</v>
      </c>
      <c r="G386" s="11">
        <f t="shared" si="33"/>
        <v>-0.19193450669632295</v>
      </c>
    </row>
    <row r="387" spans="5:7" x14ac:dyDescent="0.25">
      <c r="E387" s="11">
        <f t="shared" si="31"/>
        <v>75</v>
      </c>
      <c r="F387" s="11">
        <f t="shared" si="32"/>
        <v>5.396771736727132</v>
      </c>
      <c r="G387" s="11">
        <f t="shared" si="33"/>
        <v>0</v>
      </c>
    </row>
    <row r="388" spans="5:7" x14ac:dyDescent="0.25">
      <c r="E388" s="11">
        <f t="shared" si="31"/>
        <v>76</v>
      </c>
      <c r="F388" s="11">
        <f t="shared" si="32"/>
        <v>6.011587728090376</v>
      </c>
      <c r="G388" s="11">
        <f t="shared" si="33"/>
        <v>0.1855906138807312</v>
      </c>
    </row>
    <row r="389" spans="5:7" x14ac:dyDescent="0.25">
      <c r="E389" s="11">
        <f t="shared" si="31"/>
        <v>77</v>
      </c>
      <c r="F389" s="11">
        <f t="shared" si="32"/>
        <v>6.542611971528288</v>
      </c>
      <c r="G389" s="11">
        <f t="shared" si="33"/>
        <v>0.36499790476817601</v>
      </c>
    </row>
    <row r="390" spans="5:7" x14ac:dyDescent="0.25">
      <c r="E390" s="11">
        <f t="shared" si="31"/>
        <v>78</v>
      </c>
      <c r="F390" s="11">
        <f t="shared" si="32"/>
        <v>6.9834012849501619</v>
      </c>
      <c r="G390" s="11">
        <f t="shared" si="33"/>
        <v>0.53840373510331363</v>
      </c>
    </row>
    <row r="391" spans="5:7" x14ac:dyDescent="0.25">
      <c r="E391" s="11">
        <f t="shared" si="31"/>
        <v>79</v>
      </c>
      <c r="F391" s="11">
        <f t="shared" si="32"/>
        <v>7.3281320341133949</v>
      </c>
      <c r="G391" s="11">
        <f t="shared" si="33"/>
        <v>0.70598996732712282</v>
      </c>
    </row>
    <row r="392" spans="5:7" x14ac:dyDescent="0.25">
      <c r="E392" s="11">
        <f t="shared" si="31"/>
        <v>80</v>
      </c>
      <c r="F392" s="11">
        <f t="shared" si="32"/>
        <v>7.571714112997185</v>
      </c>
      <c r="G392" s="11">
        <f t="shared" si="33"/>
        <v>0.8679384638805826</v>
      </c>
    </row>
    <row r="393" spans="5:7" x14ac:dyDescent="0.25">
      <c r="E393" s="11">
        <f t="shared" si="31"/>
        <v>81</v>
      </c>
      <c r="F393" s="11">
        <f t="shared" si="32"/>
        <v>7.7099121978047265</v>
      </c>
      <c r="G393" s="11">
        <f t="shared" si="33"/>
        <v>1.0244310872046722</v>
      </c>
    </row>
    <row r="394" spans="5:7" x14ac:dyDescent="0.25">
      <c r="E394" s="11">
        <f t="shared" si="31"/>
        <v>82</v>
      </c>
      <c r="F394" s="11">
        <f t="shared" si="32"/>
        <v>7.7394745052654628</v>
      </c>
      <c r="G394" s="11">
        <f t="shared" si="33"/>
        <v>1.1756496997403705</v>
      </c>
    </row>
    <row r="395" spans="5:7" x14ac:dyDescent="0.25">
      <c r="E395" s="11">
        <f t="shared" si="31"/>
        <v>83</v>
      </c>
      <c r="F395" s="11">
        <f t="shared" si="32"/>
        <v>7.6582692889858492</v>
      </c>
      <c r="G395" s="11">
        <f t="shared" si="33"/>
        <v>1.3217761639286563</v>
      </c>
    </row>
    <row r="396" spans="5:7" x14ac:dyDescent="0.25">
      <c r="E396" s="11">
        <f t="shared" si="31"/>
        <v>84</v>
      </c>
      <c r="F396" s="11">
        <f t="shared" si="32"/>
        <v>7.4654293106760861</v>
      </c>
      <c r="G396" s="11">
        <f t="shared" si="33"/>
        <v>1.4629923422105091</v>
      </c>
    </row>
    <row r="397" spans="5:7" x14ac:dyDescent="0.25">
      <c r="E397" s="11">
        <f t="shared" si="31"/>
        <v>85</v>
      </c>
      <c r="F397" s="11">
        <f t="shared" si="32"/>
        <v>7.161504526154971</v>
      </c>
      <c r="G397" s="11">
        <f t="shared" si="33"/>
        <v>1.5994800970269076</v>
      </c>
    </row>
    <row r="398" spans="5:7" x14ac:dyDescent="0.25">
      <c r="E398" s="11">
        <f t="shared" si="31"/>
        <v>86</v>
      </c>
      <c r="F398" s="11">
        <f t="shared" si="32"/>
        <v>6.7486232291150543</v>
      </c>
      <c r="G398" s="11">
        <f t="shared" si="33"/>
        <v>1.7314212908188309</v>
      </c>
    </row>
    <row r="399" spans="5:7" x14ac:dyDescent="0.25">
      <c r="E399" s="11">
        <f t="shared" si="31"/>
        <v>87</v>
      </c>
      <c r="F399" s="11">
        <f t="shared" si="32"/>
        <v>6.230661898703346</v>
      </c>
      <c r="G399" s="11">
        <f t="shared" si="33"/>
        <v>1.8589977860272577</v>
      </c>
    </row>
    <row r="400" spans="5:7" x14ac:dyDescent="0.25">
      <c r="E400" s="11">
        <f t="shared" si="31"/>
        <v>88</v>
      </c>
      <c r="F400" s="11">
        <f t="shared" si="32"/>
        <v>5.6134240000534419</v>
      </c>
      <c r="G400" s="11">
        <f t="shared" si="33"/>
        <v>1.9823914450931674</v>
      </c>
    </row>
    <row r="401" spans="5:7" x14ac:dyDescent="0.25">
      <c r="E401" s="11">
        <f t="shared" si="31"/>
        <v>89</v>
      </c>
      <c r="F401" s="11">
        <f t="shared" si="32"/>
        <v>4.9048279899793101</v>
      </c>
      <c r="G401" s="11">
        <f t="shared" si="33"/>
        <v>2.1017841304575389</v>
      </c>
    </row>
    <row r="402" spans="5:7" x14ac:dyDescent="0.25">
      <c r="E402" s="11">
        <f t="shared" si="31"/>
        <v>90</v>
      </c>
      <c r="F402" s="11">
        <f t="shared" si="32"/>
        <v>4.115104783121069</v>
      </c>
      <c r="G402" s="11">
        <f t="shared" si="33"/>
        <v>2.2173577045613508</v>
      </c>
    </row>
    <row r="403" spans="5:7" x14ac:dyDescent="0.25">
      <c r="E403" s="11">
        <f t="shared" si="31"/>
        <v>91</v>
      </c>
      <c r="F403" s="11">
        <f t="shared" si="32"/>
        <v>3.2570049369044227</v>
      </c>
      <c r="G403" s="11">
        <f t="shared" si="33"/>
        <v>2.3292940298455829</v>
      </c>
    </row>
    <row r="404" spans="5:7" x14ac:dyDescent="0.25">
      <c r="E404" s="11">
        <f t="shared" si="31"/>
        <v>92</v>
      </c>
      <c r="F404" s="11">
        <f t="shared" si="32"/>
        <v>2.3460158167612235</v>
      </c>
      <c r="G404" s="11">
        <f t="shared" si="33"/>
        <v>2.437774968751214</v>
      </c>
    </row>
    <row r="405" spans="5:7" x14ac:dyDescent="0.25">
      <c r="E405" s="11">
        <f t="shared" si="31"/>
        <v>93</v>
      </c>
      <c r="F405" s="11">
        <f t="shared" si="32"/>
        <v>1.4005890061264381</v>
      </c>
      <c r="G405" s="11">
        <f t="shared" si="33"/>
        <v>2.5429823837192229</v>
      </c>
    </row>
    <row r="406" spans="5:7" x14ac:dyDescent="0.25">
      <c r="E406" s="11">
        <f t="shared" si="31"/>
        <v>94</v>
      </c>
      <c r="F406" s="11">
        <f t="shared" si="32"/>
        <v>0.44237822880808153</v>
      </c>
      <c r="G406" s="11">
        <f t="shared" si="33"/>
        <v>2.6450981371905882</v>
      </c>
    </row>
    <row r="407" spans="5:7" x14ac:dyDescent="0.25">
      <c r="E407" s="11">
        <f t="shared" si="31"/>
        <v>95</v>
      </c>
      <c r="F407" s="11">
        <f t="shared" si="32"/>
        <v>-0.5035119455919812</v>
      </c>
      <c r="G407" s="11">
        <f t="shared" si="33"/>
        <v>2.7443040916062893</v>
      </c>
    </row>
    <row r="408" spans="5:7" x14ac:dyDescent="0.25">
      <c r="E408" s="11">
        <f t="shared" si="31"/>
        <v>96</v>
      </c>
      <c r="F408" s="11">
        <f t="shared" si="32"/>
        <v>-1.4082663394622159</v>
      </c>
      <c r="G408" s="11">
        <f t="shared" si="33"/>
        <v>2.8407821094073058</v>
      </c>
    </row>
    <row r="409" spans="5:7" x14ac:dyDescent="0.25">
      <c r="E409" s="11">
        <f t="shared" si="31"/>
        <v>97</v>
      </c>
      <c r="F409" s="11">
        <f t="shared" si="32"/>
        <v>-2.2390880713381875</v>
      </c>
      <c r="G409" s="11">
        <f t="shared" si="33"/>
        <v>2.9347140530346154</v>
      </c>
    </row>
    <row r="410" spans="5:7" x14ac:dyDescent="0.25">
      <c r="E410" s="11">
        <f t="shared" si="31"/>
        <v>98</v>
      </c>
      <c r="F410" s="11">
        <f t="shared" si="32"/>
        <v>-2.9589158465313403</v>
      </c>
      <c r="G410" s="11">
        <f t="shared" si="33"/>
        <v>3.0262817849291981</v>
      </c>
    </row>
    <row r="411" spans="5:7" x14ac:dyDescent="0.25">
      <c r="E411" s="11">
        <f t="shared" si="31"/>
        <v>99</v>
      </c>
      <c r="F411" s="11">
        <f t="shared" si="32"/>
        <v>-3.526129351244208</v>
      </c>
      <c r="G411" s="11">
        <f t="shared" si="33"/>
        <v>3.1156671675320333</v>
      </c>
    </row>
    <row r="412" spans="5:7" x14ac:dyDescent="0.25">
      <c r="E412" s="11">
        <f t="shared" si="31"/>
        <v>100</v>
      </c>
      <c r="F412" s="11">
        <f t="shared" si="32"/>
        <v>-3.8942424641161324</v>
      </c>
      <c r="G412" s="11">
        <f t="shared" si="33"/>
        <v>3.2030520632840989</v>
      </c>
    </row>
    <row r="413" spans="5:7" x14ac:dyDescent="0.25">
      <c r="E413" s="11">
        <f t="shared" si="31"/>
        <v>101</v>
      </c>
      <c r="F413" s="11">
        <f t="shared" si="32"/>
        <v>-4.0115839960662925</v>
      </c>
      <c r="G413" s="11">
        <f t="shared" si="33"/>
        <v>3.2886183346263742</v>
      </c>
    </row>
    <row r="414" spans="5:7" x14ac:dyDescent="0.25">
      <c r="E414" s="11">
        <f t="shared" si="31"/>
        <v>102</v>
      </c>
      <c r="F414" s="11">
        <f t="shared" si="32"/>
        <v>-3.8209656662148745</v>
      </c>
      <c r="G414" s="11">
        <f t="shared" si="33"/>
        <v>3.3725478439998384</v>
      </c>
    </row>
    <row r="415" spans="5:7" x14ac:dyDescent="0.25">
      <c r="E415" s="11">
        <f t="shared" ref="E415:E422" si="34">E208</f>
        <v>103</v>
      </c>
      <c r="F415" s="11">
        <f t="shared" ref="F415:F422" si="35">$H$217*0+E415*$I$217+E415^2*$J$217+E415^3*$K$217+E415^4*$L$217+E415^5*$M$217+E415^6*$N$217+E415^7*$O$217+E415^8*$P$217</f>
        <v>-3.2593370186016273</v>
      </c>
      <c r="G415" s="11">
        <f t="shared" ref="G415:G422" si="36">F208</f>
        <v>3.455022453845471</v>
      </c>
    </row>
    <row r="416" spans="5:7" x14ac:dyDescent="0.25">
      <c r="E416" s="11">
        <f t="shared" si="34"/>
        <v>104</v>
      </c>
      <c r="F416" s="11">
        <f t="shared" si="35"/>
        <v>-2.2574269813246701</v>
      </c>
      <c r="G416" s="11">
        <f t="shared" si="36"/>
        <v>3.5362240266042502</v>
      </c>
    </row>
    <row r="417" spans="5:7" x14ac:dyDescent="0.25">
      <c r="E417" s="11">
        <f t="shared" si="34"/>
        <v>105</v>
      </c>
      <c r="F417" s="11">
        <f t="shared" si="35"/>
        <v>-0.73937176666936466</v>
      </c>
      <c r="G417" s="11">
        <f t="shared" si="36"/>
        <v>3.6163344247171554</v>
      </c>
    </row>
    <row r="418" spans="5:7" x14ac:dyDescent="0.25">
      <c r="E418" s="11">
        <f t="shared" si="34"/>
        <v>106</v>
      </c>
      <c r="F418" s="11">
        <f t="shared" si="35"/>
        <v>1.3776711923060247</v>
      </c>
      <c r="G418" s="11">
        <f t="shared" si="36"/>
        <v>3.6955355106251657</v>
      </c>
    </row>
    <row r="419" spans="5:7" x14ac:dyDescent="0.25">
      <c r="E419" s="11">
        <f t="shared" si="34"/>
        <v>107</v>
      </c>
      <c r="F419" s="11">
        <f t="shared" si="35"/>
        <v>4.1839235763193301</v>
      </c>
      <c r="G419" s="11">
        <f t="shared" si="36"/>
        <v>3.7740091467692598</v>
      </c>
    </row>
    <row r="420" spans="5:7" x14ac:dyDescent="0.25">
      <c r="E420" s="11">
        <f t="shared" si="34"/>
        <v>108</v>
      </c>
      <c r="F420" s="11">
        <f t="shared" si="35"/>
        <v>7.7774010962193643</v>
      </c>
      <c r="G420" s="11">
        <f t="shared" si="36"/>
        <v>3.8519371955904167</v>
      </c>
    </row>
    <row r="421" spans="5:7" x14ac:dyDescent="0.25">
      <c r="E421" s="11">
        <f t="shared" si="34"/>
        <v>109</v>
      </c>
      <c r="F421" s="11">
        <f t="shared" si="35"/>
        <v>12.26434330490747</v>
      </c>
      <c r="G421" s="11">
        <f t="shared" si="36"/>
        <v>3.9295015195296163</v>
      </c>
    </row>
    <row r="422" spans="5:7" x14ac:dyDescent="0.25">
      <c r="E422" s="11">
        <f t="shared" si="34"/>
        <v>110</v>
      </c>
      <c r="F422" s="11">
        <f t="shared" si="35"/>
        <v>17.759658621644348</v>
      </c>
      <c r="G422" s="11">
        <f t="shared" si="36"/>
        <v>4.0068839810278361</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9.412E-5</v>
      </c>
      <c r="C3" s="2">
        <v>1.76E-4</v>
      </c>
      <c r="D3" s="2">
        <v>-5.3620000000000002E-4</v>
      </c>
      <c r="E3" s="2">
        <v>0</v>
      </c>
      <c r="F3" s="2">
        <v>0</v>
      </c>
      <c r="G3" s="2">
        <v>0</v>
      </c>
      <c r="H3" s="2">
        <v>7.7503479000000003E-5</v>
      </c>
      <c r="I3" s="2">
        <v>1.8645478999999999E-5</v>
      </c>
      <c r="J3" s="2">
        <v>-2.1683746E-4</v>
      </c>
      <c r="K3" s="3"/>
      <c r="L3" s="3">
        <f>-B3/D3</f>
        <v>0.17553151809026482</v>
      </c>
      <c r="M3" s="3"/>
      <c r="N3" s="2">
        <f>IF('Modell einstellen'!$B$1="Voll",H3/0.35,H3/0.35*2)</f>
        <v>2.2143851142857147E-4</v>
      </c>
      <c r="O3" s="2">
        <f>IF('Modell einstellen'!$B$1="Voll",J3/0.35,J3/0.35*2)</f>
        <v>-6.1953560000000004E-4</v>
      </c>
      <c r="P3" s="3">
        <f>-N3/O3</f>
        <v>0.35742661346429722</v>
      </c>
      <c r="Q3" s="3"/>
      <c r="R3" s="3"/>
      <c r="S3" s="3"/>
      <c r="T3" s="3"/>
      <c r="U3" s="3"/>
      <c r="V3" s="3"/>
      <c r="W3" s="3"/>
    </row>
    <row r="4" spans="1:23" x14ac:dyDescent="0.25">
      <c r="A4" s="2">
        <v>1E-14</v>
      </c>
      <c r="B4" s="2">
        <v>9.412E-5</v>
      </c>
      <c r="C4" s="2">
        <v>1.76E-4</v>
      </c>
      <c r="D4" s="2">
        <v>-5.3620000000000002E-4</v>
      </c>
      <c r="E4" s="2">
        <v>0</v>
      </c>
      <c r="F4" s="2">
        <v>0</v>
      </c>
      <c r="G4" s="2">
        <v>0</v>
      </c>
      <c r="H4" s="2">
        <v>7.7505678999999995E-5</v>
      </c>
      <c r="I4" s="2">
        <v>1.8646080999999999E-5</v>
      </c>
      <c r="J4" s="2">
        <v>-2.1683341999999999E-4</v>
      </c>
      <c r="K4" s="3"/>
      <c r="L4" s="3">
        <f t="shared" ref="L4:L33" si="0">-B4/D4</f>
        <v>0.17553151809026482</v>
      </c>
      <c r="M4" s="3"/>
      <c r="N4" s="2">
        <f>IF('Modell einstellen'!$B$1="Voll",H4/0.35,H4/0.35*2)</f>
        <v>2.2144479714285715E-4</v>
      </c>
      <c r="O4" s="2">
        <f>IF('Modell einstellen'!$B$1="Voll",J4/0.35,J4/0.35*2)</f>
        <v>-6.1952405714285716E-4</v>
      </c>
      <c r="P4" s="3">
        <f t="shared" ref="P4:P33" si="1">-N4/O4</f>
        <v>0.35744341900801085</v>
      </c>
      <c r="Q4" s="3"/>
      <c r="R4" s="3"/>
      <c r="S4" s="3"/>
      <c r="T4" s="3"/>
      <c r="U4" s="3"/>
      <c r="V4" s="3"/>
      <c r="W4" s="3"/>
    </row>
    <row r="5" spans="1:23" x14ac:dyDescent="0.25">
      <c r="A5" s="2">
        <v>1E-13</v>
      </c>
      <c r="B5" s="2">
        <v>9.412E-5</v>
      </c>
      <c r="C5" s="2">
        <v>1.76E-4</v>
      </c>
      <c r="D5" s="2">
        <v>-5.3620000000000002E-4</v>
      </c>
      <c r="E5" s="2">
        <v>0</v>
      </c>
      <c r="F5" s="2">
        <v>0</v>
      </c>
      <c r="G5" s="2">
        <v>0</v>
      </c>
      <c r="H5" s="2">
        <v>7.7505983999999996E-5</v>
      </c>
      <c r="I5" s="2">
        <v>1.8646213E-5</v>
      </c>
      <c r="J5" s="2">
        <v>-2.1683423999999999E-4</v>
      </c>
      <c r="K5" s="3"/>
      <c r="L5" s="3">
        <f t="shared" si="0"/>
        <v>0.17553151809026482</v>
      </c>
      <c r="M5" s="3"/>
      <c r="N5" s="2">
        <f>IF('Modell einstellen'!$B$1="Voll",H5/0.35,H5/0.35*2)</f>
        <v>2.2144566857142857E-4</v>
      </c>
      <c r="O5" s="2">
        <f>IF('Modell einstellen'!$B$1="Voll",J5/0.35,J5/0.35*2)</f>
        <v>-6.1952640000000005E-4</v>
      </c>
      <c r="P5" s="3">
        <f t="shared" si="1"/>
        <v>0.35744347387202313</v>
      </c>
      <c r="Q5" s="3"/>
      <c r="R5" s="3"/>
      <c r="S5" s="3"/>
      <c r="T5" s="3"/>
      <c r="U5" s="3"/>
      <c r="V5" s="3"/>
      <c r="W5" s="3"/>
    </row>
    <row r="6" spans="1:23" x14ac:dyDescent="0.25">
      <c r="A6" s="2">
        <v>9.9999999999999998E-13</v>
      </c>
      <c r="B6" s="2">
        <v>9.412E-5</v>
      </c>
      <c r="C6" s="2">
        <v>1.76E-4</v>
      </c>
      <c r="D6" s="2">
        <v>-5.3620000000000002E-4</v>
      </c>
      <c r="E6" s="2">
        <v>0</v>
      </c>
      <c r="F6" s="2">
        <v>0</v>
      </c>
      <c r="G6" s="2">
        <v>0</v>
      </c>
      <c r="H6" s="2">
        <v>7.7506081999999997E-5</v>
      </c>
      <c r="I6" s="2">
        <v>1.8646247E-5</v>
      </c>
      <c r="J6" s="2">
        <v>-2.1683447E-4</v>
      </c>
      <c r="K6" s="3"/>
      <c r="L6" s="3">
        <f t="shared" si="0"/>
        <v>0.17553151809026482</v>
      </c>
      <c r="M6" s="3"/>
      <c r="N6" s="2">
        <f>IF('Modell einstellen'!$B$1="Voll",H6/0.35,H6/0.35*2)</f>
        <v>2.2144594857142859E-4</v>
      </c>
      <c r="O6" s="2">
        <f>IF('Modell einstellen'!$B$1="Voll",J6/0.35,J6/0.35*2)</f>
        <v>-6.1952705714285721E-4</v>
      </c>
      <c r="P6" s="3">
        <f t="shared" si="1"/>
        <v>0.35744354668332945</v>
      </c>
      <c r="Q6" s="3"/>
      <c r="R6" s="3"/>
      <c r="S6" s="3"/>
      <c r="T6" s="3"/>
      <c r="U6" s="3"/>
      <c r="V6" s="3"/>
      <c r="W6" s="3"/>
    </row>
    <row r="7" spans="1:23" x14ac:dyDescent="0.25">
      <c r="A7" s="2">
        <v>9.9999999999999994E-12</v>
      </c>
      <c r="B7" s="2">
        <v>9.412E-5</v>
      </c>
      <c r="C7" s="2">
        <v>1.76E-4</v>
      </c>
      <c r="D7" s="2">
        <v>-5.3620000000000002E-4</v>
      </c>
      <c r="E7" s="2">
        <v>0</v>
      </c>
      <c r="F7" s="2">
        <v>0</v>
      </c>
      <c r="G7" s="2">
        <v>0</v>
      </c>
      <c r="H7" s="2">
        <v>7.7506114000000005E-5</v>
      </c>
      <c r="I7" s="2">
        <v>1.8646257E-5</v>
      </c>
      <c r="J7" s="2">
        <v>-2.1683453999999999E-4</v>
      </c>
      <c r="K7" s="3"/>
      <c r="L7" s="3">
        <f t="shared" si="0"/>
        <v>0.17553151809026482</v>
      </c>
      <c r="M7" s="3"/>
      <c r="N7" s="2">
        <f>IF('Modell einstellen'!$B$1="Voll",H7/0.35,H7/0.35*2)</f>
        <v>2.2144604000000004E-4</v>
      </c>
      <c r="O7" s="2">
        <f>IF('Modell einstellen'!$B$1="Voll",J7/0.35,J7/0.35*2)</f>
        <v>-6.1952725714285717E-4</v>
      </c>
      <c r="P7" s="3">
        <f t="shared" si="1"/>
        <v>0.35744357886893852</v>
      </c>
      <c r="Q7" s="3"/>
      <c r="R7" s="3"/>
      <c r="S7" s="3"/>
      <c r="T7" s="3"/>
      <c r="U7" s="3"/>
      <c r="V7" s="3"/>
      <c r="W7" s="3"/>
    </row>
    <row r="8" spans="1:23" x14ac:dyDescent="0.25">
      <c r="A8" s="2">
        <v>1E-10</v>
      </c>
      <c r="B8" s="2">
        <v>9.412E-5</v>
      </c>
      <c r="C8" s="2">
        <v>1.76E-4</v>
      </c>
      <c r="D8" s="2">
        <v>-5.3620000000000002E-4</v>
      </c>
      <c r="E8" s="2">
        <v>0</v>
      </c>
      <c r="F8" s="2">
        <v>0</v>
      </c>
      <c r="G8" s="2">
        <v>0</v>
      </c>
      <c r="H8" s="2">
        <v>7.7506125000000002E-5</v>
      </c>
      <c r="I8" s="2">
        <v>1.8646259999999999E-5</v>
      </c>
      <c r="J8" s="2">
        <v>-2.1683457E-4</v>
      </c>
      <c r="K8" s="3"/>
      <c r="L8" s="3">
        <f t="shared" si="0"/>
        <v>0.17553151809026482</v>
      </c>
      <c r="M8" s="3"/>
      <c r="N8" s="2">
        <f>IF('Modell einstellen'!$B$1="Voll",H8/0.35,H8/0.35*2)</f>
        <v>2.2144607142857145E-4</v>
      </c>
      <c r="O8" s="2">
        <f>IF('Modell einstellen'!$B$1="Voll",J8/0.35,J8/0.35*2)</f>
        <v>-6.1952734285714288E-4</v>
      </c>
      <c r="P8" s="3">
        <f t="shared" si="1"/>
        <v>0.35744358014499261</v>
      </c>
      <c r="Q8" s="3"/>
      <c r="R8" s="3"/>
      <c r="S8" s="3"/>
      <c r="T8" s="3"/>
      <c r="U8" s="3"/>
      <c r="V8" s="3"/>
      <c r="W8" s="3"/>
    </row>
    <row r="9" spans="1:23" x14ac:dyDescent="0.25">
      <c r="A9" s="2">
        <v>1.0000000000000001E-9</v>
      </c>
      <c r="B9" s="2">
        <v>9.412E-5</v>
      </c>
      <c r="C9" s="2">
        <v>1.76E-4</v>
      </c>
      <c r="D9" s="2">
        <v>-5.3620000000000002E-4</v>
      </c>
      <c r="E9" s="2">
        <v>0</v>
      </c>
      <c r="F9" s="2">
        <v>0</v>
      </c>
      <c r="G9" s="2">
        <v>0</v>
      </c>
      <c r="H9" s="2">
        <v>7.7506128000000003E-5</v>
      </c>
      <c r="I9" s="2">
        <v>1.8646261000000001E-5</v>
      </c>
      <c r="J9" s="2">
        <v>-2.1683457999999999E-4</v>
      </c>
      <c r="K9" s="3"/>
      <c r="L9" s="3">
        <f t="shared" si="0"/>
        <v>0.17553151809026482</v>
      </c>
      <c r="M9" s="3"/>
      <c r="N9" s="2">
        <f>IF('Modell einstellen'!$B$1="Voll",H9/0.35,H9/0.35*2)</f>
        <v>2.2144608000000001E-4</v>
      </c>
      <c r="O9" s="2">
        <f>IF('Modell einstellen'!$B$1="Voll",J9/0.35,J9/0.35*2)</f>
        <v>-6.1952737142857142E-4</v>
      </c>
      <c r="P9" s="3">
        <f t="shared" si="1"/>
        <v>0.35744357749580352</v>
      </c>
      <c r="Q9" s="3"/>
      <c r="R9" s="3"/>
      <c r="S9" s="3"/>
      <c r="T9" s="3"/>
      <c r="U9" s="3"/>
      <c r="V9" s="3"/>
      <c r="W9" s="3"/>
    </row>
    <row r="10" spans="1:23" x14ac:dyDescent="0.25">
      <c r="A10" s="2">
        <v>1E-8</v>
      </c>
      <c r="B10" s="2">
        <v>9.412E-5</v>
      </c>
      <c r="C10" s="2">
        <v>1.76E-4</v>
      </c>
      <c r="D10" s="2">
        <v>-5.3620000000000002E-4</v>
      </c>
      <c r="E10" s="2">
        <v>0</v>
      </c>
      <c r="F10" s="2">
        <v>0</v>
      </c>
      <c r="G10" s="2">
        <v>0</v>
      </c>
      <c r="H10" s="2">
        <v>7.7506129999999995E-5</v>
      </c>
      <c r="I10" s="2">
        <v>1.8646262000000001E-5</v>
      </c>
      <c r="J10" s="2">
        <v>-2.1683457999999999E-4</v>
      </c>
      <c r="K10" s="3"/>
      <c r="L10" s="3">
        <f t="shared" si="0"/>
        <v>0.17553151809026482</v>
      </c>
      <c r="M10" s="3"/>
      <c r="N10" s="2">
        <f>IF('Modell einstellen'!$B$1="Voll",H10/0.35,H10/0.35*2)</f>
        <v>2.2144608571428572E-4</v>
      </c>
      <c r="O10" s="2">
        <f>IF('Modell einstellen'!$B$1="Voll",J10/0.35,J10/0.35*2)</f>
        <v>-6.1952737142857142E-4</v>
      </c>
      <c r="P10" s="3">
        <f t="shared" si="1"/>
        <v>0.35744358671942456</v>
      </c>
      <c r="Q10" s="3"/>
      <c r="R10" s="3"/>
      <c r="S10" s="3"/>
      <c r="T10" s="3"/>
      <c r="U10" s="3"/>
      <c r="V10" s="3"/>
      <c r="W10" s="3"/>
    </row>
    <row r="11" spans="1:23" x14ac:dyDescent="0.25">
      <c r="A11" s="2">
        <v>9.9999999999999995E-8</v>
      </c>
      <c r="B11" s="2">
        <v>9.412E-5</v>
      </c>
      <c r="C11" s="2">
        <v>1.76E-4</v>
      </c>
      <c r="D11" s="2">
        <v>-5.3620000000000002E-4</v>
      </c>
      <c r="E11" s="2">
        <v>0</v>
      </c>
      <c r="F11" s="2">
        <v>0</v>
      </c>
      <c r="G11" s="2">
        <v>0</v>
      </c>
      <c r="H11" s="2">
        <v>7.7506129999999995E-5</v>
      </c>
      <c r="I11" s="2">
        <v>1.8646262000000001E-5</v>
      </c>
      <c r="J11" s="2">
        <v>-2.1683457999999999E-4</v>
      </c>
      <c r="K11" s="3"/>
      <c r="L11" s="3">
        <f t="shared" si="0"/>
        <v>0.17553151809026482</v>
      </c>
      <c r="M11" s="3"/>
      <c r="N11" s="2">
        <f>IF('Modell einstellen'!$B$1="Voll",H11/0.35,H11/0.35*2)</f>
        <v>2.2144608571428572E-4</v>
      </c>
      <c r="O11" s="2">
        <f>IF('Modell einstellen'!$B$1="Voll",J11/0.35,J11/0.35*2)</f>
        <v>-6.1952737142857142E-4</v>
      </c>
      <c r="P11" s="3">
        <f t="shared" si="1"/>
        <v>0.35744358671942456</v>
      </c>
      <c r="Q11" s="3"/>
      <c r="R11" s="3"/>
      <c r="S11" s="3"/>
      <c r="T11" s="3"/>
      <c r="U11" s="3"/>
      <c r="V11" s="3"/>
      <c r="W11" s="3"/>
    </row>
    <row r="12" spans="1:23" x14ac:dyDescent="0.25">
      <c r="A12" s="2">
        <v>9.9999999999999995E-7</v>
      </c>
      <c r="B12" s="2">
        <v>9.412E-5</v>
      </c>
      <c r="C12" s="2">
        <v>1.76E-4</v>
      </c>
      <c r="D12" s="2">
        <v>-5.3620000000000002E-4</v>
      </c>
      <c r="E12" s="2">
        <v>0</v>
      </c>
      <c r="F12" s="2">
        <v>0</v>
      </c>
      <c r="G12" s="2">
        <v>0</v>
      </c>
      <c r="H12" s="2">
        <v>7.7506129999999995E-5</v>
      </c>
      <c r="I12" s="2">
        <v>1.8646262000000001E-5</v>
      </c>
      <c r="J12" s="2">
        <v>-2.1683457999999999E-4</v>
      </c>
      <c r="K12" s="3"/>
      <c r="L12" s="3">
        <f t="shared" si="0"/>
        <v>0.17553151809026482</v>
      </c>
      <c r="M12" s="3"/>
      <c r="N12" s="2">
        <f>IF('Modell einstellen'!$B$1="Voll",H12/0.35,H12/0.35*2)</f>
        <v>2.2144608571428572E-4</v>
      </c>
      <c r="O12" s="2">
        <f>IF('Modell einstellen'!$B$1="Voll",J12/0.35,J12/0.35*2)</f>
        <v>-6.1952737142857142E-4</v>
      </c>
      <c r="P12" s="3">
        <f t="shared" si="1"/>
        <v>0.35744358671942456</v>
      </c>
      <c r="Q12" s="3"/>
      <c r="R12" s="3"/>
      <c r="S12" s="3"/>
      <c r="T12" s="3"/>
      <c r="U12" s="3"/>
      <c r="V12" s="3"/>
      <c r="W12" s="3"/>
    </row>
    <row r="13" spans="1:23" x14ac:dyDescent="0.25">
      <c r="A13" s="2">
        <v>1.0000000000000001E-5</v>
      </c>
      <c r="B13" s="2">
        <v>9.412E-5</v>
      </c>
      <c r="C13" s="2">
        <v>1.76E-4</v>
      </c>
      <c r="D13" s="2">
        <v>-5.3620000000000002E-4</v>
      </c>
      <c r="E13" s="2">
        <v>0</v>
      </c>
      <c r="F13" s="2">
        <v>0</v>
      </c>
      <c r="G13" s="2">
        <v>0</v>
      </c>
      <c r="H13" s="2">
        <v>7.7506129999999995E-5</v>
      </c>
      <c r="I13" s="2">
        <v>1.8646262000000001E-5</v>
      </c>
      <c r="J13" s="2">
        <v>-2.1683457999999999E-4</v>
      </c>
      <c r="K13" s="3"/>
      <c r="L13" s="3">
        <f t="shared" si="0"/>
        <v>0.17553151809026482</v>
      </c>
      <c r="M13" s="3"/>
      <c r="N13" s="2">
        <f>IF('Modell einstellen'!$B$1="Voll",H13/0.35,H13/0.35*2)</f>
        <v>2.2144608571428572E-4</v>
      </c>
      <c r="O13" s="2">
        <f>IF('Modell einstellen'!$B$1="Voll",J13/0.35,J13/0.35*2)</f>
        <v>-6.1952737142857142E-4</v>
      </c>
      <c r="P13" s="3">
        <f t="shared" si="1"/>
        <v>0.35744358671942456</v>
      </c>
      <c r="Q13" s="3"/>
      <c r="R13" s="3"/>
      <c r="S13" s="3"/>
      <c r="T13" s="3"/>
      <c r="U13" s="3"/>
      <c r="V13" s="3"/>
      <c r="W13" s="3"/>
    </row>
    <row r="14" spans="1:23" x14ac:dyDescent="0.25">
      <c r="A14" s="2">
        <v>1E-4</v>
      </c>
      <c r="B14" s="2">
        <v>9.412E-5</v>
      </c>
      <c r="C14" s="2">
        <v>1.76E-4</v>
      </c>
      <c r="D14" s="2">
        <v>-5.3620000000000002E-4</v>
      </c>
      <c r="E14" s="2">
        <v>0</v>
      </c>
      <c r="F14" s="2">
        <v>0</v>
      </c>
      <c r="G14" s="2">
        <v>0</v>
      </c>
      <c r="H14" s="2">
        <v>7.7506132000000001E-5</v>
      </c>
      <c r="I14" s="2">
        <v>1.8646262000000001E-5</v>
      </c>
      <c r="J14" s="2">
        <v>-2.1683457999999999E-4</v>
      </c>
      <c r="K14" s="3"/>
      <c r="L14" s="3">
        <f t="shared" si="0"/>
        <v>0.17553151809026482</v>
      </c>
      <c r="M14" s="3"/>
      <c r="N14" s="2">
        <f>IF('Modell einstellen'!$B$1="Voll",H14/0.35,H14/0.35*2)</f>
        <v>2.2144609142857145E-4</v>
      </c>
      <c r="O14" s="2">
        <f>IF('Modell einstellen'!$B$1="Voll",J14/0.35,J14/0.35*2)</f>
        <v>-6.1952737142857142E-4</v>
      </c>
      <c r="P14" s="3">
        <f t="shared" si="1"/>
        <v>0.35744359594304564</v>
      </c>
      <c r="Q14" s="3"/>
      <c r="R14" s="3"/>
      <c r="S14" s="3"/>
      <c r="T14" s="3"/>
      <c r="U14" s="3"/>
      <c r="V14" s="3"/>
      <c r="W14" s="3"/>
    </row>
    <row r="15" spans="1:23" x14ac:dyDescent="0.25">
      <c r="A15" s="2">
        <v>1E-3</v>
      </c>
      <c r="B15" s="2">
        <v>9.412E-5</v>
      </c>
      <c r="C15" s="2">
        <v>1.76E-4</v>
      </c>
      <c r="D15" s="2">
        <v>-5.3620000000000002E-4</v>
      </c>
      <c r="E15" s="2">
        <v>0</v>
      </c>
      <c r="F15" s="2">
        <v>0</v>
      </c>
      <c r="G15" s="2">
        <v>0</v>
      </c>
      <c r="H15" s="2">
        <v>7.7506143999999993E-5</v>
      </c>
      <c r="I15" s="2">
        <v>1.8646264E-5</v>
      </c>
      <c r="J15" s="2">
        <v>-2.1683459999999999E-4</v>
      </c>
      <c r="K15" s="3"/>
      <c r="L15" s="3">
        <f t="shared" si="0"/>
        <v>0.17553151809026482</v>
      </c>
      <c r="M15" s="3"/>
      <c r="N15" s="2">
        <f>IF('Modell einstellen'!$B$1="Voll",H15/0.35,H15/0.35*2)</f>
        <v>2.2144612571428572E-4</v>
      </c>
      <c r="O15" s="2">
        <f>IF('Modell einstellen'!$B$1="Voll",J15/0.35,J15/0.35*2)</f>
        <v>-6.195274285714286E-4</v>
      </c>
      <c r="P15" s="3">
        <f t="shared" si="1"/>
        <v>0.35744361831552712</v>
      </c>
      <c r="Q15" s="3"/>
      <c r="R15" s="3"/>
      <c r="S15" s="3"/>
      <c r="T15" s="3"/>
      <c r="U15" s="3"/>
      <c r="V15" s="3"/>
      <c r="W15" s="3"/>
    </row>
    <row r="16" spans="1:23" x14ac:dyDescent="0.25">
      <c r="A16" s="2">
        <v>0.01</v>
      </c>
      <c r="B16" s="2">
        <v>9.412E-5</v>
      </c>
      <c r="C16" s="2">
        <v>1.76E-4</v>
      </c>
      <c r="D16" s="2">
        <v>-5.3620000000000002E-4</v>
      </c>
      <c r="E16" s="2">
        <v>0</v>
      </c>
      <c r="F16" s="2">
        <v>0</v>
      </c>
      <c r="G16" s="2">
        <v>0</v>
      </c>
      <c r="H16" s="2">
        <v>7.7506267000000003E-5</v>
      </c>
      <c r="I16" s="2">
        <v>1.8646286999999999E-5</v>
      </c>
      <c r="J16" s="2">
        <v>-2.1683482000000001E-4</v>
      </c>
      <c r="K16" s="3"/>
      <c r="L16" s="3">
        <f t="shared" si="0"/>
        <v>0.17553151809026482</v>
      </c>
      <c r="M16" s="3"/>
      <c r="N16" s="2">
        <f>IF('Modell einstellen'!$B$1="Voll",H16/0.35,H16/0.35*2)</f>
        <v>2.2144647714285716E-4</v>
      </c>
      <c r="O16" s="2">
        <f>IF('Modell einstellen'!$B$1="Voll",J16/0.35,J16/0.35*2)</f>
        <v>-6.1952805714285723E-4</v>
      </c>
      <c r="P16" s="3">
        <f t="shared" si="1"/>
        <v>0.35744382290630256</v>
      </c>
      <c r="Q16" s="3"/>
      <c r="R16" s="3"/>
      <c r="S16" s="3"/>
      <c r="T16" s="3"/>
      <c r="U16" s="3"/>
      <c r="V16" s="3"/>
      <c r="W16" s="3"/>
    </row>
    <row r="17" spans="1:23" x14ac:dyDescent="0.25">
      <c r="A17" s="2">
        <v>0.1</v>
      </c>
      <c r="B17" s="2">
        <v>9.412E-5</v>
      </c>
      <c r="C17" s="2">
        <v>1.76E-4</v>
      </c>
      <c r="D17" s="2">
        <v>-5.3620000000000002E-4</v>
      </c>
      <c r="E17" s="2">
        <v>0</v>
      </c>
      <c r="F17" s="2">
        <v>0</v>
      </c>
      <c r="G17" s="2">
        <v>0</v>
      </c>
      <c r="H17" s="2">
        <v>7.7507495000000003E-5</v>
      </c>
      <c r="I17" s="2">
        <v>1.8646513000000001E-5</v>
      </c>
      <c r="J17" s="2">
        <v>-2.16837E-4</v>
      </c>
      <c r="K17" s="3"/>
      <c r="L17" s="3">
        <f t="shared" si="0"/>
        <v>0.17553151809026482</v>
      </c>
      <c r="M17" s="3"/>
      <c r="N17" s="2">
        <f>IF('Modell einstellen'!$B$1="Voll",H17/0.35,H17/0.35*2)</f>
        <v>2.2144998571428575E-4</v>
      </c>
      <c r="O17" s="2">
        <f>IF('Modell einstellen'!$B$1="Voll",J17/0.35,J17/0.35*2)</f>
        <v>-6.1953428571428571E-4</v>
      </c>
      <c r="P17" s="3">
        <f t="shared" si="1"/>
        <v>0.35744589253679038</v>
      </c>
      <c r="Q17" s="3"/>
      <c r="R17" s="3"/>
      <c r="S17" s="3"/>
      <c r="T17" s="3"/>
      <c r="U17" s="3"/>
      <c r="V17" s="3"/>
      <c r="W17" s="3"/>
    </row>
    <row r="18" spans="1:23" x14ac:dyDescent="0.25">
      <c r="A18" s="2">
        <v>1</v>
      </c>
      <c r="B18" s="2">
        <v>9.412E-5</v>
      </c>
      <c r="C18" s="2">
        <v>1.76E-4</v>
      </c>
      <c r="D18" s="2">
        <v>-5.3620000000000002E-4</v>
      </c>
      <c r="E18" s="2">
        <v>0</v>
      </c>
      <c r="F18" s="2">
        <v>0</v>
      </c>
      <c r="G18" s="2">
        <v>0</v>
      </c>
      <c r="H18" s="2">
        <v>7.7519756000000002E-5</v>
      </c>
      <c r="I18" s="2">
        <v>1.8648768999999999E-5</v>
      </c>
      <c r="J18" s="2">
        <v>-2.1685874999999999E-4</v>
      </c>
      <c r="K18" s="3"/>
      <c r="L18" s="3">
        <f t="shared" si="0"/>
        <v>0.17553151809026482</v>
      </c>
      <c r="M18" s="3"/>
      <c r="N18" s="2">
        <f>IF('Modell einstellen'!$B$1="Voll",H18/0.35,H18/0.35*2)</f>
        <v>2.2148501714285717E-4</v>
      </c>
      <c r="O18" s="2">
        <f>IF('Modell einstellen'!$B$1="Voll",J18/0.35,J18/0.35*2)</f>
        <v>-6.195964285714286E-4</v>
      </c>
      <c r="P18" s="3">
        <f t="shared" si="1"/>
        <v>0.357466581357681</v>
      </c>
      <c r="Q18" s="3"/>
      <c r="R18" s="3"/>
      <c r="S18" s="3"/>
      <c r="T18" s="3"/>
      <c r="U18" s="3"/>
      <c r="V18" s="3"/>
      <c r="W18" s="3"/>
    </row>
    <row r="19" spans="1:23" x14ac:dyDescent="0.25">
      <c r="A19" s="2">
        <v>10</v>
      </c>
      <c r="B19" s="2">
        <v>9.4090000000000002E-5</v>
      </c>
      <c r="C19" s="2">
        <v>1.762E-4</v>
      </c>
      <c r="D19" s="2">
        <v>-5.3649999999999998E-4</v>
      </c>
      <c r="E19" s="2">
        <v>0</v>
      </c>
      <c r="F19" s="2">
        <v>0</v>
      </c>
      <c r="G19" s="2">
        <v>0</v>
      </c>
      <c r="H19" s="2">
        <v>7.7639781000000003E-5</v>
      </c>
      <c r="I19" s="2">
        <v>1.8670849000000002E-5</v>
      </c>
      <c r="J19" s="2">
        <v>-2.1707160000000001E-4</v>
      </c>
      <c r="K19" s="3"/>
      <c r="L19" s="3">
        <f t="shared" si="0"/>
        <v>0.17537744641192918</v>
      </c>
      <c r="M19" s="3"/>
      <c r="N19" s="2">
        <f>IF('Modell einstellen'!$B$1="Voll",H19/0.35,H19/0.35*2)</f>
        <v>2.2182794571428573E-4</v>
      </c>
      <c r="O19" s="2">
        <f>IF('Modell einstellen'!$B$1="Voll",J19/0.35,J19/0.35*2)</f>
        <v>-6.2020457142857152E-4</v>
      </c>
      <c r="P19" s="3">
        <f t="shared" si="1"/>
        <v>0.35766899493070486</v>
      </c>
      <c r="Q19" s="3"/>
      <c r="R19" s="3"/>
      <c r="S19" s="3"/>
      <c r="T19" s="3"/>
      <c r="U19" s="3"/>
      <c r="V19" s="3"/>
      <c r="W19" s="3"/>
    </row>
    <row r="20" spans="1:23" x14ac:dyDescent="0.25">
      <c r="A20" s="2">
        <v>100</v>
      </c>
      <c r="B20" s="2">
        <v>9.3880000000000002E-5</v>
      </c>
      <c r="C20" s="2">
        <v>1.7770000000000001E-4</v>
      </c>
      <c r="D20" s="2">
        <v>-5.3839999999999997E-4</v>
      </c>
      <c r="E20" s="2">
        <v>0</v>
      </c>
      <c r="F20" s="2">
        <v>0</v>
      </c>
      <c r="G20" s="2">
        <v>0</v>
      </c>
      <c r="H20" s="2">
        <v>7.8615143999999999E-5</v>
      </c>
      <c r="I20" s="2">
        <v>1.8850022000000001E-5</v>
      </c>
      <c r="J20" s="2">
        <v>-2.1879996999999999E-4</v>
      </c>
      <c r="K20" s="3"/>
      <c r="L20" s="3">
        <f t="shared" si="0"/>
        <v>0.17436849925705797</v>
      </c>
      <c r="M20" s="3"/>
      <c r="N20" s="2">
        <f>IF('Modell einstellen'!$B$1="Voll",H20/0.35,H20/0.35*2)</f>
        <v>2.2461469714285716E-4</v>
      </c>
      <c r="O20" s="2">
        <f>IF('Modell einstellen'!$B$1="Voll",J20/0.35,J20/0.35*2)</f>
        <v>-6.2514277142857149E-4</v>
      </c>
      <c r="P20" s="3">
        <f t="shared" si="1"/>
        <v>0.35930143866107478</v>
      </c>
      <c r="Q20" s="3"/>
      <c r="R20" s="3"/>
      <c r="S20" s="3"/>
      <c r="T20" s="3"/>
      <c r="U20" s="3"/>
      <c r="V20" s="3"/>
      <c r="W20" s="3"/>
    </row>
    <row r="21" spans="1:23" x14ac:dyDescent="0.25">
      <c r="A21" s="2">
        <v>1000</v>
      </c>
      <c r="B21" s="2">
        <v>9.4240000000000006E-5</v>
      </c>
      <c r="C21" s="2">
        <v>1.8210000000000001E-4</v>
      </c>
      <c r="D21" s="2">
        <v>-5.4469999999999996E-4</v>
      </c>
      <c r="E21" s="2">
        <v>0</v>
      </c>
      <c r="F21" s="2">
        <v>0</v>
      </c>
      <c r="G21" s="2">
        <v>0</v>
      </c>
      <c r="H21" s="2">
        <v>8.1310544000000001E-5</v>
      </c>
      <c r="I21" s="2">
        <v>1.9368717999999999E-5</v>
      </c>
      <c r="J21" s="2">
        <v>-2.2364379999999999E-4</v>
      </c>
      <c r="K21" s="3"/>
      <c r="L21" s="3">
        <f t="shared" si="0"/>
        <v>0.17301266752340741</v>
      </c>
      <c r="M21" s="3"/>
      <c r="N21" s="2">
        <f>IF('Modell einstellen'!$B$1="Voll",H21/0.35,H21/0.35*2)</f>
        <v>2.3231584000000001E-4</v>
      </c>
      <c r="O21" s="2">
        <f>IF('Modell einstellen'!$B$1="Voll",J21/0.35,J21/0.35*2)</f>
        <v>-6.3898228571428574E-4</v>
      </c>
      <c r="P21" s="3">
        <f t="shared" si="1"/>
        <v>0.36357164383720897</v>
      </c>
      <c r="Q21" s="3"/>
      <c r="R21" s="3"/>
      <c r="S21" s="3"/>
      <c r="T21" s="3"/>
      <c r="U21" s="3"/>
      <c r="V21" s="3"/>
      <c r="W21" s="3"/>
    </row>
    <row r="22" spans="1:23" x14ac:dyDescent="0.25">
      <c r="A22" s="2">
        <v>10000</v>
      </c>
      <c r="B22" s="2">
        <v>9.4350000000000003E-5</v>
      </c>
      <c r="C22" s="2">
        <v>1.8709999999999999E-4</v>
      </c>
      <c r="D22" s="2">
        <v>-5.5130000000000001E-4</v>
      </c>
      <c r="E22" s="2">
        <v>0</v>
      </c>
      <c r="F22" s="2">
        <v>0</v>
      </c>
      <c r="G22" s="2">
        <v>0</v>
      </c>
      <c r="H22" s="2">
        <v>8.4231238999999994E-5</v>
      </c>
      <c r="I22" s="2">
        <v>1.9953260000000001E-5</v>
      </c>
      <c r="J22" s="2">
        <v>-2.2892442000000001E-4</v>
      </c>
      <c r="K22" s="3"/>
      <c r="L22" s="3">
        <f t="shared" si="0"/>
        <v>0.17114093959731544</v>
      </c>
      <c r="M22" s="3"/>
      <c r="N22" s="2">
        <f>IF('Modell einstellen'!$B$1="Voll",H22/0.35,H22/0.35*2)</f>
        <v>2.4066068285714286E-4</v>
      </c>
      <c r="O22" s="2">
        <f>IF('Modell einstellen'!$B$1="Voll",J22/0.35,J22/0.35*2)</f>
        <v>-6.5406977142857148E-4</v>
      </c>
      <c r="P22" s="3">
        <f t="shared" si="1"/>
        <v>0.36794344176999549</v>
      </c>
      <c r="Q22" s="3"/>
      <c r="R22" s="3"/>
      <c r="S22" s="3"/>
      <c r="T22" s="3"/>
      <c r="U22" s="3"/>
      <c r="V22" s="3"/>
      <c r="W22" s="3"/>
    </row>
    <row r="23" spans="1:23" x14ac:dyDescent="0.25">
      <c r="A23" s="2">
        <v>100000</v>
      </c>
      <c r="B23" s="2">
        <v>9.6280000000000007E-5</v>
      </c>
      <c r="C23" s="2">
        <v>1.9579999999999999E-4</v>
      </c>
      <c r="D23" s="2">
        <v>-5.6280000000000002E-4</v>
      </c>
      <c r="E23" s="2">
        <v>0</v>
      </c>
      <c r="F23" s="2">
        <v>0</v>
      </c>
      <c r="G23" s="2">
        <v>0</v>
      </c>
      <c r="H23" s="2">
        <v>8.7867564E-5</v>
      </c>
      <c r="I23" s="2">
        <v>2.096882E-5</v>
      </c>
      <c r="J23" s="2">
        <v>-2.362369E-4</v>
      </c>
      <c r="K23" s="3"/>
      <c r="L23" s="3">
        <f t="shared" si="0"/>
        <v>0.17107320540156362</v>
      </c>
      <c r="M23" s="3"/>
      <c r="N23" s="2">
        <f>IF('Modell einstellen'!$B$1="Voll",H23/0.35,H23/0.35*2)</f>
        <v>2.510501828571429E-4</v>
      </c>
      <c r="O23" s="2">
        <f>IF('Modell einstellen'!$B$1="Voll",J23/0.35,J23/0.35*2)</f>
        <v>-6.7496257142857143E-4</v>
      </c>
      <c r="P23" s="3">
        <f t="shared" si="1"/>
        <v>0.37194682117823258</v>
      </c>
      <c r="Q23" s="3"/>
      <c r="R23" s="3"/>
      <c r="S23" s="3"/>
      <c r="T23" s="3"/>
      <c r="U23" s="3"/>
      <c r="V23" s="3"/>
      <c r="W23" s="3"/>
    </row>
    <row r="24" spans="1:23" x14ac:dyDescent="0.25">
      <c r="A24" s="2">
        <v>1000000</v>
      </c>
      <c r="B24" s="2">
        <v>1.043E-4</v>
      </c>
      <c r="C24" s="2">
        <v>2.1379999999999999E-4</v>
      </c>
      <c r="D24" s="2">
        <v>-5.8750000000000002E-4</v>
      </c>
      <c r="E24" s="2">
        <v>0</v>
      </c>
      <c r="F24" s="2">
        <v>0</v>
      </c>
      <c r="G24" s="2">
        <v>0</v>
      </c>
      <c r="H24" s="2">
        <v>9.2598409999999998E-5</v>
      </c>
      <c r="I24" s="2">
        <v>2.3050413000000001E-5</v>
      </c>
      <c r="J24" s="2">
        <v>-2.4774627999999999E-4</v>
      </c>
      <c r="K24" s="3"/>
      <c r="L24" s="3">
        <f t="shared" si="0"/>
        <v>0.17753191489361703</v>
      </c>
      <c r="M24" s="3"/>
      <c r="N24" s="2">
        <f>IF('Modell einstellen'!$B$1="Voll",H24/0.35,H24/0.35*2)</f>
        <v>2.645668857142857E-4</v>
      </c>
      <c r="O24" s="2">
        <f>IF('Modell einstellen'!$B$1="Voll",J24/0.35,J24/0.35*2)</f>
        <v>-7.0784651428571431E-4</v>
      </c>
      <c r="P24" s="3">
        <f t="shared" si="1"/>
        <v>0.37376306921742675</v>
      </c>
      <c r="Q24" s="3"/>
      <c r="R24" s="3"/>
      <c r="S24" s="3"/>
      <c r="T24" s="3"/>
      <c r="U24" s="3"/>
      <c r="V24" s="3"/>
      <c r="W24" s="3"/>
    </row>
    <row r="25" spans="1:23" x14ac:dyDescent="0.25">
      <c r="A25" s="2">
        <v>10000000</v>
      </c>
      <c r="B25" s="2">
        <v>1.1790000000000001E-4</v>
      </c>
      <c r="C25" s="2">
        <v>2.385E-4</v>
      </c>
      <c r="D25" s="2">
        <v>-6.2299999999999996E-4</v>
      </c>
      <c r="E25" s="2">
        <v>0</v>
      </c>
      <c r="F25" s="2">
        <v>0</v>
      </c>
      <c r="G25" s="2">
        <v>0</v>
      </c>
      <c r="H25" s="2">
        <v>9.8108349000000005E-5</v>
      </c>
      <c r="I25" s="2">
        <v>2.5906394999999999E-5</v>
      </c>
      <c r="J25" s="2">
        <v>-2.6231886000000002E-4</v>
      </c>
      <c r="K25" s="3"/>
      <c r="L25" s="3">
        <f t="shared" si="0"/>
        <v>0.18924558587479937</v>
      </c>
      <c r="M25" s="3"/>
      <c r="N25" s="2">
        <f>IF('Modell einstellen'!$B$1="Voll",H25/0.35,H25/0.35*2)</f>
        <v>2.8030956857142862E-4</v>
      </c>
      <c r="O25" s="2">
        <f>IF('Modell einstellen'!$B$1="Voll",J25/0.35,J25/0.35*2)</f>
        <v>-7.4948245714285731E-4</v>
      </c>
      <c r="P25" s="3">
        <f t="shared" si="1"/>
        <v>0.37400417568145877</v>
      </c>
      <c r="Q25" s="3"/>
      <c r="R25" s="3"/>
      <c r="S25" s="3"/>
      <c r="T25" s="3"/>
      <c r="U25" s="3"/>
      <c r="V25" s="3"/>
      <c r="W25" s="3"/>
    </row>
    <row r="26" spans="1:23" x14ac:dyDescent="0.25">
      <c r="A26" s="2">
        <v>100000000</v>
      </c>
      <c r="B26" s="2">
        <v>1.3300000000000001E-4</v>
      </c>
      <c r="C26" s="2">
        <v>2.6610000000000002E-4</v>
      </c>
      <c r="D26" s="2">
        <v>-6.6390000000000004E-4</v>
      </c>
      <c r="E26" s="2">
        <v>0</v>
      </c>
      <c r="F26" s="2">
        <v>0</v>
      </c>
      <c r="G26" s="2">
        <v>0</v>
      </c>
      <c r="H26" s="2">
        <v>1.0562747E-4</v>
      </c>
      <c r="I26" s="2">
        <v>2.918651E-5</v>
      </c>
      <c r="J26" s="2">
        <v>-2.8063570000000002E-4</v>
      </c>
      <c r="K26" s="3"/>
      <c r="L26" s="3">
        <f t="shared" si="0"/>
        <v>0.2003313752071095</v>
      </c>
      <c r="M26" s="3"/>
      <c r="N26" s="2">
        <f>IF('Modell einstellen'!$B$1="Voll",H26/0.35,H26/0.35*2)</f>
        <v>3.0179277142857147E-4</v>
      </c>
      <c r="O26" s="2">
        <f>IF('Modell einstellen'!$B$1="Voll",J26/0.35,J26/0.35*2)</f>
        <v>-8.0181628571428579E-4</v>
      </c>
      <c r="P26" s="3">
        <f t="shared" si="1"/>
        <v>0.3763864326598505</v>
      </c>
      <c r="Q26" s="3"/>
      <c r="R26" s="3"/>
      <c r="S26" s="3"/>
      <c r="T26" s="3"/>
      <c r="U26" s="3"/>
      <c r="V26" s="3"/>
      <c r="W26" s="3"/>
    </row>
    <row r="27" spans="1:23" x14ac:dyDescent="0.25">
      <c r="A27" s="2">
        <v>1000000000</v>
      </c>
      <c r="B27" s="2">
        <v>1.45E-4</v>
      </c>
      <c r="C27" s="2">
        <v>2.9369999999999998E-4</v>
      </c>
      <c r="D27" s="2">
        <v>-7.0319999999999996E-4</v>
      </c>
      <c r="E27" s="2">
        <v>0</v>
      </c>
      <c r="F27" s="2">
        <v>0</v>
      </c>
      <c r="G27" s="2">
        <v>0</v>
      </c>
      <c r="H27" s="2">
        <v>1.1435205E-4</v>
      </c>
      <c r="I27" s="2">
        <v>3.2549114000000001E-5</v>
      </c>
      <c r="J27" s="2">
        <v>-3.0081307999999999E-4</v>
      </c>
      <c r="K27" s="3"/>
      <c r="L27" s="3">
        <f t="shared" si="0"/>
        <v>0.20620022753128556</v>
      </c>
      <c r="M27" s="3"/>
      <c r="N27" s="2">
        <f>IF('Modell einstellen'!$B$1="Voll",H27/0.35,H27/0.35*2)</f>
        <v>3.2672014285714285E-4</v>
      </c>
      <c r="O27" s="2">
        <f>IF('Modell einstellen'!$B$1="Voll",J27/0.35,J27/0.35*2)</f>
        <v>-8.5946594285714285E-4</v>
      </c>
      <c r="P27" s="3">
        <f t="shared" si="1"/>
        <v>0.38014321052794647</v>
      </c>
      <c r="Q27" s="3"/>
      <c r="R27" s="3"/>
      <c r="S27" s="3"/>
      <c r="T27" s="3"/>
      <c r="U27" s="3"/>
      <c r="V27" s="3"/>
      <c r="W27" s="3"/>
    </row>
    <row r="28" spans="1:23" x14ac:dyDescent="0.25">
      <c r="A28" s="2">
        <v>10000000000</v>
      </c>
      <c r="B28" s="2">
        <v>1.5349999999999999E-4</v>
      </c>
      <c r="C28" s="2">
        <v>3.1990000000000002E-4</v>
      </c>
      <c r="D28" s="2">
        <v>-7.3870000000000001E-4</v>
      </c>
      <c r="E28" s="2">
        <v>0</v>
      </c>
      <c r="F28" s="2">
        <v>0</v>
      </c>
      <c r="G28" s="2">
        <v>0</v>
      </c>
      <c r="H28" s="2">
        <v>1.2372368999999999E-4</v>
      </c>
      <c r="I28" s="2">
        <v>3.5836363E-5</v>
      </c>
      <c r="J28" s="2">
        <v>-3.2167303000000001E-4</v>
      </c>
      <c r="K28" s="3"/>
      <c r="L28" s="3">
        <f t="shared" si="0"/>
        <v>0.20779748206308377</v>
      </c>
      <c r="M28" s="3"/>
      <c r="N28" s="2">
        <f>IF('Modell einstellen'!$B$1="Voll",H28/0.35,H28/0.35*2)</f>
        <v>3.5349625714285716E-4</v>
      </c>
      <c r="O28" s="2">
        <f>IF('Modell einstellen'!$B$1="Voll",J28/0.35,J28/0.35*2)</f>
        <v>-9.1906580000000011E-4</v>
      </c>
      <c r="P28" s="3">
        <f t="shared" si="1"/>
        <v>0.38462562434904785</v>
      </c>
      <c r="Q28" s="3"/>
      <c r="R28" s="3"/>
      <c r="S28" s="3"/>
      <c r="T28" s="3"/>
      <c r="U28" s="3"/>
      <c r="V28" s="3"/>
      <c r="W28" s="3"/>
    </row>
    <row r="29" spans="1:23" x14ac:dyDescent="0.25">
      <c r="A29" s="2">
        <v>100000000000</v>
      </c>
      <c r="B29" s="2">
        <v>1.571E-4</v>
      </c>
      <c r="C29" s="2">
        <v>3.478E-4</v>
      </c>
      <c r="D29" s="2">
        <v>-7.7209999999999996E-4</v>
      </c>
      <c r="E29" s="2">
        <v>0</v>
      </c>
      <c r="F29" s="2">
        <v>0</v>
      </c>
      <c r="G29" s="2">
        <v>0</v>
      </c>
      <c r="H29" s="2">
        <v>1.3487562E-4</v>
      </c>
      <c r="I29" s="2">
        <v>3.9441718999999997E-5</v>
      </c>
      <c r="J29" s="2">
        <v>-3.4572961999999999E-4</v>
      </c>
      <c r="K29" s="3"/>
      <c r="L29" s="3">
        <f t="shared" si="0"/>
        <v>0.20347105297241291</v>
      </c>
      <c r="M29" s="3"/>
      <c r="N29" s="2">
        <f>IF('Modell einstellen'!$B$1="Voll",H29/0.35,H29/0.35*2)</f>
        <v>3.8535891428571434E-4</v>
      </c>
      <c r="O29" s="2">
        <f>IF('Modell einstellen'!$B$1="Voll",J29/0.35,J29/0.35*2)</f>
        <v>-9.8779891428571421E-4</v>
      </c>
      <c r="P29" s="3">
        <f t="shared" si="1"/>
        <v>0.39011878704520608</v>
      </c>
      <c r="Q29" s="3"/>
      <c r="R29" s="3"/>
      <c r="S29" s="3"/>
      <c r="T29" s="3"/>
      <c r="U29" s="3"/>
      <c r="V29" s="3"/>
      <c r="W29" s="3"/>
    </row>
    <row r="30" spans="1:23" x14ac:dyDescent="0.25">
      <c r="A30" s="2">
        <v>1000000000000</v>
      </c>
      <c r="B30" s="2">
        <v>1.5440000000000001E-4</v>
      </c>
      <c r="C30" s="2">
        <v>3.7879999999999999E-4</v>
      </c>
      <c r="D30" s="2">
        <v>-8.0320000000000001E-4</v>
      </c>
      <c r="E30" s="2">
        <v>0</v>
      </c>
      <c r="F30" s="2">
        <v>0</v>
      </c>
      <c r="G30" s="2">
        <v>0</v>
      </c>
      <c r="H30" s="2">
        <v>1.4808662000000001E-4</v>
      </c>
      <c r="I30" s="2">
        <v>4.3572835E-5</v>
      </c>
      <c r="J30" s="2">
        <v>-3.7390851000000002E-4</v>
      </c>
      <c r="K30" s="3"/>
      <c r="L30" s="3">
        <f t="shared" si="0"/>
        <v>0.19223107569721118</v>
      </c>
      <c r="M30" s="3"/>
      <c r="N30" s="2">
        <f>IF('Modell einstellen'!$B$1="Voll",H30/0.35,H30/0.35*2)</f>
        <v>4.2310462857142862E-4</v>
      </c>
      <c r="O30" s="2">
        <f>IF('Modell einstellen'!$B$1="Voll",J30/0.35,J30/0.35*2)</f>
        <v>-1.0683100285714287E-3</v>
      </c>
      <c r="P30" s="3">
        <f t="shared" si="1"/>
        <v>0.39605041350890891</v>
      </c>
      <c r="Q30" s="3"/>
      <c r="R30" s="3"/>
      <c r="S30" s="3"/>
      <c r="T30" s="3"/>
      <c r="U30" s="3"/>
      <c r="V30" s="3"/>
      <c r="W30" s="3"/>
    </row>
    <row r="31" spans="1:23" x14ac:dyDescent="0.25">
      <c r="A31" s="2">
        <v>10000000000000</v>
      </c>
      <c r="B31" s="2">
        <v>1.3870000000000001E-4</v>
      </c>
      <c r="C31" s="2">
        <v>4.2279999999999998E-4</v>
      </c>
      <c r="D31" s="2">
        <v>-8.3589999999999999E-4</v>
      </c>
      <c r="E31" s="2">
        <v>0</v>
      </c>
      <c r="F31" s="2">
        <v>0</v>
      </c>
      <c r="G31" s="2">
        <v>0</v>
      </c>
      <c r="H31" s="2">
        <v>1.6799569E-4</v>
      </c>
      <c r="I31" s="2">
        <v>4.9639175000000002E-5</v>
      </c>
      <c r="J31" s="2">
        <v>-4.1599296999999998E-4</v>
      </c>
      <c r="K31" s="3"/>
      <c r="L31" s="3">
        <f t="shared" si="0"/>
        <v>0.16592893886828569</v>
      </c>
      <c r="M31" s="3"/>
      <c r="N31" s="2">
        <f>IF('Modell einstellen'!$B$1="Voll",H31/0.35,H31/0.35*2)</f>
        <v>4.7998768571428572E-4</v>
      </c>
      <c r="O31" s="2">
        <f>IF('Modell einstellen'!$B$1="Voll",J31/0.35,J31/0.35*2)</f>
        <v>-1.1885513428571428E-3</v>
      </c>
      <c r="P31" s="3">
        <f t="shared" si="1"/>
        <v>0.40384261782116176</v>
      </c>
      <c r="Q31" s="3"/>
      <c r="R31" s="3"/>
      <c r="S31" s="3"/>
      <c r="T31" s="3"/>
      <c r="U31" s="3"/>
      <c r="V31" s="3"/>
      <c r="W31" s="3"/>
    </row>
    <row r="32" spans="1:23" x14ac:dyDescent="0.25">
      <c r="A32" s="2">
        <v>100000000000000</v>
      </c>
      <c r="B32" s="2">
        <v>9.5039999999999998E-5</v>
      </c>
      <c r="C32" s="2">
        <v>4.8950000000000003E-4</v>
      </c>
      <c r="D32" s="2">
        <v>-8.6530000000000005E-4</v>
      </c>
      <c r="E32" s="2">
        <v>0</v>
      </c>
      <c r="F32" s="2">
        <v>0</v>
      </c>
      <c r="G32" s="2">
        <v>0</v>
      </c>
      <c r="H32" s="2">
        <v>1.9984399000000001E-4</v>
      </c>
      <c r="I32" s="2">
        <v>5.9228016E-5</v>
      </c>
      <c r="J32" s="2">
        <v>-4.8294788999999998E-4</v>
      </c>
      <c r="K32" s="3"/>
      <c r="L32" s="3">
        <f t="shared" si="0"/>
        <v>0.109834739396741</v>
      </c>
      <c r="M32" s="3"/>
      <c r="N32" s="2">
        <f>IF('Modell einstellen'!$B$1="Voll",H32/0.35,H32/0.35*2)</f>
        <v>5.7098282857142863E-4</v>
      </c>
      <c r="O32" s="2">
        <f>IF('Modell einstellen'!$B$1="Voll",J32/0.35,J32/0.35*2)</f>
        <v>-1.3798511142857142E-3</v>
      </c>
      <c r="P32" s="3">
        <f t="shared" si="1"/>
        <v>0.41380031704869863</v>
      </c>
      <c r="Q32" s="3"/>
      <c r="R32" s="3"/>
      <c r="S32" s="3"/>
      <c r="T32" s="3"/>
      <c r="U32" s="3"/>
      <c r="V32" s="3"/>
      <c r="W32" s="3"/>
    </row>
    <row r="33" spans="1:23" x14ac:dyDescent="0.25">
      <c r="A33" s="2">
        <v>1000000000000000</v>
      </c>
      <c r="B33" s="2">
        <v>-1.208E-5</v>
      </c>
      <c r="C33" s="2">
        <v>5.9389999999999996E-4</v>
      </c>
      <c r="D33" s="2">
        <v>-8.7120000000000003E-4</v>
      </c>
      <c r="E33" s="2">
        <v>0</v>
      </c>
      <c r="F33" s="2">
        <v>0</v>
      </c>
      <c r="G33" s="2">
        <v>0</v>
      </c>
      <c r="H33" s="2">
        <v>2.5420029999999999E-4</v>
      </c>
      <c r="I33" s="2">
        <v>7.5134281000000005E-5</v>
      </c>
      <c r="J33" s="2">
        <v>-5.9551497000000003E-4</v>
      </c>
      <c r="K33" s="3"/>
      <c r="L33" s="3">
        <f t="shared" si="0"/>
        <v>-1.3865932047750228E-2</v>
      </c>
      <c r="M33" s="3"/>
      <c r="N33" s="2">
        <f>IF('Modell einstellen'!$B$1="Voll",H33/0.35,H33/0.35*2)</f>
        <v>7.2628657142857149E-4</v>
      </c>
      <c r="O33" s="2">
        <f>IF('Modell einstellen'!$B$1="Voll",J33/0.35,J33/0.35*2)</f>
        <v>-1.701471342857143E-3</v>
      </c>
      <c r="P33" s="3">
        <f t="shared" si="1"/>
        <v>0.42685795119474496</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9.5149999999999995E-5</v>
      </c>
      <c r="C3" s="3">
        <v>1.772E-4</v>
      </c>
      <c r="D3" s="3">
        <v>-5.3799999999999996E-4</v>
      </c>
      <c r="E3" s="3">
        <v>0</v>
      </c>
      <c r="F3" s="3">
        <v>0</v>
      </c>
      <c r="G3" s="3">
        <v>0</v>
      </c>
      <c r="H3" s="3">
        <v>7.7556930999999994E-5</v>
      </c>
      <c r="I3" s="3">
        <v>1.8769906000000001E-5</v>
      </c>
      <c r="J3" s="3">
        <v>-2.1723734E-4</v>
      </c>
      <c r="L3" s="3">
        <f>-B3/D3</f>
        <v>0.17685873605947955</v>
      </c>
      <c r="M3" s="3"/>
      <c r="N3" s="2">
        <f>IF('Modell einstellen'!$B$1="Voll",H3/0.35,H3/0.35*2)</f>
        <v>2.2159123142857142E-4</v>
      </c>
      <c r="O3" s="2">
        <f>IF('Modell einstellen'!$B$1="Voll",J3/0.35,J3/0.35*2)</f>
        <v>-6.206781142857143E-4</v>
      </c>
      <c r="P3" s="3">
        <f>-N3/O3</f>
        <v>0.35701473328664396</v>
      </c>
    </row>
    <row r="4" spans="1:16" x14ac:dyDescent="0.25">
      <c r="A4" s="3">
        <v>1E-14</v>
      </c>
      <c r="B4" s="3">
        <v>9.5149999999999995E-5</v>
      </c>
      <c r="C4" s="3">
        <v>1.772E-4</v>
      </c>
      <c r="D4" s="3">
        <v>-5.3799999999999996E-4</v>
      </c>
      <c r="E4" s="3">
        <v>0</v>
      </c>
      <c r="F4" s="3">
        <v>0</v>
      </c>
      <c r="G4" s="3">
        <v>0</v>
      </c>
      <c r="H4" s="3">
        <v>7.7559174000000003E-5</v>
      </c>
      <c r="I4" s="3">
        <v>1.8770480000000001E-5</v>
      </c>
      <c r="J4" s="3">
        <v>-2.1723325999999999E-4</v>
      </c>
      <c r="L4" s="3">
        <f t="shared" ref="L4:L33" si="0">-B4/D4</f>
        <v>0.17685873605947955</v>
      </c>
      <c r="M4" s="3"/>
      <c r="N4" s="2">
        <f>IF('Modell einstellen'!$B$1="Voll",H4/0.35,H4/0.35*2)</f>
        <v>2.2159764000000002E-4</v>
      </c>
      <c r="O4" s="2">
        <f>IF('Modell einstellen'!$B$1="Voll",J4/0.35,J4/0.35*2)</f>
        <v>-6.2066645714285718E-4</v>
      </c>
      <c r="P4" s="3">
        <f t="shared" ref="P4:P33" si="1">-N4/O4</f>
        <v>0.35703176392049729</v>
      </c>
    </row>
    <row r="5" spans="1:16" x14ac:dyDescent="0.25">
      <c r="A5" s="3">
        <v>1E-13</v>
      </c>
      <c r="B5" s="3">
        <v>9.5149999999999995E-5</v>
      </c>
      <c r="C5" s="3">
        <v>1.772E-4</v>
      </c>
      <c r="D5" s="3">
        <v>-5.3799999999999996E-4</v>
      </c>
      <c r="E5" s="3">
        <v>0</v>
      </c>
      <c r="F5" s="3">
        <v>0</v>
      </c>
      <c r="G5" s="3">
        <v>0</v>
      </c>
      <c r="H5" s="3">
        <v>7.755948E-5</v>
      </c>
      <c r="I5" s="3">
        <v>1.8770611E-5</v>
      </c>
      <c r="J5" s="3">
        <v>-2.1723407000000001E-4</v>
      </c>
      <c r="L5" s="3">
        <f t="shared" si="0"/>
        <v>0.17685873605947955</v>
      </c>
      <c r="M5" s="3"/>
      <c r="N5" s="2">
        <f>IF('Modell einstellen'!$B$1="Voll",H5/0.35,H5/0.35*2)</f>
        <v>2.2159851428571429E-4</v>
      </c>
      <c r="O5" s="2">
        <f>IF('Modell einstellen'!$B$1="Voll",J5/0.35,J5/0.35*2)</f>
        <v>-6.2066877142857152E-4</v>
      </c>
      <c r="P5" s="3">
        <f t="shared" si="1"/>
        <v>0.35703184127609444</v>
      </c>
    </row>
    <row r="6" spans="1:16" x14ac:dyDescent="0.25">
      <c r="A6" s="3">
        <v>9.9999999999999998E-13</v>
      </c>
      <c r="B6" s="3">
        <v>9.5160000000000004E-5</v>
      </c>
      <c r="C6" s="3">
        <v>1.772E-4</v>
      </c>
      <c r="D6" s="3">
        <v>-5.3799999999999996E-4</v>
      </c>
      <c r="E6" s="3">
        <v>0</v>
      </c>
      <c r="F6" s="3">
        <v>0</v>
      </c>
      <c r="G6" s="3">
        <v>0</v>
      </c>
      <c r="H6" s="3">
        <v>7.7559578000000002E-5</v>
      </c>
      <c r="I6" s="3">
        <v>1.8770644999999999E-5</v>
      </c>
      <c r="J6" s="3">
        <v>-2.1723431E-4</v>
      </c>
      <c r="L6" s="3">
        <f t="shared" si="0"/>
        <v>0.17687732342007437</v>
      </c>
      <c r="M6" s="3"/>
      <c r="N6" s="2">
        <f>IF('Modell einstellen'!$B$1="Voll",H6/0.35,H6/0.35*2)</f>
        <v>2.2159879428571431E-4</v>
      </c>
      <c r="O6" s="2">
        <f>IF('Modell einstellen'!$B$1="Voll",J6/0.35,J6/0.35*2)</f>
        <v>-6.2066945714285722E-4</v>
      </c>
      <c r="P6" s="3">
        <f t="shared" si="1"/>
        <v>0.35703189795387291</v>
      </c>
    </row>
    <row r="7" spans="1:16" x14ac:dyDescent="0.25">
      <c r="A7" s="3">
        <v>9.9999999999999994E-12</v>
      </c>
      <c r="B7" s="3">
        <v>9.5160000000000004E-5</v>
      </c>
      <c r="C7" s="3">
        <v>1.772E-4</v>
      </c>
      <c r="D7" s="3">
        <v>-5.3799999999999996E-4</v>
      </c>
      <c r="E7" s="3">
        <v>0</v>
      </c>
      <c r="F7" s="3">
        <v>0</v>
      </c>
      <c r="G7" s="3">
        <v>0</v>
      </c>
      <c r="H7" s="3">
        <v>7.7559611000000005E-5</v>
      </c>
      <c r="I7" s="3">
        <v>1.8770655E-5</v>
      </c>
      <c r="J7" s="3">
        <v>-2.1723437999999999E-4</v>
      </c>
      <c r="L7" s="3">
        <f t="shared" si="0"/>
        <v>0.17687732342007437</v>
      </c>
      <c r="M7" s="3"/>
      <c r="N7" s="2">
        <f>IF('Modell einstellen'!$B$1="Voll",H7/0.35,H7/0.35*2)</f>
        <v>2.2159888857142861E-4</v>
      </c>
      <c r="O7" s="2">
        <f>IF('Modell einstellen'!$B$1="Voll",J7/0.35,J7/0.35*2)</f>
        <v>-6.2066965714285718E-4</v>
      </c>
      <c r="P7" s="3">
        <f t="shared" si="1"/>
        <v>0.35703193481621098</v>
      </c>
    </row>
    <row r="8" spans="1:16" x14ac:dyDescent="0.25">
      <c r="A8" s="3">
        <v>1E-10</v>
      </c>
      <c r="B8" s="3">
        <v>9.5160000000000004E-5</v>
      </c>
      <c r="C8" s="3">
        <v>1.772E-4</v>
      </c>
      <c r="D8" s="3">
        <v>-5.3799999999999996E-4</v>
      </c>
      <c r="E8" s="3">
        <v>0</v>
      </c>
      <c r="F8" s="3">
        <v>0</v>
      </c>
      <c r="G8" s="3">
        <v>0</v>
      </c>
      <c r="H8" s="3">
        <v>7.7559621000000006E-5</v>
      </c>
      <c r="I8" s="3">
        <v>1.8770658000000002E-5</v>
      </c>
      <c r="J8" s="3">
        <v>-2.1723439999999999E-4</v>
      </c>
      <c r="L8" s="3">
        <f t="shared" si="0"/>
        <v>0.17687732342007437</v>
      </c>
      <c r="M8" s="3"/>
      <c r="N8" s="2">
        <f>IF('Modell einstellen'!$B$1="Voll",H8/0.35,H8/0.35*2)</f>
        <v>2.2159891714285717E-4</v>
      </c>
      <c r="O8" s="2">
        <f>IF('Modell einstellen'!$B$1="Voll",J8/0.35,J8/0.35*2)</f>
        <v>-6.2066971428571425E-4</v>
      </c>
      <c r="P8" s="3">
        <f t="shared" si="1"/>
        <v>0.35703194797877325</v>
      </c>
    </row>
    <row r="9" spans="1:16" x14ac:dyDescent="0.25">
      <c r="A9" s="3">
        <v>1.0000000000000001E-9</v>
      </c>
      <c r="B9" s="3">
        <v>9.5160000000000004E-5</v>
      </c>
      <c r="C9" s="3">
        <v>1.772E-4</v>
      </c>
      <c r="D9" s="3">
        <v>-5.3799999999999996E-4</v>
      </c>
      <c r="E9" s="3">
        <v>0</v>
      </c>
      <c r="F9" s="3">
        <v>0</v>
      </c>
      <c r="G9" s="3">
        <v>0</v>
      </c>
      <c r="H9" s="3">
        <v>7.7559625000000004E-5</v>
      </c>
      <c r="I9" s="3">
        <v>1.8770659000000001E-5</v>
      </c>
      <c r="J9" s="3">
        <v>-2.1723441E-4</v>
      </c>
      <c r="L9" s="3">
        <f t="shared" si="0"/>
        <v>0.17687732342007437</v>
      </c>
      <c r="M9" s="3"/>
      <c r="N9" s="2">
        <f>IF('Modell einstellen'!$B$1="Voll",H9/0.35,H9/0.35*2)</f>
        <v>2.2159892857142859E-4</v>
      </c>
      <c r="O9" s="2">
        <f>IF('Modell einstellen'!$B$1="Voll",J9/0.35,J9/0.35*2)</f>
        <v>-6.2066974285714289E-4</v>
      </c>
      <c r="P9" s="3">
        <f t="shared" si="1"/>
        <v>0.3570319499567311</v>
      </c>
    </row>
    <row r="10" spans="1:16" x14ac:dyDescent="0.25">
      <c r="A10" s="3">
        <v>1E-8</v>
      </c>
      <c r="B10" s="3">
        <v>9.5160000000000004E-5</v>
      </c>
      <c r="C10" s="3">
        <v>1.772E-4</v>
      </c>
      <c r="D10" s="3">
        <v>-5.3799999999999996E-4</v>
      </c>
      <c r="E10" s="3">
        <v>0</v>
      </c>
      <c r="F10" s="3">
        <v>0</v>
      </c>
      <c r="G10" s="3">
        <v>0</v>
      </c>
      <c r="H10" s="3">
        <v>7.7559626E-5</v>
      </c>
      <c r="I10" s="3">
        <v>1.877066E-5</v>
      </c>
      <c r="J10" s="3">
        <v>-2.1723441E-4</v>
      </c>
      <c r="L10" s="3">
        <f t="shared" si="0"/>
        <v>0.17687732342007437</v>
      </c>
      <c r="M10" s="3"/>
      <c r="N10" s="2">
        <f>IF('Modell einstellen'!$B$1="Voll",H10/0.35,H10/0.35*2)</f>
        <v>2.2159893142857144E-4</v>
      </c>
      <c r="O10" s="2">
        <f>IF('Modell einstellen'!$B$1="Voll",J10/0.35,J10/0.35*2)</f>
        <v>-6.2066974285714289E-4</v>
      </c>
      <c r="P10" s="3">
        <f t="shared" si="1"/>
        <v>0.35703195456005338</v>
      </c>
    </row>
    <row r="11" spans="1:16" x14ac:dyDescent="0.25">
      <c r="A11" s="3">
        <v>9.9999999999999995E-8</v>
      </c>
      <c r="B11" s="3">
        <v>9.5160000000000004E-5</v>
      </c>
      <c r="C11" s="3">
        <v>1.772E-4</v>
      </c>
      <c r="D11" s="3">
        <v>-5.3799999999999996E-4</v>
      </c>
      <c r="E11" s="3">
        <v>0</v>
      </c>
      <c r="F11" s="3">
        <v>0</v>
      </c>
      <c r="G11" s="3">
        <v>0</v>
      </c>
      <c r="H11" s="3">
        <v>7.7559626999999996E-5</v>
      </c>
      <c r="I11" s="3">
        <v>1.877066E-5</v>
      </c>
      <c r="J11" s="3">
        <v>-2.1723441999999999E-4</v>
      </c>
      <c r="L11" s="3">
        <f t="shared" si="0"/>
        <v>0.17687732342007437</v>
      </c>
      <c r="M11" s="3"/>
      <c r="N11" s="2">
        <f>IF('Modell einstellen'!$B$1="Voll",H11/0.35,H11/0.35*2)</f>
        <v>2.2159893428571429E-4</v>
      </c>
      <c r="O11" s="2">
        <f>IF('Modell einstellen'!$B$1="Voll",J11/0.35,J11/0.35*2)</f>
        <v>-6.2066977142857143E-4</v>
      </c>
      <c r="P11" s="3">
        <f t="shared" si="1"/>
        <v>0.35703194272804467</v>
      </c>
    </row>
    <row r="12" spans="1:16" x14ac:dyDescent="0.25">
      <c r="A12" s="3">
        <v>9.9999999999999995E-7</v>
      </c>
      <c r="B12" s="3">
        <v>9.5160000000000004E-5</v>
      </c>
      <c r="C12" s="3">
        <v>1.772E-4</v>
      </c>
      <c r="D12" s="3">
        <v>-5.3799999999999996E-4</v>
      </c>
      <c r="E12" s="3">
        <v>0</v>
      </c>
      <c r="F12" s="3">
        <v>0</v>
      </c>
      <c r="G12" s="3">
        <v>0</v>
      </c>
      <c r="H12" s="3">
        <v>7.7559626999999996E-5</v>
      </c>
      <c r="I12" s="3">
        <v>1.877066E-5</v>
      </c>
      <c r="J12" s="3">
        <v>-2.1723441999999999E-4</v>
      </c>
      <c r="L12" s="3">
        <f t="shared" si="0"/>
        <v>0.17687732342007437</v>
      </c>
      <c r="M12" s="3"/>
      <c r="N12" s="2">
        <f>IF('Modell einstellen'!$B$1="Voll",H12/0.35,H12/0.35*2)</f>
        <v>2.2159893428571429E-4</v>
      </c>
      <c r="O12" s="2">
        <f>IF('Modell einstellen'!$B$1="Voll",J12/0.35,J12/0.35*2)</f>
        <v>-6.2066977142857143E-4</v>
      </c>
      <c r="P12" s="3">
        <f t="shared" si="1"/>
        <v>0.35703194272804467</v>
      </c>
    </row>
    <row r="13" spans="1:16" x14ac:dyDescent="0.25">
      <c r="A13" s="3">
        <v>1.0000000000000001E-5</v>
      </c>
      <c r="B13" s="3">
        <v>9.5160000000000004E-5</v>
      </c>
      <c r="C13" s="3">
        <v>1.772E-4</v>
      </c>
      <c r="D13" s="3">
        <v>-5.3799999999999996E-4</v>
      </c>
      <c r="E13" s="3">
        <v>0</v>
      </c>
      <c r="F13" s="3">
        <v>0</v>
      </c>
      <c r="G13" s="3">
        <v>0</v>
      </c>
      <c r="H13" s="3">
        <v>7.7559632000000003E-5</v>
      </c>
      <c r="I13" s="3">
        <v>1.8770661E-5</v>
      </c>
      <c r="J13" s="3">
        <v>-2.1723443E-4</v>
      </c>
      <c r="L13" s="3">
        <f t="shared" si="0"/>
        <v>0.17687732342007437</v>
      </c>
      <c r="M13" s="3"/>
      <c r="N13" s="2">
        <f>IF('Modell einstellen'!$B$1="Voll",H13/0.35,H13/0.35*2)</f>
        <v>2.2159894857142859E-4</v>
      </c>
      <c r="O13" s="2">
        <f>IF('Modell einstellen'!$B$1="Voll",J13/0.35,J13/0.35*2)</f>
        <v>-6.2066980000000007E-4</v>
      </c>
      <c r="P13" s="3">
        <f t="shared" si="1"/>
        <v>0.35703194930932447</v>
      </c>
    </row>
    <row r="14" spans="1:16" x14ac:dyDescent="0.25">
      <c r="A14" s="3">
        <v>1E-4</v>
      </c>
      <c r="B14" s="3">
        <v>9.5160000000000004E-5</v>
      </c>
      <c r="C14" s="3">
        <v>1.772E-4</v>
      </c>
      <c r="D14" s="3">
        <v>-5.3799999999999996E-4</v>
      </c>
      <c r="E14" s="3">
        <v>0</v>
      </c>
      <c r="F14" s="3">
        <v>0</v>
      </c>
      <c r="G14" s="3">
        <v>0</v>
      </c>
      <c r="H14" s="3">
        <v>7.7559676000000003E-5</v>
      </c>
      <c r="I14" s="3">
        <v>1.8770669000000002E-5</v>
      </c>
      <c r="J14" s="3">
        <v>-2.172345E-4</v>
      </c>
      <c r="L14" s="3">
        <f t="shared" si="0"/>
        <v>0.17687732342007437</v>
      </c>
      <c r="M14" s="3"/>
      <c r="N14" s="2">
        <f>IF('Modell einstellen'!$B$1="Voll",H14/0.35,H14/0.35*2)</f>
        <v>2.215990742857143E-4</v>
      </c>
      <c r="O14" s="2">
        <f>IF('Modell einstellen'!$B$1="Voll",J14/0.35,J14/0.35*2)</f>
        <v>-6.2067000000000003E-4</v>
      </c>
      <c r="P14" s="3">
        <f t="shared" si="1"/>
        <v>0.35703203680814971</v>
      </c>
    </row>
    <row r="15" spans="1:16" x14ac:dyDescent="0.25">
      <c r="A15" s="3">
        <v>1E-3</v>
      </c>
      <c r="B15" s="3">
        <v>9.5160000000000004E-5</v>
      </c>
      <c r="C15" s="3">
        <v>1.772E-4</v>
      </c>
      <c r="D15" s="3">
        <v>-5.3799999999999996E-4</v>
      </c>
      <c r="E15" s="3">
        <v>0</v>
      </c>
      <c r="F15" s="3">
        <v>0</v>
      </c>
      <c r="G15" s="3">
        <v>0</v>
      </c>
      <c r="H15" s="3">
        <v>7.7560123000000006E-5</v>
      </c>
      <c r="I15" s="3">
        <v>1.8770753000000001E-5</v>
      </c>
      <c r="J15" s="3">
        <v>-2.172353E-4</v>
      </c>
      <c r="L15" s="3">
        <f t="shared" si="0"/>
        <v>0.17687732342007437</v>
      </c>
      <c r="M15" s="3"/>
      <c r="N15" s="2">
        <f>IF('Modell einstellen'!$B$1="Voll",H15/0.35,H15/0.35*2)</f>
        <v>2.2160035142857146E-4</v>
      </c>
      <c r="O15" s="2">
        <f>IF('Modell einstellen'!$B$1="Voll",J15/0.35,J15/0.35*2)</f>
        <v>-6.2067228571428574E-4</v>
      </c>
      <c r="P15" s="3">
        <f t="shared" si="1"/>
        <v>0.35703277966334201</v>
      </c>
    </row>
    <row r="16" spans="1:16" x14ac:dyDescent="0.25">
      <c r="A16" s="3">
        <v>0.01</v>
      </c>
      <c r="B16" s="3">
        <v>9.5149999999999995E-5</v>
      </c>
      <c r="C16" s="3">
        <v>1.772E-4</v>
      </c>
      <c r="D16" s="3">
        <v>-5.3799999999999996E-4</v>
      </c>
      <c r="E16" s="3">
        <v>0</v>
      </c>
      <c r="F16" s="3">
        <v>0</v>
      </c>
      <c r="G16" s="3">
        <v>0</v>
      </c>
      <c r="H16" s="3">
        <v>7.7564587000000004E-5</v>
      </c>
      <c r="I16" s="3">
        <v>1.8771587999999999E-5</v>
      </c>
      <c r="J16" s="3">
        <v>-2.1724326000000001E-4</v>
      </c>
      <c r="L16" s="3">
        <f t="shared" si="0"/>
        <v>0.17685873605947955</v>
      </c>
      <c r="M16" s="3"/>
      <c r="N16" s="2">
        <f>IF('Modell einstellen'!$B$1="Voll",H16/0.35,H16/0.35*2)</f>
        <v>2.2161310571428575E-4</v>
      </c>
      <c r="O16" s="2">
        <f>IF('Modell einstellen'!$B$1="Voll",J16/0.35,J16/0.35*2)</f>
        <v>-6.2069502857142864E-4</v>
      </c>
      <c r="P16" s="3">
        <f t="shared" si="1"/>
        <v>0.35704024603571133</v>
      </c>
    </row>
    <row r="17" spans="1:16" x14ac:dyDescent="0.25">
      <c r="A17" s="3">
        <v>0.1</v>
      </c>
      <c r="B17" s="3">
        <v>9.5149999999999995E-5</v>
      </c>
      <c r="C17" s="3">
        <v>1.772E-4</v>
      </c>
      <c r="D17" s="3">
        <v>-5.3810000000000001E-4</v>
      </c>
      <c r="E17" s="3">
        <v>0</v>
      </c>
      <c r="F17" s="3">
        <v>0</v>
      </c>
      <c r="G17" s="3">
        <v>0</v>
      </c>
      <c r="H17" s="3">
        <v>7.7608879000000004E-5</v>
      </c>
      <c r="I17" s="3">
        <v>1.8779877999999999E-5</v>
      </c>
      <c r="J17" s="3">
        <v>-2.1732220999999999E-4</v>
      </c>
      <c r="L17" s="3">
        <f t="shared" si="0"/>
        <v>0.17682586879762124</v>
      </c>
      <c r="M17" s="3"/>
      <c r="N17" s="2">
        <f>IF('Modell einstellen'!$B$1="Voll",H17/0.35,H17/0.35*2)</f>
        <v>2.2173965428571432E-4</v>
      </c>
      <c r="O17" s="2">
        <f>IF('Modell einstellen'!$B$1="Voll",J17/0.35,J17/0.35*2)</f>
        <v>-6.2092060000000005E-4</v>
      </c>
      <c r="P17" s="3">
        <f t="shared" si="1"/>
        <v>0.35711434648119955</v>
      </c>
    </row>
    <row r="18" spans="1:16" x14ac:dyDescent="0.25">
      <c r="A18" s="3">
        <v>1</v>
      </c>
      <c r="B18" s="3">
        <v>9.5060000000000001E-5</v>
      </c>
      <c r="C18" s="3">
        <v>1.7789999999999999E-4</v>
      </c>
      <c r="D18" s="3">
        <v>-5.3890000000000003E-4</v>
      </c>
      <c r="E18" s="3">
        <v>0</v>
      </c>
      <c r="F18" s="3">
        <v>0</v>
      </c>
      <c r="G18" s="3">
        <v>0</v>
      </c>
      <c r="H18" s="3">
        <v>7.8018788000000006E-5</v>
      </c>
      <c r="I18" s="3">
        <v>1.8856556000000001E-5</v>
      </c>
      <c r="J18" s="3">
        <v>-2.1805267E-4</v>
      </c>
      <c r="L18" s="3">
        <f t="shared" si="0"/>
        <v>0.17639636296158842</v>
      </c>
      <c r="M18" s="3"/>
      <c r="N18" s="2">
        <f>IF('Modell einstellen'!$B$1="Voll",H18/0.35,H18/0.35*2)</f>
        <v>2.229108228571429E-4</v>
      </c>
      <c r="O18" s="2">
        <f>IF('Modell einstellen'!$B$1="Voll",J18/0.35,J18/0.35*2)</f>
        <v>-6.230076285714286E-4</v>
      </c>
      <c r="P18" s="3">
        <f t="shared" si="1"/>
        <v>0.35779790268103578</v>
      </c>
    </row>
    <row r="19" spans="1:16" x14ac:dyDescent="0.25">
      <c r="A19" s="3">
        <v>10</v>
      </c>
      <c r="B19" s="3">
        <v>9.5279999999999996E-5</v>
      </c>
      <c r="C19" s="3">
        <v>1.816E-4</v>
      </c>
      <c r="D19" s="3">
        <v>-5.4410000000000005E-4</v>
      </c>
      <c r="E19" s="3">
        <v>0</v>
      </c>
      <c r="F19" s="3">
        <v>0</v>
      </c>
      <c r="G19" s="3">
        <v>0</v>
      </c>
      <c r="H19" s="3">
        <v>8.0246115000000005E-5</v>
      </c>
      <c r="I19" s="3">
        <v>1.9289359999999999E-5</v>
      </c>
      <c r="J19" s="3">
        <v>-2.2207203000000001E-4</v>
      </c>
      <c r="L19" s="3">
        <f t="shared" si="0"/>
        <v>0.17511486859033262</v>
      </c>
      <c r="M19" s="3"/>
      <c r="N19" s="2">
        <f>IF('Modell einstellen'!$B$1="Voll",H19/0.35,H19/0.35*2)</f>
        <v>2.2927461428571432E-4</v>
      </c>
      <c r="O19" s="2">
        <f>IF('Modell einstellen'!$B$1="Voll",J19/0.35,J19/0.35*2)</f>
        <v>-6.3449151428571432E-4</v>
      </c>
      <c r="P19" s="3">
        <f t="shared" si="1"/>
        <v>0.36135174249544172</v>
      </c>
    </row>
    <row r="20" spans="1:16" x14ac:dyDescent="0.25">
      <c r="A20" s="3">
        <v>100</v>
      </c>
      <c r="B20" s="3">
        <v>9.535E-5</v>
      </c>
      <c r="C20" s="3">
        <v>1.861E-4</v>
      </c>
      <c r="D20" s="3">
        <v>-5.5020000000000004E-4</v>
      </c>
      <c r="E20" s="3">
        <v>0</v>
      </c>
      <c r="F20" s="3">
        <v>0</v>
      </c>
      <c r="G20" s="3">
        <v>0</v>
      </c>
      <c r="H20" s="3">
        <v>8.2983228999999995E-5</v>
      </c>
      <c r="I20" s="3">
        <v>1.9828931000000001E-5</v>
      </c>
      <c r="J20" s="3">
        <v>-2.2700925E-4</v>
      </c>
      <c r="L20" s="3">
        <f t="shared" si="0"/>
        <v>0.1733006179571065</v>
      </c>
      <c r="M20" s="3"/>
      <c r="N20" s="2">
        <f>IF('Modell einstellen'!$B$1="Voll",H20/0.35,H20/0.35*2)</f>
        <v>2.3709493999999999E-4</v>
      </c>
      <c r="O20" s="2">
        <f>IF('Modell einstellen'!$B$1="Voll",J20/0.35,J20/0.35*2)</f>
        <v>-6.4859785714285723E-4</v>
      </c>
      <c r="P20" s="3">
        <f t="shared" si="1"/>
        <v>0.36554998970306268</v>
      </c>
    </row>
    <row r="21" spans="1:16" x14ac:dyDescent="0.25">
      <c r="A21" s="3">
        <v>1000</v>
      </c>
      <c r="B21" s="3">
        <v>9.6429999999999997E-5</v>
      </c>
      <c r="C21" s="3">
        <v>1.93E-4</v>
      </c>
      <c r="D21" s="3">
        <v>-5.5940000000000004E-4</v>
      </c>
      <c r="E21" s="3">
        <v>0</v>
      </c>
      <c r="F21" s="3">
        <v>0</v>
      </c>
      <c r="G21" s="3">
        <v>0</v>
      </c>
      <c r="H21" s="3">
        <v>8.6231045000000005E-5</v>
      </c>
      <c r="I21" s="3">
        <v>2.0636291E-5</v>
      </c>
      <c r="J21" s="3">
        <v>-2.3328596999999999E-4</v>
      </c>
      <c r="L21" s="3">
        <f t="shared" si="0"/>
        <v>0.17238112263139074</v>
      </c>
      <c r="M21" s="3"/>
      <c r="N21" s="2">
        <f>IF('Modell einstellen'!$B$1="Voll",H21/0.35,H21/0.35*2)</f>
        <v>2.4637441428571429E-4</v>
      </c>
      <c r="O21" s="2">
        <f>IF('Modell einstellen'!$B$1="Voll",J21/0.35,J21/0.35*2)</f>
        <v>-6.665313428571429E-4</v>
      </c>
      <c r="P21" s="3">
        <f t="shared" si="1"/>
        <v>0.36963665238848264</v>
      </c>
    </row>
    <row r="22" spans="1:16" x14ac:dyDescent="0.25">
      <c r="A22" s="3">
        <v>10000</v>
      </c>
      <c r="B22" s="3">
        <v>1.025E-4</v>
      </c>
      <c r="C22" s="3">
        <v>2.0790000000000001E-4</v>
      </c>
      <c r="D22" s="3">
        <v>-5.7959999999999999E-4</v>
      </c>
      <c r="E22" s="3">
        <v>0</v>
      </c>
      <c r="F22" s="3">
        <v>0</v>
      </c>
      <c r="G22" s="3">
        <v>0</v>
      </c>
      <c r="H22" s="3">
        <v>9.0523705000000002E-5</v>
      </c>
      <c r="I22" s="3">
        <v>2.2347336E-5</v>
      </c>
      <c r="J22" s="3">
        <v>-2.4325732999999999E-4</v>
      </c>
      <c r="L22" s="3">
        <f t="shared" si="0"/>
        <v>0.17684610075914423</v>
      </c>
      <c r="M22" s="3"/>
      <c r="N22" s="2">
        <f>IF('Modell einstellen'!$B$1="Voll",H22/0.35,H22/0.35*2)</f>
        <v>2.5863915714285717E-4</v>
      </c>
      <c r="O22" s="2">
        <f>IF('Modell einstellen'!$B$1="Voll",J22/0.35,J22/0.35*2)</f>
        <v>-6.9502094285714292E-4</v>
      </c>
      <c r="P22" s="3">
        <f t="shared" si="1"/>
        <v>0.37213145848472479</v>
      </c>
    </row>
    <row r="23" spans="1:16" x14ac:dyDescent="0.25">
      <c r="A23" s="3">
        <v>100000</v>
      </c>
      <c r="B23" s="3">
        <v>1.1510000000000001E-4</v>
      </c>
      <c r="C23" s="3">
        <v>2.3059999999999999E-4</v>
      </c>
      <c r="D23" s="3">
        <v>-6.1240000000000003E-4</v>
      </c>
      <c r="E23" s="3">
        <v>0</v>
      </c>
      <c r="F23" s="3">
        <v>0</v>
      </c>
      <c r="G23" s="3">
        <v>0</v>
      </c>
      <c r="H23" s="3">
        <v>9.5633619000000004E-5</v>
      </c>
      <c r="I23" s="3">
        <v>2.4971773E-5</v>
      </c>
      <c r="J23" s="3">
        <v>-2.5668092999999999E-4</v>
      </c>
      <c r="L23" s="3">
        <f t="shared" si="0"/>
        <v>0.187949052906597</v>
      </c>
      <c r="M23" s="3"/>
      <c r="N23" s="2">
        <f>IF('Modell einstellen'!$B$1="Voll",H23/0.35,H23/0.35*2)</f>
        <v>2.7323891142857148E-4</v>
      </c>
      <c r="O23" s="2">
        <f>IF('Modell einstellen'!$B$1="Voll",J23/0.35,J23/0.35*2)</f>
        <v>-7.3337408571428567E-4</v>
      </c>
      <c r="P23" s="3">
        <f t="shared" si="1"/>
        <v>0.37257781090320979</v>
      </c>
    </row>
    <row r="24" spans="1:16" x14ac:dyDescent="0.25">
      <c r="A24" s="3">
        <v>1000000</v>
      </c>
      <c r="B24" s="3">
        <v>1.2970000000000001E-4</v>
      </c>
      <c r="C24" s="3">
        <v>2.566E-4</v>
      </c>
      <c r="D24" s="3">
        <v>-6.5070000000000004E-4</v>
      </c>
      <c r="E24" s="3">
        <v>0</v>
      </c>
      <c r="F24" s="3">
        <v>0</v>
      </c>
      <c r="G24" s="3">
        <v>0</v>
      </c>
      <c r="H24" s="3">
        <v>1.0216652000000001E-4</v>
      </c>
      <c r="I24" s="3">
        <v>2.8026249E-5</v>
      </c>
      <c r="J24" s="3">
        <v>-2.7311639000000002E-4</v>
      </c>
      <c r="L24" s="3">
        <f t="shared" si="0"/>
        <v>0.19932380513293377</v>
      </c>
      <c r="M24" s="3"/>
      <c r="N24" s="2">
        <f>IF('Modell einstellen'!$B$1="Voll",H24/0.35,H24/0.35*2)</f>
        <v>2.9190434285714291E-4</v>
      </c>
      <c r="O24" s="2">
        <f>IF('Modell einstellen'!$B$1="Voll",J24/0.35,J24/0.35*2)</f>
        <v>-7.8033254285714293E-4</v>
      </c>
      <c r="P24" s="3">
        <f t="shared" si="1"/>
        <v>0.37407685419392078</v>
      </c>
    </row>
    <row r="25" spans="1:16" x14ac:dyDescent="0.25">
      <c r="A25" s="3">
        <v>10000000</v>
      </c>
      <c r="B25" s="3">
        <v>1.4339999999999999E-4</v>
      </c>
      <c r="C25" s="3">
        <v>2.833E-4</v>
      </c>
      <c r="D25" s="3">
        <v>-6.9050000000000003E-4</v>
      </c>
      <c r="E25" s="3">
        <v>0</v>
      </c>
      <c r="F25" s="3">
        <v>0</v>
      </c>
      <c r="G25" s="3">
        <v>0</v>
      </c>
      <c r="H25" s="3">
        <v>1.1039706E-4</v>
      </c>
      <c r="I25" s="3">
        <v>3.1256302E-5</v>
      </c>
      <c r="J25" s="3">
        <v>-2.9224767999999998E-4</v>
      </c>
      <c r="L25" s="3">
        <f t="shared" si="0"/>
        <v>0.2076755973931933</v>
      </c>
      <c r="M25" s="3"/>
      <c r="N25" s="2">
        <f>IF('Modell einstellen'!$B$1="Voll",H25/0.35,H25/0.35*2)</f>
        <v>3.1542017142857144E-4</v>
      </c>
      <c r="O25" s="2">
        <f>IF('Modell einstellen'!$B$1="Voll",J25/0.35,J25/0.35*2)</f>
        <v>-8.349933714285714E-4</v>
      </c>
      <c r="P25" s="3">
        <f t="shared" si="1"/>
        <v>0.37775170704520222</v>
      </c>
    </row>
    <row r="26" spans="1:16" x14ac:dyDescent="0.25">
      <c r="A26" s="3">
        <v>100000000</v>
      </c>
      <c r="B26" s="3">
        <v>1.5320000000000001E-4</v>
      </c>
      <c r="C26" s="3">
        <v>3.0919999999999998E-4</v>
      </c>
      <c r="D26" s="3">
        <v>-7.2670000000000005E-4</v>
      </c>
      <c r="E26" s="3">
        <v>0</v>
      </c>
      <c r="F26" s="3">
        <v>0</v>
      </c>
      <c r="G26" s="3">
        <v>0</v>
      </c>
      <c r="H26" s="3">
        <v>1.1940260999999999E-4</v>
      </c>
      <c r="I26" s="3">
        <v>3.446786E-5</v>
      </c>
      <c r="J26" s="3">
        <v>-3.1240598999999998E-4</v>
      </c>
      <c r="L26" s="3">
        <f t="shared" si="0"/>
        <v>0.21081601761387092</v>
      </c>
      <c r="M26" s="3"/>
      <c r="N26" s="2">
        <f>IF('Modell einstellen'!$B$1="Voll",H26/0.35,H26/0.35*2)</f>
        <v>3.4115031428571429E-4</v>
      </c>
      <c r="O26" s="2">
        <f>IF('Modell einstellen'!$B$1="Voll",J26/0.35,J26/0.35*2)</f>
        <v>-8.9258854285714285E-4</v>
      </c>
      <c r="P26" s="3">
        <f t="shared" si="1"/>
        <v>0.38220333099246911</v>
      </c>
    </row>
    <row r="27" spans="1:16" x14ac:dyDescent="0.25">
      <c r="A27" s="3">
        <v>1000000000</v>
      </c>
      <c r="B27" s="3">
        <v>1.5870000000000001E-4</v>
      </c>
      <c r="C27" s="3">
        <v>3.3530000000000002E-4</v>
      </c>
      <c r="D27" s="3">
        <v>-7.5989999999999999E-4</v>
      </c>
      <c r="E27" s="3">
        <v>0</v>
      </c>
      <c r="F27" s="3">
        <v>0</v>
      </c>
      <c r="G27" s="3">
        <v>0</v>
      </c>
      <c r="H27" s="3">
        <v>1.2955883000000001E-4</v>
      </c>
      <c r="I27" s="3">
        <v>3.7809236000000002E-5</v>
      </c>
      <c r="J27" s="3">
        <v>-3.3444759000000001E-4</v>
      </c>
      <c r="L27" s="3">
        <f t="shared" si="0"/>
        <v>0.20884326885116464</v>
      </c>
      <c r="M27" s="3"/>
      <c r="N27" s="2">
        <f>IF('Modell einstellen'!$B$1="Voll",H27/0.35,H27/0.35*2)</f>
        <v>3.7016808571428575E-4</v>
      </c>
      <c r="O27" s="2">
        <f>IF('Modell einstellen'!$B$1="Voll",J27/0.35,J27/0.35*2)</f>
        <v>-9.5556454285714292E-4</v>
      </c>
      <c r="P27" s="3">
        <f t="shared" si="1"/>
        <v>0.38738156253420752</v>
      </c>
    </row>
    <row r="28" spans="1:16" x14ac:dyDescent="0.25">
      <c r="A28" s="3">
        <v>10000000000</v>
      </c>
      <c r="B28" s="3">
        <v>1.5870000000000001E-4</v>
      </c>
      <c r="C28" s="3">
        <v>3.6410000000000001E-4</v>
      </c>
      <c r="D28" s="3">
        <v>-7.9120000000000004E-4</v>
      </c>
      <c r="E28" s="3">
        <v>0</v>
      </c>
      <c r="F28" s="3">
        <v>0</v>
      </c>
      <c r="G28" s="3">
        <v>0</v>
      </c>
      <c r="H28" s="3">
        <v>1.4161413E-4</v>
      </c>
      <c r="I28" s="3">
        <v>4.1602125999999997E-5</v>
      </c>
      <c r="J28" s="3">
        <v>-3.6020775999999997E-4</v>
      </c>
      <c r="L28" s="3">
        <f t="shared" si="0"/>
        <v>0.2005813953488372</v>
      </c>
      <c r="M28" s="3"/>
      <c r="N28" s="2">
        <f>IF('Modell einstellen'!$B$1="Voll",H28/0.35,H28/0.35*2)</f>
        <v>4.0461180000000003E-4</v>
      </c>
      <c r="O28" s="2">
        <f>IF('Modell einstellen'!$B$1="Voll",J28/0.35,J28/0.35*2)</f>
        <v>-1.0291650285714285E-3</v>
      </c>
      <c r="P28" s="3">
        <f t="shared" si="1"/>
        <v>0.39314569458470305</v>
      </c>
    </row>
    <row r="29" spans="1:16" x14ac:dyDescent="0.25">
      <c r="A29" s="3">
        <v>100000000000</v>
      </c>
      <c r="B29" s="3">
        <v>1.4980000000000001E-4</v>
      </c>
      <c r="C29" s="3">
        <v>4.0049999999999998E-4</v>
      </c>
      <c r="D29" s="3">
        <v>-8.2229999999999998E-4</v>
      </c>
      <c r="E29" s="3">
        <v>0</v>
      </c>
      <c r="F29" s="3">
        <v>0</v>
      </c>
      <c r="G29" s="3">
        <v>0</v>
      </c>
      <c r="H29" s="3">
        <v>1.5763153000000001E-4</v>
      </c>
      <c r="I29" s="3">
        <v>4.6530151999999999E-5</v>
      </c>
      <c r="J29" s="3">
        <v>-3.9419360999999999E-4</v>
      </c>
      <c r="L29" s="3">
        <f t="shared" si="0"/>
        <v>0.18217195670679803</v>
      </c>
      <c r="M29" s="3"/>
      <c r="N29" s="2">
        <f>IF('Modell einstellen'!$B$1="Voll",H29/0.35,H29/0.35*2)</f>
        <v>4.5037580000000004E-4</v>
      </c>
      <c r="O29" s="2">
        <f>IF('Modell einstellen'!$B$1="Voll",J29/0.35,J29/0.35*2)</f>
        <v>-1.1262674571428572E-3</v>
      </c>
      <c r="P29" s="3">
        <f t="shared" si="1"/>
        <v>0.39988352424079121</v>
      </c>
    </row>
    <row r="30" spans="1:16" x14ac:dyDescent="0.25">
      <c r="A30" s="3">
        <v>1000000000000</v>
      </c>
      <c r="B30" s="3">
        <v>1.211E-4</v>
      </c>
      <c r="C30" s="3">
        <v>4.5560000000000002E-4</v>
      </c>
      <c r="D30" s="3">
        <v>-8.5400000000000005E-4</v>
      </c>
      <c r="E30" s="3">
        <v>0</v>
      </c>
      <c r="F30" s="3">
        <v>0</v>
      </c>
      <c r="G30" s="3">
        <v>0</v>
      </c>
      <c r="H30" s="3">
        <v>1.8320585E-4</v>
      </c>
      <c r="I30" s="3">
        <v>5.4289144999999998E-5</v>
      </c>
      <c r="J30" s="3">
        <v>-4.4817001999999999E-4</v>
      </c>
      <c r="L30" s="3">
        <f t="shared" si="0"/>
        <v>0.14180327868852458</v>
      </c>
      <c r="M30" s="3"/>
      <c r="N30" s="2">
        <f>IF('Modell einstellen'!$B$1="Voll",H30/0.35,H30/0.35*2)</f>
        <v>5.2344528571428577E-4</v>
      </c>
      <c r="O30" s="2">
        <f>IF('Modell einstellen'!$B$1="Voll",J30/0.35,J30/0.35*2)</f>
        <v>-1.2804857714285715E-3</v>
      </c>
      <c r="P30" s="3">
        <f t="shared" si="1"/>
        <v>0.40878649134094247</v>
      </c>
    </row>
    <row r="31" spans="1:16" x14ac:dyDescent="0.25">
      <c r="A31" s="3">
        <v>10000000000000</v>
      </c>
      <c r="B31" s="3">
        <v>4.8340000000000001E-5</v>
      </c>
      <c r="C31" s="3">
        <v>5.4080000000000003E-4</v>
      </c>
      <c r="D31" s="3">
        <v>-8.742E-4</v>
      </c>
      <c r="E31" s="3">
        <v>0</v>
      </c>
      <c r="F31" s="3">
        <v>0</v>
      </c>
      <c r="G31" s="3">
        <v>0</v>
      </c>
      <c r="H31" s="3">
        <v>2.2569775999999999E-4</v>
      </c>
      <c r="I31" s="3">
        <v>6.6929802999999999E-5</v>
      </c>
      <c r="J31" s="3">
        <v>-5.3693275999999995E-4</v>
      </c>
      <c r="L31" s="3">
        <f t="shared" si="0"/>
        <v>5.5296270876229695E-2</v>
      </c>
      <c r="M31" s="3"/>
      <c r="N31" s="2">
        <f>IF('Modell einstellen'!$B$1="Voll",H31/0.35,H31/0.35*2)</f>
        <v>6.4485074285714286E-4</v>
      </c>
      <c r="O31" s="2">
        <f>IF('Modell einstellen'!$B$1="Voll",J31/0.35,J31/0.35*2)</f>
        <v>-1.5340936E-3</v>
      </c>
      <c r="P31" s="3">
        <f t="shared" si="1"/>
        <v>0.42034641358072472</v>
      </c>
    </row>
    <row r="32" spans="1:16" x14ac:dyDescent="0.25">
      <c r="A32" s="3">
        <v>100000000000000</v>
      </c>
      <c r="B32" s="3">
        <v>-1.3569999999999999E-4</v>
      </c>
      <c r="C32" s="3">
        <v>6.8269999999999995E-4</v>
      </c>
      <c r="D32" s="3">
        <v>-8.4250000000000004E-4</v>
      </c>
      <c r="E32" s="3">
        <v>0</v>
      </c>
      <c r="F32" s="3">
        <v>0</v>
      </c>
      <c r="G32" s="3">
        <v>0</v>
      </c>
      <c r="H32" s="3">
        <v>3.0482333E-4</v>
      </c>
      <c r="I32" s="3">
        <v>8.9475178E-5</v>
      </c>
      <c r="J32" s="3">
        <v>-6.9851101000000004E-4</v>
      </c>
      <c r="L32" s="3">
        <f t="shared" si="0"/>
        <v>-0.16106824925816021</v>
      </c>
      <c r="M32" s="3"/>
      <c r="N32" s="2">
        <f>IF('Modell einstellen'!$B$1="Voll",H32/0.35,H32/0.35*2)</f>
        <v>8.7092380000000007E-4</v>
      </c>
      <c r="O32" s="2">
        <f>IF('Modell einstellen'!$B$1="Voll",J32/0.35,J32/0.35*2)</f>
        <v>-1.9957457428571431E-3</v>
      </c>
      <c r="P32" s="3">
        <f t="shared" si="1"/>
        <v>0.43639015797331526</v>
      </c>
    </row>
    <row r="33" spans="1:16" x14ac:dyDescent="0.25">
      <c r="A33" s="3">
        <v>1000000000000000</v>
      </c>
      <c r="B33" s="3">
        <v>-6.4809999999999998E-4</v>
      </c>
      <c r="C33" s="3">
        <v>9.5E-4</v>
      </c>
      <c r="D33" s="3">
        <v>-6.1090000000000005E-4</v>
      </c>
      <c r="E33" s="3">
        <v>0</v>
      </c>
      <c r="F33" s="3">
        <v>0</v>
      </c>
      <c r="G33" s="3">
        <v>0</v>
      </c>
      <c r="H33" s="3">
        <v>4.7958627E-4</v>
      </c>
      <c r="I33" s="3">
        <v>1.3580800000000001E-4</v>
      </c>
      <c r="J33" s="3">
        <v>-1.0423800999999999E-3</v>
      </c>
      <c r="L33" s="3">
        <f t="shared" si="0"/>
        <v>-1.060893763300049</v>
      </c>
      <c r="M33" s="3"/>
      <c r="N33" s="2">
        <f>IF('Modell einstellen'!$B$1="Voll",H33/0.35,H33/0.35*2)</f>
        <v>1.3702464857142857E-3</v>
      </c>
      <c r="O33" s="2">
        <f>IF('Modell einstellen'!$B$1="Voll",J33/0.35,J33/0.35*2)</f>
        <v>-2.978228857142857E-3</v>
      </c>
      <c r="P33" s="3">
        <f t="shared" si="1"/>
        <v>0.46008770696984719</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9.5829999999999996E-5</v>
      </c>
      <c r="C3" s="3">
        <v>1.7789999999999999E-4</v>
      </c>
      <c r="D3" s="3">
        <v>-5.3919999999999999E-4</v>
      </c>
      <c r="E3" s="3">
        <v>0</v>
      </c>
      <c r="F3" s="3">
        <v>0</v>
      </c>
      <c r="G3" s="3">
        <v>0</v>
      </c>
      <c r="H3" s="3">
        <v>7.7593030000000003E-5</v>
      </c>
      <c r="I3" s="3">
        <v>1.8849818E-5</v>
      </c>
      <c r="J3" s="3">
        <v>-2.1749635999999999E-4</v>
      </c>
      <c r="K3" s="3"/>
      <c r="L3" s="3">
        <f>-B3/D3</f>
        <v>0.17772626112759643</v>
      </c>
      <c r="M3" s="3"/>
      <c r="N3" s="2">
        <f>IF('Modell einstellen'!$B$1="Voll",H3/0.35,H3/0.35*2)</f>
        <v>2.2169437142857145E-4</v>
      </c>
      <c r="O3" s="2">
        <f>IF('Modell einstellen'!$B$1="Voll",J3/0.35,J3/0.35*2)</f>
        <v>-6.2141817142857142E-4</v>
      </c>
      <c r="P3" s="3">
        <f>-N3/O3</f>
        <v>0.35675553374778324</v>
      </c>
      <c r="Q3" s="3"/>
      <c r="R3" s="3"/>
      <c r="S3" s="3"/>
      <c r="T3" s="3"/>
      <c r="U3" s="3"/>
    </row>
    <row r="4" spans="1:21" x14ac:dyDescent="0.25">
      <c r="A4" s="3">
        <v>1E-14</v>
      </c>
      <c r="B4" s="3">
        <v>9.5829999999999996E-5</v>
      </c>
      <c r="C4" s="3">
        <v>1.7789999999999999E-4</v>
      </c>
      <c r="D4" s="3">
        <v>-5.3919999999999999E-4</v>
      </c>
      <c r="E4" s="3">
        <v>0</v>
      </c>
      <c r="F4" s="3">
        <v>0</v>
      </c>
      <c r="G4" s="3">
        <v>0</v>
      </c>
      <c r="H4" s="3">
        <v>7.7595300999999995E-5</v>
      </c>
      <c r="I4" s="3">
        <v>1.8850374000000001E-5</v>
      </c>
      <c r="J4" s="3">
        <v>-2.1749226E-4</v>
      </c>
      <c r="K4" s="3"/>
      <c r="L4" s="3">
        <f t="shared" ref="L4:L33" si="0">-B4/D4</f>
        <v>0.17772626112759643</v>
      </c>
      <c r="M4" s="3"/>
      <c r="N4" s="2">
        <f>IF('Modell einstellen'!$B$1="Voll",H4/0.35,H4/0.35*2)</f>
        <v>2.2170086E-4</v>
      </c>
      <c r="O4" s="2">
        <f>IF('Modell einstellen'!$B$1="Voll",J4/0.35,J4/0.35*2)</f>
        <v>-6.2140645714285723E-4</v>
      </c>
      <c r="P4" s="3">
        <f t="shared" ref="P4:P33" si="1">-N4/O4</f>
        <v>0.3567727007848463</v>
      </c>
      <c r="Q4" s="3"/>
      <c r="R4" s="3"/>
      <c r="S4" s="3"/>
      <c r="T4" s="3"/>
      <c r="U4" s="3"/>
    </row>
    <row r="5" spans="1:21" x14ac:dyDescent="0.25">
      <c r="A5" s="3">
        <v>1E-13</v>
      </c>
      <c r="B5" s="3">
        <v>9.5829999999999996E-5</v>
      </c>
      <c r="C5" s="3">
        <v>1.7789999999999999E-4</v>
      </c>
      <c r="D5" s="3">
        <v>-5.3919999999999999E-4</v>
      </c>
      <c r="E5" s="3">
        <v>0</v>
      </c>
      <c r="F5" s="3">
        <v>0</v>
      </c>
      <c r="G5" s="3">
        <v>0</v>
      </c>
      <c r="H5" s="3">
        <v>7.7595608000000001E-5</v>
      </c>
      <c r="I5" s="3">
        <v>1.8850503999999999E-5</v>
      </c>
      <c r="J5" s="3">
        <v>-2.1749306999999999E-4</v>
      </c>
      <c r="K5" s="3"/>
      <c r="L5" s="3">
        <f t="shared" si="0"/>
        <v>0.17772626112759643</v>
      </c>
      <c r="M5" s="3"/>
      <c r="N5" s="2">
        <f>IF('Modell einstellen'!$B$1="Voll",H5/0.35,H5/0.35*2)</f>
        <v>2.2170173714285715E-4</v>
      </c>
      <c r="O5" s="2">
        <f>IF('Modell einstellen'!$B$1="Voll",J5/0.35,J5/0.35*2)</f>
        <v>-6.2140877142857146E-4</v>
      </c>
      <c r="P5" s="3">
        <f t="shared" si="1"/>
        <v>0.35677278361099046</v>
      </c>
      <c r="Q5" s="3"/>
      <c r="R5" s="3"/>
      <c r="S5" s="3"/>
      <c r="T5" s="3"/>
      <c r="U5" s="3"/>
    </row>
    <row r="6" spans="1:21" x14ac:dyDescent="0.25">
      <c r="A6" s="3">
        <v>9.9999999999999998E-13</v>
      </c>
      <c r="B6" s="3">
        <v>9.5829999999999996E-5</v>
      </c>
      <c r="C6" s="3">
        <v>1.7789999999999999E-4</v>
      </c>
      <c r="D6" s="3">
        <v>-5.3919999999999999E-4</v>
      </c>
      <c r="E6" s="3">
        <v>0</v>
      </c>
      <c r="F6" s="3">
        <v>0</v>
      </c>
      <c r="G6" s="3">
        <v>0</v>
      </c>
      <c r="H6" s="3">
        <v>7.7595706000000003E-5</v>
      </c>
      <c r="I6" s="3">
        <v>1.8850537999999999E-5</v>
      </c>
      <c r="J6" s="3">
        <v>-2.1749331000000001E-4</v>
      </c>
      <c r="K6" s="3"/>
      <c r="L6" s="3">
        <f t="shared" si="0"/>
        <v>0.17772626112759643</v>
      </c>
      <c r="M6" s="3"/>
      <c r="N6" s="2">
        <f>IF('Modell einstellen'!$B$1="Voll",H6/0.35,H6/0.35*2)</f>
        <v>2.2170201714285717E-4</v>
      </c>
      <c r="O6" s="2">
        <f>IF('Modell einstellen'!$B$1="Voll",J6/0.35,J6/0.35*2)</f>
        <v>-6.2140945714285716E-4</v>
      </c>
      <c r="P6" s="3">
        <f t="shared" si="1"/>
        <v>0.35677284050714025</v>
      </c>
      <c r="Q6" s="3"/>
      <c r="R6" s="3"/>
      <c r="S6" s="3"/>
      <c r="T6" s="3"/>
      <c r="U6" s="3"/>
    </row>
    <row r="7" spans="1:21" x14ac:dyDescent="0.25">
      <c r="A7" s="3">
        <v>9.9999999999999994E-12</v>
      </c>
      <c r="B7" s="3">
        <v>9.5829999999999996E-5</v>
      </c>
      <c r="C7" s="3">
        <v>1.7789999999999999E-4</v>
      </c>
      <c r="D7" s="3">
        <v>-5.3919999999999999E-4</v>
      </c>
      <c r="E7" s="3">
        <v>0</v>
      </c>
      <c r="F7" s="3">
        <v>0</v>
      </c>
      <c r="G7" s="3">
        <v>0</v>
      </c>
      <c r="H7" s="3">
        <v>7.7595739000000007E-5</v>
      </c>
      <c r="I7" s="3">
        <v>1.8850548E-5</v>
      </c>
      <c r="J7" s="3">
        <v>-2.1749338E-4</v>
      </c>
      <c r="K7" s="3"/>
      <c r="L7" s="3">
        <f t="shared" si="0"/>
        <v>0.17772626112759643</v>
      </c>
      <c r="M7" s="3"/>
      <c r="N7" s="2">
        <f>IF('Modell einstellen'!$B$1="Voll",H7/0.35,H7/0.35*2)</f>
        <v>2.2170211142857147E-4</v>
      </c>
      <c r="O7" s="2">
        <f>IF('Modell einstellen'!$B$1="Voll",J7/0.35,J7/0.35*2)</f>
        <v>-6.2140965714285723E-4</v>
      </c>
      <c r="P7" s="3">
        <f t="shared" si="1"/>
        <v>0.35677287740895841</v>
      </c>
      <c r="Q7" s="3"/>
      <c r="R7" s="3"/>
      <c r="S7" s="3"/>
      <c r="T7" s="3"/>
      <c r="U7" s="3"/>
    </row>
    <row r="8" spans="1:21" x14ac:dyDescent="0.25">
      <c r="A8" s="3">
        <v>1E-10</v>
      </c>
      <c r="B8" s="3">
        <v>9.5829999999999996E-5</v>
      </c>
      <c r="C8" s="3">
        <v>1.7789999999999999E-4</v>
      </c>
      <c r="D8" s="3">
        <v>-5.3919999999999999E-4</v>
      </c>
      <c r="E8" s="3">
        <v>0</v>
      </c>
      <c r="F8" s="3">
        <v>0</v>
      </c>
      <c r="G8" s="3">
        <v>0</v>
      </c>
      <c r="H8" s="3">
        <v>7.7595748999999994E-5</v>
      </c>
      <c r="I8" s="3">
        <v>1.8850551000000001E-5</v>
      </c>
      <c r="J8" s="3">
        <v>-2.1749340999999999E-4</v>
      </c>
      <c r="K8" s="3"/>
      <c r="L8" s="3">
        <f t="shared" si="0"/>
        <v>0.17772626112759643</v>
      </c>
      <c r="M8" s="3"/>
      <c r="N8" s="2">
        <f>IF('Modell einstellen'!$B$1="Voll",H8/0.35,H8/0.35*2)</f>
        <v>2.2170214000000001E-4</v>
      </c>
      <c r="O8" s="2">
        <f>IF('Modell einstellen'!$B$1="Voll",J8/0.35,J8/0.35*2)</f>
        <v>-6.2140974285714284E-4</v>
      </c>
      <c r="P8" s="3">
        <f t="shared" si="1"/>
        <v>0.35677287417581988</v>
      </c>
      <c r="Q8" s="3"/>
      <c r="R8" s="3"/>
      <c r="S8" s="3"/>
      <c r="T8" s="3"/>
      <c r="U8" s="3"/>
    </row>
    <row r="9" spans="1:21" x14ac:dyDescent="0.25">
      <c r="A9" s="3">
        <v>1.0000000000000001E-9</v>
      </c>
      <c r="B9" s="3">
        <v>9.5829999999999996E-5</v>
      </c>
      <c r="C9" s="3">
        <v>1.7789999999999999E-4</v>
      </c>
      <c r="D9" s="3">
        <v>-5.3919999999999999E-4</v>
      </c>
      <c r="E9" s="3">
        <v>0</v>
      </c>
      <c r="F9" s="3">
        <v>0</v>
      </c>
      <c r="G9" s="3">
        <v>0</v>
      </c>
      <c r="H9" s="3">
        <v>7.7595753000000005E-5</v>
      </c>
      <c r="I9" s="3">
        <v>1.8850552000000001E-5</v>
      </c>
      <c r="J9" s="3">
        <v>-2.1749340999999999E-4</v>
      </c>
      <c r="K9" s="3"/>
      <c r="L9" s="3">
        <f t="shared" si="0"/>
        <v>0.17772626112759643</v>
      </c>
      <c r="M9" s="3"/>
      <c r="N9" s="2">
        <f>IF('Modell einstellen'!$B$1="Voll",H9/0.35,H9/0.35*2)</f>
        <v>2.2170215142857145E-4</v>
      </c>
      <c r="O9" s="2">
        <f>IF('Modell einstellen'!$B$1="Voll",J9/0.35,J9/0.35*2)</f>
        <v>-6.2140974285714284E-4</v>
      </c>
      <c r="P9" s="3">
        <f t="shared" si="1"/>
        <v>0.35677289256718175</v>
      </c>
      <c r="Q9" s="3"/>
      <c r="R9" s="3"/>
      <c r="S9" s="3"/>
      <c r="T9" s="3"/>
      <c r="U9" s="3"/>
    </row>
    <row r="10" spans="1:21" x14ac:dyDescent="0.25">
      <c r="A10" s="3">
        <v>1E-8</v>
      </c>
      <c r="B10" s="3">
        <v>9.5829999999999996E-5</v>
      </c>
      <c r="C10" s="3">
        <v>1.7789999999999999E-4</v>
      </c>
      <c r="D10" s="3">
        <v>-5.3919999999999999E-4</v>
      </c>
      <c r="E10" s="3">
        <v>0</v>
      </c>
      <c r="F10" s="3">
        <v>0</v>
      </c>
      <c r="G10" s="3">
        <v>0</v>
      </c>
      <c r="H10" s="3">
        <v>7.7595754999999997E-5</v>
      </c>
      <c r="I10" s="3">
        <v>1.8850552000000001E-5</v>
      </c>
      <c r="J10" s="3">
        <v>-2.1749342E-4</v>
      </c>
      <c r="K10" s="3"/>
      <c r="L10" s="3">
        <f t="shared" si="0"/>
        <v>0.17772626112759643</v>
      </c>
      <c r="M10" s="3"/>
      <c r="N10" s="2">
        <f>IF('Modell einstellen'!$B$1="Voll",H10/0.35,H10/0.35*2)</f>
        <v>2.2170215714285716E-4</v>
      </c>
      <c r="O10" s="2">
        <f>IF('Modell einstellen'!$B$1="Voll",J10/0.35,J10/0.35*2)</f>
        <v>-6.2140977142857148E-4</v>
      </c>
      <c r="P10" s="3">
        <f t="shared" si="1"/>
        <v>0.35677288535901452</v>
      </c>
      <c r="Q10" s="3"/>
      <c r="R10" s="3"/>
      <c r="S10" s="3"/>
      <c r="T10" s="3"/>
      <c r="U10" s="3"/>
    </row>
    <row r="11" spans="1:21" x14ac:dyDescent="0.25">
      <c r="A11" s="3">
        <v>9.9999999999999995E-8</v>
      </c>
      <c r="B11" s="3">
        <v>9.5829999999999996E-5</v>
      </c>
      <c r="C11" s="3">
        <v>1.7789999999999999E-4</v>
      </c>
      <c r="D11" s="3">
        <v>-5.3919999999999999E-4</v>
      </c>
      <c r="E11" s="3">
        <v>0</v>
      </c>
      <c r="F11" s="3">
        <v>0</v>
      </c>
      <c r="G11" s="3">
        <v>0</v>
      </c>
      <c r="H11" s="3">
        <v>7.7595758999999994E-5</v>
      </c>
      <c r="I11" s="3">
        <v>1.8850553E-5</v>
      </c>
      <c r="J11" s="3">
        <v>-2.1749342999999999E-4</v>
      </c>
      <c r="K11" s="3"/>
      <c r="L11" s="3">
        <f t="shared" si="0"/>
        <v>0.17772626112759643</v>
      </c>
      <c r="M11" s="3"/>
      <c r="N11" s="2">
        <f>IF('Modell einstellen'!$B$1="Voll",H11/0.35,H11/0.35*2)</f>
        <v>2.2170216857142857E-4</v>
      </c>
      <c r="O11" s="2">
        <f>IF('Modell einstellen'!$B$1="Voll",J11/0.35,J11/0.35*2)</f>
        <v>-6.2140980000000001E-4</v>
      </c>
      <c r="P11" s="3">
        <f t="shared" si="1"/>
        <v>0.35677288734652812</v>
      </c>
      <c r="Q11" s="3"/>
      <c r="R11" s="3"/>
      <c r="S11" s="3"/>
      <c r="T11" s="3"/>
      <c r="U11" s="3"/>
    </row>
    <row r="12" spans="1:21" x14ac:dyDescent="0.25">
      <c r="A12" s="3">
        <v>9.9999999999999995E-7</v>
      </c>
      <c r="B12" s="3">
        <v>9.5829999999999996E-5</v>
      </c>
      <c r="C12" s="3">
        <v>1.7789999999999999E-4</v>
      </c>
      <c r="D12" s="3">
        <v>-5.3919999999999999E-4</v>
      </c>
      <c r="E12" s="3">
        <v>0</v>
      </c>
      <c r="F12" s="3">
        <v>0</v>
      </c>
      <c r="G12" s="3">
        <v>0</v>
      </c>
      <c r="H12" s="3">
        <v>7.7595801000000003E-5</v>
      </c>
      <c r="I12" s="3">
        <v>1.8850560999999999E-5</v>
      </c>
      <c r="J12" s="3">
        <v>-2.1749350000000001E-4</v>
      </c>
      <c r="K12" s="3"/>
      <c r="L12" s="3">
        <f t="shared" si="0"/>
        <v>0.17772626112759643</v>
      </c>
      <c r="M12" s="3"/>
      <c r="N12" s="2">
        <f>IF('Modell einstellen'!$B$1="Voll",H12/0.35,H12/0.35*2)</f>
        <v>2.2170228857142861E-4</v>
      </c>
      <c r="O12" s="2">
        <f>IF('Modell einstellen'!$B$1="Voll",J12/0.35,J12/0.35*2)</f>
        <v>-6.2141000000000008E-4</v>
      </c>
      <c r="P12" s="3">
        <f t="shared" si="1"/>
        <v>0.35677296562885791</v>
      </c>
      <c r="Q12" s="3"/>
      <c r="R12" s="3"/>
      <c r="S12" s="3"/>
      <c r="T12" s="3"/>
      <c r="U12" s="3"/>
    </row>
    <row r="13" spans="1:21" x14ac:dyDescent="0.25">
      <c r="A13" s="3">
        <v>1.0000000000000001E-5</v>
      </c>
      <c r="B13" s="3">
        <v>9.5829999999999996E-5</v>
      </c>
      <c r="C13" s="3">
        <v>1.7789999999999999E-4</v>
      </c>
      <c r="D13" s="3">
        <v>-5.3919999999999999E-4</v>
      </c>
      <c r="E13" s="3">
        <v>0</v>
      </c>
      <c r="F13" s="3">
        <v>0</v>
      </c>
      <c r="G13" s="3">
        <v>0</v>
      </c>
      <c r="H13" s="3">
        <v>7.7596218999999999E-5</v>
      </c>
      <c r="I13" s="3">
        <v>1.8850640000000002E-5</v>
      </c>
      <c r="J13" s="3">
        <v>-2.1749424999999999E-4</v>
      </c>
      <c r="K13" s="3"/>
      <c r="L13" s="3">
        <f t="shared" si="0"/>
        <v>0.17772626112759643</v>
      </c>
      <c r="M13" s="3"/>
      <c r="N13" s="2">
        <f>IF('Modell einstellen'!$B$1="Voll",H13/0.35,H13/0.35*2)</f>
        <v>2.2170348285714288E-4</v>
      </c>
      <c r="O13" s="2">
        <f>IF('Modell einstellen'!$B$1="Voll",J13/0.35,J13/0.35*2)</f>
        <v>-6.214121428571429E-4</v>
      </c>
      <c r="P13" s="3">
        <f t="shared" si="1"/>
        <v>0.35677365723461657</v>
      </c>
      <c r="Q13" s="3"/>
      <c r="R13" s="3"/>
      <c r="S13" s="3"/>
      <c r="T13" s="3"/>
      <c r="U13" s="3"/>
    </row>
    <row r="14" spans="1:21" x14ac:dyDescent="0.25">
      <c r="A14" s="3">
        <v>1E-4</v>
      </c>
      <c r="B14" s="3">
        <v>9.5829999999999996E-5</v>
      </c>
      <c r="C14" s="3">
        <v>1.7789999999999999E-4</v>
      </c>
      <c r="D14" s="3">
        <v>-5.3919999999999999E-4</v>
      </c>
      <c r="E14" s="3">
        <v>0</v>
      </c>
      <c r="F14" s="3">
        <v>0</v>
      </c>
      <c r="G14" s="3">
        <v>0</v>
      </c>
      <c r="H14" s="3">
        <v>7.7600393000000004E-5</v>
      </c>
      <c r="I14" s="3">
        <v>1.8851428E-5</v>
      </c>
      <c r="J14" s="3">
        <v>-2.1750171E-4</v>
      </c>
      <c r="K14" s="3"/>
      <c r="L14" s="3">
        <f t="shared" si="0"/>
        <v>0.17772626112759643</v>
      </c>
      <c r="M14" s="3"/>
      <c r="N14" s="2">
        <f>IF('Modell einstellen'!$B$1="Voll",H14/0.35,H14/0.35*2)</f>
        <v>2.217154085714286E-4</v>
      </c>
      <c r="O14" s="2">
        <f>IF('Modell einstellen'!$B$1="Voll",J14/0.35,J14/0.35*2)</f>
        <v>-6.2143345714285722E-4</v>
      </c>
      <c r="P14" s="3">
        <f t="shared" si="1"/>
        <v>0.35678061105818432</v>
      </c>
      <c r="Q14" s="3"/>
      <c r="R14" s="3"/>
      <c r="S14" s="3"/>
      <c r="T14" s="3"/>
      <c r="U14" s="3"/>
    </row>
    <row r="15" spans="1:21" x14ac:dyDescent="0.25">
      <c r="A15" s="3">
        <v>1E-3</v>
      </c>
      <c r="B15" s="3">
        <v>9.5820000000000001E-5</v>
      </c>
      <c r="C15" s="3">
        <v>1.7799999999999999E-4</v>
      </c>
      <c r="D15" s="3">
        <v>-5.3930000000000004E-4</v>
      </c>
      <c r="E15" s="3">
        <v>0</v>
      </c>
      <c r="F15" s="3">
        <v>0</v>
      </c>
      <c r="G15" s="3">
        <v>0</v>
      </c>
      <c r="H15" s="3">
        <v>7.7641833000000003E-5</v>
      </c>
      <c r="I15" s="3">
        <v>1.8859251E-5</v>
      </c>
      <c r="J15" s="3">
        <v>-2.1757577E-4</v>
      </c>
      <c r="K15" s="3"/>
      <c r="L15" s="3">
        <f t="shared" si="0"/>
        <v>0.17767476358242165</v>
      </c>
      <c r="M15" s="3"/>
      <c r="N15" s="2">
        <f>IF('Modell einstellen'!$B$1="Voll",H15/0.35,H15/0.35*2)</f>
        <v>2.2183380857142859E-4</v>
      </c>
      <c r="O15" s="2">
        <f>IF('Modell einstellen'!$B$1="Voll",J15/0.35,J15/0.35*2)</f>
        <v>-6.2164505714285717E-4</v>
      </c>
      <c r="P15" s="3">
        <f t="shared" si="1"/>
        <v>0.35684962990134428</v>
      </c>
      <c r="Q15" s="3"/>
      <c r="R15" s="3"/>
      <c r="S15" s="3"/>
      <c r="T15" s="3"/>
      <c r="U15" s="3"/>
    </row>
    <row r="16" spans="1:21" x14ac:dyDescent="0.25">
      <c r="A16" s="3">
        <v>0.01</v>
      </c>
      <c r="B16" s="3">
        <v>9.5740000000000002E-5</v>
      </c>
      <c r="C16" s="3">
        <v>1.786E-4</v>
      </c>
      <c r="D16" s="3">
        <v>-5.4000000000000001E-4</v>
      </c>
      <c r="E16" s="3">
        <v>0</v>
      </c>
      <c r="F16" s="3">
        <v>0</v>
      </c>
      <c r="G16" s="3">
        <v>0</v>
      </c>
      <c r="H16" s="3">
        <v>7.8027208999999995E-5</v>
      </c>
      <c r="I16" s="3">
        <v>1.8931956000000001E-5</v>
      </c>
      <c r="J16" s="3">
        <v>-2.1826431999999999E-4</v>
      </c>
      <c r="K16" s="3"/>
      <c r="L16" s="3">
        <f t="shared" si="0"/>
        <v>0.17729629629629629</v>
      </c>
      <c r="M16" s="3"/>
      <c r="N16" s="2">
        <f>IF('Modell einstellen'!$B$1="Voll",H16/0.35,H16/0.35*2)</f>
        <v>2.2293488285714285E-4</v>
      </c>
      <c r="O16" s="2">
        <f>IF('Modell einstellen'!$B$1="Voll",J16/0.35,J16/0.35*2)</f>
        <v>-6.2361234285714291E-4</v>
      </c>
      <c r="P16" s="3">
        <f t="shared" si="1"/>
        <v>0.35748952920935495</v>
      </c>
      <c r="Q16" s="3"/>
      <c r="R16" s="3"/>
      <c r="S16" s="3"/>
      <c r="T16" s="3"/>
      <c r="U16" s="3"/>
    </row>
    <row r="17" spans="1:25" x14ac:dyDescent="0.25">
      <c r="A17" s="3">
        <v>0.1</v>
      </c>
      <c r="B17" s="3">
        <v>9.5950000000000001E-5</v>
      </c>
      <c r="C17" s="3">
        <v>1.8220000000000001E-4</v>
      </c>
      <c r="D17" s="3">
        <v>-5.4509999999999997E-4</v>
      </c>
      <c r="E17" s="3">
        <v>0</v>
      </c>
      <c r="F17" s="3">
        <v>0</v>
      </c>
      <c r="G17" s="3">
        <v>0</v>
      </c>
      <c r="H17" s="3">
        <v>8.0196196000000006E-5</v>
      </c>
      <c r="I17" s="3">
        <v>1.9355408E-5</v>
      </c>
      <c r="J17" s="3">
        <v>-2.2218503999999999E-4</v>
      </c>
      <c r="K17" s="3"/>
      <c r="L17" s="3">
        <f t="shared" si="0"/>
        <v>0.17602274811961111</v>
      </c>
      <c r="M17" s="3"/>
      <c r="N17" s="2">
        <f>IF('Modell einstellen'!$B$1="Voll",H17/0.35,H17/0.35*2)</f>
        <v>2.2913198857142861E-4</v>
      </c>
      <c r="O17" s="2">
        <f>IF('Modell einstellen'!$B$1="Voll",J17/0.35,J17/0.35*2)</f>
        <v>-6.3481440000000007E-4</v>
      </c>
      <c r="P17" s="3">
        <f t="shared" si="1"/>
        <v>0.36094327502877782</v>
      </c>
      <c r="Q17" s="3"/>
      <c r="R17" s="3"/>
      <c r="S17" s="3"/>
      <c r="T17" s="3"/>
      <c r="U17" s="3"/>
      <c r="V17" s="3"/>
      <c r="W17" s="3"/>
      <c r="X17" s="3"/>
      <c r="Y17" s="3"/>
    </row>
    <row r="18" spans="1:25" x14ac:dyDescent="0.25">
      <c r="A18" s="3">
        <v>1</v>
      </c>
      <c r="B18" s="3">
        <v>9.5870000000000002E-5</v>
      </c>
      <c r="C18" s="3">
        <v>1.8660000000000001E-4</v>
      </c>
      <c r="D18" s="3">
        <v>-5.5099999999999995E-4</v>
      </c>
      <c r="E18" s="3">
        <v>0</v>
      </c>
      <c r="F18" s="3">
        <v>0</v>
      </c>
      <c r="G18" s="3">
        <v>0</v>
      </c>
      <c r="H18" s="3">
        <v>8.2915054000000003E-5</v>
      </c>
      <c r="I18" s="3">
        <v>1.9875882000000001E-5</v>
      </c>
      <c r="J18" s="3">
        <v>-2.2705132E-4</v>
      </c>
      <c r="K18" s="3"/>
      <c r="L18" s="3">
        <f t="shared" si="0"/>
        <v>0.17399274047186936</v>
      </c>
      <c r="M18" s="3"/>
      <c r="N18" s="2">
        <f>IF('Modell einstellen'!$B$1="Voll",H18/0.35,H18/0.35*2)</f>
        <v>2.3690015428571432E-4</v>
      </c>
      <c r="O18" s="2">
        <f>IF('Modell einstellen'!$B$1="Voll",J18/0.35,J18/0.35*2)</f>
        <v>-6.4871805714285724E-4</v>
      </c>
      <c r="P18" s="3">
        <f t="shared" si="1"/>
        <v>0.36518199497805165</v>
      </c>
      <c r="Q18" s="3"/>
      <c r="R18" s="3"/>
      <c r="S18" s="3"/>
      <c r="T18" s="3"/>
      <c r="U18" s="3"/>
      <c r="V18" s="3"/>
      <c r="W18" s="3"/>
      <c r="X18" s="3"/>
      <c r="Y18" s="3"/>
    </row>
    <row r="19" spans="1:25" x14ac:dyDescent="0.25">
      <c r="A19" s="3">
        <v>10</v>
      </c>
      <c r="B19" s="3">
        <v>9.5660000000000002E-5</v>
      </c>
      <c r="C19" s="3">
        <v>1.917E-4</v>
      </c>
      <c r="D19" s="3">
        <v>-5.576E-4</v>
      </c>
      <c r="E19" s="3">
        <v>0</v>
      </c>
      <c r="F19" s="3">
        <v>0</v>
      </c>
      <c r="G19" s="3">
        <v>0</v>
      </c>
      <c r="H19" s="3">
        <v>8.6096283000000005E-5</v>
      </c>
      <c r="I19" s="3">
        <v>2.0489436999999999E-5</v>
      </c>
      <c r="J19" s="3">
        <v>-2.3273597E-4</v>
      </c>
      <c r="K19" s="3"/>
      <c r="L19" s="3">
        <f t="shared" si="0"/>
        <v>0.17155667144906744</v>
      </c>
      <c r="M19" s="3"/>
      <c r="N19" s="2">
        <f>IF('Modell einstellen'!$B$1="Voll",H19/0.35,H19/0.35*2)</f>
        <v>2.4598938000000001E-4</v>
      </c>
      <c r="O19" s="2">
        <f>IF('Modell einstellen'!$B$1="Voll",J19/0.35,J19/0.35*2)</f>
        <v>-6.6495991428571432E-4</v>
      </c>
      <c r="P19" s="3">
        <f t="shared" si="1"/>
        <v>0.36993114128426302</v>
      </c>
      <c r="Q19" s="3"/>
      <c r="R19" s="3"/>
      <c r="S19" s="3"/>
      <c r="T19" s="3"/>
      <c r="U19" s="3"/>
      <c r="V19" s="3"/>
      <c r="W19" s="3"/>
      <c r="X19" s="3"/>
      <c r="Y19" s="3"/>
    </row>
    <row r="20" spans="1:25" x14ac:dyDescent="0.25">
      <c r="A20" s="3">
        <v>100</v>
      </c>
      <c r="B20" s="3">
        <v>9.6050000000000004E-5</v>
      </c>
      <c r="C20" s="3">
        <v>1.994E-4</v>
      </c>
      <c r="D20" s="3">
        <v>-5.6729999999999997E-4</v>
      </c>
      <c r="E20" s="3">
        <v>0</v>
      </c>
      <c r="F20" s="3">
        <v>0</v>
      </c>
      <c r="G20" s="3">
        <v>0</v>
      </c>
      <c r="H20" s="3">
        <v>9.0150247999999994E-5</v>
      </c>
      <c r="I20" s="3">
        <v>2.1404931E-5</v>
      </c>
      <c r="J20" s="3">
        <v>-2.4030849E-4</v>
      </c>
      <c r="K20" s="3"/>
      <c r="L20" s="3">
        <f t="shared" si="0"/>
        <v>0.16931077031552971</v>
      </c>
      <c r="M20" s="3"/>
      <c r="N20" s="2">
        <f>IF('Modell einstellen'!$B$1="Voll",H20/0.35,H20/0.35*2)</f>
        <v>2.5757213714285715E-4</v>
      </c>
      <c r="O20" s="2">
        <f>IF('Modell einstellen'!$B$1="Voll",J20/0.35,J20/0.35*2)</f>
        <v>-6.8659568571428572E-4</v>
      </c>
      <c r="P20" s="3">
        <f t="shared" si="1"/>
        <v>0.37514383282921049</v>
      </c>
      <c r="Q20" s="3"/>
      <c r="R20" s="3"/>
      <c r="S20" s="3"/>
      <c r="T20" s="3"/>
      <c r="U20" s="3"/>
      <c r="V20" s="3"/>
      <c r="W20" s="3"/>
      <c r="X20" s="3"/>
      <c r="Y20" s="3"/>
    </row>
    <row r="21" spans="1:25" x14ac:dyDescent="0.25">
      <c r="A21" s="3">
        <v>1000</v>
      </c>
      <c r="B21" s="3">
        <v>1.008E-4</v>
      </c>
      <c r="C21" s="3">
        <v>2.142E-4</v>
      </c>
      <c r="D21" s="3">
        <v>-5.867E-4</v>
      </c>
      <c r="E21" s="3">
        <v>0</v>
      </c>
      <c r="F21" s="3">
        <v>0</v>
      </c>
      <c r="G21" s="3">
        <v>0</v>
      </c>
      <c r="H21" s="3">
        <v>9.4835808000000006E-5</v>
      </c>
      <c r="I21" s="3">
        <v>2.3131613999999999E-5</v>
      </c>
      <c r="J21" s="3">
        <v>-2.5083263999999998E-4</v>
      </c>
      <c r="K21" s="3"/>
      <c r="L21" s="3">
        <f t="shared" si="0"/>
        <v>0.17180841997613772</v>
      </c>
      <c r="M21" s="3"/>
      <c r="N21" s="2">
        <f>IF('Modell einstellen'!$B$1="Voll",H21/0.35,H21/0.35*2)</f>
        <v>2.7095945142857148E-4</v>
      </c>
      <c r="O21" s="2">
        <f>IF('Modell einstellen'!$B$1="Voll",J21/0.35,J21/0.35*2)</f>
        <v>-7.1666468571428569E-4</v>
      </c>
      <c r="P21" s="3">
        <f t="shared" si="1"/>
        <v>0.37808400055112451</v>
      </c>
      <c r="Q21" s="3"/>
      <c r="R21" s="3"/>
      <c r="S21" s="3"/>
      <c r="T21" s="3"/>
      <c r="U21" s="3"/>
      <c r="V21" s="3"/>
      <c r="W21" s="3"/>
      <c r="X21" s="3"/>
      <c r="Y21" s="3"/>
    </row>
    <row r="22" spans="1:25" x14ac:dyDescent="0.25">
      <c r="A22" s="3">
        <v>10000</v>
      </c>
      <c r="B22" s="3">
        <v>1.121E-4</v>
      </c>
      <c r="C22" s="3">
        <v>2.3910000000000001E-4</v>
      </c>
      <c r="D22" s="3">
        <v>-6.2080000000000002E-4</v>
      </c>
      <c r="E22" s="3">
        <v>0</v>
      </c>
      <c r="F22" s="3">
        <v>0</v>
      </c>
      <c r="G22" s="3">
        <v>0</v>
      </c>
      <c r="H22" s="3">
        <v>1.010157E-4</v>
      </c>
      <c r="I22" s="3">
        <v>2.6050137000000001E-5</v>
      </c>
      <c r="J22" s="3">
        <v>-2.6645873999999999E-4</v>
      </c>
      <c r="K22" s="3"/>
      <c r="L22" s="3">
        <f t="shared" si="0"/>
        <v>0.18057345360824742</v>
      </c>
      <c r="M22" s="3"/>
      <c r="N22" s="2">
        <f>IF('Modell einstellen'!$B$1="Voll",H22/0.35,H22/0.35*2)</f>
        <v>2.8861628571428573E-4</v>
      </c>
      <c r="O22" s="2">
        <f>IF('Modell einstellen'!$B$1="Voll",J22/0.35,J22/0.35*2)</f>
        <v>-7.6131068571428577E-4</v>
      </c>
      <c r="P22" s="3">
        <f t="shared" si="1"/>
        <v>0.37910447223461313</v>
      </c>
      <c r="Q22" s="3"/>
      <c r="R22" s="3"/>
      <c r="S22" s="3"/>
      <c r="T22" s="3"/>
      <c r="U22" s="3"/>
      <c r="V22" s="3"/>
      <c r="W22" s="3"/>
      <c r="X22" s="3"/>
      <c r="Y22" s="3"/>
    </row>
    <row r="23" spans="1:25" x14ac:dyDescent="0.25">
      <c r="A23" s="3">
        <v>100000</v>
      </c>
      <c r="B23" s="3">
        <v>1.2540000000000001E-4</v>
      </c>
      <c r="C23" s="3">
        <v>2.6909999999999998E-4</v>
      </c>
      <c r="D23" s="3">
        <v>-6.6220000000000005E-4</v>
      </c>
      <c r="E23" s="3">
        <v>0</v>
      </c>
      <c r="F23" s="3">
        <v>0</v>
      </c>
      <c r="G23" s="3">
        <v>0</v>
      </c>
      <c r="H23" s="3">
        <v>1.0895603999999999E-4</v>
      </c>
      <c r="I23" s="3">
        <v>2.9624218999999999E-5</v>
      </c>
      <c r="J23" s="3">
        <v>-2.861723E-4</v>
      </c>
      <c r="K23" s="3"/>
      <c r="L23" s="3">
        <f t="shared" si="0"/>
        <v>0.18936877076411959</v>
      </c>
      <c r="M23" s="3"/>
      <c r="N23" s="2">
        <f>IF('Modell einstellen'!$B$1="Voll",H23/0.35,H23/0.35*2)</f>
        <v>3.1130297142857144E-4</v>
      </c>
      <c r="O23" s="2">
        <f>IF('Modell einstellen'!$B$1="Voll",J23/0.35,J23/0.35*2)</f>
        <v>-8.1763514285714293E-4</v>
      </c>
      <c r="P23" s="3">
        <f t="shared" si="1"/>
        <v>0.38073580147344799</v>
      </c>
      <c r="Q23" s="3"/>
      <c r="R23" s="3"/>
      <c r="S23" s="3"/>
      <c r="T23" s="3"/>
      <c r="U23" s="3"/>
      <c r="V23" s="3"/>
      <c r="W23" s="3"/>
      <c r="X23" s="3"/>
      <c r="Y23" s="3"/>
    </row>
    <row r="24" spans="1:25" x14ac:dyDescent="0.25">
      <c r="A24" s="3">
        <v>1000000</v>
      </c>
      <c r="B24" s="3">
        <v>1.381E-4</v>
      </c>
      <c r="C24" s="3">
        <v>2.99E-4</v>
      </c>
      <c r="D24" s="3">
        <v>-7.0390000000000003E-4</v>
      </c>
      <c r="E24" s="3">
        <v>0</v>
      </c>
      <c r="F24" s="3">
        <v>0</v>
      </c>
      <c r="G24" s="3">
        <v>0</v>
      </c>
      <c r="H24" s="3">
        <v>1.1802469E-4</v>
      </c>
      <c r="I24" s="3">
        <v>3.3274714E-5</v>
      </c>
      <c r="J24" s="3">
        <v>-3.0758834999999998E-4</v>
      </c>
      <c r="K24" s="3"/>
      <c r="L24" s="3">
        <f t="shared" si="0"/>
        <v>0.19619264100014205</v>
      </c>
      <c r="M24" s="3"/>
      <c r="N24" s="2">
        <f>IF('Modell einstellen'!$B$1="Voll",H24/0.35,H24/0.35*2)</f>
        <v>3.3721340000000003E-4</v>
      </c>
      <c r="O24" s="2">
        <f>IF('Modell einstellen'!$B$1="Voll",J24/0.35,J24/0.35*2)</f>
        <v>-8.7882385714285716E-4</v>
      </c>
      <c r="P24" s="3">
        <f t="shared" si="1"/>
        <v>0.38370988368057507</v>
      </c>
      <c r="Q24" s="3"/>
      <c r="R24" s="3"/>
      <c r="S24" s="3"/>
      <c r="T24" s="3"/>
      <c r="U24" s="3"/>
      <c r="V24" s="3"/>
      <c r="W24" s="3"/>
      <c r="X24" s="3"/>
      <c r="Y24" s="3"/>
    </row>
    <row r="25" spans="1:25" x14ac:dyDescent="0.25">
      <c r="A25" s="3">
        <v>10000000</v>
      </c>
      <c r="B25" s="3">
        <v>1.462E-4</v>
      </c>
      <c r="C25" s="3">
        <v>3.2820000000000001E-4</v>
      </c>
      <c r="D25" s="3">
        <v>-7.4180000000000003E-4</v>
      </c>
      <c r="E25" s="3">
        <v>0</v>
      </c>
      <c r="F25" s="3">
        <v>0</v>
      </c>
      <c r="G25" s="3">
        <v>0</v>
      </c>
      <c r="H25" s="3">
        <v>1.2821594E-4</v>
      </c>
      <c r="I25" s="3">
        <v>3.6958442000000003E-5</v>
      </c>
      <c r="J25" s="3">
        <v>-3.3059263999999999E-4</v>
      </c>
      <c r="K25" s="3"/>
      <c r="L25" s="3">
        <f t="shared" si="0"/>
        <v>0.1970881639255864</v>
      </c>
      <c r="M25" s="3"/>
      <c r="N25" s="2">
        <f>IF('Modell einstellen'!$B$1="Voll",H25/0.35,H25/0.35*2)</f>
        <v>3.6633125714285715E-4</v>
      </c>
      <c r="O25" s="2">
        <f>IF('Modell einstellen'!$B$1="Voll",J25/0.35,J25/0.35*2)</f>
        <v>-9.4455039999999997E-4</v>
      </c>
      <c r="P25" s="3">
        <f t="shared" si="1"/>
        <v>0.38783664391318573</v>
      </c>
      <c r="Q25" s="3"/>
      <c r="R25" s="3"/>
      <c r="S25" s="3"/>
      <c r="T25" s="3"/>
      <c r="U25" s="3"/>
      <c r="V25" s="3"/>
      <c r="W25" s="3"/>
      <c r="X25" s="3"/>
      <c r="Y25" s="3"/>
    </row>
    <row r="26" spans="1:25" x14ac:dyDescent="0.25">
      <c r="A26" s="3">
        <v>100000000</v>
      </c>
      <c r="B26" s="3">
        <v>1.4870000000000001E-4</v>
      </c>
      <c r="C26" s="3">
        <v>3.59E-4</v>
      </c>
      <c r="D26" s="3">
        <v>-7.7700000000000002E-4</v>
      </c>
      <c r="E26" s="3">
        <v>0</v>
      </c>
      <c r="F26" s="3">
        <v>0</v>
      </c>
      <c r="G26" s="3">
        <v>0</v>
      </c>
      <c r="H26" s="3">
        <v>1.4039883000000001E-4</v>
      </c>
      <c r="I26" s="3">
        <v>4.0969612999999997E-5</v>
      </c>
      <c r="J26" s="3">
        <v>-3.5707395999999997E-4</v>
      </c>
      <c r="K26" s="3"/>
      <c r="L26" s="3">
        <f t="shared" si="0"/>
        <v>0.19137709137709139</v>
      </c>
      <c r="M26" s="3"/>
      <c r="N26" s="2">
        <f>IF('Modell einstellen'!$B$1="Voll",H26/0.35,H26/0.35*2)</f>
        <v>4.0113951428571434E-4</v>
      </c>
      <c r="O26" s="2">
        <f>IF('Modell einstellen'!$B$1="Voll",J26/0.35,J26/0.35*2)</f>
        <v>-1.0202113142857142E-3</v>
      </c>
      <c r="P26" s="3">
        <f t="shared" si="1"/>
        <v>0.39319257556613768</v>
      </c>
      <c r="Q26" s="3"/>
      <c r="R26" s="3"/>
      <c r="S26" s="3"/>
      <c r="T26" s="3"/>
      <c r="U26" s="3"/>
      <c r="V26" s="3"/>
      <c r="W26" s="3"/>
      <c r="X26" s="3"/>
      <c r="Y26" s="3"/>
    </row>
    <row r="27" spans="1:25" x14ac:dyDescent="0.25">
      <c r="A27" s="3">
        <v>1000000000</v>
      </c>
      <c r="B27" s="3">
        <v>1.4249999999999999E-4</v>
      </c>
      <c r="C27" s="3">
        <v>3.9599999999999998E-4</v>
      </c>
      <c r="D27" s="3">
        <v>-8.1099999999999998E-4</v>
      </c>
      <c r="E27" s="3">
        <v>0</v>
      </c>
      <c r="F27" s="3">
        <v>0</v>
      </c>
      <c r="G27" s="3">
        <v>0</v>
      </c>
      <c r="H27" s="3">
        <v>1.5646152999999999E-4</v>
      </c>
      <c r="I27" s="3">
        <v>4.5963247000000003E-5</v>
      </c>
      <c r="J27" s="3">
        <v>-3.9122791000000001E-4</v>
      </c>
      <c r="K27" s="3"/>
      <c r="L27" s="3">
        <f t="shared" si="0"/>
        <v>0.17570900123304561</v>
      </c>
      <c r="M27" s="3"/>
      <c r="N27" s="2">
        <f>IF('Modell einstellen'!$B$1="Voll",H27/0.35,H27/0.35*2)</f>
        <v>4.4703294285714288E-4</v>
      </c>
      <c r="O27" s="2">
        <f>IF('Modell einstellen'!$B$1="Voll",J27/0.35,J27/0.35*2)</f>
        <v>-1.1177940285714287E-3</v>
      </c>
      <c r="P27" s="3">
        <f t="shared" si="1"/>
        <v>0.39992425387033348</v>
      </c>
      <c r="Q27" s="3"/>
      <c r="R27" s="3"/>
      <c r="S27" s="3"/>
      <c r="T27" s="3"/>
      <c r="U27" s="3"/>
      <c r="V27" s="3"/>
      <c r="W27" s="3"/>
      <c r="X27" s="3"/>
      <c r="Y27" s="3"/>
    </row>
    <row r="28" spans="1:25" x14ac:dyDescent="0.25">
      <c r="A28" s="3">
        <v>10000000000</v>
      </c>
      <c r="B28" s="3">
        <v>1.1629999999999999E-4</v>
      </c>
      <c r="C28" s="3">
        <v>4.5090000000000001E-4</v>
      </c>
      <c r="D28" s="3">
        <v>-8.4500000000000005E-4</v>
      </c>
      <c r="E28" s="3">
        <v>0</v>
      </c>
      <c r="F28" s="3">
        <v>0</v>
      </c>
      <c r="G28" s="3">
        <v>0</v>
      </c>
      <c r="H28" s="3">
        <v>1.8200816000000001E-4</v>
      </c>
      <c r="I28" s="3">
        <v>5.3666555999999998E-5</v>
      </c>
      <c r="J28" s="3">
        <v>-4.4491387000000001E-4</v>
      </c>
      <c r="K28" s="3"/>
      <c r="L28" s="3">
        <f t="shared" si="0"/>
        <v>0.13763313609467454</v>
      </c>
      <c r="M28" s="3"/>
      <c r="N28" s="2">
        <f>IF('Modell einstellen'!$B$1="Voll",H28/0.35,H28/0.35*2)</f>
        <v>5.2002331428571431E-4</v>
      </c>
      <c r="O28" s="2">
        <f>IF('Modell einstellen'!$B$1="Voll",J28/0.35,J28/0.35*2)</f>
        <v>-1.2711824857142859E-3</v>
      </c>
      <c r="P28" s="3">
        <f t="shared" si="1"/>
        <v>0.4090862800029138</v>
      </c>
      <c r="Q28" s="3"/>
      <c r="R28" s="3"/>
      <c r="S28" s="3"/>
      <c r="T28" s="3"/>
      <c r="U28" s="3"/>
      <c r="V28" s="3"/>
      <c r="W28" s="3"/>
      <c r="X28" s="3"/>
      <c r="Y28" s="3"/>
    </row>
    <row r="29" spans="1:25" x14ac:dyDescent="0.25">
      <c r="A29" s="3">
        <v>100000000000</v>
      </c>
      <c r="B29" s="3">
        <v>4.6600000000000001E-5</v>
      </c>
      <c r="C29" s="3">
        <v>5.3529999999999995E-4</v>
      </c>
      <c r="D29" s="3">
        <v>-8.6720000000000005E-4</v>
      </c>
      <c r="E29" s="3">
        <v>0</v>
      </c>
      <c r="F29" s="3">
        <v>0</v>
      </c>
      <c r="G29" s="3">
        <v>0</v>
      </c>
      <c r="H29" s="3">
        <v>2.2416568000000001E-4</v>
      </c>
      <c r="I29" s="3">
        <v>6.6142421999999999E-5</v>
      </c>
      <c r="J29" s="3">
        <v>-5.3269576000000002E-4</v>
      </c>
      <c r="K29" s="3"/>
      <c r="L29" s="3">
        <f t="shared" si="0"/>
        <v>5.3736162361623617E-2</v>
      </c>
      <c r="M29" s="3"/>
      <c r="N29" s="2">
        <f>IF('Modell einstellen'!$B$1="Voll",H29/0.35,H29/0.35*2)</f>
        <v>6.4047337142857151E-4</v>
      </c>
      <c r="O29" s="2">
        <f>IF('Modell einstellen'!$B$1="Voll",J29/0.35,J29/0.35*2)</f>
        <v>-1.5219878857142858E-3</v>
      </c>
      <c r="P29" s="3">
        <f t="shared" si="1"/>
        <v>0.42081371175171361</v>
      </c>
      <c r="Q29" s="3"/>
      <c r="R29" s="3"/>
      <c r="S29" s="3"/>
      <c r="T29" s="3"/>
      <c r="U29" s="3"/>
      <c r="V29" s="3"/>
      <c r="W29" s="3"/>
      <c r="X29" s="3"/>
      <c r="Y29" s="3"/>
    </row>
    <row r="30" spans="1:25" x14ac:dyDescent="0.25">
      <c r="A30" s="3">
        <v>1000000000000</v>
      </c>
      <c r="B30" s="3">
        <v>-1.3200000000000001E-4</v>
      </c>
      <c r="C30" s="3">
        <v>6.7500000000000004E-4</v>
      </c>
      <c r="D30" s="3">
        <v>-8.386E-4</v>
      </c>
      <c r="E30" s="3">
        <v>0</v>
      </c>
      <c r="F30" s="3">
        <v>0</v>
      </c>
      <c r="G30" s="3">
        <v>0</v>
      </c>
      <c r="H30" s="3">
        <v>3.0204899000000002E-4</v>
      </c>
      <c r="I30" s="3">
        <v>8.8270947000000004E-5</v>
      </c>
      <c r="J30" s="3">
        <v>-6.9146845999999999E-4</v>
      </c>
      <c r="K30" s="3"/>
      <c r="L30" s="3">
        <f t="shared" si="0"/>
        <v>-0.1574051991414262</v>
      </c>
      <c r="M30" s="3"/>
      <c r="N30" s="2">
        <f>IF('Modell einstellen'!$B$1="Voll",H30/0.35,H30/0.35*2)</f>
        <v>8.6299711428571436E-4</v>
      </c>
      <c r="O30" s="2">
        <f>IF('Modell einstellen'!$B$1="Voll",J30/0.35,J30/0.35*2)</f>
        <v>-1.9756241714285715E-3</v>
      </c>
      <c r="P30" s="3">
        <f t="shared" si="1"/>
        <v>0.43682251248307119</v>
      </c>
      <c r="Q30" s="3"/>
      <c r="R30" s="3"/>
      <c r="S30" s="3"/>
      <c r="T30" s="3"/>
      <c r="U30" s="3"/>
      <c r="V30" s="3"/>
      <c r="W30" s="3"/>
      <c r="X30" s="3"/>
      <c r="Y30" s="3"/>
    </row>
    <row r="31" spans="1:25" x14ac:dyDescent="0.25">
      <c r="A31" s="3">
        <v>10000000000000</v>
      </c>
      <c r="B31" s="3">
        <v>-6.311E-4</v>
      </c>
      <c r="C31" s="3">
        <v>9.3769999999999997E-4</v>
      </c>
      <c r="D31" s="3">
        <v>-6.1550000000000005E-4</v>
      </c>
      <c r="E31" s="3">
        <v>0</v>
      </c>
      <c r="F31" s="3">
        <v>0</v>
      </c>
      <c r="G31" s="3">
        <v>0</v>
      </c>
      <c r="H31" s="3">
        <v>4.7349873E-4</v>
      </c>
      <c r="I31" s="3">
        <v>1.3365451E-4</v>
      </c>
      <c r="J31" s="3">
        <v>-1.028532E-3</v>
      </c>
      <c r="K31" s="3"/>
      <c r="L31" s="3">
        <f t="shared" si="0"/>
        <v>-1.0253452477660439</v>
      </c>
      <c r="M31" s="3"/>
      <c r="N31" s="2">
        <f>IF('Modell einstellen'!$B$1="Voll",H31/0.35,H31/0.35*2)</f>
        <v>1.3528535142857143E-3</v>
      </c>
      <c r="O31" s="2">
        <f>IF('Modell einstellen'!$B$1="Voll",J31/0.35,J31/0.35*2)</f>
        <v>-2.9386628571428574E-3</v>
      </c>
      <c r="P31" s="3">
        <f t="shared" si="1"/>
        <v>0.46036363477266623</v>
      </c>
      <c r="Q31" s="3"/>
      <c r="R31" s="3"/>
      <c r="S31" s="3"/>
      <c r="T31" s="3"/>
      <c r="U31" s="3"/>
      <c r="V31" s="3"/>
      <c r="W31" s="3"/>
      <c r="X31" s="3"/>
      <c r="Y31" s="3"/>
    </row>
    <row r="32" spans="1:25" x14ac:dyDescent="0.25">
      <c r="A32" s="3">
        <v>100000000000000</v>
      </c>
      <c r="B32" s="3">
        <v>-1.818E-3</v>
      </c>
      <c r="C32" s="3">
        <v>1.4009999999999999E-3</v>
      </c>
      <c r="D32" s="3">
        <v>9.5730000000000007E-5</v>
      </c>
      <c r="E32" s="3">
        <v>0</v>
      </c>
      <c r="F32" s="3">
        <v>0</v>
      </c>
      <c r="G32" s="3">
        <v>0</v>
      </c>
      <c r="H32" s="3">
        <v>8.2813440000000004E-4</v>
      </c>
      <c r="I32" s="3">
        <v>2.2018955E-4</v>
      </c>
      <c r="J32" s="3">
        <v>-1.6975768E-3</v>
      </c>
      <c r="K32" s="3"/>
      <c r="L32" s="3">
        <f t="shared" si="0"/>
        <v>18.990911939830774</v>
      </c>
      <c r="M32" s="3"/>
      <c r="N32" s="2">
        <f>IF('Modell einstellen'!$B$1="Voll",H32/0.35,H32/0.35*2)</f>
        <v>2.3660982857142861E-3</v>
      </c>
      <c r="O32" s="2">
        <f>IF('Modell einstellen'!$B$1="Voll",J32/0.35,J32/0.35*2)</f>
        <v>-4.8502194285714286E-3</v>
      </c>
      <c r="P32" s="3">
        <f t="shared" si="1"/>
        <v>0.48783324560043478</v>
      </c>
      <c r="Q32" s="3"/>
      <c r="R32" s="3"/>
      <c r="S32" s="3"/>
      <c r="T32" s="3"/>
      <c r="U32" s="3"/>
      <c r="V32" s="3"/>
      <c r="W32" s="3"/>
      <c r="X32" s="3"/>
      <c r="Y32" s="3"/>
    </row>
    <row r="33" spans="1:25" x14ac:dyDescent="0.25">
      <c r="A33" s="2">
        <v>1000000000000000</v>
      </c>
      <c r="B33" s="3">
        <v>-4.2180000000000004E-3</v>
      </c>
      <c r="C33" s="3">
        <v>2.2000000000000001E-3</v>
      </c>
      <c r="D33" s="3">
        <v>1.689E-3</v>
      </c>
      <c r="E33" s="3">
        <v>0</v>
      </c>
      <c r="F33" s="3">
        <v>0</v>
      </c>
      <c r="G33" s="3">
        <v>0</v>
      </c>
      <c r="H33" s="3">
        <v>1.5062456E-3</v>
      </c>
      <c r="I33" s="3">
        <v>3.7595868999999997E-4</v>
      </c>
      <c r="J33" s="3">
        <v>-2.9366087000000001E-3</v>
      </c>
      <c r="K33" s="3"/>
      <c r="L33" s="3">
        <f t="shared" si="0"/>
        <v>2.4973357015985793</v>
      </c>
      <c r="M33" s="3"/>
      <c r="N33" s="2">
        <f>IF('Modell einstellen'!$B$1="Voll",H33/0.35,H33/0.35*2)</f>
        <v>4.3035588571428574E-3</v>
      </c>
      <c r="O33" s="2">
        <f>IF('Modell einstellen'!$B$1="Voll",J33/0.35,J33/0.35*2)</f>
        <v>-8.3903105714285726E-3</v>
      </c>
      <c r="P33" s="3">
        <f t="shared" si="1"/>
        <v>0.51292009044310194</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9.6539999999999994E-5</v>
      </c>
      <c r="C3" s="3">
        <v>1.786E-4</v>
      </c>
      <c r="D3" s="3">
        <v>-5.4040000000000002E-4</v>
      </c>
      <c r="E3" s="3">
        <v>0</v>
      </c>
      <c r="F3" s="3">
        <v>0</v>
      </c>
      <c r="G3" s="3">
        <v>0</v>
      </c>
      <c r="H3" s="3">
        <v>7.7631371999999993E-5</v>
      </c>
      <c r="I3" s="3">
        <v>1.8931443000000001E-5</v>
      </c>
      <c r="J3" s="3">
        <v>-2.1776280000000001E-4</v>
      </c>
      <c r="K3" s="3"/>
      <c r="L3" s="3">
        <f>-B3/D3</f>
        <v>0.17864544781643227</v>
      </c>
      <c r="M3" s="3"/>
      <c r="N3" s="2">
        <f>IF('Modell einstellen'!$B$1="Voll",H3/0.35,H3/0.35*2)</f>
        <v>2.2180392E-4</v>
      </c>
      <c r="O3" s="2">
        <f>IF('Modell einstellen'!$B$1="Voll",J3/0.35,J3/0.35*2)</f>
        <v>-6.2217942857142861E-4</v>
      </c>
      <c r="P3" s="3">
        <f>-N3/O3</f>
        <v>0.356495103846938</v>
      </c>
      <c r="Q3" s="3"/>
      <c r="R3" s="3"/>
      <c r="S3" s="3"/>
      <c r="T3" s="3"/>
      <c r="U3" s="3"/>
    </row>
    <row r="4" spans="1:21" x14ac:dyDescent="0.25">
      <c r="A4" s="3">
        <v>1E-14</v>
      </c>
      <c r="B4" s="3">
        <v>9.6539999999999994E-5</v>
      </c>
      <c r="C4" s="3">
        <v>1.786E-4</v>
      </c>
      <c r="D4" s="3">
        <v>-5.4040000000000002E-4</v>
      </c>
      <c r="E4" s="3">
        <v>0</v>
      </c>
      <c r="F4" s="3">
        <v>0</v>
      </c>
      <c r="G4" s="3">
        <v>0</v>
      </c>
      <c r="H4" s="3">
        <v>7.7633672000000005E-5</v>
      </c>
      <c r="I4" s="3">
        <v>1.8931980999999999E-5</v>
      </c>
      <c r="J4" s="3">
        <v>-2.1775867E-4</v>
      </c>
      <c r="K4" s="3"/>
      <c r="L4" s="3">
        <f t="shared" ref="L4:L33" si="0">-B4/D4</f>
        <v>0.17864544781643227</v>
      </c>
      <c r="M4" s="3"/>
      <c r="N4" s="2">
        <f>IF('Modell einstellen'!$B$1="Voll",H4/0.35,H4/0.35*2)</f>
        <v>2.2181049142857147E-4</v>
      </c>
      <c r="O4" s="2">
        <f>IF('Modell einstellen'!$B$1="Voll",J4/0.35,J4/0.35*2)</f>
        <v>-6.221676285714286E-4</v>
      </c>
      <c r="P4" s="3">
        <f t="shared" ref="P4:P33" si="1">-N4/O4</f>
        <v>0.35651242726638627</v>
      </c>
      <c r="Q4" s="3"/>
      <c r="R4" s="3"/>
      <c r="S4" s="3"/>
      <c r="T4" s="3"/>
      <c r="U4" s="3"/>
    </row>
    <row r="5" spans="1:21" x14ac:dyDescent="0.25">
      <c r="A5" s="3">
        <v>1E-13</v>
      </c>
      <c r="B5" s="3">
        <v>9.6539999999999994E-5</v>
      </c>
      <c r="C5" s="3">
        <v>1.786E-4</v>
      </c>
      <c r="D5" s="3">
        <v>-5.4040000000000002E-4</v>
      </c>
      <c r="E5" s="3">
        <v>0</v>
      </c>
      <c r="F5" s="3">
        <v>0</v>
      </c>
      <c r="G5" s="3">
        <v>0</v>
      </c>
      <c r="H5" s="3">
        <v>7.7633979999999994E-5</v>
      </c>
      <c r="I5" s="3">
        <v>1.8932109999999999E-5</v>
      </c>
      <c r="J5" s="3">
        <v>-2.1775947999999999E-4</v>
      </c>
      <c r="K5" s="3"/>
      <c r="L5" s="3">
        <f t="shared" si="0"/>
        <v>0.17864544781643227</v>
      </c>
      <c r="M5" s="3"/>
      <c r="N5" s="2">
        <f>IF('Modell einstellen'!$B$1="Voll",H5/0.35,H5/0.35*2)</f>
        <v>2.2181137142857142E-4</v>
      </c>
      <c r="O5" s="2">
        <f>IF('Modell einstellen'!$B$1="Voll",J5/0.35,J5/0.35*2)</f>
        <v>-6.2216994285714284E-4</v>
      </c>
      <c r="P5" s="3">
        <f t="shared" si="1"/>
        <v>0.35651251555156177</v>
      </c>
      <c r="Q5" s="3"/>
      <c r="R5" s="3"/>
      <c r="S5" s="3"/>
      <c r="T5" s="3"/>
      <c r="U5" s="3"/>
    </row>
    <row r="6" spans="1:21" x14ac:dyDescent="0.25">
      <c r="A6" s="3">
        <v>9.9999999999999998E-13</v>
      </c>
      <c r="B6" s="3">
        <v>9.6539999999999994E-5</v>
      </c>
      <c r="C6" s="3">
        <v>1.786E-4</v>
      </c>
      <c r="D6" s="3">
        <v>-5.4040000000000002E-4</v>
      </c>
      <c r="E6" s="3">
        <v>0</v>
      </c>
      <c r="F6" s="3">
        <v>0</v>
      </c>
      <c r="G6" s="3">
        <v>0</v>
      </c>
      <c r="H6" s="3">
        <v>7.7634077999999996E-5</v>
      </c>
      <c r="I6" s="3">
        <v>1.8932144000000002E-5</v>
      </c>
      <c r="J6" s="3">
        <v>-2.1775972000000001E-4</v>
      </c>
      <c r="K6" s="3"/>
      <c r="L6" s="3">
        <f t="shared" si="0"/>
        <v>0.17864544781643227</v>
      </c>
      <c r="M6" s="3"/>
      <c r="N6" s="2">
        <f>IF('Modell einstellen'!$B$1="Voll",H6/0.35,H6/0.35*2)</f>
        <v>2.2181165142857144E-4</v>
      </c>
      <c r="O6" s="2">
        <f>IF('Modell einstellen'!$B$1="Voll",J6/0.35,J6/0.35*2)</f>
        <v>-6.2217062857142865E-4</v>
      </c>
      <c r="P6" s="3">
        <f t="shared" si="1"/>
        <v>0.35651257266495379</v>
      </c>
      <c r="Q6" s="3"/>
      <c r="R6" s="3"/>
      <c r="S6" s="3"/>
      <c r="T6" s="3"/>
      <c r="U6" s="3"/>
    </row>
    <row r="7" spans="1:21" x14ac:dyDescent="0.25">
      <c r="A7" s="3">
        <v>9.9999999999999994E-12</v>
      </c>
      <c r="B7" s="3">
        <v>9.6539999999999994E-5</v>
      </c>
      <c r="C7" s="3">
        <v>1.786E-4</v>
      </c>
      <c r="D7" s="3">
        <v>-5.4040000000000002E-4</v>
      </c>
      <c r="E7" s="3">
        <v>0</v>
      </c>
      <c r="F7" s="3">
        <v>0</v>
      </c>
      <c r="G7" s="3">
        <v>0</v>
      </c>
      <c r="H7" s="3">
        <v>7.7634110999999999E-5</v>
      </c>
      <c r="I7" s="3">
        <v>1.8932153999999999E-5</v>
      </c>
      <c r="J7" s="3">
        <v>-2.1775979E-4</v>
      </c>
      <c r="K7" s="3"/>
      <c r="L7" s="3">
        <f t="shared" si="0"/>
        <v>0.17864544781643227</v>
      </c>
      <c r="M7" s="3"/>
      <c r="N7" s="2">
        <f>IF('Modell einstellen'!$B$1="Voll",H7/0.35,H7/0.35*2)</f>
        <v>2.2181174571428574E-4</v>
      </c>
      <c r="O7" s="2">
        <f>IF('Modell einstellen'!$B$1="Voll",J7/0.35,J7/0.35*2)</f>
        <v>-6.2217082857142861E-4</v>
      </c>
      <c r="P7" s="3">
        <f t="shared" si="1"/>
        <v>0.35651260960529035</v>
      </c>
      <c r="Q7" s="3"/>
      <c r="R7" s="3"/>
      <c r="S7" s="3"/>
      <c r="T7" s="3"/>
      <c r="U7" s="3"/>
    </row>
    <row r="8" spans="1:21" x14ac:dyDescent="0.25">
      <c r="A8" s="3">
        <v>1E-10</v>
      </c>
      <c r="B8" s="3">
        <v>9.6539999999999994E-5</v>
      </c>
      <c r="C8" s="3">
        <v>1.786E-4</v>
      </c>
      <c r="D8" s="3">
        <v>-5.4040000000000002E-4</v>
      </c>
      <c r="E8" s="3">
        <v>0</v>
      </c>
      <c r="F8" s="3">
        <v>0</v>
      </c>
      <c r="G8" s="3">
        <v>0</v>
      </c>
      <c r="H8" s="3">
        <v>7.7634124999999998E-5</v>
      </c>
      <c r="I8" s="3">
        <v>1.8932158E-5</v>
      </c>
      <c r="J8" s="3">
        <v>-2.1775981999999999E-4</v>
      </c>
      <c r="K8" s="3"/>
      <c r="L8" s="3">
        <f t="shared" si="0"/>
        <v>0.17864544781643227</v>
      </c>
      <c r="M8" s="3"/>
      <c r="N8" s="2">
        <f>IF('Modell einstellen'!$B$1="Voll",H8/0.35,H8/0.35*2)</f>
        <v>2.2181178571428572E-4</v>
      </c>
      <c r="O8" s="2">
        <f>IF('Modell einstellen'!$B$1="Voll",J8/0.35,J8/0.35*2)</f>
        <v>-6.2217091428571432E-4</v>
      </c>
      <c r="P8" s="3">
        <f t="shared" si="1"/>
        <v>0.35651262478082502</v>
      </c>
      <c r="Q8" s="3"/>
      <c r="R8" s="3"/>
      <c r="S8" s="3"/>
      <c r="T8" s="3"/>
      <c r="U8" s="3"/>
    </row>
    <row r="9" spans="1:21" x14ac:dyDescent="0.25">
      <c r="A9" s="3">
        <v>1.0000000000000001E-9</v>
      </c>
      <c r="B9" s="3">
        <v>9.6539999999999994E-5</v>
      </c>
      <c r="C9" s="3">
        <v>1.786E-4</v>
      </c>
      <c r="D9" s="3">
        <v>-5.4040000000000002E-4</v>
      </c>
      <c r="E9" s="3">
        <v>0</v>
      </c>
      <c r="F9" s="3">
        <v>0</v>
      </c>
      <c r="G9" s="3">
        <v>0</v>
      </c>
      <c r="H9" s="3">
        <v>7.7634165999999996E-5</v>
      </c>
      <c r="I9" s="3">
        <v>1.8932165999999998E-5</v>
      </c>
      <c r="J9" s="3">
        <v>-2.177599E-4</v>
      </c>
      <c r="K9" s="3"/>
      <c r="L9" s="3">
        <f t="shared" si="0"/>
        <v>0.17864544781643227</v>
      </c>
      <c r="M9" s="3"/>
      <c r="N9" s="2">
        <f>IF('Modell einstellen'!$B$1="Voll",H9/0.35,H9/0.35*2)</f>
        <v>2.2181190285714287E-4</v>
      </c>
      <c r="O9" s="2">
        <f>IF('Modell einstellen'!$B$1="Voll",J9/0.35,J9/0.35*2)</f>
        <v>-6.2217114285714292E-4</v>
      </c>
      <c r="P9" s="3">
        <f t="shared" si="1"/>
        <v>0.35651268208701414</v>
      </c>
      <c r="Q9" s="3"/>
      <c r="R9" s="3"/>
      <c r="S9" s="3"/>
      <c r="T9" s="3"/>
      <c r="U9" s="3"/>
    </row>
    <row r="10" spans="1:21" x14ac:dyDescent="0.25">
      <c r="A10" s="3">
        <v>1E-8</v>
      </c>
      <c r="B10" s="3">
        <v>9.6539999999999994E-5</v>
      </c>
      <c r="C10" s="3">
        <v>1.786E-4</v>
      </c>
      <c r="D10" s="3">
        <v>-5.4040000000000002E-4</v>
      </c>
      <c r="E10" s="3">
        <v>0</v>
      </c>
      <c r="F10" s="3">
        <v>0</v>
      </c>
      <c r="G10" s="3">
        <v>0</v>
      </c>
      <c r="H10" s="3">
        <v>7.7634541999999998E-5</v>
      </c>
      <c r="I10" s="3">
        <v>1.8932237999999999E-5</v>
      </c>
      <c r="J10" s="3">
        <v>-2.1776057E-4</v>
      </c>
      <c r="K10" s="3"/>
      <c r="L10" s="3">
        <f t="shared" si="0"/>
        <v>0.17864544781643227</v>
      </c>
      <c r="M10" s="3"/>
      <c r="N10" s="2">
        <f>IF('Modell einstellen'!$B$1="Voll",H10/0.35,H10/0.35*2)</f>
        <v>2.2181297714285716E-4</v>
      </c>
      <c r="O10" s="2">
        <f>IF('Modell einstellen'!$B$1="Voll",J10/0.35,J10/0.35*2)</f>
        <v>-6.2217305714285724E-4</v>
      </c>
      <c r="P10" s="3">
        <f t="shared" si="1"/>
        <v>0.35651331184520685</v>
      </c>
      <c r="Q10" s="3"/>
      <c r="R10" s="3"/>
      <c r="S10" s="3"/>
      <c r="T10" s="3"/>
      <c r="U10" s="3"/>
    </row>
    <row r="11" spans="1:21" x14ac:dyDescent="0.25">
      <c r="A11" s="3">
        <v>9.9999999999999995E-8</v>
      </c>
      <c r="B11" s="3">
        <v>9.6539999999999994E-5</v>
      </c>
      <c r="C11" s="3">
        <v>1.786E-4</v>
      </c>
      <c r="D11" s="3">
        <v>-5.4040000000000002E-4</v>
      </c>
      <c r="E11" s="3">
        <v>0</v>
      </c>
      <c r="F11" s="3">
        <v>0</v>
      </c>
      <c r="G11" s="3">
        <v>0</v>
      </c>
      <c r="H11" s="3">
        <v>7.7638286E-5</v>
      </c>
      <c r="I11" s="3">
        <v>1.8932953000000001E-5</v>
      </c>
      <c r="J11" s="3">
        <v>-2.1776728E-4</v>
      </c>
      <c r="K11" s="3"/>
      <c r="L11" s="3">
        <f t="shared" si="0"/>
        <v>0.17864544781643227</v>
      </c>
      <c r="M11" s="3"/>
      <c r="N11" s="2">
        <f>IF('Modell einstellen'!$B$1="Voll",H11/0.35,H11/0.35*2)</f>
        <v>2.2182367428571429E-4</v>
      </c>
      <c r="O11" s="2">
        <f>IF('Modell einstellen'!$B$1="Voll",J11/0.35,J11/0.35*2)</f>
        <v>-6.2219222857142864E-4</v>
      </c>
      <c r="P11" s="3">
        <f t="shared" si="1"/>
        <v>0.35651951936948467</v>
      </c>
      <c r="Q11" s="3"/>
      <c r="R11" s="3"/>
      <c r="S11" s="3"/>
      <c r="T11" s="3"/>
      <c r="U11" s="3"/>
    </row>
    <row r="12" spans="1:21" x14ac:dyDescent="0.25">
      <c r="A12" s="3">
        <v>9.9999999999999995E-7</v>
      </c>
      <c r="B12" s="3">
        <v>9.6529999999999999E-5</v>
      </c>
      <c r="C12" s="3">
        <v>1.7870000000000001E-4</v>
      </c>
      <c r="D12" s="3">
        <v>-5.4040000000000002E-4</v>
      </c>
      <c r="E12" s="3">
        <v>0</v>
      </c>
      <c r="F12" s="3">
        <v>0</v>
      </c>
      <c r="G12" s="3">
        <v>0</v>
      </c>
      <c r="H12" s="3">
        <v>7.7675479999999997E-5</v>
      </c>
      <c r="I12" s="3">
        <v>1.8940048999999999E-5</v>
      </c>
      <c r="J12" s="3">
        <v>-2.1783397000000001E-4</v>
      </c>
      <c r="K12" s="3"/>
      <c r="L12" s="3">
        <f t="shared" si="0"/>
        <v>0.17862694300518134</v>
      </c>
      <c r="M12" s="3"/>
      <c r="N12" s="2">
        <f>IF('Modell einstellen'!$B$1="Voll",H12/0.35,H12/0.35*2)</f>
        <v>2.2192994285714286E-4</v>
      </c>
      <c r="O12" s="2">
        <f>IF('Modell einstellen'!$B$1="Voll",J12/0.35,J12/0.35*2)</f>
        <v>-6.2238277142857151E-4</v>
      </c>
      <c r="P12" s="3">
        <f t="shared" si="1"/>
        <v>0.35658111542474297</v>
      </c>
      <c r="Q12" s="3"/>
      <c r="R12" s="3"/>
      <c r="S12" s="3"/>
      <c r="T12" s="3"/>
      <c r="U12" s="3"/>
    </row>
    <row r="13" spans="1:21" x14ac:dyDescent="0.25">
      <c r="A13" s="3">
        <v>1.0000000000000001E-5</v>
      </c>
      <c r="B13" s="3">
        <v>9.645E-5</v>
      </c>
      <c r="C13" s="3">
        <v>1.7919999999999999E-4</v>
      </c>
      <c r="D13" s="3">
        <v>-5.4109999999999998E-4</v>
      </c>
      <c r="E13" s="3">
        <v>0</v>
      </c>
      <c r="F13" s="3">
        <v>0</v>
      </c>
      <c r="G13" s="3">
        <v>0</v>
      </c>
      <c r="H13" s="3">
        <v>7.8023918999999995E-5</v>
      </c>
      <c r="I13" s="3">
        <v>1.9006492999999999E-5</v>
      </c>
      <c r="J13" s="3">
        <v>-2.1845855000000001E-4</v>
      </c>
      <c r="K13" s="3"/>
      <c r="L13" s="3">
        <f t="shared" si="0"/>
        <v>0.17824801330622805</v>
      </c>
      <c r="M13" s="3"/>
      <c r="N13" s="2">
        <f>IF('Modell einstellen'!$B$1="Voll",H13/0.35,H13/0.35*2)</f>
        <v>2.2292548285714287E-4</v>
      </c>
      <c r="O13" s="2">
        <f>IF('Modell einstellen'!$B$1="Voll",J13/0.35,J13/0.35*2)</f>
        <v>-6.241672857142858E-4</v>
      </c>
      <c r="P13" s="3">
        <f t="shared" si="1"/>
        <v>0.35715662765316347</v>
      </c>
      <c r="Q13" s="3"/>
      <c r="R13" s="3"/>
      <c r="S13" s="3"/>
      <c r="T13" s="3"/>
      <c r="U13" s="3"/>
    </row>
    <row r="14" spans="1:21" x14ac:dyDescent="0.25">
      <c r="A14" s="3">
        <v>1E-4</v>
      </c>
      <c r="B14" s="3">
        <v>9.6650000000000005E-5</v>
      </c>
      <c r="C14" s="3">
        <v>1.827E-4</v>
      </c>
      <c r="D14" s="3">
        <v>-5.4600000000000004E-4</v>
      </c>
      <c r="E14" s="3">
        <v>0</v>
      </c>
      <c r="F14" s="3">
        <v>0</v>
      </c>
      <c r="G14" s="3">
        <v>0</v>
      </c>
      <c r="H14" s="3">
        <v>8.0095437999999996E-5</v>
      </c>
      <c r="I14" s="3">
        <v>1.9414576E-5</v>
      </c>
      <c r="J14" s="3">
        <v>-2.2221407999999999E-4</v>
      </c>
      <c r="K14" s="3"/>
      <c r="L14" s="3">
        <f t="shared" si="0"/>
        <v>0.177014652014652</v>
      </c>
      <c r="M14" s="3"/>
      <c r="N14" s="2">
        <f>IF('Modell einstellen'!$B$1="Voll",H14/0.35,H14/0.35*2)</f>
        <v>2.2884410857142859E-4</v>
      </c>
      <c r="O14" s="2">
        <f>IF('Modell einstellen'!$B$1="Voll",J14/0.35,J14/0.35*2)</f>
        <v>-6.3489737142857143E-4</v>
      </c>
      <c r="P14" s="3">
        <f t="shared" si="1"/>
        <v>0.360442677619708</v>
      </c>
      <c r="Q14" s="3"/>
      <c r="R14" s="3"/>
      <c r="S14" s="3"/>
      <c r="T14" s="3"/>
      <c r="U14" s="3"/>
    </row>
    <row r="15" spans="1:21" x14ac:dyDescent="0.25">
      <c r="A15" s="3">
        <v>1E-3</v>
      </c>
      <c r="B15" s="3">
        <v>9.658E-5</v>
      </c>
      <c r="C15" s="3">
        <v>1.8709999999999999E-4</v>
      </c>
      <c r="D15" s="3">
        <v>-5.5190000000000003E-4</v>
      </c>
      <c r="E15" s="3">
        <v>0</v>
      </c>
      <c r="F15" s="3">
        <v>0</v>
      </c>
      <c r="G15" s="3">
        <v>0</v>
      </c>
      <c r="H15" s="3">
        <v>8.2796534000000006E-5</v>
      </c>
      <c r="I15" s="3">
        <v>1.9935585000000002E-5</v>
      </c>
      <c r="J15" s="3">
        <v>-2.2706144999999999E-4</v>
      </c>
      <c r="K15" s="3"/>
      <c r="L15" s="3">
        <f t="shared" si="0"/>
        <v>0.17499547019387571</v>
      </c>
      <c r="M15" s="3"/>
      <c r="N15" s="2">
        <f>IF('Modell einstellen'!$B$1="Voll",H15/0.35,H15/0.35*2)</f>
        <v>2.3656152571428576E-4</v>
      </c>
      <c r="O15" s="2">
        <f>IF('Modell einstellen'!$B$1="Voll",J15/0.35,J15/0.35*2)</f>
        <v>-6.4874699999999997E-4</v>
      </c>
      <c r="P15" s="3">
        <f t="shared" si="1"/>
        <v>0.36464372970400755</v>
      </c>
      <c r="Q15" s="3"/>
      <c r="R15" s="3"/>
      <c r="S15" s="3"/>
      <c r="T15" s="3"/>
      <c r="U15" s="3"/>
    </row>
    <row r="16" spans="1:21" x14ac:dyDescent="0.25">
      <c r="A16" s="3">
        <v>0.01</v>
      </c>
      <c r="B16" s="3">
        <v>9.6269999999999998E-5</v>
      </c>
      <c r="C16" s="3">
        <v>1.9210000000000001E-4</v>
      </c>
      <c r="D16" s="3">
        <v>-5.5829999999999996E-4</v>
      </c>
      <c r="E16" s="3">
        <v>0</v>
      </c>
      <c r="F16" s="3">
        <v>0</v>
      </c>
      <c r="G16" s="3">
        <v>0</v>
      </c>
      <c r="H16" s="3">
        <v>8.5936029000000005E-5</v>
      </c>
      <c r="I16" s="3">
        <v>2.0530447000000001E-5</v>
      </c>
      <c r="J16" s="3">
        <v>-2.3264657999999999E-4</v>
      </c>
      <c r="K16" s="3"/>
      <c r="L16" s="3">
        <f t="shared" si="0"/>
        <v>0.1724341751746373</v>
      </c>
      <c r="M16" s="3"/>
      <c r="N16" s="2">
        <f>IF('Modell einstellen'!$B$1="Voll",H16/0.35,H16/0.35*2)</f>
        <v>2.4553151142857148E-4</v>
      </c>
      <c r="O16" s="2">
        <f>IF('Modell einstellen'!$B$1="Voll",J16/0.35,J16/0.35*2)</f>
        <v>-6.6470451428571429E-4</v>
      </c>
      <c r="P16" s="3">
        <f t="shared" si="1"/>
        <v>0.369384450009968</v>
      </c>
      <c r="Q16" s="3"/>
      <c r="R16" s="3"/>
      <c r="S16" s="3"/>
      <c r="T16" s="3"/>
      <c r="U16" s="3"/>
    </row>
    <row r="17" spans="1:21" x14ac:dyDescent="0.25">
      <c r="A17" s="3">
        <v>0.1</v>
      </c>
      <c r="B17" s="3">
        <v>9.5550000000000005E-5</v>
      </c>
      <c r="C17" s="3">
        <v>1.9819999999999999E-4</v>
      </c>
      <c r="D17" s="3">
        <v>-5.6579999999999998E-4</v>
      </c>
      <c r="E17" s="3">
        <v>0</v>
      </c>
      <c r="F17" s="3">
        <v>0</v>
      </c>
      <c r="G17" s="3">
        <v>0</v>
      </c>
      <c r="H17" s="3">
        <v>8.9909781000000006E-5</v>
      </c>
      <c r="I17" s="3">
        <v>2.1268023E-5</v>
      </c>
      <c r="J17" s="3">
        <v>-2.3964637E-4</v>
      </c>
      <c r="K17" s="3"/>
      <c r="L17" s="3">
        <f t="shared" si="0"/>
        <v>0.1688759278897137</v>
      </c>
      <c r="M17" s="3"/>
      <c r="N17" s="2">
        <f>IF('Modell einstellen'!$B$1="Voll",H17/0.35,H17/0.35*2)</f>
        <v>2.5688508857142861E-4</v>
      </c>
      <c r="O17" s="2">
        <f>IF('Modell einstellen'!$B$1="Voll",J17/0.35,J17/0.35*2)</f>
        <v>-6.8470391428571435E-4</v>
      </c>
      <c r="P17" s="3">
        <f t="shared" si="1"/>
        <v>0.37517689502244495</v>
      </c>
      <c r="Q17" s="3"/>
      <c r="R17" s="3"/>
      <c r="S17" s="3"/>
      <c r="T17" s="3"/>
      <c r="U17" s="3"/>
    </row>
    <row r="18" spans="1:21" x14ac:dyDescent="0.25">
      <c r="A18" s="3">
        <v>1</v>
      </c>
      <c r="B18" s="3">
        <v>9.4339999999999995E-5</v>
      </c>
      <c r="C18" s="3">
        <v>2.05E-4</v>
      </c>
      <c r="D18" s="3">
        <v>-5.7359999999999996E-4</v>
      </c>
      <c r="E18" s="3">
        <v>0</v>
      </c>
      <c r="F18" s="3">
        <v>0</v>
      </c>
      <c r="G18" s="3">
        <v>0</v>
      </c>
      <c r="H18" s="3">
        <v>9.4442092E-5</v>
      </c>
      <c r="I18" s="3">
        <v>2.2097461E-5</v>
      </c>
      <c r="J18" s="3">
        <v>-2.4756063E-4</v>
      </c>
      <c r="K18" s="3"/>
      <c r="L18" s="3">
        <f t="shared" si="0"/>
        <v>0.16447001394700139</v>
      </c>
      <c r="M18" s="3"/>
      <c r="N18" s="2">
        <f>IF('Modell einstellen'!$B$1="Voll",H18/0.35,H18/0.35*2)</f>
        <v>2.6983454857142856E-4</v>
      </c>
      <c r="O18" s="2">
        <f>IF('Modell einstellen'!$B$1="Voll",J18/0.35,J18/0.35*2)</f>
        <v>-7.0731608571428576E-4</v>
      </c>
      <c r="P18" s="3">
        <f t="shared" si="1"/>
        <v>0.38149075642601166</v>
      </c>
      <c r="Q18" s="3"/>
      <c r="R18" s="3"/>
      <c r="S18" s="3"/>
      <c r="T18" s="3"/>
      <c r="U18" s="3"/>
    </row>
    <row r="19" spans="1:21" x14ac:dyDescent="0.25">
      <c r="A19" s="3">
        <v>10</v>
      </c>
      <c r="B19" s="3">
        <v>9.2919999999999998E-5</v>
      </c>
      <c r="C19" s="3">
        <v>2.143E-4</v>
      </c>
      <c r="D19" s="3">
        <v>-5.8399999999999999E-4</v>
      </c>
      <c r="E19" s="3">
        <v>0</v>
      </c>
      <c r="F19" s="3">
        <v>0</v>
      </c>
      <c r="G19" s="3">
        <v>0</v>
      </c>
      <c r="H19" s="3">
        <v>1.0017242E-4</v>
      </c>
      <c r="I19" s="3">
        <v>2.3237120999999999E-5</v>
      </c>
      <c r="J19" s="3">
        <v>-2.5777345999999999E-4</v>
      </c>
      <c r="K19" s="3"/>
      <c r="L19" s="3">
        <f t="shared" si="0"/>
        <v>0.1591095890410959</v>
      </c>
      <c r="M19" s="3"/>
      <c r="N19" s="2">
        <f>IF('Modell einstellen'!$B$1="Voll",H19/0.35,H19/0.35*2)</f>
        <v>2.8620691428571431E-4</v>
      </c>
      <c r="O19" s="2">
        <f>IF('Modell einstellen'!$B$1="Voll",J19/0.35,J19/0.35*2)</f>
        <v>-7.3649559999999998E-4</v>
      </c>
      <c r="P19" s="3">
        <f t="shared" si="1"/>
        <v>0.38860641432985388</v>
      </c>
      <c r="Q19" s="3"/>
      <c r="R19" s="3"/>
      <c r="S19" s="3"/>
      <c r="T19" s="3"/>
      <c r="U19" s="3"/>
    </row>
    <row r="20" spans="1:21" x14ac:dyDescent="0.25">
      <c r="A20" s="3">
        <v>100</v>
      </c>
      <c r="B20" s="3">
        <v>9.4019999999999998E-5</v>
      </c>
      <c r="C20" s="3">
        <v>2.321E-4</v>
      </c>
      <c r="D20" s="3">
        <v>-6.0409999999999999E-4</v>
      </c>
      <c r="E20" s="3">
        <v>0</v>
      </c>
      <c r="F20" s="3">
        <v>0</v>
      </c>
      <c r="G20" s="3">
        <v>0</v>
      </c>
      <c r="H20" s="3">
        <v>1.0762859999999999E-4</v>
      </c>
      <c r="I20" s="3">
        <v>2.5386235E-5</v>
      </c>
      <c r="J20" s="3">
        <v>-2.7287724E-4</v>
      </c>
      <c r="K20" s="3"/>
      <c r="L20" s="3">
        <f t="shared" si="0"/>
        <v>0.15563648402582353</v>
      </c>
      <c r="M20" s="3"/>
      <c r="N20" s="2">
        <f>IF('Modell einstellen'!$B$1="Voll",H20/0.35,H20/0.35*2)</f>
        <v>3.0751028571428571E-4</v>
      </c>
      <c r="O20" s="2">
        <f>IF('Modell einstellen'!$B$1="Voll",J20/0.35,J20/0.35*2)</f>
        <v>-7.7964925714285723E-4</v>
      </c>
      <c r="P20" s="3">
        <f t="shared" si="1"/>
        <v>0.39442131560697397</v>
      </c>
      <c r="Q20" s="3"/>
      <c r="R20" s="3"/>
      <c r="S20" s="3"/>
      <c r="T20" s="3"/>
      <c r="U20" s="3"/>
    </row>
    <row r="21" spans="1:21" x14ac:dyDescent="0.25">
      <c r="A21" s="3">
        <v>1000</v>
      </c>
      <c r="B21" s="3">
        <v>1.0119999999999999E-4</v>
      </c>
      <c r="C21" s="3">
        <v>2.6209999999999997E-4</v>
      </c>
      <c r="D21" s="3">
        <v>-6.399E-4</v>
      </c>
      <c r="E21" s="3">
        <v>0</v>
      </c>
      <c r="F21" s="3">
        <v>0</v>
      </c>
      <c r="G21" s="3">
        <v>0</v>
      </c>
      <c r="H21" s="3">
        <v>1.1615105E-4</v>
      </c>
      <c r="I21" s="3">
        <v>2.9004699000000001E-5</v>
      </c>
      <c r="J21" s="3">
        <v>-2.9345549999999998E-4</v>
      </c>
      <c r="K21" s="3"/>
      <c r="L21" s="3">
        <f t="shared" si="0"/>
        <v>0.15814971089232691</v>
      </c>
      <c r="M21" s="3"/>
      <c r="N21" s="2">
        <f>IF('Modell einstellen'!$B$1="Voll",H21/0.35,H21/0.35*2)</f>
        <v>3.3186014285714285E-4</v>
      </c>
      <c r="O21" s="2">
        <f>IF('Modell einstellen'!$B$1="Voll",J21/0.35,J21/0.35*2)</f>
        <v>-8.3844428571428571E-4</v>
      </c>
      <c r="P21" s="3">
        <f t="shared" si="1"/>
        <v>0.39580464499728235</v>
      </c>
      <c r="Q21" s="3"/>
      <c r="R21" s="3"/>
      <c r="S21" s="3"/>
      <c r="T21" s="3"/>
      <c r="U21" s="3"/>
    </row>
    <row r="22" spans="1:21" x14ac:dyDescent="0.25">
      <c r="A22" s="3">
        <v>10000</v>
      </c>
      <c r="B22" s="3">
        <v>1.1069999999999999E-4</v>
      </c>
      <c r="C22" s="3">
        <v>2.9849999999999999E-4</v>
      </c>
      <c r="D22" s="3">
        <v>-6.8400000000000004E-4</v>
      </c>
      <c r="E22" s="3">
        <v>0</v>
      </c>
      <c r="F22" s="3">
        <v>0</v>
      </c>
      <c r="G22" s="3">
        <v>0</v>
      </c>
      <c r="H22" s="3">
        <v>1.2593217000000001E-4</v>
      </c>
      <c r="I22" s="3">
        <v>3.3466334000000001E-5</v>
      </c>
      <c r="J22" s="3">
        <v>-3.18101E-4</v>
      </c>
      <c r="K22" s="3"/>
      <c r="L22" s="3">
        <f t="shared" si="0"/>
        <v>0.16184210526315787</v>
      </c>
      <c r="M22" s="3"/>
      <c r="N22" s="2">
        <f>IF('Modell einstellen'!$B$1="Voll",H22/0.35,H22/0.35*2)</f>
        <v>3.5980620000000007E-4</v>
      </c>
      <c r="O22" s="2">
        <f>IF('Modell einstellen'!$B$1="Voll",J22/0.35,J22/0.35*2)</f>
        <v>-9.0886000000000005E-4</v>
      </c>
      <c r="P22" s="3">
        <f t="shared" si="1"/>
        <v>0.39588737539334995</v>
      </c>
      <c r="Q22" s="3"/>
      <c r="R22" s="3"/>
      <c r="S22" s="3"/>
      <c r="T22" s="3"/>
      <c r="U22" s="3"/>
    </row>
    <row r="23" spans="1:21" x14ac:dyDescent="0.25">
      <c r="A23" s="3">
        <v>100000</v>
      </c>
      <c r="B23" s="3">
        <v>1.182E-4</v>
      </c>
      <c r="C23" s="3">
        <v>3.3740000000000002E-4</v>
      </c>
      <c r="D23" s="3">
        <v>-7.2970000000000001E-4</v>
      </c>
      <c r="E23" s="3">
        <v>0</v>
      </c>
      <c r="F23" s="3">
        <v>0</v>
      </c>
      <c r="G23" s="3">
        <v>0</v>
      </c>
      <c r="H23" s="3">
        <v>1.3801944E-4</v>
      </c>
      <c r="I23" s="3">
        <v>3.8366693000000001E-5</v>
      </c>
      <c r="J23" s="3">
        <v>-3.4694727999999998E-4</v>
      </c>
      <c r="K23" s="3"/>
      <c r="L23" s="3">
        <f t="shared" si="0"/>
        <v>0.16198437714129094</v>
      </c>
      <c r="M23" s="3"/>
      <c r="N23" s="2">
        <f>IF('Modell einstellen'!$B$1="Voll",H23/0.35,H23/0.35*2)</f>
        <v>3.9434125714285718E-4</v>
      </c>
      <c r="O23" s="2">
        <f>IF('Modell einstellen'!$B$1="Voll",J23/0.35,J23/0.35*2)</f>
        <v>-9.9127794285714288E-4</v>
      </c>
      <c r="P23" s="3">
        <f t="shared" si="1"/>
        <v>0.39781098730619824</v>
      </c>
      <c r="Q23" s="3"/>
      <c r="R23" s="3"/>
      <c r="S23" s="3"/>
      <c r="T23" s="3"/>
      <c r="U23" s="3"/>
    </row>
    <row r="24" spans="1:21" x14ac:dyDescent="0.25">
      <c r="A24" s="3">
        <v>1000000</v>
      </c>
      <c r="B24" s="3">
        <v>1.17E-4</v>
      </c>
      <c r="C24" s="3">
        <v>3.7980000000000002E-4</v>
      </c>
      <c r="D24" s="3">
        <v>-7.7229999999999996E-4</v>
      </c>
      <c r="E24" s="3">
        <v>0</v>
      </c>
      <c r="F24" s="3">
        <v>0</v>
      </c>
      <c r="G24" s="3">
        <v>0</v>
      </c>
      <c r="H24" s="3">
        <v>1.5391170000000001E-4</v>
      </c>
      <c r="I24" s="3">
        <v>4.3943005999999999E-5</v>
      </c>
      <c r="J24" s="3">
        <v>-3.8247916999999999E-4</v>
      </c>
      <c r="K24" s="3"/>
      <c r="L24" s="3">
        <f t="shared" si="0"/>
        <v>0.15149553282403211</v>
      </c>
      <c r="M24" s="3"/>
      <c r="N24" s="2">
        <f>IF('Modell einstellen'!$B$1="Voll",H24/0.35,H24/0.35*2)</f>
        <v>4.3974771428571433E-4</v>
      </c>
      <c r="O24" s="2">
        <f>IF('Modell einstellen'!$B$1="Voll",J24/0.35,J24/0.35*2)</f>
        <v>-1.0927976285714286E-3</v>
      </c>
      <c r="P24" s="3">
        <f t="shared" si="1"/>
        <v>0.40240544341277462</v>
      </c>
      <c r="Q24" s="3"/>
      <c r="R24" s="3"/>
      <c r="S24" s="3"/>
      <c r="T24" s="3"/>
      <c r="U24" s="3"/>
    </row>
    <row r="25" spans="1:21" x14ac:dyDescent="0.25">
      <c r="A25" s="3">
        <v>10000000</v>
      </c>
      <c r="B25" s="3">
        <v>9.6550000000000002E-5</v>
      </c>
      <c r="C25" s="3">
        <v>4.3679999999999999E-4</v>
      </c>
      <c r="D25" s="3">
        <v>-8.1309999999999998E-4</v>
      </c>
      <c r="E25" s="3">
        <v>0</v>
      </c>
      <c r="F25" s="3">
        <v>0</v>
      </c>
      <c r="G25" s="3">
        <v>0</v>
      </c>
      <c r="H25" s="3">
        <v>1.7943125999999999E-4</v>
      </c>
      <c r="I25" s="3">
        <v>5.1829400999999998E-5</v>
      </c>
      <c r="J25" s="3">
        <v>-4.3648082999999999E-4</v>
      </c>
      <c r="K25" s="3"/>
      <c r="L25" s="3">
        <f t="shared" si="0"/>
        <v>0.11874308203173042</v>
      </c>
      <c r="M25" s="3"/>
      <c r="N25" s="2">
        <f>IF('Modell einstellen'!$B$1="Voll",H25/0.35,H25/0.35*2)</f>
        <v>5.1266074285714284E-4</v>
      </c>
      <c r="O25" s="2">
        <f>IF('Modell einstellen'!$B$1="Voll",J25/0.35,J25/0.35*2)</f>
        <v>-1.2470880857142859E-3</v>
      </c>
      <c r="P25" s="3">
        <f t="shared" si="1"/>
        <v>0.41108623258437255</v>
      </c>
      <c r="Q25" s="3"/>
      <c r="R25" s="3"/>
      <c r="S25" s="3"/>
      <c r="T25" s="3"/>
      <c r="U25" s="3"/>
    </row>
    <row r="26" spans="1:21" x14ac:dyDescent="0.25">
      <c r="A26" s="3">
        <v>100000000</v>
      </c>
      <c r="B26" s="3">
        <v>3.3760000000000002E-5</v>
      </c>
      <c r="C26" s="3">
        <v>5.2059999999999997E-4</v>
      </c>
      <c r="D26" s="3">
        <v>-8.409E-4</v>
      </c>
      <c r="E26" s="3">
        <v>0</v>
      </c>
      <c r="F26" s="3">
        <v>0</v>
      </c>
      <c r="G26" s="3">
        <v>0</v>
      </c>
      <c r="H26" s="3">
        <v>2.2138377999999999E-4</v>
      </c>
      <c r="I26" s="3">
        <v>6.4109951E-5</v>
      </c>
      <c r="J26" s="3">
        <v>-5.2317021000000002E-4</v>
      </c>
      <c r="K26" s="3"/>
      <c r="L26" s="3">
        <f t="shared" si="0"/>
        <v>4.0147461053633017E-2</v>
      </c>
      <c r="M26" s="3"/>
      <c r="N26" s="2">
        <f>IF('Modell einstellen'!$B$1="Voll",H26/0.35,H26/0.35*2)</f>
        <v>6.3252508571428571E-4</v>
      </c>
      <c r="O26" s="2">
        <f>IF('Modell einstellen'!$B$1="Voll",J26/0.35,J26/0.35*2)</f>
        <v>-1.4947720285714288E-3</v>
      </c>
      <c r="P26" s="3">
        <f t="shared" si="1"/>
        <v>0.42315822989997837</v>
      </c>
      <c r="Q26" s="3"/>
      <c r="R26" s="3"/>
      <c r="S26" s="3"/>
      <c r="T26" s="3"/>
      <c r="U26" s="3"/>
    </row>
    <row r="27" spans="1:21" x14ac:dyDescent="0.25">
      <c r="A27" s="3">
        <v>1000000000</v>
      </c>
      <c r="B27" s="3">
        <v>-1.3439999999999999E-4</v>
      </c>
      <c r="C27" s="3">
        <v>6.5649999999999997E-4</v>
      </c>
      <c r="D27" s="3">
        <v>-8.1859999999999995E-4</v>
      </c>
      <c r="E27" s="3">
        <v>0</v>
      </c>
      <c r="F27" s="3">
        <v>0</v>
      </c>
      <c r="G27" s="3">
        <v>0</v>
      </c>
      <c r="H27" s="3">
        <v>2.9774826000000001E-4</v>
      </c>
      <c r="I27" s="3">
        <v>8.5490698999999995E-5</v>
      </c>
      <c r="J27" s="3">
        <v>-6.7757343999999998E-4</v>
      </c>
      <c r="K27" s="3"/>
      <c r="L27" s="3">
        <f t="shared" si="0"/>
        <v>-0.16418275103835817</v>
      </c>
      <c r="M27" s="3"/>
      <c r="N27" s="2">
        <f>IF('Modell einstellen'!$B$1="Voll",H27/0.35,H27/0.35*2)</f>
        <v>8.5070931428571437E-4</v>
      </c>
      <c r="O27" s="2">
        <f>IF('Modell einstellen'!$B$1="Voll",J27/0.35,J27/0.35*2)</f>
        <v>-1.9359241142857142E-3</v>
      </c>
      <c r="P27" s="3">
        <f t="shared" si="1"/>
        <v>0.43943319265879138</v>
      </c>
      <c r="Q27" s="3"/>
      <c r="R27" s="3"/>
      <c r="S27" s="3"/>
      <c r="T27" s="3"/>
      <c r="U27" s="3"/>
    </row>
    <row r="28" spans="1:21" x14ac:dyDescent="0.25">
      <c r="A28" s="3">
        <v>10000000000</v>
      </c>
      <c r="B28" s="3">
        <v>-6.1180000000000002E-4</v>
      </c>
      <c r="C28" s="3">
        <v>9.1009999999999995E-4</v>
      </c>
      <c r="D28" s="3">
        <v>-6.0780000000000003E-4</v>
      </c>
      <c r="E28" s="3">
        <v>0</v>
      </c>
      <c r="F28" s="3">
        <v>0</v>
      </c>
      <c r="G28" s="3">
        <v>0</v>
      </c>
      <c r="H28" s="3">
        <v>4.6429122999999998E-4</v>
      </c>
      <c r="I28" s="3">
        <v>1.2902951000000001E-4</v>
      </c>
      <c r="J28" s="3">
        <v>-1.0029031999999999E-3</v>
      </c>
      <c r="K28" s="3"/>
      <c r="L28" s="3">
        <f t="shared" si="0"/>
        <v>-1.0065811122079631</v>
      </c>
      <c r="M28" s="3"/>
      <c r="N28" s="2">
        <f>IF('Modell einstellen'!$B$1="Voll",H28/0.35,H28/0.35*2)</f>
        <v>1.3265463714285716E-3</v>
      </c>
      <c r="O28" s="2">
        <f>IF('Modell einstellen'!$B$1="Voll",J28/0.35,J28/0.35*2)</f>
        <v>-2.8654377142857141E-3</v>
      </c>
      <c r="P28" s="3">
        <f t="shared" si="1"/>
        <v>0.46294720168407089</v>
      </c>
      <c r="Q28" s="3"/>
      <c r="R28" s="3"/>
      <c r="S28" s="3"/>
      <c r="T28" s="3"/>
      <c r="U28" s="3"/>
    </row>
    <row r="29" spans="1:21" x14ac:dyDescent="0.25">
      <c r="A29" s="3">
        <v>100000000000</v>
      </c>
      <c r="B29" s="3">
        <v>-1.7539999999999999E-3</v>
      </c>
      <c r="C29" s="3">
        <v>1.356E-3</v>
      </c>
      <c r="D29" s="3">
        <v>7.6229999999999994E-5</v>
      </c>
      <c r="E29" s="3">
        <v>0</v>
      </c>
      <c r="F29" s="3">
        <v>0</v>
      </c>
      <c r="G29" s="3">
        <v>0</v>
      </c>
      <c r="H29" s="3">
        <v>8.0787079000000002E-4</v>
      </c>
      <c r="I29" s="3">
        <v>2.1204323999999999E-4</v>
      </c>
      <c r="J29" s="3">
        <v>-1.6480556E-3</v>
      </c>
      <c r="K29" s="3"/>
      <c r="L29" s="3">
        <f t="shared" si="0"/>
        <v>23.009313918404828</v>
      </c>
      <c r="M29" s="3"/>
      <c r="N29" s="2">
        <f>IF('Modell einstellen'!$B$1="Voll",H29/0.35,H29/0.35*2)</f>
        <v>2.3082022571428574E-3</v>
      </c>
      <c r="O29" s="2">
        <f>IF('Modell einstellen'!$B$1="Voll",J29/0.35,J29/0.35*2)</f>
        <v>-4.7087302857142859E-3</v>
      </c>
      <c r="P29" s="3">
        <f t="shared" si="1"/>
        <v>0.49019631983289891</v>
      </c>
      <c r="Q29" s="3"/>
      <c r="R29" s="3"/>
      <c r="S29" s="3"/>
      <c r="T29" s="3"/>
      <c r="U29" s="3"/>
    </row>
    <row r="30" spans="1:21" x14ac:dyDescent="0.25">
      <c r="A30" s="3">
        <v>1000000000000</v>
      </c>
      <c r="B30" s="3">
        <v>-4.0790000000000002E-3</v>
      </c>
      <c r="C30" s="3">
        <v>2.127E-3</v>
      </c>
      <c r="D30" s="3">
        <v>1.6230000000000001E-3</v>
      </c>
      <c r="E30" s="3">
        <v>0</v>
      </c>
      <c r="F30" s="3">
        <v>0</v>
      </c>
      <c r="G30" s="3">
        <v>0</v>
      </c>
      <c r="H30" s="3">
        <v>1.4661330999999999E-3</v>
      </c>
      <c r="I30" s="3">
        <v>3.6197542000000001E-4</v>
      </c>
      <c r="J30" s="3">
        <v>-2.8464050999999998E-3</v>
      </c>
      <c r="K30" s="3"/>
      <c r="L30" s="3">
        <f t="shared" si="0"/>
        <v>2.5132470733210104</v>
      </c>
      <c r="M30" s="3"/>
      <c r="N30" s="2">
        <f>IF('Modell einstellen'!$B$1="Voll",H30/0.35,H30/0.35*2)</f>
        <v>4.1889517142857146E-3</v>
      </c>
      <c r="O30" s="2">
        <f>IF('Modell einstellen'!$B$1="Voll",J30/0.35,J30/0.35*2)</f>
        <v>-8.1325860000000007E-3</v>
      </c>
      <c r="P30" s="3">
        <f t="shared" si="1"/>
        <v>0.51508237530912238</v>
      </c>
      <c r="Q30" s="3"/>
      <c r="R30" s="3"/>
      <c r="S30" s="3"/>
      <c r="T30" s="3"/>
      <c r="U30" s="3"/>
    </row>
    <row r="31" spans="1:21" x14ac:dyDescent="0.25">
      <c r="A31" s="3">
        <v>10000000000000</v>
      </c>
      <c r="B31" s="3">
        <v>-8.4340000000000005E-3</v>
      </c>
      <c r="C31" s="3">
        <v>3.47E-3</v>
      </c>
      <c r="D31" s="3">
        <v>4.6299999999999996E-3</v>
      </c>
      <c r="E31" s="3">
        <v>0</v>
      </c>
      <c r="F31" s="3">
        <v>0</v>
      </c>
      <c r="G31" s="3">
        <v>0</v>
      </c>
      <c r="H31" s="3">
        <v>2.6779826E-3</v>
      </c>
      <c r="I31" s="3">
        <v>6.2933985999999995E-4</v>
      </c>
      <c r="J31" s="3">
        <v>-5.0056618000000001E-3</v>
      </c>
      <c r="K31" s="3"/>
      <c r="L31" s="3">
        <f t="shared" si="0"/>
        <v>1.8215982721382293</v>
      </c>
      <c r="M31" s="3"/>
      <c r="N31" s="2">
        <f>IF('Modell einstellen'!$B$1="Voll",H31/0.35,H31/0.35*2)</f>
        <v>7.6513788571428579E-3</v>
      </c>
      <c r="O31" s="2">
        <f>IF('Modell einstellen'!$B$1="Voll",J31/0.35,J31/0.35*2)</f>
        <v>-1.4301890857142858E-2</v>
      </c>
      <c r="P31" s="3">
        <f t="shared" si="1"/>
        <v>0.53499071791066666</v>
      </c>
      <c r="Q31" s="3"/>
      <c r="R31" s="3"/>
      <c r="S31" s="3"/>
      <c r="T31" s="3"/>
      <c r="U31" s="3"/>
    </row>
    <row r="32" spans="1:21" x14ac:dyDescent="0.25">
      <c r="A32" s="3">
        <v>100000000000000</v>
      </c>
      <c r="B32" s="3">
        <v>-1.291E-2</v>
      </c>
      <c r="C32" s="3">
        <v>4.8079999999999998E-3</v>
      </c>
      <c r="D32" s="3">
        <v>7.7720000000000003E-3</v>
      </c>
      <c r="E32" s="3">
        <v>0</v>
      </c>
      <c r="F32" s="3">
        <v>0</v>
      </c>
      <c r="G32" s="3">
        <v>0</v>
      </c>
      <c r="H32" s="3">
        <v>3.9266487000000003E-3</v>
      </c>
      <c r="I32" s="3">
        <v>9.0225028000000002E-4</v>
      </c>
      <c r="J32" s="3">
        <v>-7.2003694E-3</v>
      </c>
      <c r="K32" s="3"/>
      <c r="L32" s="3">
        <f t="shared" si="0"/>
        <v>1.6610910962429233</v>
      </c>
      <c r="M32" s="3"/>
      <c r="N32" s="2">
        <f>IF('Modell einstellen'!$B$1="Voll",H32/0.35,H32/0.35*2)</f>
        <v>1.1218996285714287E-2</v>
      </c>
      <c r="O32" s="2">
        <f>IF('Modell einstellen'!$B$1="Voll",J32/0.35,J32/0.35*2)</f>
        <v>-2.0572484000000002E-2</v>
      </c>
      <c r="P32" s="3">
        <f t="shared" si="1"/>
        <v>0.54533989603366739</v>
      </c>
      <c r="Q32" s="3"/>
      <c r="R32" s="3"/>
      <c r="S32" s="3"/>
      <c r="T32" s="3"/>
      <c r="U32" s="3"/>
    </row>
    <row r="33" spans="1:21" x14ac:dyDescent="0.25">
      <c r="A33" s="2">
        <v>1000000000000000</v>
      </c>
      <c r="B33" s="3">
        <v>-1.4999999999999999E-2</v>
      </c>
      <c r="C33" s="3">
        <v>5.4339999999999996E-3</v>
      </c>
      <c r="D33" s="3">
        <v>9.2309999999999996E-3</v>
      </c>
      <c r="E33" s="3">
        <v>0</v>
      </c>
      <c r="F33" s="3">
        <v>0</v>
      </c>
      <c r="G33" s="3">
        <v>0</v>
      </c>
      <c r="H33" s="3">
        <v>4.5118653999999996E-3</v>
      </c>
      <c r="I33" s="3">
        <v>1.0328608000000001E-3</v>
      </c>
      <c r="J33" s="3">
        <v>-8.2313199000000007E-3</v>
      </c>
      <c r="K33" s="3"/>
      <c r="L33" s="3">
        <f t="shared" si="0"/>
        <v>1.6249593760155996</v>
      </c>
      <c r="M33" s="3"/>
      <c r="N33" s="2">
        <f>IF('Modell einstellen'!$B$1="Voll",H33/0.35,H33/0.35*2)</f>
        <v>1.2891043999999999E-2</v>
      </c>
      <c r="O33" s="2">
        <f>IF('Modell einstellen'!$B$1="Voll",J33/0.35,J33/0.35*2)</f>
        <v>-2.3518056857142859E-2</v>
      </c>
      <c r="P33" s="3">
        <f t="shared" si="1"/>
        <v>0.54813389041045524</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116</v>
      </c>
      <c r="P1" s="100"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9.7419999999999999E-5</v>
      </c>
      <c r="C3" s="3">
        <v>1.796E-4</v>
      </c>
      <c r="D3" s="3">
        <v>-5.4180000000000005E-4</v>
      </c>
      <c r="E3" s="3">
        <v>0</v>
      </c>
      <c r="F3" s="3">
        <v>0</v>
      </c>
      <c r="G3" s="3">
        <v>0</v>
      </c>
      <c r="H3" s="3">
        <v>7.7680573000000002E-5</v>
      </c>
      <c r="I3" s="3">
        <v>1.9031738E-5</v>
      </c>
      <c r="J3" s="3">
        <v>-2.1809282999999999E-4</v>
      </c>
      <c r="K3" s="2"/>
      <c r="L3" s="3"/>
      <c r="M3" s="3"/>
      <c r="N3" s="2">
        <f>IF('Modell einstellen'!$B$1="Voll",H3/0.35,H3/0.35*2)</f>
        <v>2.2194449428571432E-4</v>
      </c>
      <c r="O3" s="2">
        <f>IF('Modell einstellen'!$B$1="Voll",J3/0.35,J3/0.35*2)</f>
        <v>-6.2312237142857143E-4</v>
      </c>
      <c r="P3" s="3">
        <f>-N3/O3</f>
        <v>0.35618123255129486</v>
      </c>
      <c r="Q3" s="3"/>
      <c r="R3" s="3"/>
      <c r="S3" s="3"/>
      <c r="T3" s="3"/>
      <c r="U3" s="3"/>
    </row>
    <row r="4" spans="1:21" x14ac:dyDescent="0.25">
      <c r="A4" s="3">
        <v>1E-14</v>
      </c>
      <c r="B4" s="3">
        <v>9.7419999999999999E-5</v>
      </c>
      <c r="C4" s="3">
        <v>1.796E-4</v>
      </c>
      <c r="D4" s="3">
        <v>-5.4180000000000005E-4</v>
      </c>
      <c r="E4" s="3">
        <v>0</v>
      </c>
      <c r="F4" s="3">
        <v>0</v>
      </c>
      <c r="G4" s="3">
        <v>0</v>
      </c>
      <c r="H4" s="3">
        <v>7.7683005999999998E-5</v>
      </c>
      <c r="I4" s="3">
        <v>1.9032271000000001E-5</v>
      </c>
      <c r="J4" s="3">
        <v>-2.1808883999999999E-4</v>
      </c>
      <c r="K4" s="2"/>
      <c r="L4" s="3"/>
      <c r="M4" s="3"/>
      <c r="N4" s="2">
        <f>IF('Modell einstellen'!$B$1="Voll",H4/0.35,H4/0.35*2)</f>
        <v>2.2195144571428573E-4</v>
      </c>
      <c r="O4" s="2">
        <f>IF('Modell einstellen'!$B$1="Voll",J4/0.35,J4/0.35*2)</f>
        <v>-6.2311097142857144E-4</v>
      </c>
      <c r="P4" s="3">
        <f t="shared" ref="P4:P33" si="0">-N4/O4</f>
        <v>0.35619890499669771</v>
      </c>
      <c r="Q4" s="3"/>
      <c r="R4" s="3"/>
      <c r="S4" s="3"/>
      <c r="T4" s="3"/>
      <c r="U4" s="3"/>
    </row>
    <row r="5" spans="1:21" x14ac:dyDescent="0.25">
      <c r="A5" s="3">
        <v>1E-13</v>
      </c>
      <c r="B5" s="3">
        <v>9.7419999999999999E-5</v>
      </c>
      <c r="C5" s="3">
        <v>1.796E-4</v>
      </c>
      <c r="D5" s="3">
        <v>-5.4180000000000005E-4</v>
      </c>
      <c r="E5" s="3">
        <v>0</v>
      </c>
      <c r="F5" s="3">
        <v>0</v>
      </c>
      <c r="G5" s="3">
        <v>0</v>
      </c>
      <c r="H5" s="3">
        <v>7.7684308999999995E-5</v>
      </c>
      <c r="I5" s="3">
        <v>1.9032591999999999E-5</v>
      </c>
      <c r="J5" s="3">
        <v>-2.1809144000000001E-4</v>
      </c>
      <c r="K5" s="2"/>
      <c r="L5" s="3"/>
      <c r="M5" s="3"/>
      <c r="N5" s="2">
        <f>IF('Modell einstellen'!$B$1="Voll",H5/0.35,H5/0.35*2)</f>
        <v>2.2195516857142857E-4</v>
      </c>
      <c r="O5" s="2">
        <f>IF('Modell einstellen'!$B$1="Voll",J5/0.35,J5/0.35*2)</f>
        <v>-6.2311840000000012E-4</v>
      </c>
      <c r="P5" s="3">
        <f t="shared" si="0"/>
        <v>0.35620063309224786</v>
      </c>
      <c r="Q5" s="3"/>
      <c r="R5" s="3"/>
      <c r="S5" s="3"/>
      <c r="T5" s="3"/>
      <c r="U5" s="3"/>
    </row>
    <row r="6" spans="1:21" x14ac:dyDescent="0.25">
      <c r="A6" s="3">
        <v>9.9999999999999998E-13</v>
      </c>
      <c r="B6" s="3">
        <v>9.7419999999999999E-5</v>
      </c>
      <c r="C6" s="3">
        <v>1.796E-4</v>
      </c>
      <c r="D6" s="3">
        <v>-5.419E-4</v>
      </c>
      <c r="E6" s="3">
        <v>0</v>
      </c>
      <c r="F6" s="3">
        <v>0</v>
      </c>
      <c r="G6" s="3">
        <v>0</v>
      </c>
      <c r="H6" s="3">
        <v>7.7694327E-5</v>
      </c>
      <c r="I6" s="3">
        <v>1.9034543999999999E-5</v>
      </c>
      <c r="J6" s="3">
        <v>-2.1810954000000001E-4</v>
      </c>
      <c r="K6" s="2"/>
      <c r="L6" s="3"/>
      <c r="M6" s="3"/>
      <c r="N6" s="2">
        <f>IF('Modell einstellen'!$B$1="Voll",H6/0.35,H6/0.35*2)</f>
        <v>2.2198379142857145E-4</v>
      </c>
      <c r="O6" s="2">
        <f>IF('Modell einstellen'!$B$1="Voll",J6/0.35,J6/0.35*2)</f>
        <v>-6.2317011428571439E-4</v>
      </c>
      <c r="P6" s="3">
        <f t="shared" si="0"/>
        <v>0.35621700453817834</v>
      </c>
      <c r="Q6" s="3"/>
      <c r="R6" s="3"/>
      <c r="S6" s="3"/>
      <c r="T6" s="3"/>
      <c r="U6" s="3"/>
    </row>
    <row r="7" spans="1:21" x14ac:dyDescent="0.25">
      <c r="A7" s="3">
        <v>9.9999999999999994E-12</v>
      </c>
      <c r="B7" s="3">
        <v>9.7390000000000001E-5</v>
      </c>
      <c r="C7" s="3">
        <v>1.797E-4</v>
      </c>
      <c r="D7" s="3">
        <v>-5.421E-4</v>
      </c>
      <c r="E7" s="3">
        <v>0</v>
      </c>
      <c r="F7" s="3">
        <v>0</v>
      </c>
      <c r="G7" s="3">
        <v>0</v>
      </c>
      <c r="H7" s="3">
        <v>7.7791859999999993E-5</v>
      </c>
      <c r="I7" s="3">
        <v>1.9053403000000001E-5</v>
      </c>
      <c r="J7" s="3">
        <v>-2.1828512000000001E-4</v>
      </c>
      <c r="K7" s="2"/>
      <c r="L7" s="3"/>
      <c r="M7" s="3"/>
      <c r="N7" s="2">
        <f>IF('Modell einstellen'!$B$1="Voll",H7/0.35,H7/0.35*2)</f>
        <v>2.2226245714285713E-4</v>
      </c>
      <c r="O7" s="2">
        <f>IF('Modell einstellen'!$B$1="Voll",J7/0.35,J7/0.35*2)</f>
        <v>-6.2367177142857153E-4</v>
      </c>
      <c r="P7" s="3">
        <f t="shared" si="0"/>
        <v>0.35637729223137143</v>
      </c>
      <c r="Q7" s="3"/>
      <c r="R7" s="3"/>
      <c r="S7" s="3"/>
      <c r="T7" s="3"/>
      <c r="U7" s="3"/>
    </row>
    <row r="8" spans="1:21" x14ac:dyDescent="0.25">
      <c r="A8" s="3">
        <v>1E-10</v>
      </c>
      <c r="B8" s="3">
        <v>9.7219999999999994E-5</v>
      </c>
      <c r="C8" s="3">
        <v>1.8100000000000001E-4</v>
      </c>
      <c r="D8" s="3">
        <v>-5.4370000000000004E-4</v>
      </c>
      <c r="E8" s="3">
        <v>0</v>
      </c>
      <c r="F8" s="3">
        <v>0</v>
      </c>
      <c r="G8" s="3">
        <v>0</v>
      </c>
      <c r="H8" s="3">
        <v>7.8614047000000005E-5</v>
      </c>
      <c r="I8" s="3">
        <v>1.9212113000000001E-5</v>
      </c>
      <c r="J8" s="3">
        <v>-2.1976407E-4</v>
      </c>
      <c r="K8" s="2"/>
      <c r="L8" s="3"/>
      <c r="M8" s="3"/>
      <c r="N8" s="2">
        <f>IF('Modell einstellen'!$B$1="Voll",H8/0.35,H8/0.35*2)</f>
        <v>2.2461156285714289E-4</v>
      </c>
      <c r="O8" s="2">
        <f>IF('Modell einstellen'!$B$1="Voll",J8/0.35,J8/0.35*2)</f>
        <v>-6.2789734285714294E-4</v>
      </c>
      <c r="P8" s="3">
        <f t="shared" si="0"/>
        <v>0.35772019966685181</v>
      </c>
      <c r="Q8" s="3"/>
      <c r="R8" s="3"/>
      <c r="S8" s="3"/>
      <c r="T8" s="3"/>
      <c r="U8" s="3"/>
    </row>
    <row r="9" spans="1:21" x14ac:dyDescent="0.25">
      <c r="A9" s="3">
        <v>1.0000000000000001E-9</v>
      </c>
      <c r="B9" s="3">
        <v>9.7529999999999996E-5</v>
      </c>
      <c r="C9" s="3">
        <v>1.8550000000000001E-4</v>
      </c>
      <c r="D9" s="3">
        <v>-5.5000000000000003E-4</v>
      </c>
      <c r="E9" s="3">
        <v>0</v>
      </c>
      <c r="F9" s="3">
        <v>0</v>
      </c>
      <c r="G9" s="3">
        <v>0</v>
      </c>
      <c r="H9" s="3">
        <v>8.1252416000000005E-5</v>
      </c>
      <c r="I9" s="3">
        <v>1.9737429000000001E-5</v>
      </c>
      <c r="J9" s="3">
        <v>-2.2455931E-4</v>
      </c>
      <c r="K9" s="2"/>
      <c r="L9" s="3"/>
      <c r="M9" s="3"/>
      <c r="N9" s="2">
        <f>IF('Modell einstellen'!$B$1="Voll",H9/0.35,H9/0.35*2)</f>
        <v>2.3214976000000004E-4</v>
      </c>
      <c r="O9" s="2">
        <f>IF('Modell einstellen'!$B$1="Voll",J9/0.35,J9/0.35*2)</f>
        <v>-6.4159802857142859E-4</v>
      </c>
      <c r="P9" s="3">
        <f t="shared" si="0"/>
        <v>0.36183053822172867</v>
      </c>
      <c r="Q9" s="3"/>
      <c r="R9" s="3"/>
      <c r="S9" s="3"/>
      <c r="T9" s="3"/>
      <c r="U9" s="3"/>
    </row>
    <row r="10" spans="1:21" x14ac:dyDescent="0.25">
      <c r="A10" s="3">
        <v>1E-8</v>
      </c>
      <c r="B10" s="3">
        <v>9.7369999999999998E-5</v>
      </c>
      <c r="C10" s="3">
        <v>1.9019999999999999E-4</v>
      </c>
      <c r="D10" s="3">
        <v>-5.5610000000000002E-4</v>
      </c>
      <c r="E10" s="3">
        <v>0</v>
      </c>
      <c r="F10" s="3">
        <v>0</v>
      </c>
      <c r="G10" s="3">
        <v>0</v>
      </c>
      <c r="H10" s="3">
        <v>8.4107339E-5</v>
      </c>
      <c r="I10" s="3">
        <v>2.0290677999999999E-5</v>
      </c>
      <c r="J10" s="3">
        <v>-2.296834E-4</v>
      </c>
      <c r="K10" s="2"/>
      <c r="L10" s="3"/>
      <c r="M10" s="3"/>
      <c r="N10" s="2">
        <f>IF('Modell einstellen'!$B$1="Voll",H10/0.35,H10/0.35*2)</f>
        <v>2.4030668285714287E-4</v>
      </c>
      <c r="O10" s="2">
        <f>IF('Modell einstellen'!$B$1="Voll",J10/0.35,J10/0.35*2)</f>
        <v>-6.5623828571428574E-4</v>
      </c>
      <c r="P10" s="3">
        <f t="shared" si="0"/>
        <v>0.36618814855579462</v>
      </c>
      <c r="Q10" s="3"/>
      <c r="R10" s="3"/>
      <c r="S10" s="3"/>
      <c r="T10" s="3"/>
      <c r="U10" s="3"/>
    </row>
    <row r="11" spans="1:21" x14ac:dyDescent="0.25">
      <c r="A11" s="3">
        <v>9.9999999999999995E-8</v>
      </c>
      <c r="B11" s="3">
        <v>9.6910000000000006E-5</v>
      </c>
      <c r="C11" s="3">
        <v>1.9570000000000001E-4</v>
      </c>
      <c r="D11" s="3">
        <v>-5.6300000000000002E-4</v>
      </c>
      <c r="E11" s="3">
        <v>0</v>
      </c>
      <c r="F11" s="3">
        <v>0</v>
      </c>
      <c r="G11" s="3">
        <v>0</v>
      </c>
      <c r="H11" s="3">
        <v>8.7580439000000006E-5</v>
      </c>
      <c r="I11" s="3">
        <v>2.0950973999999999E-5</v>
      </c>
      <c r="J11" s="3">
        <v>-2.358603E-4</v>
      </c>
      <c r="K11" s="2"/>
      <c r="L11" s="3"/>
      <c r="M11" s="3"/>
      <c r="N11" s="2">
        <f>IF('Modell einstellen'!$B$1="Voll",H11/0.35,H11/0.35*2)</f>
        <v>2.5022982571428577E-4</v>
      </c>
      <c r="O11" s="2">
        <f>IF('Modell einstellen'!$B$1="Voll",J11/0.35,J11/0.35*2)</f>
        <v>-6.7388657142857151E-4</v>
      </c>
      <c r="P11" s="3">
        <f t="shared" si="0"/>
        <v>0.37132335963279961</v>
      </c>
      <c r="Q11" s="3"/>
      <c r="R11" s="3"/>
      <c r="S11" s="3"/>
      <c r="T11" s="3"/>
      <c r="U11" s="3"/>
    </row>
    <row r="12" spans="1:21" x14ac:dyDescent="0.25">
      <c r="A12" s="3">
        <v>9.9999999999999995E-7</v>
      </c>
      <c r="B12" s="3">
        <v>9.5929999999999998E-5</v>
      </c>
      <c r="C12" s="3">
        <v>2.0230000000000001E-4</v>
      </c>
      <c r="D12" s="3">
        <v>-5.71E-4</v>
      </c>
      <c r="E12" s="3">
        <v>0</v>
      </c>
      <c r="F12" s="3">
        <v>0</v>
      </c>
      <c r="G12" s="3">
        <v>0</v>
      </c>
      <c r="H12" s="3">
        <v>9.1951071000000002E-5</v>
      </c>
      <c r="I12" s="3">
        <v>2.1762066E-5</v>
      </c>
      <c r="J12" s="3">
        <v>-2.4354684999999999E-4</v>
      </c>
      <c r="K12" s="2"/>
      <c r="L12" s="3"/>
      <c r="M12" s="3"/>
      <c r="N12" s="2">
        <f>IF('Modell einstellen'!$B$1="Voll",H12/0.35,H12/0.35*2)</f>
        <v>2.6271734571428574E-4</v>
      </c>
      <c r="O12" s="2">
        <f>IF('Modell einstellen'!$B$1="Voll",J12/0.35,J12/0.35*2)</f>
        <v>-6.9584814285714289E-4</v>
      </c>
      <c r="P12" s="3">
        <f t="shared" si="0"/>
        <v>0.3775498266555285</v>
      </c>
      <c r="Q12" s="3"/>
      <c r="R12" s="3"/>
      <c r="S12" s="3"/>
      <c r="T12" s="3"/>
      <c r="U12" s="3"/>
    </row>
    <row r="13" spans="1:21" x14ac:dyDescent="0.25">
      <c r="A13" s="3">
        <v>1.0000000000000001E-5</v>
      </c>
      <c r="B13" s="3">
        <v>9.4339999999999995E-5</v>
      </c>
      <c r="C13" s="3">
        <v>2.0939999999999999E-4</v>
      </c>
      <c r="D13" s="3">
        <v>-5.7890000000000003E-4</v>
      </c>
      <c r="E13" s="3">
        <v>0</v>
      </c>
      <c r="F13" s="3">
        <v>0</v>
      </c>
      <c r="G13" s="3">
        <v>0</v>
      </c>
      <c r="H13" s="3">
        <v>9.6780605E-5</v>
      </c>
      <c r="I13" s="3">
        <v>2.2632850000000001E-5</v>
      </c>
      <c r="J13" s="3">
        <v>-2.5193089E-4</v>
      </c>
      <c r="K13" s="2"/>
      <c r="L13" s="3"/>
      <c r="M13" s="3"/>
      <c r="N13" s="2">
        <f>IF('Modell einstellen'!$B$1="Voll",H13/0.35,H13/0.35*2)</f>
        <v>2.765160142857143E-4</v>
      </c>
      <c r="O13" s="2">
        <f>IF('Modell einstellen'!$B$1="Voll",J13/0.35,J13/0.35*2)</f>
        <v>-7.1980254285714288E-4</v>
      </c>
      <c r="P13" s="3">
        <f t="shared" si="0"/>
        <v>0.38415537292786922</v>
      </c>
      <c r="Q13" s="3"/>
      <c r="R13" s="3"/>
      <c r="S13" s="3"/>
      <c r="T13" s="3"/>
      <c r="U13" s="3"/>
    </row>
    <row r="14" spans="1:21" x14ac:dyDescent="0.25">
      <c r="A14" s="3">
        <v>1E-4</v>
      </c>
      <c r="B14" s="3">
        <v>9.1390000000000004E-5</v>
      </c>
      <c r="C14" s="3">
        <v>2.187E-4</v>
      </c>
      <c r="D14" s="3">
        <v>-5.8839999999999999E-4</v>
      </c>
      <c r="E14" s="3">
        <v>0</v>
      </c>
      <c r="F14" s="3">
        <v>0</v>
      </c>
      <c r="G14" s="3">
        <v>0</v>
      </c>
      <c r="H14" s="3">
        <v>1.0344374E-4</v>
      </c>
      <c r="I14" s="3">
        <v>2.3795202000000001E-5</v>
      </c>
      <c r="J14" s="3">
        <v>-2.6333314999999998E-4</v>
      </c>
      <c r="K14" s="2"/>
      <c r="L14" s="3"/>
      <c r="M14" s="3"/>
      <c r="N14" s="2">
        <f>IF('Modell einstellen'!$B$1="Voll",H14/0.35,H14/0.35*2)</f>
        <v>2.9555354285714286E-4</v>
      </c>
      <c r="O14" s="2">
        <f>IF('Modell einstellen'!$B$1="Voll",J14/0.35,J14/0.35*2)</f>
        <v>-7.5238042857142854E-4</v>
      </c>
      <c r="P14" s="3">
        <f t="shared" si="0"/>
        <v>0.39282460259940688</v>
      </c>
      <c r="Q14" s="3"/>
      <c r="R14" s="3"/>
      <c r="S14" s="3"/>
      <c r="T14" s="3"/>
      <c r="U14" s="3"/>
    </row>
    <row r="15" spans="1:21" x14ac:dyDescent="0.25">
      <c r="A15" s="3">
        <v>1E-3</v>
      </c>
      <c r="B15" s="3">
        <v>8.6570000000000006E-5</v>
      </c>
      <c r="C15" s="3">
        <v>2.2939999999999999E-4</v>
      </c>
      <c r="D15" s="3">
        <v>-5.9800000000000001E-4</v>
      </c>
      <c r="E15" s="3">
        <v>0</v>
      </c>
      <c r="F15" s="3">
        <v>0</v>
      </c>
      <c r="G15" s="3">
        <v>0</v>
      </c>
      <c r="H15" s="3">
        <v>1.116257E-4</v>
      </c>
      <c r="I15" s="3">
        <v>2.515909E-5</v>
      </c>
      <c r="J15" s="3">
        <v>-2.7706794999999998E-4</v>
      </c>
      <c r="K15" s="2"/>
      <c r="L15" s="3"/>
      <c r="M15" s="3"/>
      <c r="N15" s="2">
        <f>IF('Modell einstellen'!$B$1="Voll",H15/0.35,H15/0.35*2)</f>
        <v>3.1893057142857144E-4</v>
      </c>
      <c r="O15" s="2">
        <f>IF('Modell einstellen'!$B$1="Voll",J15/0.35,J15/0.35*2)</f>
        <v>-7.9162271428571431E-4</v>
      </c>
      <c r="P15" s="3">
        <f t="shared" si="0"/>
        <v>0.40288203669893974</v>
      </c>
      <c r="Q15" s="3"/>
      <c r="R15" s="3"/>
      <c r="S15" s="3"/>
      <c r="T15" s="3"/>
      <c r="U15" s="3"/>
    </row>
    <row r="16" spans="1:21" x14ac:dyDescent="0.25">
      <c r="A16" s="3">
        <v>0.01</v>
      </c>
      <c r="B16" s="3">
        <v>7.9789999999999993E-5</v>
      </c>
      <c r="C16" s="3">
        <v>2.4049999999999999E-4</v>
      </c>
      <c r="D16" s="3">
        <v>-6.0599999999999998E-4</v>
      </c>
      <c r="E16" s="3">
        <v>0</v>
      </c>
      <c r="F16" s="3">
        <v>0</v>
      </c>
      <c r="G16" s="3">
        <v>0</v>
      </c>
      <c r="H16" s="3">
        <v>1.2072337E-4</v>
      </c>
      <c r="I16" s="3">
        <v>2.6599936000000001E-5</v>
      </c>
      <c r="J16" s="3">
        <v>-2.9202296999999999E-4</v>
      </c>
      <c r="K16" s="2"/>
      <c r="L16" s="3"/>
      <c r="M16" s="3"/>
      <c r="N16" s="2">
        <f>IF('Modell einstellen'!$B$1="Voll",H16/0.35,H16/0.35*2)</f>
        <v>3.4492391428571432E-4</v>
      </c>
      <c r="O16" s="2">
        <f>IF('Modell einstellen'!$B$1="Voll",J16/0.35,J16/0.35*2)</f>
        <v>-8.3435134285714284E-4</v>
      </c>
      <c r="P16" s="3">
        <f t="shared" si="0"/>
        <v>0.41340367848460691</v>
      </c>
      <c r="Q16" s="3"/>
      <c r="R16" s="3"/>
      <c r="S16" s="3"/>
      <c r="T16" s="3"/>
      <c r="U16" s="3"/>
    </row>
    <row r="17" spans="1:21" x14ac:dyDescent="0.25">
      <c r="A17" s="3">
        <v>0.1</v>
      </c>
      <c r="B17" s="3">
        <v>6.9770000000000005E-5</v>
      </c>
      <c r="C17" s="3">
        <v>2.5329999999999998E-4</v>
      </c>
      <c r="D17" s="3">
        <v>-6.1300000000000005E-4</v>
      </c>
      <c r="E17" s="3">
        <v>0</v>
      </c>
      <c r="F17" s="3">
        <v>0</v>
      </c>
      <c r="G17" s="3">
        <v>0</v>
      </c>
      <c r="H17" s="3">
        <v>1.3195036000000001E-4</v>
      </c>
      <c r="I17" s="3">
        <v>2.8301339E-5</v>
      </c>
      <c r="J17" s="3">
        <v>-3.1013763999999998E-4</v>
      </c>
      <c r="K17" s="2"/>
      <c r="L17" s="3"/>
      <c r="M17" s="3"/>
      <c r="N17" s="2">
        <f>IF('Modell einstellen'!$B$1="Voll",H17/0.35,H17/0.35*2)</f>
        <v>3.7700102857142861E-4</v>
      </c>
      <c r="O17" s="2">
        <f>IF('Modell einstellen'!$B$1="Voll",J17/0.35,J17/0.35*2)</f>
        <v>-8.8610754285714283E-4</v>
      </c>
      <c r="P17" s="3">
        <f t="shared" si="0"/>
        <v>0.42545741948639326</v>
      </c>
      <c r="Q17" s="3"/>
      <c r="R17" s="3"/>
      <c r="S17" s="3"/>
      <c r="T17" s="3"/>
      <c r="U17" s="3"/>
    </row>
    <row r="18" spans="1:21" x14ac:dyDescent="0.25">
      <c r="A18" s="3">
        <v>1</v>
      </c>
      <c r="B18" s="3">
        <v>5.5940000000000003E-5</v>
      </c>
      <c r="C18" s="3">
        <v>2.6959999999999999E-4</v>
      </c>
      <c r="D18" s="3">
        <v>-6.198E-4</v>
      </c>
      <c r="E18" s="3">
        <v>0</v>
      </c>
      <c r="F18" s="3">
        <v>0</v>
      </c>
      <c r="G18" s="3">
        <v>0</v>
      </c>
      <c r="H18" s="3">
        <v>1.4568046999999999E-4</v>
      </c>
      <c r="I18" s="3">
        <v>3.0498186000000001E-5</v>
      </c>
      <c r="J18" s="3">
        <v>-3.3249229999999998E-4</v>
      </c>
      <c r="K18" s="2"/>
      <c r="L18" s="3"/>
      <c r="M18" s="3"/>
      <c r="N18" s="2">
        <f>IF('Modell einstellen'!$B$1="Voll",H18/0.35,H18/0.35*2)</f>
        <v>4.1622991428571431E-4</v>
      </c>
      <c r="O18" s="2">
        <f>IF('Modell einstellen'!$B$1="Voll",J18/0.35,J18/0.35*2)</f>
        <v>-9.4997799999999998E-4</v>
      </c>
      <c r="P18" s="3">
        <f t="shared" si="0"/>
        <v>0.43814689843945259</v>
      </c>
      <c r="Q18" s="3"/>
      <c r="R18" s="3"/>
      <c r="S18" s="3"/>
      <c r="T18" s="3"/>
      <c r="U18" s="3"/>
    </row>
    <row r="19" spans="1:21" x14ac:dyDescent="0.25">
      <c r="A19" s="3">
        <v>10</v>
      </c>
      <c r="B19" s="3">
        <v>3.5179999999999999E-5</v>
      </c>
      <c r="C19" s="3">
        <v>3.0400000000000002E-4</v>
      </c>
      <c r="D19" s="3">
        <v>-6.3679999999999997E-4</v>
      </c>
      <c r="E19" s="3">
        <v>0</v>
      </c>
      <c r="F19" s="3">
        <v>0</v>
      </c>
      <c r="G19" s="3">
        <v>0</v>
      </c>
      <c r="H19" s="3">
        <v>1.6601609E-4</v>
      </c>
      <c r="I19" s="3">
        <v>3.5067829999999999E-5</v>
      </c>
      <c r="J19" s="3">
        <v>-3.6945895999999998E-4</v>
      </c>
      <c r="K19" s="2"/>
      <c r="L19" s="3"/>
      <c r="M19" s="3"/>
      <c r="N19" s="2">
        <f>IF('Modell einstellen'!$B$1="Voll",H19/0.35,H19/0.35*2)</f>
        <v>4.7433168571428574E-4</v>
      </c>
      <c r="O19" s="2">
        <f>IF('Modell einstellen'!$B$1="Voll",J19/0.35,J19/0.35*2)</f>
        <v>-1.0555970285714286E-3</v>
      </c>
      <c r="P19" s="3">
        <f t="shared" si="0"/>
        <v>0.44934920511874987</v>
      </c>
      <c r="Q19" s="3"/>
      <c r="R19" s="3"/>
      <c r="S19" s="3"/>
      <c r="T19" s="3"/>
      <c r="U19" s="3"/>
    </row>
    <row r="20" spans="1:21" x14ac:dyDescent="0.25">
      <c r="A20" s="3">
        <v>100</v>
      </c>
      <c r="B20" s="3">
        <v>-2.5629999999999999E-6</v>
      </c>
      <c r="C20" s="3">
        <v>3.7290000000000001E-4</v>
      </c>
      <c r="D20" s="3">
        <v>-6.6969999999999996E-4</v>
      </c>
      <c r="E20" s="3">
        <v>0</v>
      </c>
      <c r="F20" s="3">
        <v>0</v>
      </c>
      <c r="G20" s="3">
        <v>0</v>
      </c>
      <c r="H20" s="3">
        <v>1.9791078000000001E-4</v>
      </c>
      <c r="I20" s="3">
        <v>4.4350425999999999E-5</v>
      </c>
      <c r="J20" s="3">
        <v>-4.3409414999999999E-4</v>
      </c>
      <c r="K20" s="2"/>
      <c r="L20" s="3"/>
      <c r="M20" s="3"/>
      <c r="N20" s="2">
        <f>IF('Modell einstellen'!$B$1="Voll",H20/0.35,H20/0.35*2)</f>
        <v>5.6545937142857153E-4</v>
      </c>
      <c r="O20" s="2">
        <f>IF('Modell einstellen'!$B$1="Voll",J20/0.35,J20/0.35*2)</f>
        <v>-1.240269E-3</v>
      </c>
      <c r="P20" s="3">
        <f t="shared" si="0"/>
        <v>0.45591671760607699</v>
      </c>
      <c r="Q20" s="3"/>
      <c r="R20" s="3"/>
      <c r="S20" s="3"/>
      <c r="T20" s="3"/>
      <c r="U20" s="3"/>
    </row>
    <row r="21" spans="1:21" x14ac:dyDescent="0.25">
      <c r="A21" s="3">
        <v>1000</v>
      </c>
      <c r="B21" s="3">
        <v>-9.5210000000000005E-5</v>
      </c>
      <c r="C21" s="3">
        <v>4.797E-4</v>
      </c>
      <c r="D21" s="3">
        <v>-6.8729999999999996E-4</v>
      </c>
      <c r="E21" s="3">
        <v>0</v>
      </c>
      <c r="F21" s="3">
        <v>0</v>
      </c>
      <c r="G21" s="3">
        <v>0</v>
      </c>
      <c r="H21" s="3">
        <v>2.5151140999999999E-4</v>
      </c>
      <c r="I21" s="3">
        <v>5.9677701999999998E-5</v>
      </c>
      <c r="J21" s="3">
        <v>-5.4228429999999997E-4</v>
      </c>
      <c r="K21" s="2"/>
      <c r="L21" s="3"/>
      <c r="M21" s="3"/>
      <c r="N21" s="2">
        <f>IF('Modell einstellen'!$B$1="Voll",H21/0.35,H21/0.35*2)</f>
        <v>7.1860402857142861E-4</v>
      </c>
      <c r="O21" s="2">
        <f>IF('Modell einstellen'!$B$1="Voll",J21/0.35,J21/0.35*2)</f>
        <v>-1.5493837142857142E-3</v>
      </c>
      <c r="P21" s="3">
        <f t="shared" si="0"/>
        <v>0.46379991085856631</v>
      </c>
      <c r="Q21" s="3"/>
      <c r="R21" s="3"/>
      <c r="S21" s="3"/>
      <c r="T21" s="3"/>
      <c r="U21" s="3"/>
    </row>
    <row r="22" spans="1:21" x14ac:dyDescent="0.25">
      <c r="A22" s="3">
        <v>10000</v>
      </c>
      <c r="B22" s="3">
        <v>-3.4709999999999998E-4</v>
      </c>
      <c r="C22" s="3">
        <v>6.4919999999999995E-4</v>
      </c>
      <c r="D22" s="3">
        <v>-6.1269999999999999E-4</v>
      </c>
      <c r="E22" s="3">
        <v>0</v>
      </c>
      <c r="F22" s="3">
        <v>0</v>
      </c>
      <c r="G22" s="3">
        <v>0</v>
      </c>
      <c r="H22" s="3">
        <v>3.5782369000000001E-4</v>
      </c>
      <c r="I22" s="3">
        <v>8.6423284999999995E-5</v>
      </c>
      <c r="J22" s="3">
        <v>-7.4526522000000004E-4</v>
      </c>
      <c r="K22" s="2"/>
      <c r="L22" s="3"/>
      <c r="M22" s="3"/>
      <c r="N22" s="2">
        <f>IF('Modell einstellen'!$B$1="Voll",H22/0.35,H22/0.35*2)</f>
        <v>1.0223534000000001E-3</v>
      </c>
      <c r="O22" s="2">
        <f>IF('Modell einstellen'!$B$1="Voll",J22/0.35,J22/0.35*2)</f>
        <v>-2.1293292000000002E-3</v>
      </c>
      <c r="P22" s="3">
        <f t="shared" si="0"/>
        <v>0.48012932899243571</v>
      </c>
      <c r="Q22" s="3"/>
      <c r="R22" s="3"/>
      <c r="S22" s="3"/>
      <c r="T22" s="3"/>
      <c r="U22" s="3"/>
    </row>
    <row r="23" spans="1:21" x14ac:dyDescent="0.25">
      <c r="A23" s="3">
        <v>100000</v>
      </c>
      <c r="B23" s="3">
        <v>-1.0280000000000001E-3</v>
      </c>
      <c r="C23" s="3">
        <v>9.4510000000000004E-4</v>
      </c>
      <c r="D23" s="3">
        <v>-2.387E-4</v>
      </c>
      <c r="E23" s="3">
        <v>0</v>
      </c>
      <c r="F23" s="3">
        <v>0</v>
      </c>
      <c r="G23" s="3">
        <v>0</v>
      </c>
      <c r="H23" s="3">
        <v>5.8719743000000004E-4</v>
      </c>
      <c r="I23" s="3">
        <v>1.3826906999999999E-4</v>
      </c>
      <c r="J23" s="3">
        <v>-1.1627618000000001E-3</v>
      </c>
      <c r="K23" s="2"/>
      <c r="L23" s="3"/>
      <c r="M23" s="3"/>
      <c r="N23" s="2">
        <f>IF('Modell einstellen'!$B$1="Voll",H23/0.35,H23/0.35*2)</f>
        <v>1.677706942857143E-3</v>
      </c>
      <c r="O23" s="2">
        <f>IF('Modell einstellen'!$B$1="Voll",J23/0.35,J23/0.35*2)</f>
        <v>-3.3221765714285716E-3</v>
      </c>
      <c r="P23" s="3">
        <f t="shared" si="0"/>
        <v>0.50500234011815659</v>
      </c>
      <c r="Q23" s="3"/>
      <c r="R23" s="3"/>
      <c r="S23" s="3"/>
      <c r="T23" s="3"/>
      <c r="U23" s="3"/>
    </row>
    <row r="24" spans="1:21" x14ac:dyDescent="0.25">
      <c r="A24" s="3">
        <v>1000000</v>
      </c>
      <c r="B24" s="3">
        <v>-2.5929999999999998E-3</v>
      </c>
      <c r="C24" s="3">
        <v>1.469E-3</v>
      </c>
      <c r="D24" s="3">
        <v>7.9390000000000005E-4</v>
      </c>
      <c r="E24" s="3">
        <v>0</v>
      </c>
      <c r="F24" s="3">
        <v>0</v>
      </c>
      <c r="G24" s="3">
        <v>0</v>
      </c>
      <c r="H24" s="3">
        <v>1.0529059999999999E-3</v>
      </c>
      <c r="I24" s="3">
        <v>2.3698472E-4</v>
      </c>
      <c r="J24" s="3">
        <v>-1.9852536E-3</v>
      </c>
      <c r="K24" s="2"/>
      <c r="L24" s="3"/>
      <c r="M24" s="3"/>
      <c r="N24" s="2">
        <f>IF('Modell einstellen'!$B$1="Voll",H24/0.35,H24/0.35*2)</f>
        <v>3.0083028571428572E-3</v>
      </c>
      <c r="O24" s="2">
        <f>IF('Modell einstellen'!$B$1="Voll",J24/0.35,J24/0.35*2)</f>
        <v>-5.6721531428571429E-3</v>
      </c>
      <c r="P24" s="3">
        <f t="shared" si="0"/>
        <v>0.53036347598110389</v>
      </c>
      <c r="Q24" s="3"/>
      <c r="R24" s="3"/>
      <c r="S24" s="3"/>
      <c r="T24" s="3"/>
      <c r="U24" s="3"/>
    </row>
    <row r="25" spans="1:21" x14ac:dyDescent="0.25">
      <c r="A25" s="3">
        <v>10000000</v>
      </c>
      <c r="B25" s="3">
        <v>-5.6750000000000004E-3</v>
      </c>
      <c r="C25" s="3">
        <v>2.4030000000000002E-3</v>
      </c>
      <c r="D25" s="3">
        <v>2.9359999999999998E-3</v>
      </c>
      <c r="E25" s="3">
        <v>0</v>
      </c>
      <c r="F25" s="3">
        <v>0</v>
      </c>
      <c r="G25" s="3">
        <v>0</v>
      </c>
      <c r="H25" s="3">
        <v>1.9269425E-3</v>
      </c>
      <c r="I25" s="3">
        <v>4.1926585000000001E-4</v>
      </c>
      <c r="J25" s="3">
        <v>-3.5112160000000002E-3</v>
      </c>
      <c r="K25" s="2"/>
      <c r="L25" s="3"/>
      <c r="M25" s="3"/>
      <c r="N25" s="2">
        <f>IF('Modell einstellen'!$B$1="Voll",H25/0.35,H25/0.35*2)</f>
        <v>5.5055500000000005E-3</v>
      </c>
      <c r="O25" s="2">
        <f>IF('Modell einstellen'!$B$1="Voll",J25/0.35,J25/0.35*2)</f>
        <v>-1.0032045714285715E-2</v>
      </c>
      <c r="P25" s="3">
        <f t="shared" si="0"/>
        <v>0.54879634291937607</v>
      </c>
      <c r="Q25" s="3"/>
      <c r="R25" s="3"/>
      <c r="S25" s="3"/>
      <c r="T25" s="3"/>
      <c r="U25" s="3"/>
    </row>
    <row r="26" spans="1:21" x14ac:dyDescent="0.25">
      <c r="A26" s="3">
        <v>100000000</v>
      </c>
      <c r="B26" s="3">
        <v>-1.076E-2</v>
      </c>
      <c r="C26" s="3">
        <v>3.8899999999999998E-3</v>
      </c>
      <c r="D26" s="3">
        <v>6.5329999999999997E-3</v>
      </c>
      <c r="E26" s="3">
        <v>0</v>
      </c>
      <c r="F26" s="3">
        <v>0</v>
      </c>
      <c r="G26" s="3">
        <v>0</v>
      </c>
      <c r="H26" s="3">
        <v>3.3445340000000001E-3</v>
      </c>
      <c r="I26" s="3">
        <v>7.1582773000000005E-4</v>
      </c>
      <c r="J26" s="3">
        <v>-5.9690409999999996E-3</v>
      </c>
      <c r="K26" s="2"/>
      <c r="L26" s="3"/>
      <c r="M26" s="3"/>
      <c r="N26" s="2">
        <f>IF('Modell einstellen'!$B$1="Voll",H26/0.35,H26/0.35*2)</f>
        <v>9.5558114285714292E-3</v>
      </c>
      <c r="O26" s="2">
        <f>IF('Modell einstellen'!$B$1="Voll",J26/0.35,J26/0.35*2)</f>
        <v>-1.7054402857142856E-2</v>
      </c>
      <c r="P26" s="3">
        <f t="shared" si="0"/>
        <v>0.56031345738787863</v>
      </c>
      <c r="Q26" s="3"/>
      <c r="R26" s="3"/>
      <c r="S26" s="3"/>
      <c r="T26" s="3"/>
      <c r="U26" s="3"/>
    </row>
    <row r="27" spans="1:21" x14ac:dyDescent="0.25">
      <c r="A27" s="3">
        <v>1000000000</v>
      </c>
      <c r="B27" s="3">
        <v>-1.421E-2</v>
      </c>
      <c r="C27" s="3">
        <v>4.96E-3</v>
      </c>
      <c r="D27" s="3">
        <v>8.914E-3</v>
      </c>
      <c r="E27" s="3">
        <v>0</v>
      </c>
      <c r="F27" s="3">
        <v>0</v>
      </c>
      <c r="G27" s="3">
        <v>0</v>
      </c>
      <c r="H27" s="3">
        <v>4.2917488E-3</v>
      </c>
      <c r="I27" s="3">
        <v>9.3402712999999995E-4</v>
      </c>
      <c r="J27" s="3">
        <v>-7.6679744999999999E-3</v>
      </c>
      <c r="K27" s="2"/>
      <c r="L27" s="3"/>
      <c r="M27" s="3"/>
      <c r="N27" s="2">
        <f>IF('Modell einstellen'!$B$1="Voll",H27/0.35,H27/0.35*2)</f>
        <v>1.226213942857143E-2</v>
      </c>
      <c r="O27" s="2">
        <f>IF('Modell einstellen'!$B$1="Voll",J27/0.35,J27/0.35*2)</f>
        <v>-2.1908498571428573E-2</v>
      </c>
      <c r="P27" s="3">
        <f t="shared" si="0"/>
        <v>0.55969784458725058</v>
      </c>
      <c r="Q27" s="3"/>
      <c r="R27" s="3"/>
      <c r="S27" s="3"/>
      <c r="T27" s="3"/>
      <c r="U27" s="3"/>
    </row>
    <row r="28" spans="1:21" x14ac:dyDescent="0.25">
      <c r="A28" s="3">
        <v>10000000000</v>
      </c>
      <c r="B28" s="3">
        <v>-1.5769999999999999E-2</v>
      </c>
      <c r="C28" s="3">
        <v>5.4999999999999997E-3</v>
      </c>
      <c r="D28" s="3">
        <v>9.9389999999999999E-3</v>
      </c>
      <c r="E28" s="3">
        <v>0</v>
      </c>
      <c r="F28" s="3">
        <v>0</v>
      </c>
      <c r="G28" s="3">
        <v>0</v>
      </c>
      <c r="H28" s="3">
        <v>4.7147951000000004E-3</v>
      </c>
      <c r="I28" s="3">
        <v>1.0463344E-3</v>
      </c>
      <c r="J28" s="3">
        <v>-8.4752735999999995E-3</v>
      </c>
      <c r="K28" s="2"/>
      <c r="L28" s="3"/>
      <c r="M28" s="3"/>
      <c r="N28" s="2">
        <f>IF('Modell einstellen'!$B$1="Voll",H28/0.35,H28/0.35*2)</f>
        <v>1.3470843142857144E-2</v>
      </c>
      <c r="O28" s="2">
        <f>IF('Modell einstellen'!$B$1="Voll",J28/0.35,J28/0.35*2)</f>
        <v>-2.4215067428571428E-2</v>
      </c>
      <c r="P28" s="3">
        <f t="shared" si="0"/>
        <v>0.55630004676191225</v>
      </c>
      <c r="Q28" s="3"/>
      <c r="R28" s="3"/>
      <c r="S28" s="3"/>
      <c r="T28" s="3"/>
      <c r="U28" s="3"/>
    </row>
    <row r="29" spans="1:21" x14ac:dyDescent="0.25">
      <c r="A29" s="3">
        <v>100000000000</v>
      </c>
      <c r="B29" s="3">
        <v>-1.6910000000000001E-2</v>
      </c>
      <c r="C29" s="3">
        <v>5.8869999999999999E-3</v>
      </c>
      <c r="D29" s="3">
        <v>1.069E-2</v>
      </c>
      <c r="E29" s="3">
        <v>0</v>
      </c>
      <c r="F29" s="3">
        <v>0</v>
      </c>
      <c r="G29" s="3">
        <v>0</v>
      </c>
      <c r="H29" s="3">
        <v>5.0319281999999998E-3</v>
      </c>
      <c r="I29" s="3">
        <v>1.1281901999999999E-3</v>
      </c>
      <c r="J29" s="3">
        <v>-9.0704361000000008E-3</v>
      </c>
      <c r="K29" s="2"/>
      <c r="L29" s="3"/>
      <c r="M29" s="3"/>
      <c r="N29" s="2">
        <f>IF('Modell einstellen'!$B$1="Voll",H29/0.35,H29/0.35*2)</f>
        <v>1.4376937714285715E-2</v>
      </c>
      <c r="O29" s="2">
        <f>IF('Modell einstellen'!$B$1="Voll",J29/0.35,J29/0.35*2)</f>
        <v>-2.5915531714285719E-2</v>
      </c>
      <c r="P29" s="3">
        <f t="shared" si="0"/>
        <v>0.55476144085288237</v>
      </c>
      <c r="Q29" s="3"/>
      <c r="R29" s="3"/>
      <c r="S29" s="3"/>
      <c r="T29" s="3"/>
      <c r="U29" s="3"/>
    </row>
    <row r="30" spans="1:21" x14ac:dyDescent="0.25">
      <c r="A30" s="3">
        <v>1000000000000</v>
      </c>
      <c r="B30" s="3">
        <v>-1.6930000000000001E-2</v>
      </c>
      <c r="C30" s="3">
        <v>5.8929999999999998E-3</v>
      </c>
      <c r="D30" s="3">
        <v>1.0699999999999999E-2</v>
      </c>
      <c r="E30" s="3">
        <v>0</v>
      </c>
      <c r="F30" s="3">
        <v>0</v>
      </c>
      <c r="G30" s="3">
        <v>0</v>
      </c>
      <c r="H30" s="3">
        <v>5.0368977999999997E-3</v>
      </c>
      <c r="I30" s="3">
        <v>1.1293097E-3</v>
      </c>
      <c r="J30" s="3">
        <v>-9.0791696000000009E-3</v>
      </c>
      <c r="K30" s="2"/>
      <c r="L30" s="3"/>
      <c r="M30" s="3"/>
      <c r="N30" s="2">
        <f>IF('Modell einstellen'!$B$1="Voll",H30/0.35,H30/0.35*2)</f>
        <v>1.4391136571428572E-2</v>
      </c>
      <c r="O30" s="2">
        <f>IF('Modell einstellen'!$B$1="Voll",J30/0.35,J30/0.35*2)</f>
        <v>-2.5940484571428574E-2</v>
      </c>
      <c r="P30" s="3">
        <f t="shared" si="0"/>
        <v>0.55477516357883649</v>
      </c>
      <c r="Q30" s="3"/>
      <c r="R30" s="3"/>
      <c r="S30" s="3"/>
      <c r="T30" s="3"/>
      <c r="U30" s="3"/>
    </row>
    <row r="31" spans="1:21" x14ac:dyDescent="0.25">
      <c r="A31" s="3">
        <v>10000000000000</v>
      </c>
      <c r="B31" s="3">
        <v>-1.6930000000000001E-2</v>
      </c>
      <c r="C31" s="3">
        <v>5.8970000000000003E-3</v>
      </c>
      <c r="D31" s="3">
        <v>1.0699999999999999E-2</v>
      </c>
      <c r="E31" s="3">
        <v>0</v>
      </c>
      <c r="F31" s="3">
        <v>0</v>
      </c>
      <c r="G31" s="3">
        <v>0</v>
      </c>
      <c r="H31" s="3">
        <v>5.0354518000000001E-3</v>
      </c>
      <c r="I31" s="3">
        <v>1.1301810000000001E-3</v>
      </c>
      <c r="J31" s="3">
        <v>-9.0808455000000003E-3</v>
      </c>
      <c r="K31" s="2"/>
      <c r="L31" s="3"/>
      <c r="M31" s="3"/>
      <c r="N31" s="2">
        <f>IF('Modell einstellen'!$B$1="Voll",H31/0.35,H31/0.35*2)</f>
        <v>1.4387005142857144E-2</v>
      </c>
      <c r="O31" s="2">
        <f>IF('Modell einstellen'!$B$1="Voll",J31/0.35,J31/0.35*2)</f>
        <v>-2.5945272857142859E-2</v>
      </c>
      <c r="P31" s="3">
        <f t="shared" si="0"/>
        <v>0.55451354171811429</v>
      </c>
      <c r="Q31" s="3"/>
      <c r="R31" s="3"/>
      <c r="S31" s="3"/>
      <c r="T31" s="3"/>
      <c r="U31" s="3"/>
    </row>
    <row r="32" spans="1:21" x14ac:dyDescent="0.25">
      <c r="A32" s="3">
        <v>100000000000000</v>
      </c>
      <c r="B32" s="3">
        <v>-1.6930000000000001E-2</v>
      </c>
      <c r="C32" s="3">
        <v>5.8999999999999999E-3</v>
      </c>
      <c r="D32" s="3">
        <v>1.0699999999999999E-2</v>
      </c>
      <c r="E32" s="3">
        <v>0</v>
      </c>
      <c r="F32" s="3">
        <v>0</v>
      </c>
      <c r="G32" s="3">
        <v>0</v>
      </c>
      <c r="H32" s="3">
        <v>5.0342601000000001E-3</v>
      </c>
      <c r="I32" s="3">
        <v>1.1309001E-3</v>
      </c>
      <c r="J32" s="3">
        <v>-9.0822299000000006E-3</v>
      </c>
      <c r="K32" s="2"/>
      <c r="L32" s="3"/>
      <c r="M32" s="3"/>
      <c r="N32" s="2">
        <f>IF('Modell einstellen'!$B$1="Voll",H32/0.35,H32/0.35*2)</f>
        <v>1.4383600285714287E-2</v>
      </c>
      <c r="O32" s="2">
        <f>IF('Modell einstellen'!$B$1="Voll",J32/0.35,J32/0.35*2)</f>
        <v>-2.594922828571429E-2</v>
      </c>
      <c r="P32" s="3">
        <f t="shared" si="0"/>
        <v>0.55429780521191163</v>
      </c>
      <c r="Q32" s="3"/>
      <c r="R32" s="3"/>
      <c r="S32" s="3"/>
      <c r="T32" s="3"/>
      <c r="U32" s="3"/>
    </row>
    <row r="33" spans="1:21" x14ac:dyDescent="0.25">
      <c r="A33" s="2">
        <v>1000000000000000</v>
      </c>
      <c r="B33" s="3">
        <v>-1.6930000000000001E-2</v>
      </c>
      <c r="C33" s="3">
        <v>5.9030000000000003E-3</v>
      </c>
      <c r="D33" s="3">
        <v>1.069E-2</v>
      </c>
      <c r="E33" s="3">
        <v>0</v>
      </c>
      <c r="F33" s="3">
        <v>0</v>
      </c>
      <c r="G33" s="3">
        <v>0</v>
      </c>
      <c r="H33" s="3">
        <v>5.0331786000000003E-3</v>
      </c>
      <c r="I33" s="3">
        <v>1.1315526000000001E-3</v>
      </c>
      <c r="J33" s="3">
        <v>-9.0834868000000003E-3</v>
      </c>
      <c r="K33" s="2"/>
      <c r="L33" s="3"/>
      <c r="M33" s="3"/>
      <c r="N33" s="2">
        <f>IF('Modell einstellen'!$B$1="Voll",H33/0.35,H33/0.35*2)</f>
        <v>1.4380510285714288E-2</v>
      </c>
      <c r="O33" s="2">
        <f>IF('Modell einstellen'!$B$1="Voll",J33/0.35,J33/0.35*2)</f>
        <v>-2.595281942857143E-2</v>
      </c>
      <c r="P33" s="3">
        <f t="shared" si="0"/>
        <v>0.55410204372180083</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9.7990000000000002E-5</v>
      </c>
      <c r="C3" s="3">
        <v>1.9929999999999999E-4</v>
      </c>
      <c r="D3" s="3">
        <v>-5.6789999999999998E-4</v>
      </c>
      <c r="E3" s="3">
        <v>0</v>
      </c>
      <c r="F3" s="3">
        <v>0</v>
      </c>
      <c r="G3" s="3">
        <v>0</v>
      </c>
      <c r="H3" s="3">
        <v>8.8978270000000006E-5</v>
      </c>
      <c r="I3" s="3">
        <v>2.1384642999999999E-5</v>
      </c>
      <c r="J3" s="3">
        <v>-2.3877429000000001E-4</v>
      </c>
      <c r="L3" s="3">
        <f>-B3/D3</f>
        <v>0.1725479837999648</v>
      </c>
      <c r="M3" s="3"/>
      <c r="N3" s="2">
        <f>IF('Modell einstellen'!$B$1="Voll",H3/0.35,H3/0.35*2)</f>
        <v>2.5422362857142861E-4</v>
      </c>
      <c r="O3" s="2">
        <f>IF('Modell einstellen'!$B$1="Voll",J3/0.35,J3/0.35*2)</f>
        <v>-6.8221225714285721E-4</v>
      </c>
      <c r="P3" s="3">
        <f>-N3/O3</f>
        <v>0.3726459410684459</v>
      </c>
    </row>
    <row r="4" spans="1:16" x14ac:dyDescent="0.25">
      <c r="A4" s="3">
        <v>1E-14</v>
      </c>
      <c r="B4" s="3">
        <v>9.6509999999999996E-5</v>
      </c>
      <c r="C4" s="3">
        <v>2.0809999999999999E-4</v>
      </c>
      <c r="D4" s="3">
        <v>-5.7819999999999996E-4</v>
      </c>
      <c r="E4" s="3">
        <v>0</v>
      </c>
      <c r="F4" s="3">
        <v>0</v>
      </c>
      <c r="G4" s="3">
        <v>0</v>
      </c>
      <c r="H4" s="3">
        <v>9.4730627999999994E-5</v>
      </c>
      <c r="I4" s="3">
        <v>2.2461944E-5</v>
      </c>
      <c r="J4" s="3">
        <v>-2.4890904000000001E-4</v>
      </c>
      <c r="L4" s="3">
        <f t="shared" ref="L4:L33" si="0">-B4/D4</f>
        <v>0.16691456243514355</v>
      </c>
      <c r="M4" s="3"/>
      <c r="N4" s="2">
        <f>IF('Modell einstellen'!$B$1="Voll",H4/0.35,H4/0.35*2)</f>
        <v>2.7065893714285714E-4</v>
      </c>
      <c r="O4" s="2">
        <f>IF('Modell einstellen'!$B$1="Voll",J4/0.35,J4/0.35*2)</f>
        <v>-7.1116868571428579E-4</v>
      </c>
      <c r="P4" s="3">
        <f t="shared" ref="P4:P33" si="1">-N4/O4</f>
        <v>0.38058331670075135</v>
      </c>
    </row>
    <row r="5" spans="1:16" x14ac:dyDescent="0.25">
      <c r="A5" s="3">
        <v>1E-13</v>
      </c>
      <c r="B5" s="3">
        <v>9.4149999999999998E-5</v>
      </c>
      <c r="C5" s="3">
        <v>2.1680000000000001E-4</v>
      </c>
      <c r="D5" s="3">
        <v>-5.8739999999999997E-4</v>
      </c>
      <c r="E5" s="3">
        <v>0</v>
      </c>
      <c r="F5" s="3">
        <v>0</v>
      </c>
      <c r="G5" s="3">
        <v>0</v>
      </c>
      <c r="H5" s="3">
        <v>1.0068326E-4</v>
      </c>
      <c r="I5" s="3">
        <v>2.3538458E-5</v>
      </c>
      <c r="J5" s="3">
        <v>-2.5923557000000002E-4</v>
      </c>
      <c r="L5" s="3">
        <f t="shared" si="0"/>
        <v>0.16028260129383726</v>
      </c>
      <c r="M5" s="3"/>
      <c r="N5" s="2">
        <f>IF('Modell einstellen'!$B$1="Voll",H5/0.35,H5/0.35*2)</f>
        <v>2.8766645714285716E-4</v>
      </c>
      <c r="O5" s="2">
        <f>IF('Modell einstellen'!$B$1="Voll",J5/0.35,J5/0.35*2)</f>
        <v>-7.4067305714285725E-4</v>
      </c>
      <c r="P5" s="3">
        <f t="shared" si="1"/>
        <v>0.38838520500871077</v>
      </c>
    </row>
    <row r="6" spans="1:16" x14ac:dyDescent="0.25">
      <c r="A6" s="3">
        <v>9.9999999999999998E-13</v>
      </c>
      <c r="B6" s="3">
        <v>9.0099999999999995E-5</v>
      </c>
      <c r="C6" s="3">
        <v>2.273E-4</v>
      </c>
      <c r="D6" s="3">
        <v>-5.9730000000000004E-4</v>
      </c>
      <c r="E6" s="3">
        <v>0</v>
      </c>
      <c r="F6" s="3">
        <v>0</v>
      </c>
      <c r="G6" s="3">
        <v>0</v>
      </c>
      <c r="H6" s="3">
        <v>1.082682E-4</v>
      </c>
      <c r="I6" s="3">
        <v>2.4855804000000001E-5</v>
      </c>
      <c r="J6" s="3">
        <v>-2.7216288000000001E-4</v>
      </c>
      <c r="L6" s="3">
        <f t="shared" si="0"/>
        <v>0.15084547128746023</v>
      </c>
      <c r="M6" s="3"/>
      <c r="N6" s="2">
        <f>IF('Modell einstellen'!$B$1="Voll",H6/0.35,H6/0.35*2)</f>
        <v>3.0933771428571431E-4</v>
      </c>
      <c r="O6" s="2">
        <f>IF('Modell einstellen'!$B$1="Voll",J6/0.35,J6/0.35*2)</f>
        <v>-7.7760822857142866E-4</v>
      </c>
      <c r="P6" s="3">
        <f t="shared" si="1"/>
        <v>0.39780663696680457</v>
      </c>
    </row>
    <row r="7" spans="1:16" x14ac:dyDescent="0.25">
      <c r="A7" s="3">
        <v>9.9999999999999994E-12</v>
      </c>
      <c r="B7" s="3">
        <v>8.4090000000000003E-5</v>
      </c>
      <c r="C7" s="3">
        <v>2.385E-4</v>
      </c>
      <c r="D7" s="3">
        <v>-6.0610000000000004E-4</v>
      </c>
      <c r="E7" s="3">
        <v>0</v>
      </c>
      <c r="F7" s="3">
        <v>0</v>
      </c>
      <c r="G7" s="3">
        <v>0</v>
      </c>
      <c r="H7" s="3">
        <v>1.1696488999999999E-4</v>
      </c>
      <c r="I7" s="3">
        <v>2.6293913000000001E-5</v>
      </c>
      <c r="J7" s="3">
        <v>-2.8668235999999999E-4</v>
      </c>
      <c r="L7" s="3">
        <f t="shared" si="0"/>
        <v>0.1387394819336743</v>
      </c>
      <c r="M7" s="3"/>
      <c r="N7" s="2">
        <f>IF('Modell einstellen'!$B$1="Voll",H7/0.35,H7/0.35*2)</f>
        <v>3.341854E-4</v>
      </c>
      <c r="O7" s="2">
        <f>IF('Modell einstellen'!$B$1="Voll",J7/0.35,J7/0.35*2)</f>
        <v>-8.190924571428572E-4</v>
      </c>
      <c r="P7" s="3">
        <f t="shared" si="1"/>
        <v>0.40799472280052385</v>
      </c>
    </row>
    <row r="8" spans="1:16" x14ac:dyDescent="0.25">
      <c r="A8" s="3">
        <v>1E-10</v>
      </c>
      <c r="B8" s="3">
        <v>7.5450000000000004E-5</v>
      </c>
      <c r="C8" s="3">
        <v>2.5060000000000002E-4</v>
      </c>
      <c r="D8" s="3">
        <v>-6.1370000000000001E-4</v>
      </c>
      <c r="E8" s="3">
        <v>0</v>
      </c>
      <c r="F8" s="3">
        <v>0</v>
      </c>
      <c r="G8" s="3">
        <v>0</v>
      </c>
      <c r="H8" s="3">
        <v>1.2719055E-4</v>
      </c>
      <c r="I8" s="3">
        <v>2.7897587999999999E-5</v>
      </c>
      <c r="J8" s="3">
        <v>-3.0339377000000001E-4</v>
      </c>
      <c r="L8" s="3">
        <f t="shared" si="0"/>
        <v>0.12294280593123677</v>
      </c>
      <c r="M8" s="3"/>
      <c r="N8" s="2">
        <f>IF('Modell einstellen'!$B$1="Voll",H8/0.35,H8/0.35*2)</f>
        <v>3.6340157142857147E-4</v>
      </c>
      <c r="O8" s="2">
        <f>IF('Modell einstellen'!$B$1="Voll",J8/0.35,J8/0.35*2)</f>
        <v>-8.6683934285714296E-4</v>
      </c>
      <c r="P8" s="3">
        <f t="shared" si="1"/>
        <v>0.41922597817351359</v>
      </c>
    </row>
    <row r="9" spans="1:16" x14ac:dyDescent="0.25">
      <c r="A9" s="3">
        <v>1.0000000000000001E-9</v>
      </c>
      <c r="B9" s="3">
        <v>6.2580000000000001E-5</v>
      </c>
      <c r="C9" s="3">
        <v>2.6449999999999998E-4</v>
      </c>
      <c r="D9" s="3">
        <v>-6.1919999999999998E-4</v>
      </c>
      <c r="E9" s="3">
        <v>0</v>
      </c>
      <c r="F9" s="3">
        <v>0</v>
      </c>
      <c r="G9" s="3">
        <v>0</v>
      </c>
      <c r="H9" s="3">
        <v>1.3990635000000001E-4</v>
      </c>
      <c r="I9" s="3">
        <v>2.9768210000000001E-5</v>
      </c>
      <c r="J9" s="3">
        <v>-3.2366778E-4</v>
      </c>
      <c r="L9" s="3">
        <f t="shared" si="0"/>
        <v>0.10106589147286822</v>
      </c>
      <c r="M9" s="3"/>
      <c r="N9" s="2">
        <f>IF('Modell einstellen'!$B$1="Voll",H9/0.35,H9/0.35*2)</f>
        <v>3.9973242857142864E-4</v>
      </c>
      <c r="O9" s="2">
        <f>IF('Modell einstellen'!$B$1="Voll",J9/0.35,J9/0.35*2)</f>
        <v>-9.2476508571428574E-4</v>
      </c>
      <c r="P9" s="3">
        <f t="shared" si="1"/>
        <v>0.4322529415810249</v>
      </c>
    </row>
    <row r="10" spans="1:16" x14ac:dyDescent="0.25">
      <c r="A10" s="3">
        <v>1E-8</v>
      </c>
      <c r="B10" s="3">
        <v>4.1539999999999999E-5</v>
      </c>
      <c r="C10" s="3">
        <v>2.8170000000000002E-4</v>
      </c>
      <c r="D10" s="3">
        <v>-6.2100000000000002E-4</v>
      </c>
      <c r="E10" s="3">
        <v>0</v>
      </c>
      <c r="F10" s="3">
        <v>0</v>
      </c>
      <c r="G10" s="3">
        <v>0</v>
      </c>
      <c r="H10" s="3">
        <v>1.5756017999999999E-4</v>
      </c>
      <c r="I10" s="3">
        <v>3.2173070999999999E-5</v>
      </c>
      <c r="J10" s="3">
        <v>-3.5103074999999999E-4</v>
      </c>
      <c r="L10" s="3">
        <f t="shared" si="0"/>
        <v>6.6892109500805152E-2</v>
      </c>
      <c r="M10" s="3"/>
      <c r="N10" s="2">
        <f>IF('Modell einstellen'!$B$1="Voll",H10/0.35,H10/0.35*2)</f>
        <v>4.5017194285714286E-4</v>
      </c>
      <c r="O10" s="2">
        <f>IF('Modell einstellen'!$B$1="Voll",J10/0.35,J10/0.35*2)</f>
        <v>-1.0029450000000001E-3</v>
      </c>
      <c r="P10" s="3">
        <f t="shared" si="1"/>
        <v>0.44885007937338817</v>
      </c>
    </row>
    <row r="11" spans="1:16" x14ac:dyDescent="0.25">
      <c r="A11" s="3">
        <v>9.9999999999999995E-8</v>
      </c>
      <c r="B11" s="3">
        <v>-2.9540000000000001E-7</v>
      </c>
      <c r="C11" s="3">
        <v>3.0620000000000002E-4</v>
      </c>
      <c r="D11" s="3">
        <v>-6.1169999999999996E-4</v>
      </c>
      <c r="E11" s="3">
        <v>0</v>
      </c>
      <c r="F11" s="3">
        <v>0</v>
      </c>
      <c r="G11" s="3">
        <v>0</v>
      </c>
      <c r="H11" s="3">
        <v>1.8703211999999999E-4</v>
      </c>
      <c r="I11" s="3">
        <v>3.5751323000000001E-5</v>
      </c>
      <c r="J11" s="3">
        <v>-3.9493790999999999E-4</v>
      </c>
      <c r="L11" s="3">
        <f t="shared" si="0"/>
        <v>-4.8291646231812986E-4</v>
      </c>
      <c r="M11" s="3"/>
      <c r="N11" s="2">
        <f>IF('Modell einstellen'!$B$1="Voll",H11/0.35,H11/0.35*2)</f>
        <v>5.3437748571428568E-4</v>
      </c>
      <c r="O11" s="2">
        <f>IF('Modell einstellen'!$B$1="Voll",J11/0.35,J11/0.35*2)</f>
        <v>-1.1283940285714287E-3</v>
      </c>
      <c r="P11" s="3">
        <f t="shared" si="1"/>
        <v>0.47357347892989043</v>
      </c>
    </row>
    <row r="12" spans="1:16" x14ac:dyDescent="0.25">
      <c r="A12" s="3">
        <v>9.9999999999999995E-7</v>
      </c>
      <c r="B12" s="3">
        <v>-8.7029999999999999E-5</v>
      </c>
      <c r="C12" s="3">
        <v>3.39E-4</v>
      </c>
      <c r="D12" s="3">
        <v>-5.687E-4</v>
      </c>
      <c r="E12" s="3">
        <v>0</v>
      </c>
      <c r="F12" s="3">
        <v>0</v>
      </c>
      <c r="G12" s="3">
        <v>0</v>
      </c>
      <c r="H12" s="3">
        <v>2.3801333000000001E-4</v>
      </c>
      <c r="I12" s="3">
        <v>4.0913603000000002E-5</v>
      </c>
      <c r="J12" s="3">
        <v>-4.6672697000000002E-4</v>
      </c>
      <c r="L12" s="3">
        <f t="shared" si="0"/>
        <v>-0.15303323369087393</v>
      </c>
      <c r="M12" s="3"/>
      <c r="N12" s="2">
        <f>IF('Modell einstellen'!$B$1="Voll",H12/0.35,H12/0.35*2)</f>
        <v>6.8003808571428582E-4</v>
      </c>
      <c r="O12" s="2">
        <f>IF('Modell einstellen'!$B$1="Voll",J12/0.35,J12/0.35*2)</f>
        <v>-1.3335056285714287E-3</v>
      </c>
      <c r="P12" s="3">
        <f t="shared" si="1"/>
        <v>0.50996266618147224</v>
      </c>
    </row>
    <row r="13" spans="1:16" x14ac:dyDescent="0.25">
      <c r="A13" s="3">
        <v>1.0000000000000001E-5</v>
      </c>
      <c r="B13" s="3">
        <v>-2.8459999999999998E-4</v>
      </c>
      <c r="C13" s="3">
        <v>3.8170000000000001E-4</v>
      </c>
      <c r="D13" s="3">
        <v>-4.282E-4</v>
      </c>
      <c r="E13" s="3">
        <v>0</v>
      </c>
      <c r="F13" s="3">
        <v>0</v>
      </c>
      <c r="G13" s="3">
        <v>0</v>
      </c>
      <c r="H13" s="3">
        <v>3.3663247999999999E-4</v>
      </c>
      <c r="I13" s="3">
        <v>4.8421102000000002E-5</v>
      </c>
      <c r="J13" s="3">
        <v>-5.9555557E-4</v>
      </c>
      <c r="L13" s="3">
        <f t="shared" si="0"/>
        <v>-0.66464269033162071</v>
      </c>
      <c r="M13" s="3"/>
      <c r="N13" s="2">
        <f>IF('Modell einstellen'!$B$1="Voll",H13/0.35,H13/0.35*2)</f>
        <v>9.6180708571428578E-4</v>
      </c>
      <c r="O13" s="2">
        <f>IF('Modell einstellen'!$B$1="Voll",J13/0.35,J13/0.35*2)</f>
        <v>-1.7015873428571429E-3</v>
      </c>
      <c r="P13" s="3">
        <f t="shared" si="1"/>
        <v>0.56524109076840645</v>
      </c>
    </row>
    <row r="14" spans="1:16" x14ac:dyDescent="0.25">
      <c r="A14" s="3">
        <v>1E-4</v>
      </c>
      <c r="B14" s="3">
        <v>-8.0060000000000005E-4</v>
      </c>
      <c r="C14" s="3">
        <v>4.3239999999999999E-4</v>
      </c>
      <c r="D14" s="3">
        <v>1.959E-5</v>
      </c>
      <c r="E14" s="3">
        <v>0</v>
      </c>
      <c r="F14" s="3">
        <v>0</v>
      </c>
      <c r="G14" s="3">
        <v>0</v>
      </c>
      <c r="H14" s="3">
        <v>5.6307153999999996E-4</v>
      </c>
      <c r="I14" s="3">
        <v>5.9062421999999999E-5</v>
      </c>
      <c r="J14" s="3">
        <v>-8.6452413E-4</v>
      </c>
      <c r="L14" s="3">
        <f t="shared" si="0"/>
        <v>40.867789688616639</v>
      </c>
      <c r="M14" s="3"/>
      <c r="N14" s="2">
        <f>IF('Modell einstellen'!$B$1="Voll",H14/0.35,H14/0.35*2)</f>
        <v>1.6087758285714285E-3</v>
      </c>
      <c r="O14" s="2">
        <f>IF('Modell einstellen'!$B$1="Voll",J14/0.35,J14/0.35*2)</f>
        <v>-2.4700689428571432E-3</v>
      </c>
      <c r="P14" s="3">
        <f t="shared" si="1"/>
        <v>0.65130806701716915</v>
      </c>
    </row>
    <row r="15" spans="1:16" x14ac:dyDescent="0.25">
      <c r="A15" s="3">
        <v>1E-3</v>
      </c>
      <c r="B15" s="3">
        <v>-1.9810000000000001E-3</v>
      </c>
      <c r="C15" s="3">
        <v>4.7919999999999999E-4</v>
      </c>
      <c r="D15" s="3">
        <v>1.139E-3</v>
      </c>
      <c r="E15" s="3">
        <v>0</v>
      </c>
      <c r="F15" s="3">
        <v>0</v>
      </c>
      <c r="G15" s="3">
        <v>0</v>
      </c>
      <c r="H15" s="3">
        <v>1.0456093E-3</v>
      </c>
      <c r="I15" s="3">
        <v>7.0593486000000003E-5</v>
      </c>
      <c r="J15" s="3">
        <v>-1.3911080000000001E-3</v>
      </c>
      <c r="L15" s="3">
        <f t="shared" si="0"/>
        <v>1.7392449517120281</v>
      </c>
      <c r="M15" s="3"/>
      <c r="N15" s="2">
        <f>IF('Modell einstellen'!$B$1="Voll",H15/0.35,H15/0.35*2)</f>
        <v>2.9874551428571428E-3</v>
      </c>
      <c r="O15" s="2">
        <f>IF('Modell einstellen'!$B$1="Voll",J15/0.35,J15/0.35*2)</f>
        <v>-3.9745942857142861E-3</v>
      </c>
      <c r="P15" s="3">
        <f t="shared" si="1"/>
        <v>0.75163775925377463</v>
      </c>
    </row>
    <row r="16" spans="1:16" x14ac:dyDescent="0.25">
      <c r="A16" s="3">
        <v>0.01</v>
      </c>
      <c r="B16" s="3">
        <v>-4.333E-3</v>
      </c>
      <c r="C16" s="3">
        <v>5.7569999999999995E-4</v>
      </c>
      <c r="D16" s="3">
        <v>3.388E-3</v>
      </c>
      <c r="E16" s="3">
        <v>0</v>
      </c>
      <c r="F16" s="3">
        <v>0</v>
      </c>
      <c r="G16" s="3">
        <v>0</v>
      </c>
      <c r="H16" s="3">
        <v>1.9677128000000002E-3</v>
      </c>
      <c r="I16" s="3">
        <v>8.9697834000000007E-5</v>
      </c>
      <c r="J16" s="3">
        <v>-2.3766009999999999E-3</v>
      </c>
      <c r="L16" s="3">
        <f t="shared" si="0"/>
        <v>1.2789256198347108</v>
      </c>
      <c r="M16" s="3"/>
      <c r="N16" s="2">
        <f>IF('Modell einstellen'!$B$1="Voll",H16/0.35,H16/0.35*2)</f>
        <v>5.6220365714285724E-3</v>
      </c>
      <c r="O16" s="2">
        <f>IF('Modell einstellen'!$B$1="Voll",J16/0.35,J16/0.35*2)</f>
        <v>-6.7902885714285714E-3</v>
      </c>
      <c r="P16" s="3">
        <f t="shared" si="1"/>
        <v>0.82795252547651055</v>
      </c>
    </row>
    <row r="17" spans="1:16" x14ac:dyDescent="0.25">
      <c r="A17" s="3">
        <v>0.1</v>
      </c>
      <c r="B17" s="3">
        <v>-8.7250000000000001E-3</v>
      </c>
      <c r="C17" s="3">
        <v>9.1819999999999998E-4</v>
      </c>
      <c r="D17" s="3">
        <v>7.4380000000000002E-3</v>
      </c>
      <c r="E17" s="3">
        <v>0</v>
      </c>
      <c r="F17" s="3">
        <v>0</v>
      </c>
      <c r="G17" s="3">
        <v>0</v>
      </c>
      <c r="H17" s="3">
        <v>3.6055184E-3</v>
      </c>
      <c r="I17" s="3">
        <v>1.4885880000000001E-4</v>
      </c>
      <c r="J17" s="3">
        <v>-4.2007872999999998E-3</v>
      </c>
      <c r="L17" s="3">
        <f t="shared" si="0"/>
        <v>1.1730303845119656</v>
      </c>
      <c r="M17" s="3"/>
      <c r="N17" s="2">
        <f>IF('Modell einstellen'!$B$1="Voll",H17/0.35,H17/0.35*2)</f>
        <v>1.0301481142857144E-2</v>
      </c>
      <c r="O17" s="2">
        <f>IF('Modell einstellen'!$B$1="Voll",J17/0.35,J17/0.35*2)</f>
        <v>-1.2002249428571428E-2</v>
      </c>
      <c r="P17" s="3">
        <f t="shared" si="1"/>
        <v>0.85829587229993787</v>
      </c>
    </row>
    <row r="18" spans="1:16" x14ac:dyDescent="0.25">
      <c r="A18" s="3">
        <v>1</v>
      </c>
      <c r="B18" s="3">
        <v>-1.306E-2</v>
      </c>
      <c r="C18" s="3">
        <v>1.6119999999999999E-3</v>
      </c>
      <c r="D18" s="3">
        <v>1.1089999999999999E-2</v>
      </c>
      <c r="E18" s="3">
        <v>0</v>
      </c>
      <c r="F18" s="3">
        <v>0</v>
      </c>
      <c r="G18" s="3">
        <v>0</v>
      </c>
      <c r="H18" s="3">
        <v>5.0629152000000004E-3</v>
      </c>
      <c r="I18" s="3">
        <v>2.7177739000000002E-4</v>
      </c>
      <c r="J18" s="3">
        <v>-6.0605036000000003E-3</v>
      </c>
      <c r="L18" s="3">
        <f t="shared" si="0"/>
        <v>1.1776375112714159</v>
      </c>
      <c r="M18" s="3"/>
      <c r="N18" s="2">
        <f>IF('Modell einstellen'!$B$1="Voll",H18/0.35,H18/0.35*2)</f>
        <v>1.4465472000000002E-2</v>
      </c>
      <c r="O18" s="2">
        <f>IF('Modell einstellen'!$B$1="Voll",J18/0.35,J18/0.35*2)</f>
        <v>-1.7315724571428572E-2</v>
      </c>
      <c r="P18" s="3">
        <f t="shared" si="1"/>
        <v>0.83539513119008801</v>
      </c>
    </row>
    <row r="19" spans="1:16" x14ac:dyDescent="0.25">
      <c r="A19" s="3">
        <v>10</v>
      </c>
      <c r="B19" s="3">
        <v>-1.5219999999999999E-2</v>
      </c>
      <c r="C19" s="3">
        <v>2.5500000000000002E-3</v>
      </c>
      <c r="D19" s="3">
        <v>1.231E-2</v>
      </c>
      <c r="E19" s="3">
        <v>0</v>
      </c>
      <c r="F19" s="3">
        <v>0</v>
      </c>
      <c r="G19" s="3">
        <v>0</v>
      </c>
      <c r="H19" s="3">
        <v>5.5109555000000003E-3</v>
      </c>
      <c r="I19" s="3">
        <v>4.4917520000000002E-4</v>
      </c>
      <c r="J19" s="3">
        <v>-7.1267355000000001E-3</v>
      </c>
      <c r="L19" s="3">
        <f t="shared" si="0"/>
        <v>1.2363931762794476</v>
      </c>
      <c r="M19" s="3"/>
      <c r="N19" s="2">
        <f>IF('Modell einstellen'!$B$1="Voll",H19/0.35,H19/0.35*2)</f>
        <v>1.5745587142857145E-2</v>
      </c>
      <c r="O19" s="2">
        <f>IF('Modell einstellen'!$B$1="Voll",J19/0.35,J19/0.35*2)</f>
        <v>-2.0362101428571429E-2</v>
      </c>
      <c r="P19" s="3">
        <f t="shared" si="1"/>
        <v>0.77327908409116641</v>
      </c>
    </row>
    <row r="20" spans="1:16" x14ac:dyDescent="0.25">
      <c r="A20" s="3">
        <v>100</v>
      </c>
      <c r="B20" s="3">
        <v>-1.695E-2</v>
      </c>
      <c r="C20" s="3">
        <v>3.5869999999999999E-3</v>
      </c>
      <c r="D20" s="3">
        <v>1.3010000000000001E-2</v>
      </c>
      <c r="E20" s="3">
        <v>0</v>
      </c>
      <c r="F20" s="3">
        <v>0</v>
      </c>
      <c r="G20" s="3">
        <v>0</v>
      </c>
      <c r="H20" s="3">
        <v>5.7297861000000002E-3</v>
      </c>
      <c r="I20" s="3">
        <v>6.5186558999999998E-4</v>
      </c>
      <c r="J20" s="3">
        <v>-8.0582356999999993E-3</v>
      </c>
      <c r="L20" s="3">
        <f t="shared" si="0"/>
        <v>1.3028439661798616</v>
      </c>
      <c r="M20" s="3"/>
      <c r="N20" s="2">
        <f>IF('Modell einstellen'!$B$1="Voll",H20/0.35,H20/0.35*2)</f>
        <v>1.6370817428571431E-2</v>
      </c>
      <c r="O20" s="2">
        <f>IF('Modell einstellen'!$B$1="Voll",J20/0.35,J20/0.35*2)</f>
        <v>-2.3023530571428572E-2</v>
      </c>
      <c r="P20" s="3">
        <f t="shared" si="1"/>
        <v>0.71104722091958672</v>
      </c>
    </row>
    <row r="21" spans="1:16" x14ac:dyDescent="0.25">
      <c r="A21" s="3">
        <v>1000</v>
      </c>
      <c r="B21" s="3">
        <v>-1.7340000000000001E-2</v>
      </c>
      <c r="C21" s="3">
        <v>4.3870000000000003E-3</v>
      </c>
      <c r="D21" s="3">
        <v>1.261E-2</v>
      </c>
      <c r="E21" s="3">
        <v>0</v>
      </c>
      <c r="F21" s="3">
        <v>0</v>
      </c>
      <c r="G21" s="3">
        <v>0</v>
      </c>
      <c r="H21" s="3">
        <v>5.5257318999999997E-3</v>
      </c>
      <c r="I21" s="3">
        <v>8.1462837999999997E-4</v>
      </c>
      <c r="J21" s="3">
        <v>-8.4384712000000004E-3</v>
      </c>
      <c r="L21" s="3">
        <f t="shared" si="0"/>
        <v>1.3750991276764475</v>
      </c>
      <c r="M21" s="3"/>
      <c r="N21" s="2">
        <f>IF('Modell einstellen'!$B$1="Voll",H21/0.35,H21/0.35*2)</f>
        <v>1.578780542857143E-2</v>
      </c>
      <c r="O21" s="2">
        <f>IF('Modell einstellen'!$B$1="Voll",J21/0.35,J21/0.35*2)</f>
        <v>-2.4109917714285715E-2</v>
      </c>
      <c r="P21" s="3">
        <f t="shared" si="1"/>
        <v>0.65482618462927267</v>
      </c>
    </row>
    <row r="22" spans="1:16" x14ac:dyDescent="0.25">
      <c r="A22" s="3">
        <v>10000</v>
      </c>
      <c r="B22" s="3">
        <v>-1.7430000000000001E-2</v>
      </c>
      <c r="C22" s="3">
        <v>4.9430000000000003E-3</v>
      </c>
      <c r="D22" s="3">
        <v>1.214E-2</v>
      </c>
      <c r="E22" s="3">
        <v>0</v>
      </c>
      <c r="F22" s="3">
        <v>0</v>
      </c>
      <c r="G22" s="3">
        <v>0</v>
      </c>
      <c r="H22" s="3">
        <v>5.3267536999999998E-3</v>
      </c>
      <c r="I22" s="3">
        <v>9.2922448000000001E-4</v>
      </c>
      <c r="J22" s="3">
        <v>-8.6520259000000006E-3</v>
      </c>
      <c r="L22" s="3">
        <f t="shared" si="0"/>
        <v>1.4357495881383857</v>
      </c>
      <c r="M22" s="3"/>
      <c r="N22" s="2">
        <f>IF('Modell einstellen'!$B$1="Voll",H22/0.35,H22/0.35*2)</f>
        <v>1.5219296285714286E-2</v>
      </c>
      <c r="O22" s="2">
        <f>IF('Modell einstellen'!$B$1="Voll",J22/0.35,J22/0.35*2)</f>
        <v>-2.4720074000000002E-2</v>
      </c>
      <c r="P22" s="3">
        <f t="shared" si="1"/>
        <v>0.61566548246232133</v>
      </c>
    </row>
    <row r="23" spans="1:16" x14ac:dyDescent="0.25">
      <c r="A23" s="3">
        <v>100000</v>
      </c>
      <c r="B23" s="3">
        <v>-1.745E-2</v>
      </c>
      <c r="C23" s="3">
        <v>5.3099999999999996E-3</v>
      </c>
      <c r="D23" s="3">
        <v>1.18E-2</v>
      </c>
      <c r="E23" s="3">
        <v>0</v>
      </c>
      <c r="F23" s="3">
        <v>0</v>
      </c>
      <c r="G23" s="3">
        <v>0</v>
      </c>
      <c r="H23" s="3">
        <v>5.1966143000000001E-3</v>
      </c>
      <c r="I23" s="3">
        <v>1.0058087E-3</v>
      </c>
      <c r="J23" s="3">
        <v>-8.7971347000000005E-3</v>
      </c>
      <c r="L23" s="3">
        <f t="shared" si="0"/>
        <v>1.478813559322034</v>
      </c>
      <c r="M23" s="3"/>
      <c r="N23" s="2">
        <f>IF('Modell einstellen'!$B$1="Voll",H23/0.35,H23/0.35*2)</f>
        <v>1.484746942857143E-2</v>
      </c>
      <c r="O23" s="2">
        <f>IF('Modell einstellen'!$B$1="Voll",J23/0.35,J23/0.35*2)</f>
        <v>-2.5134670571428576E-2</v>
      </c>
      <c r="P23" s="3">
        <f t="shared" si="1"/>
        <v>0.59071669096984492</v>
      </c>
    </row>
    <row r="24" spans="1:16" x14ac:dyDescent="0.25">
      <c r="A24" s="3">
        <v>1000000</v>
      </c>
      <c r="B24" s="3">
        <v>-1.7430000000000001E-2</v>
      </c>
      <c r="C24" s="3">
        <v>5.574E-3</v>
      </c>
      <c r="D24" s="3">
        <v>1.1520000000000001E-2</v>
      </c>
      <c r="E24" s="3">
        <v>0</v>
      </c>
      <c r="F24" s="3">
        <v>0</v>
      </c>
      <c r="G24" s="3">
        <v>0</v>
      </c>
      <c r="H24" s="3">
        <v>5.1062785000000003E-3</v>
      </c>
      <c r="I24" s="3">
        <v>1.0612643E-3</v>
      </c>
      <c r="J24" s="3">
        <v>-8.9058081000000008E-3</v>
      </c>
      <c r="L24" s="3">
        <f t="shared" si="0"/>
        <v>1.5130208333333333</v>
      </c>
      <c r="M24" s="3"/>
      <c r="N24" s="2">
        <f>IF('Modell einstellen'!$B$1="Voll",H24/0.35,H24/0.35*2)</f>
        <v>1.4589367142857145E-2</v>
      </c>
      <c r="O24" s="2">
        <f>IF('Modell einstellen'!$B$1="Voll",J24/0.35,J24/0.35*2)</f>
        <v>-2.5445166000000005E-2</v>
      </c>
      <c r="P24" s="3">
        <f t="shared" si="1"/>
        <v>0.57336498189310858</v>
      </c>
    </row>
    <row r="25" spans="1:16" x14ac:dyDescent="0.25">
      <c r="A25" s="3">
        <v>10000000</v>
      </c>
      <c r="B25" s="3">
        <v>-1.737E-2</v>
      </c>
      <c r="C25" s="3">
        <v>5.7540000000000004E-3</v>
      </c>
      <c r="D25" s="3">
        <v>1.128E-2</v>
      </c>
      <c r="E25" s="3">
        <v>0</v>
      </c>
      <c r="F25" s="3">
        <v>0</v>
      </c>
      <c r="G25" s="3">
        <v>0</v>
      </c>
      <c r="H25" s="3">
        <v>5.0484047999999997E-3</v>
      </c>
      <c r="I25" s="3">
        <v>1.0993395999999999E-3</v>
      </c>
      <c r="J25" s="3">
        <v>-8.9843583999999997E-3</v>
      </c>
      <c r="L25" s="3">
        <f t="shared" si="0"/>
        <v>1.5398936170212767</v>
      </c>
      <c r="M25" s="3"/>
      <c r="N25" s="2">
        <f>IF('Modell einstellen'!$B$1="Voll",H25/0.35,H25/0.35*2)</f>
        <v>1.4424013714285715E-2</v>
      </c>
      <c r="O25" s="2">
        <f>IF('Modell einstellen'!$B$1="Voll",J25/0.35,J25/0.35*2)</f>
        <v>-2.5669595428571428E-2</v>
      </c>
      <c r="P25" s="3">
        <f t="shared" si="1"/>
        <v>0.56191044204113683</v>
      </c>
    </row>
    <row r="26" spans="1:16" x14ac:dyDescent="0.25">
      <c r="A26" s="3">
        <v>100000000</v>
      </c>
      <c r="B26" s="3">
        <v>-1.728E-2</v>
      </c>
      <c r="C26" s="3">
        <v>5.8690000000000001E-3</v>
      </c>
      <c r="D26" s="3">
        <v>1.108E-2</v>
      </c>
      <c r="E26" s="3">
        <v>0</v>
      </c>
      <c r="F26" s="3">
        <v>0</v>
      </c>
      <c r="G26" s="3">
        <v>0</v>
      </c>
      <c r="H26" s="3">
        <v>5.0156562999999999E-3</v>
      </c>
      <c r="I26" s="3">
        <v>1.1237183E-3</v>
      </c>
      <c r="J26" s="3">
        <v>-9.0387776000000006E-3</v>
      </c>
      <c r="L26" s="3">
        <f t="shared" si="0"/>
        <v>1.5595667870036103</v>
      </c>
      <c r="M26" s="3"/>
      <c r="N26" s="2">
        <f>IF('Modell einstellen'!$B$1="Voll",H26/0.35,H26/0.35*2)</f>
        <v>1.4330446571428573E-2</v>
      </c>
      <c r="O26" s="2">
        <f>IF('Modell einstellen'!$B$1="Voll",J26/0.35,J26/0.35*2)</f>
        <v>-2.5825078857142861E-2</v>
      </c>
      <c r="P26" s="3">
        <f t="shared" si="1"/>
        <v>0.55490427156875721</v>
      </c>
    </row>
    <row r="27" spans="1:16" x14ac:dyDescent="0.25">
      <c r="A27" s="3">
        <v>1000000000</v>
      </c>
      <c r="B27" s="3">
        <v>-1.7250000000000001E-2</v>
      </c>
      <c r="C27" s="3">
        <v>5.8950000000000001E-3</v>
      </c>
      <c r="D27" s="3">
        <v>1.102E-2</v>
      </c>
      <c r="E27" s="3">
        <v>0</v>
      </c>
      <c r="F27" s="3">
        <v>0</v>
      </c>
      <c r="G27" s="3">
        <v>0</v>
      </c>
      <c r="H27" s="3">
        <v>5.0090546E-3</v>
      </c>
      <c r="I27" s="3">
        <v>1.1293099000000001E-3</v>
      </c>
      <c r="J27" s="3">
        <v>-9.0521257000000001E-3</v>
      </c>
      <c r="L27" s="3">
        <f t="shared" si="0"/>
        <v>1.5653357531760437</v>
      </c>
      <c r="M27" s="3"/>
      <c r="N27" s="2">
        <f>IF('Modell einstellen'!$B$1="Voll",H27/0.35,H27/0.35*2)</f>
        <v>1.4311584571428572E-2</v>
      </c>
      <c r="O27" s="2">
        <f>IF('Modell einstellen'!$B$1="Voll",J27/0.35,J27/0.35*2)</f>
        <v>-2.5863216285714287E-2</v>
      </c>
      <c r="P27" s="3">
        <f t="shared" si="1"/>
        <v>0.55335672150465165</v>
      </c>
    </row>
    <row r="28" spans="1:16" x14ac:dyDescent="0.25">
      <c r="A28" s="3">
        <v>10000000000</v>
      </c>
      <c r="B28" s="3">
        <v>-1.72E-2</v>
      </c>
      <c r="C28" s="3">
        <v>5.927E-3</v>
      </c>
      <c r="D28" s="3">
        <v>1.094E-2</v>
      </c>
      <c r="E28" s="3">
        <v>0</v>
      </c>
      <c r="F28" s="3">
        <v>0</v>
      </c>
      <c r="G28" s="3">
        <v>0</v>
      </c>
      <c r="H28" s="3">
        <v>5.0023432999999999E-3</v>
      </c>
      <c r="I28" s="3">
        <v>1.1360000000000001E-3</v>
      </c>
      <c r="J28" s="3">
        <v>-9.0692376000000002E-3</v>
      </c>
      <c r="L28" s="3">
        <f t="shared" si="0"/>
        <v>1.5722120658135283</v>
      </c>
      <c r="M28" s="3"/>
      <c r="N28" s="2">
        <f>IF('Modell einstellen'!$B$1="Voll",H28/0.35,H28/0.35*2)</f>
        <v>1.4292409428571429E-2</v>
      </c>
      <c r="O28" s="2">
        <f>IF('Modell einstellen'!$B$1="Voll",J28/0.35,J28/0.35*2)</f>
        <v>-2.5912107428571432E-2</v>
      </c>
      <c r="P28" s="3">
        <f t="shared" si="1"/>
        <v>0.55157263715309424</v>
      </c>
    </row>
    <row r="29" spans="1:16" x14ac:dyDescent="0.25">
      <c r="A29" s="3">
        <v>100000000000</v>
      </c>
      <c r="B29" s="3">
        <v>-1.7129999999999999E-2</v>
      </c>
      <c r="C29" s="3">
        <v>5.9519999999999998E-3</v>
      </c>
      <c r="D29" s="3">
        <v>1.085E-2</v>
      </c>
      <c r="E29" s="3">
        <v>0</v>
      </c>
      <c r="F29" s="3">
        <v>0</v>
      </c>
      <c r="G29" s="3">
        <v>0</v>
      </c>
      <c r="H29" s="3">
        <v>4.9990720000000002E-3</v>
      </c>
      <c r="I29" s="3">
        <v>1.1414998999999999E-3</v>
      </c>
      <c r="J29" s="3">
        <v>-9.0854827999999992E-3</v>
      </c>
      <c r="L29" s="3">
        <f t="shared" si="0"/>
        <v>1.5788018433179722</v>
      </c>
      <c r="M29" s="3"/>
      <c r="N29" s="2">
        <f>IF('Modell einstellen'!$B$1="Voll",H29/0.35,H29/0.35*2)</f>
        <v>1.4283062857142859E-2</v>
      </c>
      <c r="O29" s="2">
        <f>IF('Modell einstellen'!$B$1="Voll",J29/0.35,J29/0.35*2)</f>
        <v>-2.5958522285714283E-2</v>
      </c>
      <c r="P29" s="3">
        <f t="shared" si="1"/>
        <v>0.55022634570394002</v>
      </c>
    </row>
    <row r="30" spans="1:16" x14ac:dyDescent="0.25">
      <c r="A30" s="3">
        <v>1000000000000</v>
      </c>
      <c r="B30" s="3">
        <v>-1.7059999999999999E-2</v>
      </c>
      <c r="C30" s="3">
        <v>5.9680000000000002E-3</v>
      </c>
      <c r="D30" s="3">
        <v>1.076E-2</v>
      </c>
      <c r="E30" s="3">
        <v>0</v>
      </c>
      <c r="F30" s="3">
        <v>0</v>
      </c>
      <c r="G30" s="3">
        <v>0</v>
      </c>
      <c r="H30" s="3">
        <v>5.0000408000000001E-3</v>
      </c>
      <c r="I30" s="3">
        <v>1.1449788999999999E-3</v>
      </c>
      <c r="J30" s="3">
        <v>-9.0986903999999997E-3</v>
      </c>
      <c r="L30" s="3">
        <f t="shared" si="0"/>
        <v>1.5855018587360592</v>
      </c>
      <c r="M30" s="3"/>
      <c r="N30" s="2">
        <f>IF('Modell einstellen'!$B$1="Voll",H30/0.35,H30/0.35*2)</f>
        <v>1.4285830857142858E-2</v>
      </c>
      <c r="O30" s="2">
        <f>IF('Modell einstellen'!$B$1="Voll",J30/0.35,J30/0.35*2)</f>
        <v>-2.5996258285714287E-2</v>
      </c>
      <c r="P30" s="3">
        <f t="shared" si="1"/>
        <v>0.54953411756927129</v>
      </c>
    </row>
    <row r="31" spans="1:16" x14ac:dyDescent="0.25">
      <c r="A31" s="3">
        <v>10000000000000</v>
      </c>
      <c r="B31" s="3">
        <v>-1.7049999999999999E-2</v>
      </c>
      <c r="C31" s="3">
        <v>5.9680000000000002E-3</v>
      </c>
      <c r="D31" s="3">
        <v>1.0749999999999999E-2</v>
      </c>
      <c r="E31" s="3">
        <v>0</v>
      </c>
      <c r="F31" s="3">
        <v>0</v>
      </c>
      <c r="G31" s="3">
        <v>0</v>
      </c>
      <c r="H31" s="3">
        <v>5.0002047000000001E-3</v>
      </c>
      <c r="I31" s="3">
        <v>1.1451344E-3</v>
      </c>
      <c r="J31" s="3">
        <v>-9.0993984E-3</v>
      </c>
      <c r="L31" s="3">
        <f t="shared" si="0"/>
        <v>1.586046511627907</v>
      </c>
      <c r="M31" s="3"/>
      <c r="N31" s="2">
        <f>IF('Modell einstellen'!$B$1="Voll",H31/0.35,H31/0.35*2)</f>
        <v>1.4286299142857143E-2</v>
      </c>
      <c r="O31" s="2">
        <f>IF('Modell einstellen'!$B$1="Voll",J31/0.35,J31/0.35*2)</f>
        <v>-2.5998281142857144E-2</v>
      </c>
      <c r="P31" s="3">
        <f t="shared" si="1"/>
        <v>0.54950937196023864</v>
      </c>
    </row>
    <row r="32" spans="1:16" x14ac:dyDescent="0.25">
      <c r="A32" s="3">
        <v>100000000000000</v>
      </c>
      <c r="B32" s="3">
        <v>-1.7049999999999999E-2</v>
      </c>
      <c r="C32" s="3">
        <v>5.9690000000000003E-3</v>
      </c>
      <c r="D32" s="3">
        <v>1.0749999999999999E-2</v>
      </c>
      <c r="E32" s="3">
        <v>0</v>
      </c>
      <c r="F32" s="3">
        <v>0</v>
      </c>
      <c r="G32" s="3">
        <v>0</v>
      </c>
      <c r="H32" s="3">
        <v>5.0003447000000001E-3</v>
      </c>
      <c r="I32" s="3">
        <v>1.1451930000000001E-3</v>
      </c>
      <c r="J32" s="3">
        <v>-9.0997392999999996E-3</v>
      </c>
      <c r="L32" s="3">
        <f t="shared" si="0"/>
        <v>1.586046511627907</v>
      </c>
      <c r="M32" s="3"/>
      <c r="N32" s="2">
        <f>IF('Modell einstellen'!$B$1="Voll",H32/0.35,H32/0.35*2)</f>
        <v>1.4286699142857144E-2</v>
      </c>
      <c r="O32" s="2">
        <f>IF('Modell einstellen'!$B$1="Voll",J32/0.35,J32/0.35*2)</f>
        <v>-2.5999255142857142E-2</v>
      </c>
      <c r="P32" s="3">
        <f t="shared" si="1"/>
        <v>0.54950417096015058</v>
      </c>
    </row>
    <row r="33" spans="1:16" x14ac:dyDescent="0.25">
      <c r="A33" s="3">
        <v>1000000000000000</v>
      </c>
      <c r="B33" s="3">
        <v>-1.7049999999999999E-2</v>
      </c>
      <c r="C33" s="3">
        <v>5.9690000000000003E-3</v>
      </c>
      <c r="D33" s="3">
        <v>1.0749999999999999E-2</v>
      </c>
      <c r="E33" s="3">
        <v>0</v>
      </c>
      <c r="F33" s="3">
        <v>0</v>
      </c>
      <c r="G33" s="3">
        <v>0</v>
      </c>
      <c r="H33" s="3">
        <v>5.0004956999999996E-3</v>
      </c>
      <c r="I33" s="3">
        <v>1.1452194E-3</v>
      </c>
      <c r="J33" s="3">
        <v>-9.0999780999999995E-3</v>
      </c>
      <c r="L33" s="3">
        <f t="shared" si="0"/>
        <v>1.586046511627907</v>
      </c>
      <c r="M33" s="3"/>
      <c r="N33" s="2">
        <f>IF('Modell einstellen'!$B$1="Voll",H33/0.35,H33/0.35*2)</f>
        <v>1.4287130571428571E-2</v>
      </c>
      <c r="O33" s="2">
        <f>IF('Modell einstellen'!$B$1="Voll",J33/0.35,J33/0.35*2)</f>
        <v>-2.5999937428571429E-2</v>
      </c>
      <c r="P33" s="3">
        <f t="shared" si="1"/>
        <v>0.54950634441636736</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9.6520000000000004E-5</v>
      </c>
      <c r="C3" s="3">
        <v>2.1369999999999999E-4</v>
      </c>
      <c r="D3" s="3">
        <v>-5.8469999999999996E-4</v>
      </c>
      <c r="E3" s="3">
        <v>0</v>
      </c>
      <c r="F3" s="3">
        <v>0</v>
      </c>
      <c r="G3" s="3">
        <v>0</v>
      </c>
      <c r="H3" s="3">
        <v>9.7581284999999999E-5</v>
      </c>
      <c r="I3" s="3">
        <v>2.3145066E-5</v>
      </c>
      <c r="J3" s="3">
        <v>-2.5430735999999997E-4</v>
      </c>
      <c r="L3" s="3">
        <f>-B3/D3</f>
        <v>0.16507610740550713</v>
      </c>
      <c r="M3" s="3"/>
      <c r="N3" s="2">
        <f>IF('Modell einstellen'!$B$1="Voll",H3/0.35,H3/0.35*2)</f>
        <v>2.7880367142857143E-4</v>
      </c>
      <c r="O3" s="2">
        <f>IF('Modell einstellen'!$B$1="Voll",J3/0.35,J3/0.35*2)</f>
        <v>-7.2659245714285707E-4</v>
      </c>
      <c r="P3" s="3">
        <f>-N3/O3</f>
        <v>0.38371396329229329</v>
      </c>
    </row>
    <row r="4" spans="1:16" x14ac:dyDescent="0.25">
      <c r="A4" s="3">
        <v>1E-14</v>
      </c>
      <c r="B4" s="3">
        <v>9.2440000000000003E-5</v>
      </c>
      <c r="C4" s="3">
        <v>2.262E-4</v>
      </c>
      <c r="D4" s="3">
        <v>-5.9719999999999999E-4</v>
      </c>
      <c r="E4" s="3">
        <v>0</v>
      </c>
      <c r="F4" s="3">
        <v>0</v>
      </c>
      <c r="G4" s="3">
        <v>0</v>
      </c>
      <c r="H4" s="3">
        <v>1.0626425E-4</v>
      </c>
      <c r="I4" s="3">
        <v>2.4706648999999999E-5</v>
      </c>
      <c r="J4" s="3">
        <v>-2.6930474999999998E-4</v>
      </c>
      <c r="L4" s="3">
        <f t="shared" ref="L4:L33" si="0">-B4/D4</f>
        <v>0.15478901540522438</v>
      </c>
      <c r="M4" s="3"/>
      <c r="N4" s="2">
        <f>IF('Modell einstellen'!$B$1="Voll",H4/0.35,H4/0.35*2)</f>
        <v>3.0361214285714287E-4</v>
      </c>
      <c r="O4" s="2">
        <f>IF('Modell einstellen'!$B$1="Voll",J4/0.35,J4/0.35*2)</f>
        <v>-7.6944214285714285E-4</v>
      </c>
      <c r="P4" s="3">
        <f t="shared" ref="P4:P33" si="1">-N4/O4</f>
        <v>0.39458735874506484</v>
      </c>
    </row>
    <row r="5" spans="1:16" x14ac:dyDescent="0.25">
      <c r="A5" s="3">
        <v>1E-13</v>
      </c>
      <c r="B5" s="3">
        <v>8.6719999999999996E-5</v>
      </c>
      <c r="C5" s="3">
        <v>2.3790000000000001E-4</v>
      </c>
      <c r="D5" s="3">
        <v>-6.0689999999999995E-4</v>
      </c>
      <c r="E5" s="3">
        <v>0</v>
      </c>
      <c r="F5" s="3">
        <v>0</v>
      </c>
      <c r="G5" s="3">
        <v>0</v>
      </c>
      <c r="H5" s="3">
        <v>1.1498033E-4</v>
      </c>
      <c r="I5" s="3">
        <v>2.6193175E-5</v>
      </c>
      <c r="J5" s="3">
        <v>-2.8402088000000002E-4</v>
      </c>
      <c r="L5" s="3">
        <f t="shared" si="0"/>
        <v>0.14289009721535673</v>
      </c>
      <c r="M5" s="3"/>
      <c r="N5" s="2">
        <f>IF('Modell einstellen'!$B$1="Voll",H5/0.35,H5/0.35*2)</f>
        <v>3.2851522857142858E-4</v>
      </c>
      <c r="O5" s="2">
        <f>IF('Modell einstellen'!$B$1="Voll",J5/0.35,J5/0.35*2)</f>
        <v>-8.1148822857142868E-4</v>
      </c>
      <c r="P5" s="3">
        <f t="shared" si="1"/>
        <v>0.40483055330298245</v>
      </c>
    </row>
    <row r="6" spans="1:16" x14ac:dyDescent="0.25">
      <c r="A6" s="3">
        <v>9.9999999999999998E-13</v>
      </c>
      <c r="B6" s="3">
        <v>7.8750000000000003E-5</v>
      </c>
      <c r="C6" s="3">
        <v>2.5000000000000001E-4</v>
      </c>
      <c r="D6" s="3">
        <v>-6.1490000000000004E-4</v>
      </c>
      <c r="E6" s="3">
        <v>0</v>
      </c>
      <c r="F6" s="3">
        <v>0</v>
      </c>
      <c r="G6" s="3">
        <v>0</v>
      </c>
      <c r="H6" s="3">
        <v>1.2475392999999999E-4</v>
      </c>
      <c r="I6" s="3">
        <v>2.7775871E-5</v>
      </c>
      <c r="J6" s="3">
        <v>-3.0017280999999999E-4</v>
      </c>
      <c r="L6" s="3">
        <f t="shared" si="0"/>
        <v>0.12806960481379084</v>
      </c>
      <c r="M6" s="3"/>
      <c r="N6" s="2">
        <f>IF('Modell einstellen'!$B$1="Voll",H6/0.35,H6/0.35*2)</f>
        <v>3.5643980000000001E-4</v>
      </c>
      <c r="O6" s="2">
        <f>IF('Modell einstellen'!$B$1="Voll",J6/0.35,J6/0.35*2)</f>
        <v>-8.5763660000000004E-4</v>
      </c>
      <c r="P6" s="3">
        <f t="shared" si="1"/>
        <v>0.41560702983058323</v>
      </c>
    </row>
    <row r="7" spans="1:16" x14ac:dyDescent="0.25">
      <c r="A7" s="3">
        <v>9.9999999999999994E-12</v>
      </c>
      <c r="B7" s="3">
        <v>6.6740000000000001E-5</v>
      </c>
      <c r="C7" s="3">
        <v>2.6390000000000002E-4</v>
      </c>
      <c r="D7" s="3">
        <v>-6.2129999999999998E-4</v>
      </c>
      <c r="E7" s="3">
        <v>0</v>
      </c>
      <c r="F7" s="3">
        <v>0</v>
      </c>
      <c r="G7" s="3">
        <v>0</v>
      </c>
      <c r="H7" s="3">
        <v>1.3700296000000001E-4</v>
      </c>
      <c r="I7" s="3">
        <v>2.9643422000000002E-5</v>
      </c>
      <c r="J7" s="3">
        <v>-3.1993968999999999E-4</v>
      </c>
      <c r="L7" s="3">
        <f t="shared" si="0"/>
        <v>0.10741992596169322</v>
      </c>
      <c r="M7" s="3"/>
      <c r="N7" s="2">
        <f>IF('Modell einstellen'!$B$1="Voll",H7/0.35,H7/0.35*2)</f>
        <v>3.9143702857142866E-4</v>
      </c>
      <c r="O7" s="2">
        <f>IF('Modell einstellen'!$B$1="Voll",J7/0.35,J7/0.35*2)</f>
        <v>-9.1411340000000006E-4</v>
      </c>
      <c r="P7" s="3">
        <f t="shared" si="1"/>
        <v>0.4282149551373261</v>
      </c>
    </row>
    <row r="8" spans="1:16" x14ac:dyDescent="0.25">
      <c r="A8" s="3">
        <v>1E-10</v>
      </c>
      <c r="B8" s="3">
        <v>4.8189999999999998E-5</v>
      </c>
      <c r="C8" s="3">
        <v>2.8029999999999998E-4</v>
      </c>
      <c r="D8" s="3">
        <v>-6.244E-4</v>
      </c>
      <c r="E8" s="3">
        <v>0</v>
      </c>
      <c r="F8" s="3">
        <v>0</v>
      </c>
      <c r="G8" s="3">
        <v>0</v>
      </c>
      <c r="H8" s="3">
        <v>1.5301135999999999E-4</v>
      </c>
      <c r="I8" s="3">
        <v>3.1912446999999998E-5</v>
      </c>
      <c r="J8" s="3">
        <v>-3.4507377000000001E-4</v>
      </c>
      <c r="L8" s="3">
        <f t="shared" si="0"/>
        <v>7.7178090967328639E-2</v>
      </c>
      <c r="M8" s="3"/>
      <c r="N8" s="2">
        <f>IF('Modell einstellen'!$B$1="Voll",H8/0.35,H8/0.35*2)</f>
        <v>4.371753142857143E-4</v>
      </c>
      <c r="O8" s="2">
        <f>IF('Modell einstellen'!$B$1="Voll",J8/0.35,J8/0.35*2)</f>
        <v>-9.859250571428572E-4</v>
      </c>
      <c r="P8" s="3">
        <f t="shared" si="1"/>
        <v>0.44341637441756293</v>
      </c>
    </row>
    <row r="9" spans="1:16" x14ac:dyDescent="0.25">
      <c r="A9" s="3">
        <v>1.0000000000000001E-9</v>
      </c>
      <c r="B9" s="3">
        <v>1.168E-5</v>
      </c>
      <c r="C9" s="3">
        <v>3.0390000000000001E-4</v>
      </c>
      <c r="D9" s="3">
        <v>-6.1899999999999998E-4</v>
      </c>
      <c r="E9" s="3">
        <v>0</v>
      </c>
      <c r="F9" s="3">
        <v>0</v>
      </c>
      <c r="G9" s="3">
        <v>0</v>
      </c>
      <c r="H9" s="3">
        <v>1.7958409000000001E-4</v>
      </c>
      <c r="I9" s="3">
        <v>3.5312848000000003E-5</v>
      </c>
      <c r="J9" s="3">
        <v>-3.8531199E-4</v>
      </c>
      <c r="L9" s="3">
        <f t="shared" si="0"/>
        <v>1.8869143780290792E-2</v>
      </c>
      <c r="M9" s="3"/>
      <c r="N9" s="2">
        <f>IF('Modell einstellen'!$B$1="Voll",H9/0.35,H9/0.35*2)</f>
        <v>5.1309740000000004E-4</v>
      </c>
      <c r="O9" s="2">
        <f>IF('Modell einstellen'!$B$1="Voll",J9/0.35,J9/0.35*2)</f>
        <v>-1.1008914E-3</v>
      </c>
      <c r="P9" s="3">
        <f t="shared" si="1"/>
        <v>0.46607449199802997</v>
      </c>
    </row>
    <row r="10" spans="1:16" x14ac:dyDescent="0.25">
      <c r="A10" s="3">
        <v>1E-8</v>
      </c>
      <c r="B10" s="3">
        <v>-6.3050000000000001E-5</v>
      </c>
      <c r="C10" s="3">
        <v>3.3589999999999998E-4</v>
      </c>
      <c r="D10" s="3">
        <v>-5.8659999999999995E-4</v>
      </c>
      <c r="E10" s="3">
        <v>0</v>
      </c>
      <c r="F10" s="3">
        <v>0</v>
      </c>
      <c r="G10" s="3">
        <v>0</v>
      </c>
      <c r="H10" s="3">
        <v>2.2491987000000001E-4</v>
      </c>
      <c r="I10" s="3">
        <v>4.0241321000000001E-5</v>
      </c>
      <c r="J10" s="3">
        <v>-4.5043809999999998E-4</v>
      </c>
      <c r="L10" s="3">
        <f t="shared" si="0"/>
        <v>-0.1074838049778384</v>
      </c>
      <c r="M10" s="3"/>
      <c r="N10" s="2">
        <f>IF('Modell einstellen'!$B$1="Voll",H10/0.35,H10/0.35*2)</f>
        <v>6.4262820000000008E-4</v>
      </c>
      <c r="O10" s="2">
        <f>IF('Modell einstellen'!$B$1="Voll",J10/0.35,J10/0.35*2)</f>
        <v>-1.2869660000000001E-3</v>
      </c>
      <c r="P10" s="3">
        <f t="shared" si="1"/>
        <v>0.49933580218902446</v>
      </c>
    </row>
    <row r="11" spans="1:16" x14ac:dyDescent="0.25">
      <c r="A11" s="3">
        <v>9.9999999999999995E-8</v>
      </c>
      <c r="B11" s="3">
        <v>-2.276E-4</v>
      </c>
      <c r="C11" s="3">
        <v>3.7770000000000002E-4</v>
      </c>
      <c r="D11" s="3">
        <v>-4.774E-4</v>
      </c>
      <c r="E11" s="3">
        <v>0</v>
      </c>
      <c r="F11" s="3">
        <v>0</v>
      </c>
      <c r="G11" s="3">
        <v>0</v>
      </c>
      <c r="H11" s="3">
        <v>3.0930828999999998E-4</v>
      </c>
      <c r="I11" s="3">
        <v>4.7355911999999998E-5</v>
      </c>
      <c r="J11" s="3">
        <v>-5.6335621000000002E-4</v>
      </c>
      <c r="L11" s="3">
        <f t="shared" si="0"/>
        <v>-0.47674905739421869</v>
      </c>
      <c r="M11" s="3"/>
      <c r="N11" s="2">
        <f>IF('Modell einstellen'!$B$1="Voll",H11/0.35,H11/0.35*2)</f>
        <v>8.8373797142857148E-4</v>
      </c>
      <c r="O11" s="2">
        <f>IF('Modell einstellen'!$B$1="Voll",J11/0.35,J11/0.35*2)</f>
        <v>-1.6095891714285717E-3</v>
      </c>
      <c r="P11" s="3">
        <f t="shared" si="1"/>
        <v>0.54904567396177273</v>
      </c>
    </row>
    <row r="12" spans="1:16" x14ac:dyDescent="0.25">
      <c r="A12" s="3">
        <v>9.9999999999999995E-7</v>
      </c>
      <c r="B12" s="3">
        <v>-6.4820000000000003E-4</v>
      </c>
      <c r="C12" s="3">
        <v>4.2989999999999999E-4</v>
      </c>
      <c r="D12" s="3">
        <v>-1.2630000000000001E-4</v>
      </c>
      <c r="E12" s="3">
        <v>0</v>
      </c>
      <c r="F12" s="3">
        <v>0</v>
      </c>
      <c r="G12" s="3">
        <v>0</v>
      </c>
      <c r="H12" s="3">
        <v>4.9761670999999997E-4</v>
      </c>
      <c r="I12" s="3">
        <v>5.7771454000000002E-5</v>
      </c>
      <c r="J12" s="3">
        <v>-7.9325827999999999E-4</v>
      </c>
      <c r="L12" s="3">
        <f t="shared" si="0"/>
        <v>-5.1322248614410135</v>
      </c>
      <c r="M12" s="3"/>
      <c r="N12" s="2">
        <f>IF('Modell einstellen'!$B$1="Voll",H12/0.35,H12/0.35*2)</f>
        <v>1.4217620285714287E-3</v>
      </c>
      <c r="O12" s="2">
        <f>IF('Modell einstellen'!$B$1="Voll",J12/0.35,J12/0.35*2)</f>
        <v>-2.2664522285714287E-3</v>
      </c>
      <c r="P12" s="3">
        <f t="shared" si="1"/>
        <v>0.62730730021500691</v>
      </c>
    </row>
    <row r="13" spans="1:16" x14ac:dyDescent="0.25">
      <c r="A13" s="3">
        <v>1.0000000000000001E-5</v>
      </c>
      <c r="B13" s="3">
        <v>-1.6260000000000001E-3</v>
      </c>
      <c r="C13" s="3">
        <v>4.7629999999999998E-4</v>
      </c>
      <c r="D13" s="3">
        <v>7.8980000000000001E-4</v>
      </c>
      <c r="E13" s="3">
        <v>0</v>
      </c>
      <c r="F13" s="3">
        <v>0</v>
      </c>
      <c r="G13" s="3">
        <v>0</v>
      </c>
      <c r="H13" s="3">
        <v>9.0110012999999997E-4</v>
      </c>
      <c r="I13" s="3">
        <v>6.9146140000000001E-5</v>
      </c>
      <c r="J13" s="3">
        <v>-1.2410085E-3</v>
      </c>
      <c r="L13" s="3">
        <f t="shared" si="0"/>
        <v>2.0587490503925046</v>
      </c>
      <c r="M13" s="3"/>
      <c r="N13" s="2">
        <f>IF('Modell einstellen'!$B$1="Voll",H13/0.35,H13/0.35*2)</f>
        <v>2.5745718000000002E-3</v>
      </c>
      <c r="O13" s="2">
        <f>IF('Modell einstellen'!$B$1="Voll",J13/0.35,J13/0.35*2)</f>
        <v>-3.5457385714285717E-3</v>
      </c>
      <c r="P13" s="3">
        <f t="shared" si="1"/>
        <v>0.72610310888281582</v>
      </c>
    </row>
    <row r="14" spans="1:16" x14ac:dyDescent="0.25">
      <c r="A14" s="3">
        <v>1E-4</v>
      </c>
      <c r="B14" s="3">
        <v>-3.6250000000000002E-3</v>
      </c>
      <c r="C14" s="3">
        <v>5.1559999999999996E-4</v>
      </c>
      <c r="D14" s="3">
        <v>2.7399999999999998E-3</v>
      </c>
      <c r="E14" s="3">
        <v>0</v>
      </c>
      <c r="F14" s="3">
        <v>0</v>
      </c>
      <c r="G14" s="3">
        <v>0</v>
      </c>
      <c r="H14" s="3">
        <v>1.7017776E-3</v>
      </c>
      <c r="I14" s="3">
        <v>7.9029865000000005E-5</v>
      </c>
      <c r="J14" s="3">
        <v>-2.0748886000000002E-3</v>
      </c>
      <c r="L14" s="3">
        <f t="shared" si="0"/>
        <v>1.3229927007299271</v>
      </c>
      <c r="M14" s="3"/>
      <c r="N14" s="2">
        <f>IF('Modell einstellen'!$B$1="Voll",H14/0.35,H14/0.35*2)</f>
        <v>4.8622217142857147E-3</v>
      </c>
      <c r="O14" s="2">
        <f>IF('Modell einstellen'!$B$1="Voll",J14/0.35,J14/0.35*2)</f>
        <v>-5.9282531428571442E-3</v>
      </c>
      <c r="P14" s="3">
        <f t="shared" si="1"/>
        <v>0.82017781581141258</v>
      </c>
    </row>
    <row r="15" spans="1:16" x14ac:dyDescent="0.25">
      <c r="A15" s="3">
        <v>1E-3</v>
      </c>
      <c r="B15" s="3">
        <v>-7.4330000000000004E-3</v>
      </c>
      <c r="C15" s="3">
        <v>6.0559999999999998E-4</v>
      </c>
      <c r="D15" s="3">
        <v>6.4549999999999998E-3</v>
      </c>
      <c r="E15" s="3">
        <v>0</v>
      </c>
      <c r="F15" s="3">
        <v>0</v>
      </c>
      <c r="G15" s="3">
        <v>0</v>
      </c>
      <c r="H15" s="3">
        <v>3.2021558999999998E-3</v>
      </c>
      <c r="I15" s="3">
        <v>9.3644373E-5</v>
      </c>
      <c r="J15" s="3">
        <v>-3.6079428000000001E-3</v>
      </c>
      <c r="L15" s="3">
        <f t="shared" si="0"/>
        <v>1.1515104570100698</v>
      </c>
      <c r="M15" s="3"/>
      <c r="N15" s="2">
        <f>IF('Modell einstellen'!$B$1="Voll",H15/0.35,H15/0.35*2)</f>
        <v>9.1490168571428578E-3</v>
      </c>
      <c r="O15" s="2">
        <f>IF('Modell einstellen'!$B$1="Voll",J15/0.35,J15/0.35*2)</f>
        <v>-1.0308408000000002E-2</v>
      </c>
      <c r="P15" s="3">
        <f t="shared" si="1"/>
        <v>0.88752956393876303</v>
      </c>
    </row>
    <row r="16" spans="1:16" x14ac:dyDescent="0.25">
      <c r="A16" s="3">
        <v>0.01</v>
      </c>
      <c r="B16" s="3">
        <v>-1.2070000000000001E-2</v>
      </c>
      <c r="C16" s="3">
        <v>8.9840000000000004E-4</v>
      </c>
      <c r="D16" s="3">
        <v>1.0800000000000001E-2</v>
      </c>
      <c r="E16" s="3">
        <v>0</v>
      </c>
      <c r="F16" s="3">
        <v>0</v>
      </c>
      <c r="G16" s="3">
        <v>0</v>
      </c>
      <c r="H16" s="3">
        <v>4.9615466999999996E-3</v>
      </c>
      <c r="I16" s="3">
        <v>1.3862793E-4</v>
      </c>
      <c r="J16" s="3">
        <v>-5.4865321000000002E-3</v>
      </c>
      <c r="L16" s="3">
        <f t="shared" si="0"/>
        <v>1.1175925925925927</v>
      </c>
      <c r="M16" s="3"/>
      <c r="N16" s="2">
        <f>IF('Modell einstellen'!$B$1="Voll",H16/0.35,H16/0.35*2)</f>
        <v>1.4175847714285714E-2</v>
      </c>
      <c r="O16" s="2">
        <f>IF('Modell einstellen'!$B$1="Voll",J16/0.35,J16/0.35*2)</f>
        <v>-1.5675806E-2</v>
      </c>
      <c r="P16" s="3">
        <f t="shared" si="1"/>
        <v>0.90431380142658779</v>
      </c>
    </row>
    <row r="17" spans="1:16" x14ac:dyDescent="0.25">
      <c r="A17" s="3">
        <v>0.1</v>
      </c>
      <c r="B17" s="3">
        <v>-1.457E-2</v>
      </c>
      <c r="C17" s="3">
        <v>1.459E-3</v>
      </c>
      <c r="D17" s="3">
        <v>1.2749999999999999E-2</v>
      </c>
      <c r="E17" s="3">
        <v>0</v>
      </c>
      <c r="F17" s="3">
        <v>0</v>
      </c>
      <c r="G17" s="3">
        <v>0</v>
      </c>
      <c r="H17" s="3">
        <v>5.7426331999999997E-3</v>
      </c>
      <c r="I17" s="3">
        <v>2.3814826E-4</v>
      </c>
      <c r="J17" s="3">
        <v>-6.5983804000000002E-3</v>
      </c>
      <c r="L17" s="3">
        <f t="shared" si="0"/>
        <v>1.1427450980392158</v>
      </c>
      <c r="M17" s="3"/>
      <c r="N17" s="2">
        <f>IF('Modell einstellen'!$B$1="Voll",H17/0.35,H17/0.35*2)</f>
        <v>1.6407523428571429E-2</v>
      </c>
      <c r="O17" s="2">
        <f>IF('Modell einstellen'!$B$1="Voll",J17/0.35,J17/0.35*2)</f>
        <v>-1.8852515428571429E-2</v>
      </c>
      <c r="P17" s="3">
        <f t="shared" si="1"/>
        <v>0.87030950807261731</v>
      </c>
    </row>
    <row r="18" spans="1:16" x14ac:dyDescent="0.25">
      <c r="A18" s="3">
        <v>1</v>
      </c>
      <c r="B18" s="3">
        <v>-1.6320000000000001E-2</v>
      </c>
      <c r="C18" s="3">
        <v>2.3259999999999999E-3</v>
      </c>
      <c r="D18" s="3">
        <v>1.363E-2</v>
      </c>
      <c r="E18" s="3">
        <v>0</v>
      </c>
      <c r="F18" s="3">
        <v>0</v>
      </c>
      <c r="G18" s="3">
        <v>0</v>
      </c>
      <c r="H18" s="3">
        <v>6.0596314000000004E-3</v>
      </c>
      <c r="I18" s="3">
        <v>4.0149339999999997E-4</v>
      </c>
      <c r="J18" s="3">
        <v>-7.4861698000000003E-3</v>
      </c>
      <c r="L18" s="3">
        <f t="shared" si="0"/>
        <v>1.1973587674247983</v>
      </c>
      <c r="M18" s="3"/>
      <c r="N18" s="2">
        <f>IF('Modell einstellen'!$B$1="Voll",H18/0.35,H18/0.35*2)</f>
        <v>1.7313232571428572E-2</v>
      </c>
      <c r="O18" s="2">
        <f>IF('Modell einstellen'!$B$1="Voll",J18/0.35,J18/0.35*2)</f>
        <v>-2.1389056571428575E-2</v>
      </c>
      <c r="P18" s="3">
        <f t="shared" si="1"/>
        <v>0.80944348871167726</v>
      </c>
    </row>
    <row r="19" spans="1:16" x14ac:dyDescent="0.25">
      <c r="A19" s="3">
        <v>10</v>
      </c>
      <c r="B19" s="3">
        <v>-1.7090000000000001E-2</v>
      </c>
      <c r="C19" s="3">
        <v>3.3059999999999999E-3</v>
      </c>
      <c r="D19" s="3">
        <v>1.3429999999999999E-2</v>
      </c>
      <c r="E19" s="3">
        <v>0</v>
      </c>
      <c r="F19" s="3">
        <v>0</v>
      </c>
      <c r="G19" s="3">
        <v>0</v>
      </c>
      <c r="H19" s="3">
        <v>5.9149700000000003E-3</v>
      </c>
      <c r="I19" s="3">
        <v>5.9484648000000004E-4</v>
      </c>
      <c r="J19" s="3">
        <v>-8.0341635999999998E-3</v>
      </c>
      <c r="L19" s="3">
        <f t="shared" si="0"/>
        <v>1.2725241995532393</v>
      </c>
      <c r="M19" s="3"/>
      <c r="N19" s="2">
        <f>IF('Modell einstellen'!$B$1="Voll",H19/0.35,H19/0.35*2)</f>
        <v>1.6899914285714288E-2</v>
      </c>
      <c r="O19" s="2">
        <f>IF('Modell einstellen'!$B$1="Voll",J19/0.35,J19/0.35*2)</f>
        <v>-2.2954753142857144E-2</v>
      </c>
      <c r="P19" s="3">
        <f t="shared" si="1"/>
        <v>0.73622722843234112</v>
      </c>
    </row>
    <row r="20" spans="1:16" x14ac:dyDescent="0.25">
      <c r="A20" s="3">
        <v>100</v>
      </c>
      <c r="B20" s="3">
        <v>-1.7299999999999999E-2</v>
      </c>
      <c r="C20" s="3">
        <v>4.1229999999999999E-3</v>
      </c>
      <c r="D20" s="3">
        <v>1.2829999999999999E-2</v>
      </c>
      <c r="E20" s="3">
        <v>0</v>
      </c>
      <c r="F20" s="3">
        <v>0</v>
      </c>
      <c r="G20" s="3">
        <v>0</v>
      </c>
      <c r="H20" s="3">
        <v>5.6204480000000001E-3</v>
      </c>
      <c r="I20" s="3">
        <v>7.6037288E-4</v>
      </c>
      <c r="J20" s="3">
        <v>-8.3373975999999992E-3</v>
      </c>
      <c r="L20" s="3">
        <f t="shared" si="0"/>
        <v>1.3484021823850352</v>
      </c>
      <c r="M20" s="3"/>
      <c r="N20" s="2">
        <f>IF('Modell einstellen'!$B$1="Voll",H20/0.35,H20/0.35*2)</f>
        <v>1.6058422857142859E-2</v>
      </c>
      <c r="O20" s="2">
        <f>IF('Modell einstellen'!$B$1="Voll",J20/0.35,J20/0.35*2)</f>
        <v>-2.3821136E-2</v>
      </c>
      <c r="P20" s="3">
        <f t="shared" si="1"/>
        <v>0.67412498115719</v>
      </c>
    </row>
    <row r="21" spans="1:16" x14ac:dyDescent="0.25">
      <c r="A21" s="3">
        <v>1000</v>
      </c>
      <c r="B21" s="3">
        <v>-1.7409999999999998E-2</v>
      </c>
      <c r="C21" s="3">
        <v>4.7419999999999997E-3</v>
      </c>
      <c r="D21" s="3">
        <v>1.2330000000000001E-2</v>
      </c>
      <c r="E21" s="3">
        <v>0</v>
      </c>
      <c r="F21" s="3">
        <v>0</v>
      </c>
      <c r="G21" s="3">
        <v>0</v>
      </c>
      <c r="H21" s="3">
        <v>5.3977252E-3</v>
      </c>
      <c r="I21" s="3">
        <v>8.8756356E-4</v>
      </c>
      <c r="J21" s="3">
        <v>-8.5729460999999993E-3</v>
      </c>
      <c r="L21" s="3">
        <f t="shared" si="0"/>
        <v>1.4120032441200323</v>
      </c>
      <c r="M21" s="3"/>
      <c r="N21" s="2">
        <f>IF('Modell einstellen'!$B$1="Voll",H21/0.35,H21/0.35*2)</f>
        <v>1.5422072E-2</v>
      </c>
      <c r="O21" s="2">
        <f>IF('Modell einstellen'!$B$1="Voll",J21/0.35,J21/0.35*2)</f>
        <v>-2.4494131714285713E-2</v>
      </c>
      <c r="P21" s="3">
        <f t="shared" si="1"/>
        <v>0.6296231350387238</v>
      </c>
    </row>
    <row r="22" spans="1:16" x14ac:dyDescent="0.25">
      <c r="A22" s="3">
        <v>10000</v>
      </c>
      <c r="B22" s="3">
        <v>-1.746E-2</v>
      </c>
      <c r="C22" s="3">
        <v>5.1669999999999997E-3</v>
      </c>
      <c r="D22" s="3">
        <v>1.196E-2</v>
      </c>
      <c r="E22" s="3">
        <v>0</v>
      </c>
      <c r="F22" s="3">
        <v>0</v>
      </c>
      <c r="G22" s="3">
        <v>0</v>
      </c>
      <c r="H22" s="3">
        <v>5.2459843999999997E-3</v>
      </c>
      <c r="I22" s="3">
        <v>9.7583505999999996E-4</v>
      </c>
      <c r="J22" s="3">
        <v>-8.7386956000000005E-3</v>
      </c>
      <c r="L22" s="3">
        <f t="shared" si="0"/>
        <v>1.459866220735786</v>
      </c>
      <c r="M22" s="3"/>
      <c r="N22" s="2">
        <f>IF('Modell einstellen'!$B$1="Voll",H22/0.35,H22/0.35*2)</f>
        <v>1.4988526857142857E-2</v>
      </c>
      <c r="O22" s="2">
        <f>IF('Modell einstellen'!$B$1="Voll",J22/0.35,J22/0.35*2)</f>
        <v>-2.4967701714285716E-2</v>
      </c>
      <c r="P22" s="3">
        <f t="shared" si="1"/>
        <v>0.60031664222289649</v>
      </c>
    </row>
    <row r="23" spans="1:16" x14ac:dyDescent="0.25">
      <c r="A23" s="3">
        <v>100000</v>
      </c>
      <c r="B23" s="3">
        <v>-1.746E-2</v>
      </c>
      <c r="C23" s="3">
        <v>5.476E-3</v>
      </c>
      <c r="D23" s="3">
        <v>1.1639999999999999E-2</v>
      </c>
      <c r="E23" s="3">
        <v>0</v>
      </c>
      <c r="F23" s="3">
        <v>0</v>
      </c>
      <c r="G23" s="3">
        <v>0</v>
      </c>
      <c r="H23" s="3">
        <v>5.1386332999999998E-3</v>
      </c>
      <c r="I23" s="3">
        <v>1.0405575000000001E-3</v>
      </c>
      <c r="J23" s="3">
        <v>-8.8637649999999991E-3</v>
      </c>
      <c r="L23" s="3">
        <f t="shared" si="0"/>
        <v>1.5</v>
      </c>
      <c r="M23" s="3"/>
      <c r="N23" s="2">
        <f>IF('Modell einstellen'!$B$1="Voll",H23/0.35,H23/0.35*2)</f>
        <v>1.4681809428571429E-2</v>
      </c>
      <c r="O23" s="2">
        <f>IF('Modell einstellen'!$B$1="Voll",J23/0.35,J23/0.35*2)</f>
        <v>-2.5325042857142856E-2</v>
      </c>
      <c r="P23" s="3">
        <f t="shared" si="1"/>
        <v>0.57973483051502384</v>
      </c>
    </row>
    <row r="24" spans="1:16" x14ac:dyDescent="0.25">
      <c r="A24" s="3">
        <v>1000000</v>
      </c>
      <c r="B24" s="3">
        <v>-1.7399999999999999E-2</v>
      </c>
      <c r="C24" s="3">
        <v>5.6899999999999997E-3</v>
      </c>
      <c r="D24" s="3">
        <v>1.1379999999999999E-2</v>
      </c>
      <c r="E24" s="3">
        <v>0</v>
      </c>
      <c r="F24" s="3">
        <v>0</v>
      </c>
      <c r="G24" s="3">
        <v>0</v>
      </c>
      <c r="H24" s="3">
        <v>5.0680270000000001E-3</v>
      </c>
      <c r="I24" s="3">
        <v>1.0856793999999999E-3</v>
      </c>
      <c r="J24" s="3">
        <v>-8.9549469E-3</v>
      </c>
      <c r="L24" s="3">
        <f t="shared" si="0"/>
        <v>1.5289982425307558</v>
      </c>
      <c r="M24" s="3"/>
      <c r="N24" s="2">
        <f>IF('Modell einstellen'!$B$1="Voll",H24/0.35,H24/0.35*2)</f>
        <v>1.4480077142857144E-2</v>
      </c>
      <c r="O24" s="2">
        <f>IF('Modell einstellen'!$B$1="Voll",J24/0.35,J24/0.35*2)</f>
        <v>-2.5585562571428574E-2</v>
      </c>
      <c r="P24" s="3">
        <f t="shared" si="1"/>
        <v>0.56594718613016004</v>
      </c>
    </row>
    <row r="25" spans="1:16" x14ac:dyDescent="0.25">
      <c r="A25" s="3">
        <v>10000000</v>
      </c>
      <c r="B25" s="3">
        <v>-1.7319999999999999E-2</v>
      </c>
      <c r="C25" s="3">
        <v>5.8300000000000001E-3</v>
      </c>
      <c r="D25" s="3">
        <v>1.116E-2</v>
      </c>
      <c r="E25" s="3">
        <v>0</v>
      </c>
      <c r="F25" s="3">
        <v>0</v>
      </c>
      <c r="G25" s="3">
        <v>0</v>
      </c>
      <c r="H25" s="3">
        <v>5.0259364999999997E-3</v>
      </c>
      <c r="I25" s="3">
        <v>1.1153176E-3</v>
      </c>
      <c r="J25" s="3">
        <v>-9.0189325999999997E-3</v>
      </c>
      <c r="L25" s="3">
        <f t="shared" si="0"/>
        <v>1.5519713261648744</v>
      </c>
      <c r="M25" s="3"/>
      <c r="N25" s="2">
        <f>IF('Modell einstellen'!$B$1="Voll",H25/0.35,H25/0.35*2)</f>
        <v>1.4359818571428571E-2</v>
      </c>
      <c r="O25" s="2">
        <f>IF('Modell einstellen'!$B$1="Voll",J25/0.35,J25/0.35*2)</f>
        <v>-2.5768378857142858E-2</v>
      </c>
      <c r="P25" s="3">
        <f t="shared" si="1"/>
        <v>0.55726511361222497</v>
      </c>
    </row>
    <row r="26" spans="1:16" x14ac:dyDescent="0.25">
      <c r="A26" s="3">
        <v>100000000</v>
      </c>
      <c r="B26" s="3">
        <v>-1.7219999999999999E-2</v>
      </c>
      <c r="C26" s="3">
        <v>5.9129999999999999E-3</v>
      </c>
      <c r="D26" s="3">
        <v>1.0970000000000001E-2</v>
      </c>
      <c r="E26" s="3">
        <v>0</v>
      </c>
      <c r="F26" s="3">
        <v>0</v>
      </c>
      <c r="G26" s="3">
        <v>0</v>
      </c>
      <c r="H26" s="3">
        <v>5.0053407999999999E-3</v>
      </c>
      <c r="I26" s="3">
        <v>1.133104E-3</v>
      </c>
      <c r="J26" s="3">
        <v>-9.0618146000000007E-3</v>
      </c>
      <c r="L26" s="3">
        <f t="shared" si="0"/>
        <v>1.5697356426618048</v>
      </c>
      <c r="M26" s="3"/>
      <c r="N26" s="2">
        <f>IF('Modell einstellen'!$B$1="Voll",H26/0.35,H26/0.35*2)</f>
        <v>1.4300973714285715E-2</v>
      </c>
      <c r="O26" s="2">
        <f>IF('Modell einstellen'!$B$1="Voll",J26/0.35,J26/0.35*2)</f>
        <v>-2.5890898857142859E-2</v>
      </c>
      <c r="P26" s="3">
        <f t="shared" si="1"/>
        <v>0.55235524240365719</v>
      </c>
    </row>
    <row r="27" spans="1:16" x14ac:dyDescent="0.25">
      <c r="A27" s="3">
        <v>1000000000</v>
      </c>
      <c r="B27" s="3">
        <v>-1.7219999999999999E-2</v>
      </c>
      <c r="C27" s="3">
        <v>5.914E-3</v>
      </c>
      <c r="D27" s="3">
        <v>1.0970000000000001E-2</v>
      </c>
      <c r="E27" s="3">
        <v>0</v>
      </c>
      <c r="F27" s="3">
        <v>0</v>
      </c>
      <c r="G27" s="3">
        <v>0</v>
      </c>
      <c r="H27" s="3">
        <v>5.0052578000000002E-3</v>
      </c>
      <c r="I27" s="3">
        <v>1.1332868999999999E-3</v>
      </c>
      <c r="J27" s="3">
        <v>-9.0623826000000001E-3</v>
      </c>
      <c r="L27" s="3">
        <f t="shared" si="0"/>
        <v>1.5697356426618048</v>
      </c>
      <c r="M27" s="3"/>
      <c r="N27" s="2">
        <f>IF('Modell einstellen'!$B$1="Voll",H27/0.35,H27/0.35*2)</f>
        <v>1.4300736571428573E-2</v>
      </c>
      <c r="O27" s="2">
        <f>IF('Modell einstellen'!$B$1="Voll",J27/0.35,J27/0.35*2)</f>
        <v>-2.5892521714285716E-2</v>
      </c>
      <c r="P27" s="3">
        <f t="shared" si="1"/>
        <v>0.55231146387485341</v>
      </c>
    </row>
    <row r="28" spans="1:16" x14ac:dyDescent="0.25">
      <c r="A28" s="3">
        <v>10000000000</v>
      </c>
      <c r="B28" s="3">
        <v>-1.7170000000000001E-2</v>
      </c>
      <c r="C28" s="3">
        <v>5.9389999999999998E-3</v>
      </c>
      <c r="D28" s="3">
        <v>1.089E-2</v>
      </c>
      <c r="E28" s="3">
        <v>0</v>
      </c>
      <c r="F28" s="3">
        <v>0</v>
      </c>
      <c r="G28" s="3">
        <v>0</v>
      </c>
      <c r="H28" s="3">
        <v>5.0010107999999996E-3</v>
      </c>
      <c r="I28" s="3">
        <v>1.1386241E-3</v>
      </c>
      <c r="J28" s="3">
        <v>-9.0770976999999999E-3</v>
      </c>
      <c r="L28" s="3">
        <f t="shared" si="0"/>
        <v>1.5766758494031221</v>
      </c>
      <c r="M28" s="3"/>
      <c r="N28" s="2">
        <f>IF('Modell einstellen'!$B$1="Voll",H28/0.35,H28/0.35*2)</f>
        <v>1.4288602285714285E-2</v>
      </c>
      <c r="O28" s="2">
        <f>IF('Modell einstellen'!$B$1="Voll",J28/0.35,J28/0.35*2)</f>
        <v>-2.5934564857142857E-2</v>
      </c>
      <c r="P28" s="3">
        <f t="shared" si="1"/>
        <v>0.55094821773263492</v>
      </c>
    </row>
    <row r="29" spans="1:16" x14ac:dyDescent="0.25">
      <c r="A29" s="3">
        <v>100000000000</v>
      </c>
      <c r="B29" s="3">
        <v>-1.7090000000000001E-2</v>
      </c>
      <c r="C29" s="3">
        <v>5.9610000000000002E-3</v>
      </c>
      <c r="D29" s="3">
        <v>1.0800000000000001E-2</v>
      </c>
      <c r="E29" s="3">
        <v>0</v>
      </c>
      <c r="F29" s="3">
        <v>0</v>
      </c>
      <c r="G29" s="3">
        <v>0</v>
      </c>
      <c r="H29" s="3">
        <v>4.9995142000000001E-3</v>
      </c>
      <c r="I29" s="3">
        <v>1.1434696E-3</v>
      </c>
      <c r="J29" s="3">
        <v>-9.0927452000000002E-3</v>
      </c>
      <c r="L29" s="3">
        <f t="shared" si="0"/>
        <v>1.5824074074074075</v>
      </c>
      <c r="M29" s="3"/>
      <c r="N29" s="2">
        <f>IF('Modell einstellen'!$B$1="Voll",H29/0.35,H29/0.35*2)</f>
        <v>1.4284326285714287E-2</v>
      </c>
      <c r="O29" s="2">
        <f>IF('Modell einstellen'!$B$1="Voll",J29/0.35,J29/0.35*2)</f>
        <v>-2.5979272000000001E-2</v>
      </c>
      <c r="P29" s="3">
        <f t="shared" si="1"/>
        <v>0.54983551062224867</v>
      </c>
    </row>
    <row r="30" spans="1:16" x14ac:dyDescent="0.25">
      <c r="A30" s="3">
        <v>1000000000000</v>
      </c>
      <c r="B30" s="3">
        <v>-1.7010000000000001E-2</v>
      </c>
      <c r="C30" s="3">
        <v>5.9740000000000001E-3</v>
      </c>
      <c r="D30" s="3">
        <v>1.0710000000000001E-2</v>
      </c>
      <c r="E30" s="3">
        <v>0</v>
      </c>
      <c r="F30" s="3">
        <v>0</v>
      </c>
      <c r="G30" s="3">
        <v>0</v>
      </c>
      <c r="H30" s="3">
        <v>5.0018231000000003E-3</v>
      </c>
      <c r="I30" s="3">
        <v>1.146317E-3</v>
      </c>
      <c r="J30" s="3">
        <v>-9.1050173000000005E-3</v>
      </c>
      <c r="L30" s="3">
        <f t="shared" si="0"/>
        <v>1.588235294117647</v>
      </c>
      <c r="M30" s="3"/>
      <c r="N30" s="2">
        <f>IF('Modell einstellen'!$B$1="Voll",H30/0.35,H30/0.35*2)</f>
        <v>1.4290923142857145E-2</v>
      </c>
      <c r="O30" s="2">
        <f>IF('Modell einstellen'!$B$1="Voll",J30/0.35,J30/0.35*2)</f>
        <v>-2.6014335142857146E-2</v>
      </c>
      <c r="P30" s="3">
        <f t="shared" si="1"/>
        <v>0.54934800618116342</v>
      </c>
    </row>
    <row r="31" spans="1:16" x14ac:dyDescent="0.25">
      <c r="A31" s="3">
        <v>10000000000000</v>
      </c>
      <c r="B31" s="3">
        <v>-1.7010000000000001E-2</v>
      </c>
      <c r="C31" s="3">
        <v>5.9740000000000001E-3</v>
      </c>
      <c r="D31" s="3">
        <v>1.0699999999999999E-2</v>
      </c>
      <c r="E31" s="3">
        <v>0</v>
      </c>
      <c r="F31" s="3">
        <v>0</v>
      </c>
      <c r="G31" s="3">
        <v>0</v>
      </c>
      <c r="H31" s="3">
        <v>5.0019898000000004E-3</v>
      </c>
      <c r="I31" s="3">
        <v>1.1464639E-3</v>
      </c>
      <c r="J31" s="3">
        <v>-9.1056959000000003E-3</v>
      </c>
      <c r="L31" s="3">
        <f t="shared" si="0"/>
        <v>1.5897196261682245</v>
      </c>
      <c r="M31" s="3"/>
      <c r="N31" s="2">
        <f>IF('Modell einstellen'!$B$1="Voll",H31/0.35,H31/0.35*2)</f>
        <v>1.429139942857143E-2</v>
      </c>
      <c r="O31" s="2">
        <f>IF('Modell einstellen'!$B$1="Voll",J31/0.35,J31/0.35*2)</f>
        <v>-2.6016274000000002E-2</v>
      </c>
      <c r="P31" s="3">
        <f t="shared" si="1"/>
        <v>0.54932537336328136</v>
      </c>
    </row>
    <row r="32" spans="1:16" x14ac:dyDescent="0.25">
      <c r="A32" s="3">
        <v>100000000000000</v>
      </c>
      <c r="B32" s="3">
        <v>-1.7010000000000001E-2</v>
      </c>
      <c r="C32" s="3">
        <v>5.9750000000000003E-3</v>
      </c>
      <c r="D32" s="3">
        <v>1.0699999999999999E-2</v>
      </c>
      <c r="E32" s="3">
        <v>0</v>
      </c>
      <c r="F32" s="3">
        <v>0</v>
      </c>
      <c r="G32" s="3">
        <v>0</v>
      </c>
      <c r="H32" s="3">
        <v>5.0021249999999996E-3</v>
      </c>
      <c r="I32" s="3">
        <v>1.1465049000000001E-3</v>
      </c>
      <c r="J32" s="3">
        <v>-9.1059703999999998E-3</v>
      </c>
      <c r="L32" s="3">
        <f t="shared" si="0"/>
        <v>1.5897196261682245</v>
      </c>
      <c r="M32" s="3"/>
      <c r="N32" s="2">
        <f>IF('Modell einstellen'!$B$1="Voll",H32/0.35,H32/0.35*2)</f>
        <v>1.4291785714285713E-2</v>
      </c>
      <c r="O32" s="2">
        <f>IF('Modell einstellen'!$B$1="Voll",J32/0.35,J32/0.35*2)</f>
        <v>-2.6017058285714288E-2</v>
      </c>
      <c r="P32" s="3">
        <f t="shared" si="1"/>
        <v>0.54932366132004984</v>
      </c>
    </row>
    <row r="33" spans="1:16" x14ac:dyDescent="0.25">
      <c r="A33" s="3">
        <v>1000000000000000</v>
      </c>
      <c r="B33" s="3">
        <v>-1.7000000000000001E-2</v>
      </c>
      <c r="C33" s="3">
        <v>5.9750000000000003E-3</v>
      </c>
      <c r="D33" s="3">
        <v>1.0699999999999999E-2</v>
      </c>
      <c r="E33" s="3">
        <v>0</v>
      </c>
      <c r="F33" s="3">
        <v>0</v>
      </c>
      <c r="G33" s="3">
        <v>0</v>
      </c>
      <c r="H33" s="3">
        <v>5.0022697E-3</v>
      </c>
      <c r="I33" s="3">
        <v>1.1465066E-3</v>
      </c>
      <c r="J33" s="3">
        <v>-9.1061163999999993E-3</v>
      </c>
      <c r="L33" s="3">
        <f t="shared" si="0"/>
        <v>1.5887850467289721</v>
      </c>
      <c r="M33" s="3"/>
      <c r="N33" s="2">
        <f>IF('Modell einstellen'!$B$1="Voll",H33/0.35,H33/0.35*2)</f>
        <v>1.4292199142857143E-2</v>
      </c>
      <c r="O33" s="2">
        <f>IF('Modell einstellen'!$B$1="Voll",J33/0.35,J33/0.35*2)</f>
        <v>-2.6017475428571427E-2</v>
      </c>
      <c r="P33" s="3">
        <f t="shared" si="1"/>
        <v>0.54933074433355589</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2022-01-06T16:21:23Z</dcterms:modified>
</cp:coreProperties>
</file>