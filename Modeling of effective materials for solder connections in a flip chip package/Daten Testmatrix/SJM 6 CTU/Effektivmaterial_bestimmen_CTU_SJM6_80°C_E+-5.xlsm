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O33" i="11"/>
  <c r="N33" i="11"/>
  <c r="P33" i="11" s="1"/>
  <c r="O32" i="11"/>
  <c r="N32" i="11"/>
  <c r="P32" i="11" s="1"/>
  <c r="O31" i="11"/>
  <c r="N31" i="11"/>
  <c r="P31" i="11" s="1"/>
  <c r="O30" i="11"/>
  <c r="N30" i="11"/>
  <c r="P29" i="11"/>
  <c r="O29" i="11"/>
  <c r="N29" i="11"/>
  <c r="O28" i="11"/>
  <c r="N28" i="11"/>
  <c r="P28" i="11" s="1"/>
  <c r="O27" i="11"/>
  <c r="N27" i="11"/>
  <c r="P27" i="11" s="1"/>
  <c r="O26" i="11"/>
  <c r="N26" i="11"/>
  <c r="P26" i="11" s="1"/>
  <c r="P25" i="11"/>
  <c r="O25" i="11"/>
  <c r="N25" i="11"/>
  <c r="O24" i="11"/>
  <c r="N24" i="11"/>
  <c r="O23" i="11"/>
  <c r="P23" i="11" s="1"/>
  <c r="N23" i="11"/>
  <c r="O22" i="11"/>
  <c r="N22" i="11"/>
  <c r="O21" i="11"/>
  <c r="N21" i="11"/>
  <c r="P21" i="11" s="1"/>
  <c r="O20" i="11"/>
  <c r="N20" i="11"/>
  <c r="P20" i="11" s="1"/>
  <c r="O19" i="11"/>
  <c r="N19" i="11"/>
  <c r="P19" i="11" s="1"/>
  <c r="O18" i="11"/>
  <c r="N18" i="11"/>
  <c r="P17" i="11"/>
  <c r="O17" i="11"/>
  <c r="N17" i="11"/>
  <c r="O16" i="11"/>
  <c r="N16" i="11"/>
  <c r="P16" i="11" s="1"/>
  <c r="O15" i="11"/>
  <c r="N15" i="11"/>
  <c r="P15" i="11" s="1"/>
  <c r="O14" i="11"/>
  <c r="N14" i="11"/>
  <c r="P14" i="11" s="1"/>
  <c r="P13" i="11"/>
  <c r="O13" i="11"/>
  <c r="N13" i="11"/>
  <c r="O12" i="11"/>
  <c r="N12" i="11"/>
  <c r="O11" i="11"/>
  <c r="P11" i="11" s="1"/>
  <c r="N11" i="11"/>
  <c r="O10" i="11"/>
  <c r="N10" i="11"/>
  <c r="O9" i="11"/>
  <c r="N9" i="11"/>
  <c r="P9" i="11" s="1"/>
  <c r="O8" i="11"/>
  <c r="N8" i="11"/>
  <c r="P8" i="11" s="1"/>
  <c r="O7" i="11"/>
  <c r="N7" i="11"/>
  <c r="P7" i="11" s="1"/>
  <c r="O6" i="11"/>
  <c r="N6" i="11"/>
  <c r="P5" i="11"/>
  <c r="O5" i="11"/>
  <c r="N5" i="11"/>
  <c r="O4" i="11"/>
  <c r="N4" i="11"/>
  <c r="P4" i="11" s="1"/>
  <c r="O3" i="11"/>
  <c r="N3" i="11"/>
  <c r="P3" i="11" s="1"/>
  <c r="P6" i="11" l="1"/>
  <c r="P18" i="11"/>
  <c r="P30" i="11"/>
  <c r="P12" i="11"/>
  <c r="P24" i="11"/>
  <c r="P10" i="11"/>
  <c r="P2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R14" i="37"/>
  <c r="R3" i="37"/>
  <c r="L4" i="37"/>
  <c r="L5" i="37"/>
  <c r="L6" i="37"/>
  <c r="L7" i="37"/>
  <c r="L8" i="37"/>
  <c r="L9" i="37"/>
  <c r="L10" i="37"/>
  <c r="L11" i="37"/>
  <c r="L12" i="37"/>
  <c r="L13" i="37"/>
  <c r="L14" i="37"/>
  <c r="L3" i="37"/>
  <c r="P6" i="37" l="1"/>
  <c r="B31" i="39" s="1"/>
  <c r="P9" i="37"/>
  <c r="B33"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<sst xmlns="http://schemas.openxmlformats.org/spreadsheetml/2006/main" count="309" uniqueCount="163">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</sst>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-6.5441251428571432E-4</c:v>
                </c:pt>
                <c:pt idx="1">
                  <c:v>-6.5440097142857156E-4</c:v>
                </c:pt>
                <c:pt idx="2">
                  <c:v>-6.5440331428571433E-4</c:v>
                </c:pt>
                <c:pt idx="3">
                  <c:v>-6.5440402857142857E-4</c:v>
                </c:pt>
                <c:pt idx="4">
                  <c:v>-6.5440422857142863E-4</c:v>
                </c:pt>
                <c:pt idx="5">
                  <c:v>-6.5440431428571435E-4</c:v>
                </c:pt>
                <c:pt idx="6">
                  <c:v>-6.5440431428571435E-4</c:v>
                </c:pt>
                <c:pt idx="7">
                  <c:v>-6.5440434285714288E-4</c:v>
                </c:pt>
                <c:pt idx="8">
                  <c:v>-6.5440434285714288E-4</c:v>
                </c:pt>
                <c:pt idx="9">
                  <c:v>-6.5440448571428577E-4</c:v>
                </c:pt>
                <c:pt idx="10">
                  <c:v>-6.5440582857142864E-4</c:v>
                </c:pt>
                <c:pt idx="11">
                  <c:v>-6.5441911428571441E-4</c:v>
                </c:pt>
                <c:pt idx="12">
                  <c:v>-6.545510285714286E-4</c:v>
                </c:pt>
                <c:pt idx="13">
                  <c:v>-6.5581351428571437E-4</c:v>
                </c:pt>
                <c:pt idx="14">
                  <c:v>-6.6577194285714295E-4</c:v>
                </c:pt>
                <c:pt idx="15">
                  <c:v>-6.8263214285714286E-4</c:v>
                </c:pt>
                <c:pt idx="16">
                  <c:v>-6.9511814285714288E-4</c:v>
                </c:pt>
                <c:pt idx="17">
                  <c:v>-7.0820794285714282E-4</c:v>
                </c:pt>
                <c:pt idx="18">
                  <c:v>-7.2330377142857153E-4</c:v>
                </c:pt>
                <c:pt idx="19">
                  <c:v>-7.408148285714286E-4</c:v>
                </c:pt>
                <c:pt idx="20">
                  <c:v>-7.6518460000000012E-4</c:v>
                </c:pt>
                <c:pt idx="21">
                  <c:v>-8.0167111428571425E-4</c:v>
                </c:pt>
                <c:pt idx="22">
                  <c:v>-8.4621368571428577E-4</c:v>
                </c:pt>
                <c:pt idx="23">
                  <c:v>-8.9196245714285715E-4</c:v>
                </c:pt>
                <c:pt idx="24">
                  <c:v>-9.4004797142857143E-4</c:v>
                </c:pt>
                <c:pt idx="25">
                  <c:v>-9.9600322857142857E-4</c:v>
                </c:pt>
                <c:pt idx="26">
                  <c:v>-1.0570064285714287E-3</c:v>
                </c:pt>
                <c:pt idx="27">
                  <c:v>-1.1131610285714285E-3</c:v>
                </c:pt>
                <c:pt idx="28">
                  <c:v>-1.1673316285714286E-3</c:v>
                </c:pt>
                <c:pt idx="29">
                  <c:v>-1.2253101428571429E-3</c:v>
                </c:pt>
                <c:pt idx="30">
                  <c:v>-1.2862524285714287E-3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-6.5559585714285726E-4</c:v>
                </c:pt>
                <c:pt idx="1">
                  <c:v>-6.555841714285715E-4</c:v>
                </c:pt>
                <c:pt idx="2">
                  <c:v>-6.5558654285714291E-4</c:v>
                </c:pt>
                <c:pt idx="3">
                  <c:v>-6.5558734285714286E-4</c:v>
                </c:pt>
                <c:pt idx="4">
                  <c:v>-6.5558848571428577E-4</c:v>
                </c:pt>
                <c:pt idx="5">
                  <c:v>-6.555979428571429E-4</c:v>
                </c:pt>
                <c:pt idx="6">
                  <c:v>-6.5569128571428569E-4</c:v>
                </c:pt>
                <c:pt idx="7">
                  <c:v>-6.5659254285714292E-4</c:v>
                </c:pt>
                <c:pt idx="8">
                  <c:v>-6.6432717142857146E-4</c:v>
                </c:pt>
                <c:pt idx="9">
                  <c:v>-6.8198111428571437E-4</c:v>
                </c:pt>
                <c:pt idx="10">
                  <c:v>-6.9466899999999997E-4</c:v>
                </c:pt>
                <c:pt idx="11">
                  <c:v>-7.0743394285714299E-4</c:v>
                </c:pt>
                <c:pt idx="12">
                  <c:v>-7.2235682857142854E-4</c:v>
                </c:pt>
                <c:pt idx="13">
                  <c:v>-7.3885014285714288E-4</c:v>
                </c:pt>
                <c:pt idx="14">
                  <c:v>-7.5840702857142865E-4</c:v>
                </c:pt>
                <c:pt idx="15">
                  <c:v>-7.8074914285714285E-4</c:v>
                </c:pt>
                <c:pt idx="16">
                  <c:v>-8.0518002857142871E-4</c:v>
                </c:pt>
                <c:pt idx="17">
                  <c:v>-8.3068905714285719E-4</c:v>
                </c:pt>
                <c:pt idx="18">
                  <c:v>-8.6402994285714294E-4</c:v>
                </c:pt>
                <c:pt idx="19">
                  <c:v>-9.1796040000000003E-4</c:v>
                </c:pt>
                <c:pt idx="20">
                  <c:v>-9.8926382857142869E-4</c:v>
                </c:pt>
                <c:pt idx="21">
                  <c:v>-1.0603785142857143E-3</c:v>
                </c:pt>
                <c:pt idx="22">
                  <c:v>-1.1258349714285715E-3</c:v>
                </c:pt>
                <c:pt idx="23">
                  <c:v>-1.1932491142857143E-3</c:v>
                </c:pt>
                <c:pt idx="24">
                  <c:v>-1.2596230285714287E-3</c:v>
                </c:pt>
                <c:pt idx="25">
                  <c:v>-1.3309826000000001E-3</c:v>
                </c:pt>
                <c:pt idx="26">
                  <c:v>-1.4092666000000002E-3</c:v>
                </c:pt>
                <c:pt idx="27">
                  <c:v>-1.5122779142857142E-3</c:v>
                </c:pt>
                <c:pt idx="28">
                  <c:v>-1.6372292571428572E-3</c:v>
                </c:pt>
                <c:pt idx="29">
                  <c:v>-1.8063294857142858E-3</c:v>
                </c:pt>
                <c:pt idx="30">
                  <c:v>-2.0472368857142858E-3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-6.5636251428571434E-4</c:v>
                </c:pt>
                <c:pt idx="1">
                  <c:v>-6.5635131428571432E-4</c:v>
                </c:pt>
                <c:pt idx="2">
                  <c:v>-6.5635940000000005E-4</c:v>
                </c:pt>
                <c:pt idx="3">
                  <c:v>-6.5641682857142864E-4</c:v>
                </c:pt>
                <c:pt idx="4">
                  <c:v>-6.5697040000000013E-4</c:v>
                </c:pt>
                <c:pt idx="5">
                  <c:v>-6.6178457142857146E-4</c:v>
                </c:pt>
                <c:pt idx="6">
                  <c:v>-6.7988582857142867E-4</c:v>
                </c:pt>
                <c:pt idx="7">
                  <c:v>-6.9310382857142863E-4</c:v>
                </c:pt>
                <c:pt idx="8">
                  <c:v>-7.0554688571428581E-4</c:v>
                </c:pt>
                <c:pt idx="9">
                  <c:v>-7.2022191428571436E-4</c:v>
                </c:pt>
                <c:pt idx="10">
                  <c:v>-7.3623651428571431E-4</c:v>
                </c:pt>
                <c:pt idx="11">
                  <c:v>-7.5526031428571443E-4</c:v>
                </c:pt>
                <c:pt idx="12">
                  <c:v>-7.7708708571428569E-4</c:v>
                </c:pt>
                <c:pt idx="13">
                  <c:v>-8.0133854285714299E-4</c:v>
                </c:pt>
                <c:pt idx="14">
                  <c:v>-8.2604820000000008E-4</c:v>
                </c:pt>
                <c:pt idx="15">
                  <c:v>-8.5347311428571435E-4</c:v>
                </c:pt>
                <c:pt idx="16">
                  <c:v>-8.9017040000000005E-4</c:v>
                </c:pt>
                <c:pt idx="17">
                  <c:v>-9.3959582857142869E-4</c:v>
                </c:pt>
                <c:pt idx="18">
                  <c:v>-1.0019475428571429E-3</c:v>
                </c:pt>
                <c:pt idx="19">
                  <c:v>-1.0711912285714287E-3</c:v>
                </c:pt>
                <c:pt idx="20">
                  <c:v>-1.1466639428571429E-3</c:v>
                </c:pt>
                <c:pt idx="21">
                  <c:v>-1.2204355428571429E-3</c:v>
                </c:pt>
                <c:pt idx="22">
                  <c:v>-1.2976860000000002E-3</c:v>
                </c:pt>
                <c:pt idx="23">
                  <c:v>-1.3792314000000002E-3</c:v>
                </c:pt>
                <c:pt idx="24">
                  <c:v>-1.4804677714285717E-3</c:v>
                </c:pt>
                <c:pt idx="25">
                  <c:v>-1.6026793142857143E-3</c:v>
                </c:pt>
                <c:pt idx="26">
                  <c:v>-1.7641265142857145E-3</c:v>
                </c:pt>
                <c:pt idx="27">
                  <c:v>-1.9859938571428573E-3</c:v>
                </c:pt>
                <c:pt idx="28">
                  <c:v>-2.3278832285714285E-3</c:v>
                </c:pt>
                <c:pt idx="29">
                  <c:v>-2.8962108571428573E-3</c:v>
                </c:pt>
                <c:pt idx="30">
                  <c:v>-3.869394E-3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-6.5715740000000004E-4</c:v>
                </c:pt>
                <c:pt idx="1">
                  <c:v>-6.5725068571428577E-4</c:v>
                </c:pt>
                <c:pt idx="2">
                  <c:v>-6.5826888571428571E-4</c:v>
                </c:pt>
                <c:pt idx="3">
                  <c:v>-6.6676645714285727E-4</c:v>
                </c:pt>
                <c:pt idx="4">
                  <c:v>-6.8426140000000006E-4</c:v>
                </c:pt>
                <c:pt idx="5">
                  <c:v>-6.9691962857142858E-4</c:v>
                </c:pt>
                <c:pt idx="6">
                  <c:v>-7.0983691428571434E-4</c:v>
                </c:pt>
                <c:pt idx="7">
                  <c:v>-7.2485928571428579E-4</c:v>
                </c:pt>
                <c:pt idx="8">
                  <c:v>-7.4154751428571434E-4</c:v>
                </c:pt>
                <c:pt idx="9">
                  <c:v>-7.6130077142857143E-4</c:v>
                </c:pt>
                <c:pt idx="10">
                  <c:v>-7.8384359999999998E-4</c:v>
                </c:pt>
                <c:pt idx="11">
                  <c:v>-8.0832005714285714E-4</c:v>
                </c:pt>
                <c:pt idx="12">
                  <c:v>-8.3339802857142859E-4</c:v>
                </c:pt>
                <c:pt idx="13">
                  <c:v>-8.6259620000000016E-4</c:v>
                </c:pt>
                <c:pt idx="14">
                  <c:v>-9.0110842857142853E-4</c:v>
                </c:pt>
                <c:pt idx="15">
                  <c:v>-9.4679897142857159E-4</c:v>
                </c:pt>
                <c:pt idx="16">
                  <c:v>-9.9414297142857142E-4</c:v>
                </c:pt>
                <c:pt idx="17">
                  <c:v>-1.0514203142857144E-3</c:v>
                </c:pt>
                <c:pt idx="18">
                  <c:v>-1.1262160285714286E-3</c:v>
                </c:pt>
                <c:pt idx="19">
                  <c:v>-1.2071150000000001E-3</c:v>
                </c:pt>
                <c:pt idx="20">
                  <c:v>-1.2919337999999999E-3</c:v>
                </c:pt>
                <c:pt idx="21">
                  <c:v>-1.3833840857142858E-3</c:v>
                </c:pt>
                <c:pt idx="22">
                  <c:v>-1.494031E-3</c:v>
                </c:pt>
                <c:pt idx="23">
                  <c:v>-1.6276288571428572E-3</c:v>
                </c:pt>
                <c:pt idx="24">
                  <c:v>-1.8037072000000002E-3</c:v>
                </c:pt>
                <c:pt idx="25">
                  <c:v>-2.0501415714285717E-3</c:v>
                </c:pt>
                <c:pt idx="26">
                  <c:v>-2.4371894571428572E-3</c:v>
                </c:pt>
                <c:pt idx="27">
                  <c:v>-3.0883197142857147E-3</c:v>
                </c:pt>
                <c:pt idx="28">
                  <c:v>-4.1963188571428568E-3</c:v>
                </c:pt>
                <c:pt idx="29">
                  <c:v>-5.9082431428571424E-3</c:v>
                </c:pt>
                <c:pt idx="30">
                  <c:v>-8.1043811428571436E-3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-6.6437708571428578E-4</c:v>
                </c:pt>
                <c:pt idx="1">
                  <c:v>-6.8582485714285715E-4</c:v>
                </c:pt>
                <c:pt idx="2">
                  <c:v>-6.9870320000000002E-4</c:v>
                </c:pt>
                <c:pt idx="3">
                  <c:v>-7.1182891428571437E-4</c:v>
                </c:pt>
                <c:pt idx="4">
                  <c:v>-7.269515428571429E-4</c:v>
                </c:pt>
                <c:pt idx="5">
                  <c:v>-7.4387068571428569E-4</c:v>
                </c:pt>
                <c:pt idx="6">
                  <c:v>-7.6384202857142868E-4</c:v>
                </c:pt>
                <c:pt idx="7">
                  <c:v>-7.8660660000000001E-4</c:v>
                </c:pt>
                <c:pt idx="8">
                  <c:v>-8.1115248571428573E-4</c:v>
                </c:pt>
                <c:pt idx="9">
                  <c:v>-8.3640171428571431E-4</c:v>
                </c:pt>
                <c:pt idx="10">
                  <c:v>-8.6621125714285722E-4</c:v>
                </c:pt>
                <c:pt idx="11">
                  <c:v>-9.0536308571428567E-4</c:v>
                </c:pt>
                <c:pt idx="12">
                  <c:v>-9.5081022857142856E-4</c:v>
                </c:pt>
                <c:pt idx="13">
                  <c:v>-9.9418331428571425E-4</c:v>
                </c:pt>
                <c:pt idx="14">
                  <c:v>-1.0362681714285716E-3</c:v>
                </c:pt>
                <c:pt idx="15">
                  <c:v>-1.0851435142857145E-3</c:v>
                </c:pt>
                <c:pt idx="16">
                  <c:v>-1.1484603714285715E-3</c:v>
                </c:pt>
                <c:pt idx="17">
                  <c:v>-1.233926742857143E-3</c:v>
                </c:pt>
                <c:pt idx="18">
                  <c:v>-1.3368808000000002E-3</c:v>
                </c:pt>
                <c:pt idx="19">
                  <c:v>-1.4592771714285716E-3</c:v>
                </c:pt>
                <c:pt idx="20">
                  <c:v>-1.6042480571428572E-3</c:v>
                </c:pt>
                <c:pt idx="21">
                  <c:v>-1.7905833142857143E-3</c:v>
                </c:pt>
                <c:pt idx="22">
                  <c:v>-2.0483691428571432E-3</c:v>
                </c:pt>
                <c:pt idx="23">
                  <c:v>-2.4503183428571432E-3</c:v>
                </c:pt>
                <c:pt idx="24">
                  <c:v>-3.1242568571428577E-3</c:v>
                </c:pt>
                <c:pt idx="25">
                  <c:v>-4.2644768571428572E-3</c:v>
                </c:pt>
                <c:pt idx="26">
                  <c:v>-6.0131102857142859E-3</c:v>
                </c:pt>
                <c:pt idx="27">
                  <c:v>-8.2161508571428586E-3</c:v>
                </c:pt>
                <c:pt idx="28">
                  <c:v>-1.0166911142857143E-2</c:v>
                </c:pt>
                <c:pt idx="29">
                  <c:v>-1.1538860857142858E-2</c:v>
                </c:pt>
                <c:pt idx="30">
                  <c:v>-1.2370231428571429E-2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-7.8725765714285714E-4</c:v>
                </c:pt>
                <c:pt idx="1">
                  <c:v>-8.184972571428572E-4</c:v>
                </c:pt>
                <c:pt idx="2">
                  <c:v>-8.4497211428571429E-4</c:v>
                </c:pt>
                <c:pt idx="3">
                  <c:v>-8.7721979999999999E-4</c:v>
                </c:pt>
                <c:pt idx="4">
                  <c:v>-9.1876260000000015E-4</c:v>
                </c:pt>
                <c:pt idx="5">
                  <c:v>-9.6440574285714287E-4</c:v>
                </c:pt>
                <c:pt idx="6">
                  <c:v>-1.0065965428571429E-3</c:v>
                </c:pt>
                <c:pt idx="7">
                  <c:v>-1.0500243142857143E-3</c:v>
                </c:pt>
                <c:pt idx="8">
                  <c:v>-1.0958992000000001E-3</c:v>
                </c:pt>
                <c:pt idx="9">
                  <c:v>-1.1455540285714287E-3</c:v>
                </c:pt>
                <c:pt idx="10">
                  <c:v>-1.2005413142857145E-3</c:v>
                </c:pt>
                <c:pt idx="11">
                  <c:v>-1.2687796E-3</c:v>
                </c:pt>
                <c:pt idx="12">
                  <c:v>-1.3549035142857145E-3</c:v>
                </c:pt>
                <c:pt idx="13">
                  <c:v>-1.4672013142857142E-3</c:v>
                </c:pt>
                <c:pt idx="14">
                  <c:v>-1.6285401428571432E-3</c:v>
                </c:pt>
                <c:pt idx="15">
                  <c:v>-1.8959442285714288E-3</c:v>
                </c:pt>
                <c:pt idx="16">
                  <c:v>-2.3460856285714288E-3</c:v>
                </c:pt>
                <c:pt idx="17">
                  <c:v>-3.101782571428572E-3</c:v>
                </c:pt>
                <c:pt idx="18">
                  <c:v>-4.3462051428571433E-3</c:v>
                </c:pt>
                <c:pt idx="19">
                  <c:v>-6.201710571428572E-3</c:v>
                </c:pt>
                <c:pt idx="20">
                  <c:v>-8.4074260000000008E-3</c:v>
                </c:pt>
                <c:pt idx="21">
                  <c:v>-1.0299126285714286E-2</c:v>
                </c:pt>
                <c:pt idx="22">
                  <c:v>-1.1566711142857143E-2</c:v>
                </c:pt>
                <c:pt idx="23">
                  <c:v>-1.2418748E-2</c:v>
                </c:pt>
                <c:pt idx="24">
                  <c:v>-1.3019599142857143E-2</c:v>
                </c:pt>
                <c:pt idx="25">
                  <c:v>-1.3295077428571431E-2</c:v>
                </c:pt>
                <c:pt idx="26">
                  <c:v>-1.3949406571428574E-2</c:v>
                </c:pt>
                <c:pt idx="27">
                  <c:v>-1.4434227142857142E-2</c:v>
                </c:pt>
                <c:pt idx="28">
                  <c:v>-1.4485463428571431E-2</c:v>
                </c:pt>
                <c:pt idx="29">
                  <c:v>-1.4493383714285714E-2</c:v>
                </c:pt>
                <c:pt idx="30">
                  <c:v>-1.4499507428571428E-2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-1.0072007142857143E-3</c:v>
                </c:pt>
                <c:pt idx="1">
                  <c:v>-1.0636676000000001E-3</c:v>
                </c:pt>
                <c:pt idx="2">
                  <c:v>-1.1109540285714286E-3</c:v>
                </c:pt>
                <c:pt idx="3">
                  <c:v>-1.1626929428571429E-3</c:v>
                </c:pt>
                <c:pt idx="4">
                  <c:v>-1.2196940285714285E-3</c:v>
                </c:pt>
                <c:pt idx="5">
                  <c:v>-1.2935296285714287E-3</c:v>
                </c:pt>
                <c:pt idx="6">
                  <c:v>-1.3849060571428573E-3</c:v>
                </c:pt>
                <c:pt idx="7">
                  <c:v>-1.5058213428571429E-3</c:v>
                </c:pt>
                <c:pt idx="8">
                  <c:v>-1.6706613714285716E-3</c:v>
                </c:pt>
                <c:pt idx="9">
                  <c:v>-1.9194069142857144E-3</c:v>
                </c:pt>
                <c:pt idx="10">
                  <c:v>-2.3250146857142859E-3</c:v>
                </c:pt>
                <c:pt idx="11">
                  <c:v>-3.0115682857142861E-3</c:v>
                </c:pt>
                <c:pt idx="12">
                  <c:v>-4.1215134285714286E-3</c:v>
                </c:pt>
                <c:pt idx="13">
                  <c:v>-5.7726682857142863E-3</c:v>
                </c:pt>
                <c:pt idx="14">
                  <c:v>-7.6871359999999998E-3</c:v>
                </c:pt>
                <c:pt idx="15">
                  <c:v>-9.4130968571428577E-3</c:v>
                </c:pt>
                <c:pt idx="16">
                  <c:v>-1.0685877142857144E-2</c:v>
                </c:pt>
                <c:pt idx="17">
                  <c:v>-1.1711472000000001E-2</c:v>
                </c:pt>
                <c:pt idx="18">
                  <c:v>-1.2468404000000001E-2</c:v>
                </c:pt>
                <c:pt idx="19">
                  <c:v>-1.2940604285714285E-2</c:v>
                </c:pt>
                <c:pt idx="20">
                  <c:v>-1.3820527428571429E-2</c:v>
                </c:pt>
                <c:pt idx="21">
                  <c:v>-1.4231560857142857E-2</c:v>
                </c:pt>
                <c:pt idx="22">
                  <c:v>-1.4360789142857143E-2</c:v>
                </c:pt>
                <c:pt idx="23">
                  <c:v>-1.4368254571428573E-2</c:v>
                </c:pt>
                <c:pt idx="24">
                  <c:v>-1.4427086857142859E-2</c:v>
                </c:pt>
                <c:pt idx="25">
                  <c:v>-1.4475546000000001E-2</c:v>
                </c:pt>
                <c:pt idx="26">
                  <c:v>-1.4482518857142858E-2</c:v>
                </c:pt>
                <c:pt idx="27">
                  <c:v>-1.448888942857143E-2</c:v>
                </c:pt>
                <c:pt idx="28">
                  <c:v>-1.4494310857142858E-2</c:v>
                </c:pt>
                <c:pt idx="29">
                  <c:v>-1.4496432857142858E-2</c:v>
                </c:pt>
                <c:pt idx="30">
                  <c:v>-1.4497870571428572E-2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125011664"/>
        <c:axId val="1250148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50116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4800"/>
        <c:crossesAt val="-8.0000000000000019E-3"/>
        <c:crossBetween val="midCat"/>
      </c:valAx>
      <c:valAx>
        <c:axId val="125014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1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15280.881373295428</c:v>
                </c:pt>
                <c:pt idx="1">
                  <c:v>15281.150909922677</c:v>
                </c:pt>
                <c:pt idx="2">
                  <c:v>15281.096201224267</c:v>
                </c:pt>
                <c:pt idx="3">
                  <c:v>15281.079521820968</c:v>
                </c:pt>
                <c:pt idx="4">
                  <c:v>15281.074851594565</c:v>
                </c:pt>
                <c:pt idx="5">
                  <c:v>15281.072850069839</c:v>
                </c:pt>
                <c:pt idx="6">
                  <c:v>15281.072850069839</c:v>
                </c:pt>
                <c:pt idx="7">
                  <c:v>15281.072182895048</c:v>
                </c:pt>
                <c:pt idx="8">
                  <c:v>15281.072182895048</c:v>
                </c:pt>
                <c:pt idx="9">
                  <c:v>15281.068847021961</c:v>
                </c:pt>
                <c:pt idx="10">
                  <c:v>15281.037489886136</c:v>
                </c:pt>
                <c:pt idx="11">
                  <c:v>15280.727261328244</c:v>
                </c:pt>
                <c:pt idx="12">
                  <c:v>15277.647675270193</c:v>
                </c:pt>
                <c:pt idx="13">
                  <c:v>15248.237162193274</c:v>
                </c:pt>
                <c:pt idx="14">
                  <c:v>15020.158339934333</c:v>
                </c:pt>
                <c:pt idx="15">
                  <c:v>14649.178338050717</c:v>
                </c:pt>
                <c:pt idx="16">
                  <c:v>14386.043729051607</c:v>
                </c:pt>
                <c:pt idx="17">
                  <c:v>14120.146633285027</c:v>
                </c:pt>
                <c:pt idx="18">
                  <c:v>13825.449824835499</c:v>
                </c:pt>
                <c:pt idx="19">
                  <c:v>13498.649884322354</c:v>
                </c:pt>
                <c:pt idx="20">
                  <c:v>13068.741843471495</c:v>
                </c:pt>
                <c:pt idx="21">
                  <c:v>12473.943269004971</c:v>
                </c:pt>
                <c:pt idx="22">
                  <c:v>11817.346101604393</c:v>
                </c:pt>
                <c:pt idx="23">
                  <c:v>11211.234194802433</c:v>
                </c:pt>
                <c:pt idx="24">
                  <c:v>10637.754991166255</c:v>
                </c:pt>
                <c:pt idx="25">
                  <c:v>10040.128097117757</c:v>
                </c:pt>
                <c:pt idx="26">
                  <c:v>9460.6803986190098</c:v>
                </c:pt>
                <c:pt idx="27">
                  <c:v>8983.4262459165202</c:v>
                </c:pt>
                <c:pt idx="28">
                  <c:v>8566.5459199781326</c:v>
                </c:pt>
                <c:pt idx="29">
                  <c:v>8161.1990713488167</c:v>
                </c:pt>
                <c:pt idx="30">
                  <c:v>7774.5237076881258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15253.299561075408</c:v>
                </c:pt>
                <c:pt idx="1">
                  <c:v>15253.571449428351</c:v>
                </c:pt>
                <c:pt idx="2">
                  <c:v>15253.516273257417</c:v>
                </c:pt>
                <c:pt idx="3">
                  <c:v>15253.497659699435</c:v>
                </c:pt>
                <c:pt idx="4">
                  <c:v>15253.47106898112</c:v>
                </c:pt>
                <c:pt idx="5">
                  <c:v>15253.251034344743</c:v>
                </c:pt>
                <c:pt idx="6">
                  <c:v>15251.07961303218</c:v>
                </c:pt>
                <c:pt idx="7">
                  <c:v>15230.145557982272</c:v>
                </c:pt>
                <c:pt idx="8">
                  <c:v>15052.824015155011</c:v>
                </c:pt>
                <c:pt idx="9">
                  <c:v>14663.162645601538</c:v>
                </c:pt>
                <c:pt idx="10">
                  <c:v>14395.345121201608</c:v>
                </c:pt>
                <c:pt idx="11">
                  <c:v>14135.595416319131</c:v>
                </c:pt>
                <c:pt idx="12">
                  <c:v>13843.573708268992</c:v>
                </c:pt>
                <c:pt idx="13">
                  <c:v>13534.544314128265</c:v>
                </c:pt>
                <c:pt idx="14">
                  <c:v>13185.531809794105</c:v>
                </c:pt>
                <c:pt idx="15">
                  <c:v>12808.211307674461</c:v>
                </c:pt>
                <c:pt idx="16">
                  <c:v>12419.582758084871</c:v>
                </c:pt>
                <c:pt idx="17">
                  <c:v>12038.198786914147</c:v>
                </c:pt>
                <c:pt idx="18">
                  <c:v>11573.672975883639</c:v>
                </c:pt>
                <c:pt idx="19">
                  <c:v>10893.716112372604</c:v>
                </c:pt>
                <c:pt idx="20">
                  <c:v>10108.526877446588</c:v>
                </c:pt>
                <c:pt idx="21">
                  <c:v>9430.5947030020106</c:v>
                </c:pt>
                <c:pt idx="22">
                  <c:v>8882.2964766416917</c:v>
                </c:pt>
                <c:pt idx="23">
                  <c:v>8380.4797173355182</c:v>
                </c:pt>
                <c:pt idx="24">
                  <c:v>7938.8831207232379</c:v>
                </c:pt>
                <c:pt idx="25">
                  <c:v>7513.2462287636217</c:v>
                </c:pt>
                <c:pt idx="26">
                  <c:v>7095.8894505837288</c:v>
                </c:pt>
                <c:pt idx="27">
                  <c:v>6612.5411906998879</c:v>
                </c:pt>
                <c:pt idx="28">
                  <c:v>6107.8801007081229</c:v>
                </c:pt>
                <c:pt idx="29">
                  <c:v>5536.0885591953065</c:v>
                </c:pt>
                <c:pt idx="30">
                  <c:v>4884.632584426583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15235.483109334004</c:v>
                </c:pt>
                <c:pt idx="1">
                  <c:v>15235.743088109259</c:v>
                </c:pt>
                <c:pt idx="2">
                  <c:v>15235.55539846005</c:v>
                </c:pt>
                <c:pt idx="3">
                  <c:v>15234.222470748005</c:v>
                </c:pt>
                <c:pt idx="4">
                  <c:v>15221.385925454173</c:v>
                </c:pt>
                <c:pt idx="5">
                  <c:v>15110.657503563956</c:v>
                </c:pt>
                <c:pt idx="6">
                  <c:v>14708.351872860669</c:v>
                </c:pt>
                <c:pt idx="7">
                  <c:v>14427.852780168907</c:v>
                </c:pt>
                <c:pt idx="8">
                  <c:v>14173.402508716539</c:v>
                </c:pt>
                <c:pt idx="9">
                  <c:v>13884.609453903631</c:v>
                </c:pt>
                <c:pt idx="10">
                  <c:v>13582.591743227855</c:v>
                </c:pt>
                <c:pt idx="11">
                  <c:v>13240.467969586718</c:v>
                </c:pt>
                <c:pt idx="12">
                  <c:v>12868.570568005469</c:v>
                </c:pt>
                <c:pt idx="13">
                  <c:v>12479.120203485245</c:v>
                </c:pt>
                <c:pt idx="14">
                  <c:v>12105.831112518614</c:v>
                </c:pt>
                <c:pt idx="15">
                  <c:v>11716.830715129398</c:v>
                </c:pt>
                <c:pt idx="16">
                  <c:v>11233.80422444961</c:v>
                </c:pt>
                <c:pt idx="17">
                  <c:v>10642.873984662219</c:v>
                </c:pt>
                <c:pt idx="18">
                  <c:v>9980.5624269351538</c:v>
                </c:pt>
                <c:pt idx="19">
                  <c:v>9335.4013114318404</c:v>
                </c:pt>
                <c:pt idx="20">
                  <c:v>8720.9509484382997</c:v>
                </c:pt>
                <c:pt idx="21">
                  <c:v>8193.7961070759648</c:v>
                </c:pt>
                <c:pt idx="22">
                  <c:v>7706.024415767758</c:v>
                </c:pt>
                <c:pt idx="23">
                  <c:v>7250.4149775012365</c:v>
                </c:pt>
                <c:pt idx="24">
                  <c:v>6754.6218789690629</c:v>
                </c:pt>
                <c:pt idx="25">
                  <c:v>6239.5514254558293</c:v>
                </c:pt>
                <c:pt idx="26">
                  <c:v>5668.5276928956237</c:v>
                </c:pt>
                <c:pt idx="27">
                  <c:v>5035.2623015594136</c:v>
                </c:pt>
                <c:pt idx="28">
                  <c:v>4295.7481188335996</c:v>
                </c:pt>
                <c:pt idx="29">
                  <c:v>3452.787277327282</c:v>
                </c:pt>
                <c:pt idx="30">
                  <c:v>2584.3840146544912</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15217.054544314649</c:v>
                </c:pt>
                <c:pt idx="1">
                  <c:v>15214.894738576373</c:v>
                </c:pt>
                <c:pt idx="2">
                  <c:v>15191.360577750882</c:v>
                </c:pt>
                <c:pt idx="3">
                  <c:v>14997.755050322607</c:v>
                </c:pt>
                <c:pt idx="4">
                  <c:v>14614.297986120508</c:v>
                </c:pt>
                <c:pt idx="5">
                  <c:v>14348.856869619767</c:v>
                </c:pt>
                <c:pt idx="6">
                  <c:v>14087.742971303025</c:v>
                </c:pt>
                <c:pt idx="7">
                  <c:v>13795.781053071383</c:v>
                </c:pt>
                <c:pt idx="8">
                  <c:v>13485.312548896298</c:v>
                </c:pt>
                <c:pt idx="9">
                  <c:v>13135.412934411093</c:v>
                </c:pt>
                <c:pt idx="10">
                  <c:v>12757.647061224969</c:v>
                </c:pt>
                <c:pt idx="11">
                  <c:v>12371.337209355757</c:v>
                </c:pt>
                <c:pt idx="12">
                  <c:v>11999.068460890801</c:v>
                </c:pt>
                <c:pt idx="13">
                  <c:v>11592.909869067355</c:v>
                </c:pt>
                <c:pt idx="14">
                  <c:v>11097.44364044346</c:v>
                </c:pt>
                <c:pt idx="15">
                  <c:v>10561.904165264948</c:v>
                </c:pt>
                <c:pt idx="16">
                  <c:v>10058.915354629647</c:v>
                </c:pt>
                <c:pt idx="17">
                  <c:v>9510.9442571437576</c:v>
                </c:pt>
                <c:pt idx="18">
                  <c:v>8879.2911362526975</c:v>
                </c:pt>
                <c:pt idx="19">
                  <c:v>8284.2148428277324</c:v>
                </c:pt>
                <c:pt idx="20">
                  <c:v>7740.334682783282</c:v>
                </c:pt>
                <c:pt idx="21">
                  <c:v>7228.6504545385724</c:v>
                </c:pt>
                <c:pt idx="22">
                  <c:v>6693.3015446131976</c:v>
                </c:pt>
                <c:pt idx="23">
                  <c:v>6143.9067979871152</c:v>
                </c:pt>
                <c:pt idx="24">
                  <c:v>5544.1370971962624</c:v>
                </c:pt>
                <c:pt idx="25">
                  <c:v>4877.7119294409695</c:v>
                </c:pt>
                <c:pt idx="26">
                  <c:v>4103.0868448459096</c:v>
                </c:pt>
                <c:pt idx="27">
                  <c:v>3238.0067237672188</c:v>
                </c:pt>
                <c:pt idx="28">
                  <c:v>2383.0410272513682</c:v>
                </c:pt>
                <c:pt idx="29">
                  <c:v>1692.5505193687986</c:v>
                </c:pt>
                <c:pt idx="30">
                  <c:v>1233.9005068651754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15051.693104750579</c:v>
                </c:pt>
                <c:pt idx="1">
                  <c:v>14580.982149961652</c:v>
                </c:pt>
                <c:pt idx="2">
                  <c:v>14312.228711704769</c:v>
                </c:pt>
                <c:pt idx="3">
                  <c:v>14048.319475803413</c:v>
                </c:pt>
                <c:pt idx="4">
                  <c:v>13756.075075784182</c:v>
                </c:pt>
                <c:pt idx="5">
                  <c:v>13443.196770682955</c:v>
                </c:pt>
                <c:pt idx="6">
                  <c:v>13091.71219434265</c:v>
                </c:pt>
                <c:pt idx="7">
                  <c:v>12712.835107155215</c:v>
                </c:pt>
                <c:pt idx="8">
                  <c:v>12328.138267608447</c:v>
                </c:pt>
                <c:pt idx="9">
                  <c:v>11955.97740798509</c:v>
                </c:pt>
                <c:pt idx="10">
                  <c:v>11544.527870700231</c:v>
                </c:pt>
                <c:pt idx="11">
                  <c:v>11045.292389086646</c:v>
                </c:pt>
                <c:pt idx="12">
                  <c:v>10517.345837796443</c:v>
                </c:pt>
                <c:pt idx="13">
                  <c:v>10058.507174991815</c:v>
                </c:pt>
                <c:pt idx="14">
                  <c:v>9650.0117206285195</c:v>
                </c:pt>
                <c:pt idx="15">
                  <c:v>9215.3709332930084</c:v>
                </c:pt>
                <c:pt idx="16">
                  <c:v>8707.3095848844878</c:v>
                </c:pt>
                <c:pt idx="17">
                  <c:v>8104.2088259187221</c:v>
                </c:pt>
                <c:pt idx="18">
                  <c:v>7480.0984500637596</c:v>
                </c:pt>
                <c:pt idx="19">
                  <c:v>6852.7077623029054</c:v>
                </c:pt>
                <c:pt idx="20">
                  <c:v>6233.4499677125095</c:v>
                </c:pt>
                <c:pt idx="21">
                  <c:v>5584.7722472434198</c:v>
                </c:pt>
                <c:pt idx="22">
                  <c:v>4881.932553451581</c:v>
                </c:pt>
                <c:pt idx="23">
                  <c:v>4081.1023715145952</c:v>
                </c:pt>
                <c:pt idx="24">
                  <c:v>3200.7611592937433</c:v>
                </c:pt>
                <c:pt idx="25">
                  <c:v>2344.9535159864527</c:v>
                </c:pt>
                <c:pt idx="26">
                  <c:v>1663.0328606740529</c:v>
                </c:pt>
                <c:pt idx="27">
                  <c:v>1217.1149451700148</c:v>
                </c:pt>
                <c:pt idx="28">
                  <c:v>983.58290531786452</c:v>
                </c:pt>
                <c:pt idx="29">
                  <c:v>866.63667443478505</c:v>
                </c:pt>
                <c:pt idx="30">
                  <c:v>808.39231325155947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12702.321672287504</c:v>
                </c:pt>
                <c:pt idx="1">
                  <c:v>12217.511925338853</c:v>
                </c:pt>
                <c:pt idx="2">
                  <c:v>11834.710082063908</c:v>
                </c:pt>
                <c:pt idx="3">
                  <c:v>11399.651489854652</c:v>
                </c:pt>
                <c:pt idx="4">
                  <c:v>10884.204472406689</c:v>
                </c:pt>
                <c:pt idx="5">
                  <c:v>10369.07968877711</c:v>
                </c:pt>
                <c:pt idx="6">
                  <c:v>9934.4668635715843</c:v>
                </c:pt>
                <c:pt idx="7">
                  <c:v>9523.5889911773738</c:v>
                </c:pt>
                <c:pt idx="8">
                  <c:v>9124.9268180869185</c:v>
                </c:pt>
                <c:pt idx="9">
                  <c:v>8729.4005787492806</c:v>
                </c:pt>
                <c:pt idx="10">
                  <c:v>8329.5759013088991</c:v>
                </c:pt>
                <c:pt idx="11">
                  <c:v>7881.5895211429943</c:v>
                </c:pt>
                <c:pt idx="12">
                  <c:v>7380.5993523249927</c:v>
                </c:pt>
                <c:pt idx="13">
                  <c:v>6815.6972752361226</c:v>
                </c:pt>
                <c:pt idx="14">
                  <c:v>6140.4688388312006</c:v>
                </c:pt>
                <c:pt idx="15">
                  <c:v>5274.4167519816128</c:v>
                </c:pt>
                <c:pt idx="16">
                  <c:v>4262.419017539939</c:v>
                </c:pt>
                <c:pt idx="17">
                  <c:v>3223.9526045806465</c:v>
                </c:pt>
                <c:pt idx="18">
                  <c:v>2300.8577992308296</c:v>
                </c:pt>
                <c:pt idx="19">
                  <c:v>1612.4583507766772</c:v>
                </c:pt>
                <c:pt idx="20">
                  <c:v>1189.4246824176626</c:v>
                </c:pt>
                <c:pt idx="21">
                  <c:v>970.95614934548394</c:v>
                </c:pt>
                <c:pt idx="22">
                  <c:v>864.54998975014234</c:v>
                </c:pt>
                <c:pt idx="23">
                  <c:v>805.23415081777966</c:v>
                </c:pt>
                <c:pt idx="24">
                  <c:v>768.07280241698027</c:v>
                </c:pt>
                <c:pt idx="25">
                  <c:v>752.15808660954224</c:v>
                </c:pt>
                <c:pt idx="26">
                  <c:v>716.87637382956348</c:v>
                </c:pt>
                <c:pt idx="27">
                  <c:v>692.79774393383821</c:v>
                </c:pt>
                <c:pt idx="28">
                  <c:v>690.34726084605563</c:v>
                </c:pt>
                <c:pt idx="29">
                  <c:v>689.9700026670298</c:v>
                </c:pt>
                <c:pt idx="30">
                  <c:v>689.67860110164133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9928.5076531064533</c:v>
                </c:pt>
                <c:pt idx="1">
                  <c:v>9401.4333049159341</c:v>
                </c:pt>
                <c:pt idx="2">
                  <c:v>9001.2725484770599</c:v>
                </c:pt>
                <c:pt idx="3">
                  <c:v>8600.7230554152193</c:v>
                </c:pt>
                <c:pt idx="4">
                  <c:v>8198.7775341595625</c:v>
                </c:pt>
                <c:pt idx="5">
                  <c:v>7730.7854254903914</c:v>
                </c:pt>
                <c:pt idx="6">
                  <c:v>7220.7063781861052</c:v>
                </c:pt>
                <c:pt idx="7">
                  <c:v>6640.8940525613862</c:v>
                </c:pt>
                <c:pt idx="8">
                  <c:v>5985.6534489985033</c:v>
                </c:pt>
                <c:pt idx="9">
                  <c:v>5209.9426784243851</c:v>
                </c:pt>
                <c:pt idx="10">
                  <c:v>4301.0481015210544</c:v>
                </c:pt>
                <c:pt idx="11">
                  <c:v>3320.5290570484913</c:v>
                </c:pt>
                <c:pt idx="12">
                  <c:v>2426.293198677296</c:v>
                </c:pt>
                <c:pt idx="13">
                  <c:v>1732.301165606061</c:v>
                </c:pt>
                <c:pt idx="14">
                  <c:v>1300.8746040137705</c:v>
                </c:pt>
                <c:pt idx="15">
                  <c:v>1062.3496338945868</c:v>
                </c:pt>
                <c:pt idx="16">
                  <c:v>935.81461459009836</c:v>
                </c:pt>
                <c:pt idx="17">
                  <c:v>853.86363046421491</c:v>
                </c:pt>
                <c:pt idx="18">
                  <c:v>802.02726828549987</c:v>
                </c:pt>
                <c:pt idx="19">
                  <c:v>772.76143982236204</c:v>
                </c:pt>
                <c:pt idx="20">
                  <c:v>723.56138734089245</c:v>
                </c:pt>
                <c:pt idx="21">
                  <c:v>702.66361507219881</c:v>
                </c:pt>
                <c:pt idx="22">
                  <c:v>696.34056321855132</c:v>
                </c:pt>
                <c:pt idx="23">
                  <c:v>695.97876000089161</c:v>
                </c:pt>
                <c:pt idx="24">
                  <c:v>693.14062492449705</c:v>
                </c:pt>
                <c:pt idx="25">
                  <c:v>690.82022881900275</c:v>
                </c:pt>
                <c:pt idx="26">
                  <c:v>690.48762156922339</c:v>
                </c:pt>
                <c:pt idx="27">
                  <c:v>690.18402337176065</c:v>
                </c:pt>
                <c:pt idx="28">
                  <c:v>689.92586805684232</c:v>
                </c:pt>
                <c:pt idx="29">
                  <c:v>689.82487612962518</c:v>
                </c:pt>
                <c:pt idx="30">
                  <c:v>689.75646807796227</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25012840"/>
        <c:axId val="1250132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501284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3232"/>
        <c:crosses val="autoZero"/>
        <c:crossBetween val="midCat"/>
      </c:valAx>
      <c:valAx>
        <c:axId val="12501323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284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17887.896349146788</c:v>
                </c:pt>
                <c:pt idx="1">
                  <c:v>17890.224072091831</c:v>
                </c:pt>
                <c:pt idx="2">
                  <c:v>17890.165364114393</c:v>
                </c:pt>
                <c:pt idx="3">
                  <c:v>17890.151098682742</c:v>
                </c:pt>
                <c:pt idx="4">
                  <c:v>17890.150001342783</c:v>
                </c:pt>
                <c:pt idx="5">
                  <c:v>17890.147806663277</c:v>
                </c:pt>
                <c:pt idx="6">
                  <c:v>17890.150001342779</c:v>
                </c:pt>
                <c:pt idx="7">
                  <c:v>17890.147806663284</c:v>
                </c:pt>
                <c:pt idx="8">
                  <c:v>17890.150001342783</c:v>
                </c:pt>
                <c:pt idx="9">
                  <c:v>17890.150550012742</c:v>
                </c:pt>
                <c:pt idx="10">
                  <c:v>17890.167558798203</c:v>
                </c:pt>
                <c:pt idx="11">
                  <c:v>17890.348622067453</c:v>
                </c:pt>
                <c:pt idx="12">
                  <c:v>17892.128723989717</c:v>
                </c:pt>
                <c:pt idx="13">
                  <c:v>17909.203083035532</c:v>
                </c:pt>
                <c:pt idx="14">
                  <c:v>18030.338238636232</c:v>
                </c:pt>
                <c:pt idx="15">
                  <c:v>18260.359354898443</c:v>
                </c:pt>
                <c:pt idx="16">
                  <c:v>18448.318275025311</c:v>
                </c:pt>
                <c:pt idx="17">
                  <c:v>18659.966395213218</c:v>
                </c:pt>
                <c:pt idx="18">
                  <c:v>18919.025274520449</c:v>
                </c:pt>
                <c:pt idx="19">
                  <c:v>19174.761648399253</c:v>
                </c:pt>
                <c:pt idx="20">
                  <c:v>19076.986706011034</c:v>
                </c:pt>
                <c:pt idx="21">
                  <c:v>18105.744895951731</c:v>
                </c:pt>
                <c:pt idx="22">
                  <c:v>16784.781171772425</c:v>
                </c:pt>
                <c:pt idx="23">
                  <c:v>15731.382066637958</c:v>
                </c:pt>
                <c:pt idx="24">
                  <c:v>15029.148604313825</c:v>
                </c:pt>
                <c:pt idx="25">
                  <c:v>14581.858742867964</c:v>
                </c:pt>
                <c:pt idx="26">
                  <c:v>14259.069613633399</c:v>
                </c:pt>
                <c:pt idx="27">
                  <c:v>13971.416716824058</c:v>
                </c:pt>
                <c:pt idx="28">
                  <c:v>13732.445275715132</c:v>
                </c:pt>
                <c:pt idx="29">
                  <c:v>13523.736727466689</c:v>
                </c:pt>
                <c:pt idx="30">
                  <c:v>13335.087468839225</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17798.636016276327</c:v>
                </c:pt>
                <c:pt idx="1">
                  <c:v>17800.978589979797</c:v>
                </c:pt>
                <c:pt idx="2">
                  <c:v>17800.919379849729</c:v>
                </c:pt>
                <c:pt idx="3">
                  <c:v>17800.907429229064</c:v>
                </c:pt>
                <c:pt idx="4">
                  <c:v>17800.917750218701</c:v>
                </c:pt>
                <c:pt idx="5">
                  <c:v>17801.037800503767</c:v>
                </c:pt>
                <c:pt idx="6">
                  <c:v>17802.232959511875</c:v>
                </c:pt>
                <c:pt idx="7">
                  <c:v>17813.800063852799</c:v>
                </c:pt>
                <c:pt idx="8">
                  <c:v>17902.570630116781</c:v>
                </c:pt>
                <c:pt idx="9">
                  <c:v>18127.325651718518</c:v>
                </c:pt>
                <c:pt idx="10">
                  <c:v>18307.326938510811</c:v>
                </c:pt>
                <c:pt idx="11">
                  <c:v>18502.151456603013</c:v>
                </c:pt>
                <c:pt idx="12">
                  <c:v>18749.636056171559</c:v>
                </c:pt>
                <c:pt idx="13">
                  <c:v>19049.686677284855</c:v>
                </c:pt>
                <c:pt idx="14">
                  <c:v>19444.120375771519</c:v>
                </c:pt>
                <c:pt idx="15">
                  <c:v>19950.966225294305</c:v>
                </c:pt>
                <c:pt idx="16">
                  <c:v>20574.974118152189</c:v>
                </c:pt>
                <c:pt idx="17">
                  <c:v>21219.216146392715</c:v>
                </c:pt>
                <c:pt idx="18">
                  <c:v>21389.333787031665</c:v>
                </c:pt>
                <c:pt idx="19">
                  <c:v>20124.158005229059</c:v>
                </c:pt>
                <c:pt idx="20">
                  <c:v>18047.082879835914</c:v>
                </c:pt>
                <c:pt idx="21">
                  <c:v>16231.68080909827</c:v>
                </c:pt>
                <c:pt idx="22">
                  <c:v>15003.193965663946</c:v>
                </c:pt>
                <c:pt idx="23">
                  <c:v>14247.705478271253</c:v>
                </c:pt>
                <c:pt idx="24">
                  <c:v>13766.894536305024</c:v>
                </c:pt>
                <c:pt idx="25">
                  <c:v>13447.969977061217</c:v>
                </c:pt>
                <c:pt idx="26">
                  <c:v>13199.030557603601</c:v>
                </c:pt>
                <c:pt idx="27">
                  <c:v>12954.434626833649</c:v>
                </c:pt>
                <c:pt idx="28">
                  <c:v>12755.64127346492</c:v>
                </c:pt>
                <c:pt idx="29">
                  <c:v>12544.368535483687</c:v>
                </c:pt>
                <c:pt idx="30">
                  <c:v>12326.565661378891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17742.097844506447</c:v>
                </c:pt>
                <c:pt idx="1">
                  <c:v>17744.455785348626</c:v>
                </c:pt>
                <c:pt idx="2">
                  <c:v>17744.465501210168</c:v>
                </c:pt>
                <c:pt idx="3">
                  <c:v>17745.156974013491</c:v>
                </c:pt>
                <c:pt idx="4">
                  <c:v>17752.014161278741</c:v>
                </c:pt>
                <c:pt idx="5">
                  <c:v>17812.36022068395</c:v>
                </c:pt>
                <c:pt idx="6">
                  <c:v>18022.373448129467</c:v>
                </c:pt>
                <c:pt idx="7">
                  <c:v>18201.152817336686</c:v>
                </c:pt>
                <c:pt idx="8">
                  <c:v>18382.274353091783</c:v>
                </c:pt>
                <c:pt idx="9">
                  <c:v>18613.635971057858</c:v>
                </c:pt>
                <c:pt idx="10">
                  <c:v>18890.403395497124</c:v>
                </c:pt>
                <c:pt idx="11">
                  <c:v>19253.675815518305</c:v>
                </c:pt>
                <c:pt idx="12">
                  <c:v>19721.705325716935</c:v>
                </c:pt>
                <c:pt idx="13">
                  <c:v>20313.485838859611</c:v>
                </c:pt>
                <c:pt idx="14">
                  <c:v>21004.697910734707</c:v>
                </c:pt>
                <c:pt idx="15">
                  <c:v>21880.71223343744</c:v>
                </c:pt>
                <c:pt idx="16">
                  <c:v>23154.671885068165</c:v>
                </c:pt>
                <c:pt idx="17">
                  <c:v>24111.567944951763</c:v>
                </c:pt>
                <c:pt idx="18">
                  <c:v>22407.887576426907</c:v>
                </c:pt>
                <c:pt idx="19">
                  <c:v>19215.064610654747</c:v>
                </c:pt>
                <c:pt idx="20">
                  <c:v>16769.174233157639</c:v>
                </c:pt>
                <c:pt idx="21">
                  <c:v>15192.356942256018</c:v>
                </c:pt>
                <c:pt idx="22">
                  <c:v>14246.46150459566</c:v>
                </c:pt>
                <c:pt idx="23">
                  <c:v>13666.648040977747</c:v>
                </c:pt>
                <c:pt idx="24">
                  <c:v>13307.46969565968</c:v>
                </c:pt>
                <c:pt idx="25">
                  <c:v>13026.128105494072</c:v>
                </c:pt>
                <c:pt idx="26">
                  <c:v>12786.503531340009</c:v>
                </c:pt>
                <c:pt idx="27">
                  <c:v>12596.389824290796</c:v>
                </c:pt>
                <c:pt idx="28">
                  <c:v>12567.368726562543</c:v>
                </c:pt>
                <c:pt idx="29">
                  <c:v>13091.656859145447</c:v>
                </c:pt>
                <c:pt idx="30">
                  <c:v>15746.4784575578</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17685.042669005619</c:v>
                </c:pt>
                <c:pt idx="1">
                  <c:v>17688.670543982822</c:v>
                </c:pt>
                <c:pt idx="2">
                  <c:v>17700.78227444068</c:v>
                </c:pt>
                <c:pt idx="3">
                  <c:v>17791.946267102245</c:v>
                </c:pt>
                <c:pt idx="4">
                  <c:v>18001.312244230281</c:v>
                </c:pt>
                <c:pt idx="5">
                  <c:v>18169.790063961402</c:v>
                </c:pt>
                <c:pt idx="6">
                  <c:v>18354.891940555735</c:v>
                </c:pt>
                <c:pt idx="7">
                  <c:v>18589.057796503643</c:v>
                </c:pt>
                <c:pt idx="8">
                  <c:v>18874.510969509851</c:v>
                </c:pt>
                <c:pt idx="9">
                  <c:v>19249.387195758627</c:v>
                </c:pt>
                <c:pt idx="10">
                  <c:v>19731.237988608878</c:v>
                </c:pt>
                <c:pt idx="11">
                  <c:v>20327.965588819865</c:v>
                </c:pt>
                <c:pt idx="12">
                  <c:v>21029.103016829111</c:v>
                </c:pt>
                <c:pt idx="13">
                  <c:v>21974.910303125034</c:v>
                </c:pt>
                <c:pt idx="14">
                  <c:v>23478.708802496651</c:v>
                </c:pt>
                <c:pt idx="15">
                  <c:v>25663.282193011033</c:v>
                </c:pt>
                <c:pt idx="16">
                  <c:v>27344.049075536772</c:v>
                </c:pt>
                <c:pt idx="17">
                  <c:v>25408.490486661882</c:v>
                </c:pt>
                <c:pt idx="18">
                  <c:v>21261.118425948283</c:v>
                </c:pt>
                <c:pt idx="19">
                  <c:v>17842.401938031515</c:v>
                </c:pt>
                <c:pt idx="20">
                  <c:v>15741.810559183754</c:v>
                </c:pt>
                <c:pt idx="21">
                  <c:v>14511.672878699197</c:v>
                </c:pt>
                <c:pt idx="22">
                  <c:v>13804.365090117459</c:v>
                </c:pt>
                <c:pt idx="23">
                  <c:v>13361.103049912273</c:v>
                </c:pt>
                <c:pt idx="24">
                  <c:v>13073.163924551845</c:v>
                </c:pt>
                <c:pt idx="25">
                  <c:v>12902.460458658872</c:v>
                </c:pt>
                <c:pt idx="26">
                  <c:v>12991.681797336068</c:v>
                </c:pt>
                <c:pt idx="27">
                  <c:v>13928.63524446146</c:v>
                </c:pt>
                <c:pt idx="28">
                  <c:v>18386.741037356907</c:v>
                </c:pt>
                <c:pt idx="29">
                  <c:v>66003.239816172267</c:v>
                </c:pt>
                <c:pt idx="30">
                  <c:v>-21172.163565247098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17682.361733025027</c:v>
                </c:pt>
                <c:pt idx="1">
                  <c:v>17927.525958186816</c:v>
                </c:pt>
                <c:pt idx="2">
                  <c:v>18092.250732335538</c:v>
                </c:pt>
                <c:pt idx="3">
                  <c:v>18273.160442504519</c:v>
                </c:pt>
                <c:pt idx="4">
                  <c:v>18500.183368531787</c:v>
                </c:pt>
                <c:pt idx="5">
                  <c:v>18779.056767468257</c:v>
                </c:pt>
                <c:pt idx="6">
                  <c:v>19144.73678092847</c:v>
                </c:pt>
                <c:pt idx="7">
                  <c:v>19614.538452817538</c:v>
                </c:pt>
                <c:pt idx="8">
                  <c:v>20192.39428661397</c:v>
                </c:pt>
                <c:pt idx="9">
                  <c:v>20873.567133984088</c:v>
                </c:pt>
                <c:pt idx="10">
                  <c:v>21806.095464095375</c:v>
                </c:pt>
                <c:pt idx="11">
                  <c:v>23292.087704426362</c:v>
                </c:pt>
                <c:pt idx="12">
                  <c:v>25516.013996189828</c:v>
                </c:pt>
                <c:pt idx="13">
                  <c:v>28337.924077033844</c:v>
                </c:pt>
                <c:pt idx="14">
                  <c:v>31873.090460384003</c:v>
                </c:pt>
                <c:pt idx="15">
                  <c:v>35639.156191045739</c:v>
                </c:pt>
                <c:pt idx="16">
                  <c:v>33384.392376874275</c:v>
                </c:pt>
                <c:pt idx="17">
                  <c:v>26034.472319182001</c:v>
                </c:pt>
                <c:pt idx="18">
                  <c:v>20355.82209662873</c:v>
                </c:pt>
                <c:pt idx="19">
                  <c:v>17195.408275737307</c:v>
                </c:pt>
                <c:pt idx="20">
                  <c:v>15440.023010045727</c:v>
                </c:pt>
                <c:pt idx="21">
                  <c:v>14512.649474069873</c:v>
                </c:pt>
                <c:pt idx="22">
                  <c:v>14123.339690450282</c:v>
                </c:pt>
                <c:pt idx="23">
                  <c:v>14318.572194527354</c:v>
                </c:pt>
                <c:pt idx="24">
                  <c:v>15828.991893113925</c:v>
                </c:pt>
                <c:pt idx="25">
                  <c:v>23134.21253916619</c:v>
                </c:pt>
                <c:pt idx="26">
                  <c:v>1045400.2389489568</c:v>
                </c:pt>
                <c:pt idx="27">
                  <c:v>-15991.636830841391</c:v>
                </c:pt>
                <c:pt idx="28">
                  <c:v>-8151.4910358053148</c:v>
                </c:pt>
                <c:pt idx="29">
                  <c:v>-6047.6907065828036</c:v>
                </c:pt>
                <c:pt idx="30">
                  <c:v>-5245.1288488380833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19384.159707753337</c:v>
                </c:pt>
                <c:pt idx="1">
                  <c:v>20071.601711522675</c:v>
                </c:pt>
                <c:pt idx="2">
                  <c:v>20754.902041013345</c:v>
                </c:pt>
                <c:pt idx="3">
                  <c:v>21727.388198464927</c:v>
                </c:pt>
                <c:pt idx="4">
                  <c:v>23267.175446668254</c:v>
                </c:pt>
                <c:pt idx="5">
                  <c:v>25463.225173555536</c:v>
                </c:pt>
                <c:pt idx="6">
                  <c:v>28153.363759880132</c:v>
                </c:pt>
                <c:pt idx="7">
                  <c:v>31874.00479111827</c:v>
                </c:pt>
                <c:pt idx="8">
                  <c:v>37505.293604297243</c:v>
                </c:pt>
                <c:pt idx="9">
                  <c:v>47143.590081365801</c:v>
                </c:pt>
                <c:pt idx="10">
                  <c:v>67796.268725813425</c:v>
                </c:pt>
                <c:pt idx="11">
                  <c:v>161949.31449168763</c:v>
                </c:pt>
                <c:pt idx="12">
                  <c:v>-182320.43911096553</c:v>
                </c:pt>
                <c:pt idx="13">
                  <c:v>-46936.117530183925</c:v>
                </c:pt>
                <c:pt idx="14">
                  <c:v>-25426.6648853472</c:v>
                </c:pt>
                <c:pt idx="15">
                  <c:v>-19927.078280395661</c:v>
                </c:pt>
                <c:pt idx="16">
                  <c:v>-17320.277011602957</c:v>
                </c:pt>
                <c:pt idx="17">
                  <c:v>-12795.439383689765</c:v>
                </c:pt>
                <c:pt idx="18">
                  <c:v>-8106.4477573720824</c:v>
                </c:pt>
                <c:pt idx="19">
                  <c:v>-5173.61697762321</c:v>
                </c:pt>
                <c:pt idx="20">
                  <c:v>-3911.1000259361867</c:v>
                </c:pt>
                <c:pt idx="21">
                  <c:v>-3548.9729880567934</c:v>
                </c:pt>
                <c:pt idx="22">
                  <c:v>-3598.7937254722879</c:v>
                </c:pt>
                <c:pt idx="23">
                  <c:v>-3801.2027439905219</c:v>
                </c:pt>
                <c:pt idx="24">
                  <c:v>-3897.6312758405943</c:v>
                </c:pt>
                <c:pt idx="25">
                  <c:v>-3801.6523719106594</c:v>
                </c:pt>
                <c:pt idx="26">
                  <c:v>-3813.639426929863</c:v>
                </c:pt>
                <c:pt idx="27">
                  <c:v>-3665.525222112492</c:v>
                </c:pt>
                <c:pt idx="28">
                  <c:v>-3542.225452731831</c:v>
                </c:pt>
                <c:pt idx="29">
                  <c:v>-3556.1765655889499</c:v>
                </c:pt>
                <c:pt idx="30">
                  <c:v>-3553.2468249709182</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27409.891352672657</c:v>
                </c:pt>
                <c:pt idx="1">
                  <c:v>31991.394863205656</c:v>
                </c:pt>
                <c:pt idx="2">
                  <c:v>37800.156190245332</c:v>
                </c:pt>
                <c:pt idx="3">
                  <c:v>48013.918000184509</c:v>
                </c:pt>
                <c:pt idx="4">
                  <c:v>70547.633056363571</c:v>
                </c:pt>
                <c:pt idx="5">
                  <c:v>203134.8937575481</c:v>
                </c:pt>
                <c:pt idx="6">
                  <c:v>-132990.74916348737</c:v>
                </c:pt>
                <c:pt idx="7">
                  <c:v>-39248.047774069455</c:v>
                </c:pt>
                <c:pt idx="8">
                  <c:v>-19065.74161867275</c:v>
                </c:pt>
                <c:pt idx="9">
                  <c:v>-10236.708978787085</c:v>
                </c:pt>
                <c:pt idx="10">
                  <c:v>-5531.5690915263876</c:v>
                </c:pt>
                <c:pt idx="11">
                  <c:v>-2944.9785120905003</c:v>
                </c:pt>
                <c:pt idx="12">
                  <c:v>-1624.6511003738688</c:v>
                </c:pt>
                <c:pt idx="13">
                  <c:v>-1022.2855026684425</c:v>
                </c:pt>
                <c:pt idx="14">
                  <c:v>-801.59586284923773</c:v>
                </c:pt>
                <c:pt idx="15">
                  <c:v>-772.35895881334068</c:v>
                </c:pt>
                <c:pt idx="16">
                  <c:v>-882.79775254825859</c:v>
                </c:pt>
                <c:pt idx="17">
                  <c:v>-1081.7555619389434</c:v>
                </c:pt>
                <c:pt idx="18">
                  <c:v>-1400.2878991920745</c:v>
                </c:pt>
                <c:pt idx="19">
                  <c:v>-1844.4410050011215</c:v>
                </c:pt>
                <c:pt idx="20">
                  <c:v>-2102.5726237595277</c:v>
                </c:pt>
                <c:pt idx="21">
                  <c:v>-2541.633961283937</c:v>
                </c:pt>
                <c:pt idx="22">
                  <c:v>-3071.3069727443426</c:v>
                </c:pt>
                <c:pt idx="23">
                  <c:v>-3075.1563826847623</c:v>
                </c:pt>
                <c:pt idx="24">
                  <c:v>-3428.8775363652135</c:v>
                </c:pt>
                <c:pt idx="25">
                  <c:v>-3710.4048125858671</c:v>
                </c:pt>
                <c:pt idx="26">
                  <c:v>-3703.4967781694272</c:v>
                </c:pt>
                <c:pt idx="27">
                  <c:v>-3693.1226143087497</c:v>
                </c:pt>
                <c:pt idx="28">
                  <c:v>-3684.8513025633579</c:v>
                </c:pt>
                <c:pt idx="29">
                  <c:v>-3689.0517271455119</c:v>
                </c:pt>
                <c:pt idx="30">
                  <c:v>-3695.1345108143387</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125015976"/>
        <c:axId val="1250167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1250159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6760"/>
        <c:crosses val="autoZero"/>
        <c:crossBetween val="midCat"/>
        <c:majorUnit val="10000"/>
      </c:valAx>
      <c:valAx>
        <c:axId val="12501676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597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0.35762364044906925</c:v>
                </c:pt>
                <c:pt idx="1">
                  <c:v>0.3576396542198636</c:v>
                </c:pt>
                <c:pt idx="2">
                  <c:v>0.35763969672525237</c:v>
                </c:pt>
                <c:pt idx="3">
                  <c:v>0.35763973859574127</c:v>
                </c:pt>
                <c:pt idx="4">
                  <c:v>0.35763977337205471</c:v>
                </c:pt>
                <c:pt idx="5">
                  <c:v>0.35763977455440282</c:v>
                </c:pt>
                <c:pt idx="6">
                  <c:v>0.35763979201848606</c:v>
                </c:pt>
                <c:pt idx="7">
                  <c:v>0.35763978076987968</c:v>
                </c:pt>
                <c:pt idx="8">
                  <c:v>0.35763979823396214</c:v>
                </c:pt>
                <c:pt idx="9">
                  <c:v>0.35763983367735386</c:v>
                </c:pt>
                <c:pt idx="10">
                  <c:v>0.35764026115031106</c:v>
                </c:pt>
                <c:pt idx="11">
                  <c:v>0.35764459202619342</c:v>
                </c:pt>
                <c:pt idx="12">
                  <c:v>0.35768744167758004</c:v>
                </c:pt>
                <c:pt idx="13">
                  <c:v>0.35809682046808339</c:v>
                </c:pt>
                <c:pt idx="14">
                  <c:v>0.36115847133926332</c:v>
                </c:pt>
                <c:pt idx="15">
                  <c:v>0.36629344606224856</c:v>
                </c:pt>
                <c:pt idx="16">
                  <c:v>0.37003292554379758</c:v>
                </c:pt>
                <c:pt idx="17">
                  <c:v>0.37388199301270603</c:v>
                </c:pt>
                <c:pt idx="18">
                  <c:v>0.37820505527967851</c:v>
                </c:pt>
                <c:pt idx="19">
                  <c:v>0.38266998975143934</c:v>
                </c:pt>
                <c:pt idx="20">
                  <c:v>0.38582454482225592</c:v>
                </c:pt>
                <c:pt idx="21">
                  <c:v>0.38517508907910197</c:v>
                </c:pt>
                <c:pt idx="22">
                  <c:v>0.38265812562912593</c:v>
                </c:pt>
                <c:pt idx="23">
                  <c:v>0.38122219493799325</c:v>
                </c:pt>
                <c:pt idx="24">
                  <c:v>0.38203196256336952</c:v>
                </c:pt>
                <c:pt idx="25">
                  <c:v>0.38524407537061056</c:v>
                </c:pt>
                <c:pt idx="26">
                  <c:v>0.3894191480116691</c:v>
                </c:pt>
                <c:pt idx="27">
                  <c:v>0.39283565596824449</c:v>
                </c:pt>
                <c:pt idx="28">
                  <c:v>0.39603034094338768</c:v>
                </c:pt>
                <c:pt idx="29">
                  <c:v>0.39942130103270651</c:v>
                </c:pt>
                <c:pt idx="30">
                  <c:v>0.40283123719216629</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0.35716789808006716</c:v>
                </c:pt>
                <c:pt idx="1">
                  <c:v>0.35718414887206806</c:v>
                </c:pt>
                <c:pt idx="2">
                  <c:v>0.35718419043640259</c:v>
                </c:pt>
                <c:pt idx="3">
                  <c:v>0.35718426883252391</c:v>
                </c:pt>
                <c:pt idx="4">
                  <c:v>0.35718460060115237</c:v>
                </c:pt>
                <c:pt idx="5">
                  <c:v>0.35718762387818875</c:v>
                </c:pt>
                <c:pt idx="6">
                  <c:v>0.35721754074598261</c:v>
                </c:pt>
                <c:pt idx="7">
                  <c:v>0.35750611414193423</c:v>
                </c:pt>
                <c:pt idx="8">
                  <c:v>0.35986347690731219</c:v>
                </c:pt>
                <c:pt idx="9">
                  <c:v>0.36518361903528196</c:v>
                </c:pt>
                <c:pt idx="10">
                  <c:v>0.36894732393618918</c:v>
                </c:pt>
                <c:pt idx="11">
                  <c:v>0.37266710171990614</c:v>
                </c:pt>
                <c:pt idx="12">
                  <c:v>0.37694362291624062</c:v>
                </c:pt>
                <c:pt idx="13">
                  <c:v>0.38158559120146346</c:v>
                </c:pt>
                <c:pt idx="14">
                  <c:v>0.38697927226864914</c:v>
                </c:pt>
                <c:pt idx="15">
                  <c:v>0.39300258140350192</c:v>
                </c:pt>
                <c:pt idx="16">
                  <c:v>0.39939571987822703</c:v>
                </c:pt>
                <c:pt idx="17">
                  <c:v>0.40544577845648766</c:v>
                </c:pt>
                <c:pt idx="18">
                  <c:v>0.40981741108972153</c:v>
                </c:pt>
                <c:pt idx="19">
                  <c:v>0.40977911465461908</c:v>
                </c:pt>
                <c:pt idx="20">
                  <c:v>0.40664671455258761</c:v>
                </c:pt>
                <c:pt idx="21">
                  <c:v>0.40316678831235681</c:v>
                </c:pt>
                <c:pt idx="22">
                  <c:v>0.4013288270820915</c:v>
                </c:pt>
                <c:pt idx="23">
                  <c:v>0.40196690816734976</c:v>
                </c:pt>
                <c:pt idx="24">
                  <c:v>0.40388920440278658</c:v>
                </c:pt>
                <c:pt idx="25">
                  <c:v>0.40688500145896506</c:v>
                </c:pt>
                <c:pt idx="26">
                  <c:v>0.41039885568848361</c:v>
                </c:pt>
                <c:pt idx="27">
                  <c:v>0.41492564282449457</c:v>
                </c:pt>
                <c:pt idx="28">
                  <c:v>0.42019374056070763</c:v>
                </c:pt>
                <c:pt idx="29">
                  <c:v>0.4264465625413823</c:v>
                </c:pt>
                <c:pt idx="30">
                  <c:v>0.433955210794156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0.35688010475744064</c:v>
                </c:pt>
                <c:pt idx="1">
                  <c:v>0.35689668111537481</c:v>
                </c:pt>
                <c:pt idx="2">
                  <c:v>0.3568985223644241</c:v>
                </c:pt>
                <c:pt idx="3">
                  <c:v>0.35691661774667655</c:v>
                </c:pt>
                <c:pt idx="4">
                  <c:v>0.3570924047719653</c:v>
                </c:pt>
                <c:pt idx="5">
                  <c:v>0.35861262145730638</c:v>
                </c:pt>
                <c:pt idx="6">
                  <c:v>0.36398062464605402</c:v>
                </c:pt>
                <c:pt idx="7">
                  <c:v>0.36788517440841889</c:v>
                </c:pt>
                <c:pt idx="8">
                  <c:v>0.37149393453289181</c:v>
                </c:pt>
                <c:pt idx="9">
                  <c:v>0.37567708000474614</c:v>
                </c:pt>
                <c:pt idx="10">
                  <c:v>0.38016321075083098</c:v>
                </c:pt>
                <c:pt idx="11">
                  <c:v>0.38538579943165097</c:v>
                </c:pt>
                <c:pt idx="12">
                  <c:v>0.39124866608074232</c:v>
                </c:pt>
                <c:pt idx="13">
                  <c:v>0.39761218809285848</c:v>
                </c:pt>
                <c:pt idx="14">
                  <c:v>0.40394346410847626</c:v>
                </c:pt>
                <c:pt idx="15">
                  <c:v>0.41075221417134605</c:v>
                </c:pt>
                <c:pt idx="16">
                  <c:v>0.41913939815824675</c:v>
                </c:pt>
                <c:pt idx="17">
                  <c:v>0.42643314052297376</c:v>
                </c:pt>
                <c:pt idx="18">
                  <c:v>0.42576600246308877</c:v>
                </c:pt>
                <c:pt idx="19">
                  <c:v>0.41902706287496805</c:v>
                </c:pt>
                <c:pt idx="20">
                  <c:v>0.41332358978859368</c:v>
                </c:pt>
                <c:pt idx="21">
                  <c:v>0.41011054507847361</c:v>
                </c:pt>
                <c:pt idx="22">
                  <c:v>0.40984867349596565</c:v>
                </c:pt>
                <c:pt idx="23">
                  <c:v>0.41158018464901114</c:v>
                </c:pt>
                <c:pt idx="24">
                  <c:v>0.41540312779906702</c:v>
                </c:pt>
                <c:pt idx="25">
                  <c:v>0.42016620524886755</c:v>
                </c:pt>
                <c:pt idx="26">
                  <c:v>0.42611313850052995</c:v>
                </c:pt>
                <c:pt idx="27">
                  <c:v>0.43337691232968134</c:v>
                </c:pt>
                <c:pt idx="28">
                  <c:v>0.44303039598954852</c:v>
                </c:pt>
                <c:pt idx="29">
                  <c:v>0.45604341357150596</c:v>
                </c:pt>
                <c:pt idx="30">
                  <c:v>0.47264590490692571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0.35659204759338153</c:v>
                </c:pt>
                <c:pt idx="1">
                  <c:v>0.35664181016558416</c:v>
                </c:pt>
                <c:pt idx="2">
                  <c:v>0.35696149523961357</c:v>
                </c:pt>
                <c:pt idx="3">
                  <c:v>0.35950801535735832</c:v>
                </c:pt>
                <c:pt idx="4">
                  <c:v>0.36469229031895872</c:v>
                </c:pt>
                <c:pt idx="5">
                  <c:v>0.36838174043188504</c:v>
                </c:pt>
                <c:pt idx="6">
                  <c:v>0.37208003351433799</c:v>
                </c:pt>
                <c:pt idx="7">
                  <c:v>0.37630912403688199</c:v>
                </c:pt>
                <c:pt idx="8">
                  <c:v>0.38092130730626911</c:v>
                </c:pt>
                <c:pt idx="9">
                  <c:v>0.38626986060362029</c:v>
                </c:pt>
                <c:pt idx="10">
                  <c:v>0.39223816004694234</c:v>
                </c:pt>
                <c:pt idx="11">
                  <c:v>0.39856882008760186</c:v>
                </c:pt>
                <c:pt idx="12">
                  <c:v>0.40490109150726161</c:v>
                </c:pt>
                <c:pt idx="13">
                  <c:v>0.41207465158254641</c:v>
                </c:pt>
                <c:pt idx="14">
                  <c:v>0.4212233536506389</c:v>
                </c:pt>
                <c:pt idx="15">
                  <c:v>0.43140716188840084</c:v>
                </c:pt>
                <c:pt idx="16">
                  <c:v>0.43868918652804295</c:v>
                </c:pt>
                <c:pt idx="17">
                  <c:v>0.43761308342883454</c:v>
                </c:pt>
                <c:pt idx="18">
                  <c:v>0.43039491966537452</c:v>
                </c:pt>
                <c:pt idx="19">
                  <c:v>0.42261678228077459</c:v>
                </c:pt>
                <c:pt idx="20">
                  <c:v>0.41804908491220133</c:v>
                </c:pt>
                <c:pt idx="21">
                  <c:v>0.41697889789640691</c:v>
                </c:pt>
                <c:pt idx="22">
                  <c:v>0.41918858635272149</c:v>
                </c:pt>
                <c:pt idx="23">
                  <c:v>0.42336078372377278</c:v>
                </c:pt>
                <c:pt idx="24">
                  <c:v>0.4293191109003564</c:v>
                </c:pt>
                <c:pt idx="25">
                  <c:v>0.43699248365496152</c:v>
                </c:pt>
                <c:pt idx="26">
                  <c:v>0.44736264187023572</c:v>
                </c:pt>
                <c:pt idx="27">
                  <c:v>0.4612547979164629</c:v>
                </c:pt>
                <c:pt idx="28">
                  <c:v>0.47839891779979143</c:v>
                </c:pt>
                <c:pt idx="29">
                  <c:v>0.49572609232495563</c:v>
                </c:pt>
                <c:pt idx="30">
                  <c:v>0.5097132295357425</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0.35812893349121266</c:v>
                </c:pt>
                <c:pt idx="1">
                  <c:v>0.36444511655828826</c:v>
                </c:pt>
                <c:pt idx="2">
                  <c:v>0.3681550743884221</c:v>
                </c:pt>
                <c:pt idx="3">
                  <c:v>0.37186745354381301</c:v>
                </c:pt>
                <c:pt idx="4">
                  <c:v>0.37607262405857356</c:v>
                </c:pt>
                <c:pt idx="5">
                  <c:v>0.38068981190816814</c:v>
                </c:pt>
                <c:pt idx="6">
                  <c:v>0.38602862199891669</c:v>
                </c:pt>
                <c:pt idx="7">
                  <c:v>0.39197778697218444</c:v>
                </c:pt>
                <c:pt idx="8">
                  <c:v>0.39824437448558647</c:v>
                </c:pt>
                <c:pt idx="9">
                  <c:v>0.4045365419077504</c:v>
                </c:pt>
                <c:pt idx="10">
                  <c:v>0.41176375515652824</c:v>
                </c:pt>
                <c:pt idx="11">
                  <c:v>0.42096534719393408</c:v>
                </c:pt>
                <c:pt idx="12">
                  <c:v>0.43130231966372867</c:v>
                </c:pt>
                <c:pt idx="13">
                  <c:v>0.4408418959010032</c:v>
                </c:pt>
                <c:pt idx="14">
                  <c:v>0.44953939942628196</c:v>
                </c:pt>
                <c:pt idx="15">
                  <c:v>0.45690427833600827</c:v>
                </c:pt>
                <c:pt idx="16">
                  <c:v>0.4565300381158745</c:v>
                </c:pt>
                <c:pt idx="17">
                  <c:v>0.44811873064193941</c:v>
                </c:pt>
                <c:pt idx="18">
                  <c:v>0.43875545438093122</c:v>
                </c:pt>
                <c:pt idx="19">
                  <c:v>0.43358006148680145</c:v>
                </c:pt>
                <c:pt idx="20">
                  <c:v>0.4327132914713831</c:v>
                </c:pt>
                <c:pt idx="21">
                  <c:v>0.43586316708030148</c:v>
                </c:pt>
                <c:pt idx="22">
                  <c:v>0.44238930427160728</c:v>
                </c:pt>
                <c:pt idx="23">
                  <c:v>0.45249639982639217</c:v>
                </c:pt>
                <c:pt idx="24">
                  <c:v>0.46629853645653235</c:v>
                </c:pt>
                <c:pt idx="25">
                  <c:v>0.48310616428650532</c:v>
                </c:pt>
                <c:pt idx="26">
                  <c:v>0.49973486504678405</c:v>
                </c:pt>
                <c:pt idx="27">
                  <c:v>0.51268491105741276</c:v>
                </c:pt>
                <c:pt idx="28">
                  <c:v>0.52011049064515702</c:v>
                </c:pt>
                <c:pt idx="29">
                  <c:v>0.52388340488079377</c:v>
                </c:pt>
                <c:pt idx="30">
                  <c:v>0.52568708149818655</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0.39078434949124302</c:v>
                </c:pt>
                <c:pt idx="1">
                  <c:v>0.3985505981624024</c:v>
                </c:pt>
                <c:pt idx="2">
                  <c:v>0.40496453915097924</c:v>
                </c:pt>
                <c:pt idx="3">
                  <c:v>0.41255543935510808</c:v>
                </c:pt>
                <c:pt idx="4">
                  <c:v>0.42203462414711757</c:v>
                </c:pt>
                <c:pt idx="5">
                  <c:v>0.43213035912181719</c:v>
                </c:pt>
                <c:pt idx="6">
                  <c:v>0.44118839612261734</c:v>
                </c:pt>
                <c:pt idx="7">
                  <c:v>0.45020190144712569</c:v>
                </c:pt>
                <c:pt idx="8">
                  <c:v>0.45945049377846842</c:v>
                </c:pt>
                <c:pt idx="9">
                  <c:v>0.46913896260451993</c:v>
                </c:pt>
                <c:pt idx="10">
                  <c:v>0.47952302278119963</c:v>
                </c:pt>
                <c:pt idx="11">
                  <c:v>0.49188883103551972</c:v>
                </c:pt>
                <c:pt idx="12">
                  <c:v>0.50674691163564767</c:v>
                </c:pt>
                <c:pt idx="13">
                  <c:v>0.52420203471542304</c:v>
                </c:pt>
                <c:pt idx="14">
                  <c:v>0.54024953637267237</c:v>
                </c:pt>
                <c:pt idx="15">
                  <c:v>0.54411431752784523</c:v>
                </c:pt>
                <c:pt idx="16">
                  <c:v>0.54101569328909038</c:v>
                </c:pt>
                <c:pt idx="17">
                  <c:v>0.54199351174932675</c:v>
                </c:pt>
                <c:pt idx="18">
                  <c:v>0.54730509729407284</c:v>
                </c:pt>
                <c:pt idx="19">
                  <c:v>0.55194490810300412</c:v>
                </c:pt>
                <c:pt idx="20">
                  <c:v>0.55068585455626617</c:v>
                </c:pt>
                <c:pt idx="21">
                  <c:v>0.54559798720235408</c:v>
                </c:pt>
                <c:pt idx="22">
                  <c:v>0.54003887856602484</c:v>
                </c:pt>
                <c:pt idx="23">
                  <c:v>0.53530611252323612</c:v>
                </c:pt>
                <c:pt idx="24">
                  <c:v>0.53284357207662114</c:v>
                </c:pt>
                <c:pt idx="25">
                  <c:v>0.53297505106669874</c:v>
                </c:pt>
                <c:pt idx="26">
                  <c:v>0.53132949454910749</c:v>
                </c:pt>
                <c:pt idx="27">
                  <c:v>0.53150061277960459</c:v>
                </c:pt>
                <c:pt idx="28">
                  <c:v>0.53248180510897214</c:v>
                </c:pt>
                <c:pt idx="29">
                  <c:v>0.5323366959777095</c:v>
                </c:pt>
                <c:pt idx="30">
                  <c:v>0.53234969006631871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0.43962941136005662</c:v>
                </c:pt>
                <c:pt idx="1">
                  <c:v>0.45102103057652321</c:v>
                </c:pt>
                <c:pt idx="2">
                  <c:v>0.46031201342496075</c:v>
                </c:pt>
                <c:pt idx="3">
                  <c:v>0.47014503497582316</c:v>
                </c:pt>
                <c:pt idx="4">
                  <c:v>0.48063063403887413</c:v>
                </c:pt>
                <c:pt idx="5">
                  <c:v>0.49365710039398952</c:v>
                </c:pt>
                <c:pt idx="6">
                  <c:v>0.50904913364727045</c:v>
                </c:pt>
                <c:pt idx="7">
                  <c:v>0.52820052813322738</c:v>
                </c:pt>
                <c:pt idx="8">
                  <c:v>0.55232468414390823</c:v>
                </c:pt>
                <c:pt idx="9">
                  <c:v>0.58482450576027634</c:v>
                </c:pt>
                <c:pt idx="10">
                  <c:v>0.62959096024880401</c:v>
                </c:pt>
                <c:pt idx="11">
                  <c:v>0.6879203896517514</c:v>
                </c:pt>
                <c:pt idx="12">
                  <c:v>0.74890402603149187</c:v>
                </c:pt>
                <c:pt idx="13">
                  <c:v>0.78242292410555969</c:v>
                </c:pt>
                <c:pt idx="14">
                  <c:v>0.77047598927425187</c:v>
                </c:pt>
                <c:pt idx="15">
                  <c:v>0.72924350173628905</c:v>
                </c:pt>
                <c:pt idx="16">
                  <c:v>0.6766759169713189</c:v>
                </c:pt>
                <c:pt idx="17">
                  <c:v>0.63155523307159245</c:v>
                </c:pt>
                <c:pt idx="18">
                  <c:v>0.59545980612846905</c:v>
                </c:pt>
                <c:pt idx="19">
                  <c:v>0.56982797116010153</c:v>
                </c:pt>
                <c:pt idx="20">
                  <c:v>0.55735524337855535</c:v>
                </c:pt>
                <c:pt idx="21">
                  <c:v>0.54607689553096517</c:v>
                </c:pt>
                <c:pt idx="22">
                  <c:v>0.5377874180491713</c:v>
                </c:pt>
                <c:pt idx="23">
                  <c:v>0.53772050769622259</c:v>
                </c:pt>
                <c:pt idx="24">
                  <c:v>0.53369132792356211</c:v>
                </c:pt>
                <c:pt idx="25">
                  <c:v>0.53103076634997293</c:v>
                </c:pt>
                <c:pt idx="26">
                  <c:v>0.53107367905377789</c:v>
                </c:pt>
                <c:pt idx="27">
                  <c:v>0.53114726549188529</c:v>
                </c:pt>
                <c:pt idx="28">
                  <c:v>0.53120550470955219</c:v>
                </c:pt>
                <c:pt idx="29">
                  <c:v>0.53116541084047963</c:v>
                </c:pt>
                <c:pt idx="30">
                  <c:v>0.53111102207778416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76095424"/>
        <c:axId val="6760938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760954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76093856"/>
        <c:crosses val="autoZero"/>
        <c:crossBetween val="midCat"/>
        <c:majorUnit val="10000"/>
      </c:valAx>
      <c:valAx>
        <c:axId val="67609385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76095424"/>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76094248"/>
        <c:axId val="6760946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7609424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6094640"/>
        <c:crosses val="autoZero"/>
        <c:crossBetween val="midCat"/>
        <c:majorUnit val="10000"/>
      </c:valAx>
      <c:valAx>
        <c:axId val="676094640"/>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6094248"/>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1.0964584151695263E-2</c:v>
                </c:pt>
                <c:pt idx="1">
                  <c:v>1.4709242715060682E-2</c:v>
                </c:pt>
                <c:pt idx="2">
                  <c:v>3.9786417802180948E-3</c:v>
                </c:pt>
                <c:pt idx="3">
                  <c:v>6.6386146858078926E-4</c:v>
                </c:pt>
                <c:pt idx="4">
                  <c:v>9.4712132565863408E-5</c:v>
                </c:pt>
                <c:pt idx="5">
                  <c:v>1.2394509153387761E-5</c:v>
                </c:pt>
                <c:pt idx="6">
                  <c:v>3.0025597007927731E-6</c:v>
                </c:pt>
                <c:pt idx="7">
                  <c:v>3.8030849500334272E-6</c:v>
                </c:pt>
                <c:pt idx="8">
                  <c:v>1.0075252683283025E-5</c:v>
                </c:pt>
                <c:pt idx="9">
                  <c:v>2.0459604819198117E-5</c:v>
                </c:pt>
                <c:pt idx="10">
                  <c:v>3.5488018806502135E-5</c:v>
                </c:pt>
                <c:pt idx="11">
                  <c:v>5.5139923366271934E-5</c:v>
                </c:pt>
                <c:pt idx="12">
                  <c:v>7.1616940786157839E-5</c:v>
                </c:pt>
                <c:pt idx="13">
                  <c:v>7.9388306893395346E-5</c:v>
                </c:pt>
                <c:pt idx="14">
                  <c:v>7.4633996836289567E-5</c:v>
                </c:pt>
                <c:pt idx="15">
                  <c:v>6.007711449317218E-5</c:v>
                </c:pt>
                <c:pt idx="16">
                  <c:v>4.3126423520026016E-5</c:v>
                </c:pt>
                <c:pt idx="17">
                  <c:v>2.5426672752453938E-5</c:v>
                </c:pt>
                <c:pt idx="18">
                  <c:v>1.3375316355405686E-5</c:v>
                </c:pt>
                <c:pt idx="19">
                  <c:v>7.2477617286666492E-6</c:v>
                </c:pt>
                <c:pt idx="20">
                  <c:v>7.8464623673059565E-7</c:v>
                </c:pt>
                <c:pt idx="21">
                  <c:v>2.1470209644499322E-6</c:v>
                </c:pt>
                <c:pt idx="22">
                  <c:v>2.6830302622907109E-6</c:v>
                </c:pt>
                <c:pt idx="23">
                  <c:v>2.4480649506968142E-6</c:v>
                </c:pt>
                <c:pt idx="24">
                  <c:v>1.6752539115544526E-7</c:v>
                </c:pt>
                <c:pt idx="25">
                  <c:v>1.0870271842501632E-6</c:v>
                </c:pt>
                <c:pt idx="26">
                  <c:v>3.3152919046708608E-6</c:v>
                </c:pt>
                <c:pt idx="27">
                  <c:v>6.9019465310246235E-6</c:v>
                </c:pt>
                <c:pt idx="28">
                  <c:v>7.841326669802921E-6</c:v>
                </c:pt>
                <c:pt idx="29">
                  <c:v>4.7489031829131924E-6</c:v>
                </c:pt>
                <c:pt idx="30">
                  <c:v>1.7055228051661673E-5</c:v>
                </c:pt>
              </c:numCache>
            </c:numRef>
          </c:yVal>
          <c:smooth val="1"/>
        </c:ser>
        <c:dLbls>
          <c:showLegendKey val="0"/>
          <c:showVal val="0"/>
          <c:showCatName val="0"/>
          <c:showSerName val="0"/>
          <c:showPercent val="0"/>
          <c:showBubbleSize val="0"/>
        </c:dLbls>
        <c:axId val="676091504"/>
        <c:axId val="676092288"/>
      </c:scatterChart>
      <c:valAx>
        <c:axId val="6760915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6092288"/>
        <c:crossesAt val="-1.5000000000000005E-3"/>
        <c:crossBetween val="midCat"/>
      </c:valAx>
      <c:valAx>
        <c:axId val="67609228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609150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5480.575953422308</c:v>
                </c:pt>
                <c:pt idx="1">
                  <c:v>5421.785448120424</c:v>
                </c:pt>
                <c:pt idx="2">
                  <c:v>5209.6746002848349</c:v>
                </c:pt>
                <c:pt idx="3">
                  <c:v>5123.5436694295613</c:v>
                </c:pt>
                <c:pt idx="4">
                  <c:v>4997.8365851105464</c:v>
                </c:pt>
                <c:pt idx="5">
                  <c:v>4868.3503262507302</c:v>
                </c:pt>
                <c:pt idx="6">
                  <c:v>4722.7281882586667</c:v>
                </c:pt>
                <c:pt idx="7">
                  <c:v>4566.4821573051158</c:v>
                </c:pt>
                <c:pt idx="8">
                  <c:v>4408.3903656096436</c:v>
                </c:pt>
                <c:pt idx="9">
                  <c:v>4256.2872754874061</c:v>
                </c:pt>
                <c:pt idx="10">
                  <c:v>4088.5446081586424</c:v>
                </c:pt>
                <c:pt idx="11">
                  <c:v>3886.7596058818554</c:v>
                </c:pt>
                <c:pt idx="12">
                  <c:v>3673.784522382779</c:v>
                </c:pt>
                <c:pt idx="13">
                  <c:v>3490.7735996099409</c:v>
                </c:pt>
                <c:pt idx="14">
                  <c:v>3328.3991816653679</c:v>
                </c:pt>
                <c:pt idx="15">
                  <c:v>3162.8449113738484</c:v>
                </c:pt>
                <c:pt idx="16">
                  <c:v>2988.9304861253154</c:v>
                </c:pt>
                <c:pt idx="17">
                  <c:v>2798.2563575404602</c:v>
                </c:pt>
                <c:pt idx="18">
                  <c:v>2599.4683038748653</c:v>
                </c:pt>
                <c:pt idx="19">
                  <c:v>2390.0853580471808</c:v>
                </c:pt>
                <c:pt idx="20">
                  <c:v>2175.3986348021385</c:v>
                </c:pt>
                <c:pt idx="21">
                  <c:v>1944.7397163813425</c:v>
                </c:pt>
                <c:pt idx="22">
                  <c:v>1692.3120676805406</c:v>
                </c:pt>
                <c:pt idx="23">
                  <c:v>1404.854559776777</c:v>
                </c:pt>
                <c:pt idx="24">
                  <c:v>1091.4423439376674</c:v>
                </c:pt>
                <c:pt idx="25">
                  <c:v>790.55570042175134</c:v>
                </c:pt>
                <c:pt idx="26">
                  <c:v>554.44045010675757</c:v>
                </c:pt>
                <c:pt idx="27">
                  <c:v>402.30564102787349</c:v>
                </c:pt>
                <c:pt idx="28">
                  <c:v>323.52095415957342</c:v>
                </c:pt>
                <c:pt idx="29">
                  <c:v>284.35002182103159</c:v>
                </c:pt>
                <c:pt idx="30">
                  <c:v>264.93181674350376</c:v>
                </c:pt>
              </c:numCache>
            </c:numRef>
          </c:yVal>
          <c:smooth val="1"/>
        </c:ser>
        <c:dLbls>
          <c:showLegendKey val="0"/>
          <c:showVal val="0"/>
          <c:showCatName val="0"/>
          <c:showSerName val="0"/>
          <c:showPercent val="0"/>
          <c:showBubbleSize val="0"/>
        </c:dLbls>
        <c:axId val="719601696"/>
        <c:axId val="719603264"/>
      </c:scatterChart>
      <c:valAx>
        <c:axId val="7196016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9603264"/>
        <c:crosses val="autoZero"/>
        <c:crossBetween val="midCat"/>
      </c:valAx>
      <c:valAx>
        <c:axId val="7196032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960169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2.4843698135050017E-2</c:v>
                </c:pt>
                <c:pt idx="11">
                  <c:v>2.4824316025425397E-2</c:v>
                </c:pt>
                <c:pt idx="12">
                  <c:v>2.4607885042188856E-2</c:v>
                </c:pt>
                <c:pt idx="13">
                  <c:v>2.2541254265873129E-2</c:v>
                </c:pt>
                <c:pt idx="14">
                  <c:v>6.5618642951503301E-3</c:v>
                </c:pt>
                <c:pt idx="15">
                  <c:v>1.2310999709854104E-2</c:v>
                </c:pt>
                <c:pt idx="16">
                  <c:v>6.4575067673859118E-3</c:v>
                </c:pt>
                <c:pt idx="17">
                  <c:v>2.2721181242559966E-3</c:v>
                </c:pt>
                <c:pt idx="18">
                  <c:v>2.4629612653448195E-3</c:v>
                </c:pt>
                <c:pt idx="19">
                  <c:v>1.4966925612006554E-3</c:v>
                </c:pt>
                <c:pt idx="20">
                  <c:v>3.0209440247948257E-3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2.1503390820486797E-2</c:v>
                </c:pt>
                <c:pt idx="1">
                  <c:v>2.1342358841163981E-2</c:v>
                </c:pt>
                <c:pt idx="2">
                  <c:v>1.9732991064752483E-2</c:v>
                </c:pt>
                <c:pt idx="3">
                  <c:v>6.5932860812008484E-3</c:v>
                </c:pt>
                <c:pt idx="4">
                  <c:v>1.1013582387229551E-2</c:v>
                </c:pt>
                <c:pt idx="5">
                  <c:v>8.0374571973177711E-3</c:v>
                </c:pt>
                <c:pt idx="6">
                  <c:v>3.0380834131260594E-3</c:v>
                </c:pt>
                <c:pt idx="7">
                  <c:v>4.3984928862831488E-3</c:v>
                </c:pt>
                <c:pt idx="8">
                  <c:v>4.6613197964437145E-3</c:v>
                </c:pt>
                <c:pt idx="9">
                  <c:v>5.2235623911966855E-3</c:v>
                </c:pt>
                <c:pt idx="10">
                  <c:v>5.6062068211697527E-3</c:v>
                </c:pt>
                <c:pt idx="11">
                  <c:v>5.6461492749701843E-3</c:v>
                </c:pt>
                <c:pt idx="12">
                  <c:v>5.7228122146679473E-3</c:v>
                </c:pt>
                <c:pt idx="13">
                  <c:v>6.9758843124795725E-3</c:v>
                </c:pt>
                <c:pt idx="14">
                  <c:v>8.1774366747601641E-3</c:v>
                </c:pt>
                <c:pt idx="15">
                  <c:v>7.8750746100902328E-3</c:v>
                </c:pt>
                <c:pt idx="16">
                  <c:v>4.3631071593339564E-3</c:v>
                </c:pt>
                <c:pt idx="17">
                  <c:v>3.0649318124769038E-3</c:v>
                </c:pt>
                <c:pt idx="18">
                  <c:v>1.5844544751352326E-2</c:v>
                </c:pt>
                <c:pt idx="19">
                  <c:v>2.2788205267995198E-2</c:v>
                </c:pt>
                <c:pt idx="20">
                  <c:v>2.1370630549512732E-2</c:v>
                </c:pt>
                <c:pt idx="21">
                  <c:v>1.4629129708566987E-2</c:v>
                </c:pt>
                <c:pt idx="22">
                  <c:v>9.0829149180908075E-3</c:v>
                </c:pt>
                <c:pt idx="23">
                  <c:v>1.967605842632805E-3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3.3388366759774304E-5</c:v>
                </c:pt>
                <c:pt idx="11">
                  <c:v>5.7749123050818055E-5</c:v>
                </c:pt>
                <c:pt idx="12">
                  <c:v>6.9053579073979907E-5</c:v>
                </c:pt>
                <c:pt idx="13">
                  <c:v>8.1406554212461676E-5</c:v>
                </c:pt>
                <c:pt idx="14">
                  <c:v>7.2482179911986474E-5</c:v>
                </c:pt>
                <c:pt idx="15">
                  <c:v>6.2227968541109346E-5</c:v>
                </c:pt>
                <c:pt idx="16">
                  <c:v>4.0600917363825323E-5</c:v>
                </c:pt>
                <c:pt idx="17">
                  <c:v>2.8065811574283187E-5</c:v>
                </c:pt>
                <c:pt idx="18">
                  <c:v>1.033740485680698E-5</c:v>
                </c:pt>
                <c:pt idx="19">
                  <c:v>1.031486655741168E-5</c:v>
                </c:pt>
                <c:pt idx="20">
                  <c:v>3.3467377011932636E-6</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4.6801455932163E-3</c:v>
                </c:pt>
                <c:pt idx="11">
                  <c:v>1.3161377307799142E-2</c:v>
                </c:pt>
                <c:pt idx="12">
                  <c:v>2.9690205150717533E-2</c:v>
                </c:pt>
                <c:pt idx="13">
                  <c:v>5.1788074171920202E-3</c:v>
                </c:pt>
                <c:pt idx="14">
                  <c:v>2.1551138413787873E-2</c:v>
                </c:pt>
                <c:pt idx="15">
                  <c:v>1.6385438845504516E-2</c:v>
                </c:pt>
                <c:pt idx="16">
                  <c:v>3.3699103102032019E-3</c:v>
                </c:pt>
                <c:pt idx="17">
                  <c:v>2.6450262670892417E-2</c:v>
                </c:pt>
                <c:pt idx="18">
                  <c:v>0.17160925700998014</c:v>
                </c:pt>
                <c:pt idx="19">
                  <c:v>0.18940685632226828</c:v>
                </c:pt>
                <c:pt idx="20">
                  <c:v>0.14116722006664284</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719602480"/>
        <c:axId val="719602088"/>
      </c:scatterChart>
      <c:valAx>
        <c:axId val="7196024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9602088"/>
        <c:crossesAt val="1.0000000000000005E-9"/>
        <c:crossBetween val="midCat"/>
      </c:valAx>
      <c:valAx>
        <c:axId val="719602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9602480"/>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-32.327390242825459</c:v>
                </c:pt>
                <c:pt idx="1">
                  <c:v>-18.555397625382522</c:v>
                </c:pt>
                <c:pt idx="2">
                  <c:v>-11.98704882172361</c:v>
                </c:pt>
                <c:pt idx="3">
                  <c:v>-6.7709490541777377</c:v>
                </c:pt>
                <c:pt idx="4">
                  <c:v>0</c:v>
                </c:pt>
                <c:pt idx="5">
                  <c:v>16.114845881619132</c:v>
                </c:pt>
                <c:pt idx="6">
                  <c:v>30.625247513077529</c:v>
                </c:pt>
              </c:numCache>
            </c:numRef>
          </c:yVal>
          <c:smooth val="0"/>
        </c:ser>
        <c:dLbls>
          <c:showLegendKey val="0"/>
          <c:showVal val="0"/>
          <c:showCatName val="0"/>
          <c:showSerName val="0"/>
          <c:showPercent val="0"/>
          <c:showBubbleSize val="0"/>
        </c:dLbls>
        <c:axId val="719603656"/>
        <c:axId val="719604048"/>
      </c:scatterChart>
      <c:valAx>
        <c:axId val="719603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9604048"/>
        <c:crossesAt val="-100"/>
        <c:crossBetween val="midCat"/>
      </c:valAx>
      <c:valAx>
        <c:axId val="719604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960365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ser>
        <c:dLbls>
          <c:showLegendKey val="0"/>
          <c:showVal val="0"/>
          <c:showCatName val="0"/>
          <c:showSerName val="0"/>
          <c:showPercent val="0"/>
          <c:showBubbleSize val="0"/>
        </c:dLbls>
        <c:axId val="709384720"/>
        <c:axId val="709385504"/>
      </c:scatterChart>
      <c:valAx>
        <c:axId val="70938472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5504"/>
        <c:crosses val="autoZero"/>
        <c:crossBetween val="midCat"/>
      </c:valAx>
      <c:valAx>
        <c:axId val="70938550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472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-32.327390242825459</c:v>
                </c:pt>
                <c:pt idx="1">
                  <c:v>-32.054107179288593</c:v>
                </c:pt>
                <c:pt idx="2">
                  <c:v>-31.7805576363825</c:v>
                </c:pt>
                <c:pt idx="3">
                  <c:v>-31.506475134737947</c:v>
                </c:pt>
                <c:pt idx="4">
                  <c:v>-31.231593194985713</c:v>
                </c:pt>
                <c:pt idx="5">
                  <c:v>-30.955645337756572</c:v>
                </c:pt>
                <c:pt idx="6">
                  <c:v>-30.678365083681289</c:v>
                </c:pt>
                <c:pt idx="7">
                  <c:v>-30.399485953390638</c:v>
                </c:pt>
                <c:pt idx="8">
                  <c:v>-30.118741467515392</c:v>
                </c:pt>
                <c:pt idx="9">
                  <c:v>-29.835865146686324</c:v>
                </c:pt>
                <c:pt idx="10">
                  <c:v>-29.55059051153421</c:v>
                </c:pt>
                <c:pt idx="11">
                  <c:v>-29.262651082689814</c:v>
                </c:pt>
                <c:pt idx="12">
                  <c:v>-28.971780380783915</c:v>
                </c:pt>
                <c:pt idx="13">
                  <c:v>-28.67771192644728</c:v>
                </c:pt>
                <c:pt idx="14">
                  <c:v>-28.380179240310682</c:v>
                </c:pt>
                <c:pt idx="15">
                  <c:v>-28.0789158430049</c:v>
                </c:pt>
                <c:pt idx="16">
                  <c:v>-27.773655255160698</c:v>
                </c:pt>
                <c:pt idx="17">
                  <c:v>-27.464130997408855</c:v>
                </c:pt>
                <c:pt idx="18">
                  <c:v>-27.150076590380134</c:v>
                </c:pt>
                <c:pt idx="19">
                  <c:v>-26.831225554705313</c:v>
                </c:pt>
                <c:pt idx="20">
                  <c:v>-26.507311411015166</c:v>
                </c:pt>
                <c:pt idx="21">
                  <c:v>-26.178067679940465</c:v>
                </c:pt>
                <c:pt idx="22">
                  <c:v>-25.843227882111975</c:v>
                </c:pt>
                <c:pt idx="23">
                  <c:v>-25.50252553816048</c:v>
                </c:pt>
                <c:pt idx="24">
                  <c:v>-25.155694168716742</c:v>
                </c:pt>
                <c:pt idx="25">
                  <c:v>-24.802467294411539</c:v>
                </c:pt>
                <c:pt idx="26">
                  <c:v>-24.442578435875639</c:v>
                </c:pt>
                <c:pt idx="27">
                  <c:v>-24.075761113739816</c:v>
                </c:pt>
                <c:pt idx="28">
                  <c:v>-23.701748848634843</c:v>
                </c:pt>
                <c:pt idx="29">
                  <c:v>-23.320275161191493</c:v>
                </c:pt>
                <c:pt idx="30">
                  <c:v>-22.931073572040535</c:v>
                </c:pt>
                <c:pt idx="31">
                  <c:v>-22.533877601812748</c:v>
                </c:pt>
                <c:pt idx="32">
                  <c:v>-22.128420771138892</c:v>
                </c:pt>
                <c:pt idx="33">
                  <c:v>-21.714436600649751</c:v>
                </c:pt>
                <c:pt idx="34">
                  <c:v>-21.291658610976093</c:v>
                </c:pt>
                <c:pt idx="35">
                  <c:v>-20.859820322748689</c:v>
                </c:pt>
                <c:pt idx="36">
                  <c:v>-20.418655256598313</c:v>
                </c:pt>
                <c:pt idx="37">
                  <c:v>-19.967896933155735</c:v>
                </c:pt>
                <c:pt idx="38">
                  <c:v>-19.507278873051732</c:v>
                </c:pt>
                <c:pt idx="39">
                  <c:v>-19.036534596917068</c:v>
                </c:pt>
                <c:pt idx="40">
                  <c:v>-18.555397625382522</c:v>
                </c:pt>
                <c:pt idx="41">
                  <c:v>-18.350603417862114</c:v>
                </c:pt>
                <c:pt idx="42">
                  <c:v>-18.135822827424555</c:v>
                </c:pt>
                <c:pt idx="43">
                  <c:v>-17.911728645921794</c:v>
                </c:pt>
                <c:pt idx="44">
                  <c:v>-17.678993665205788</c:v>
                </c:pt>
                <c:pt idx="45">
                  <c:v>-17.438290677128496</c:v>
                </c:pt>
                <c:pt idx="46">
                  <c:v>-17.190292473541867</c:v>
                </c:pt>
                <c:pt idx="47">
                  <c:v>-16.935671846297858</c:v>
                </c:pt>
                <c:pt idx="48">
                  <c:v>-16.675101587248427</c:v>
                </c:pt>
                <c:pt idx="49">
                  <c:v>-16.409254488245537</c:v>
                </c:pt>
                <c:pt idx="50">
                  <c:v>-16.138803341141131</c:v>
                </c:pt>
                <c:pt idx="51">
                  <c:v>-15.86442093778717</c:v>
                </c:pt>
                <c:pt idx="52">
                  <c:v>-15.58678007003561</c:v>
                </c:pt>
                <c:pt idx="53">
                  <c:v>-15.306553529738405</c:v>
                </c:pt>
                <c:pt idx="54">
                  <c:v>-15.024414108747514</c:v>
                </c:pt>
                <c:pt idx="55">
                  <c:v>-14.74103459891489</c:v>
                </c:pt>
                <c:pt idx="56">
                  <c:v>-14.457087792092489</c:v>
                </c:pt>
                <c:pt idx="57">
                  <c:v>-14.173246480132267</c:v>
                </c:pt>
                <c:pt idx="58">
                  <c:v>-13.890183454886177</c:v>
                </c:pt>
                <c:pt idx="59">
                  <c:v>-13.608571508206182</c:v>
                </c:pt>
                <c:pt idx="60">
                  <c:v>-13.32908343194423</c:v>
                </c:pt>
                <c:pt idx="61">
                  <c:v>-13.052392017952279</c:v>
                </c:pt>
                <c:pt idx="62">
                  <c:v>-12.779170058082288</c:v>
                </c:pt>
                <c:pt idx="63">
                  <c:v>-12.510090344186208</c:v>
                </c:pt>
                <c:pt idx="64">
                  <c:v>-12.245825668115996</c:v>
                </c:pt>
                <c:pt idx="65">
                  <c:v>-11.98704882172361</c:v>
                </c:pt>
                <c:pt idx="66">
                  <c:v>-11.734272715938122</c:v>
                </c:pt>
                <c:pt idx="67">
                  <c:v>-11.487370737997093</c:v>
                </c:pt>
                <c:pt idx="68">
                  <c:v>-11.246056394215193</c:v>
                </c:pt>
                <c:pt idx="69">
                  <c:v>-11.010043190907099</c:v>
                </c:pt>
                <c:pt idx="70">
                  <c:v>-10.779044634387491</c:v>
                </c:pt>
                <c:pt idx="71">
                  <c:v>-10.552774230971043</c:v>
                </c:pt>
                <c:pt idx="72">
                  <c:v>-10.330945486972428</c:v>
                </c:pt>
                <c:pt idx="73">
                  <c:v>-10.113271908706325</c:v>
                </c:pt>
                <c:pt idx="74">
                  <c:v>-9.899467002487409</c:v>
                </c:pt>
                <c:pt idx="75">
                  <c:v>-9.689244274630358</c:v>
                </c:pt>
                <c:pt idx="76">
                  <c:v>-9.4823172314498443</c:v>
                </c:pt>
                <c:pt idx="77">
                  <c:v>-9.278399379260545</c:v>
                </c:pt>
                <c:pt idx="78">
                  <c:v>-9.0772042243771374</c:v>
                </c:pt>
                <c:pt idx="79">
                  <c:v>-8.8784452731142949</c:v>
                </c:pt>
                <c:pt idx="80">
                  <c:v>-8.6818360317866947</c:v>
                </c:pt>
                <c:pt idx="81">
                  <c:v>-8.487090006709014</c:v>
                </c:pt>
                <c:pt idx="82">
                  <c:v>-8.29392070419593</c:v>
                </c:pt>
                <c:pt idx="83">
                  <c:v>-8.1020416305621126</c:v>
                </c:pt>
                <c:pt idx="84">
                  <c:v>-7.9111662921222425</c:v>
                </c:pt>
                <c:pt idx="85">
                  <c:v>-7.7210081951909935</c:v>
                </c:pt>
                <c:pt idx="86">
                  <c:v>-7.5312808460830434</c:v>
                </c:pt>
                <c:pt idx="87">
                  <c:v>-7.3416977511130668</c:v>
                </c:pt>
                <c:pt idx="88">
                  <c:v>-7.1519724165957399</c:v>
                </c:pt>
                <c:pt idx="89">
                  <c:v>-6.961818348845739</c:v>
                </c:pt>
                <c:pt idx="90">
                  <c:v>-6.7709490541777377</c:v>
                </c:pt>
                <c:pt idx="91">
                  <c:v>-6.5791042877575974</c:v>
                </c:pt>
                <c:pt idx="92">
                  <c:v>-6.3861288001559098</c:v>
                </c:pt>
                <c:pt idx="93">
                  <c:v>-6.1918935907944439</c:v>
                </c:pt>
                <c:pt idx="94">
                  <c:v>-5.9962696590949776</c:v>
                </c:pt>
                <c:pt idx="95">
                  <c:v>-5.7991280044792823</c:v>
                </c:pt>
                <c:pt idx="96">
                  <c:v>-5.6003396263691316</c:v>
                </c:pt>
                <c:pt idx="97">
                  <c:v>-5.3997755241862979</c:v>
                </c:pt>
                <c:pt idx="98">
                  <c:v>-5.1973066973525581</c:v>
                </c:pt>
                <c:pt idx="99">
                  <c:v>-4.9928041452896821</c:v>
                </c:pt>
                <c:pt idx="100">
                  <c:v>-4.7861388674194449</c:v>
                </c:pt>
                <c:pt idx="101">
                  <c:v>-4.5771818631636201</c:v>
                </c:pt>
                <c:pt idx="102">
                  <c:v>-4.3658041319439818</c:v>
                </c:pt>
                <c:pt idx="103">
                  <c:v>-4.1518766731823007</c:v>
                </c:pt>
                <c:pt idx="104">
                  <c:v>-3.9352704863003538</c:v>
                </c:pt>
                <c:pt idx="105">
                  <c:v>-3.7158565707199127</c:v>
                </c:pt>
                <c:pt idx="106">
                  <c:v>-3.4935059258627508</c:v>
                </c:pt>
                <c:pt idx="107">
                  <c:v>-3.2680895511506427</c:v>
                </c:pt>
                <c:pt idx="108">
                  <c:v>-3.0394784460053605</c:v>
                </c:pt>
                <c:pt idx="109">
                  <c:v>-2.807543609848679</c:v>
                </c:pt>
                <c:pt idx="110">
                  <c:v>-2.572156042102371</c:v>
                </c:pt>
                <c:pt idx="111">
                  <c:v>-2.3331867421882095</c:v>
                </c:pt>
                <c:pt idx="112">
                  <c:v>-2.0905067095279688</c:v>
                </c:pt>
                <c:pt idx="113">
                  <c:v>-1.843986943543422</c:v>
                </c:pt>
                <c:pt idx="114">
                  <c:v>-1.5934984436563426</c:v>
                </c:pt>
                <c:pt idx="115">
                  <c:v>-1.3389122092885044</c:v>
                </c:pt>
                <c:pt idx="116">
                  <c:v>-1.0800992398616809</c:v>
                </c:pt>
                <c:pt idx="117">
                  <c:v>-0.81693053479764499</c:v>
                </c:pt>
                <c:pt idx="118">
                  <c:v>-0.54927709351817056</c:v>
                </c:pt>
                <c:pt idx="119">
                  <c:v>-0.27700991544503106</c:v>
                </c:pt>
                <c:pt idx="120">
                  <c:v>0</c:v>
                </c:pt>
                <c:pt idx="121">
                  <c:v>0.28184487887806531</c:v>
                </c:pt>
                <c:pt idx="122">
                  <c:v>0.56846984918197285</c:v>
                </c:pt>
                <c:pt idx="123">
                  <c:v>0.85978326438744634</c:v>
                </c:pt>
                <c:pt idx="124">
                  <c:v>1.1556934779702097</c:v>
                </c:pt>
                <c:pt idx="125">
                  <c:v>1.4561088434059868</c:v>
                </c:pt>
                <c:pt idx="126">
                  <c:v>1.7609377141705023</c:v>
                </c:pt>
                <c:pt idx="127">
                  <c:v>2.0700884437394786</c:v>
                </c:pt>
                <c:pt idx="128">
                  <c:v>2.3834693855886409</c:v>
                </c:pt>
                <c:pt idx="129">
                  <c:v>2.7009888931937125</c:v>
                </c:pt>
                <c:pt idx="130">
                  <c:v>3.0225553200304178</c:v>
                </c:pt>
                <c:pt idx="131">
                  <c:v>3.3480770195744807</c:v>
                </c:pt>
                <c:pt idx="132">
                  <c:v>3.6774623453016253</c:v>
                </c:pt>
                <c:pt idx="133">
                  <c:v>4.0106196506875742</c:v>
                </c:pt>
                <c:pt idx="134">
                  <c:v>4.3474572892080534</c:v>
                </c:pt>
                <c:pt idx="135">
                  <c:v>4.6878836143387845</c:v>
                </c:pt>
                <c:pt idx="136">
                  <c:v>5.0318069795554932</c:v>
                </c:pt>
                <c:pt idx="137">
                  <c:v>5.3791357383339031</c:v>
                </c:pt>
                <c:pt idx="138">
                  <c:v>5.7297782441497374</c:v>
                </c:pt>
                <c:pt idx="139">
                  <c:v>6.0836428504787206</c:v>
                </c:pt>
                <c:pt idx="140">
                  <c:v>6.4406379107965765</c:v>
                </c:pt>
                <c:pt idx="141">
                  <c:v>6.8006717785790309</c:v>
                </c:pt>
                <c:pt idx="142">
                  <c:v>7.163652807301804</c:v>
                </c:pt>
                <c:pt idx="143">
                  <c:v>7.5294893504406222</c:v>
                </c:pt>
                <c:pt idx="144">
                  <c:v>7.8980897614712102</c:v>
                </c:pt>
                <c:pt idx="145">
                  <c:v>8.2693623938692884</c:v>
                </c:pt>
                <c:pt idx="146">
                  <c:v>8.643215601110585</c:v>
                </c:pt>
                <c:pt idx="147">
                  <c:v>9.0195577366708193</c:v>
                </c:pt>
                <c:pt idx="148">
                  <c:v>9.3982971540257196</c:v>
                </c:pt>
                <c:pt idx="149">
                  <c:v>9.7793422066510072</c:v>
                </c:pt>
                <c:pt idx="150">
                  <c:v>10.162601248022408</c:v>
                </c:pt>
                <c:pt idx="151">
                  <c:v>10.547982631615643</c:v>
                </c:pt>
                <c:pt idx="152">
                  <c:v>10.93539471090644</c:v>
                </c:pt>
                <c:pt idx="153">
                  <c:v>11.324745839370522</c:v>
                </c:pt>
                <c:pt idx="154">
                  <c:v>11.715944370483609</c:v>
                </c:pt>
                <c:pt idx="155">
                  <c:v>12.108898657721427</c:v>
                </c:pt>
                <c:pt idx="156">
                  <c:v>12.503517054559703</c:v>
                </c:pt>
                <c:pt idx="157">
                  <c:v>12.899707914474158</c:v>
                </c:pt>
                <c:pt idx="158">
                  <c:v>13.297379590940515</c:v>
                </c:pt>
                <c:pt idx="159">
                  <c:v>13.696440437434502</c:v>
                </c:pt>
                <c:pt idx="160">
                  <c:v>14.096798807431838</c:v>
                </c:pt>
                <c:pt idx="161">
                  <c:v>14.498363054408252</c:v>
                </c:pt>
                <c:pt idx="162">
                  <c:v>14.901041531839464</c:v>
                </c:pt>
                <c:pt idx="163">
                  <c:v>15.304742593201198</c:v>
                </c:pt>
                <c:pt idx="164">
                  <c:v>15.70937459196918</c:v>
                </c:pt>
                <c:pt idx="165">
                  <c:v>16.114845881619132</c:v>
                </c:pt>
                <c:pt idx="166">
                  <c:v>16.521076529836265</c:v>
                </c:pt>
                <c:pt idx="167">
                  <c:v>16.92803346114373</c:v>
                </c:pt>
                <c:pt idx="168">
                  <c:v>17.335695314274165</c:v>
                </c:pt>
                <c:pt idx="169">
                  <c:v>17.744040727960208</c:v>
                </c:pt>
                <c:pt idx="170">
                  <c:v>18.153048340934493</c:v>
                </c:pt>
                <c:pt idx="171">
                  <c:v>18.56269679192966</c:v>
                </c:pt>
                <c:pt idx="172">
                  <c:v>18.972964719678348</c:v>
                </c:pt>
                <c:pt idx="173">
                  <c:v>19.383830762913192</c:v>
                </c:pt>
                <c:pt idx="174">
                  <c:v>19.795273560366823</c:v>
                </c:pt>
                <c:pt idx="175">
                  <c:v>20.207271750771888</c:v>
                </c:pt>
                <c:pt idx="176">
                  <c:v>20.619803972861025</c:v>
                </c:pt>
                <c:pt idx="177">
                  <c:v>21.032848865366866</c:v>
                </c:pt>
                <c:pt idx="178">
                  <c:v>21.446385067022046</c:v>
                </c:pt>
                <c:pt idx="179">
                  <c:v>21.860391216559208</c:v>
                </c:pt>
                <c:pt idx="180">
                  <c:v>22.274845952710983</c:v>
                </c:pt>
                <c:pt idx="181">
                  <c:v>22.689727914210017</c:v>
                </c:pt>
                <c:pt idx="182">
                  <c:v>23.105015739788939</c:v>
                </c:pt>
                <c:pt idx="183">
                  <c:v>23.520688068180391</c:v>
                </c:pt>
                <c:pt idx="184">
                  <c:v>23.936723538117011</c:v>
                </c:pt>
                <c:pt idx="185">
                  <c:v>24.353100788331432</c:v>
                </c:pt>
                <c:pt idx="186">
                  <c:v>24.769798457556298</c:v>
                </c:pt>
                <c:pt idx="187">
                  <c:v>25.186795184524236</c:v>
                </c:pt>
                <c:pt idx="188">
                  <c:v>25.604069607967894</c:v>
                </c:pt>
                <c:pt idx="189">
                  <c:v>26.021600366619904</c:v>
                </c:pt>
                <c:pt idx="190">
                  <c:v>26.439366099212901</c:v>
                </c:pt>
                <c:pt idx="191">
                  <c:v>26.857345444479527</c:v>
                </c:pt>
                <c:pt idx="192">
                  <c:v>27.275517041152415</c:v>
                </c:pt>
                <c:pt idx="193">
                  <c:v>27.693859527964211</c:v>
                </c:pt>
                <c:pt idx="194">
                  <c:v>28.112351543647542</c:v>
                </c:pt>
                <c:pt idx="195">
                  <c:v>28.530971726935043</c:v>
                </c:pt>
                <c:pt idx="196">
                  <c:v>28.949698716559364</c:v>
                </c:pt>
                <c:pt idx="197">
                  <c:v>29.368511151253138</c:v>
                </c:pt>
                <c:pt idx="198">
                  <c:v>29.787387669748998</c:v>
                </c:pt>
                <c:pt idx="199">
                  <c:v>30.206306910779585</c:v>
                </c:pt>
                <c:pt idx="200">
                  <c:v>30.625247513077529</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-32.327390242825459</c:v>
                </c:pt>
                <c:pt idx="1">
                  <c:v>-18.555397625382522</c:v>
                </c:pt>
                <c:pt idx="2">
                  <c:v>-11.98704882172361</c:v>
                </c:pt>
                <c:pt idx="3">
                  <c:v>-6.7709490541777377</c:v>
                </c:pt>
                <c:pt idx="4">
                  <c:v>0</c:v>
                </c:pt>
                <c:pt idx="5">
                  <c:v>16.114845881619132</c:v>
                </c:pt>
                <c:pt idx="6">
                  <c:v>30.625247513077529</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-32.147746290116025</c:v>
                </c:pt>
                <c:pt idx="1">
                  <c:v>-31.948956469236208</c:v>
                </c:pt>
                <c:pt idx="2">
                  <c:v>-31.738073715088014</c:v>
                </c:pt>
                <c:pt idx="3">
                  <c:v>-31.515503537300003</c:v>
                </c:pt>
                <c:pt idx="4">
                  <c:v>-31.281667257363871</c:v>
                </c:pt>
                <c:pt idx="5">
                  <c:v>-31.037000068365067</c:v>
                </c:pt>
                <c:pt idx="6">
                  <c:v>-30.781949174003508</c:v>
                </c:pt>
                <c:pt idx="7">
                  <c:v>-30.516972005259138</c:v>
                </c:pt>
                <c:pt idx="8">
                  <c:v>-30.242534513072911</c:v>
                </c:pt>
                <c:pt idx="9">
                  <c:v>-29.959109535427434</c:v>
                </c:pt>
                <c:pt idx="10">
                  <c:v>-29.667175237226328</c:v>
                </c:pt>
                <c:pt idx="11">
                  <c:v>-29.367213621386338</c:v>
                </c:pt>
                <c:pt idx="12">
                  <c:v>-29.059709109570324</c:v>
                </c:pt>
                <c:pt idx="13">
                  <c:v>-28.745147191004058</c:v>
                </c:pt>
                <c:pt idx="14">
                  <c:v>-28.424013137834528</c:v>
                </c:pt>
                <c:pt idx="15">
                  <c:v>-28.096790785501589</c:v>
                </c:pt>
                <c:pt idx="16">
                  <c:v>-27.763961376609917</c:v>
                </c:pt>
                <c:pt idx="17">
                  <c:v>-27.426002466802409</c:v>
                </c:pt>
                <c:pt idx="18">
                  <c:v>-27.083386891150973</c:v>
                </c:pt>
                <c:pt idx="19">
                  <c:v>-26.73658178959522</c:v>
                </c:pt>
                <c:pt idx="20">
                  <c:v>-26.386047689974049</c:v>
                </c:pt>
                <c:pt idx="21">
                  <c:v>-26.032237647209893</c:v>
                </c:pt>
                <c:pt idx="22">
                  <c:v>-25.67559643721987</c:v>
                </c:pt>
                <c:pt idx="23">
                  <c:v>-25.316559804142575</c:v>
                </c:pt>
                <c:pt idx="24">
                  <c:v>-24.955553759484111</c:v>
                </c:pt>
                <c:pt idx="25">
                  <c:v>-24.592993931801399</c:v>
                </c:pt>
                <c:pt idx="26">
                  <c:v>-24.229284965555234</c:v>
                </c:pt>
                <c:pt idx="27">
                  <c:v>-23.864819967780466</c:v>
                </c:pt>
                <c:pt idx="28">
                  <c:v>-23.499980001235127</c:v>
                </c:pt>
                <c:pt idx="29">
                  <c:v>-23.135133622704867</c:v>
                </c:pt>
                <c:pt idx="30">
                  <c:v>-22.770636465153611</c:v>
                </c:pt>
                <c:pt idx="31">
                  <c:v>-22.406830862426226</c:v>
                </c:pt>
                <c:pt idx="32">
                  <c:v>-22.044045515223296</c:v>
                </c:pt>
                <c:pt idx="33">
                  <c:v>-21.682595197082726</c:v>
                </c:pt>
                <c:pt idx="34">
                  <c:v>-21.322780499117673</c:v>
                </c:pt>
                <c:pt idx="35">
                  <c:v>-20.964887612274666</c:v>
                </c:pt>
                <c:pt idx="36">
                  <c:v>-20.60918814589057</c:v>
                </c:pt>
                <c:pt idx="37">
                  <c:v>-20.255938981341455</c:v>
                </c:pt>
                <c:pt idx="38">
                  <c:v>-19.905382159591149</c:v>
                </c:pt>
                <c:pt idx="39">
                  <c:v>-19.557744801461933</c:v>
                </c:pt>
                <c:pt idx="40">
                  <c:v>-19.213239059464076</c:v>
                </c:pt>
                <c:pt idx="41">
                  <c:v>-18.872062100035951</c:v>
                </c:pt>
                <c:pt idx="42">
                  <c:v>-18.534396115060733</c:v>
                </c:pt>
                <c:pt idx="43">
                  <c:v>-18.200408361540447</c:v>
                </c:pt>
                <c:pt idx="44">
                  <c:v>-17.870251228322612</c:v>
                </c:pt>
                <c:pt idx="45">
                  <c:v>-17.544062328789423</c:v>
                </c:pt>
                <c:pt idx="46">
                  <c:v>-17.221964618434004</c:v>
                </c:pt>
                <c:pt idx="47">
                  <c:v>-16.904066536262675</c:v>
                </c:pt>
                <c:pt idx="48">
                  <c:v>-16.590462168977048</c:v>
                </c:pt>
                <c:pt idx="49">
                  <c:v>-16.28123143690414</c:v>
                </c:pt>
                <c:pt idx="50">
                  <c:v>-15.976440300657424</c:v>
                </c:pt>
                <c:pt idx="51">
                  <c:v>-15.676140987526223</c:v>
                </c:pt>
                <c:pt idx="52">
                  <c:v>-15.380372236605462</c:v>
                </c:pt>
                <c:pt idx="53">
                  <c:v>-15.08915956169254</c:v>
                </c:pt>
                <c:pt idx="54">
                  <c:v>-14.802515530992434</c:v>
                </c:pt>
                <c:pt idx="55">
                  <c:v>-14.520440062686916</c:v>
                </c:pt>
                <c:pt idx="56">
                  <c:v>-14.242920735438261</c:v>
                </c:pt>
                <c:pt idx="57">
                  <c:v>-13.969933112912546</c:v>
                </c:pt>
                <c:pt idx="58">
                  <c:v>-13.701441081422031</c:v>
                </c:pt>
                <c:pt idx="59">
                  <c:v>-13.437397199800854</c:v>
                </c:pt>
                <c:pt idx="60">
                  <c:v>-13.177743060642925</c:v>
                </c:pt>
                <c:pt idx="61">
                  <c:v>-12.922409662045224</c:v>
                </c:pt>
                <c:pt idx="62">
                  <c:v>-12.671317789014644</c:v>
                </c:pt>
                <c:pt idx="63">
                  <c:v>-12.424378403710836</c:v>
                </c:pt>
                <c:pt idx="64">
                  <c:v>-12.181493043712278</c:v>
                </c:pt>
                <c:pt idx="65">
                  <c:v>-11.942554227507292</c:v>
                </c:pt>
                <c:pt idx="66">
                  <c:v>-11.70744586642636</c:v>
                </c:pt>
                <c:pt idx="67">
                  <c:v>-11.476043682246678</c:v>
                </c:pt>
                <c:pt idx="68">
                  <c:v>-11.248215629714498</c:v>
                </c:pt>
                <c:pt idx="69">
                  <c:v>-11.023822323245339</c:v>
                </c:pt>
                <c:pt idx="70">
                  <c:v>-10.802717467076846</c:v>
                </c:pt>
                <c:pt idx="71">
                  <c:v>-10.584748288163532</c:v>
                </c:pt>
                <c:pt idx="72">
                  <c:v>-10.369755971117387</c:v>
                </c:pt>
                <c:pt idx="73">
                  <c:v>-10.157576094512759</c:v>
                </c:pt>
                <c:pt idx="74">
                  <c:v>-9.9480390678887076</c:v>
                </c:pt>
                <c:pt idx="75">
                  <c:v>-9.740970568796385</c:v>
                </c:pt>
                <c:pt idx="76">
                  <c:v>-9.5361919792538323</c:v>
                </c:pt>
                <c:pt idx="77">
                  <c:v>-9.3335208209849689</c:v>
                </c:pt>
                <c:pt idx="78">
                  <c:v>-9.1327711888343011</c:v>
                </c:pt>
                <c:pt idx="79">
                  <c:v>-8.9337541817633657</c:v>
                </c:pt>
                <c:pt idx="80">
                  <c:v>-8.7362783308495526</c:v>
                </c:pt>
                <c:pt idx="81">
                  <c:v>-8.5401500237225658</c:v>
                </c:pt>
                <c:pt idx="82">
                  <c:v>-8.3451739248883356</c:v>
                </c:pt>
                <c:pt idx="83">
                  <c:v>-8.1511533914048258</c:v>
                </c:pt>
                <c:pt idx="84">
                  <c:v>-7.9578908833887168</c:v>
                </c:pt>
                <c:pt idx="85">
                  <c:v>-7.7651883688466068</c:v>
                </c:pt>
                <c:pt idx="86">
                  <c:v>-7.5728477223389348</c:v>
                </c:pt>
                <c:pt idx="87">
                  <c:v>-7.3806711169993831</c:v>
                </c:pt>
                <c:pt idx="88">
                  <c:v>-7.1884614094471901</c:v>
                </c:pt>
                <c:pt idx="89">
                  <c:v>-6.9960225171443282</c:v>
                </c:pt>
                <c:pt idx="90">
                  <c:v>-6.8031597877641223</c:v>
                </c:pt>
                <c:pt idx="91">
                  <c:v>-6.6096803601525052</c:v>
                </c:pt>
                <c:pt idx="92">
                  <c:v>-6.4153935164775939</c:v>
                </c:pt>
                <c:pt idx="93">
                  <c:v>-6.2201110251780509</c:v>
                </c:pt>
                <c:pt idx="94">
                  <c:v>-6.0236474743350543</c:v>
                </c:pt>
                <c:pt idx="95">
                  <c:v>-5.8258205951075173</c:v>
                </c:pt>
                <c:pt idx="96">
                  <c:v>-5.6264515748846078</c:v>
                </c:pt>
                <c:pt idx="97">
                  <c:v>-5.4253653598243501</c:v>
                </c:pt>
                <c:pt idx="98">
                  <c:v>-5.2223909464615934</c:v>
                </c:pt>
                <c:pt idx="99">
                  <c:v>-5.0173616620832426</c:v>
                </c:pt>
                <c:pt idx="100">
                  <c:v>-4.8101154335833067</c:v>
                </c:pt>
                <c:pt idx="101">
                  <c:v>-4.6004950445247932</c:v>
                </c:pt>
                <c:pt idx="102">
                  <c:v>-4.3883483801501892</c:v>
                </c:pt>
                <c:pt idx="103">
                  <c:v>-4.1735286600967685</c:v>
                </c:pt>
                <c:pt idx="104">
                  <c:v>-3.9558946585876367</c:v>
                </c:pt>
                <c:pt idx="105">
                  <c:v>-3.7353109118839298</c:v>
                </c:pt>
                <c:pt idx="106">
                  <c:v>-3.5116479127982863</c:v>
                </c:pt>
                <c:pt idx="107">
                  <c:v>-3.2847822920841834</c:v>
                </c:pt>
                <c:pt idx="108">
                  <c:v>-3.0545969865304214</c:v>
                </c:pt>
                <c:pt idx="109">
                  <c:v>-2.8209813936045833</c:v>
                </c:pt>
                <c:pt idx="110">
                  <c:v>-2.5838315125038851</c:v>
                </c:pt>
                <c:pt idx="111">
                  <c:v>-2.3430500714864584</c:v>
                </c:pt>
                <c:pt idx="112">
                  <c:v>-2.0985466413706702</c:v>
                </c:pt>
                <c:pt idx="113">
                  <c:v>-1.8502377351046866</c:v>
                </c:pt>
                <c:pt idx="114">
                  <c:v>-1.5980468933230896</c:v>
                </c:pt>
                <c:pt idx="115">
                  <c:v>-1.3419047558219281</c:v>
                </c:pt>
                <c:pt idx="116">
                  <c:v>-1.0817491188982014</c:v>
                </c:pt>
                <c:pt idx="117">
                  <c:v>-0.81752497851435002</c:v>
                </c:pt>
                <c:pt idx="118">
                  <c:v>-0.54918455926291887</c:v>
                </c:pt>
                <c:pt idx="119">
                  <c:v>-0.27668732912117155</c:v>
                </c:pt>
                <c:pt idx="120">
                  <c:v>0</c:v>
                </c:pt>
                <c:pt idx="121">
                  <c:v>0.28090348589391223</c:v>
                </c:pt>
                <c:pt idx="122">
                  <c:v>0.56604198384913296</c:v>
                </c:pt>
                <c:pt idx="123">
                  <c:v>0.85542718854559341</c:v>
                </c:pt>
                <c:pt idx="124">
                  <c:v>1.1490636899930409</c:v>
                </c:pt>
                <c:pt idx="125">
                  <c:v>1.4469490434345116</c:v>
                </c:pt>
                <c:pt idx="126">
                  <c:v>1.7490738531229073</c:v>
                </c:pt>
                <c:pt idx="127">
                  <c:v>2.0554218698641686</c:v>
                </c:pt>
                <c:pt idx="128">
                  <c:v>2.3659701022059485</c:v>
                </c:pt>
                <c:pt idx="129">
                  <c:v>2.6806889411360855</c:v>
                </c:pt>
                <c:pt idx="130">
                  <c:v>2.9995422981406024</c:v>
                </c:pt>
                <c:pt idx="131">
                  <c:v>3.3224877564563382</c:v>
                </c:pt>
                <c:pt idx="132">
                  <c:v>3.6494767353387574</c:v>
                </c:pt>
                <c:pt idx="133">
                  <c:v>3.9804546671508536</c:v>
                </c:pt>
                <c:pt idx="134">
                  <c:v>4.3153611870645125</c:v>
                </c:pt>
                <c:pt idx="135">
                  <c:v>4.6541303351510646</c:v>
                </c:pt>
                <c:pt idx="136">
                  <c:v>4.9966907706232009</c:v>
                </c:pt>
                <c:pt idx="137">
                  <c:v>5.3429659979758037</c:v>
                </c:pt>
                <c:pt idx="138">
                  <c:v>5.6928746047586731</c:v>
                </c:pt>
                <c:pt idx="139">
                  <c:v>6.0463305106995211</c:v>
                </c:pt>
                <c:pt idx="140">
                  <c:v>6.4032432278810285</c:v>
                </c:pt>
                <c:pt idx="141">
                  <c:v>6.7635181316611543</c:v>
                </c:pt>
                <c:pt idx="142">
                  <c:v>7.1270567420112867</c:v>
                </c:pt>
                <c:pt idx="143">
                  <c:v>7.4937570149322665</c:v>
                </c:pt>
                <c:pt idx="144">
                  <c:v>7.8635136435936746</c:v>
                </c:pt>
                <c:pt idx="145">
                  <c:v>8.2362183688272239</c:v>
                </c:pt>
                <c:pt idx="146">
                  <c:v>8.6117602985904771</c:v>
                </c:pt>
                <c:pt idx="147">
                  <c:v>8.9900262360025245</c:v>
                </c:pt>
                <c:pt idx="148">
                  <c:v>9.3709010155386565</c:v>
                </c:pt>
                <c:pt idx="149">
                  <c:v>9.754267846956532</c:v>
                </c:pt>
                <c:pt idx="150">
                  <c:v>10.140008666511612</c:v>
                </c:pt>
                <c:pt idx="151">
                  <c:v>10.528004495005213</c:v>
                </c:pt>
                <c:pt idx="152">
                  <c:v>10.918135802193795</c:v>
                </c:pt>
                <c:pt idx="153">
                  <c:v>11.310282877073602</c:v>
                </c:pt>
                <c:pt idx="154">
                  <c:v>11.704326203540083</c:v>
                </c:pt>
                <c:pt idx="155">
                  <c:v>12.100146840907076</c:v>
                </c:pt>
                <c:pt idx="156">
                  <c:v>12.497626808755989</c:v>
                </c:pt>
                <c:pt idx="157">
                  <c:v>12.896649475570669</c:v>
                </c:pt>
                <c:pt idx="158">
                  <c:v>13.297099950599195</c:v>
                </c:pt>
                <c:pt idx="159">
                  <c:v>13.698865478368937</c:v>
                </c:pt>
                <c:pt idx="160">
                  <c:v>14.101835835266975</c:v>
                </c:pt>
                <c:pt idx="161">
                  <c:v>14.505903727583132</c:v>
                </c:pt>
                <c:pt idx="162">
                  <c:v>14.910965190398365</c:v>
                </c:pt>
                <c:pt idx="163">
                  <c:v>15.316919986686701</c:v>
                </c:pt>
                <c:pt idx="164">
                  <c:v>15.723672005984247</c:v>
                </c:pt>
                <c:pt idx="165">
                  <c:v>16.131129661964263</c:v>
                </c:pt>
                <c:pt idx="166">
                  <c:v>16.539206288242639</c:v>
                </c:pt>
                <c:pt idx="167">
                  <c:v>16.947820531723622</c:v>
                </c:pt>
                <c:pt idx="168">
                  <c:v>17.35689674278084</c:v>
                </c:pt>
                <c:pt idx="169">
                  <c:v>17.76636536155446</c:v>
                </c:pt>
                <c:pt idx="170">
                  <c:v>18.176163299630179</c:v>
                </c:pt>
                <c:pt idx="171">
                  <c:v>18.586234316351728</c:v>
                </c:pt>
                <c:pt idx="172">
                  <c:v>18.996529389003541</c:v>
                </c:pt>
                <c:pt idx="173">
                  <c:v>19.407007076085854</c:v>
                </c:pt>
                <c:pt idx="174">
                  <c:v>19.817633872889925</c:v>
                </c:pt>
                <c:pt idx="175">
                  <c:v>20.22838455856628</c:v>
                </c:pt>
                <c:pt idx="176">
                  <c:v>20.639242533864593</c:v>
                </c:pt>
                <c:pt idx="177">
                  <c:v>21.050200148708928</c:v>
                </c:pt>
                <c:pt idx="178">
                  <c:v>21.46125901875763</c:v>
                </c:pt>
                <c:pt idx="179">
                  <c:v>21.872430330082587</c:v>
                </c:pt>
                <c:pt idx="180">
                  <c:v>22.283735131087884</c:v>
                </c:pt>
                <c:pt idx="181">
                  <c:v>22.695204610773331</c:v>
                </c:pt>
                <c:pt idx="182">
                  <c:v>23.106880362433735</c:v>
                </c:pt>
                <c:pt idx="183">
                  <c:v>23.518814631870342</c:v>
                </c:pt>
                <c:pt idx="184">
                  <c:v>23.931070549175946</c:v>
                </c:pt>
                <c:pt idx="185">
                  <c:v>24.343722343140904</c:v>
                </c:pt>
                <c:pt idx="186">
                  <c:v>24.75685553731261</c:v>
                </c:pt>
                <c:pt idx="187">
                  <c:v>25.170567126726233</c:v>
                </c:pt>
                <c:pt idx="188">
                  <c:v>25.584965734310096</c:v>
                </c:pt>
                <c:pt idx="189">
                  <c:v>26.000171745954503</c:v>
                </c:pt>
                <c:pt idx="190">
                  <c:v>26.416317423218096</c:v>
                </c:pt>
                <c:pt idx="191">
                  <c:v>26.833546992631259</c:v>
                </c:pt>
                <c:pt idx="192">
                  <c:v>27.252016710541604</c:v>
                </c:pt>
                <c:pt idx="193">
                  <c:v>27.671894902431887</c:v>
                </c:pt>
                <c:pt idx="194">
                  <c:v>28.09336197562612</c:v>
                </c:pt>
                <c:pt idx="195">
                  <c:v>28.516610404285004</c:v>
                </c:pt>
                <c:pt idx="196">
                  <c:v>28.941844685577397</c:v>
                </c:pt>
                <c:pt idx="197">
                  <c:v>29.369281265899751</c:v>
                </c:pt>
                <c:pt idx="198">
                  <c:v>29.799148436000792</c:v>
                </c:pt>
                <c:pt idx="199">
                  <c:v>30.231686193854518</c:v>
                </c:pt>
                <c:pt idx="200">
                  <c:v>30.667146074109557</c:v>
                </c:pt>
              </c:numCache>
            </c:numRef>
          </c:yVal>
          <c:smooth val="1"/>
        </c:ser>
        <c:dLbls>
          <c:showLegendKey val="0"/>
          <c:showVal val="0"/>
          <c:showCatName val="0"/>
          <c:showSerName val="0"/>
          <c:showPercent val="0"/>
          <c:showBubbleSize val="0"/>
        </c:dLbls>
        <c:axId val="709382368"/>
        <c:axId val="709382760"/>
      </c:scatterChart>
      <c:valAx>
        <c:axId val="70938236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2760"/>
        <c:crossesAt val="-1000"/>
        <c:crossBetween val="midCat"/>
      </c:valAx>
      <c:valAx>
        <c:axId val="709382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236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130</v>
      </c>
    </row>
    <row r="22" spans="1:2" s="11" customFormat="1" x14ac:dyDescent="0.25">
      <c r="A22" s="61" t="s">
        <v>157</v>
      </c>
      <c r="B22" s="100">
        <f>CTE!N8-0.5</f>
        <v>140</v>
      </c>
    </row>
    <row r="23" spans="1:2" s="11" customFormat="1" x14ac:dyDescent="0.25">
      <c r="A23" s="61" t="s">
        <v>158</v>
      </c>
      <c r="B23" s="100">
        <f>CTE!N9</f>
        <v>180.5</v>
      </c>
    </row>
    <row r="24" spans="1:2" s="11" customFormat="1" x14ac:dyDescent="0.25"/>
    <row r="25" spans="1:2" s="11" customFormat="1" x14ac:dyDescent="0.25">
      <c r="A25" s="61" t="s">
        <v>147</v>
      </c>
      <c r="B25" s="53">
        <f>CTE!O5</f>
        <v>2.4226182285714289E-5</v>
      </c>
    </row>
    <row r="26" spans="1:2" s="11" customFormat="1" x14ac:dyDescent="0.25">
      <c r="A26" s="61" t="s">
        <v>148</v>
      </c>
      <c r="B26" s="53">
        <f>CTE!O6</f>
        <v>2.6648912571428573E-5</v>
      </c>
    </row>
    <row r="27" spans="1:2" s="11" customFormat="1" x14ac:dyDescent="0.25">
      <c r="A27" s="61" t="s">
        <v>149</v>
      </c>
      <c r="B27" s="53">
        <f>CTE!O8</f>
        <v>7.4083502857142863E-5</v>
      </c>
    </row>
    <row r="28" spans="1:2" s="11" customFormat="1" x14ac:dyDescent="0.25">
      <c r="A28" s="61" t="s">
        <v>150</v>
      </c>
      <c r="B28" s="53">
        <f>CTE!O9</f>
        <v>7.3900625714285717E-5</v>
      </c>
    </row>
    <row r="29" spans="1:2" s="11" customFormat="1" x14ac:dyDescent="0.25">
      <c r="A29" s="61"/>
    </row>
    <row r="30" spans="1:2" s="11" customFormat="1" x14ac:dyDescent="0.25">
      <c r="A30" s="61" t="s">
        <v>151</v>
      </c>
      <c r="B30" s="52">
        <f>CTE!P5</f>
        <v>2.4147830526315789E-5</v>
      </c>
    </row>
    <row r="31" spans="1:2" s="11" customFormat="1" x14ac:dyDescent="0.25">
      <c r="A31" s="61" t="s">
        <v>152</v>
      </c>
      <c r="B31" s="52">
        <f>CTE!P6</f>
        <v>2.650956736842105E-5</v>
      </c>
    </row>
    <row r="32" spans="1:2" s="11" customFormat="1" x14ac:dyDescent="0.25">
      <c r="A32" s="61" t="s">
        <v>153</v>
      </c>
      <c r="B32" s="52">
        <f>CTE!P8</f>
        <v>6.7455582105263172E-5</v>
      </c>
    </row>
    <row r="33" spans="1:2" s="11" customFormat="1" x14ac:dyDescent="0.25">
      <c r="A33" s="61" t="s">
        <v>154</v>
      </c>
      <c r="B33" s="52">
        <f>CTE!P9</f>
        <v>6.8093082105263154E-5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0.27879166591256677</v>
      </c>
      <c r="D59" s="55">
        <v>1</v>
      </c>
    </row>
    <row r="60" spans="1:4" s="11" customFormat="1" x14ac:dyDescent="0.25">
      <c r="A60" s="54">
        <v>2</v>
      </c>
      <c r="B60" s="56">
        <f>'Shiftfunktion bestimmen'!N2</f>
        <v>2.1083785691094286E-3</v>
      </c>
      <c r="D60" s="55">
        <v>2</v>
      </c>
    </row>
    <row r="61" spans="1:4" s="11" customFormat="1" x14ac:dyDescent="0.25">
      <c r="A61" s="54">
        <v>3</v>
      </c>
      <c r="B61" s="56">
        <f>'Shiftfunktion bestimmen'!N3</f>
        <v>3.7413044690267028E-6</v>
      </c>
      <c r="D61" s="55">
        <v>3</v>
      </c>
    </row>
    <row r="62" spans="1:4" s="11" customFormat="1" x14ac:dyDescent="0.25">
      <c r="A62" s="54">
        <v>4</v>
      </c>
      <c r="B62" s="56">
        <f>'Shiftfunktion bestimmen'!N4</f>
        <v>-3.0020233413972978E-7</v>
      </c>
      <c r="D62" s="55">
        <v>4</v>
      </c>
    </row>
    <row r="63" spans="1:4" s="11" customFormat="1" x14ac:dyDescent="0.25">
      <c r="A63" s="54">
        <v>5</v>
      </c>
      <c r="B63" s="56">
        <f>'Shiftfunktion bestimmen'!N5</f>
        <v>2.9051712475681144E-10</v>
      </c>
      <c r="D63" s="55">
        <v>5</v>
      </c>
    </row>
    <row r="64" spans="1:4" s="11" customFormat="1" x14ac:dyDescent="0.25">
      <c r="A64" s="54">
        <v>6</v>
      </c>
      <c r="B64" s="56">
        <f>'Shiftfunktion bestimmen'!N6</f>
        <v>1.9595441295160367E-11</v>
      </c>
      <c r="D64" s="55">
        <v>6</v>
      </c>
    </row>
    <row r="65" spans="1:5" s="11" customFormat="1" x14ac:dyDescent="0.25">
      <c r="A65" s="54">
        <v>7</v>
      </c>
      <c r="B65" s="56">
        <f>'Shiftfunktion bestimmen'!N7</f>
        <v>-1.0998492658773505E-14</v>
      </c>
      <c r="D65" s="55">
        <v>7</v>
      </c>
    </row>
    <row r="66" spans="1:5" x14ac:dyDescent="0.25">
      <c r="A66" s="54">
        <v>8</v>
      </c>
      <c r="B66" s="56">
        <f>'Shiftfunktion bestimmen'!N8</f>
        <v>-3.6192482202815763E-16</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2.2478093185573218E-2</v>
      </c>
      <c r="D74" s="51">
        <v>1</v>
      </c>
      <c r="E74" s="56">
        <f>'Mastercurve bestimmen'!A18</f>
        <v>1.0000000000000001E-20</v>
      </c>
    </row>
    <row r="75" spans="1:5" x14ac:dyDescent="0.25">
      <c r="A75" s="50">
        <f>A74+1</f>
        <v>2</v>
      </c>
      <c r="B75" s="56">
        <f>'Mastercurve bestimmen'!C19</f>
        <v>5.0929923906181264E-2</v>
      </c>
      <c r="D75" s="51">
        <v>2</v>
      </c>
      <c r="E75" s="56">
        <f>'Mastercurve bestimmen'!A19</f>
        <v>3.9038946506297401E-14</v>
      </c>
    </row>
    <row r="76" spans="1:5" x14ac:dyDescent="0.25">
      <c r="A76" s="50">
        <f t="shared" ref="A76:A104" si="0">A75+1</f>
        <v>3</v>
      </c>
      <c r="B76" s="56">
        <f>'Mastercurve bestimmen'!C20</f>
        <v>9.6872855231009188E-3</v>
      </c>
      <c r="D76" s="51">
        <v>3</v>
      </c>
      <c r="E76" s="56">
        <f>'Mastercurve bestimmen'!A20</f>
        <v>4.3276437088188502E-13</v>
      </c>
    </row>
    <row r="77" spans="1:5" x14ac:dyDescent="0.25">
      <c r="A77" s="50">
        <f t="shared" si="0"/>
        <v>4</v>
      </c>
      <c r="B77" s="56">
        <f>'Mastercurve bestimmen'!C21</f>
        <v>2.5365400912727508E-2</v>
      </c>
      <c r="D77" s="51">
        <v>4</v>
      </c>
      <c r="E77" s="56">
        <f>'Mastercurve bestimmen'!A21</f>
        <v>4.7973886968128502E-12</v>
      </c>
    </row>
    <row r="78" spans="1:5" x14ac:dyDescent="0.25">
      <c r="A78" s="50">
        <f t="shared" si="0"/>
        <v>5</v>
      </c>
      <c r="B78" s="56">
        <f>'Mastercurve bestimmen'!C22</f>
        <v>2.3099378117218305E-2</v>
      </c>
      <c r="D78" s="51">
        <v>5</v>
      </c>
      <c r="E78" s="56">
        <f>'Mastercurve bestimmen'!A22</f>
        <v>5.31812225239524E-11</v>
      </c>
    </row>
    <row r="79" spans="1:5" x14ac:dyDescent="0.25">
      <c r="A79" s="50">
        <f t="shared" si="0"/>
        <v>6</v>
      </c>
      <c r="B79" s="56">
        <f>'Mastercurve bestimmen'!C23</f>
        <v>2.7649262864666301E-2</v>
      </c>
      <c r="D79" s="51">
        <v>6</v>
      </c>
      <c r="E79" s="56">
        <f>'Mastercurve bestimmen'!A23</f>
        <v>5.8953789402578301E-10</v>
      </c>
    </row>
    <row r="80" spans="1:5" x14ac:dyDescent="0.25">
      <c r="A80" s="50">
        <f t="shared" si="0"/>
        <v>7</v>
      </c>
      <c r="B80" s="56">
        <f>'Mastercurve bestimmen'!C24</f>
        <v>2.9567803961689888E-2</v>
      </c>
      <c r="D80" s="51">
        <v>7</v>
      </c>
      <c r="E80" s="56">
        <f>'Mastercurve bestimmen'!A24</f>
        <v>6.5352940755699598E-9</v>
      </c>
    </row>
    <row r="81" spans="1:5" x14ac:dyDescent="0.25">
      <c r="A81" s="50">
        <f t="shared" si="0"/>
        <v>8</v>
      </c>
      <c r="B81" s="56">
        <f>'Mastercurve bestimmen'!C25</f>
        <v>2.9957814581893651E-2</v>
      </c>
      <c r="D81" s="51">
        <v>8</v>
      </c>
      <c r="E81" s="56">
        <f>'Mastercurve bestimmen'!A25</f>
        <v>7.2446689325643296E-8</v>
      </c>
    </row>
    <row r="82" spans="1:5" x14ac:dyDescent="0.25">
      <c r="A82" s="50">
        <f t="shared" si="0"/>
        <v>9</v>
      </c>
      <c r="B82" s="56">
        <f>'Mastercurve bestimmen'!C26</f>
        <v>2.7071321334420872E-2</v>
      </c>
      <c r="D82" s="51">
        <f>A82</f>
        <v>9</v>
      </c>
      <c r="E82" s="56">
        <f>'Mastercurve bestimmen'!A26</f>
        <v>8.03104303120212E-7</v>
      </c>
    </row>
    <row r="83" spans="1:5" x14ac:dyDescent="0.25">
      <c r="A83" s="50">
        <f t="shared" si="0"/>
        <v>10</v>
      </c>
      <c r="B83" s="56">
        <f>'Mastercurve bestimmen'!C27</f>
        <v>3.2010538564501728E-2</v>
      </c>
      <c r="C83" s="11"/>
      <c r="D83" s="51">
        <f t="shared" ref="D83:D104" si="1">A83</f>
        <v>10</v>
      </c>
      <c r="E83" s="56">
        <f>'Mastercurve bestimmen'!A27</f>
        <v>8.9027742702096099E-6</v>
      </c>
    </row>
    <row r="84" spans="1:5" x14ac:dyDescent="0.25">
      <c r="A84" s="50">
        <f t="shared" si="0"/>
        <v>11</v>
      </c>
      <c r="B84" s="56">
        <f>'Mastercurve bestimmen'!C28</f>
        <v>4.0907961623415999E-2</v>
      </c>
      <c r="C84" s="11"/>
      <c r="D84" s="51">
        <f t="shared" si="1"/>
        <v>11</v>
      </c>
      <c r="E84" s="56">
        <f>'Mastercurve bestimmen'!A28</f>
        <v>9.86912775817142E-5</v>
      </c>
    </row>
    <row r="85" spans="1:5" x14ac:dyDescent="0.25">
      <c r="A85" s="50">
        <f t="shared" si="0"/>
        <v>12</v>
      </c>
      <c r="B85" s="56">
        <f>'Mastercurve bestimmen'!C29</f>
        <v>4.0610124346011141E-2</v>
      </c>
      <c r="C85" s="11"/>
      <c r="D85" s="51">
        <f t="shared" si="1"/>
        <v>12</v>
      </c>
      <c r="E85" s="56">
        <f>'Mastercurve bestimmen'!A29</f>
        <v>1.0940374286813801E-3</v>
      </c>
    </row>
    <row r="86" spans="1:5" x14ac:dyDescent="0.25">
      <c r="A86" s="50">
        <f t="shared" si="0"/>
        <v>13</v>
      </c>
      <c r="B86" s="56">
        <f>'Mastercurve bestimmen'!C30</f>
        <v>2.925116065031759E-2</v>
      </c>
      <c r="C86" s="11"/>
      <c r="D86" s="51">
        <f t="shared" si="1"/>
        <v>13</v>
      </c>
      <c r="E86" s="56">
        <f>'Mastercurve bestimmen'!A30</f>
        <v>1.2127899493091E-2</v>
      </c>
    </row>
    <row r="87" spans="1:5" x14ac:dyDescent="0.25">
      <c r="A87" s="50">
        <f t="shared" si="0"/>
        <v>14</v>
      </c>
      <c r="B87" s="56">
        <f>'Mastercurve bestimmen'!C31</f>
        <v>3.1259582937297976E-2</v>
      </c>
      <c r="C87" s="11"/>
      <c r="D87" s="51">
        <f t="shared" si="1"/>
        <v>14</v>
      </c>
      <c r="E87" s="56">
        <f>'Mastercurve bestimmen'!A31</f>
        <v>0.13444324870292301</v>
      </c>
    </row>
    <row r="88" spans="1:5" x14ac:dyDescent="0.25">
      <c r="A88" s="50">
        <f t="shared" si="0"/>
        <v>15</v>
      </c>
      <c r="B88" s="56">
        <f>'Mastercurve bestimmen'!C32</f>
        <v>2.9704645444291411E-2</v>
      </c>
      <c r="C88" s="11"/>
      <c r="D88" s="51">
        <f t="shared" si="1"/>
        <v>15</v>
      </c>
      <c r="E88" s="56">
        <f>'Mastercurve bestimmen'!A32</f>
        <v>1.49036419143257</v>
      </c>
    </row>
    <row r="89" spans="1:5" x14ac:dyDescent="0.25">
      <c r="A89" s="50">
        <f t="shared" si="0"/>
        <v>16</v>
      </c>
      <c r="B89" s="56">
        <f>'Mastercurve bestimmen'!C33</f>
        <v>3.5282603781975501E-2</v>
      </c>
      <c r="C89" s="11"/>
      <c r="D89" s="51">
        <f t="shared" si="1"/>
        <v>16</v>
      </c>
      <c r="E89" s="56">
        <f>'Mastercurve bestimmen'!A33</f>
        <v>16.521360830937301</v>
      </c>
    </row>
    <row r="90" spans="1:5" x14ac:dyDescent="0.25">
      <c r="A90" s="50">
        <f t="shared" si="0"/>
        <v>17</v>
      </c>
      <c r="B90" s="56">
        <f>'Mastercurve bestimmen'!C34</f>
        <v>3.4987985455608057E-2</v>
      </c>
      <c r="C90" s="11"/>
      <c r="D90" s="51">
        <f t="shared" si="1"/>
        <v>17</v>
      </c>
      <c r="E90" s="56">
        <f>'Mastercurve bestimmen'!A34</f>
        <v>183.146753843879</v>
      </c>
    </row>
    <row r="91" spans="1:5" x14ac:dyDescent="0.25">
      <c r="A91" s="50">
        <f t="shared" si="0"/>
        <v>18</v>
      </c>
      <c r="B91" s="56">
        <f>'Mastercurve bestimmen'!C35</f>
        <v>4.0020818076897231E-2</v>
      </c>
      <c r="C91" s="11"/>
      <c r="D91" s="51">
        <f t="shared" si="1"/>
        <v>18</v>
      </c>
      <c r="E91" s="56">
        <f>'Mastercurve bestimmen'!A35</f>
        <v>2030.26456396616</v>
      </c>
    </row>
    <row r="92" spans="1:5" x14ac:dyDescent="0.25">
      <c r="A92" s="50">
        <f t="shared" si="0"/>
        <v>19</v>
      </c>
      <c r="B92" s="56">
        <f>'Mastercurve bestimmen'!C36</f>
        <v>3.51305921997421E-2</v>
      </c>
      <c r="C92" s="11"/>
      <c r="D92" s="51">
        <f t="shared" si="1"/>
        <v>19</v>
      </c>
      <c r="E92" s="56">
        <f>'Mastercurve bestimmen'!A36</f>
        <v>22506.400540467101</v>
      </c>
    </row>
    <row r="93" spans="1:5" x14ac:dyDescent="0.25">
      <c r="A93" s="50">
        <f t="shared" si="0"/>
        <v>20</v>
      </c>
      <c r="B93" s="56">
        <f>'Mastercurve bestimmen'!C37</f>
        <v>5.1976552303921161E-2</v>
      </c>
      <c r="C93" s="11"/>
      <c r="D93" s="51">
        <f t="shared" si="1"/>
        <v>20</v>
      </c>
      <c r="E93" s="56">
        <f>'Mastercurve bestimmen'!A37</f>
        <v>249493.62476110301</v>
      </c>
    </row>
    <row r="94" spans="1:5" x14ac:dyDescent="0.25">
      <c r="A94" s="50">
        <f t="shared" si="0"/>
        <v>21</v>
      </c>
      <c r="B94" s="56">
        <f>'Mastercurve bestimmen'!C38</f>
        <v>2.3181635308382595E-6</v>
      </c>
      <c r="C94" s="11"/>
      <c r="D94" s="51">
        <f t="shared" si="1"/>
        <v>21</v>
      </c>
      <c r="E94" s="56">
        <f>'Mastercurve bestimmen'!A38</f>
        <v>2765749.6224023802</v>
      </c>
    </row>
    <row r="95" spans="1:5" x14ac:dyDescent="0.25">
      <c r="A95" s="50">
        <f t="shared" si="0"/>
        <v>22</v>
      </c>
      <c r="B95" s="56">
        <f>'Mastercurve bestimmen'!C39</f>
        <v>7.5767559561282297E-2</v>
      </c>
      <c r="C95" s="11"/>
      <c r="D95" s="51">
        <f t="shared" si="1"/>
        <v>22</v>
      </c>
      <c r="E95" s="56">
        <f>'Mastercurve bestimmen'!A39</f>
        <v>10000000</v>
      </c>
    </row>
    <row r="96" spans="1:5" x14ac:dyDescent="0.25">
      <c r="A96" s="50">
        <f t="shared" si="0"/>
        <v>23</v>
      </c>
      <c r="B96" s="56">
        <f>'Mastercurve bestimmen'!C40</f>
        <v>3.067875950056604E-2</v>
      </c>
      <c r="C96" s="11"/>
      <c r="D96" s="51">
        <f t="shared" si="1"/>
        <v>23</v>
      </c>
      <c r="E96" s="56">
        <f>'Mastercurve bestimmen'!A40</f>
        <v>100000000</v>
      </c>
    </row>
    <row r="97" spans="1:5" x14ac:dyDescent="0.25">
      <c r="A97" s="50">
        <f t="shared" si="0"/>
        <v>24</v>
      </c>
      <c r="B97" s="56">
        <f>'Mastercurve bestimmen'!C41</f>
        <v>7.5768782257570458E-2</v>
      </c>
      <c r="C97" s="11"/>
      <c r="D97" s="51">
        <f t="shared" si="1"/>
        <v>24</v>
      </c>
      <c r="E97" s="56">
        <f>'Mastercurve bestimmen'!A41</f>
        <v>1000000000</v>
      </c>
    </row>
    <row r="98" spans="1:5" x14ac:dyDescent="0.25">
      <c r="A98" s="50">
        <f t="shared" si="0"/>
        <v>25</v>
      </c>
      <c r="B98" s="56">
        <f>'Mastercurve bestimmen'!C42</f>
        <v>3.996144450245992E-2</v>
      </c>
      <c r="C98" s="11"/>
      <c r="D98" s="51">
        <f t="shared" si="1"/>
        <v>25</v>
      </c>
      <c r="E98" s="56">
        <f>'Mastercurve bestimmen'!A42</f>
        <v>10000000000</v>
      </c>
    </row>
    <row r="99" spans="1:5" x14ac:dyDescent="0.25">
      <c r="A99" s="50">
        <f t="shared" si="0"/>
        <v>26</v>
      </c>
      <c r="B99" s="56">
        <f>'Mastercurve bestimmen'!C43</f>
        <v>4.8323610204746917E-2</v>
      </c>
      <c r="C99" s="11"/>
      <c r="D99" s="51">
        <f t="shared" si="1"/>
        <v>26</v>
      </c>
      <c r="E99" s="56">
        <f>'Mastercurve bestimmen'!A43</f>
        <v>100000000000</v>
      </c>
    </row>
    <row r="100" spans="1:5" x14ac:dyDescent="0.25">
      <c r="A100" s="50">
        <f t="shared" si="0"/>
        <v>27</v>
      </c>
      <c r="B100" s="56">
        <f>'Mastercurve bestimmen'!C44</f>
        <v>1.4844365312015322E-2</v>
      </c>
      <c r="C100" s="11"/>
      <c r="D100" s="51">
        <f t="shared" si="1"/>
        <v>27</v>
      </c>
      <c r="E100" s="56">
        <f>'Mastercurve bestimmen'!A44</f>
        <v>1000000000000</v>
      </c>
    </row>
    <row r="101" spans="1:5" x14ac:dyDescent="0.25">
      <c r="A101" s="50">
        <f t="shared" si="0"/>
        <v>28</v>
      </c>
      <c r="B101" s="56">
        <f>'Mastercurve bestimmen'!C45</f>
        <v>1.5641900970231219E-2</v>
      </c>
      <c r="C101" s="11"/>
      <c r="D101" s="51">
        <f t="shared" si="1"/>
        <v>28</v>
      </c>
      <c r="E101" s="56">
        <f>'Mastercurve bestimmen'!A45</f>
        <v>10000000000000</v>
      </c>
    </row>
    <row r="102" spans="1:5" x14ac:dyDescent="0.25">
      <c r="A102" s="50">
        <f t="shared" si="0"/>
        <v>29</v>
      </c>
      <c r="B102" s="56">
        <f>'Mastercurve bestimmen'!C46</f>
        <v>1.5176002473828224E-3</v>
      </c>
      <c r="C102" s="11"/>
      <c r="D102" s="51">
        <f t="shared" si="1"/>
        <v>29</v>
      </c>
      <c r="E102" s="56">
        <f>'Mastercurve bestimmen'!A46</f>
        <v>100000000000000</v>
      </c>
    </row>
    <row r="103" spans="1:5" x14ac:dyDescent="0.25">
      <c r="A103" s="50">
        <f t="shared" si="0"/>
        <v>30</v>
      </c>
      <c r="B103" s="56">
        <f>'Mastercurve bestimmen'!C47</f>
        <v>3.5883218113444658E-3</v>
      </c>
      <c r="C103" s="11"/>
      <c r="D103" s="51">
        <f t="shared" si="1"/>
        <v>30</v>
      </c>
      <c r="E103" s="56">
        <f>'Mastercurve bestimmen'!A47</f>
        <v>1000000000000000</v>
      </c>
    </row>
    <row r="104" spans="1:5" x14ac:dyDescent="0.25">
      <c r="A104" s="50">
        <f t="shared" si="0"/>
        <v>31</v>
      </c>
      <c r="B104" s="56">
        <f>'Mastercurve bestimmen'!C48</f>
        <v>1.1419429769572463E-2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15235.672</v>
      </c>
    </row>
    <row r="108" spans="1:5" s="11" customFormat="1" x14ac:dyDescent="0.25">
      <c r="A108" s="61" t="str">
        <f>STUTT!B3</f>
        <v>mp,PRXY,MatID,</v>
      </c>
      <c r="B108" s="52">
        <f>STUTT!C3</f>
        <v>0.31467448999999997</v>
      </c>
    </row>
    <row r="109" spans="1:5" s="11" customFormat="1" x14ac:dyDescent="0.25">
      <c r="A109" s="61" t="str">
        <f>STUTT!B4</f>
        <v>mp,ey,MatID,</v>
      </c>
      <c r="B109" s="52">
        <f>STUTT!C4</f>
        <v>16591.558000000001</v>
      </c>
    </row>
    <row r="110" spans="1:5" s="11" customFormat="1" x14ac:dyDescent="0.25">
      <c r="A110" s="61" t="str">
        <f>STUTT!B5</f>
        <v>mp,PRYZ,MatID,</v>
      </c>
      <c r="B110" s="52">
        <f>STUTT!C5</f>
        <v>0.34269966000000002</v>
      </c>
    </row>
    <row r="111" spans="1:5" s="11" customFormat="1" x14ac:dyDescent="0.25">
      <c r="A111" s="61" t="str">
        <f>STUTT!B6</f>
        <v>mp,ez,MatID,</v>
      </c>
      <c r="B111" s="52">
        <f>STUTT!C6</f>
        <v>15235.672</v>
      </c>
    </row>
    <row r="112" spans="1:5" s="11" customFormat="1" x14ac:dyDescent="0.25">
      <c r="A112" s="61" t="str">
        <f>STUTT!B7</f>
        <v>mp,PRXZ,MatID,</v>
      </c>
      <c r="B112" s="52">
        <f>STUTT!C7</f>
        <v>0.35689667000000003</v>
      </c>
    </row>
    <row r="113" spans="1:4" s="11" customFormat="1" x14ac:dyDescent="0.25">
      <c r="A113" s="61" t="str">
        <f>STUTT!B8</f>
        <v>MP,GXZ,</v>
      </c>
      <c r="B113" s="52" t="str">
        <f>STUTT!C8</f>
        <v>MatID,</v>
      </c>
      <c r="C113" s="103">
        <f>STUTT!D8</f>
        <v>5614.1607000000004</v>
      </c>
      <c r="D113" s="103"/>
    </row>
    <row r="114" spans="1:4" s="11" customFormat="1" x14ac:dyDescent="0.25">
      <c r="A114" s="61" t="str">
        <f>STUTT!B9</f>
        <v>MP,GXY,</v>
      </c>
      <c r="B114" s="52" t="str">
        <f>STUTT!C9</f>
        <v>MatID,</v>
      </c>
      <c r="C114" s="103">
        <f>STUTT!D9</f>
        <v>6353.6364000000003</v>
      </c>
      <c r="D114" s="103"/>
    </row>
    <row r="115" spans="1:4" x14ac:dyDescent="0.25">
      <c r="A115" s="61" t="str">
        <f>STUTT!B10</f>
        <v>MP,GYZ,</v>
      </c>
      <c r="B115" s="52" t="str">
        <f>STUTT!C10</f>
        <v>MatID,</v>
      </c>
      <c r="C115" s="103">
        <f>STUTT!D10</f>
        <v>6353.6364000000003</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1.2240000000000001E-7</v>
      </c>
      <c r="C3" s="3">
        <v>1.1459999999999999E-6</v>
      </c>
      <c r="D3" s="3">
        <v>1.2240000000000001E-7</v>
      </c>
      <c r="E3" s="3">
        <v>-1.3499999999999999E-5</v>
      </c>
      <c r="F3" s="3">
        <v>-1.3499999999999999E-5</v>
      </c>
      <c r="G3" s="3">
        <v>-1.3499999999999999E-5</v>
      </c>
      <c r="H3" s="3">
        <v>-4.2429245999999999E-6</v>
      </c>
      <c r="I3" s="3">
        <v>-1.1442006E-6</v>
      </c>
      <c r="J3" s="3">
        <v>-4.2429245999999999E-6</v>
      </c>
      <c r="L3" s="48">
        <f>ABS(H3/(-0.5)/$L$1)</f>
        <v>2.4245283428571431E-5</v>
      </c>
      <c r="R3">
        <f>ABS(I3/(-0.5)/$R$1)</f>
        <v>2.4088433684210526E-5</v>
      </c>
    </row>
    <row r="4" spans="1:18" x14ac:dyDescent="0.25">
      <c r="A4">
        <v>-39</v>
      </c>
      <c r="B4" s="3">
        <v>-1.226E-7</v>
      </c>
      <c r="C4" s="3">
        <v>-1.145E-6</v>
      </c>
      <c r="D4" s="3">
        <v>-1.226E-7</v>
      </c>
      <c r="E4" s="3">
        <v>1.3499999999999999E-5</v>
      </c>
      <c r="F4" s="3">
        <v>1.3499999999999999E-5</v>
      </c>
      <c r="G4" s="3">
        <v>1.3499999999999999E-5</v>
      </c>
      <c r="H4" s="3">
        <v>4.2428435000000001E-6</v>
      </c>
      <c r="I4" s="3">
        <v>1.1442690999999999E-6</v>
      </c>
      <c r="J4" s="3">
        <v>4.2428435000000001E-6</v>
      </c>
      <c r="L4" s="48">
        <f t="shared" ref="L4:L14" si="0">ABS(H4/(-0.5)/$L$1)</f>
        <v>2.4244820000000003E-5</v>
      </c>
      <c r="N4" s="39" t="s">
        <v>27</v>
      </c>
      <c r="O4" s="39" t="s">
        <v>131</v>
      </c>
      <c r="P4" s="86" t="s">
        <v>132</v>
      </c>
      <c r="R4" s="11">
        <f t="shared" ref="R4:R14" si="1">ABS(I4/(-0.5)/$R$1)</f>
        <v>2.4089875789473683E-5</v>
      </c>
    </row>
    <row r="5" spans="1:18" x14ac:dyDescent="0.25">
      <c r="A5">
        <v>0</v>
      </c>
      <c r="B5" s="3">
        <v>1.303E-7</v>
      </c>
      <c r="C5" s="3">
        <v>1.1200000000000001E-6</v>
      </c>
      <c r="D5" s="3">
        <v>1.303E-7</v>
      </c>
      <c r="E5" s="3">
        <v>-1.3499999999999999E-5</v>
      </c>
      <c r="F5" s="3">
        <v>-1.3499999999999999E-5</v>
      </c>
      <c r="G5" s="3">
        <v>-1.3499999999999999E-5</v>
      </c>
      <c r="H5" s="3">
        <v>-4.2396238999999999E-6</v>
      </c>
      <c r="I5" s="3">
        <v>-1.1469864999999999E-6</v>
      </c>
      <c r="J5" s="3">
        <v>-4.2396238999999999E-6</v>
      </c>
      <c r="L5" s="48">
        <f t="shared" si="0"/>
        <v>2.4226422285714285E-5</v>
      </c>
      <c r="M5" s="48"/>
      <c r="N5" s="10">
        <f>(INDEX(A:A,ROW(A2)*2+1)+INDEX(A:A,ROW(A2)*2+2))/2</f>
        <v>0.5</v>
      </c>
      <c r="O5" s="90">
        <f>(INDEX(L:L,ROW(L2)*2+1)+INDEX(L:L,ROW(L2)*2+2))/2</f>
        <v>2.4226182285714289E-5</v>
      </c>
      <c r="P5" s="90">
        <f>(INDEX(R:R,ROW(M2)*2+1)+INDEX(R:R,ROW(R2)*2+2))/2</f>
        <v>2.4147830526315789E-5</v>
      </c>
      <c r="R5" s="11">
        <f t="shared" si="1"/>
        <v>2.4147084210526313E-5</v>
      </c>
    </row>
    <row r="6" spans="1:18" x14ac:dyDescent="0.25">
      <c r="A6">
        <v>1</v>
      </c>
      <c r="B6" s="3">
        <v>-1.3050000000000001E-7</v>
      </c>
      <c r="C6" s="3">
        <v>-1.1200000000000001E-6</v>
      </c>
      <c r="D6" s="3">
        <v>-1.3050000000000001E-7</v>
      </c>
      <c r="E6" s="3">
        <v>1.3499999999999999E-5</v>
      </c>
      <c r="F6" s="3">
        <v>1.3499999999999999E-5</v>
      </c>
      <c r="G6" s="3">
        <v>1.3499999999999999E-5</v>
      </c>
      <c r="H6" s="3">
        <v>4.2395399000000001E-6</v>
      </c>
      <c r="I6" s="3">
        <v>1.1470574E-6</v>
      </c>
      <c r="J6" s="3">
        <v>4.2395399000000001E-6</v>
      </c>
      <c r="L6" s="48">
        <f t="shared" si="0"/>
        <v>2.4225942285714289E-5</v>
      </c>
      <c r="M6" s="49"/>
      <c r="N6" s="10">
        <f>(INDEX(A:A,ROW(A3)*2+1)+INDEX(A:A,ROW(A3)*2+2))/2</f>
        <v>130.5</v>
      </c>
      <c r="O6" s="90">
        <f t="shared" ref="O6:O7" si="2">(INDEX(L:L,ROW(L3)*2+1)+INDEX(L:L,ROW(L3)*2+2))/2</f>
        <v>2.6648912571428573E-5</v>
      </c>
      <c r="P6" s="90">
        <f t="shared" ref="P6:P9" si="3">(INDEX(R:R,ROW(M3)*2+1)+INDEX(R:R,ROW(R3)*2+2))/2</f>
        <v>2.650956736842105E-5</v>
      </c>
      <c r="R6" s="11">
        <f t="shared" si="1"/>
        <v>2.4148576842105264E-5</v>
      </c>
    </row>
    <row r="7" spans="1:18" x14ac:dyDescent="0.25">
      <c r="A7">
        <v>130</v>
      </c>
      <c r="B7" s="3">
        <v>1.5809999999999999E-7</v>
      </c>
      <c r="C7" s="3">
        <v>1.2929999999999999E-6</v>
      </c>
      <c r="D7" s="3">
        <v>1.5809999999999999E-7</v>
      </c>
      <c r="E7" s="3">
        <v>-1.435E-5</v>
      </c>
      <c r="F7" s="3">
        <v>-1.435E-5</v>
      </c>
      <c r="G7" s="3">
        <v>-1.435E-5</v>
      </c>
      <c r="H7" s="3">
        <v>-4.4458521000000004E-6</v>
      </c>
      <c r="I7" s="3">
        <v>-1.2079535E-6</v>
      </c>
      <c r="J7" s="3">
        <v>-4.4458521000000004E-6</v>
      </c>
      <c r="L7" s="48">
        <f t="shared" si="0"/>
        <v>2.5404869142857148E-5</v>
      </c>
      <c r="M7" s="48"/>
      <c r="N7" s="10">
        <f>(INDEX(A:A,ROW(A4)*2+1)+INDEX(A:A,ROW(A4)*2+2))/2</f>
        <v>135.5</v>
      </c>
      <c r="O7" s="90">
        <f t="shared" si="2"/>
        <v>5.1568891714285722E-5</v>
      </c>
      <c r="P7" s="90">
        <f t="shared" si="3"/>
        <v>4.8061975789473684E-5</v>
      </c>
      <c r="R7" s="11">
        <f t="shared" si="1"/>
        <v>2.54306E-5</v>
      </c>
    </row>
    <row r="8" spans="1:18" x14ac:dyDescent="0.25">
      <c r="A8">
        <v>131</v>
      </c>
      <c r="B8" s="3">
        <v>-1.582E-7</v>
      </c>
      <c r="C8" s="3">
        <v>-1.8190000000000001E-6</v>
      </c>
      <c r="D8" s="3">
        <v>-1.582E-7</v>
      </c>
      <c r="E8" s="3">
        <v>1.605E-5</v>
      </c>
      <c r="F8" s="3">
        <v>1.605E-5</v>
      </c>
      <c r="G8" s="3">
        <v>1.605E-5</v>
      </c>
      <c r="H8" s="3">
        <v>4.8812672999999997E-6</v>
      </c>
      <c r="I8" s="3">
        <v>1.3104554E-6</v>
      </c>
      <c r="J8" s="3">
        <v>4.8812672999999997E-6</v>
      </c>
      <c r="L8" s="48">
        <f t="shared" si="0"/>
        <v>2.7892956000000002E-5</v>
      </c>
      <c r="M8" s="49"/>
      <c r="N8" s="10">
        <f>(INDEX(A:A,ROW(A5)*2+1)+INDEX(A:A,ROW(A5)*2+2))/2</f>
        <v>140.5</v>
      </c>
      <c r="O8" s="90">
        <f t="shared" ref="O8:O9" si="4">(INDEX(L:L,ROW(L5)*2+1)+INDEX(L:L,ROW(L5)*2+2))/2</f>
        <v>7.4083502857142863E-5</v>
      </c>
      <c r="P8" s="90">
        <f t="shared" si="3"/>
        <v>6.7455582105263172E-5</v>
      </c>
      <c r="R8" s="11">
        <f t="shared" si="1"/>
        <v>2.7588534736842104E-5</v>
      </c>
    </row>
    <row r="9" spans="1:18" x14ac:dyDescent="0.25">
      <c r="A9">
        <v>135</v>
      </c>
      <c r="B9" s="3">
        <v>1.5979999999999999E-7</v>
      </c>
      <c r="C9" s="3">
        <v>6.5459999999999997E-6</v>
      </c>
      <c r="D9" s="3">
        <v>1.5979999999999999E-7</v>
      </c>
      <c r="E9" s="3">
        <v>-3.1350000000000003E-5</v>
      </c>
      <c r="F9" s="3">
        <v>-3.1350000000000003E-5</v>
      </c>
      <c r="G9" s="3">
        <v>-3.1350000000000003E-5</v>
      </c>
      <c r="H9" s="3">
        <v>-8.8054330000000007E-6</v>
      </c>
      <c r="I9" s="3">
        <v>-2.2319185999999999E-6</v>
      </c>
      <c r="J9" s="3">
        <v>-8.8054330000000007E-6</v>
      </c>
      <c r="L9" s="48">
        <f t="shared" si="0"/>
        <v>5.031676000000001E-5</v>
      </c>
      <c r="M9" s="48"/>
      <c r="N9" s="10">
        <f>(INDEX(A:A,ROW(A6)*2+1)+INDEX(A:A,ROW(A6)*2+2))/2</f>
        <v>180.5</v>
      </c>
      <c r="O9" s="90">
        <f t="shared" si="4"/>
        <v>7.3900625714285717E-5</v>
      </c>
      <c r="P9" s="90">
        <f t="shared" si="3"/>
        <v>6.8093082105263154E-5</v>
      </c>
      <c r="R9" s="11">
        <f t="shared" si="1"/>
        <v>4.6987759999999995E-5</v>
      </c>
    </row>
    <row r="10" spans="1:18" x14ac:dyDescent="0.25">
      <c r="A10">
        <v>136</v>
      </c>
      <c r="B10" s="3">
        <v>-1.585E-7</v>
      </c>
      <c r="C10" s="3">
        <v>-7.0729999999999999E-6</v>
      </c>
      <c r="D10" s="3">
        <v>-1.585E-7</v>
      </c>
      <c r="E10" s="3">
        <v>3.3049999999999997E-5</v>
      </c>
      <c r="F10" s="3">
        <v>3.3049999999999997E-5</v>
      </c>
      <c r="G10" s="3">
        <v>3.3049999999999997E-5</v>
      </c>
      <c r="H10" s="3">
        <v>9.2436791000000001E-6</v>
      </c>
      <c r="I10" s="3">
        <v>2.3339691000000002E-6</v>
      </c>
      <c r="J10" s="3">
        <v>9.2436791000000001E-6</v>
      </c>
      <c r="L10" s="48">
        <f t="shared" si="0"/>
        <v>5.2821023428571435E-5</v>
      </c>
      <c r="M10" s="49"/>
      <c r="N10" s="10"/>
      <c r="O10" s="3"/>
      <c r="R10" s="11">
        <f t="shared" si="1"/>
        <v>4.9136191578947373E-5</v>
      </c>
    </row>
    <row r="11" spans="1:18" x14ac:dyDescent="0.25">
      <c r="A11">
        <v>140</v>
      </c>
      <c r="B11" s="3">
        <v>1.438E-7</v>
      </c>
      <c r="C11" s="3">
        <v>1.154E-5</v>
      </c>
      <c r="D11" s="3">
        <v>1.438E-7</v>
      </c>
      <c r="E11" s="3">
        <v>-4.7500000000000003E-5</v>
      </c>
      <c r="F11" s="3">
        <v>-4.7500000000000003E-5</v>
      </c>
      <c r="G11" s="3">
        <v>-4.7500000000000003E-5</v>
      </c>
      <c r="H11" s="3">
        <v>-1.2964930000000001E-5</v>
      </c>
      <c r="I11" s="3">
        <v>-3.2037967E-6</v>
      </c>
      <c r="J11" s="3">
        <v>-1.2964930000000001E-5</v>
      </c>
      <c r="L11" s="48">
        <f t="shared" si="0"/>
        <v>7.4085314285714295E-5</v>
      </c>
      <c r="M11" s="48"/>
      <c r="N11" s="10"/>
      <c r="O11" s="3"/>
      <c r="R11" s="11">
        <f t="shared" si="1"/>
        <v>6.7448351578947374E-5</v>
      </c>
    </row>
    <row r="12" spans="1:18" x14ac:dyDescent="0.25">
      <c r="A12">
        <v>141</v>
      </c>
      <c r="B12" s="3">
        <v>-1.4560000000000001E-7</v>
      </c>
      <c r="C12" s="3">
        <v>-1.154E-5</v>
      </c>
      <c r="D12" s="3">
        <v>-1.4560000000000001E-7</v>
      </c>
      <c r="E12" s="3">
        <v>4.7500000000000003E-5</v>
      </c>
      <c r="F12" s="3">
        <v>4.7500000000000003E-5</v>
      </c>
      <c r="G12" s="3">
        <v>4.7500000000000003E-5</v>
      </c>
      <c r="H12" s="3">
        <v>1.2964296E-5</v>
      </c>
      <c r="I12" s="3">
        <v>3.2044836000000002E-6</v>
      </c>
      <c r="J12" s="3">
        <v>1.2964296E-5</v>
      </c>
      <c r="L12" s="48">
        <f t="shared" si="0"/>
        <v>7.4081691428571432E-5</v>
      </c>
      <c r="M12" s="49"/>
      <c r="N12" s="10"/>
      <c r="O12" s="3"/>
      <c r="R12" s="11">
        <f t="shared" si="1"/>
        <v>6.7462812631578957E-5</v>
      </c>
    </row>
    <row r="13" spans="1:18" x14ac:dyDescent="0.25">
      <c r="A13">
        <v>180</v>
      </c>
      <c r="B13" s="3">
        <v>2.2889999999999999E-7</v>
      </c>
      <c r="C13" s="3">
        <v>1.1260000000000001E-5</v>
      </c>
      <c r="D13" s="3">
        <v>2.2889999999999999E-7</v>
      </c>
      <c r="E13" s="3">
        <v>-4.7500000000000003E-5</v>
      </c>
      <c r="F13" s="3">
        <v>-4.7500000000000003E-5</v>
      </c>
      <c r="G13" s="3">
        <v>-4.7500000000000003E-5</v>
      </c>
      <c r="H13" s="3">
        <v>-1.2933022999999999E-5</v>
      </c>
      <c r="I13" s="3">
        <v>-3.2340268000000001E-6</v>
      </c>
      <c r="J13" s="3">
        <v>-1.2933022999999999E-5</v>
      </c>
      <c r="L13" s="48">
        <f t="shared" si="0"/>
        <v>7.3902988571428573E-5</v>
      </c>
      <c r="M13" s="48"/>
      <c r="N13" s="10"/>
      <c r="O13" s="3"/>
      <c r="R13" s="11">
        <f t="shared" si="1"/>
        <v>6.8084774736842111E-5</v>
      </c>
    </row>
    <row r="14" spans="1:18" x14ac:dyDescent="0.25">
      <c r="A14" s="11">
        <v>181</v>
      </c>
      <c r="B14" s="3">
        <v>-2.3099999999999999E-7</v>
      </c>
      <c r="C14" s="3">
        <v>-1.1250000000000001E-5</v>
      </c>
      <c r="D14" s="3">
        <v>-2.3099999999999999E-7</v>
      </c>
      <c r="E14" s="3">
        <v>4.7500000000000003E-5</v>
      </c>
      <c r="F14" s="3">
        <v>4.7500000000000003E-5</v>
      </c>
      <c r="G14" s="3">
        <v>4.7500000000000003E-5</v>
      </c>
      <c r="H14" s="3">
        <v>1.2932196E-5</v>
      </c>
      <c r="I14" s="3">
        <v>3.2348159999999999E-6</v>
      </c>
      <c r="J14" s="3">
        <v>1.2932196E-5</v>
      </c>
      <c r="L14" s="48">
        <f t="shared" si="0"/>
        <v>7.3898262857142861E-5</v>
      </c>
      <c r="M14" s="49"/>
      <c r="N14" s="10"/>
      <c r="O14" s="3"/>
      <c r="R14" s="11">
        <f t="shared" si="1"/>
        <v>6.810138947368421E-5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15235.672</v>
      </c>
    </row>
    <row r="3" spans="2:4" x14ac:dyDescent="0.25">
      <c r="B3" t="s">
        <v>119</v>
      </c>
      <c r="C3" s="3">
        <v>0.31467448999999997</v>
      </c>
    </row>
    <row r="4" spans="2:4" x14ac:dyDescent="0.25">
      <c r="B4" t="s">
        <v>120</v>
      </c>
      <c r="C4" s="3">
        <v>16591.558000000001</v>
      </c>
    </row>
    <row r="5" spans="2:4" x14ac:dyDescent="0.25">
      <c r="B5" t="s">
        <v>121</v>
      </c>
      <c r="C5" s="3">
        <v>0.34269966000000002</v>
      </c>
    </row>
    <row r="6" spans="2:4" x14ac:dyDescent="0.25">
      <c r="B6" t="s">
        <v>122</v>
      </c>
      <c r="C6" s="3">
        <v>15235.672</v>
      </c>
    </row>
    <row r="7" spans="2:4" x14ac:dyDescent="0.25">
      <c r="B7" t="s">
        <v>123</v>
      </c>
      <c r="C7" s="3">
        <v>0.35689667000000003</v>
      </c>
    </row>
    <row r="8" spans="2:4" x14ac:dyDescent="0.25">
      <c r="B8" t="s">
        <v>124</v>
      </c>
      <c r="C8" t="s">
        <v>125</v>
      </c>
      <c r="D8" s="3">
        <v>5614.1607000000004</v>
      </c>
    </row>
    <row r="9" spans="2:4" x14ac:dyDescent="0.25">
      <c r="B9" t="s">
        <v>126</v>
      </c>
      <c r="C9" t="s">
        <v>125</v>
      </c>
      <c r="D9" s="3">
        <v>6353.6364000000003</v>
      </c>
    </row>
    <row r="10" spans="2:4" x14ac:dyDescent="0.25">
      <c r="B10" t="s">
        <v>127</v>
      </c>
      <c r="C10" t="s">
        <v>125</v>
      </c>
      <c r="D10" s="3">
        <v>6353.6364000000003</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N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-6.5441251428571432E-4</v>
      </c>
      <c r="C3" s="2">
        <f>IF('Modell einstellen'!$B$2="Ja",creep_res0!O3,creep_res0!C3)</f>
        <v>-6.5559585714285726E-4</v>
      </c>
      <c r="D3" s="2">
        <f>IF('Modell einstellen'!$B$2="Ja",creep_res25!O3,creep_res25!C3)</f>
        <v>-6.5636251428571434E-4</v>
      </c>
      <c r="E3" s="2">
        <f>IF('Modell einstellen'!$B$2="Ja",creep_res50!O3,creep_res50!C3)</f>
        <v>-6.5715740000000004E-4</v>
      </c>
      <c r="F3" s="2">
        <f>IF('Modell einstellen'!$B$2="Ja",creep_res80!O3,creep_res80!C3)</f>
        <v>-6.6437708571428578E-4</v>
      </c>
      <c r="G3" s="2">
        <f>IF('Modell einstellen'!$B$2="Ja",creep_res125!O3,creep_res125!C3)</f>
        <v>-7.8725765714285714E-4</v>
      </c>
      <c r="H3" s="2">
        <f>IF('Modell einstellen'!$B$2="Ja",creep_res160!O3,creep_res160!C3)</f>
        <v>-1.0072007142857143E-3</v>
      </c>
      <c r="M3" s="9">
        <v>-10</v>
      </c>
      <c r="N3" s="2">
        <f t="shared" ref="N3:N33" si="4">A3</f>
        <v>1.0000000000000001E-15</v>
      </c>
      <c r="O3" s="2">
        <f t="shared" ref="O3:O33" si="5">$M$3/B3</f>
        <v>15280.881373295428</v>
      </c>
      <c r="P3" s="2">
        <f t="shared" ref="P3:P33" si="6">$M$3/C3</f>
        <v>15253.299561075408</v>
      </c>
      <c r="Q3" s="2">
        <f t="shared" ref="Q3:Q33" si="7">$M$3/D3</f>
        <v>15235.483109334004</v>
      </c>
      <c r="R3" s="2">
        <f t="shared" ref="R3:R33" si="8">$M$3/E3</f>
        <v>15217.054544314649</v>
      </c>
      <c r="S3" s="2">
        <f t="shared" ref="S3:S33" si="9">$M$3/F3</f>
        <v>15051.693104750579</v>
      </c>
      <c r="T3" s="2">
        <f t="shared" ref="T3:T33" si="10">$M$3/G3</f>
        <v>12702.321672287504</v>
      </c>
      <c r="U3" s="2">
        <f t="shared" ref="U3:U33" si="11">$M$3/H3</f>
        <v>9928.5076531064533</v>
      </c>
      <c r="Z3" s="2">
        <v>1.0000000000000001E-15</v>
      </c>
      <c r="AA3" s="3">
        <f>IF('Modell einstellen'!$B$2="Ja",'creep_res-40'!P3,'creep_res-40'!L3)</f>
        <v>0.35762364044906925</v>
      </c>
      <c r="AB3" s="2">
        <f>IF('Modell einstellen'!$B$2="Ja",creep_res0!P3,creep_res0!L3)</f>
        <v>0.35716789808006716</v>
      </c>
      <c r="AC3" s="2">
        <f>IF('Modell einstellen'!$B$2="Ja",creep_res25!P3,creep_res25!L3)</f>
        <v>0.35688010475744064</v>
      </c>
      <c r="AD3" s="2">
        <f>IF('Modell einstellen'!$B$2="Ja",creep_res50!P3,creep_res50!L3)</f>
        <v>0.35659204759338153</v>
      </c>
      <c r="AE3" s="2">
        <f>IF('Modell einstellen'!$B$2="Ja",creep_res80!P3,creep_res80!L3)</f>
        <v>0.35812893349121266</v>
      </c>
      <c r="AF3" s="2">
        <f>IF('Modell einstellen'!$B$2="Ja",creep_res125!P3,creep_res125!L3)</f>
        <v>0.39078434949124302</v>
      </c>
      <c r="AG3" s="2">
        <f>IF('Modell einstellen'!$B$2="Ja",creep_res160!P3,creep_res160!L3)</f>
        <v>0.43962941136005662</v>
      </c>
      <c r="AL3" s="2">
        <f t="shared" ref="AL3:AL33" si="12">Z3</f>
        <v>1.0000000000000001E-15</v>
      </c>
      <c r="AM3" s="2">
        <f t="shared" ref="AM3:AM33" si="13">O3/(2*(1+AA3))</f>
        <v>5627.8046868132324</v>
      </c>
      <c r="AN3" s="2">
        <f t="shared" ref="AN3:AN33" si="14">P3/(2*(1+AB3))</f>
        <v>5619.5329931741162</v>
      </c>
      <c r="AO3" s="2">
        <f t="shared" ref="AO3:AO33" si="15">Q3/(2*(1+AC3))</f>
        <v>5614.15966521874</v>
      </c>
      <c r="AP3" s="2">
        <f t="shared" ref="AP3:AP33" si="16">R3/(2*(1+AD3))</f>
        <v>5608.5595412821331</v>
      </c>
      <c r="AQ3" s="2">
        <f t="shared" ref="AQ3:AQ33" si="17">S3/(2*(1+AE3))</f>
        <v>5541.3343805505365</v>
      </c>
      <c r="AR3" s="2">
        <f t="shared" ref="AR3:AR33" si="18">T3/(2*(1+AF3))</f>
        <v>4566.6036136134571</v>
      </c>
      <c r="AS3" s="2">
        <f t="shared" ref="AS3:AS33" si="19">U3/(2*(1+AG3))</f>
        <v>3448.2859181540075</v>
      </c>
      <c r="AX3" s="2">
        <f>AL3</f>
        <v>1.0000000000000001E-15</v>
      </c>
      <c r="AY3" s="37">
        <f t="shared" ref="AY3:AY33" si="20">O3/(3*(1-(2*AA3)))</f>
        <v>17887.896349146788</v>
      </c>
      <c r="AZ3" s="37">
        <f t="shared" ref="AZ3:AZ33" si="21">P3/(3*(1-(2*AB3)))</f>
        <v>17798.636016276327</v>
      </c>
      <c r="BA3" s="37">
        <f t="shared" ref="BA3:BA33" si="22">Q3/(3*(1-(2*AC3)))</f>
        <v>17742.097844506447</v>
      </c>
      <c r="BB3" s="37">
        <f t="shared" ref="BB3:BB33" si="23">R3/(3*(1-(2*AD3)))</f>
        <v>17685.042669005619</v>
      </c>
      <c r="BC3" s="37">
        <f t="shared" ref="BC3:BC33" si="24">S3/(3*(1-(2*AE3)))</f>
        <v>17682.361733025027</v>
      </c>
      <c r="BD3" s="37">
        <f t="shared" ref="BD3:BD33" si="25">T3/(3*(1-(2*AF3)))</f>
        <v>19384.159707753337</v>
      </c>
      <c r="BE3" s="37">
        <f t="shared" ref="BE3:BE33" si="26">U3/(3*(1-(2*AG3)))</f>
        <v>27409.891352672657</v>
      </c>
    </row>
    <row r="4" spans="1:308" x14ac:dyDescent="0.25">
      <c r="A4" s="2">
        <f>'creep_res-40'!A4</f>
        <v>1E-14</v>
      </c>
      <c r="B4" s="3">
        <f>'creep_res-40'!O4</f>
        <v>-6.5440097142857156E-4</v>
      </c>
      <c r="C4" s="2">
        <f>IF('Modell einstellen'!$B$2="Ja",creep_res0!O4,creep_res0!C4)</f>
        <v>-6.555841714285715E-4</v>
      </c>
      <c r="D4" s="2">
        <f>IF('Modell einstellen'!$B$2="Ja",creep_res25!O4,creep_res25!C4)</f>
        <v>-6.5635131428571432E-4</v>
      </c>
      <c r="E4" s="2">
        <f>IF('Modell einstellen'!$B$2="Ja",creep_res50!O4,creep_res50!C4)</f>
        <v>-6.5725068571428577E-4</v>
      </c>
      <c r="F4" s="2">
        <f>IF('Modell einstellen'!$B$2="Ja",creep_res80!O4,creep_res80!C4)</f>
        <v>-6.8582485714285715E-4</v>
      </c>
      <c r="G4" s="2">
        <f>IF('Modell einstellen'!$B$2="Ja",creep_res125!O4,creep_res125!C4)</f>
        <v>-8.184972571428572E-4</v>
      </c>
      <c r="H4" s="2">
        <f>IF('Modell einstellen'!$B$2="Ja",creep_res160!O4,creep_res160!C4)</f>
        <v>-1.0636676000000001E-3</v>
      </c>
      <c r="M4" s="9">
        <f t="shared" ref="M4:M31" si="27">M3</f>
        <v>-10</v>
      </c>
      <c r="N4" s="2">
        <f t="shared" si="4"/>
        <v>1E-14</v>
      </c>
      <c r="O4" s="2">
        <f t="shared" si="5"/>
        <v>15281.150909922677</v>
      </c>
      <c r="P4" s="2">
        <f t="shared" si="6"/>
        <v>15253.571449428351</v>
      </c>
      <c r="Q4" s="2">
        <f t="shared" si="7"/>
        <v>15235.743088109259</v>
      </c>
      <c r="R4" s="2">
        <f t="shared" si="8"/>
        <v>15214.894738576373</v>
      </c>
      <c r="S4" s="2">
        <f t="shared" si="9"/>
        <v>14580.982149961652</v>
      </c>
      <c r="T4" s="2">
        <f t="shared" si="10"/>
        <v>12217.511925338853</v>
      </c>
      <c r="U4" s="2">
        <f t="shared" si="11"/>
        <v>9401.4333049159341</v>
      </c>
      <c r="Z4" s="2">
        <v>1E-14</v>
      </c>
      <c r="AA4" s="3">
        <f>IF('Modell einstellen'!$B$2="Ja",'creep_res-40'!P4,'creep_res-40'!L4)</f>
        <v>0.3576396542198636</v>
      </c>
      <c r="AB4" s="2">
        <f>IF('Modell einstellen'!$B$2="Ja",creep_res0!P4,creep_res0!L4)</f>
        <v>0.35718414887206806</v>
      </c>
      <c r="AC4" s="2">
        <f>IF('Modell einstellen'!$B$2="Ja",creep_res25!P4,creep_res25!L4)</f>
        <v>0.35689668111537481</v>
      </c>
      <c r="AD4" s="2">
        <f>IF('Modell einstellen'!$B$2="Ja",creep_res50!P4,creep_res50!L4)</f>
        <v>0.35664181016558416</v>
      </c>
      <c r="AE4" s="2">
        <f>IF('Modell einstellen'!$B$2="Ja",creep_res80!P4,creep_res80!L4)</f>
        <v>0.36444511655828826</v>
      </c>
      <c r="AF4" s="2">
        <f>IF('Modell einstellen'!$B$2="Ja",creep_res125!P4,creep_res125!L4)</f>
        <v>0.3985505981624024</v>
      </c>
      <c r="AG4" s="2">
        <f>IF('Modell einstellen'!$B$2="Ja",creep_res160!P4,creep_res160!L4)</f>
        <v>0.45102103057652321</v>
      </c>
      <c r="AL4" s="2">
        <f t="shared" si="12"/>
        <v>1E-14</v>
      </c>
      <c r="AM4" s="2">
        <f t="shared" si="13"/>
        <v>5627.8375717832278</v>
      </c>
      <c r="AN4" s="2">
        <f t="shared" si="14"/>
        <v>5619.5658717740425</v>
      </c>
      <c r="AO4" s="2">
        <f t="shared" si="15"/>
        <v>5614.1868795733999</v>
      </c>
      <c r="AP4" s="2">
        <f t="shared" si="16"/>
        <v>5607.5578036030483</v>
      </c>
      <c r="AQ4" s="2">
        <f t="shared" si="17"/>
        <v>5343.1911525840997</v>
      </c>
      <c r="AR4" s="2">
        <f t="shared" si="18"/>
        <v>4367.9191662396088</v>
      </c>
      <c r="AS4" s="2">
        <f t="shared" si="19"/>
        <v>3239.5923652397146</v>
      </c>
      <c r="AX4" s="2">
        <f t="shared" ref="AX4:AX32" si="28">AL4</f>
        <v>1E-14</v>
      </c>
      <c r="AY4" s="37">
        <f t="shared" si="20"/>
        <v>17890.224072091831</v>
      </c>
      <c r="AZ4" s="37">
        <f t="shared" si="21"/>
        <v>17800.978589979797</v>
      </c>
      <c r="BA4" s="37">
        <f t="shared" si="22"/>
        <v>17744.455785348626</v>
      </c>
      <c r="BB4" s="37">
        <f t="shared" si="23"/>
        <v>17688.670543982822</v>
      </c>
      <c r="BC4" s="37">
        <f t="shared" si="24"/>
        <v>17927.525958186816</v>
      </c>
      <c r="BD4" s="37">
        <f t="shared" si="25"/>
        <v>20071.601711522675</v>
      </c>
      <c r="BE4" s="37">
        <f t="shared" si="26"/>
        <v>31991.394863205656</v>
      </c>
      <c r="BF4" s="5"/>
      <c r="BG4" s="5"/>
    </row>
    <row r="5" spans="1:308" x14ac:dyDescent="0.25">
      <c r="A5" s="2">
        <f>'creep_res-40'!A5</f>
        <v>1E-13</v>
      </c>
      <c r="B5" s="3">
        <f>'creep_res-40'!O5</f>
        <v>-6.5440331428571433E-4</v>
      </c>
      <c r="C5" s="2">
        <f>IF('Modell einstellen'!$B$2="Ja",creep_res0!O5,creep_res0!C5)</f>
        <v>-6.5558654285714291E-4</v>
      </c>
      <c r="D5" s="2">
        <f>IF('Modell einstellen'!$B$2="Ja",creep_res25!O5,creep_res25!C5)</f>
        <v>-6.5635940000000005E-4</v>
      </c>
      <c r="E5" s="2">
        <f>IF('Modell einstellen'!$B$2="Ja",creep_res50!O5,creep_res50!C5)</f>
        <v>-6.5826888571428571E-4</v>
      </c>
      <c r="F5" s="2">
        <f>IF('Modell einstellen'!$B$2="Ja",creep_res80!O5,creep_res80!C5)</f>
        <v>-6.9870320000000002E-4</v>
      </c>
      <c r="G5" s="2">
        <f>IF('Modell einstellen'!$B$2="Ja",creep_res125!O5,creep_res125!C5)</f>
        <v>-8.4497211428571429E-4</v>
      </c>
      <c r="H5" s="2">
        <f>IF('Modell einstellen'!$B$2="Ja",creep_res160!O5,creep_res160!C5)</f>
        <v>-1.1109540285714286E-3</v>
      </c>
      <c r="M5" s="9">
        <f t="shared" si="27"/>
        <v>-10</v>
      </c>
      <c r="N5" s="2">
        <f t="shared" si="4"/>
        <v>1E-13</v>
      </c>
      <c r="O5" s="2">
        <f t="shared" si="5"/>
        <v>15281.096201224267</v>
      </c>
      <c r="P5" s="2">
        <f t="shared" si="6"/>
        <v>15253.516273257417</v>
      </c>
      <c r="Q5" s="2">
        <f t="shared" si="7"/>
        <v>15235.55539846005</v>
      </c>
      <c r="R5" s="2">
        <f t="shared" si="8"/>
        <v>15191.360577750882</v>
      </c>
      <c r="S5" s="2">
        <f t="shared" si="9"/>
        <v>14312.228711704769</v>
      </c>
      <c r="T5" s="2">
        <f t="shared" si="10"/>
        <v>11834.710082063908</v>
      </c>
      <c r="U5" s="2">
        <f t="shared" si="11"/>
        <v>9001.2725484770599</v>
      </c>
      <c r="Z5" s="2">
        <v>1E-13</v>
      </c>
      <c r="AA5" s="3">
        <f>IF('Modell einstellen'!$B$2="Ja",'creep_res-40'!P5,'creep_res-40'!L5)</f>
        <v>0.35763969672525237</v>
      </c>
      <c r="AB5" s="2">
        <f>IF('Modell einstellen'!$B$2="Ja",creep_res0!P5,creep_res0!L5)</f>
        <v>0.35718419043640259</v>
      </c>
      <c r="AC5" s="2">
        <f>IF('Modell einstellen'!$B$2="Ja",creep_res25!P5,creep_res25!L5)</f>
        <v>0.3568985223644241</v>
      </c>
      <c r="AD5" s="2">
        <f>IF('Modell einstellen'!$B$2="Ja",creep_res50!P5,creep_res50!L5)</f>
        <v>0.35696149523961357</v>
      </c>
      <c r="AE5" s="2">
        <f>IF('Modell einstellen'!$B$2="Ja",creep_res80!P5,creep_res80!L5)</f>
        <v>0.3681550743884221</v>
      </c>
      <c r="AF5" s="2">
        <f>IF('Modell einstellen'!$B$2="Ja",creep_res125!P5,creep_res125!L5)</f>
        <v>0.40496453915097924</v>
      </c>
      <c r="AG5" s="2">
        <f>IF('Modell einstellen'!$B$2="Ja",creep_res160!P5,creep_res160!L5)</f>
        <v>0.46031201342496075</v>
      </c>
      <c r="AL5" s="2">
        <f t="shared" si="12"/>
        <v>1E-13</v>
      </c>
      <c r="AM5" s="2">
        <f t="shared" si="13"/>
        <v>5627.8172471251501</v>
      </c>
      <c r="AN5" s="2">
        <f t="shared" si="14"/>
        <v>5619.5453722286029</v>
      </c>
      <c r="AO5" s="2">
        <f t="shared" si="15"/>
        <v>5614.1101001096886</v>
      </c>
      <c r="AP5" s="2">
        <f t="shared" si="16"/>
        <v>5597.5650860558781</v>
      </c>
      <c r="AQ5" s="2">
        <f t="shared" si="17"/>
        <v>5230.4848257433341</v>
      </c>
      <c r="AR5" s="2">
        <f t="shared" si="18"/>
        <v>4211.7468990411771</v>
      </c>
      <c r="AS5" s="2">
        <f t="shared" si="19"/>
        <v>3081.9689442141253</v>
      </c>
      <c r="AX5" s="2">
        <f t="shared" si="28"/>
        <v>1E-13</v>
      </c>
      <c r="AY5" s="37">
        <f t="shared" si="20"/>
        <v>17890.165364114393</v>
      </c>
      <c r="AZ5" s="37">
        <f t="shared" si="21"/>
        <v>17800.919379849729</v>
      </c>
      <c r="BA5" s="37">
        <f t="shared" si="22"/>
        <v>17744.465501210168</v>
      </c>
      <c r="BB5" s="37">
        <f t="shared" si="23"/>
        <v>17700.78227444068</v>
      </c>
      <c r="BC5" s="37">
        <f t="shared" si="24"/>
        <v>18092.250732335538</v>
      </c>
      <c r="BD5" s="37">
        <f t="shared" si="25"/>
        <v>20754.902041013345</v>
      </c>
      <c r="BE5" s="37">
        <f t="shared" si="26"/>
        <v>37800.156190245332</v>
      </c>
    </row>
    <row r="6" spans="1:308" x14ac:dyDescent="0.25">
      <c r="A6" s="2">
        <f>'creep_res-40'!A6</f>
        <v>9.9999999999999998E-13</v>
      </c>
      <c r="B6" s="3">
        <f>'creep_res-40'!O6</f>
        <v>-6.5440402857142857E-4</v>
      </c>
      <c r="C6" s="2">
        <f>IF('Modell einstellen'!$B$2="Ja",creep_res0!O6,creep_res0!C6)</f>
        <v>-6.5558734285714286E-4</v>
      </c>
      <c r="D6" s="2">
        <f>IF('Modell einstellen'!$B$2="Ja",creep_res25!O6,creep_res25!C6)</f>
        <v>-6.5641682857142864E-4</v>
      </c>
      <c r="E6" s="2">
        <f>IF('Modell einstellen'!$B$2="Ja",creep_res50!O6,creep_res50!C6)</f>
        <v>-6.6676645714285727E-4</v>
      </c>
      <c r="F6" s="2">
        <f>IF('Modell einstellen'!$B$2="Ja",creep_res80!O6,creep_res80!C6)</f>
        <v>-7.1182891428571437E-4</v>
      </c>
      <c r="G6" s="2">
        <f>IF('Modell einstellen'!$B$2="Ja",creep_res125!O6,creep_res125!C6)</f>
        <v>-8.7721979999999999E-4</v>
      </c>
      <c r="H6" s="2">
        <f>IF('Modell einstellen'!$B$2="Ja",creep_res160!O6,creep_res160!C6)</f>
        <v>-1.1626929428571429E-3</v>
      </c>
      <c r="M6" s="9">
        <f t="shared" si="27"/>
        <v>-10</v>
      </c>
      <c r="N6" s="2">
        <f t="shared" si="4"/>
        <v>9.9999999999999998E-13</v>
      </c>
      <c r="O6" s="2">
        <f t="shared" si="5"/>
        <v>15281.079521820968</v>
      </c>
      <c r="P6" s="2">
        <f t="shared" si="6"/>
        <v>15253.497659699435</v>
      </c>
      <c r="Q6" s="2">
        <f t="shared" si="7"/>
        <v>15234.222470748005</v>
      </c>
      <c r="R6" s="2">
        <f t="shared" si="8"/>
        <v>14997.755050322607</v>
      </c>
      <c r="S6" s="2">
        <f t="shared" si="9"/>
        <v>14048.319475803413</v>
      </c>
      <c r="T6" s="2">
        <f t="shared" si="10"/>
        <v>11399.651489854652</v>
      </c>
      <c r="U6" s="2">
        <f t="shared" si="11"/>
        <v>8600.7230554152193</v>
      </c>
      <c r="Z6" s="2">
        <v>9.9999999999999998E-13</v>
      </c>
      <c r="AA6" s="3">
        <f>IF('Modell einstellen'!$B$2="Ja",'creep_res-40'!P6,'creep_res-40'!L6)</f>
        <v>0.35763973859574127</v>
      </c>
      <c r="AB6" s="2">
        <f>IF('Modell einstellen'!$B$2="Ja",creep_res0!P6,creep_res0!L6)</f>
        <v>0.35718426883252391</v>
      </c>
      <c r="AC6" s="2">
        <f>IF('Modell einstellen'!$B$2="Ja",creep_res25!P6,creep_res25!L6)</f>
        <v>0.35691661774667655</v>
      </c>
      <c r="AD6" s="2">
        <f>IF('Modell einstellen'!$B$2="Ja",creep_res50!P6,creep_res50!L6)</f>
        <v>0.35950801535735832</v>
      </c>
      <c r="AE6" s="2">
        <f>IF('Modell einstellen'!$B$2="Ja",creep_res80!P6,creep_res80!L6)</f>
        <v>0.37186745354381301</v>
      </c>
      <c r="AF6" s="2">
        <f>IF('Modell einstellen'!$B$2="Ja",creep_res125!P6,creep_res125!L6)</f>
        <v>0.41255543935510808</v>
      </c>
      <c r="AG6" s="2">
        <f>IF('Modell einstellen'!$B$2="Ja",creep_res160!P6,creep_res160!L6)</f>
        <v>0.47014503497582316</v>
      </c>
      <c r="AL6" s="2">
        <f t="shared" si="12"/>
        <v>9.9999999999999998E-13</v>
      </c>
      <c r="AM6" s="2">
        <f t="shared" si="13"/>
        <v>5627.8109307653194</v>
      </c>
      <c r="AN6" s="2">
        <f t="shared" si="14"/>
        <v>5619.5381902049257</v>
      </c>
      <c r="AO6" s="2">
        <f t="shared" si="15"/>
        <v>5613.5440717227957</v>
      </c>
      <c r="AP6" s="2">
        <f t="shared" si="16"/>
        <v>5515.87592015054</v>
      </c>
      <c r="AQ6" s="2">
        <f t="shared" si="17"/>
        <v>5120.1446027142574</v>
      </c>
      <c r="AR6" s="2">
        <f t="shared" si="18"/>
        <v>4035.1164889708966</v>
      </c>
      <c r="AS6" s="2">
        <f t="shared" si="19"/>
        <v>2925.1274026703973</v>
      </c>
      <c r="AX6" s="2">
        <f t="shared" si="28"/>
        <v>9.9999999999999998E-13</v>
      </c>
      <c r="AY6" s="37">
        <f t="shared" si="20"/>
        <v>17890.151098682742</v>
      </c>
      <c r="AZ6" s="37">
        <f t="shared" si="21"/>
        <v>17800.907429229064</v>
      </c>
      <c r="BA6" s="37">
        <f t="shared" si="22"/>
        <v>17745.156974013491</v>
      </c>
      <c r="BB6" s="37">
        <f t="shared" si="23"/>
        <v>17791.946267102245</v>
      </c>
      <c r="BC6" s="37">
        <f t="shared" si="24"/>
        <v>18273.160442504519</v>
      </c>
      <c r="BD6" s="37">
        <f t="shared" si="25"/>
        <v>21727.388198464927</v>
      </c>
      <c r="BE6" s="37">
        <f t="shared" si="26"/>
        <v>48013.918000184509</v>
      </c>
    </row>
    <row r="7" spans="1:308" x14ac:dyDescent="0.25">
      <c r="A7" s="2">
        <f>'creep_res-40'!A7</f>
        <v>9.9999999999999994E-12</v>
      </c>
      <c r="B7" s="3">
        <f>'creep_res-40'!O7</f>
        <v>-6.5440422857142863E-4</v>
      </c>
      <c r="C7" s="2">
        <f>IF('Modell einstellen'!$B$2="Ja",creep_res0!O7,creep_res0!C7)</f>
        <v>-6.5558848571428577E-4</v>
      </c>
      <c r="D7" s="2">
        <f>IF('Modell einstellen'!$B$2="Ja",creep_res25!O7,creep_res25!C7)</f>
        <v>-6.5697040000000013E-4</v>
      </c>
      <c r="E7" s="2">
        <f>IF('Modell einstellen'!$B$2="Ja",creep_res50!O7,creep_res50!C7)</f>
        <v>-6.8426140000000006E-4</v>
      </c>
      <c r="F7" s="2">
        <f>IF('Modell einstellen'!$B$2="Ja",creep_res80!O7,creep_res80!C7)</f>
        <v>-7.269515428571429E-4</v>
      </c>
      <c r="G7" s="2">
        <f>IF('Modell einstellen'!$B$2="Ja",creep_res125!O7,creep_res125!C7)</f>
        <v>-9.1876260000000015E-4</v>
      </c>
      <c r="H7" s="2">
        <f>IF('Modell einstellen'!$B$2="Ja",creep_res160!O7,creep_res160!C7)</f>
        <v>-1.2196940285714285E-3</v>
      </c>
      <c r="M7" s="9">
        <f t="shared" si="27"/>
        <v>-10</v>
      </c>
      <c r="N7" s="2">
        <f t="shared" si="4"/>
        <v>9.9999999999999994E-12</v>
      </c>
      <c r="O7" s="2">
        <f t="shared" si="5"/>
        <v>15281.074851594565</v>
      </c>
      <c r="P7" s="2">
        <f t="shared" si="6"/>
        <v>15253.47106898112</v>
      </c>
      <c r="Q7" s="2">
        <f t="shared" si="7"/>
        <v>15221.385925454173</v>
      </c>
      <c r="R7" s="2">
        <f t="shared" si="8"/>
        <v>14614.297986120508</v>
      </c>
      <c r="S7" s="2">
        <f t="shared" si="9"/>
        <v>13756.075075784182</v>
      </c>
      <c r="T7" s="2">
        <f t="shared" si="10"/>
        <v>10884.204472406689</v>
      </c>
      <c r="U7" s="2">
        <f t="shared" si="11"/>
        <v>8198.7775341595625</v>
      </c>
      <c r="Z7" s="2">
        <v>9.9999999999999994E-12</v>
      </c>
      <c r="AA7" s="3">
        <f>IF('Modell einstellen'!$B$2="Ja",'creep_res-40'!P7,'creep_res-40'!L7)</f>
        <v>0.35763977337205471</v>
      </c>
      <c r="AB7" s="2">
        <f>IF('Modell einstellen'!$B$2="Ja",creep_res0!P7,creep_res0!L7)</f>
        <v>0.35718460060115237</v>
      </c>
      <c r="AC7" s="2">
        <f>IF('Modell einstellen'!$B$2="Ja",creep_res25!P7,creep_res25!L7)</f>
        <v>0.3570924047719653</v>
      </c>
      <c r="AD7" s="2">
        <f>IF('Modell einstellen'!$B$2="Ja",creep_res50!P7,creep_res50!L7)</f>
        <v>0.36469229031895872</v>
      </c>
      <c r="AE7" s="2">
        <f>IF('Modell einstellen'!$B$2="Ja",creep_res80!P7,creep_res80!L7)</f>
        <v>0.37607262405857356</v>
      </c>
      <c r="AF7" s="2">
        <f>IF('Modell einstellen'!$B$2="Ja",creep_res125!P7,creep_res125!L7)</f>
        <v>0.42203462414711757</v>
      </c>
      <c r="AG7" s="2">
        <f>IF('Modell einstellen'!$B$2="Ja",creep_res160!P7,creep_res160!L7)</f>
        <v>0.48063063403887413</v>
      </c>
      <c r="AL7" s="2">
        <f t="shared" si="12"/>
        <v>9.9999999999999994E-12</v>
      </c>
      <c r="AM7" s="2">
        <f t="shared" si="13"/>
        <v>5627.8090666274475</v>
      </c>
      <c r="AN7" s="2">
        <f t="shared" si="14"/>
        <v>5619.5270202096081</v>
      </c>
      <c r="AO7" s="2">
        <f t="shared" si="15"/>
        <v>5608.0875082385601</v>
      </c>
      <c r="AP7" s="2">
        <f t="shared" si="16"/>
        <v>5354.4297457358771</v>
      </c>
      <c r="AQ7" s="2">
        <f t="shared" si="17"/>
        <v>4998.3099857085181</v>
      </c>
      <c r="AR7" s="2">
        <f t="shared" si="18"/>
        <v>3826.9829326183326</v>
      </c>
      <c r="AS7" s="2">
        <f t="shared" si="19"/>
        <v>2768.6775302611704</v>
      </c>
      <c r="AX7" s="2">
        <f t="shared" si="28"/>
        <v>9.9999999999999994E-12</v>
      </c>
      <c r="AY7" s="37">
        <f t="shared" si="20"/>
        <v>17890.150001342783</v>
      </c>
      <c r="AZ7" s="37">
        <f t="shared" si="21"/>
        <v>17800.917750218701</v>
      </c>
      <c r="BA7" s="37">
        <f t="shared" si="22"/>
        <v>17752.014161278741</v>
      </c>
      <c r="BB7" s="37">
        <f t="shared" si="23"/>
        <v>18001.312244230281</v>
      </c>
      <c r="BC7" s="37">
        <f t="shared" si="24"/>
        <v>18500.183368531787</v>
      </c>
      <c r="BD7" s="37">
        <f t="shared" si="25"/>
        <v>23267.175446668254</v>
      </c>
      <c r="BE7" s="37">
        <f t="shared" si="26"/>
        <v>70547.633056363571</v>
      </c>
    </row>
    <row r="8" spans="1:308" x14ac:dyDescent="0.25">
      <c r="A8" s="2">
        <f>'creep_res-40'!A8</f>
        <v>1E-10</v>
      </c>
      <c r="B8" s="3">
        <f>'creep_res-40'!O8</f>
        <v>-6.5440431428571435E-4</v>
      </c>
      <c r="C8" s="2">
        <f>IF('Modell einstellen'!$B$2="Ja",creep_res0!O8,creep_res0!C8)</f>
        <v>-6.555979428571429E-4</v>
      </c>
      <c r="D8" s="2">
        <f>IF('Modell einstellen'!$B$2="Ja",creep_res25!O8,creep_res25!C8)</f>
        <v>-6.6178457142857146E-4</v>
      </c>
      <c r="E8" s="2">
        <f>IF('Modell einstellen'!$B$2="Ja",creep_res50!O8,creep_res50!C8)</f>
        <v>-6.9691962857142858E-4</v>
      </c>
      <c r="F8" s="2">
        <f>IF('Modell einstellen'!$B$2="Ja",creep_res80!O8,creep_res80!C8)</f>
        <v>-7.4387068571428569E-4</v>
      </c>
      <c r="G8" s="2">
        <f>IF('Modell einstellen'!$B$2="Ja",creep_res125!O8,creep_res125!C8)</f>
        <v>-9.6440574285714287E-4</v>
      </c>
      <c r="H8" s="2">
        <f>IF('Modell einstellen'!$B$2="Ja",creep_res160!O8,creep_res160!C8)</f>
        <v>-1.2935296285714287E-3</v>
      </c>
      <c r="M8" s="9">
        <f t="shared" si="27"/>
        <v>-10</v>
      </c>
      <c r="N8" s="2">
        <f t="shared" si="4"/>
        <v>1E-10</v>
      </c>
      <c r="O8" s="2">
        <f t="shared" si="5"/>
        <v>15281.072850069839</v>
      </c>
      <c r="P8" s="2">
        <f t="shared" si="6"/>
        <v>15253.251034344743</v>
      </c>
      <c r="Q8" s="2">
        <f t="shared" si="7"/>
        <v>15110.657503563956</v>
      </c>
      <c r="R8" s="2">
        <f t="shared" si="8"/>
        <v>14348.856869619767</v>
      </c>
      <c r="S8" s="2">
        <f t="shared" si="9"/>
        <v>13443.196770682955</v>
      </c>
      <c r="T8" s="2">
        <f t="shared" si="10"/>
        <v>10369.07968877711</v>
      </c>
      <c r="U8" s="2">
        <f t="shared" si="11"/>
        <v>7730.7854254903914</v>
      </c>
      <c r="Z8" s="2">
        <v>1E-10</v>
      </c>
      <c r="AA8" s="3">
        <f>IF('Modell einstellen'!$B$2="Ja",'creep_res-40'!P8,'creep_res-40'!L8)</f>
        <v>0.35763977455440282</v>
      </c>
      <c r="AB8" s="2">
        <f>IF('Modell einstellen'!$B$2="Ja",creep_res0!P8,creep_res0!L8)</f>
        <v>0.35718762387818875</v>
      </c>
      <c r="AC8" s="2">
        <f>IF('Modell einstellen'!$B$2="Ja",creep_res25!P8,creep_res25!L8)</f>
        <v>0.35861262145730638</v>
      </c>
      <c r="AD8" s="2">
        <f>IF('Modell einstellen'!$B$2="Ja",creep_res50!P8,creep_res50!L8)</f>
        <v>0.36838174043188504</v>
      </c>
      <c r="AE8" s="2">
        <f>IF('Modell einstellen'!$B$2="Ja",creep_res80!P8,creep_res80!L8)</f>
        <v>0.38068981190816814</v>
      </c>
      <c r="AF8" s="2">
        <f>IF('Modell einstellen'!$B$2="Ja",creep_res125!P8,creep_res125!L8)</f>
        <v>0.43213035912181719</v>
      </c>
      <c r="AG8" s="2">
        <f>IF('Modell einstellen'!$B$2="Ja",creep_res160!P8,creep_res160!L8)</f>
        <v>0.49365710039398952</v>
      </c>
      <c r="AL8" s="2">
        <f t="shared" si="12"/>
        <v>1E-10</v>
      </c>
      <c r="AM8" s="2">
        <f t="shared" si="13"/>
        <v>5627.8083245923272</v>
      </c>
      <c r="AN8" s="2">
        <f t="shared" si="14"/>
        <v>5619.4334394084344</v>
      </c>
      <c r="AO8" s="2">
        <f t="shared" si="15"/>
        <v>5561.0618011761198</v>
      </c>
      <c r="AP8" s="2">
        <f t="shared" si="16"/>
        <v>5243.0021702463746</v>
      </c>
      <c r="AQ8" s="2">
        <f t="shared" si="17"/>
        <v>4868.289986185935</v>
      </c>
      <c r="AR8" s="2">
        <f t="shared" si="18"/>
        <v>3620.1591645384274</v>
      </c>
      <c r="AS8" s="2">
        <f t="shared" si="19"/>
        <v>2587.8715481120807</v>
      </c>
      <c r="AX8" s="2">
        <f t="shared" si="28"/>
        <v>1E-10</v>
      </c>
      <c r="AY8" s="37">
        <f t="shared" si="20"/>
        <v>17890.147806663277</v>
      </c>
      <c r="AZ8" s="37">
        <f t="shared" si="21"/>
        <v>17801.037800503767</v>
      </c>
      <c r="BA8" s="37">
        <f t="shared" si="22"/>
        <v>17812.36022068395</v>
      </c>
      <c r="BB8" s="37">
        <f t="shared" si="23"/>
        <v>18169.790063961402</v>
      </c>
      <c r="BC8" s="37">
        <f t="shared" si="24"/>
        <v>18779.056767468257</v>
      </c>
      <c r="BD8" s="37">
        <f t="shared" si="25"/>
        <v>25463.225173555536</v>
      </c>
      <c r="BE8" s="37">
        <f t="shared" si="26"/>
        <v>203134.8937575481</v>
      </c>
    </row>
    <row r="9" spans="1:308" x14ac:dyDescent="0.25">
      <c r="A9" s="2">
        <f>'creep_res-40'!A9</f>
        <v>1.0000000000000001E-9</v>
      </c>
      <c r="B9" s="3">
        <f>'creep_res-40'!O9</f>
        <v>-6.5440431428571435E-4</v>
      </c>
      <c r="C9" s="2">
        <f>IF('Modell einstellen'!$B$2="Ja",creep_res0!O9,creep_res0!C9)</f>
        <v>-6.5569128571428569E-4</v>
      </c>
      <c r="D9" s="2">
        <f>IF('Modell einstellen'!$B$2="Ja",creep_res25!O9,creep_res25!C9)</f>
        <v>-6.7988582857142867E-4</v>
      </c>
      <c r="E9" s="2">
        <f>IF('Modell einstellen'!$B$2="Ja",creep_res50!O9,creep_res50!C9)</f>
        <v>-7.0983691428571434E-4</v>
      </c>
      <c r="F9" s="2">
        <f>IF('Modell einstellen'!$B$2="Ja",creep_res80!O9,creep_res80!C9)</f>
        <v>-7.6384202857142868E-4</v>
      </c>
      <c r="G9" s="2">
        <f>IF('Modell einstellen'!$B$2="Ja",creep_res125!O9,creep_res125!C9)</f>
        <v>-1.0065965428571429E-3</v>
      </c>
      <c r="H9" s="2">
        <f>IF('Modell einstellen'!$B$2="Ja",creep_res160!O9,creep_res160!C9)</f>
        <v>-1.3849060571428573E-3</v>
      </c>
      <c r="M9" s="9">
        <f t="shared" si="27"/>
        <v>-10</v>
      </c>
      <c r="N9" s="2">
        <f t="shared" si="4"/>
        <v>1.0000000000000001E-9</v>
      </c>
      <c r="O9" s="2">
        <f t="shared" si="5"/>
        <v>15281.072850069839</v>
      </c>
      <c r="P9" s="2">
        <f t="shared" si="6"/>
        <v>15251.07961303218</v>
      </c>
      <c r="Q9" s="2">
        <f t="shared" si="7"/>
        <v>14708.351872860669</v>
      </c>
      <c r="R9" s="2">
        <f t="shared" si="8"/>
        <v>14087.742971303025</v>
      </c>
      <c r="S9" s="2">
        <f t="shared" si="9"/>
        <v>13091.71219434265</v>
      </c>
      <c r="T9" s="2">
        <f t="shared" si="10"/>
        <v>9934.4668635715843</v>
      </c>
      <c r="U9" s="2">
        <f t="shared" si="11"/>
        <v>7220.7063781861052</v>
      </c>
      <c r="Z9" s="2">
        <v>1.0000000000000001E-9</v>
      </c>
      <c r="AA9" s="3">
        <f>IF('Modell einstellen'!$B$2="Ja",'creep_res-40'!P9,'creep_res-40'!L9)</f>
        <v>0.35763979201848606</v>
      </c>
      <c r="AB9" s="2">
        <f>IF('Modell einstellen'!$B$2="Ja",creep_res0!P9,creep_res0!L9)</f>
        <v>0.35721754074598261</v>
      </c>
      <c r="AC9" s="2">
        <f>IF('Modell einstellen'!$B$2="Ja",creep_res25!P9,creep_res25!L9)</f>
        <v>0.36398062464605402</v>
      </c>
      <c r="AD9" s="2">
        <f>IF('Modell einstellen'!$B$2="Ja",creep_res50!P9,creep_res50!L9)</f>
        <v>0.37208003351433799</v>
      </c>
      <c r="AE9" s="2">
        <f>IF('Modell einstellen'!$B$2="Ja",creep_res80!P9,creep_res80!L9)</f>
        <v>0.38602862199891669</v>
      </c>
      <c r="AF9" s="2">
        <f>IF('Modell einstellen'!$B$2="Ja",creep_res125!P9,creep_res125!L9)</f>
        <v>0.44118839612261734</v>
      </c>
      <c r="AG9" s="2">
        <f>IF('Modell einstellen'!$B$2="Ja",creep_res160!P9,creep_res160!L9)</f>
        <v>0.50904913364727045</v>
      </c>
      <c r="AL9" s="2">
        <f t="shared" si="12"/>
        <v>1.0000000000000001E-9</v>
      </c>
      <c r="AM9" s="2">
        <f t="shared" si="13"/>
        <v>5627.808252198668</v>
      </c>
      <c r="AN9" s="2">
        <f t="shared" si="14"/>
        <v>5618.5096180858227</v>
      </c>
      <c r="AO9" s="2">
        <f t="shared" si="15"/>
        <v>5391.7011748892737</v>
      </c>
      <c r="AP9" s="2">
        <f t="shared" si="16"/>
        <v>5133.7176502815901</v>
      </c>
      <c r="AQ9" s="2">
        <f t="shared" si="17"/>
        <v>4722.7423685745798</v>
      </c>
      <c r="AR9" s="2">
        <f t="shared" si="18"/>
        <v>3446.6232486673289</v>
      </c>
      <c r="AS9" s="2">
        <f t="shared" si="19"/>
        <v>2392.4689452404186</v>
      </c>
      <c r="AX9" s="2">
        <f t="shared" si="28"/>
        <v>1.0000000000000001E-9</v>
      </c>
      <c r="AY9" s="37">
        <f t="shared" si="20"/>
        <v>17890.150001342779</v>
      </c>
      <c r="AZ9" s="37">
        <f t="shared" si="21"/>
        <v>17802.232959511875</v>
      </c>
      <c r="BA9" s="37">
        <f t="shared" si="22"/>
        <v>18022.373448129467</v>
      </c>
      <c r="BB9" s="37">
        <f t="shared" si="23"/>
        <v>18354.891940555735</v>
      </c>
      <c r="BC9" s="37">
        <f t="shared" si="24"/>
        <v>19144.73678092847</v>
      </c>
      <c r="BD9" s="37">
        <f t="shared" si="25"/>
        <v>28153.363759880132</v>
      </c>
      <c r="BE9" s="37">
        <f t="shared" si="26"/>
        <v>-132990.74916348737</v>
      </c>
    </row>
    <row r="10" spans="1:308" x14ac:dyDescent="0.25">
      <c r="A10" s="2">
        <f>'creep_res-40'!A10</f>
        <v>1E-8</v>
      </c>
      <c r="B10" s="3">
        <f>'creep_res-40'!O10</f>
        <v>-6.5440434285714288E-4</v>
      </c>
      <c r="C10" s="2">
        <f>IF('Modell einstellen'!$B$2="Ja",creep_res0!O10,creep_res0!C10)</f>
        <v>-6.5659254285714292E-4</v>
      </c>
      <c r="D10" s="2">
        <f>IF('Modell einstellen'!$B$2="Ja",creep_res25!O10,creep_res25!C10)</f>
        <v>-6.9310382857142863E-4</v>
      </c>
      <c r="E10" s="2">
        <f>IF('Modell einstellen'!$B$2="Ja",creep_res50!O10,creep_res50!C10)</f>
        <v>-7.2485928571428579E-4</v>
      </c>
      <c r="F10" s="2">
        <f>IF('Modell einstellen'!$B$2="Ja",creep_res80!O10,creep_res80!C10)</f>
        <v>-7.8660660000000001E-4</v>
      </c>
      <c r="G10" s="2">
        <f>IF('Modell einstellen'!$B$2="Ja",creep_res125!O10,creep_res125!C10)</f>
        <v>-1.0500243142857143E-3</v>
      </c>
      <c r="H10" s="2">
        <f>IF('Modell einstellen'!$B$2="Ja",creep_res160!O10,creep_res160!C10)</f>
        <v>-1.5058213428571429E-3</v>
      </c>
      <c r="M10" s="9">
        <f t="shared" si="27"/>
        <v>-10</v>
      </c>
      <c r="N10" s="2">
        <f t="shared" si="4"/>
        <v>1E-8</v>
      </c>
      <c r="O10" s="2">
        <f t="shared" si="5"/>
        <v>15281.072182895048</v>
      </c>
      <c r="P10" s="2">
        <f t="shared" si="6"/>
        <v>15230.145557982272</v>
      </c>
      <c r="Q10" s="2">
        <f t="shared" si="7"/>
        <v>14427.852780168907</v>
      </c>
      <c r="R10" s="2">
        <f t="shared" si="8"/>
        <v>13795.781053071383</v>
      </c>
      <c r="S10" s="2">
        <f t="shared" si="9"/>
        <v>12712.835107155215</v>
      </c>
      <c r="T10" s="2">
        <f t="shared" si="10"/>
        <v>9523.5889911773738</v>
      </c>
      <c r="U10" s="2">
        <f t="shared" si="11"/>
        <v>6640.8940525613862</v>
      </c>
      <c r="Z10" s="2">
        <v>1E-8</v>
      </c>
      <c r="AA10" s="3">
        <f>IF('Modell einstellen'!$B$2="Ja",'creep_res-40'!P10,'creep_res-40'!L10)</f>
        <v>0.35763978076987968</v>
      </c>
      <c r="AB10" s="2">
        <f>IF('Modell einstellen'!$B$2="Ja",creep_res0!P10,creep_res0!L10)</f>
        <v>0.35750611414193423</v>
      </c>
      <c r="AC10" s="2">
        <f>IF('Modell einstellen'!$B$2="Ja",creep_res25!P10,creep_res25!L10)</f>
        <v>0.36788517440841889</v>
      </c>
      <c r="AD10" s="2">
        <f>IF('Modell einstellen'!$B$2="Ja",creep_res50!P10,creep_res50!L10)</f>
        <v>0.37630912403688199</v>
      </c>
      <c r="AE10" s="2">
        <f>IF('Modell einstellen'!$B$2="Ja",creep_res80!P10,creep_res80!L10)</f>
        <v>0.39197778697218444</v>
      </c>
      <c r="AF10" s="2">
        <f>IF('Modell einstellen'!$B$2="Ja",creep_res125!P10,creep_res125!L10)</f>
        <v>0.45020190144712569</v>
      </c>
      <c r="AG10" s="2">
        <f>IF('Modell einstellen'!$B$2="Ja",creep_res160!P10,creep_res160!L10)</f>
        <v>0.52820052813322738</v>
      </c>
      <c r="AL10" s="2">
        <f t="shared" si="12"/>
        <v>1E-8</v>
      </c>
      <c r="AM10" s="2">
        <f t="shared" si="13"/>
        <v>5627.808053116114</v>
      </c>
      <c r="AN10" s="2">
        <f t="shared" si="14"/>
        <v>5609.604774269872</v>
      </c>
      <c r="AO10" s="2">
        <f t="shared" si="15"/>
        <v>5273.7806689105482</v>
      </c>
      <c r="AP10" s="2">
        <f t="shared" si="16"/>
        <v>5011.8758976932013</v>
      </c>
      <c r="AQ10" s="2">
        <f t="shared" si="17"/>
        <v>4566.4647906515956</v>
      </c>
      <c r="AR10" s="2">
        <f t="shared" si="18"/>
        <v>3283.5389960784037</v>
      </c>
      <c r="AS10" s="2">
        <f t="shared" si="19"/>
        <v>2172.7822789963197</v>
      </c>
      <c r="AX10" s="2">
        <f t="shared" si="28"/>
        <v>1E-8</v>
      </c>
      <c r="AY10" s="37">
        <f t="shared" si="20"/>
        <v>17890.147806663284</v>
      </c>
      <c r="AZ10" s="37">
        <f t="shared" si="21"/>
        <v>17813.800063852799</v>
      </c>
      <c r="BA10" s="37">
        <f t="shared" si="22"/>
        <v>18201.152817336686</v>
      </c>
      <c r="BB10" s="37">
        <f t="shared" si="23"/>
        <v>18589.057796503643</v>
      </c>
      <c r="BC10" s="37">
        <f t="shared" si="24"/>
        <v>19614.538452817538</v>
      </c>
      <c r="BD10" s="37">
        <f t="shared" si="25"/>
        <v>31874.00479111827</v>
      </c>
      <c r="BE10" s="37">
        <f t="shared" si="26"/>
        <v>-39248.047774069455</v>
      </c>
    </row>
    <row r="11" spans="1:308" x14ac:dyDescent="0.25">
      <c r="A11" s="2">
        <f>'creep_res-40'!A11</f>
        <v>9.9999999999999995E-8</v>
      </c>
      <c r="B11" s="3">
        <f>'creep_res-40'!O11</f>
        <v>-6.5440434285714288E-4</v>
      </c>
      <c r="C11" s="2">
        <f>IF('Modell einstellen'!$B$2="Ja",creep_res0!O11,creep_res0!C11)</f>
        <v>-6.6432717142857146E-4</v>
      </c>
      <c r="D11" s="2">
        <f>IF('Modell einstellen'!$B$2="Ja",creep_res25!O11,creep_res25!C11)</f>
        <v>-7.0554688571428581E-4</v>
      </c>
      <c r="E11" s="2">
        <f>IF('Modell einstellen'!$B$2="Ja",creep_res50!O11,creep_res50!C11)</f>
        <v>-7.4154751428571434E-4</v>
      </c>
      <c r="F11" s="2">
        <f>IF('Modell einstellen'!$B$2="Ja",creep_res80!O11,creep_res80!C11)</f>
        <v>-8.1115248571428573E-4</v>
      </c>
      <c r="G11" s="2">
        <f>IF('Modell einstellen'!$B$2="Ja",creep_res125!O11,creep_res125!C11)</f>
        <v>-1.0958992000000001E-3</v>
      </c>
      <c r="H11" s="2">
        <f>IF('Modell einstellen'!$B$2="Ja",creep_res160!O11,creep_res160!C11)</f>
        <v>-1.6706613714285716E-3</v>
      </c>
      <c r="M11" s="9">
        <f t="shared" si="27"/>
        <v>-10</v>
      </c>
      <c r="N11" s="2">
        <f t="shared" si="4"/>
        <v>9.9999999999999995E-8</v>
      </c>
      <c r="O11" s="2">
        <f t="shared" si="5"/>
        <v>15281.072182895048</v>
      </c>
      <c r="P11" s="2">
        <f t="shared" si="6"/>
        <v>15052.824015155011</v>
      </c>
      <c r="Q11" s="2">
        <f t="shared" si="7"/>
        <v>14173.402508716539</v>
      </c>
      <c r="R11" s="2">
        <f t="shared" si="8"/>
        <v>13485.312548896298</v>
      </c>
      <c r="S11" s="2">
        <f t="shared" si="9"/>
        <v>12328.138267608447</v>
      </c>
      <c r="T11" s="2">
        <f t="shared" si="10"/>
        <v>9124.9268180869185</v>
      </c>
      <c r="U11" s="2">
        <f t="shared" si="11"/>
        <v>5985.6534489985033</v>
      </c>
      <c r="Z11" s="2">
        <v>9.9999999999999995E-8</v>
      </c>
      <c r="AA11" s="3">
        <f>IF('Modell einstellen'!$B$2="Ja",'creep_res-40'!P11,'creep_res-40'!L11)</f>
        <v>0.35763979823396214</v>
      </c>
      <c r="AB11" s="2">
        <f>IF('Modell einstellen'!$B$2="Ja",creep_res0!P11,creep_res0!L11)</f>
        <v>0.35986347690731219</v>
      </c>
      <c r="AC11" s="2">
        <f>IF('Modell einstellen'!$B$2="Ja",creep_res25!P11,creep_res25!L11)</f>
        <v>0.37149393453289181</v>
      </c>
      <c r="AD11" s="2">
        <f>IF('Modell einstellen'!$B$2="Ja",creep_res50!P11,creep_res50!L11)</f>
        <v>0.38092130730626911</v>
      </c>
      <c r="AE11" s="2">
        <f>IF('Modell einstellen'!$B$2="Ja",creep_res80!P11,creep_res80!L11)</f>
        <v>0.39824437448558647</v>
      </c>
      <c r="AF11" s="2">
        <f>IF('Modell einstellen'!$B$2="Ja",creep_res125!P11,creep_res125!L11)</f>
        <v>0.45945049377846842</v>
      </c>
      <c r="AG11" s="2">
        <f>IF('Modell einstellen'!$B$2="Ja",creep_res160!P11,creep_res160!L11)</f>
        <v>0.55232468414390823</v>
      </c>
      <c r="AL11" s="2">
        <f t="shared" si="12"/>
        <v>9.9999999999999995E-8</v>
      </c>
      <c r="AM11" s="2">
        <f t="shared" si="13"/>
        <v>5627.8079807224613</v>
      </c>
      <c r="AN11" s="2">
        <f t="shared" si="14"/>
        <v>5534.6820731552771</v>
      </c>
      <c r="AO11" s="2">
        <f t="shared" si="15"/>
        <v>5167.1400623232676</v>
      </c>
      <c r="AP11" s="2">
        <f t="shared" si="16"/>
        <v>4882.7230333645084</v>
      </c>
      <c r="AQ11" s="2">
        <f t="shared" si="17"/>
        <v>4408.434781704007</v>
      </c>
      <c r="AR11" s="2">
        <f t="shared" si="18"/>
        <v>3126.1515402495047</v>
      </c>
      <c r="AS11" s="2">
        <f t="shared" si="19"/>
        <v>1927.9643975704516</v>
      </c>
      <c r="AX11" s="2">
        <f t="shared" si="28"/>
        <v>9.9999999999999995E-8</v>
      </c>
      <c r="AY11" s="37">
        <f t="shared" si="20"/>
        <v>17890.150001342783</v>
      </c>
      <c r="AZ11" s="37">
        <f t="shared" si="21"/>
        <v>17902.570630116781</v>
      </c>
      <c r="BA11" s="37">
        <f t="shared" si="22"/>
        <v>18382.274353091783</v>
      </c>
      <c r="BB11" s="37">
        <f t="shared" si="23"/>
        <v>18874.510969509851</v>
      </c>
      <c r="BC11" s="37">
        <f t="shared" si="24"/>
        <v>20192.39428661397</v>
      </c>
      <c r="BD11" s="37">
        <f t="shared" si="25"/>
        <v>37505.293604297243</v>
      </c>
      <c r="BE11" s="37">
        <f t="shared" si="26"/>
        <v>-19065.74161867275</v>
      </c>
    </row>
    <row r="12" spans="1:308" x14ac:dyDescent="0.25">
      <c r="A12" s="2">
        <f>'creep_res-40'!A12</f>
        <v>9.9999999999999995E-7</v>
      </c>
      <c r="B12" s="3">
        <f>'creep_res-40'!O12</f>
        <v>-6.5440448571428577E-4</v>
      </c>
      <c r="C12" s="2">
        <f>IF('Modell einstellen'!$B$2="Ja",creep_res0!O12,creep_res0!C12)</f>
        <v>-6.8198111428571437E-4</v>
      </c>
      <c r="D12" s="2">
        <f>IF('Modell einstellen'!$B$2="Ja",creep_res25!O12,creep_res25!C12)</f>
        <v>-7.2022191428571436E-4</v>
      </c>
      <c r="E12" s="2">
        <f>IF('Modell einstellen'!$B$2="Ja",creep_res50!O12,creep_res50!C12)</f>
        <v>-7.6130077142857143E-4</v>
      </c>
      <c r="F12" s="2">
        <f>IF('Modell einstellen'!$B$2="Ja",creep_res80!O12,creep_res80!C12)</f>
        <v>-8.3640171428571431E-4</v>
      </c>
      <c r="G12" s="2">
        <f>IF('Modell einstellen'!$B$2="Ja",creep_res125!O12,creep_res125!C12)</f>
        <v>-1.1455540285714287E-3</v>
      </c>
      <c r="H12" s="2">
        <f>IF('Modell einstellen'!$B$2="Ja",creep_res160!O12,creep_res160!C12)</f>
        <v>-1.9194069142857144E-3</v>
      </c>
      <c r="M12" s="9">
        <f t="shared" si="27"/>
        <v>-10</v>
      </c>
      <c r="N12" s="2">
        <f t="shared" si="4"/>
        <v>9.9999999999999995E-7</v>
      </c>
      <c r="O12" s="2">
        <f t="shared" si="5"/>
        <v>15281.068847021961</v>
      </c>
      <c r="P12" s="2">
        <f t="shared" si="6"/>
        <v>14663.162645601538</v>
      </c>
      <c r="Q12" s="2">
        <f t="shared" si="7"/>
        <v>13884.609453903631</v>
      </c>
      <c r="R12" s="2">
        <f t="shared" si="8"/>
        <v>13135.412934411093</v>
      </c>
      <c r="S12" s="2">
        <f t="shared" si="9"/>
        <v>11955.97740798509</v>
      </c>
      <c r="T12" s="2">
        <f t="shared" si="10"/>
        <v>8729.4005787492806</v>
      </c>
      <c r="U12" s="2">
        <f t="shared" si="11"/>
        <v>5209.9426784243851</v>
      </c>
      <c r="Z12" s="2">
        <v>9.9999999999999995E-7</v>
      </c>
      <c r="AA12" s="3">
        <f>IF('Modell einstellen'!$B$2="Ja",'creep_res-40'!P12,'creep_res-40'!L12)</f>
        <v>0.35763983367735386</v>
      </c>
      <c r="AB12" s="2">
        <f>IF('Modell einstellen'!$B$2="Ja",creep_res0!P12,creep_res0!L12)</f>
        <v>0.36518361903528196</v>
      </c>
      <c r="AC12" s="2">
        <f>IF('Modell einstellen'!$B$2="Ja",creep_res25!P12,creep_res25!L12)</f>
        <v>0.37567708000474614</v>
      </c>
      <c r="AD12" s="2">
        <f>IF('Modell einstellen'!$B$2="Ja",creep_res50!P12,creep_res50!L12)</f>
        <v>0.38626986060362029</v>
      </c>
      <c r="AE12" s="2">
        <f>IF('Modell einstellen'!$B$2="Ja",creep_res80!P12,creep_res80!L12)</f>
        <v>0.4045365419077504</v>
      </c>
      <c r="AF12" s="2">
        <f>IF('Modell einstellen'!$B$2="Ja",creep_res125!P12,creep_res125!L12)</f>
        <v>0.46913896260451993</v>
      </c>
      <c r="AG12" s="2">
        <f>IF('Modell einstellen'!$B$2="Ja",creep_res160!P12,creep_res160!L12)</f>
        <v>0.58482450576027634</v>
      </c>
      <c r="AL12" s="2">
        <f t="shared" si="12"/>
        <v>9.9999999999999995E-7</v>
      </c>
      <c r="AM12" s="2">
        <f t="shared" si="13"/>
        <v>5627.8066052434133</v>
      </c>
      <c r="AN12" s="2">
        <f t="shared" si="14"/>
        <v>5370.399425083704</v>
      </c>
      <c r="AO12" s="2">
        <f t="shared" si="15"/>
        <v>5046.4639033804824</v>
      </c>
      <c r="AP12" s="2">
        <f t="shared" si="16"/>
        <v>4737.6825060207148</v>
      </c>
      <c r="AQ12" s="2">
        <f t="shared" si="17"/>
        <v>4256.2001953133786</v>
      </c>
      <c r="AR12" s="2">
        <f t="shared" si="18"/>
        <v>2970.9240585633979</v>
      </c>
      <c r="AS12" s="2">
        <f t="shared" si="19"/>
        <v>1643.6970338003</v>
      </c>
      <c r="AX12" s="2">
        <f t="shared" si="28"/>
        <v>9.9999999999999995E-7</v>
      </c>
      <c r="AY12" s="37">
        <f t="shared" si="20"/>
        <v>17890.150550012742</v>
      </c>
      <c r="AZ12" s="37">
        <f t="shared" si="21"/>
        <v>18127.325651718518</v>
      </c>
      <c r="BA12" s="37">
        <f t="shared" si="22"/>
        <v>18613.635971057858</v>
      </c>
      <c r="BB12" s="37">
        <f t="shared" si="23"/>
        <v>19249.387195758627</v>
      </c>
      <c r="BC12" s="37">
        <f t="shared" si="24"/>
        <v>20873.567133984088</v>
      </c>
      <c r="BD12" s="37">
        <f t="shared" si="25"/>
        <v>47143.590081365801</v>
      </c>
      <c r="BE12" s="37">
        <f t="shared" si="26"/>
        <v>-10236.708978787085</v>
      </c>
    </row>
    <row r="13" spans="1:308" x14ac:dyDescent="0.25">
      <c r="A13" s="2">
        <f>'creep_res-40'!A13</f>
        <v>1.0000000000000001E-5</v>
      </c>
      <c r="B13" s="3">
        <f>'creep_res-40'!O13</f>
        <v>-6.5440582857142864E-4</v>
      </c>
      <c r="C13" s="2">
        <f>IF('Modell einstellen'!$B$2="Ja",creep_res0!O13,creep_res0!C13)</f>
        <v>-6.9466899999999997E-4</v>
      </c>
      <c r="D13" s="2">
        <f>IF('Modell einstellen'!$B$2="Ja",creep_res25!O13,creep_res25!C13)</f>
        <v>-7.3623651428571431E-4</v>
      </c>
      <c r="E13" s="2">
        <f>IF('Modell einstellen'!$B$2="Ja",creep_res50!O13,creep_res50!C13)</f>
        <v>-7.8384359999999998E-4</v>
      </c>
      <c r="F13" s="2">
        <f>IF('Modell einstellen'!$B$2="Ja",creep_res80!O13,creep_res80!C13)</f>
        <v>-8.6621125714285722E-4</v>
      </c>
      <c r="G13" s="2">
        <f>IF('Modell einstellen'!$B$2="Ja",creep_res125!O13,creep_res125!C13)</f>
        <v>-1.2005413142857145E-3</v>
      </c>
      <c r="H13" s="2">
        <f>IF('Modell einstellen'!$B$2="Ja",creep_res160!O13,creep_res160!C13)</f>
        <v>-2.3250146857142859E-3</v>
      </c>
      <c r="M13" s="9">
        <f t="shared" si="27"/>
        <v>-10</v>
      </c>
      <c r="N13" s="2">
        <f t="shared" si="4"/>
        <v>1.0000000000000001E-5</v>
      </c>
      <c r="O13" s="2">
        <f t="shared" si="5"/>
        <v>15281.037489886136</v>
      </c>
      <c r="P13" s="2">
        <f t="shared" si="6"/>
        <v>14395.345121201608</v>
      </c>
      <c r="Q13" s="2">
        <f t="shared" si="7"/>
        <v>13582.591743227855</v>
      </c>
      <c r="R13" s="2">
        <f t="shared" si="8"/>
        <v>12757.647061224969</v>
      </c>
      <c r="S13" s="2">
        <f t="shared" si="9"/>
        <v>11544.527870700231</v>
      </c>
      <c r="T13" s="2">
        <f t="shared" si="10"/>
        <v>8329.5759013088991</v>
      </c>
      <c r="U13" s="2">
        <f t="shared" si="11"/>
        <v>4301.0481015210544</v>
      </c>
      <c r="Z13" s="2">
        <v>1.0000000000000001E-5</v>
      </c>
      <c r="AA13" s="3">
        <f>IF('Modell einstellen'!$B$2="Ja",'creep_res-40'!P13,'creep_res-40'!L13)</f>
        <v>0.35764026115031106</v>
      </c>
      <c r="AB13" s="2">
        <f>IF('Modell einstellen'!$B$2="Ja",creep_res0!P13,creep_res0!L13)</f>
        <v>0.36894732393618918</v>
      </c>
      <c r="AC13" s="2">
        <f>IF('Modell einstellen'!$B$2="Ja",creep_res25!P13,creep_res25!L13)</f>
        <v>0.38016321075083098</v>
      </c>
      <c r="AD13" s="2">
        <f>IF('Modell einstellen'!$B$2="Ja",creep_res50!P13,creep_res50!L13)</f>
        <v>0.39223816004694234</v>
      </c>
      <c r="AE13" s="2">
        <f>IF('Modell einstellen'!$B$2="Ja",creep_res80!P13,creep_res80!L13)</f>
        <v>0.41176375515652824</v>
      </c>
      <c r="AF13" s="2">
        <f>IF('Modell einstellen'!$B$2="Ja",creep_res125!P13,creep_res125!L13)</f>
        <v>0.47952302278119963</v>
      </c>
      <c r="AG13" s="2">
        <f>IF('Modell einstellen'!$B$2="Ja",creep_res160!P13,creep_res160!L13)</f>
        <v>0.62959096024880401</v>
      </c>
      <c r="AL13" s="2">
        <f t="shared" si="12"/>
        <v>1.0000000000000001E-5</v>
      </c>
      <c r="AM13" s="2">
        <f t="shared" si="13"/>
        <v>5627.7932848495184</v>
      </c>
      <c r="AN13" s="2">
        <f t="shared" si="14"/>
        <v>5257.8155746015464</v>
      </c>
      <c r="AO13" s="2">
        <f t="shared" si="15"/>
        <v>4920.6469341545144</v>
      </c>
      <c r="AP13" s="2">
        <f t="shared" si="16"/>
        <v>4581.7042756516666</v>
      </c>
      <c r="AQ13" s="2">
        <f t="shared" si="17"/>
        <v>4088.6897076558816</v>
      </c>
      <c r="AR13" s="2">
        <f t="shared" si="18"/>
        <v>2814.9531210575578</v>
      </c>
      <c r="AS13" s="2">
        <f t="shared" si="19"/>
        <v>1319.6710728146086</v>
      </c>
      <c r="AX13" s="2">
        <f t="shared" si="28"/>
        <v>1.0000000000000001E-5</v>
      </c>
      <c r="AY13" s="37">
        <f t="shared" si="20"/>
        <v>17890.167558798203</v>
      </c>
      <c r="AZ13" s="37">
        <f t="shared" si="21"/>
        <v>18307.326938510811</v>
      </c>
      <c r="BA13" s="37">
        <f t="shared" si="22"/>
        <v>18890.403395497124</v>
      </c>
      <c r="BB13" s="37">
        <f t="shared" si="23"/>
        <v>19731.237988608878</v>
      </c>
      <c r="BC13" s="37">
        <f t="shared" si="24"/>
        <v>21806.095464095375</v>
      </c>
      <c r="BD13" s="37">
        <f t="shared" si="25"/>
        <v>67796.268725813425</v>
      </c>
      <c r="BE13" s="37">
        <f t="shared" si="26"/>
        <v>-5531.5690915263876</v>
      </c>
    </row>
    <row r="14" spans="1:308" x14ac:dyDescent="0.25">
      <c r="A14" s="2">
        <f>'creep_res-40'!A14</f>
        <v>1E-4</v>
      </c>
      <c r="B14" s="3">
        <f>'creep_res-40'!O14</f>
        <v>-6.5441911428571441E-4</v>
      </c>
      <c r="C14" s="2">
        <f>IF('Modell einstellen'!$B$2="Ja",creep_res0!O14,creep_res0!C14)</f>
        <v>-7.0743394285714299E-4</v>
      </c>
      <c r="D14" s="2">
        <f>IF('Modell einstellen'!$B$2="Ja",creep_res25!O14,creep_res25!C14)</f>
        <v>-7.5526031428571443E-4</v>
      </c>
      <c r="E14" s="2">
        <f>IF('Modell einstellen'!$B$2="Ja",creep_res50!O14,creep_res50!C14)</f>
        <v>-8.0832005714285714E-4</v>
      </c>
      <c r="F14" s="2">
        <f>IF('Modell einstellen'!$B$2="Ja",creep_res80!O14,creep_res80!C14)</f>
        <v>-9.0536308571428567E-4</v>
      </c>
      <c r="G14" s="2">
        <f>IF('Modell einstellen'!$B$2="Ja",creep_res125!O14,creep_res125!C14)</f>
        <v>-1.2687796E-3</v>
      </c>
      <c r="H14" s="2">
        <f>IF('Modell einstellen'!$B$2="Ja",creep_res160!O14,creep_res160!C14)</f>
        <v>-3.0115682857142861E-3</v>
      </c>
      <c r="M14" s="9">
        <f t="shared" si="27"/>
        <v>-10</v>
      </c>
      <c r="N14" s="2">
        <f t="shared" si="4"/>
        <v>1E-4</v>
      </c>
      <c r="O14" s="2">
        <f t="shared" si="5"/>
        <v>15280.727261328244</v>
      </c>
      <c r="P14" s="2">
        <f t="shared" si="6"/>
        <v>14135.595416319131</v>
      </c>
      <c r="Q14" s="2">
        <f t="shared" si="7"/>
        <v>13240.467969586718</v>
      </c>
      <c r="R14" s="2">
        <f t="shared" si="8"/>
        <v>12371.337209355757</v>
      </c>
      <c r="S14" s="2">
        <f t="shared" si="9"/>
        <v>11045.292389086646</v>
      </c>
      <c r="T14" s="2">
        <f t="shared" si="10"/>
        <v>7881.5895211429943</v>
      </c>
      <c r="U14" s="2">
        <f t="shared" si="11"/>
        <v>3320.5290570484913</v>
      </c>
      <c r="Z14" s="2">
        <v>1E-4</v>
      </c>
      <c r="AA14" s="3">
        <f>IF('Modell einstellen'!$B$2="Ja",'creep_res-40'!P14,'creep_res-40'!L14)</f>
        <v>0.35764459202619342</v>
      </c>
      <c r="AB14" s="2">
        <f>IF('Modell einstellen'!$B$2="Ja",creep_res0!P14,creep_res0!L14)</f>
        <v>0.37266710171990614</v>
      </c>
      <c r="AC14" s="2">
        <f>IF('Modell einstellen'!$B$2="Ja",creep_res25!P14,creep_res25!L14)</f>
        <v>0.38538579943165097</v>
      </c>
      <c r="AD14" s="2">
        <f>IF('Modell einstellen'!$B$2="Ja",creep_res50!P14,creep_res50!L14)</f>
        <v>0.39856882008760186</v>
      </c>
      <c r="AE14" s="2">
        <f>IF('Modell einstellen'!$B$2="Ja",creep_res80!P14,creep_res80!L14)</f>
        <v>0.42096534719393408</v>
      </c>
      <c r="AF14" s="2">
        <f>IF('Modell einstellen'!$B$2="Ja",creep_res125!P14,creep_res125!L14)</f>
        <v>0.49188883103551972</v>
      </c>
      <c r="AG14" s="2">
        <f>IF('Modell einstellen'!$B$2="Ja",creep_res160!P14,creep_res160!L14)</f>
        <v>0.6879203896517514</v>
      </c>
      <c r="AL14" s="2">
        <f t="shared" si="12"/>
        <v>1E-4</v>
      </c>
      <c r="AM14" s="2">
        <f t="shared" si="13"/>
        <v>5627.6610797391322</v>
      </c>
      <c r="AN14" s="2">
        <f t="shared" si="14"/>
        <v>5148.9525022518937</v>
      </c>
      <c r="AO14" s="2">
        <f t="shared" si="15"/>
        <v>4778.6212241451321</v>
      </c>
      <c r="AP14" s="2">
        <f t="shared" si="16"/>
        <v>4422.8560767502513</v>
      </c>
      <c r="AQ14" s="2">
        <f t="shared" si="17"/>
        <v>3886.5453020717396</v>
      </c>
      <c r="AR14" s="2">
        <f t="shared" si="18"/>
        <v>2641.4801683555684</v>
      </c>
      <c r="AS14" s="2">
        <f t="shared" si="19"/>
        <v>983.6154232764427</v>
      </c>
      <c r="AX14" s="2">
        <f t="shared" si="28"/>
        <v>1E-4</v>
      </c>
      <c r="AY14" s="37">
        <f t="shared" si="20"/>
        <v>17890.348622067453</v>
      </c>
      <c r="AZ14" s="37">
        <f t="shared" si="21"/>
        <v>18502.151456603013</v>
      </c>
      <c r="BA14" s="37">
        <f t="shared" si="22"/>
        <v>19253.675815518305</v>
      </c>
      <c r="BB14" s="37">
        <f t="shared" si="23"/>
        <v>20327.965588819865</v>
      </c>
      <c r="BC14" s="37">
        <f t="shared" si="24"/>
        <v>23292.087704426362</v>
      </c>
      <c r="BD14" s="37">
        <f t="shared" si="25"/>
        <v>161949.31449168763</v>
      </c>
      <c r="BE14" s="37">
        <f t="shared" si="26"/>
        <v>-2944.9785120905003</v>
      </c>
    </row>
    <row r="15" spans="1:308" x14ac:dyDescent="0.25">
      <c r="A15" s="2">
        <f>'creep_res-40'!A15</f>
        <v>1E-3</v>
      </c>
      <c r="B15" s="3">
        <f>'creep_res-40'!O15</f>
        <v>-6.545510285714286E-4</v>
      </c>
      <c r="C15" s="2">
        <f>IF('Modell einstellen'!$B$2="Ja",creep_res0!O15,creep_res0!C15)</f>
        <v>-7.2235682857142854E-4</v>
      </c>
      <c r="D15" s="2">
        <f>IF('Modell einstellen'!$B$2="Ja",creep_res25!O15,creep_res25!C15)</f>
        <v>-7.7708708571428569E-4</v>
      </c>
      <c r="E15" s="2">
        <f>IF('Modell einstellen'!$B$2="Ja",creep_res50!O15,creep_res50!C15)</f>
        <v>-8.3339802857142859E-4</v>
      </c>
      <c r="F15" s="2">
        <f>IF('Modell einstellen'!$B$2="Ja",creep_res80!O15,creep_res80!C15)</f>
        <v>-9.5081022857142856E-4</v>
      </c>
      <c r="G15" s="2">
        <f>IF('Modell einstellen'!$B$2="Ja",creep_res125!O15,creep_res125!C15)</f>
        <v>-1.3549035142857145E-3</v>
      </c>
      <c r="H15" s="2">
        <f>IF('Modell einstellen'!$B$2="Ja",creep_res160!O15,creep_res160!C15)</f>
        <v>-4.1215134285714286E-3</v>
      </c>
      <c r="M15" s="9">
        <f t="shared" si="27"/>
        <v>-10</v>
      </c>
      <c r="N15" s="2">
        <f t="shared" si="4"/>
        <v>1E-3</v>
      </c>
      <c r="O15" s="2">
        <f t="shared" si="5"/>
        <v>15277.647675270193</v>
      </c>
      <c r="P15" s="2">
        <f t="shared" si="6"/>
        <v>13843.573708268992</v>
      </c>
      <c r="Q15" s="2">
        <f t="shared" si="7"/>
        <v>12868.570568005469</v>
      </c>
      <c r="R15" s="2">
        <f t="shared" si="8"/>
        <v>11999.068460890801</v>
      </c>
      <c r="S15" s="2">
        <f t="shared" si="9"/>
        <v>10517.345837796443</v>
      </c>
      <c r="T15" s="2">
        <f t="shared" si="10"/>
        <v>7380.5993523249927</v>
      </c>
      <c r="U15" s="2">
        <f t="shared" si="11"/>
        <v>2426.293198677296</v>
      </c>
      <c r="Z15" s="2">
        <v>1E-3</v>
      </c>
      <c r="AA15" s="3">
        <f>IF('Modell einstellen'!$B$2="Ja",'creep_res-40'!P15,'creep_res-40'!L15)</f>
        <v>0.35768744167758004</v>
      </c>
      <c r="AB15" s="2">
        <f>IF('Modell einstellen'!$B$2="Ja",creep_res0!P15,creep_res0!L15)</f>
        <v>0.37694362291624062</v>
      </c>
      <c r="AC15" s="2">
        <f>IF('Modell einstellen'!$B$2="Ja",creep_res25!P15,creep_res25!L15)</f>
        <v>0.39124866608074232</v>
      </c>
      <c r="AD15" s="2">
        <f>IF('Modell einstellen'!$B$2="Ja",creep_res50!P15,creep_res50!L15)</f>
        <v>0.40490109150726161</v>
      </c>
      <c r="AE15" s="2">
        <f>IF('Modell einstellen'!$B$2="Ja",creep_res80!P15,creep_res80!L15)</f>
        <v>0.43130231966372867</v>
      </c>
      <c r="AF15" s="2">
        <f>IF('Modell einstellen'!$B$2="Ja",creep_res125!P15,creep_res125!L15)</f>
        <v>0.50674691163564767</v>
      </c>
      <c r="AG15" s="2">
        <f>IF('Modell einstellen'!$B$2="Ja",creep_res160!P15,creep_res160!L15)</f>
        <v>0.74890402603149187</v>
      </c>
      <c r="AL15" s="2">
        <f t="shared" si="12"/>
        <v>1E-3</v>
      </c>
      <c r="AM15" s="2">
        <f t="shared" si="13"/>
        <v>5626.3493372203875</v>
      </c>
      <c r="AN15" s="2">
        <f t="shared" si="14"/>
        <v>5026.92102925375</v>
      </c>
      <c r="AO15" s="2">
        <f t="shared" si="15"/>
        <v>4624.8276392807802</v>
      </c>
      <c r="AP15" s="2">
        <f t="shared" si="16"/>
        <v>4270.4317526073974</v>
      </c>
      <c r="AQ15" s="2">
        <f t="shared" si="17"/>
        <v>3674.0476464355193</v>
      </c>
      <c r="AR15" s="2">
        <f t="shared" si="18"/>
        <v>2449.1835010011705</v>
      </c>
      <c r="AS15" s="2">
        <f t="shared" si="19"/>
        <v>693.66104788005293</v>
      </c>
      <c r="AX15" s="2">
        <f t="shared" si="28"/>
        <v>1E-3</v>
      </c>
      <c r="AY15" s="37">
        <f t="shared" si="20"/>
        <v>17892.128723989717</v>
      </c>
      <c r="AZ15" s="37">
        <f t="shared" si="21"/>
        <v>18749.636056171559</v>
      </c>
      <c r="BA15" s="37">
        <f t="shared" si="22"/>
        <v>19721.705325716935</v>
      </c>
      <c r="BB15" s="37">
        <f t="shared" si="23"/>
        <v>21029.103016829111</v>
      </c>
      <c r="BC15" s="37">
        <f t="shared" si="24"/>
        <v>25516.013996189828</v>
      </c>
      <c r="BD15" s="37">
        <f t="shared" si="25"/>
        <v>-182320.43911096553</v>
      </c>
      <c r="BE15" s="37">
        <f t="shared" si="26"/>
        <v>-1624.6511003738688</v>
      </c>
    </row>
    <row r="16" spans="1:308" x14ac:dyDescent="0.25">
      <c r="A16" s="2">
        <f>'creep_res-40'!A16</f>
        <v>0.01</v>
      </c>
      <c r="B16" s="3">
        <f>'creep_res-40'!O16</f>
        <v>-6.5581351428571437E-4</v>
      </c>
      <c r="C16" s="2">
        <f>IF('Modell einstellen'!$B$2="Ja",creep_res0!O16,creep_res0!C16)</f>
        <v>-7.3885014285714288E-4</v>
      </c>
      <c r="D16" s="2">
        <f>IF('Modell einstellen'!$B$2="Ja",creep_res25!O16,creep_res25!C16)</f>
        <v>-8.0133854285714299E-4</v>
      </c>
      <c r="E16" s="2">
        <f>IF('Modell einstellen'!$B$2="Ja",creep_res50!O16,creep_res50!C16)</f>
        <v>-8.6259620000000016E-4</v>
      </c>
      <c r="F16" s="2">
        <f>IF('Modell einstellen'!$B$2="Ja",creep_res80!O16,creep_res80!C16)</f>
        <v>-9.9418331428571425E-4</v>
      </c>
      <c r="G16" s="2">
        <f>IF('Modell einstellen'!$B$2="Ja",creep_res125!O16,creep_res125!C16)</f>
        <v>-1.4672013142857142E-3</v>
      </c>
      <c r="H16" s="2">
        <f>IF('Modell einstellen'!$B$2="Ja",creep_res160!O16,creep_res160!C16)</f>
        <v>-5.7726682857142863E-3</v>
      </c>
      <c r="M16" s="9">
        <f t="shared" si="27"/>
        <v>-10</v>
      </c>
      <c r="N16" s="2">
        <f t="shared" si="4"/>
        <v>0.01</v>
      </c>
      <c r="O16" s="2">
        <f t="shared" si="5"/>
        <v>15248.237162193274</v>
      </c>
      <c r="P16" s="2">
        <f t="shared" si="6"/>
        <v>13534.544314128265</v>
      </c>
      <c r="Q16" s="2">
        <f t="shared" si="7"/>
        <v>12479.120203485245</v>
      </c>
      <c r="R16" s="2">
        <f t="shared" si="8"/>
        <v>11592.909869067355</v>
      </c>
      <c r="S16" s="2">
        <f t="shared" si="9"/>
        <v>10058.507174991815</v>
      </c>
      <c r="T16" s="2">
        <f t="shared" si="10"/>
        <v>6815.6972752361226</v>
      </c>
      <c r="U16" s="2">
        <f t="shared" si="11"/>
        <v>1732.301165606061</v>
      </c>
      <c r="Z16" s="2">
        <v>0.01</v>
      </c>
      <c r="AA16" s="3">
        <f>IF('Modell einstellen'!$B$2="Ja",'creep_res-40'!P16,'creep_res-40'!L16)</f>
        <v>0.35809682046808339</v>
      </c>
      <c r="AB16" s="2">
        <f>IF('Modell einstellen'!$B$2="Ja",creep_res0!P16,creep_res0!L16)</f>
        <v>0.38158559120146346</v>
      </c>
      <c r="AC16" s="2">
        <f>IF('Modell einstellen'!$B$2="Ja",creep_res25!P16,creep_res25!L16)</f>
        <v>0.39761218809285848</v>
      </c>
      <c r="AD16" s="2">
        <f>IF('Modell einstellen'!$B$2="Ja",creep_res50!P16,creep_res50!L16)</f>
        <v>0.41207465158254641</v>
      </c>
      <c r="AE16" s="2">
        <f>IF('Modell einstellen'!$B$2="Ja",creep_res80!P16,creep_res80!L16)</f>
        <v>0.4408418959010032</v>
      </c>
      <c r="AF16" s="2">
        <f>IF('Modell einstellen'!$B$2="Ja",creep_res125!P16,creep_res125!L16)</f>
        <v>0.52420203471542304</v>
      </c>
      <c r="AG16" s="2">
        <f>IF('Modell einstellen'!$B$2="Ja",creep_res160!P16,creep_res160!L16)</f>
        <v>0.78242292410555969</v>
      </c>
      <c r="AL16" s="2">
        <f t="shared" si="12"/>
        <v>0.01</v>
      </c>
      <c r="AM16" s="2">
        <f t="shared" si="13"/>
        <v>5613.8255139047442</v>
      </c>
      <c r="AN16" s="2">
        <f t="shared" si="14"/>
        <v>4898.1924827249632</v>
      </c>
      <c r="AO16" s="2">
        <f t="shared" si="15"/>
        <v>4464.4431086830655</v>
      </c>
      <c r="AP16" s="2">
        <f t="shared" si="16"/>
        <v>4104.9210309366072</v>
      </c>
      <c r="AQ16" s="2">
        <f t="shared" si="17"/>
        <v>3490.4964950029853</v>
      </c>
      <c r="AR16" s="2">
        <f t="shared" si="18"/>
        <v>2235.8247528873858</v>
      </c>
      <c r="AS16" s="2">
        <f t="shared" si="19"/>
        <v>485.93999274200024</v>
      </c>
      <c r="AX16" s="2">
        <f t="shared" si="28"/>
        <v>0.01</v>
      </c>
      <c r="AY16" s="37">
        <f t="shared" si="20"/>
        <v>17909.203083035532</v>
      </c>
      <c r="AZ16" s="37">
        <f t="shared" si="21"/>
        <v>19049.686677284855</v>
      </c>
      <c r="BA16" s="37">
        <f t="shared" si="22"/>
        <v>20313.485838859611</v>
      </c>
      <c r="BB16" s="37">
        <f t="shared" si="23"/>
        <v>21974.910303125034</v>
      </c>
      <c r="BC16" s="37">
        <f t="shared" si="24"/>
        <v>28337.924077033844</v>
      </c>
      <c r="BD16" s="37">
        <f t="shared" si="25"/>
        <v>-46936.117530183925</v>
      </c>
      <c r="BE16" s="37">
        <f t="shared" si="26"/>
        <v>-1022.2855026684425</v>
      </c>
    </row>
    <row r="17" spans="1:57" x14ac:dyDescent="0.25">
      <c r="A17" s="2">
        <f>'creep_res-40'!A17</f>
        <v>0.1</v>
      </c>
      <c r="B17" s="3">
        <f>'creep_res-40'!O17</f>
        <v>-6.6577194285714295E-4</v>
      </c>
      <c r="C17" s="2">
        <f>IF('Modell einstellen'!$B$2="Ja",creep_res0!O17,creep_res0!C17)</f>
        <v>-7.5840702857142865E-4</v>
      </c>
      <c r="D17" s="2">
        <f>IF('Modell einstellen'!$B$2="Ja",creep_res25!O17,creep_res25!C17)</f>
        <v>-8.2604820000000008E-4</v>
      </c>
      <c r="E17" s="2">
        <f>IF('Modell einstellen'!$B$2="Ja",creep_res50!O17,creep_res50!C17)</f>
        <v>-9.0110842857142853E-4</v>
      </c>
      <c r="F17" s="2">
        <f>IF('Modell einstellen'!$B$2="Ja",creep_res80!O17,creep_res80!C17)</f>
        <v>-1.0362681714285716E-3</v>
      </c>
      <c r="G17" s="2">
        <f>IF('Modell einstellen'!$B$2="Ja",creep_res125!O17,creep_res125!C17)</f>
        <v>-1.6285401428571432E-3</v>
      </c>
      <c r="H17" s="2">
        <f>IF('Modell einstellen'!$B$2="Ja",creep_res160!O17,creep_res160!C17)</f>
        <v>-7.6871359999999998E-3</v>
      </c>
      <c r="M17" s="9">
        <f t="shared" si="27"/>
        <v>-10</v>
      </c>
      <c r="N17" s="2">
        <f t="shared" si="4"/>
        <v>0.1</v>
      </c>
      <c r="O17" s="2">
        <f t="shared" si="5"/>
        <v>15020.158339934333</v>
      </c>
      <c r="P17" s="2">
        <f t="shared" si="6"/>
        <v>13185.531809794105</v>
      </c>
      <c r="Q17" s="2">
        <f t="shared" si="7"/>
        <v>12105.831112518614</v>
      </c>
      <c r="R17" s="2">
        <f t="shared" si="8"/>
        <v>11097.44364044346</v>
      </c>
      <c r="S17" s="2">
        <f t="shared" si="9"/>
        <v>9650.0117206285195</v>
      </c>
      <c r="T17" s="2">
        <f t="shared" si="10"/>
        <v>6140.4688388312006</v>
      </c>
      <c r="U17" s="2">
        <f t="shared" si="11"/>
        <v>1300.8746040137705</v>
      </c>
      <c r="Z17" s="2">
        <v>0.1</v>
      </c>
      <c r="AA17" s="3">
        <f>IF('Modell einstellen'!$B$2="Ja",'creep_res-40'!P17,'creep_res-40'!L17)</f>
        <v>0.36115847133926332</v>
      </c>
      <c r="AB17" s="2">
        <f>IF('Modell einstellen'!$B$2="Ja",creep_res0!P17,creep_res0!L17)</f>
        <v>0.38697927226864914</v>
      </c>
      <c r="AC17" s="2">
        <f>IF('Modell einstellen'!$B$2="Ja",creep_res25!P17,creep_res25!L17)</f>
        <v>0.40394346410847626</v>
      </c>
      <c r="AD17" s="2">
        <f>IF('Modell einstellen'!$B$2="Ja",creep_res50!P17,creep_res50!L17)</f>
        <v>0.4212233536506389</v>
      </c>
      <c r="AE17" s="2">
        <f>IF('Modell einstellen'!$B$2="Ja",creep_res80!P17,creep_res80!L17)</f>
        <v>0.44953939942628196</v>
      </c>
      <c r="AF17" s="2">
        <f>IF('Modell einstellen'!$B$2="Ja",creep_res125!P17,creep_res125!L17)</f>
        <v>0.54024953637267237</v>
      </c>
      <c r="AG17" s="2">
        <f>IF('Modell einstellen'!$B$2="Ja",creep_res160!P17,creep_res160!L17)</f>
        <v>0.77047598927425187</v>
      </c>
      <c r="AL17" s="2">
        <f t="shared" si="12"/>
        <v>0.1</v>
      </c>
      <c r="AM17" s="2">
        <f t="shared" si="13"/>
        <v>5517.4172060787987</v>
      </c>
      <c r="AN17" s="2">
        <f t="shared" si="14"/>
        <v>4753.3269146217463</v>
      </c>
      <c r="AO17" s="2">
        <f t="shared" si="15"/>
        <v>4311.3670250981177</v>
      </c>
      <c r="AP17" s="2">
        <f t="shared" si="16"/>
        <v>3904.1870554469519</v>
      </c>
      <c r="AQ17" s="2">
        <f t="shared" si="17"/>
        <v>3328.6476119407066</v>
      </c>
      <c r="AR17" s="2">
        <f t="shared" si="18"/>
        <v>1993.335720552192</v>
      </c>
      <c r="AS17" s="2">
        <f t="shared" si="19"/>
        <v>367.37990571310178</v>
      </c>
      <c r="AX17" s="2">
        <f t="shared" si="28"/>
        <v>0.1</v>
      </c>
      <c r="AY17" s="37">
        <f t="shared" si="20"/>
        <v>18030.338238636232</v>
      </c>
      <c r="AZ17" s="37">
        <f t="shared" si="21"/>
        <v>19444.120375771519</v>
      </c>
      <c r="BA17" s="37">
        <f t="shared" si="22"/>
        <v>21004.697910734707</v>
      </c>
      <c r="BB17" s="37">
        <f t="shared" si="23"/>
        <v>23478.708802496651</v>
      </c>
      <c r="BC17" s="37">
        <f t="shared" si="24"/>
        <v>31873.090460384003</v>
      </c>
      <c r="BD17" s="37">
        <f t="shared" si="25"/>
        <v>-25426.6648853472</v>
      </c>
      <c r="BE17" s="37">
        <f t="shared" si="26"/>
        <v>-801.59586284923773</v>
      </c>
    </row>
    <row r="18" spans="1:57" x14ac:dyDescent="0.25">
      <c r="A18" s="2">
        <f>'creep_res-40'!A18</f>
        <v>1</v>
      </c>
      <c r="B18" s="3">
        <f>'creep_res-40'!O18</f>
        <v>-6.8263214285714286E-4</v>
      </c>
      <c r="C18" s="2">
        <f>IF('Modell einstellen'!$B$2="Ja",creep_res0!O18,creep_res0!C18)</f>
        <v>-7.8074914285714285E-4</v>
      </c>
      <c r="D18" s="2">
        <f>IF('Modell einstellen'!$B$2="Ja",creep_res25!O18,creep_res25!C18)</f>
        <v>-8.5347311428571435E-4</v>
      </c>
      <c r="E18" s="2">
        <f>IF('Modell einstellen'!$B$2="Ja",creep_res50!O18,creep_res50!C18)</f>
        <v>-9.4679897142857159E-4</v>
      </c>
      <c r="F18" s="2">
        <f>IF('Modell einstellen'!$B$2="Ja",creep_res80!O18,creep_res80!C18)</f>
        <v>-1.0851435142857145E-3</v>
      </c>
      <c r="G18" s="2">
        <f>IF('Modell einstellen'!$B$2="Ja",creep_res125!O18,creep_res125!C18)</f>
        <v>-1.8959442285714288E-3</v>
      </c>
      <c r="H18" s="2">
        <f>IF('Modell einstellen'!$B$2="Ja",creep_res160!O18,creep_res160!C18)</f>
        <v>-9.4130968571428577E-3</v>
      </c>
      <c r="M18" s="9">
        <f t="shared" si="27"/>
        <v>-10</v>
      </c>
      <c r="N18" s="2">
        <f t="shared" si="4"/>
        <v>1</v>
      </c>
      <c r="O18" s="2">
        <f t="shared" si="5"/>
        <v>14649.178338050717</v>
      </c>
      <c r="P18" s="2">
        <f t="shared" si="6"/>
        <v>12808.211307674461</v>
      </c>
      <c r="Q18" s="2">
        <f t="shared" si="7"/>
        <v>11716.830715129398</v>
      </c>
      <c r="R18" s="2">
        <f t="shared" si="8"/>
        <v>10561.904165264948</v>
      </c>
      <c r="S18" s="2">
        <f t="shared" si="9"/>
        <v>9215.3709332930084</v>
      </c>
      <c r="T18" s="2">
        <f t="shared" si="10"/>
        <v>5274.4167519816128</v>
      </c>
      <c r="U18" s="2">
        <f t="shared" si="11"/>
        <v>1062.3496338945868</v>
      </c>
      <c r="Z18" s="2">
        <v>1</v>
      </c>
      <c r="AA18" s="3">
        <f>IF('Modell einstellen'!$B$2="Ja",'creep_res-40'!P18,'creep_res-40'!L18)</f>
        <v>0.36629344606224856</v>
      </c>
      <c r="AB18" s="2">
        <f>IF('Modell einstellen'!$B$2="Ja",creep_res0!P18,creep_res0!L18)</f>
        <v>0.39300258140350192</v>
      </c>
      <c r="AC18" s="2">
        <f>IF('Modell einstellen'!$B$2="Ja",creep_res25!P18,creep_res25!L18)</f>
        <v>0.41075221417134605</v>
      </c>
      <c r="AD18" s="2">
        <f>IF('Modell einstellen'!$B$2="Ja",creep_res50!P18,creep_res50!L18)</f>
        <v>0.43140716188840084</v>
      </c>
      <c r="AE18" s="2">
        <f>IF('Modell einstellen'!$B$2="Ja",creep_res80!P18,creep_res80!L18)</f>
        <v>0.45690427833600827</v>
      </c>
      <c r="AF18" s="2">
        <f>IF('Modell einstellen'!$B$2="Ja",creep_res125!P18,creep_res125!L18)</f>
        <v>0.54411431752784523</v>
      </c>
      <c r="AG18" s="2">
        <f>IF('Modell einstellen'!$B$2="Ja",creep_res160!P18,creep_res160!L18)</f>
        <v>0.72924350173628905</v>
      </c>
      <c r="AL18" s="2">
        <f t="shared" si="12"/>
        <v>1</v>
      </c>
      <c r="AM18" s="2">
        <f t="shared" si="13"/>
        <v>5360.9194936383001</v>
      </c>
      <c r="AN18" s="2">
        <f t="shared" si="14"/>
        <v>4597.3394014710702</v>
      </c>
      <c r="AO18" s="2">
        <f t="shared" si="15"/>
        <v>4152.6891106145395</v>
      </c>
      <c r="AP18" s="2">
        <f t="shared" si="16"/>
        <v>3689.3430627142566</v>
      </c>
      <c r="AQ18" s="2">
        <f t="shared" si="17"/>
        <v>3162.6549081928265</v>
      </c>
      <c r="AR18" s="2">
        <f t="shared" si="18"/>
        <v>1707.9100595434049</v>
      </c>
      <c r="AS18" s="2">
        <f t="shared" si="19"/>
        <v>307.17178720865763</v>
      </c>
      <c r="AX18" s="2">
        <f t="shared" si="28"/>
        <v>1</v>
      </c>
      <c r="AY18" s="37">
        <f t="shared" si="20"/>
        <v>18260.359354898443</v>
      </c>
      <c r="AZ18" s="37">
        <f t="shared" si="21"/>
        <v>19950.966225294305</v>
      </c>
      <c r="BA18" s="37">
        <f t="shared" si="22"/>
        <v>21880.71223343744</v>
      </c>
      <c r="BB18" s="37">
        <f t="shared" si="23"/>
        <v>25663.282193011033</v>
      </c>
      <c r="BC18" s="37">
        <f t="shared" si="24"/>
        <v>35639.156191045739</v>
      </c>
      <c r="BD18" s="37">
        <f t="shared" si="25"/>
        <v>-19927.078280395661</v>
      </c>
      <c r="BE18" s="37">
        <f t="shared" si="26"/>
        <v>-772.35895881334068</v>
      </c>
    </row>
    <row r="19" spans="1:57" x14ac:dyDescent="0.25">
      <c r="A19" s="2">
        <f>'creep_res-40'!A19</f>
        <v>10</v>
      </c>
      <c r="B19" s="3">
        <f>'creep_res-40'!O19</f>
        <v>-6.9511814285714288E-4</v>
      </c>
      <c r="C19" s="2">
        <f>IF('Modell einstellen'!$B$2="Ja",creep_res0!O19,creep_res0!C19)</f>
        <v>-8.0518002857142871E-4</v>
      </c>
      <c r="D19" s="2">
        <f>IF('Modell einstellen'!$B$2="Ja",creep_res25!O19,creep_res25!C19)</f>
        <v>-8.9017040000000005E-4</v>
      </c>
      <c r="E19" s="2">
        <f>IF('Modell einstellen'!$B$2="Ja",creep_res50!O19,creep_res50!C19)</f>
        <v>-9.9414297142857142E-4</v>
      </c>
      <c r="F19" s="2">
        <f>IF('Modell einstellen'!$B$2="Ja",creep_res80!O19,creep_res80!C19)</f>
        <v>-1.1484603714285715E-3</v>
      </c>
      <c r="G19" s="2">
        <f>IF('Modell einstellen'!$B$2="Ja",creep_res125!O19,creep_res125!C19)</f>
        <v>-2.3460856285714288E-3</v>
      </c>
      <c r="H19" s="2">
        <f>IF('Modell einstellen'!$B$2="Ja",creep_res160!O19,creep_res160!C19)</f>
        <v>-1.0685877142857144E-2</v>
      </c>
      <c r="M19" s="9">
        <f t="shared" si="27"/>
        <v>-10</v>
      </c>
      <c r="N19" s="2">
        <f t="shared" si="4"/>
        <v>10</v>
      </c>
      <c r="O19" s="2">
        <f t="shared" si="5"/>
        <v>14386.043729051607</v>
      </c>
      <c r="P19" s="2">
        <f t="shared" si="6"/>
        <v>12419.582758084871</v>
      </c>
      <c r="Q19" s="2">
        <f t="shared" si="7"/>
        <v>11233.80422444961</v>
      </c>
      <c r="R19" s="2">
        <f t="shared" si="8"/>
        <v>10058.915354629647</v>
      </c>
      <c r="S19" s="2">
        <f t="shared" si="9"/>
        <v>8707.3095848844878</v>
      </c>
      <c r="T19" s="2">
        <f t="shared" si="10"/>
        <v>4262.419017539939</v>
      </c>
      <c r="U19" s="2">
        <f t="shared" si="11"/>
        <v>935.81461459009836</v>
      </c>
      <c r="Z19" s="2">
        <v>10</v>
      </c>
      <c r="AA19" s="3">
        <f>IF('Modell einstellen'!$B$2="Ja",'creep_res-40'!P19,'creep_res-40'!L19)</f>
        <v>0.37003292554379758</v>
      </c>
      <c r="AB19" s="2">
        <f>IF('Modell einstellen'!$B$2="Ja",creep_res0!P19,creep_res0!L19)</f>
        <v>0.39939571987822703</v>
      </c>
      <c r="AC19" s="2">
        <f>IF('Modell einstellen'!$B$2="Ja",creep_res25!P19,creep_res25!L19)</f>
        <v>0.41913939815824675</v>
      </c>
      <c r="AD19" s="2">
        <f>IF('Modell einstellen'!$B$2="Ja",creep_res50!P19,creep_res50!L19)</f>
        <v>0.43868918652804295</v>
      </c>
      <c r="AE19" s="2">
        <f>IF('Modell einstellen'!$B$2="Ja",creep_res80!P19,creep_res80!L19)</f>
        <v>0.4565300381158745</v>
      </c>
      <c r="AF19" s="2">
        <f>IF('Modell einstellen'!$B$2="Ja",creep_res125!P19,creep_res125!L19)</f>
        <v>0.54101569328909038</v>
      </c>
      <c r="AG19" s="2">
        <f>IF('Modell einstellen'!$B$2="Ja",creep_res160!P19,creep_res160!L19)</f>
        <v>0.6766759169713189</v>
      </c>
      <c r="AL19" s="2">
        <f t="shared" si="12"/>
        <v>10</v>
      </c>
      <c r="AM19" s="2">
        <f t="shared" si="13"/>
        <v>5250.254742360099</v>
      </c>
      <c r="AN19" s="2">
        <f t="shared" si="14"/>
        <v>4437.480614548972</v>
      </c>
      <c r="AO19" s="2">
        <f t="shared" si="15"/>
        <v>3957.9636218361616</v>
      </c>
      <c r="AP19" s="2">
        <f t="shared" si="16"/>
        <v>3495.8611800317371</v>
      </c>
      <c r="AQ19" s="2">
        <f t="shared" si="17"/>
        <v>2989.0593935666489</v>
      </c>
      <c r="AR19" s="2">
        <f t="shared" si="18"/>
        <v>1382.9901395885138</v>
      </c>
      <c r="AS19" s="2">
        <f t="shared" si="19"/>
        <v>279.06842494658031</v>
      </c>
      <c r="AX19" s="2">
        <f t="shared" si="28"/>
        <v>10</v>
      </c>
      <c r="AY19" s="37">
        <f t="shared" si="20"/>
        <v>18448.318275025311</v>
      </c>
      <c r="AZ19" s="37">
        <f t="shared" si="21"/>
        <v>20574.974118152189</v>
      </c>
      <c r="BA19" s="37">
        <f t="shared" si="22"/>
        <v>23154.671885068165</v>
      </c>
      <c r="BB19" s="37">
        <f t="shared" si="23"/>
        <v>27344.049075536772</v>
      </c>
      <c r="BC19" s="37">
        <f t="shared" si="24"/>
        <v>33384.392376874275</v>
      </c>
      <c r="BD19" s="37">
        <f t="shared" si="25"/>
        <v>-17320.277011602957</v>
      </c>
      <c r="BE19" s="37">
        <f t="shared" si="26"/>
        <v>-882.79775254825859</v>
      </c>
    </row>
    <row r="20" spans="1:57" x14ac:dyDescent="0.25">
      <c r="A20" s="2">
        <f>'creep_res-40'!A20</f>
        <v>100</v>
      </c>
      <c r="B20" s="3">
        <f>'creep_res-40'!O20</f>
        <v>-7.0820794285714282E-4</v>
      </c>
      <c r="C20" s="2">
        <f>IF('Modell einstellen'!$B$2="Ja",creep_res0!O20,creep_res0!C20)</f>
        <v>-8.3068905714285719E-4</v>
      </c>
      <c r="D20" s="2">
        <f>IF('Modell einstellen'!$B$2="Ja",creep_res25!O20,creep_res25!C20)</f>
        <v>-9.3959582857142869E-4</v>
      </c>
      <c r="E20" s="2">
        <f>IF('Modell einstellen'!$B$2="Ja",creep_res50!O20,creep_res50!C20)</f>
        <v>-1.0514203142857144E-3</v>
      </c>
      <c r="F20" s="2">
        <f>IF('Modell einstellen'!$B$2="Ja",creep_res80!O20,creep_res80!C20)</f>
        <v>-1.233926742857143E-3</v>
      </c>
      <c r="G20" s="2">
        <f>IF('Modell einstellen'!$B$2="Ja",creep_res125!O20,creep_res125!C20)</f>
        <v>-3.101782571428572E-3</v>
      </c>
      <c r="H20" s="2">
        <f>IF('Modell einstellen'!$B$2="Ja",creep_res160!O20,creep_res160!C20)</f>
        <v>-1.1711472000000001E-2</v>
      </c>
      <c r="M20" s="9">
        <f t="shared" si="27"/>
        <v>-10</v>
      </c>
      <c r="N20" s="2">
        <f t="shared" si="4"/>
        <v>100</v>
      </c>
      <c r="O20" s="2">
        <f t="shared" si="5"/>
        <v>14120.146633285027</v>
      </c>
      <c r="P20" s="2">
        <f t="shared" si="6"/>
        <v>12038.198786914147</v>
      </c>
      <c r="Q20" s="2">
        <f t="shared" si="7"/>
        <v>10642.873984662219</v>
      </c>
      <c r="R20" s="2">
        <f t="shared" si="8"/>
        <v>9510.9442571437576</v>
      </c>
      <c r="S20" s="2">
        <f t="shared" si="9"/>
        <v>8104.2088259187221</v>
      </c>
      <c r="T20" s="2">
        <f t="shared" si="10"/>
        <v>3223.9526045806465</v>
      </c>
      <c r="U20" s="2">
        <f t="shared" si="11"/>
        <v>853.86363046421491</v>
      </c>
      <c r="Z20" s="2">
        <v>100</v>
      </c>
      <c r="AA20" s="3">
        <f>IF('Modell einstellen'!$B$2="Ja",'creep_res-40'!P20,'creep_res-40'!L20)</f>
        <v>0.37388199301270603</v>
      </c>
      <c r="AB20" s="2">
        <f>IF('Modell einstellen'!$B$2="Ja",creep_res0!P20,creep_res0!L20)</f>
        <v>0.40544577845648766</v>
      </c>
      <c r="AC20" s="2">
        <f>IF('Modell einstellen'!$B$2="Ja",creep_res25!P20,creep_res25!L20)</f>
        <v>0.42643314052297376</v>
      </c>
      <c r="AD20" s="2">
        <f>IF('Modell einstellen'!$B$2="Ja",creep_res50!P20,creep_res50!L20)</f>
        <v>0.43761308342883454</v>
      </c>
      <c r="AE20" s="2">
        <f>IF('Modell einstellen'!$B$2="Ja",creep_res80!P20,creep_res80!L20)</f>
        <v>0.44811873064193941</v>
      </c>
      <c r="AF20" s="2">
        <f>IF('Modell einstellen'!$B$2="Ja",creep_res125!P20,creep_res125!L20)</f>
        <v>0.54199351174932675</v>
      </c>
      <c r="AG20" s="2">
        <f>IF('Modell einstellen'!$B$2="Ja",creep_res160!P20,creep_res160!L20)</f>
        <v>0.63155523307159245</v>
      </c>
      <c r="AL20" s="2">
        <f t="shared" si="12"/>
        <v>100</v>
      </c>
      <c r="AM20" s="2">
        <f t="shared" si="13"/>
        <v>5138.7770947931922</v>
      </c>
      <c r="AN20" s="2">
        <f t="shared" si="14"/>
        <v>4282.6976933023134</v>
      </c>
      <c r="AO20" s="2">
        <f t="shared" si="15"/>
        <v>3730.5898476111606</v>
      </c>
      <c r="AP20" s="2">
        <f t="shared" si="16"/>
        <v>3307.8943029856523</v>
      </c>
      <c r="AQ20" s="2">
        <f t="shared" si="17"/>
        <v>2798.1852090008501</v>
      </c>
      <c r="AR20" s="2">
        <f t="shared" si="18"/>
        <v>1045.3846206276212</v>
      </c>
      <c r="AS20" s="2">
        <f t="shared" si="19"/>
        <v>261.67169004040318</v>
      </c>
      <c r="AX20" s="2">
        <f t="shared" si="28"/>
        <v>100</v>
      </c>
      <c r="AY20" s="37">
        <f t="shared" si="20"/>
        <v>18659.966395213218</v>
      </c>
      <c r="AZ20" s="37">
        <f t="shared" si="21"/>
        <v>21219.216146392715</v>
      </c>
      <c r="BA20" s="37">
        <f t="shared" si="22"/>
        <v>24111.567944951763</v>
      </c>
      <c r="BB20" s="37">
        <f t="shared" si="23"/>
        <v>25408.490486661882</v>
      </c>
      <c r="BC20" s="37">
        <f t="shared" si="24"/>
        <v>26034.472319182001</v>
      </c>
      <c r="BD20" s="37">
        <f t="shared" si="25"/>
        <v>-12795.439383689765</v>
      </c>
      <c r="BE20" s="37">
        <f t="shared" si="26"/>
        <v>-1081.7555619389434</v>
      </c>
    </row>
    <row r="21" spans="1:57" x14ac:dyDescent="0.25">
      <c r="A21" s="2">
        <f>'creep_res-40'!A21</f>
        <v>1000</v>
      </c>
      <c r="B21" s="3">
        <f>'creep_res-40'!O21</f>
        <v>-7.2330377142857153E-4</v>
      </c>
      <c r="C21" s="2">
        <f>IF('Modell einstellen'!$B$2="Ja",creep_res0!O21,creep_res0!C21)</f>
        <v>-8.6402994285714294E-4</v>
      </c>
      <c r="D21" s="2">
        <f>IF('Modell einstellen'!$B$2="Ja",creep_res25!O21,creep_res25!C21)</f>
        <v>-1.0019475428571429E-3</v>
      </c>
      <c r="E21" s="2">
        <f>IF('Modell einstellen'!$B$2="Ja",creep_res50!O21,creep_res50!C21)</f>
        <v>-1.1262160285714286E-3</v>
      </c>
      <c r="F21" s="2">
        <f>IF('Modell einstellen'!$B$2="Ja",creep_res80!O21,creep_res80!C21)</f>
        <v>-1.3368808000000002E-3</v>
      </c>
      <c r="G21" s="2">
        <f>IF('Modell einstellen'!$B$2="Ja",creep_res125!O21,creep_res125!C21)</f>
        <v>-4.3462051428571433E-3</v>
      </c>
      <c r="H21" s="2">
        <f>IF('Modell einstellen'!$B$2="Ja",creep_res160!O21,creep_res160!C21)</f>
        <v>-1.2468404000000001E-2</v>
      </c>
      <c r="M21" s="9">
        <f t="shared" si="27"/>
        <v>-10</v>
      </c>
      <c r="N21" s="2">
        <f t="shared" si="4"/>
        <v>1000</v>
      </c>
      <c r="O21" s="2">
        <f t="shared" si="5"/>
        <v>13825.449824835499</v>
      </c>
      <c r="P21" s="2">
        <f t="shared" si="6"/>
        <v>11573.672975883639</v>
      </c>
      <c r="Q21" s="2">
        <f t="shared" si="7"/>
        <v>9980.5624269351538</v>
      </c>
      <c r="R21" s="2">
        <f t="shared" si="8"/>
        <v>8879.2911362526975</v>
      </c>
      <c r="S21" s="2">
        <f t="shared" si="9"/>
        <v>7480.0984500637596</v>
      </c>
      <c r="T21" s="2">
        <f t="shared" si="10"/>
        <v>2300.8577992308296</v>
      </c>
      <c r="U21" s="2">
        <f t="shared" si="11"/>
        <v>802.02726828549987</v>
      </c>
      <c r="Z21" s="2">
        <v>1000</v>
      </c>
      <c r="AA21" s="3">
        <f>IF('Modell einstellen'!$B$2="Ja",'creep_res-40'!P21,'creep_res-40'!L21)</f>
        <v>0.37820505527967851</v>
      </c>
      <c r="AB21" s="2">
        <f>IF('Modell einstellen'!$B$2="Ja",creep_res0!P21,creep_res0!L21)</f>
        <v>0.40981741108972153</v>
      </c>
      <c r="AC21" s="2">
        <f>IF('Modell einstellen'!$B$2="Ja",creep_res25!P21,creep_res25!L21)</f>
        <v>0.42576600246308877</v>
      </c>
      <c r="AD21" s="2">
        <f>IF('Modell einstellen'!$B$2="Ja",creep_res50!P21,creep_res50!L21)</f>
        <v>0.43039491966537452</v>
      </c>
      <c r="AE21" s="2">
        <f>IF('Modell einstellen'!$B$2="Ja",creep_res80!P21,creep_res80!L21)</f>
        <v>0.43875545438093122</v>
      </c>
      <c r="AF21" s="2">
        <f>IF('Modell einstellen'!$B$2="Ja",creep_res125!P21,creep_res125!L21)</f>
        <v>0.54730509729407284</v>
      </c>
      <c r="AG21" s="2">
        <f>IF('Modell einstellen'!$B$2="Ja",creep_res160!P21,creep_res160!L21)</f>
        <v>0.59545980612846905</v>
      </c>
      <c r="AL21" s="2">
        <f t="shared" si="12"/>
        <v>1000</v>
      </c>
      <c r="AM21" s="2">
        <f t="shared" si="13"/>
        <v>5015.7448530146003</v>
      </c>
      <c r="AN21" s="2">
        <f t="shared" si="14"/>
        <v>4104.6708903026465</v>
      </c>
      <c r="AO21" s="2">
        <f t="shared" si="15"/>
        <v>3500.0702814112506</v>
      </c>
      <c r="AP21" s="2">
        <f t="shared" si="16"/>
        <v>3103.7900841852515</v>
      </c>
      <c r="AQ21" s="2">
        <f t="shared" si="17"/>
        <v>2599.5030730508342</v>
      </c>
      <c r="AR21" s="2">
        <f t="shared" si="18"/>
        <v>743.50488577028852</v>
      </c>
      <c r="AS21" s="2">
        <f t="shared" si="19"/>
        <v>251.34674819282765</v>
      </c>
      <c r="AX21" s="2">
        <f t="shared" si="28"/>
        <v>1000</v>
      </c>
      <c r="AY21" s="37">
        <f t="shared" si="20"/>
        <v>18919.025274520449</v>
      </c>
      <c r="AZ21" s="37">
        <f t="shared" si="21"/>
        <v>21389.333787031665</v>
      </c>
      <c r="BA21" s="37">
        <f t="shared" si="22"/>
        <v>22407.887576426907</v>
      </c>
      <c r="BB21" s="37">
        <f t="shared" si="23"/>
        <v>21261.118425948283</v>
      </c>
      <c r="BC21" s="37">
        <f t="shared" si="24"/>
        <v>20355.82209662873</v>
      </c>
      <c r="BD21" s="37">
        <f t="shared" si="25"/>
        <v>-8106.4477573720824</v>
      </c>
      <c r="BE21" s="37">
        <f t="shared" si="26"/>
        <v>-1400.2878991920745</v>
      </c>
    </row>
    <row r="22" spans="1:57" x14ac:dyDescent="0.25">
      <c r="A22" s="2">
        <f>'creep_res-40'!A22</f>
        <v>10000</v>
      </c>
      <c r="B22" s="3">
        <f>'creep_res-40'!O22</f>
        <v>-7.408148285714286E-4</v>
      </c>
      <c r="C22" s="2">
        <f>IF('Modell einstellen'!$B$2="Ja",creep_res0!O22,creep_res0!C22)</f>
        <v>-9.1796040000000003E-4</v>
      </c>
      <c r="D22" s="2">
        <f>IF('Modell einstellen'!$B$2="Ja",creep_res25!O22,creep_res25!C22)</f>
        <v>-1.0711912285714287E-3</v>
      </c>
      <c r="E22" s="2">
        <f>IF('Modell einstellen'!$B$2="Ja",creep_res50!O22,creep_res50!C22)</f>
        <v>-1.2071150000000001E-3</v>
      </c>
      <c r="F22" s="2">
        <f>IF('Modell einstellen'!$B$2="Ja",creep_res80!O22,creep_res80!C22)</f>
        <v>-1.4592771714285716E-3</v>
      </c>
      <c r="G22" s="2">
        <f>IF('Modell einstellen'!$B$2="Ja",creep_res125!O22,creep_res125!C22)</f>
        <v>-6.201710571428572E-3</v>
      </c>
      <c r="H22" s="2">
        <f>IF('Modell einstellen'!$B$2="Ja",creep_res160!O22,creep_res160!C22)</f>
        <v>-1.2940604285714285E-2</v>
      </c>
      <c r="M22" s="9">
        <f t="shared" si="27"/>
        <v>-10</v>
      </c>
      <c r="N22" s="2">
        <f t="shared" si="4"/>
        <v>10000</v>
      </c>
      <c r="O22" s="2">
        <f t="shared" si="5"/>
        <v>13498.649884322354</v>
      </c>
      <c r="P22" s="2">
        <f t="shared" si="6"/>
        <v>10893.716112372604</v>
      </c>
      <c r="Q22" s="2">
        <f t="shared" si="7"/>
        <v>9335.4013114318404</v>
      </c>
      <c r="R22" s="2">
        <f t="shared" si="8"/>
        <v>8284.2148428277324</v>
      </c>
      <c r="S22" s="2">
        <f t="shared" si="9"/>
        <v>6852.7077623029054</v>
      </c>
      <c r="T22" s="2">
        <f t="shared" si="10"/>
        <v>1612.4583507766772</v>
      </c>
      <c r="U22" s="2">
        <f t="shared" si="11"/>
        <v>772.76143982236204</v>
      </c>
      <c r="Z22" s="2">
        <v>10000</v>
      </c>
      <c r="AA22" s="3">
        <f>IF('Modell einstellen'!$B$2="Ja",'creep_res-40'!P22,'creep_res-40'!L22)</f>
        <v>0.38266998975143934</v>
      </c>
      <c r="AB22" s="2">
        <f>IF('Modell einstellen'!$B$2="Ja",creep_res0!P22,creep_res0!L22)</f>
        <v>0.40977911465461908</v>
      </c>
      <c r="AC22" s="2">
        <f>IF('Modell einstellen'!$B$2="Ja",creep_res25!P22,creep_res25!L22)</f>
        <v>0.41902706287496805</v>
      </c>
      <c r="AD22" s="2">
        <f>IF('Modell einstellen'!$B$2="Ja",creep_res50!P22,creep_res50!L22)</f>
        <v>0.42261678228077459</v>
      </c>
      <c r="AE22" s="2">
        <f>IF('Modell einstellen'!$B$2="Ja",creep_res80!P22,creep_res80!L22)</f>
        <v>0.43358006148680145</v>
      </c>
      <c r="AF22" s="2">
        <f>IF('Modell einstellen'!$B$2="Ja",creep_res125!P22,creep_res125!L22)</f>
        <v>0.55194490810300412</v>
      </c>
      <c r="AG22" s="2">
        <f>IF('Modell einstellen'!$B$2="Ja",creep_res160!P22,creep_res160!L22)</f>
        <v>0.56982797116010153</v>
      </c>
      <c r="AL22" s="2">
        <f t="shared" si="12"/>
        <v>10000</v>
      </c>
      <c r="AM22" s="2">
        <f t="shared" si="13"/>
        <v>4881.370820360753</v>
      </c>
      <c r="AN22" s="2">
        <f t="shared" si="14"/>
        <v>3863.6251591234022</v>
      </c>
      <c r="AO22" s="2">
        <f t="shared" si="15"/>
        <v>3289.3669034465734</v>
      </c>
      <c r="AP22" s="2">
        <f t="shared" si="16"/>
        <v>2911.6115267339505</v>
      </c>
      <c r="AQ22" s="2">
        <f t="shared" si="17"/>
        <v>2390.0680354035449</v>
      </c>
      <c r="AR22" s="2">
        <f t="shared" si="18"/>
        <v>519.49600219625086</v>
      </c>
      <c r="AS22" s="2">
        <f t="shared" si="19"/>
        <v>246.12933837944422</v>
      </c>
      <c r="AX22" s="2">
        <f t="shared" si="28"/>
        <v>10000</v>
      </c>
      <c r="AY22" s="37">
        <f t="shared" si="20"/>
        <v>19174.761648399253</v>
      </c>
      <c r="AZ22" s="37">
        <f t="shared" si="21"/>
        <v>20124.158005229059</v>
      </c>
      <c r="BA22" s="37">
        <f t="shared" si="22"/>
        <v>19215.064610654747</v>
      </c>
      <c r="BB22" s="37">
        <f t="shared" si="23"/>
        <v>17842.401938031515</v>
      </c>
      <c r="BC22" s="37">
        <f t="shared" si="24"/>
        <v>17195.408275737307</v>
      </c>
      <c r="BD22" s="37">
        <f t="shared" si="25"/>
        <v>-5173.61697762321</v>
      </c>
      <c r="BE22" s="37">
        <f t="shared" si="26"/>
        <v>-1844.4410050011215</v>
      </c>
    </row>
    <row r="23" spans="1:57" x14ac:dyDescent="0.25">
      <c r="A23" s="2">
        <f>'creep_res-40'!A23</f>
        <v>100000</v>
      </c>
      <c r="B23" s="3">
        <f>'creep_res-40'!O23</f>
        <v>-7.6518460000000012E-4</v>
      </c>
      <c r="C23" s="2">
        <f>IF('Modell einstellen'!$B$2="Ja",creep_res0!O23,creep_res0!C23)</f>
        <v>-9.8926382857142869E-4</v>
      </c>
      <c r="D23" s="2">
        <f>IF('Modell einstellen'!$B$2="Ja",creep_res25!O23,creep_res25!C23)</f>
        <v>-1.1466639428571429E-3</v>
      </c>
      <c r="E23" s="2">
        <f>IF('Modell einstellen'!$B$2="Ja",creep_res50!O23,creep_res50!C23)</f>
        <v>-1.2919337999999999E-3</v>
      </c>
      <c r="F23" s="2">
        <f>IF('Modell einstellen'!$B$2="Ja",creep_res80!O23,creep_res80!C23)</f>
        <v>-1.6042480571428572E-3</v>
      </c>
      <c r="G23" s="2">
        <f>IF('Modell einstellen'!$B$2="Ja",creep_res125!O23,creep_res125!C23)</f>
        <v>-8.4074260000000008E-3</v>
      </c>
      <c r="H23" s="2">
        <f>IF('Modell einstellen'!$B$2="Ja",creep_res160!O23,creep_res160!C23)</f>
        <v>-1.3820527428571429E-2</v>
      </c>
      <c r="M23" s="9">
        <f t="shared" si="27"/>
        <v>-10</v>
      </c>
      <c r="N23" s="2">
        <f t="shared" si="4"/>
        <v>100000</v>
      </c>
      <c r="O23" s="2">
        <f t="shared" si="5"/>
        <v>13068.741843471495</v>
      </c>
      <c r="P23" s="2">
        <f t="shared" si="6"/>
        <v>10108.526877446588</v>
      </c>
      <c r="Q23" s="2">
        <f t="shared" si="7"/>
        <v>8720.9509484382997</v>
      </c>
      <c r="R23" s="2">
        <f t="shared" si="8"/>
        <v>7740.334682783282</v>
      </c>
      <c r="S23" s="2">
        <f t="shared" si="9"/>
        <v>6233.4499677125095</v>
      </c>
      <c r="T23" s="2">
        <f t="shared" si="10"/>
        <v>1189.4246824176626</v>
      </c>
      <c r="U23" s="2">
        <f t="shared" si="11"/>
        <v>723.56138734089245</v>
      </c>
      <c r="Z23" s="2">
        <v>100000</v>
      </c>
      <c r="AA23" s="3">
        <f>IF('Modell einstellen'!$B$2="Ja",'creep_res-40'!P23,'creep_res-40'!L23)</f>
        <v>0.38582454482225592</v>
      </c>
      <c r="AB23" s="2">
        <f>IF('Modell einstellen'!$B$2="Ja",creep_res0!P23,creep_res0!L23)</f>
        <v>0.40664671455258761</v>
      </c>
      <c r="AC23" s="2">
        <f>IF('Modell einstellen'!$B$2="Ja",creep_res25!P23,creep_res25!L23)</f>
        <v>0.41332358978859368</v>
      </c>
      <c r="AD23" s="2">
        <f>IF('Modell einstellen'!$B$2="Ja",creep_res50!P23,creep_res50!L23)</f>
        <v>0.41804908491220133</v>
      </c>
      <c r="AE23" s="2">
        <f>IF('Modell einstellen'!$B$2="Ja",creep_res80!P23,creep_res80!L23)</f>
        <v>0.4327132914713831</v>
      </c>
      <c r="AF23" s="2">
        <f>IF('Modell einstellen'!$B$2="Ja",creep_res125!P23,creep_res125!L23)</f>
        <v>0.55068585455626617</v>
      </c>
      <c r="AG23" s="2">
        <f>IF('Modell einstellen'!$B$2="Ja",creep_res160!P23,creep_res160!L23)</f>
        <v>0.55735524337855535</v>
      </c>
      <c r="AL23" s="2">
        <f t="shared" si="12"/>
        <v>100000</v>
      </c>
      <c r="AM23" s="2">
        <f t="shared" si="13"/>
        <v>4715.1502303445186</v>
      </c>
      <c r="AN23" s="2">
        <f t="shared" si="14"/>
        <v>3593.12923880173</v>
      </c>
      <c r="AO23" s="2">
        <f t="shared" si="15"/>
        <v>3085.2633506749817</v>
      </c>
      <c r="AP23" s="2">
        <f t="shared" si="16"/>
        <v>2729.2195894835777</v>
      </c>
      <c r="AQ23" s="2">
        <f t="shared" si="17"/>
        <v>2175.40034172183</v>
      </c>
      <c r="AR23" s="2">
        <f t="shared" si="18"/>
        <v>383.51568079468302</v>
      </c>
      <c r="AS23" s="2">
        <f t="shared" si="19"/>
        <v>232.30454015462297</v>
      </c>
      <c r="AX23" s="2">
        <f t="shared" si="28"/>
        <v>100000</v>
      </c>
      <c r="AY23" s="37">
        <f t="shared" si="20"/>
        <v>19076.986706011034</v>
      </c>
      <c r="AZ23" s="37">
        <f t="shared" si="21"/>
        <v>18047.082879835914</v>
      </c>
      <c r="BA23" s="37">
        <f t="shared" si="22"/>
        <v>16769.174233157639</v>
      </c>
      <c r="BB23" s="37">
        <f t="shared" si="23"/>
        <v>15741.810559183754</v>
      </c>
      <c r="BC23" s="37">
        <f t="shared" si="24"/>
        <v>15440.023010045727</v>
      </c>
      <c r="BD23" s="37">
        <f t="shared" si="25"/>
        <v>-3911.1000259361867</v>
      </c>
      <c r="BE23" s="37">
        <f t="shared" si="26"/>
        <v>-2102.5726237595277</v>
      </c>
    </row>
    <row r="24" spans="1:57" x14ac:dyDescent="0.25">
      <c r="A24" s="2">
        <f>'creep_res-40'!A24</f>
        <v>1000000</v>
      </c>
      <c r="B24" s="3">
        <f>'creep_res-40'!O24</f>
        <v>-8.0167111428571425E-4</v>
      </c>
      <c r="C24" s="2">
        <f>IF('Modell einstellen'!$B$2="Ja",creep_res0!O24,creep_res0!C24)</f>
        <v>-1.0603785142857143E-3</v>
      </c>
      <c r="D24" s="2">
        <f>IF('Modell einstellen'!$B$2="Ja",creep_res25!O24,creep_res25!C24)</f>
        <v>-1.2204355428571429E-3</v>
      </c>
      <c r="E24" s="2">
        <f>IF('Modell einstellen'!$B$2="Ja",creep_res50!O24,creep_res50!C24)</f>
        <v>-1.3833840857142858E-3</v>
      </c>
      <c r="F24" s="2">
        <f>IF('Modell einstellen'!$B$2="Ja",creep_res80!O24,creep_res80!C24)</f>
        <v>-1.7905833142857143E-3</v>
      </c>
      <c r="G24" s="2">
        <f>IF('Modell einstellen'!$B$2="Ja",creep_res125!O24,creep_res125!C24)</f>
        <v>-1.0299126285714286E-2</v>
      </c>
      <c r="H24" s="2">
        <f>IF('Modell einstellen'!$B$2="Ja",creep_res160!O24,creep_res160!C24)</f>
        <v>-1.4231560857142857E-2</v>
      </c>
      <c r="M24" s="9">
        <f t="shared" si="27"/>
        <v>-10</v>
      </c>
      <c r="N24" s="2">
        <f t="shared" si="4"/>
        <v>1000000</v>
      </c>
      <c r="O24" s="2">
        <f t="shared" si="5"/>
        <v>12473.943269004971</v>
      </c>
      <c r="P24" s="2">
        <f t="shared" si="6"/>
        <v>9430.5947030020106</v>
      </c>
      <c r="Q24" s="2">
        <f t="shared" si="7"/>
        <v>8193.7961070759648</v>
      </c>
      <c r="R24" s="2">
        <f t="shared" si="8"/>
        <v>7228.6504545385724</v>
      </c>
      <c r="S24" s="2">
        <f t="shared" si="9"/>
        <v>5584.7722472434198</v>
      </c>
      <c r="T24" s="2">
        <f t="shared" si="10"/>
        <v>970.95614934548394</v>
      </c>
      <c r="U24" s="2">
        <f t="shared" si="11"/>
        <v>702.66361507219881</v>
      </c>
      <c r="Z24" s="2">
        <v>1000000</v>
      </c>
      <c r="AA24" s="3">
        <f>IF('Modell einstellen'!$B$2="Ja",'creep_res-40'!P24,'creep_res-40'!L24)</f>
        <v>0.38517508907910197</v>
      </c>
      <c r="AB24" s="2">
        <f>IF('Modell einstellen'!$B$2="Ja",creep_res0!P24,creep_res0!L24)</f>
        <v>0.40316678831235681</v>
      </c>
      <c r="AC24" s="2">
        <f>IF('Modell einstellen'!$B$2="Ja",creep_res25!P24,creep_res25!L24)</f>
        <v>0.41011054507847361</v>
      </c>
      <c r="AD24" s="2">
        <f>IF('Modell einstellen'!$B$2="Ja",creep_res50!P24,creep_res50!L24)</f>
        <v>0.41697889789640691</v>
      </c>
      <c r="AE24" s="2">
        <f>IF('Modell einstellen'!$B$2="Ja",creep_res80!P24,creep_res80!L24)</f>
        <v>0.43586316708030148</v>
      </c>
      <c r="AF24" s="2">
        <f>IF('Modell einstellen'!$B$2="Ja",creep_res125!P24,creep_res125!L24)</f>
        <v>0.54559798720235408</v>
      </c>
      <c r="AG24" s="2">
        <f>IF('Modell einstellen'!$B$2="Ja",creep_res160!P24,creep_res160!L24)</f>
        <v>0.54607689553096517</v>
      </c>
      <c r="AL24" s="2">
        <f t="shared" si="12"/>
        <v>1000000</v>
      </c>
      <c r="AM24" s="2">
        <f t="shared" si="13"/>
        <v>4502.659399288631</v>
      </c>
      <c r="AN24" s="2">
        <f t="shared" si="14"/>
        <v>3360.468185804395</v>
      </c>
      <c r="AO24" s="2">
        <f t="shared" si="15"/>
        <v>2905.3736728917142</v>
      </c>
      <c r="AP24" s="2">
        <f t="shared" si="16"/>
        <v>2550.726219448276</v>
      </c>
      <c r="AQ24" s="2">
        <f t="shared" si="17"/>
        <v>1944.7438917872487</v>
      </c>
      <c r="AR24" s="2">
        <f t="shared" si="18"/>
        <v>314.10371823238006</v>
      </c>
      <c r="AS24" s="2">
        <f t="shared" si="19"/>
        <v>227.24083682489959</v>
      </c>
      <c r="AX24" s="2">
        <f t="shared" si="28"/>
        <v>1000000</v>
      </c>
      <c r="AY24" s="37">
        <f t="shared" si="20"/>
        <v>18105.744895951731</v>
      </c>
      <c r="AZ24" s="37">
        <f t="shared" si="21"/>
        <v>16231.68080909827</v>
      </c>
      <c r="BA24" s="37">
        <f t="shared" si="22"/>
        <v>15192.356942256018</v>
      </c>
      <c r="BB24" s="37">
        <f t="shared" si="23"/>
        <v>14511.672878699197</v>
      </c>
      <c r="BC24" s="37">
        <f t="shared" si="24"/>
        <v>14512.649474069873</v>
      </c>
      <c r="BD24" s="37">
        <f t="shared" si="25"/>
        <v>-3548.9729880567934</v>
      </c>
      <c r="BE24" s="37">
        <f t="shared" si="26"/>
        <v>-2541.633961283937</v>
      </c>
    </row>
    <row r="25" spans="1:57" x14ac:dyDescent="0.25">
      <c r="A25" s="2">
        <f>'creep_res-40'!A25</f>
        <v>10000000</v>
      </c>
      <c r="B25" s="3">
        <f>'creep_res-40'!O25</f>
        <v>-8.4621368571428577E-4</v>
      </c>
      <c r="C25" s="2">
        <f>IF('Modell einstellen'!$B$2="Ja",creep_res0!O25,creep_res0!C25)</f>
        <v>-1.1258349714285715E-3</v>
      </c>
      <c r="D25" s="2">
        <f>IF('Modell einstellen'!$B$2="Ja",creep_res25!O25,creep_res25!C25)</f>
        <v>-1.2976860000000002E-3</v>
      </c>
      <c r="E25" s="2">
        <f>IF('Modell einstellen'!$B$2="Ja",creep_res50!O25,creep_res50!C25)</f>
        <v>-1.494031E-3</v>
      </c>
      <c r="F25" s="2">
        <f>IF('Modell einstellen'!$B$2="Ja",creep_res80!O25,creep_res80!C25)</f>
        <v>-2.0483691428571432E-3</v>
      </c>
      <c r="G25" s="2">
        <f>IF('Modell einstellen'!$B$2="Ja",creep_res125!O25,creep_res125!C25)</f>
        <v>-1.1566711142857143E-2</v>
      </c>
      <c r="H25" s="2">
        <f>IF('Modell einstellen'!$B$2="Ja",creep_res160!O25,creep_res160!C25)</f>
        <v>-1.4360789142857143E-2</v>
      </c>
      <c r="M25" s="9">
        <f t="shared" si="27"/>
        <v>-10</v>
      </c>
      <c r="N25" s="2">
        <f t="shared" si="4"/>
        <v>10000000</v>
      </c>
      <c r="O25" s="2">
        <f t="shared" si="5"/>
        <v>11817.346101604393</v>
      </c>
      <c r="P25" s="2">
        <f t="shared" si="6"/>
        <v>8882.2964766416917</v>
      </c>
      <c r="Q25" s="2">
        <f t="shared" si="7"/>
        <v>7706.024415767758</v>
      </c>
      <c r="R25" s="2">
        <f t="shared" si="8"/>
        <v>6693.3015446131976</v>
      </c>
      <c r="S25" s="2">
        <f t="shared" si="9"/>
        <v>4881.932553451581</v>
      </c>
      <c r="T25" s="2">
        <f t="shared" si="10"/>
        <v>864.54998975014234</v>
      </c>
      <c r="U25" s="2">
        <f t="shared" si="11"/>
        <v>696.34056321855132</v>
      </c>
      <c r="Z25" s="2">
        <v>10000000</v>
      </c>
      <c r="AA25" s="3">
        <f>IF('Modell einstellen'!$B$2="Ja",'creep_res-40'!P25,'creep_res-40'!L25)</f>
        <v>0.38265812562912593</v>
      </c>
      <c r="AB25" s="2">
        <f>IF('Modell einstellen'!$B$2="Ja",creep_res0!P25,creep_res0!L25)</f>
        <v>0.4013288270820915</v>
      </c>
      <c r="AC25" s="2">
        <f>IF('Modell einstellen'!$B$2="Ja",creep_res25!P25,creep_res25!L25)</f>
        <v>0.40984867349596565</v>
      </c>
      <c r="AD25" s="2">
        <f>IF('Modell einstellen'!$B$2="Ja",creep_res50!P25,creep_res50!L25)</f>
        <v>0.41918858635272149</v>
      </c>
      <c r="AE25" s="2">
        <f>IF('Modell einstellen'!$B$2="Ja",creep_res80!P25,creep_res80!L25)</f>
        <v>0.44238930427160728</v>
      </c>
      <c r="AF25" s="2">
        <f>IF('Modell einstellen'!$B$2="Ja",creep_res125!P25,creep_res125!L25)</f>
        <v>0.54003887856602484</v>
      </c>
      <c r="AG25" s="2">
        <f>IF('Modell einstellen'!$B$2="Ja",creep_res160!P25,creep_res160!L25)</f>
        <v>0.5377874180491713</v>
      </c>
      <c r="AL25" s="2">
        <f t="shared" si="12"/>
        <v>10000000</v>
      </c>
      <c r="AM25" s="2">
        <f t="shared" si="13"/>
        <v>4273.4157788380835</v>
      </c>
      <c r="AN25" s="2">
        <f t="shared" si="14"/>
        <v>3169.2406182554596</v>
      </c>
      <c r="AO25" s="2">
        <f t="shared" si="15"/>
        <v>2732.9260794562178</v>
      </c>
      <c r="AP25" s="2">
        <f t="shared" si="16"/>
        <v>2358.1438044871866</v>
      </c>
      <c r="AQ25" s="2">
        <f t="shared" si="17"/>
        <v>1692.3075271682321</v>
      </c>
      <c r="AR25" s="2">
        <f t="shared" si="18"/>
        <v>280.6909623460773</v>
      </c>
      <c r="AS25" s="2">
        <f t="shared" si="19"/>
        <v>226.40989093990805</v>
      </c>
      <c r="AX25" s="2">
        <f t="shared" si="28"/>
        <v>10000000</v>
      </c>
      <c r="AY25" s="37">
        <f t="shared" si="20"/>
        <v>16784.781171772425</v>
      </c>
      <c r="AZ25" s="37">
        <f t="shared" si="21"/>
        <v>15003.193965663946</v>
      </c>
      <c r="BA25" s="37">
        <f t="shared" si="22"/>
        <v>14246.46150459566</v>
      </c>
      <c r="BB25" s="37">
        <f t="shared" si="23"/>
        <v>13804.365090117459</v>
      </c>
      <c r="BC25" s="37">
        <f t="shared" si="24"/>
        <v>14123.339690450282</v>
      </c>
      <c r="BD25" s="37">
        <f t="shared" si="25"/>
        <v>-3598.7937254722879</v>
      </c>
      <c r="BE25" s="37">
        <f t="shared" si="26"/>
        <v>-3071.3069727443426</v>
      </c>
    </row>
    <row r="26" spans="1:57" x14ac:dyDescent="0.25">
      <c r="A26" s="2">
        <f>'creep_res-40'!A26</f>
        <v>100000000</v>
      </c>
      <c r="B26" s="3">
        <f>'creep_res-40'!O26</f>
        <v>-8.9196245714285715E-4</v>
      </c>
      <c r="C26" s="2">
        <f>IF('Modell einstellen'!$B$2="Ja",creep_res0!O26,creep_res0!C26)</f>
        <v>-1.1932491142857143E-3</v>
      </c>
      <c r="D26" s="2">
        <f>IF('Modell einstellen'!$B$2="Ja",creep_res25!O26,creep_res25!C26)</f>
        <v>-1.3792314000000002E-3</v>
      </c>
      <c r="E26" s="2">
        <f>IF('Modell einstellen'!$B$2="Ja",creep_res50!O26,creep_res50!C26)</f>
        <v>-1.6276288571428572E-3</v>
      </c>
      <c r="F26" s="2">
        <f>IF('Modell einstellen'!$B$2="Ja",creep_res80!O26,creep_res80!C26)</f>
        <v>-2.4503183428571432E-3</v>
      </c>
      <c r="G26" s="2">
        <f>IF('Modell einstellen'!$B$2="Ja",creep_res125!O26,creep_res125!C26)</f>
        <v>-1.2418748E-2</v>
      </c>
      <c r="H26" s="2">
        <f>IF('Modell einstellen'!$B$2="Ja",creep_res160!O26,creep_res160!C26)</f>
        <v>-1.4368254571428573E-2</v>
      </c>
      <c r="M26" s="9">
        <f t="shared" si="27"/>
        <v>-10</v>
      </c>
      <c r="N26" s="2">
        <f t="shared" si="4"/>
        <v>100000000</v>
      </c>
      <c r="O26" s="2">
        <f t="shared" si="5"/>
        <v>11211.234194802433</v>
      </c>
      <c r="P26" s="2">
        <f t="shared" si="6"/>
        <v>8380.4797173355182</v>
      </c>
      <c r="Q26" s="2">
        <f t="shared" si="7"/>
        <v>7250.4149775012365</v>
      </c>
      <c r="R26" s="2">
        <f t="shared" si="8"/>
        <v>6143.9067979871152</v>
      </c>
      <c r="S26" s="2">
        <f t="shared" si="9"/>
        <v>4081.1023715145952</v>
      </c>
      <c r="T26" s="2">
        <f t="shared" si="10"/>
        <v>805.23415081777966</v>
      </c>
      <c r="U26" s="2">
        <f t="shared" si="11"/>
        <v>695.97876000089161</v>
      </c>
      <c r="Z26" s="2">
        <v>100000000</v>
      </c>
      <c r="AA26" s="3">
        <f>IF('Modell einstellen'!$B$2="Ja",'creep_res-40'!P26,'creep_res-40'!L26)</f>
        <v>0.38122219493799325</v>
      </c>
      <c r="AB26" s="2">
        <f>IF('Modell einstellen'!$B$2="Ja",creep_res0!P26,creep_res0!L26)</f>
        <v>0.40196690816734976</v>
      </c>
      <c r="AC26" s="2">
        <f>IF('Modell einstellen'!$B$2="Ja",creep_res25!P26,creep_res25!L26)</f>
        <v>0.41158018464901114</v>
      </c>
      <c r="AD26" s="2">
        <f>IF('Modell einstellen'!$B$2="Ja",creep_res50!P26,creep_res50!L26)</f>
        <v>0.42336078372377278</v>
      </c>
      <c r="AE26" s="2">
        <f>IF('Modell einstellen'!$B$2="Ja",creep_res80!P26,creep_res80!L26)</f>
        <v>0.45249639982639217</v>
      </c>
      <c r="AF26" s="2">
        <f>IF('Modell einstellen'!$B$2="Ja",creep_res125!P26,creep_res125!L26)</f>
        <v>0.53530611252323612</v>
      </c>
      <c r="AG26" s="2">
        <f>IF('Modell einstellen'!$B$2="Ja",creep_res160!P26,creep_res160!L26)</f>
        <v>0.53772050769622259</v>
      </c>
      <c r="AL26" s="2">
        <f t="shared" si="12"/>
        <v>100000000</v>
      </c>
      <c r="AM26" s="2">
        <f t="shared" si="13"/>
        <v>4058.4470173916279</v>
      </c>
      <c r="AN26" s="2">
        <f t="shared" si="14"/>
        <v>2988.8293612758935</v>
      </c>
      <c r="AO26" s="2">
        <f t="shared" si="15"/>
        <v>2568.1909736158736</v>
      </c>
      <c r="AP26" s="2">
        <f t="shared" si="16"/>
        <v>2158.239452794789</v>
      </c>
      <c r="AQ26" s="2">
        <f t="shared" si="17"/>
        <v>1404.857998960405</v>
      </c>
      <c r="AR26" s="2">
        <f t="shared" si="18"/>
        <v>262.23895816268134</v>
      </c>
      <c r="AS26" s="2">
        <f t="shared" si="19"/>
        <v>226.30209993218824</v>
      </c>
      <c r="AX26" s="2">
        <f t="shared" si="28"/>
        <v>100000000</v>
      </c>
      <c r="AY26" s="37">
        <f t="shared" si="20"/>
        <v>15731.382066637958</v>
      </c>
      <c r="AZ26" s="37">
        <f t="shared" si="21"/>
        <v>14247.705478271253</v>
      </c>
      <c r="BA26" s="37">
        <f t="shared" si="22"/>
        <v>13666.648040977747</v>
      </c>
      <c r="BB26" s="37">
        <f t="shared" si="23"/>
        <v>13361.103049912273</v>
      </c>
      <c r="BC26" s="37">
        <f t="shared" si="24"/>
        <v>14318.572194527354</v>
      </c>
      <c r="BD26" s="37">
        <f t="shared" si="25"/>
        <v>-3801.2027439905219</v>
      </c>
      <c r="BE26" s="37">
        <f t="shared" si="26"/>
        <v>-3075.1563826847623</v>
      </c>
    </row>
    <row r="27" spans="1:57" x14ac:dyDescent="0.25">
      <c r="A27" s="2">
        <f>'creep_res-40'!A27</f>
        <v>1000000000</v>
      </c>
      <c r="B27" s="3">
        <f>'creep_res-40'!O27</f>
        <v>-9.4004797142857143E-4</v>
      </c>
      <c r="C27" s="2">
        <f>IF('Modell einstellen'!$B$2="Ja",creep_res0!O27,creep_res0!C27)</f>
        <v>-1.2596230285714287E-3</v>
      </c>
      <c r="D27" s="2">
        <f>IF('Modell einstellen'!$B$2="Ja",creep_res25!O27,creep_res25!C27)</f>
        <v>-1.4804677714285717E-3</v>
      </c>
      <c r="E27" s="2">
        <f>IF('Modell einstellen'!$B$2="Ja",creep_res50!O27,creep_res50!C27)</f>
        <v>-1.8037072000000002E-3</v>
      </c>
      <c r="F27" s="2">
        <f>IF('Modell einstellen'!$B$2="Ja",creep_res80!O27,creep_res80!C27)</f>
        <v>-3.1242568571428577E-3</v>
      </c>
      <c r="G27" s="2">
        <f>IF('Modell einstellen'!$B$2="Ja",creep_res125!O27,creep_res125!C27)</f>
        <v>-1.3019599142857143E-2</v>
      </c>
      <c r="H27" s="2">
        <f>IF('Modell einstellen'!$B$2="Ja",creep_res160!O27,creep_res160!C27)</f>
        <v>-1.4427086857142859E-2</v>
      </c>
      <c r="M27" s="9">
        <f t="shared" si="27"/>
        <v>-10</v>
      </c>
      <c r="N27" s="2">
        <f t="shared" si="4"/>
        <v>1000000000</v>
      </c>
      <c r="O27" s="2">
        <f t="shared" si="5"/>
        <v>10637.754991166255</v>
      </c>
      <c r="P27" s="2">
        <f t="shared" si="6"/>
        <v>7938.8831207232379</v>
      </c>
      <c r="Q27" s="2">
        <f t="shared" si="7"/>
        <v>6754.6218789690629</v>
      </c>
      <c r="R27" s="2">
        <f t="shared" si="8"/>
        <v>5544.1370971962624</v>
      </c>
      <c r="S27" s="2">
        <f t="shared" si="9"/>
        <v>3200.7611592937433</v>
      </c>
      <c r="T27" s="2">
        <f t="shared" si="10"/>
        <v>768.07280241698027</v>
      </c>
      <c r="U27" s="2">
        <f t="shared" si="11"/>
        <v>693.14062492449705</v>
      </c>
      <c r="Z27" s="2">
        <v>1000000000</v>
      </c>
      <c r="AA27" s="3">
        <f>IF('Modell einstellen'!$B$2="Ja",'creep_res-40'!P27,'creep_res-40'!L27)</f>
        <v>0.38203196256336952</v>
      </c>
      <c r="AB27" s="2">
        <f>IF('Modell einstellen'!$B$2="Ja",creep_res0!P27,creep_res0!L27)</f>
        <v>0.40388920440278658</v>
      </c>
      <c r="AC27" s="2">
        <f>IF('Modell einstellen'!$B$2="Ja",creep_res25!P27,creep_res25!L27)</f>
        <v>0.41540312779906702</v>
      </c>
      <c r="AD27" s="2">
        <f>IF('Modell einstellen'!$B$2="Ja",creep_res50!P27,creep_res50!L27)</f>
        <v>0.4293191109003564</v>
      </c>
      <c r="AE27" s="2">
        <f>IF('Modell einstellen'!$B$2="Ja",creep_res80!P27,creep_res80!L27)</f>
        <v>0.46629853645653235</v>
      </c>
      <c r="AF27" s="2">
        <f>IF('Modell einstellen'!$B$2="Ja",creep_res125!P27,creep_res125!L27)</f>
        <v>0.53284357207662114</v>
      </c>
      <c r="AG27" s="2">
        <f>IF('Modell einstellen'!$B$2="Ja",creep_res160!P27,creep_res160!L27)</f>
        <v>0.53369132792356211</v>
      </c>
      <c r="AL27" s="2">
        <f t="shared" si="12"/>
        <v>1000000000</v>
      </c>
      <c r="AM27" s="2">
        <f t="shared" si="13"/>
        <v>3848.5922465336935</v>
      </c>
      <c r="AN27" s="2">
        <f t="shared" si="14"/>
        <v>2827.4607055264137</v>
      </c>
      <c r="AO27" s="2">
        <f t="shared" si="15"/>
        <v>2386.1123895749793</v>
      </c>
      <c r="AP27" s="2">
        <f t="shared" si="16"/>
        <v>1939.4329282086981</v>
      </c>
      <c r="AQ27" s="2">
        <f t="shared" si="17"/>
        <v>1091.4425267820036</v>
      </c>
      <c r="AR27" s="2">
        <f t="shared" si="18"/>
        <v>250.5385469230996</v>
      </c>
      <c r="AS27" s="2">
        <f t="shared" si="19"/>
        <v>225.971358220734</v>
      </c>
      <c r="AX27" s="2">
        <f t="shared" si="28"/>
        <v>1000000000</v>
      </c>
      <c r="AY27" s="37">
        <f t="shared" si="20"/>
        <v>15029.148604313825</v>
      </c>
      <c r="AZ27" s="37">
        <f t="shared" si="21"/>
        <v>13766.894536305024</v>
      </c>
      <c r="BA27" s="37">
        <f t="shared" si="22"/>
        <v>13307.46969565968</v>
      </c>
      <c r="BB27" s="37">
        <f t="shared" si="23"/>
        <v>13073.163924551845</v>
      </c>
      <c r="BC27" s="37">
        <f t="shared" si="24"/>
        <v>15828.991893113925</v>
      </c>
      <c r="BD27" s="37">
        <f t="shared" si="25"/>
        <v>-3897.6312758405943</v>
      </c>
      <c r="BE27" s="37">
        <f t="shared" si="26"/>
        <v>-3428.8775363652135</v>
      </c>
    </row>
    <row r="28" spans="1:57" x14ac:dyDescent="0.25">
      <c r="A28" s="2">
        <f>'creep_res-40'!A28</f>
        <v>10000000000</v>
      </c>
      <c r="B28" s="3">
        <f>'creep_res-40'!O28</f>
        <v>-9.9600322857142857E-4</v>
      </c>
      <c r="C28" s="2">
        <f>IF('Modell einstellen'!$B$2="Ja",creep_res0!O28,creep_res0!C28)</f>
        <v>-1.3309826000000001E-3</v>
      </c>
      <c r="D28" s="2">
        <f>IF('Modell einstellen'!$B$2="Ja",creep_res25!O28,creep_res25!C28)</f>
        <v>-1.6026793142857143E-3</v>
      </c>
      <c r="E28" s="2">
        <f>IF('Modell einstellen'!$B$2="Ja",creep_res50!O28,creep_res50!C28)</f>
        <v>-2.0501415714285717E-3</v>
      </c>
      <c r="F28" s="2">
        <f>IF('Modell einstellen'!$B$2="Ja",creep_res80!O28,creep_res80!C28)</f>
        <v>-4.2644768571428572E-3</v>
      </c>
      <c r="G28" s="2">
        <f>IF('Modell einstellen'!$B$2="Ja",creep_res125!O28,creep_res125!C28)</f>
        <v>-1.3295077428571431E-2</v>
      </c>
      <c r="H28" s="2">
        <f>IF('Modell einstellen'!$B$2="Ja",creep_res160!O28,creep_res160!C28)</f>
        <v>-1.4475546000000001E-2</v>
      </c>
      <c r="M28" s="9">
        <f t="shared" si="27"/>
        <v>-10</v>
      </c>
      <c r="N28" s="2">
        <f t="shared" si="4"/>
        <v>10000000000</v>
      </c>
      <c r="O28" s="2">
        <f t="shared" si="5"/>
        <v>10040.128097117757</v>
      </c>
      <c r="P28" s="2">
        <f t="shared" si="6"/>
        <v>7513.2462287636217</v>
      </c>
      <c r="Q28" s="2">
        <f t="shared" si="7"/>
        <v>6239.5514254558293</v>
      </c>
      <c r="R28" s="2">
        <f t="shared" si="8"/>
        <v>4877.7119294409695</v>
      </c>
      <c r="S28" s="2">
        <f t="shared" si="9"/>
        <v>2344.9535159864527</v>
      </c>
      <c r="T28" s="2">
        <f t="shared" si="10"/>
        <v>752.15808660954224</v>
      </c>
      <c r="U28" s="2">
        <f t="shared" si="11"/>
        <v>690.82022881900275</v>
      </c>
      <c r="Z28" s="2">
        <v>10000000000</v>
      </c>
      <c r="AA28" s="3">
        <f>IF('Modell einstellen'!$B$2="Ja",'creep_res-40'!P28,'creep_res-40'!L28)</f>
        <v>0.38524407537061056</v>
      </c>
      <c r="AB28" s="2">
        <f>IF('Modell einstellen'!$B$2="Ja",creep_res0!P28,creep_res0!L28)</f>
        <v>0.40688500145896506</v>
      </c>
      <c r="AC28" s="2">
        <f>IF('Modell einstellen'!$B$2="Ja",creep_res25!P28,creep_res25!L28)</f>
        <v>0.42016620524886755</v>
      </c>
      <c r="AD28" s="2">
        <f>IF('Modell einstellen'!$B$2="Ja",creep_res50!P28,creep_res50!L28)</f>
        <v>0.43699248365496152</v>
      </c>
      <c r="AE28" s="2">
        <f>IF('Modell einstellen'!$B$2="Ja",creep_res80!P28,creep_res80!L28)</f>
        <v>0.48310616428650532</v>
      </c>
      <c r="AF28" s="2">
        <f>IF('Modell einstellen'!$B$2="Ja",creep_res125!P28,creep_res125!L28)</f>
        <v>0.53297505106669874</v>
      </c>
      <c r="AG28" s="2">
        <f>IF('Modell einstellen'!$B$2="Ja",creep_res160!P28,creep_res160!L28)</f>
        <v>0.53103076634997293</v>
      </c>
      <c r="AL28" s="2">
        <f t="shared" si="12"/>
        <v>10000000000</v>
      </c>
      <c r="AM28" s="2">
        <f t="shared" si="13"/>
        <v>3623.9563394023553</v>
      </c>
      <c r="AN28" s="2">
        <f t="shared" si="14"/>
        <v>2670.1707037079254</v>
      </c>
      <c r="AO28" s="2">
        <f t="shared" si="15"/>
        <v>2196.768027007945</v>
      </c>
      <c r="AP28" s="2">
        <f t="shared" si="16"/>
        <v>1697.1946565213088</v>
      </c>
      <c r="AQ28" s="2">
        <f t="shared" si="17"/>
        <v>790.55484106714846</v>
      </c>
      <c r="AR28" s="2">
        <f t="shared" si="18"/>
        <v>245.32626479673095</v>
      </c>
      <c r="AS28" s="2">
        <f t="shared" si="19"/>
        <v>225.60625299057205</v>
      </c>
      <c r="AX28" s="2">
        <f t="shared" si="28"/>
        <v>10000000000</v>
      </c>
      <c r="AY28" s="37">
        <f t="shared" si="20"/>
        <v>14581.858742867964</v>
      </c>
      <c r="AZ28" s="37">
        <f t="shared" si="21"/>
        <v>13447.969977061217</v>
      </c>
      <c r="BA28" s="37">
        <f t="shared" si="22"/>
        <v>13026.128105494072</v>
      </c>
      <c r="BB28" s="37">
        <f t="shared" si="23"/>
        <v>12902.460458658872</v>
      </c>
      <c r="BC28" s="37">
        <f t="shared" si="24"/>
        <v>23134.21253916619</v>
      </c>
      <c r="BD28" s="37">
        <f t="shared" si="25"/>
        <v>-3801.6523719106594</v>
      </c>
      <c r="BE28" s="37">
        <f t="shared" si="26"/>
        <v>-3710.4048125858671</v>
      </c>
    </row>
    <row r="29" spans="1:57" x14ac:dyDescent="0.25">
      <c r="A29" s="2">
        <f>'creep_res-40'!A29</f>
        <v>100000000000</v>
      </c>
      <c r="B29" s="3">
        <f>'creep_res-40'!O29</f>
        <v>-1.0570064285714287E-3</v>
      </c>
      <c r="C29" s="2">
        <f>IF('Modell einstellen'!$B$2="Ja",creep_res0!O29,creep_res0!C29)</f>
        <v>-1.4092666000000002E-3</v>
      </c>
      <c r="D29" s="2">
        <f>IF('Modell einstellen'!$B$2="Ja",creep_res25!O29,creep_res25!C29)</f>
        <v>-1.7641265142857145E-3</v>
      </c>
      <c r="E29" s="2">
        <f>IF('Modell einstellen'!$B$2="Ja",creep_res50!O29,creep_res50!C29)</f>
        <v>-2.4371894571428572E-3</v>
      </c>
      <c r="F29" s="2">
        <f>IF('Modell einstellen'!$B$2="Ja",creep_res80!O29,creep_res80!C29)</f>
        <v>-6.0131102857142859E-3</v>
      </c>
      <c r="G29" s="2">
        <f>IF('Modell einstellen'!$B$2="Ja",creep_res125!O29,creep_res125!C29)</f>
        <v>-1.3949406571428574E-2</v>
      </c>
      <c r="H29" s="2">
        <f>IF('Modell einstellen'!$B$2="Ja",creep_res160!O29,creep_res160!C29)</f>
        <v>-1.4482518857142858E-2</v>
      </c>
      <c r="M29" s="9">
        <f t="shared" si="27"/>
        <v>-10</v>
      </c>
      <c r="N29" s="2">
        <f t="shared" si="4"/>
        <v>100000000000</v>
      </c>
      <c r="O29" s="2">
        <f t="shared" si="5"/>
        <v>9460.6803986190098</v>
      </c>
      <c r="P29" s="2">
        <f t="shared" si="6"/>
        <v>7095.8894505837288</v>
      </c>
      <c r="Q29" s="2">
        <f t="shared" si="7"/>
        <v>5668.5276928956237</v>
      </c>
      <c r="R29" s="2">
        <f t="shared" si="8"/>
        <v>4103.0868448459096</v>
      </c>
      <c r="S29" s="2">
        <f t="shared" si="9"/>
        <v>1663.0328606740529</v>
      </c>
      <c r="T29" s="2">
        <f t="shared" si="10"/>
        <v>716.87637382956348</v>
      </c>
      <c r="U29" s="2">
        <f t="shared" si="11"/>
        <v>690.48762156922339</v>
      </c>
      <c r="Z29" s="2">
        <v>100000000000</v>
      </c>
      <c r="AA29" s="3">
        <f>IF('Modell einstellen'!$B$2="Ja",'creep_res-40'!P29,'creep_res-40'!L29)</f>
        <v>0.3894191480116691</v>
      </c>
      <c r="AB29" s="2">
        <f>IF('Modell einstellen'!$B$2="Ja",creep_res0!P29,creep_res0!L29)</f>
        <v>0.41039885568848361</v>
      </c>
      <c r="AC29" s="2">
        <f>IF('Modell einstellen'!$B$2="Ja",creep_res25!P29,creep_res25!L29)</f>
        <v>0.42611313850052995</v>
      </c>
      <c r="AD29" s="2">
        <f>IF('Modell einstellen'!$B$2="Ja",creep_res50!P29,creep_res50!L29)</f>
        <v>0.44736264187023572</v>
      </c>
      <c r="AE29" s="2">
        <f>IF('Modell einstellen'!$B$2="Ja",creep_res80!P29,creep_res80!L29)</f>
        <v>0.49973486504678405</v>
      </c>
      <c r="AF29" s="2">
        <f>IF('Modell einstellen'!$B$2="Ja",creep_res125!P29,creep_res125!L29)</f>
        <v>0.53132949454910749</v>
      </c>
      <c r="AG29" s="2">
        <f>IF('Modell einstellen'!$B$2="Ja",creep_res160!P29,creep_res160!L29)</f>
        <v>0.53107367905377789</v>
      </c>
      <c r="AL29" s="2">
        <f t="shared" si="12"/>
        <v>100000000000</v>
      </c>
      <c r="AM29" s="2">
        <f t="shared" si="13"/>
        <v>3404.5451338992034</v>
      </c>
      <c r="AN29" s="2">
        <f t="shared" si="14"/>
        <v>2515.5612619665249</v>
      </c>
      <c r="AO29" s="2">
        <f t="shared" si="15"/>
        <v>1987.4046244520723</v>
      </c>
      <c r="AP29" s="2">
        <f t="shared" si="16"/>
        <v>1417.4356606109552</v>
      </c>
      <c r="AQ29" s="2">
        <f t="shared" si="17"/>
        <v>554.44228824478739</v>
      </c>
      <c r="AR29" s="2">
        <f t="shared" si="18"/>
        <v>234.06992955511652</v>
      </c>
      <c r="AS29" s="2">
        <f t="shared" si="19"/>
        <v>225.49131077609314</v>
      </c>
      <c r="AX29" s="2">
        <f t="shared" si="28"/>
        <v>100000000000</v>
      </c>
      <c r="AY29" s="37">
        <f t="shared" si="20"/>
        <v>14259.069613633399</v>
      </c>
      <c r="AZ29" s="37">
        <f t="shared" si="21"/>
        <v>13199.030557603601</v>
      </c>
      <c r="BA29" s="37">
        <f t="shared" si="22"/>
        <v>12786.503531340009</v>
      </c>
      <c r="BB29" s="37">
        <f t="shared" si="23"/>
        <v>12991.681797336068</v>
      </c>
      <c r="BC29" s="37">
        <f t="shared" si="24"/>
        <v>1045400.2389489568</v>
      </c>
      <c r="BD29" s="37">
        <f t="shared" si="25"/>
        <v>-3813.639426929863</v>
      </c>
      <c r="BE29" s="37">
        <f t="shared" si="26"/>
        <v>-3703.4967781694272</v>
      </c>
    </row>
    <row r="30" spans="1:57" x14ac:dyDescent="0.25">
      <c r="A30" s="2">
        <f>'creep_res-40'!A30</f>
        <v>1000000000000</v>
      </c>
      <c r="B30" s="3">
        <f>'creep_res-40'!O30</f>
        <v>-1.1131610285714285E-3</v>
      </c>
      <c r="C30" s="2">
        <f>IF('Modell einstellen'!$B$2="Ja",creep_res0!O30,creep_res0!C30)</f>
        <v>-1.5122779142857142E-3</v>
      </c>
      <c r="D30" s="2">
        <f>IF('Modell einstellen'!$B$2="Ja",creep_res25!O30,creep_res25!C30)</f>
        <v>-1.9859938571428573E-3</v>
      </c>
      <c r="E30" s="2">
        <f>IF('Modell einstellen'!$B$2="Ja",creep_res50!O30,creep_res50!C30)</f>
        <v>-3.0883197142857147E-3</v>
      </c>
      <c r="F30" s="2">
        <f>IF('Modell einstellen'!$B$2="Ja",creep_res80!O30,creep_res80!C30)</f>
        <v>-8.2161508571428586E-3</v>
      </c>
      <c r="G30" s="2">
        <f>IF('Modell einstellen'!$B$2="Ja",creep_res125!O30,creep_res125!C30)</f>
        <v>-1.4434227142857142E-2</v>
      </c>
      <c r="H30" s="2">
        <f>IF('Modell einstellen'!$B$2="Ja",creep_res160!O30,creep_res160!C30)</f>
        <v>-1.448888942857143E-2</v>
      </c>
      <c r="M30" s="9">
        <f t="shared" si="27"/>
        <v>-10</v>
      </c>
      <c r="N30" s="2">
        <f t="shared" si="4"/>
        <v>1000000000000</v>
      </c>
      <c r="O30" s="2">
        <f t="shared" si="5"/>
        <v>8983.4262459165202</v>
      </c>
      <c r="P30" s="2">
        <f t="shared" si="6"/>
        <v>6612.5411906998879</v>
      </c>
      <c r="Q30" s="2">
        <f t="shared" si="7"/>
        <v>5035.2623015594136</v>
      </c>
      <c r="R30" s="2">
        <f t="shared" si="8"/>
        <v>3238.0067237672188</v>
      </c>
      <c r="S30" s="2">
        <f t="shared" si="9"/>
        <v>1217.1149451700148</v>
      </c>
      <c r="T30" s="2">
        <f t="shared" si="10"/>
        <v>692.79774393383821</v>
      </c>
      <c r="U30" s="2">
        <f t="shared" si="11"/>
        <v>690.18402337176065</v>
      </c>
      <c r="Z30" s="2">
        <v>1000000000000</v>
      </c>
      <c r="AA30" s="3">
        <f>IF('Modell einstellen'!$B$2="Ja",'creep_res-40'!P30,'creep_res-40'!L30)</f>
        <v>0.39283565596824449</v>
      </c>
      <c r="AB30" s="2">
        <f>IF('Modell einstellen'!$B$2="Ja",creep_res0!P30,creep_res0!L30)</f>
        <v>0.41492564282449457</v>
      </c>
      <c r="AC30" s="2">
        <f>IF('Modell einstellen'!$B$2="Ja",creep_res25!P30,creep_res25!L30)</f>
        <v>0.43337691232968134</v>
      </c>
      <c r="AD30" s="2">
        <f>IF('Modell einstellen'!$B$2="Ja",creep_res50!P30,creep_res50!L30)</f>
        <v>0.4612547979164629</v>
      </c>
      <c r="AE30" s="2">
        <f>IF('Modell einstellen'!$B$2="Ja",creep_res80!P30,creep_res80!L30)</f>
        <v>0.51268491105741276</v>
      </c>
      <c r="AF30" s="2">
        <f>IF('Modell einstellen'!$B$2="Ja",creep_res125!P30,creep_res125!L30)</f>
        <v>0.53150061277960459</v>
      </c>
      <c r="AG30" s="2">
        <f>IF('Modell einstellen'!$B$2="Ja",creep_res160!P30,creep_res160!L30)</f>
        <v>0.53114726549188529</v>
      </c>
      <c r="AL30" s="2">
        <f t="shared" si="12"/>
        <v>1000000000000</v>
      </c>
      <c r="AM30" s="2">
        <f t="shared" si="13"/>
        <v>3224.8694264190117</v>
      </c>
      <c r="AN30" s="2">
        <f t="shared" si="14"/>
        <v>2336.7097855049965</v>
      </c>
      <c r="AO30" s="2">
        <f t="shared" si="15"/>
        <v>1756.4334468648422</v>
      </c>
      <c r="AP30" s="2">
        <f t="shared" si="16"/>
        <v>1107.9541803332813</v>
      </c>
      <c r="AQ30" s="2">
        <f t="shared" si="17"/>
        <v>402.30286435501444</v>
      </c>
      <c r="AR30" s="2">
        <f t="shared" si="18"/>
        <v>226.1826531941249</v>
      </c>
      <c r="AS30" s="2">
        <f t="shared" si="19"/>
        <v>225.3813329804162</v>
      </c>
      <c r="AX30" s="2">
        <f t="shared" si="28"/>
        <v>1000000000000</v>
      </c>
      <c r="AY30" s="37">
        <f t="shared" si="20"/>
        <v>13971.416716824058</v>
      </c>
      <c r="AZ30" s="37">
        <f t="shared" si="21"/>
        <v>12954.434626833649</v>
      </c>
      <c r="BA30" s="37">
        <f t="shared" si="22"/>
        <v>12596.389824290796</v>
      </c>
      <c r="BB30" s="37">
        <f t="shared" si="23"/>
        <v>13928.63524446146</v>
      </c>
      <c r="BC30" s="37">
        <f t="shared" si="24"/>
        <v>-15991.636830841391</v>
      </c>
      <c r="BD30" s="37">
        <f t="shared" si="25"/>
        <v>-3665.525222112492</v>
      </c>
      <c r="BE30" s="37">
        <f t="shared" si="26"/>
        <v>-3693.1226143087497</v>
      </c>
    </row>
    <row r="31" spans="1:57" x14ac:dyDescent="0.25">
      <c r="A31" s="2">
        <f>'creep_res-40'!A31</f>
        <v>10000000000000</v>
      </c>
      <c r="B31" s="3">
        <f>'creep_res-40'!O31</f>
        <v>-1.1673316285714286E-3</v>
      </c>
      <c r="C31" s="2">
        <f>IF('Modell einstellen'!$B$2="Ja",creep_res0!O31,creep_res0!C31)</f>
        <v>-1.6372292571428572E-3</v>
      </c>
      <c r="D31" s="2">
        <f>IF('Modell einstellen'!$B$2="Ja",creep_res25!O31,creep_res25!C31)</f>
        <v>-2.3278832285714285E-3</v>
      </c>
      <c r="E31" s="2">
        <f>IF('Modell einstellen'!$B$2="Ja",creep_res50!O31,creep_res50!C31)</f>
        <v>-4.1963188571428568E-3</v>
      </c>
      <c r="F31" s="2">
        <f>IF('Modell einstellen'!$B$2="Ja",creep_res80!O31,creep_res80!C31)</f>
        <v>-1.0166911142857143E-2</v>
      </c>
      <c r="G31" s="2">
        <f>IF('Modell einstellen'!$B$2="Ja",creep_res125!O31,creep_res125!C31)</f>
        <v>-1.4485463428571431E-2</v>
      </c>
      <c r="H31" s="2">
        <f>IF('Modell einstellen'!$B$2="Ja",creep_res160!O31,creep_res160!C31)</f>
        <v>-1.4494310857142858E-2</v>
      </c>
      <c r="M31" s="9">
        <f t="shared" si="27"/>
        <v>-10</v>
      </c>
      <c r="N31" s="2">
        <f t="shared" si="4"/>
        <v>10000000000000</v>
      </c>
      <c r="O31" s="2">
        <f t="shared" si="5"/>
        <v>8566.5459199781326</v>
      </c>
      <c r="P31" s="2">
        <f t="shared" si="6"/>
        <v>6107.8801007081229</v>
      </c>
      <c r="Q31" s="2">
        <f t="shared" si="7"/>
        <v>4295.7481188335996</v>
      </c>
      <c r="R31" s="2">
        <f t="shared" si="8"/>
        <v>2383.0410272513682</v>
      </c>
      <c r="S31" s="2">
        <f t="shared" si="9"/>
        <v>983.58290531786452</v>
      </c>
      <c r="T31" s="2">
        <f t="shared" si="10"/>
        <v>690.34726084605563</v>
      </c>
      <c r="U31" s="2">
        <f t="shared" si="11"/>
        <v>689.92586805684232</v>
      </c>
      <c r="Z31" s="2">
        <v>10000000000000</v>
      </c>
      <c r="AA31" s="3">
        <f>IF('Modell einstellen'!$B$2="Ja",'creep_res-40'!P31,'creep_res-40'!L31)</f>
        <v>0.39603034094338768</v>
      </c>
      <c r="AB31" s="2">
        <f>IF('Modell einstellen'!$B$2="Ja",creep_res0!P31,creep_res0!L31)</f>
        <v>0.42019374056070763</v>
      </c>
      <c r="AC31" s="2">
        <f>IF('Modell einstellen'!$B$2="Ja",creep_res25!P31,creep_res25!L31)</f>
        <v>0.44303039598954852</v>
      </c>
      <c r="AD31" s="2">
        <f>IF('Modell einstellen'!$B$2="Ja",creep_res50!P31,creep_res50!L31)</f>
        <v>0.47839891779979143</v>
      </c>
      <c r="AE31" s="2">
        <f>IF('Modell einstellen'!$B$2="Ja",creep_res80!P31,creep_res80!L31)</f>
        <v>0.52011049064515702</v>
      </c>
      <c r="AF31" s="2">
        <f>IF('Modell einstellen'!$B$2="Ja",creep_res125!P31,creep_res125!L31)</f>
        <v>0.53248180510897214</v>
      </c>
      <c r="AG31" s="2">
        <f>IF('Modell einstellen'!$B$2="Ja",creep_res160!P31,creep_res160!L31)</f>
        <v>0.53120550470955219</v>
      </c>
      <c r="AL31" s="2">
        <f t="shared" si="12"/>
        <v>10000000000000</v>
      </c>
      <c r="AM31" s="2">
        <f t="shared" si="13"/>
        <v>3068.1804215620291</v>
      </c>
      <c r="AN31" s="2">
        <f t="shared" si="14"/>
        <v>2150.3686174171794</v>
      </c>
      <c r="AO31" s="2">
        <f t="shared" si="15"/>
        <v>1488.4468583518017</v>
      </c>
      <c r="AP31" s="2">
        <f t="shared" si="16"/>
        <v>805.95331833639966</v>
      </c>
      <c r="AQ31" s="2">
        <f t="shared" si="17"/>
        <v>323.52349101295181</v>
      </c>
      <c r="AR31" s="2">
        <f t="shared" si="18"/>
        <v>225.23832209445587</v>
      </c>
      <c r="AS31" s="2">
        <f t="shared" si="19"/>
        <v>225.28846256587596</v>
      </c>
      <c r="AX31" s="2">
        <f t="shared" si="28"/>
        <v>10000000000000</v>
      </c>
      <c r="AY31" s="37">
        <f t="shared" si="20"/>
        <v>13732.445275715132</v>
      </c>
      <c r="AZ31" s="37">
        <f t="shared" si="21"/>
        <v>12755.64127346492</v>
      </c>
      <c r="BA31" s="37">
        <f t="shared" si="22"/>
        <v>12567.368726562543</v>
      </c>
      <c r="BB31" s="37">
        <f t="shared" si="23"/>
        <v>18386.741037356907</v>
      </c>
      <c r="BC31" s="37">
        <f t="shared" si="24"/>
        <v>-8151.4910358053148</v>
      </c>
      <c r="BD31" s="37">
        <f t="shared" si="25"/>
        <v>-3542.225452731831</v>
      </c>
      <c r="BE31" s="37">
        <f t="shared" si="26"/>
        <v>-3684.8513025633579</v>
      </c>
    </row>
    <row r="32" spans="1:57" x14ac:dyDescent="0.25">
      <c r="A32" s="2">
        <f>'creep_res-40'!A32</f>
        <v>100000000000000</v>
      </c>
      <c r="B32" s="3">
        <f>'creep_res-40'!O32</f>
        <v>-1.2253101428571429E-3</v>
      </c>
      <c r="C32" s="2">
        <f>IF('Modell einstellen'!$B$2="Ja",creep_res0!O32,creep_res0!C32)</f>
        <v>-1.8063294857142858E-3</v>
      </c>
      <c r="D32" s="2">
        <f>IF('Modell einstellen'!$B$2="Ja",creep_res25!O32,creep_res25!C32)</f>
        <v>-2.8962108571428573E-3</v>
      </c>
      <c r="E32" s="2">
        <f>IF('Modell einstellen'!$B$2="Ja",creep_res50!O32,creep_res50!C32)</f>
        <v>-5.9082431428571424E-3</v>
      </c>
      <c r="F32" s="2">
        <f>IF('Modell einstellen'!$B$2="Ja",creep_res80!O32,creep_res80!C32)</f>
        <v>-1.1538860857142858E-2</v>
      </c>
      <c r="G32" s="2">
        <f>IF('Modell einstellen'!$B$2="Ja",creep_res125!O32,creep_res125!C32)</f>
        <v>-1.4493383714285714E-2</v>
      </c>
      <c r="H32" s="2">
        <f>IF('Modell einstellen'!$B$2="Ja",creep_res160!O32,creep_res160!C32)</f>
        <v>-1.4496432857142858E-2</v>
      </c>
      <c r="M32" s="9">
        <v>-1</v>
      </c>
      <c r="N32" s="2">
        <f t="shared" si="4"/>
        <v>100000000000000</v>
      </c>
      <c r="O32" s="2">
        <f t="shared" si="5"/>
        <v>8161.1990713488167</v>
      </c>
      <c r="P32" s="2">
        <f t="shared" si="6"/>
        <v>5536.0885591953065</v>
      </c>
      <c r="Q32" s="2">
        <f t="shared" si="7"/>
        <v>3452.787277327282</v>
      </c>
      <c r="R32" s="2">
        <f t="shared" si="8"/>
        <v>1692.5505193687986</v>
      </c>
      <c r="S32" s="2">
        <f t="shared" si="9"/>
        <v>866.63667443478505</v>
      </c>
      <c r="T32" s="2">
        <f t="shared" si="10"/>
        <v>689.9700026670298</v>
      </c>
      <c r="U32" s="2">
        <f t="shared" si="11"/>
        <v>689.82487612962518</v>
      </c>
      <c r="Z32" s="2">
        <v>100000000000000</v>
      </c>
      <c r="AA32" s="3">
        <f>IF('Modell einstellen'!$B$2="Ja",'creep_res-40'!P32,'creep_res-40'!L32)</f>
        <v>0.39942130103270651</v>
      </c>
      <c r="AB32" s="2">
        <f>IF('Modell einstellen'!$B$2="Ja",creep_res0!P32,creep_res0!L32)</f>
        <v>0.4264465625413823</v>
      </c>
      <c r="AC32" s="2">
        <f>IF('Modell einstellen'!$B$2="Ja",creep_res25!P32,creep_res25!L32)</f>
        <v>0.45604341357150596</v>
      </c>
      <c r="AD32" s="2">
        <f>IF('Modell einstellen'!$B$2="Ja",creep_res50!P32,creep_res50!L32)</f>
        <v>0.49572609232495563</v>
      </c>
      <c r="AE32" s="2">
        <f>IF('Modell einstellen'!$B$2="Ja",creep_res80!P32,creep_res80!L32)</f>
        <v>0.52388340488079377</v>
      </c>
      <c r="AF32" s="2">
        <f>IF('Modell einstellen'!$B$2="Ja",creep_res125!P32,creep_res125!L32)</f>
        <v>0.5323366959777095</v>
      </c>
      <c r="AG32" s="2">
        <f>IF('Modell einstellen'!$B$2="Ja",creep_res160!P32,creep_res160!L32)</f>
        <v>0.53116541084047963</v>
      </c>
      <c r="AL32" s="2">
        <f t="shared" si="12"/>
        <v>100000000000000</v>
      </c>
      <c r="AM32" s="2">
        <f t="shared" si="13"/>
        <v>2915.919267959634</v>
      </c>
      <c r="AN32" s="2">
        <f t="shared" si="14"/>
        <v>1940.5173332718871</v>
      </c>
      <c r="AO32" s="2">
        <f t="shared" si="15"/>
        <v>1185.6745633902476</v>
      </c>
      <c r="AP32" s="2">
        <f t="shared" si="16"/>
        <v>565.79561192848462</v>
      </c>
      <c r="AQ32" s="2">
        <f t="shared" si="17"/>
        <v>284.35137217816799</v>
      </c>
      <c r="AR32" s="2">
        <f t="shared" si="18"/>
        <v>225.13655271656646</v>
      </c>
      <c r="AS32" s="2">
        <f t="shared" si="19"/>
        <v>225.26138301118297</v>
      </c>
      <c r="AX32" s="2">
        <f t="shared" si="28"/>
        <v>100000000000000</v>
      </c>
      <c r="AY32" s="37">
        <f t="shared" si="20"/>
        <v>13523.736727466689</v>
      </c>
      <c r="AZ32" s="37">
        <f t="shared" si="21"/>
        <v>12544.368535483687</v>
      </c>
      <c r="BA32" s="37">
        <f t="shared" si="22"/>
        <v>13091.656859145447</v>
      </c>
      <c r="BB32" s="37">
        <f t="shared" si="23"/>
        <v>66003.239816172267</v>
      </c>
      <c r="BC32" s="37">
        <f t="shared" si="24"/>
        <v>-6047.6907065828036</v>
      </c>
      <c r="BD32" s="37">
        <f t="shared" si="25"/>
        <v>-3556.1765655889499</v>
      </c>
      <c r="BE32" s="37">
        <f t="shared" si="26"/>
        <v>-3689.0517271455119</v>
      </c>
    </row>
    <row r="33" spans="1:60" x14ac:dyDescent="0.25">
      <c r="A33" s="2">
        <f>'creep_res-40'!A33</f>
        <v>1000000000000000</v>
      </c>
      <c r="B33" s="3">
        <f>'creep_res-40'!O33</f>
        <v>-1.2862524285714287E-3</v>
      </c>
      <c r="C33" s="2">
        <f>IF('Modell einstellen'!$B$2="Ja",creep_res0!O33,creep_res0!C33)</f>
        <v>-2.0472368857142858E-3</v>
      </c>
      <c r="D33" s="2">
        <f>IF('Modell einstellen'!$B$2="Ja",creep_res25!O33,creep_res25!C33)</f>
        <v>-3.869394E-3</v>
      </c>
      <c r="E33" s="2">
        <f>IF('Modell einstellen'!$B$2="Ja",creep_res50!O33,creep_res50!C33)</f>
        <v>-8.1043811428571436E-3</v>
      </c>
      <c r="F33" s="2">
        <f>IF('Modell einstellen'!$B$2="Ja",creep_res80!O33,creep_res80!C33)</f>
        <v>-1.2370231428571429E-2</v>
      </c>
      <c r="G33" s="2">
        <f>IF('Modell einstellen'!$B$2="Ja",creep_res125!O33,creep_res125!C33)</f>
        <v>-1.4499507428571428E-2</v>
      </c>
      <c r="H33" s="2">
        <f>IF('Modell einstellen'!$B$2="Ja",creep_res160!O33,creep_res160!C33)</f>
        <v>-1.4497870571428572E-2</v>
      </c>
      <c r="M33" s="9">
        <f>M31</f>
        <v>-10</v>
      </c>
      <c r="N33" s="2">
        <f t="shared" si="4"/>
        <v>1000000000000000</v>
      </c>
      <c r="O33" s="2">
        <f t="shared" si="5"/>
        <v>7774.5237076881258</v>
      </c>
      <c r="P33" s="2">
        <f t="shared" si="6"/>
        <v>4884.632584426583</v>
      </c>
      <c r="Q33" s="2">
        <f t="shared" si="7"/>
        <v>2584.3840146544912</v>
      </c>
      <c r="R33" s="2">
        <f t="shared" si="8"/>
        <v>1233.9005068651754</v>
      </c>
      <c r="S33" s="2">
        <f t="shared" si="9"/>
        <v>808.39231325155947</v>
      </c>
      <c r="T33" s="2">
        <f t="shared" si="10"/>
        <v>689.67860110164133</v>
      </c>
      <c r="U33" s="2">
        <f t="shared" si="11"/>
        <v>689.75646807796227</v>
      </c>
      <c r="Z33" s="2">
        <v>1000000000000000</v>
      </c>
      <c r="AA33" s="3">
        <f>IF('Modell einstellen'!$B$2="Ja",'creep_res-40'!P33,'creep_res-40'!L33)</f>
        <v>0.40283123719216629</v>
      </c>
      <c r="AB33" s="2">
        <f>IF('Modell einstellen'!$B$2="Ja",creep_res0!P33,creep_res0!L33)</f>
        <v>0.433955210794156</v>
      </c>
      <c r="AC33" s="2">
        <f>IF('Modell einstellen'!$B$2="Ja",creep_res25!P33,creep_res25!L33)</f>
        <v>0.47264590490692571</v>
      </c>
      <c r="AD33" s="2">
        <f>IF('Modell einstellen'!$B$2="Ja",creep_res50!P33,creep_res50!L33)</f>
        <v>0.5097132295357425</v>
      </c>
      <c r="AE33" s="2">
        <f>IF('Modell einstellen'!$B$2="Ja",creep_res80!P33,creep_res80!L33)</f>
        <v>0.52568708149818655</v>
      </c>
      <c r="AF33" s="2">
        <f>IF('Modell einstellen'!$B$2="Ja",creep_res125!P33,creep_res125!L33)</f>
        <v>0.53234969006631871</v>
      </c>
      <c r="AG33" s="2">
        <f>IF('Modell einstellen'!$B$2="Ja",creep_res160!P33,creep_res160!L33)</f>
        <v>0.53111102207778416</v>
      </c>
      <c r="AL33" s="2">
        <f t="shared" si="12"/>
        <v>1000000000000000</v>
      </c>
      <c r="AM33" s="2">
        <f t="shared" si="13"/>
        <v>2771.0117587804812</v>
      </c>
      <c r="AN33" s="2">
        <f t="shared" si="14"/>
        <v>1703.202634105066</v>
      </c>
      <c r="AO33" s="2">
        <f t="shared" si="15"/>
        <v>877.46280556758461</v>
      </c>
      <c r="AP33" s="2">
        <f t="shared" si="16"/>
        <v>408.65393596789795</v>
      </c>
      <c r="AQ33" s="2">
        <f t="shared" si="17"/>
        <v>264.92729834801332</v>
      </c>
      <c r="AR33" s="2">
        <f t="shared" si="18"/>
        <v>225.03956034728361</v>
      </c>
      <c r="AS33" s="2">
        <f t="shared" si="19"/>
        <v>225.24704548920718</v>
      </c>
      <c r="AX33" s="2">
        <f>AL33</f>
        <v>1000000000000000</v>
      </c>
      <c r="AY33" s="37">
        <f t="shared" si="20"/>
        <v>13335.087468839225</v>
      </c>
      <c r="AZ33" s="37">
        <f t="shared" si="21"/>
        <v>12326.565661378891</v>
      </c>
      <c r="BA33" s="37">
        <f t="shared" si="22"/>
        <v>15746.4784575578</v>
      </c>
      <c r="BB33" s="37">
        <f t="shared" si="23"/>
        <v>-21172.163565247098</v>
      </c>
      <c r="BC33" s="37">
        <f t="shared" si="24"/>
        <v>-5245.1288488380833</v>
      </c>
      <c r="BD33" s="37">
        <f t="shared" si="25"/>
        <v>-3553.2468249709182</v>
      </c>
      <c r="BE33" s="37">
        <f t="shared" si="26"/>
        <v>-3695.1345108143387</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16" zoomScale="120" zoomScaleNormal="120" zoomScaleSheetLayoutView="110" workbookViewId="0">
      <selection activeCell="D67" sqref="D6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7" t="s">
        <v>26</v>
      </c>
      <c r="B15" s="107"/>
      <c r="C15" s="107"/>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5541.3343805505365</v>
      </c>
      <c r="G16" s="26">
        <f>INDEX(Comparison!$AM$3:$AS$33,G14,$B$3)</f>
        <v>5343.1911525840997</v>
      </c>
      <c r="H16" s="26">
        <f>INDEX(Comparison!$AM$3:$AS$33,H14,$B$3)</f>
        <v>5230.4848257433341</v>
      </c>
      <c r="I16" s="26">
        <f>INDEX(Comparison!$AM$3:$AS$33,I14,$B$3)</f>
        <v>5120.1446027142574</v>
      </c>
      <c r="J16" s="26">
        <f>INDEX(Comparison!$AM$3:$AS$33,J14,$B$3)</f>
        <v>4998.3099857085181</v>
      </c>
      <c r="K16" s="26">
        <f>INDEX(Comparison!$AM$3:$AS$33,K14,$B$3)</f>
        <v>4868.289986185935</v>
      </c>
      <c r="L16" s="26">
        <f>INDEX(Comparison!$AM$3:$AS$33,L14,$B$3)</f>
        <v>4722.7423685745798</v>
      </c>
      <c r="M16" s="26">
        <f>INDEX(Comparison!$AM$3:$AS$33,M14,$B$3)</f>
        <v>4566.4647906515956</v>
      </c>
      <c r="N16" s="26">
        <f>INDEX(Comparison!$AM$3:$AS$33,N14,$B$3)</f>
        <v>4408.434781704007</v>
      </c>
      <c r="O16" s="26">
        <f>INDEX(Comparison!$AM$3:$AS$33,O14,$B$3)</f>
        <v>4256.2001953133786</v>
      </c>
      <c r="P16" s="26">
        <f>INDEX(Comparison!$AM$3:$AS$33,P14,$B$3)</f>
        <v>4088.6897076558816</v>
      </c>
      <c r="Q16" s="26">
        <f>INDEX(Comparison!$AM$3:$AS$33,Q14,$B$3)</f>
        <v>3886.5453020717396</v>
      </c>
      <c r="R16" s="26">
        <f>INDEX(Comparison!$AM$3:$AS$33,R14,$B$3)</f>
        <v>3674.0476464355193</v>
      </c>
      <c r="S16" s="26">
        <f>INDEX(Comparison!$AM$3:$AS$33,S14,$B$3)</f>
        <v>3490.4964950029853</v>
      </c>
      <c r="T16" s="26">
        <f>INDEX(Comparison!$AM$3:$AS$33,T14,$B$3)</f>
        <v>3328.6476119407066</v>
      </c>
      <c r="U16" s="26">
        <f>INDEX(Comparison!$AM$3:$AS$33,U14,$B$3)</f>
        <v>3162.6549081928265</v>
      </c>
      <c r="V16" s="26">
        <f>INDEX(Comparison!$AM$3:$AS$33,V14,$B$3)</f>
        <v>2989.0593935666489</v>
      </c>
      <c r="W16" s="26">
        <f>INDEX(Comparison!$AM$3:$AS$33,W14,$B$3)</f>
        <v>2798.1852090008501</v>
      </c>
      <c r="X16" s="26">
        <f>INDEX(Comparison!$AM$3:$AS$33,X14,$B$3)</f>
        <v>2599.5030730508342</v>
      </c>
      <c r="Y16" s="26">
        <f>INDEX(Comparison!$AM$3:$AS$33,Y14,$B$3)</f>
        <v>2390.0680354035449</v>
      </c>
      <c r="Z16" s="26">
        <f>INDEX(Comparison!$AM$3:$AS$33,Z14,$B$3)</f>
        <v>2175.40034172183</v>
      </c>
      <c r="AA16" s="26">
        <f>INDEX(Comparison!$AM$3:$AS$33,AA14,$B$3)</f>
        <v>1944.7438917872487</v>
      </c>
      <c r="AB16" s="26">
        <f>INDEX(Comparison!$AM$3:$AS$33,AB14,$B$3)</f>
        <v>1692.3075271682321</v>
      </c>
      <c r="AC16" s="26">
        <f>INDEX(Comparison!$AM$3:$AS$33,AC14,$B$3)</f>
        <v>1404.857998960405</v>
      </c>
      <c r="AD16" s="26">
        <f>INDEX(Comparison!$AM$3:$AS$33,AD14,$B$3)</f>
        <v>1091.4425267820036</v>
      </c>
      <c r="AE16" s="26">
        <f>INDEX(Comparison!$AM$3:$AS$33,AE14,$B$3)</f>
        <v>790.55484106714846</v>
      </c>
      <c r="AF16" s="26">
        <f>INDEX(Comparison!$AM$3:$AS$33,AF14,$B$3)</f>
        <v>554.44228824478739</v>
      </c>
      <c r="AG16" s="26">
        <f>INDEX(Comparison!$AM$3:$AS$33,AG14,$B$3)</f>
        <v>402.30286435501444</v>
      </c>
      <c r="AH16" s="26">
        <f>INDEX(Comparison!$AM$3:$AS$33,AH14,$B$3)</f>
        <v>323.52349101295181</v>
      </c>
      <c r="AI16" s="26">
        <f>INDEX(Comparison!$AM$3:$AS$33,AI14,$B$3)</f>
        <v>284.35137217816799</v>
      </c>
      <c r="AJ16" s="26">
        <f>INDEX(Comparison!$AM$3:$AS$33,AJ14,$B$3)</f>
        <v>264.92729834801332</v>
      </c>
    </row>
    <row r="17" spans="1:36" x14ac:dyDescent="0.25">
      <c r="A17" s="14" t="s">
        <v>20</v>
      </c>
      <c r="B17" s="14">
        <v>7.3712304490359037E-2</v>
      </c>
      <c r="C17" s="18">
        <f t="shared" ref="C17:C48" si="3">ABS(B17/$B$49)</f>
        <v>3.5537057927845749E-2</v>
      </c>
      <c r="D17" s="67"/>
      <c r="E17" s="66" t="s">
        <v>22</v>
      </c>
      <c r="F17" s="27">
        <f>($C$17+SUM(F18:F48))*$B$51</f>
        <v>5480.575953422308</v>
      </c>
      <c r="G17" s="27">
        <f t="shared" ref="G17:M17" si="4">($C$17+SUM(G18:G48))*$B$51</f>
        <v>5421.785448120424</v>
      </c>
      <c r="H17" s="27">
        <f t="shared" si="4"/>
        <v>5209.6746002848349</v>
      </c>
      <c r="I17" s="27">
        <f t="shared" si="4"/>
        <v>5123.5436694295613</v>
      </c>
      <c r="J17" s="27">
        <f t="shared" si="4"/>
        <v>4997.8365851105464</v>
      </c>
      <c r="K17" s="27">
        <f t="shared" si="4"/>
        <v>4868.3503262507302</v>
      </c>
      <c r="L17" s="27">
        <f t="shared" si="4"/>
        <v>4722.7281882586667</v>
      </c>
      <c r="M17" s="27">
        <f t="shared" si="4"/>
        <v>4566.4821573051158</v>
      </c>
      <c r="N17" s="27">
        <f t="shared" ref="N17" si="5">($C$17+SUM(N18:N48))*$B$51</f>
        <v>4408.3903656096436</v>
      </c>
      <c r="O17" s="27">
        <f t="shared" ref="O17" si="6">($C$17+SUM(O18:O48))*$B$51</f>
        <v>4256.2872754874061</v>
      </c>
      <c r="P17" s="27">
        <f t="shared" ref="P17" si="7">($C$17+SUM(P18:P48))*$B$51</f>
        <v>4088.5446081586424</v>
      </c>
      <c r="Q17" s="27">
        <f t="shared" ref="Q17" si="8">($C$17+SUM(Q18:Q48))*$B$51</f>
        <v>3886.7596058818554</v>
      </c>
      <c r="R17" s="27">
        <f t="shared" ref="R17" si="9">($C$17+SUM(R18:R48))*$B$51</f>
        <v>3673.784522382779</v>
      </c>
      <c r="S17" s="27">
        <f t="shared" ref="S17:T17" si="10">($C$17+SUM(S18:S48))*$B$51</f>
        <v>3490.7735996099409</v>
      </c>
      <c r="T17" s="27">
        <f t="shared" si="10"/>
        <v>3328.3991816653679</v>
      </c>
      <c r="U17" s="27">
        <f t="shared" ref="U17" si="11">($C$17+SUM(U18:U48))*$B$51</f>
        <v>3162.8449113738484</v>
      </c>
      <c r="V17" s="27">
        <f t="shared" ref="V17" si="12">($C$17+SUM(V18:V48))*$B$51</f>
        <v>2988.9304861253154</v>
      </c>
      <c r="W17" s="27">
        <f t="shared" ref="W17" si="13">($C$17+SUM(W18:W48))*$B$51</f>
        <v>2798.2563575404602</v>
      </c>
      <c r="X17" s="27">
        <f t="shared" ref="X17" si="14">($C$17+SUM(X18:X48))*$B$51</f>
        <v>2599.4683038748653</v>
      </c>
      <c r="Y17" s="27">
        <f t="shared" ref="Y17" si="15">($C$17+SUM(Y18:Y48))*$B$51</f>
        <v>2390.0853580471808</v>
      </c>
      <c r="Z17" s="27">
        <f t="shared" ref="Z17:AA17" si="16">($C$17+SUM(Z18:Z48))*$B$51</f>
        <v>2175.3986348021385</v>
      </c>
      <c r="AA17" s="27">
        <f t="shared" si="16"/>
        <v>1944.7397163813425</v>
      </c>
      <c r="AB17" s="27">
        <f t="shared" ref="AB17" si="17">($C$17+SUM(AB18:AB48))*$B$51</f>
        <v>1692.3120676805406</v>
      </c>
      <c r="AC17" s="27">
        <f t="shared" ref="AC17" si="18">($C$17+SUM(AC18:AC48))*$B$51</f>
        <v>1404.854559776777</v>
      </c>
      <c r="AD17" s="27">
        <f t="shared" ref="AD17" si="19">($C$17+SUM(AD18:AD48))*$B$51</f>
        <v>1091.4423439376674</v>
      </c>
      <c r="AE17" s="27">
        <f t="shared" ref="AE17" si="20">($C$17+SUM(AE18:AE48))*$B$51</f>
        <v>790.55570042175134</v>
      </c>
      <c r="AF17" s="27">
        <f t="shared" ref="AF17" si="21">($C$17+SUM(AF18:AF48))*$B$51</f>
        <v>554.44045010675757</v>
      </c>
      <c r="AG17" s="27">
        <f t="shared" ref="AG17:AH17" si="22">($C$17+SUM(AG18:AG48))*$B$51</f>
        <v>402.30564102787349</v>
      </c>
      <c r="AH17" s="27">
        <f t="shared" si="22"/>
        <v>323.52095415957342</v>
      </c>
      <c r="AI17" s="27">
        <f t="shared" ref="AI17" si="23">($C$17+SUM(AI18:AI48))*$B$51</f>
        <v>284.35002182103159</v>
      </c>
      <c r="AJ17" s="27">
        <f t="shared" ref="AJ17" si="24">($C$17+SUM(AJ18:AJ48))*$B$51</f>
        <v>264.93181674350376</v>
      </c>
    </row>
    <row r="18" spans="1:36" x14ac:dyDescent="0.25">
      <c r="A18" s="3">
        <f>0.000000000000001/10^5</f>
        <v>1.0000000000000001E-20</v>
      </c>
      <c r="B18" s="17">
        <v>4.6624907796864415E-2</v>
      </c>
      <c r="C18" s="18">
        <f t="shared" si="3"/>
        <v>2.2478093185573218E-2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0.10564076706253173</v>
      </c>
      <c r="C19" s="18">
        <f t="shared" si="3"/>
        <v>5.0929923906181264E-2</v>
      </c>
      <c r="D19" s="17"/>
      <c r="F19" s="3">
        <f t="shared" si="25"/>
        <v>4.9641898326582112E-2</v>
      </c>
      <c r="G19" s="3">
        <f t="shared" si="25"/>
        <v>3.9420902404197884E-2</v>
      </c>
      <c r="H19" s="3">
        <f t="shared" si="25"/>
        <v>3.9310482230511942E-3</v>
      </c>
      <c r="I19" s="3">
        <f t="shared" si="25"/>
        <v>3.8223149466779923E-13</v>
      </c>
      <c r="J19" s="3">
        <f t="shared" si="25"/>
        <v>2.8874032511776556E-113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2.0093732621696208E-2</v>
      </c>
      <c r="C20" s="18">
        <f t="shared" si="3"/>
        <v>9.6872855231009188E-3</v>
      </c>
      <c r="D20" s="17"/>
      <c r="F20" s="3">
        <f t="shared" si="25"/>
        <v>9.6649267004773175E-3</v>
      </c>
      <c r="G20" s="3">
        <f t="shared" si="25"/>
        <v>9.4660053076955474E-3</v>
      </c>
      <c r="H20" s="3">
        <f t="shared" si="25"/>
        <v>7.688622417496958E-3</v>
      </c>
      <c r="I20" s="3">
        <f t="shared" si="25"/>
        <v>9.6087397896565984E-4</v>
      </c>
      <c r="J20" s="3">
        <f t="shared" si="25"/>
        <v>8.9298758906264993E-13</v>
      </c>
      <c r="K20" s="3">
        <f t="shared" si="25"/>
        <v>4.2917590064026241E-103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5.2613870270164613E-2</v>
      </c>
      <c r="C21" s="18">
        <f t="shared" si="3"/>
        <v>2.5365400912727508E-2</v>
      </c>
      <c r="D21" s="17"/>
      <c r="F21" s="3">
        <f t="shared" si="25"/>
        <v>2.5360114128805709E-2</v>
      </c>
      <c r="G21" s="3">
        <f t="shared" si="25"/>
        <v>2.5312582631369464E-2</v>
      </c>
      <c r="H21" s="3">
        <f t="shared" si="25"/>
        <v>2.4842139966016884E-2</v>
      </c>
      <c r="I21" s="3">
        <f t="shared" si="25"/>
        <v>2.0592755595050718E-2</v>
      </c>
      <c r="J21" s="3">
        <f t="shared" si="25"/>
        <v>3.1547799536026972E-3</v>
      </c>
      <c r="K21" s="3">
        <f t="shared" si="25"/>
        <v>2.2465451267050274E-11</v>
      </c>
      <c r="L21" s="3">
        <f t="shared" si="25"/>
        <v>7.5331374048010597E-93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4.7913600410351975E-2</v>
      </c>
      <c r="C22" s="18">
        <f t="shared" si="3"/>
        <v>2.3099378117218305E-2</v>
      </c>
      <c r="D22" s="17"/>
      <c r="F22" s="3">
        <f t="shared" si="25"/>
        <v>2.3098943769156222E-2</v>
      </c>
      <c r="G22" s="3">
        <f t="shared" si="25"/>
        <v>2.3095035004104987E-2</v>
      </c>
      <c r="H22" s="3">
        <f t="shared" si="25"/>
        <v>2.3055983714042508E-2</v>
      </c>
      <c r="I22" s="3">
        <f t="shared" si="25"/>
        <v>2.2669084193610373E-2</v>
      </c>
      <c r="J22" s="3">
        <f t="shared" si="25"/>
        <v>1.913978976148625E-2</v>
      </c>
      <c r="K22" s="3">
        <f t="shared" si="25"/>
        <v>3.523457509949706E-3</v>
      </c>
      <c r="L22" s="3">
        <f t="shared" si="25"/>
        <v>1.5750262441959997E-10</v>
      </c>
      <c r="M22" s="3">
        <f t="shared" si="25"/>
        <v>5.0173610671193855E-84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5.7351142780372753E-2</v>
      </c>
      <c r="C23" s="18">
        <f t="shared" si="3"/>
        <v>2.7649262864666301E-2</v>
      </c>
      <c r="D23" s="17"/>
      <c r="F23" s="3">
        <f t="shared" si="25"/>
        <v>2.7649215964815257E-2</v>
      </c>
      <c r="G23" s="3">
        <f t="shared" si="25"/>
        <v>2.764879386973575E-2</v>
      </c>
      <c r="H23" s="3">
        <f t="shared" si="25"/>
        <v>2.7644573273329958E-2</v>
      </c>
      <c r="I23" s="3">
        <f t="shared" si="25"/>
        <v>2.7602402728189021E-2</v>
      </c>
      <c r="J23" s="3">
        <f t="shared" si="25"/>
        <v>2.7184219243569788E-2</v>
      </c>
      <c r="K23" s="3">
        <f t="shared" si="25"/>
        <v>2.3335473898979064E-2</v>
      </c>
      <c r="L23" s="3">
        <f t="shared" si="25"/>
        <v>5.0700732439992648E-3</v>
      </c>
      <c r="M23" s="3">
        <f t="shared" si="25"/>
        <v>1.188475728285182E-9</v>
      </c>
      <c r="N23" s="3">
        <f t="shared" si="25"/>
        <v>5.9532092901448059E-76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6.1330653009053153E-2</v>
      </c>
      <c r="C24" s="18">
        <f t="shared" si="3"/>
        <v>2.9567803961689888E-2</v>
      </c>
      <c r="D24" s="17"/>
      <c r="F24" s="3">
        <f t="shared" si="25"/>
        <v>2.9567799437363766E-2</v>
      </c>
      <c r="G24" s="3">
        <f t="shared" si="25"/>
        <v>2.9567758718459822E-2</v>
      </c>
      <c r="H24" s="3">
        <f t="shared" si="25"/>
        <v>2.9567351532504536E-2</v>
      </c>
      <c r="I24" s="3">
        <f t="shared" si="25"/>
        <v>2.9563279981349912E-2</v>
      </c>
      <c r="J24" s="3">
        <f t="shared" si="25"/>
        <v>2.9522595293921487E-2</v>
      </c>
      <c r="K24" s="3">
        <f t="shared" si="25"/>
        <v>2.9118815182955407E-2</v>
      </c>
      <c r="L24" s="3">
        <f t="shared" si="25"/>
        <v>2.5372623120293706E-2</v>
      </c>
      <c r="M24" s="3">
        <f t="shared" si="25"/>
        <v>6.4015044957515298E-3</v>
      </c>
      <c r="N24" s="3">
        <f t="shared" si="25"/>
        <v>6.6903512184614108E-9</v>
      </c>
      <c r="O24" s="3">
        <f t="shared" si="25"/>
        <v>1.0402016562878958E-68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6.2139627731983359E-2</v>
      </c>
      <c r="C25" s="18">
        <f t="shared" si="3"/>
        <v>2.9957814581893651E-2</v>
      </c>
      <c r="D25" s="17"/>
      <c r="F25" s="3">
        <f t="shared" si="25"/>
        <v>2.9957814168378349E-2</v>
      </c>
      <c r="G25" s="3">
        <f t="shared" si="25"/>
        <v>2.995781044674092E-2</v>
      </c>
      <c r="H25" s="3">
        <f t="shared" si="25"/>
        <v>2.9957773230392039E-2</v>
      </c>
      <c r="I25" s="3">
        <f t="shared" si="25"/>
        <v>2.9957401069446027E-2</v>
      </c>
      <c r="J25" s="3">
        <f t="shared" si="25"/>
        <v>2.9953679714257966E-2</v>
      </c>
      <c r="K25" s="3">
        <f t="shared" si="25"/>
        <v>2.9916491577895409E-2</v>
      </c>
      <c r="L25" s="3">
        <f t="shared" si="25"/>
        <v>2.9547140122595072E-2</v>
      </c>
      <c r="M25" s="3">
        <f t="shared" si="25"/>
        <v>2.6095364128197011E-2</v>
      </c>
      <c r="N25" s="3">
        <f t="shared" si="25"/>
        <v>7.5342921518200094E-3</v>
      </c>
      <c r="O25" s="3">
        <f t="shared" si="25"/>
        <v>3.0327276371468257E-8</v>
      </c>
      <c r="P25" s="3">
        <f t="shared" si="25"/>
        <v>3.3864364789614106E-62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5.6152354683125856E-2</v>
      </c>
      <c r="C26" s="18">
        <f t="shared" si="3"/>
        <v>2.7071321334420872E-2</v>
      </c>
      <c r="D26" s="17"/>
      <c r="F26" s="3">
        <f t="shared" si="25"/>
        <v>2.707132130071252E-2</v>
      </c>
      <c r="G26" s="3">
        <f t="shared" si="25"/>
        <v>2.7071320997337368E-2</v>
      </c>
      <c r="H26" s="3">
        <f t="shared" si="25"/>
        <v>2.7071317963586031E-2</v>
      </c>
      <c r="I26" s="3">
        <f t="shared" si="25"/>
        <v>2.7071287626091362E-2</v>
      </c>
      <c r="J26" s="3">
        <f t="shared" si="25"/>
        <v>2.7070984253014532E-2</v>
      </c>
      <c r="K26" s="3">
        <f t="shared" si="25"/>
        <v>2.7067950709225404E-2</v>
      </c>
      <c r="L26" s="3">
        <f t="shared" si="25"/>
        <v>2.7037633961501422E-2</v>
      </c>
      <c r="M26" s="3">
        <f t="shared" si="25"/>
        <v>2.6736327774455906E-2</v>
      </c>
      <c r="N26" s="3">
        <f t="shared" si="25"/>
        <v>2.390190317853402E-2</v>
      </c>
      <c r="O26" s="3">
        <f t="shared" si="25"/>
        <v>7.7936292637013444E-3</v>
      </c>
      <c r="P26" s="3">
        <f t="shared" si="25"/>
        <v>1.0587961267373494E-7</v>
      </c>
      <c r="Q26" s="3">
        <f t="shared" si="25"/>
        <v>2.2674533129943454E-56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6.6397465157576954E-2</v>
      </c>
      <c r="C27" s="18">
        <f t="shared" si="3"/>
        <v>3.2010538564501728E-2</v>
      </c>
      <c r="D27" s="17"/>
      <c r="F27" s="3">
        <f t="shared" si="25"/>
        <v>3.201053856090616E-2</v>
      </c>
      <c r="G27" s="3">
        <f t="shared" si="25"/>
        <v>3.2010538528546038E-2</v>
      </c>
      <c r="H27" s="3">
        <f t="shared" si="25"/>
        <v>3.2010538204944837E-2</v>
      </c>
      <c r="I27" s="3">
        <f t="shared" si="25"/>
        <v>3.2010534968933003E-2</v>
      </c>
      <c r="J27" s="3">
        <f t="shared" si="25"/>
        <v>3.2010502608832613E-2</v>
      </c>
      <c r="K27" s="3">
        <f t="shared" si="25"/>
        <v>3.2010179009627986E-2</v>
      </c>
      <c r="L27" s="3">
        <f t="shared" si="25"/>
        <v>3.2006943197498611E-2</v>
      </c>
      <c r="M27" s="3">
        <f t="shared" si="25"/>
        <v>3.1974603061165216E-2</v>
      </c>
      <c r="N27" s="3">
        <f t="shared" si="25"/>
        <v>3.1652993484916667E-2</v>
      </c>
      <c r="O27" s="3">
        <f t="shared" si="25"/>
        <v>2.8609551811470634E-2</v>
      </c>
      <c r="P27" s="3">
        <f t="shared" si="25"/>
        <v>1.0410550950882398E-2</v>
      </c>
      <c r="Q27" s="3">
        <f t="shared" si="25"/>
        <v>4.2374082785821483E-7</v>
      </c>
      <c r="R27" s="3">
        <f t="shared" si="25"/>
        <v>5.2889112320720975E-51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8.4852835296260462E-2</v>
      </c>
      <c r="C28" s="18">
        <f t="shared" si="3"/>
        <v>4.0907961623415999E-2</v>
      </c>
      <c r="D28" s="17"/>
      <c r="F28" s="3">
        <f t="shared" si="25"/>
        <v>4.0907961623001497E-2</v>
      </c>
      <c r="G28" s="3">
        <f t="shared" si="25"/>
        <v>4.0907961619270954E-2</v>
      </c>
      <c r="H28" s="3">
        <f t="shared" si="25"/>
        <v>4.0907961581965566E-2</v>
      </c>
      <c r="I28" s="3">
        <f t="shared" si="25"/>
        <v>4.0907961208911672E-2</v>
      </c>
      <c r="J28" s="3">
        <f t="shared" si="25"/>
        <v>4.0907957478372933E-2</v>
      </c>
      <c r="K28" s="3">
        <f t="shared" si="25"/>
        <v>4.0907920173004271E-2</v>
      </c>
      <c r="L28" s="3">
        <f t="shared" si="25"/>
        <v>4.0907547121188707E-2</v>
      </c>
      <c r="M28" s="3">
        <f t="shared" si="25"/>
        <v>4.0903816790136494E-2</v>
      </c>
      <c r="N28" s="3">
        <f t="shared" si="25"/>
        <v>4.0866532183644645E-2</v>
      </c>
      <c r="O28" s="3">
        <f t="shared" si="25"/>
        <v>4.0495550226085857E-2</v>
      </c>
      <c r="P28" s="3">
        <f t="shared" si="25"/>
        <v>3.6966002087734248E-2</v>
      </c>
      <c r="Q28" s="3">
        <f t="shared" si="25"/>
        <v>1.4850951450842082E-2</v>
      </c>
      <c r="R28" s="3">
        <f t="shared" si="25"/>
        <v>1.626568002515712E-6</v>
      </c>
      <c r="S28" s="3">
        <f t="shared" si="25"/>
        <v>4.0406542307573145E-46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8.4235049993796135E-2</v>
      </c>
      <c r="C29" s="18">
        <f t="shared" si="3"/>
        <v>4.0610124346011141E-2</v>
      </c>
      <c r="D29" s="17"/>
      <c r="F29" s="3">
        <f t="shared" si="25"/>
        <v>4.0610124345974025E-2</v>
      </c>
      <c r="G29" s="3">
        <f t="shared" si="25"/>
        <v>4.0610124345639945E-2</v>
      </c>
      <c r="H29" s="3">
        <f t="shared" si="25"/>
        <v>4.0610124342299193E-2</v>
      </c>
      <c r="I29" s="3">
        <f t="shared" si="25"/>
        <v>4.0610124308891639E-2</v>
      </c>
      <c r="J29" s="3">
        <f t="shared" si="25"/>
        <v>4.0610123974816122E-2</v>
      </c>
      <c r="K29" s="3">
        <f t="shared" si="25"/>
        <v>4.061012063406113E-2</v>
      </c>
      <c r="L29" s="3">
        <f t="shared" si="25"/>
        <v>4.0610087226526266E-2</v>
      </c>
      <c r="M29" s="3">
        <f t="shared" si="25"/>
        <v>4.0609753152689193E-2</v>
      </c>
      <c r="N29" s="3">
        <f t="shared" si="25"/>
        <v>4.0606412565466626E-2</v>
      </c>
      <c r="O29" s="3">
        <f t="shared" si="25"/>
        <v>4.0573021803461437E-2</v>
      </c>
      <c r="P29" s="3">
        <f t="shared" si="25"/>
        <v>4.0240620616348005E-2</v>
      </c>
      <c r="Q29" s="3">
        <f t="shared" si="25"/>
        <v>3.7062765955580029E-2</v>
      </c>
      <c r="R29" s="3">
        <f t="shared" si="25"/>
        <v>1.6280562200098325E-2</v>
      </c>
      <c r="S29" s="3">
        <f t="shared" si="25"/>
        <v>4.3549693730214202E-6</v>
      </c>
      <c r="T29" s="3">
        <f t="shared" si="25"/>
        <v>8.1684974465742131E-42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6.0673859522375084E-2</v>
      </c>
      <c r="C30" s="18">
        <f t="shared" si="3"/>
        <v>2.925116065031759E-2</v>
      </c>
      <c r="D30" s="17"/>
      <c r="F30" s="3">
        <f t="shared" si="25"/>
        <v>2.9251160650315178E-2</v>
      </c>
      <c r="G30" s="3">
        <f t="shared" si="25"/>
        <v>2.925116065029347E-2</v>
      </c>
      <c r="H30" s="3">
        <f t="shared" si="25"/>
        <v>2.9251160650076401E-2</v>
      </c>
      <c r="I30" s="3">
        <f t="shared" si="25"/>
        <v>2.92511606479057E-2</v>
      </c>
      <c r="J30" s="3">
        <f t="shared" si="25"/>
        <v>2.9251160626198688E-2</v>
      </c>
      <c r="K30" s="3">
        <f t="shared" si="25"/>
        <v>2.925116040912858E-2</v>
      </c>
      <c r="L30" s="3">
        <f t="shared" si="25"/>
        <v>2.9251158238427596E-2</v>
      </c>
      <c r="M30" s="3">
        <f t="shared" si="25"/>
        <v>2.9251136531426591E-2</v>
      </c>
      <c r="N30" s="3">
        <f t="shared" si="25"/>
        <v>2.9250919462302526E-2</v>
      </c>
      <c r="O30" s="3">
        <f t="shared" si="25"/>
        <v>2.9248748859656306E-2</v>
      </c>
      <c r="P30" s="3">
        <f t="shared" si="25"/>
        <v>2.9227051690204307E-2</v>
      </c>
      <c r="Q30" s="3">
        <f t="shared" si="25"/>
        <v>2.9010963269624334E-2</v>
      </c>
      <c r="R30" s="3">
        <f t="shared" si="25"/>
        <v>2.693602861175157E-2</v>
      </c>
      <c r="S30" s="3">
        <f t="shared" si="25"/>
        <v>1.2824714909297933E-2</v>
      </c>
      <c r="T30" s="3">
        <f t="shared" si="25"/>
        <v>7.6769598424753517E-6</v>
      </c>
      <c r="U30" s="3">
        <f t="shared" si="25"/>
        <v>4.5352868553364341E-38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6.4839804701734394E-2</v>
      </c>
      <c r="C31" s="18">
        <f t="shared" si="3"/>
        <v>3.1259582937297976E-2</v>
      </c>
      <c r="D31" s="17"/>
      <c r="F31" s="3">
        <f t="shared" si="25"/>
        <v>3.125958293729774E-2</v>
      </c>
      <c r="G31" s="3">
        <f t="shared" si="25"/>
        <v>3.1259582937295652E-2</v>
      </c>
      <c r="H31" s="3">
        <f t="shared" si="25"/>
        <v>3.1259582937274724E-2</v>
      </c>
      <c r="I31" s="3">
        <f t="shared" si="25"/>
        <v>3.1259582937065468E-2</v>
      </c>
      <c r="J31" s="3">
        <f t="shared" si="25"/>
        <v>3.1259582934972864E-2</v>
      </c>
      <c r="K31" s="3">
        <f t="shared" si="25"/>
        <v>3.1259582914046839E-2</v>
      </c>
      <c r="L31" s="3">
        <f t="shared" si="25"/>
        <v>3.1259582704786612E-2</v>
      </c>
      <c r="M31" s="3">
        <f t="shared" si="25"/>
        <v>3.1259580612184437E-2</v>
      </c>
      <c r="N31" s="3">
        <f t="shared" si="25"/>
        <v>3.125955968617037E-2</v>
      </c>
      <c r="O31" s="3">
        <f t="shared" si="25"/>
        <v>3.1259350426800177E-2</v>
      </c>
      <c r="P31" s="3">
        <f t="shared" si="25"/>
        <v>3.125725791014259E-2</v>
      </c>
      <c r="Q31" s="3">
        <f t="shared" si="25"/>
        <v>3.1236340446096293E-2</v>
      </c>
      <c r="R31" s="3">
        <f t="shared" si="25"/>
        <v>3.102793415417868E-2</v>
      </c>
      <c r="S31" s="3">
        <f t="shared" si="25"/>
        <v>2.9018836579104038E-2</v>
      </c>
      <c r="T31" s="3">
        <f t="shared" si="25"/>
        <v>1.4857692058587146E-2</v>
      </c>
      <c r="U31" s="3">
        <f t="shared" si="25"/>
        <v>1.8393522770981369E-5</v>
      </c>
      <c r="V31" s="3">
        <f t="shared" si="26"/>
        <v>1.5552511404895937E-34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6.1614494768067539E-2</v>
      </c>
      <c r="C32" s="18">
        <f t="shared" si="3"/>
        <v>2.9704645444291411E-2</v>
      </c>
      <c r="D32" s="17"/>
      <c r="F32" s="3">
        <f t="shared" si="25"/>
        <v>2.970464544429139E-2</v>
      </c>
      <c r="G32" s="3">
        <f t="shared" si="25"/>
        <v>2.9704645444291213E-2</v>
      </c>
      <c r="H32" s="3">
        <f t="shared" si="25"/>
        <v>2.9704645444289419E-2</v>
      </c>
      <c r="I32" s="3">
        <f t="shared" si="25"/>
        <v>2.9704645444271479E-2</v>
      </c>
      <c r="J32" s="3">
        <f t="shared" si="25"/>
        <v>2.9704645444092102E-2</v>
      </c>
      <c r="K32" s="3">
        <f t="shared" si="25"/>
        <v>2.97046454422983E-2</v>
      </c>
      <c r="L32" s="3">
        <f t="shared" si="25"/>
        <v>2.9704645424360278E-2</v>
      </c>
      <c r="M32" s="3">
        <f t="shared" si="25"/>
        <v>2.9704645244980094E-2</v>
      </c>
      <c r="N32" s="3">
        <f t="shared" si="25"/>
        <v>2.9704643451178278E-2</v>
      </c>
      <c r="O32" s="3">
        <f t="shared" si="25"/>
        <v>2.9704625513166088E-2</v>
      </c>
      <c r="P32" s="3">
        <f t="shared" si="25"/>
        <v>2.9704446133639963E-2</v>
      </c>
      <c r="Q32" s="3">
        <f t="shared" si="25"/>
        <v>2.9702652397955439E-2</v>
      </c>
      <c r="R32" s="3">
        <f t="shared" si="25"/>
        <v>2.9684720997449825E-2</v>
      </c>
      <c r="S32" s="3">
        <f t="shared" si="25"/>
        <v>2.9506001297646776E-2</v>
      </c>
      <c r="T32" s="3">
        <f t="shared" si="25"/>
        <v>2.7776928113812025E-2</v>
      </c>
      <c r="U32" s="3">
        <f t="shared" si="25"/>
        <v>1.5185279565523641E-2</v>
      </c>
      <c r="V32" s="3">
        <f t="shared" si="26"/>
        <v>3.6208335546693868E-5</v>
      </c>
      <c r="W32" s="3">
        <f t="shared" si="26"/>
        <v>2.1511280132531456E-31</v>
      </c>
      <c r="X32" s="3">
        <f t="shared" si="26"/>
        <v>1.1782656111506921E-293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7.3184506113878209E-2</v>
      </c>
      <c r="C33" s="18">
        <f t="shared" si="3"/>
        <v>3.5282603781975501E-2</v>
      </c>
      <c r="D33" s="17"/>
      <c r="F33" s="3">
        <f t="shared" si="25"/>
        <v>3.5282603781975494E-2</v>
      </c>
      <c r="G33" s="3">
        <f t="shared" si="25"/>
        <v>3.528260378197548E-2</v>
      </c>
      <c r="H33" s="3">
        <f t="shared" si="25"/>
        <v>3.5282603781975286E-2</v>
      </c>
      <c r="I33" s="3">
        <f t="shared" si="25"/>
        <v>3.5282603781973364E-2</v>
      </c>
      <c r="J33" s="3">
        <f t="shared" si="25"/>
        <v>3.5282603781954143E-2</v>
      </c>
      <c r="K33" s="3">
        <f t="shared" si="25"/>
        <v>3.5282603781761943E-2</v>
      </c>
      <c r="L33" s="3">
        <f t="shared" si="25"/>
        <v>3.5282603779839924E-2</v>
      </c>
      <c r="M33" s="3">
        <f t="shared" si="25"/>
        <v>3.528260376061975E-2</v>
      </c>
      <c r="N33" s="3">
        <f t="shared" si="25"/>
        <v>3.528260356841801E-2</v>
      </c>
      <c r="O33" s="3">
        <f t="shared" si="25"/>
        <v>3.5282601646400652E-2</v>
      </c>
      <c r="P33" s="3">
        <f t="shared" si="25"/>
        <v>3.5282582426232799E-2</v>
      </c>
      <c r="Q33" s="3">
        <f t="shared" si="25"/>
        <v>3.5282390225130127E-2</v>
      </c>
      <c r="R33" s="3">
        <f t="shared" si="25"/>
        <v>3.5280468271688119E-2</v>
      </c>
      <c r="S33" s="3">
        <f t="shared" si="25"/>
        <v>3.5261254494575775E-2</v>
      </c>
      <c r="T33" s="3">
        <f t="shared" si="25"/>
        <v>3.5069691295490729E-2</v>
      </c>
      <c r="U33" s="3">
        <f t="shared" ref="P33:AE48" si="27">$C33*EXP(-U$15/$A33)</f>
        <v>3.3210375098234851E-2</v>
      </c>
      <c r="V33" s="3">
        <f t="shared" si="27"/>
        <v>1.9261591103913723E-2</v>
      </c>
      <c r="W33" s="3">
        <f t="shared" si="27"/>
        <v>8.296137525102621E-5</v>
      </c>
      <c r="X33" s="3">
        <f t="shared" si="27"/>
        <v>1.82269406087266E-28</v>
      </c>
      <c r="Y33" s="3">
        <f t="shared" si="27"/>
        <v>4.7763059231571368E-265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7.2573397680936721E-2</v>
      </c>
      <c r="C34" s="18">
        <f t="shared" si="3"/>
        <v>3.4987985455608057E-2</v>
      </c>
      <c r="D34" s="17"/>
      <c r="F34" s="3">
        <f t="shared" ref="F34:O48" si="28">$C34*EXP(-F$15/$A34)</f>
        <v>3.4987985455608057E-2</v>
      </c>
      <c r="G34" s="3">
        <f t="shared" si="28"/>
        <v>3.4987985455608057E-2</v>
      </c>
      <c r="H34" s="3">
        <f t="shared" si="28"/>
        <v>3.4987985455608037E-2</v>
      </c>
      <c r="I34" s="3">
        <f t="shared" si="28"/>
        <v>3.498798545560787E-2</v>
      </c>
      <c r="J34" s="3">
        <f t="shared" si="28"/>
        <v>3.4987985455606149E-2</v>
      </c>
      <c r="K34" s="3">
        <f t="shared" si="28"/>
        <v>3.4987985455588955E-2</v>
      </c>
      <c r="L34" s="3">
        <f t="shared" si="28"/>
        <v>3.4987985455417023E-2</v>
      </c>
      <c r="M34" s="3">
        <f t="shared" si="28"/>
        <v>3.4987985453697676E-2</v>
      </c>
      <c r="N34" s="3">
        <f t="shared" si="28"/>
        <v>3.4987985436504263E-2</v>
      </c>
      <c r="O34" s="3">
        <f t="shared" si="28"/>
        <v>3.498798526457008E-2</v>
      </c>
      <c r="P34" s="3">
        <f t="shared" si="27"/>
        <v>3.4987983545228335E-2</v>
      </c>
      <c r="Q34" s="3">
        <f t="shared" si="27"/>
        <v>3.498796635181551E-2</v>
      </c>
      <c r="R34" s="3">
        <f t="shared" si="27"/>
        <v>3.4987794418152016E-2</v>
      </c>
      <c r="S34" s="3">
        <f t="shared" si="27"/>
        <v>3.49860751279856E-2</v>
      </c>
      <c r="T34" s="3">
        <f t="shared" si="27"/>
        <v>3.4968886872334896E-2</v>
      </c>
      <c r="U34" s="3">
        <f t="shared" si="27"/>
        <v>3.4797468073534628E-2</v>
      </c>
      <c r="V34" s="3">
        <f t="shared" si="27"/>
        <v>3.312882361430626E-2</v>
      </c>
      <c r="W34" s="3">
        <f t="shared" si="27"/>
        <v>2.0267011325639708E-2</v>
      </c>
      <c r="X34" s="3">
        <f t="shared" si="27"/>
        <v>1.4880813235381704E-4</v>
      </c>
      <c r="Y34" s="3">
        <f t="shared" si="27"/>
        <v>6.776356163736713E-26</v>
      </c>
      <c r="Z34" s="3">
        <f t="shared" si="27"/>
        <v>2.5983150421895564E-239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8.3012688726996825E-2</v>
      </c>
      <c r="C35" s="18">
        <f t="shared" si="3"/>
        <v>4.0020818076897231E-2</v>
      </c>
      <c r="D35" s="17"/>
      <c r="F35" s="3">
        <f t="shared" si="28"/>
        <v>4.0020818076897231E-2</v>
      </c>
      <c r="G35" s="3">
        <f t="shared" si="28"/>
        <v>4.0020818076897231E-2</v>
      </c>
      <c r="H35" s="3">
        <f t="shared" si="28"/>
        <v>4.0020818076897231E-2</v>
      </c>
      <c r="I35" s="3">
        <f t="shared" si="28"/>
        <v>4.002081807689721E-2</v>
      </c>
      <c r="J35" s="3">
        <f t="shared" si="28"/>
        <v>4.0020818076897037E-2</v>
      </c>
      <c r="K35" s="3">
        <f t="shared" si="28"/>
        <v>4.0020818076895261E-2</v>
      </c>
      <c r="L35" s="3">
        <f t="shared" si="28"/>
        <v>4.0020818076877518E-2</v>
      </c>
      <c r="M35" s="3">
        <f t="shared" si="28"/>
        <v>4.0020818076700111E-2</v>
      </c>
      <c r="N35" s="3">
        <f t="shared" si="28"/>
        <v>4.0020818074926016E-2</v>
      </c>
      <c r="O35" s="3">
        <f t="shared" si="28"/>
        <v>4.002081805718511E-2</v>
      </c>
      <c r="P35" s="3">
        <f t="shared" si="27"/>
        <v>4.002081787977603E-2</v>
      </c>
      <c r="Q35" s="3">
        <f t="shared" si="27"/>
        <v>4.0020816105685308E-2</v>
      </c>
      <c r="R35" s="3">
        <f t="shared" si="27"/>
        <v>4.0020798364782402E-2</v>
      </c>
      <c r="S35" s="3">
        <f t="shared" si="27"/>
        <v>4.0020620956185839E-2</v>
      </c>
      <c r="T35" s="3">
        <f t="shared" si="27"/>
        <v>4.0018846913473641E-2</v>
      </c>
      <c r="U35" s="3">
        <f t="shared" si="27"/>
        <v>4.0001110810984612E-2</v>
      </c>
      <c r="V35" s="3">
        <f t="shared" si="27"/>
        <v>3.9824181540915958E-2</v>
      </c>
      <c r="W35" s="3">
        <f t="shared" si="27"/>
        <v>3.8097364485108441E-2</v>
      </c>
      <c r="X35" s="3">
        <f t="shared" si="27"/>
        <v>2.4455450743625727E-2</v>
      </c>
      <c r="Y35" s="3">
        <f t="shared" si="27"/>
        <v>2.9052469953411186E-4</v>
      </c>
      <c r="Z35" s="3">
        <f t="shared" si="27"/>
        <v>1.6265107938287027E-23</v>
      </c>
      <c r="AA35" s="3">
        <f t="shared" si="27"/>
        <v>4.9203482203061105E-216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7.2869197962640686E-2</v>
      </c>
      <c r="C36" s="18">
        <f t="shared" si="3"/>
        <v>3.51305921997421E-2</v>
      </c>
      <c r="D36" s="17"/>
      <c r="F36" s="3">
        <f t="shared" si="28"/>
        <v>3.51305921997421E-2</v>
      </c>
      <c r="G36" s="3">
        <f t="shared" si="28"/>
        <v>3.51305921997421E-2</v>
      </c>
      <c r="H36" s="3">
        <f t="shared" si="28"/>
        <v>3.51305921997421E-2</v>
      </c>
      <c r="I36" s="3">
        <f t="shared" si="28"/>
        <v>3.51305921997421E-2</v>
      </c>
      <c r="J36" s="3">
        <f t="shared" si="28"/>
        <v>3.5130592199742086E-2</v>
      </c>
      <c r="K36" s="3">
        <f t="shared" si="28"/>
        <v>3.5130592199741947E-2</v>
      </c>
      <c r="L36" s="3">
        <f t="shared" si="28"/>
        <v>3.5130592199740539E-2</v>
      </c>
      <c r="M36" s="3">
        <f t="shared" si="28"/>
        <v>3.5130592199726494E-2</v>
      </c>
      <c r="N36" s="3">
        <f t="shared" si="28"/>
        <v>3.513059219958601E-2</v>
      </c>
      <c r="O36" s="3">
        <f t="shared" si="28"/>
        <v>3.5130592198181182E-2</v>
      </c>
      <c r="P36" s="3">
        <f t="shared" si="27"/>
        <v>3.5130592184132947E-2</v>
      </c>
      <c r="Q36" s="3">
        <f t="shared" si="27"/>
        <v>3.5130592043650537E-2</v>
      </c>
      <c r="R36" s="3">
        <f t="shared" si="27"/>
        <v>3.5130590638826516E-2</v>
      </c>
      <c r="S36" s="3">
        <f t="shared" si="27"/>
        <v>3.5130576590589352E-2</v>
      </c>
      <c r="T36" s="3">
        <f t="shared" si="27"/>
        <v>3.5130436108526668E-2</v>
      </c>
      <c r="U36" s="3">
        <f t="shared" si="27"/>
        <v>3.5129031318796682E-2</v>
      </c>
      <c r="V36" s="3">
        <f t="shared" si="27"/>
        <v>3.5114986510722986E-2</v>
      </c>
      <c r="W36" s="3">
        <f t="shared" si="27"/>
        <v>3.4974846896010263E-2</v>
      </c>
      <c r="X36" s="3">
        <f t="shared" si="27"/>
        <v>3.3603845792118281E-2</v>
      </c>
      <c r="Y36" s="3">
        <f t="shared" si="27"/>
        <v>2.2527893973767893E-2</v>
      </c>
      <c r="Z36" s="3">
        <f t="shared" si="27"/>
        <v>4.1308240577956642E-4</v>
      </c>
      <c r="AA36" s="3">
        <f t="shared" si="27"/>
        <v>1.7749974749044368E-21</v>
      </c>
      <c r="AB36" s="3">
        <f t="shared" si="27"/>
        <v>3.8089753184030739E-195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0.10781172311913899</v>
      </c>
      <c r="C37" s="18">
        <f t="shared" si="3"/>
        <v>5.1976552303921161E-2</v>
      </c>
      <c r="D37" s="17"/>
      <c r="F37" s="3">
        <f t="shared" si="28"/>
        <v>5.1976552303921161E-2</v>
      </c>
      <c r="G37" s="3">
        <f t="shared" si="28"/>
        <v>5.1976552303921161E-2</v>
      </c>
      <c r="H37" s="3">
        <f t="shared" si="28"/>
        <v>5.1976552303921161E-2</v>
      </c>
      <c r="I37" s="3">
        <f t="shared" si="28"/>
        <v>5.1976552303921161E-2</v>
      </c>
      <c r="J37" s="3">
        <f t="shared" si="28"/>
        <v>5.1976552303921161E-2</v>
      </c>
      <c r="K37" s="3">
        <f t="shared" si="28"/>
        <v>5.1976552303921141E-2</v>
      </c>
      <c r="L37" s="3">
        <f t="shared" si="28"/>
        <v>5.1976552303920953E-2</v>
      </c>
      <c r="M37" s="3">
        <f t="shared" si="28"/>
        <v>5.197655230391908E-2</v>
      </c>
      <c r="N37" s="3">
        <f t="shared" si="28"/>
        <v>5.1976552303900331E-2</v>
      </c>
      <c r="O37" s="3">
        <f t="shared" si="28"/>
        <v>5.1976552303712835E-2</v>
      </c>
      <c r="P37" s="3">
        <f t="shared" si="27"/>
        <v>5.1976552301837883E-2</v>
      </c>
      <c r="Q37" s="3">
        <f t="shared" si="27"/>
        <v>5.1976552283088347E-2</v>
      </c>
      <c r="R37" s="3">
        <f t="shared" si="27"/>
        <v>5.1976552095592987E-2</v>
      </c>
      <c r="S37" s="3">
        <f t="shared" si="27"/>
        <v>5.197655022063942E-2</v>
      </c>
      <c r="T37" s="3">
        <f t="shared" si="27"/>
        <v>5.197653147110752E-2</v>
      </c>
      <c r="U37" s="3">
        <f t="shared" si="27"/>
        <v>5.1976343976160522E-2</v>
      </c>
      <c r="V37" s="3">
        <f t="shared" si="27"/>
        <v>5.197446906388941E-2</v>
      </c>
      <c r="W37" s="3">
        <f t="shared" si="27"/>
        <v>5.1955723660569525E-2</v>
      </c>
      <c r="X37" s="3">
        <f t="shared" si="27"/>
        <v>5.1768641070547891E-2</v>
      </c>
      <c r="Y37" s="3">
        <f t="shared" si="27"/>
        <v>4.9934468468864429E-2</v>
      </c>
      <c r="Z37" s="3">
        <f t="shared" si="27"/>
        <v>3.4812650988868862E-2</v>
      </c>
      <c r="AA37" s="3">
        <f t="shared" si="27"/>
        <v>9.4428641976286836E-4</v>
      </c>
      <c r="AB37" s="3">
        <f t="shared" si="27"/>
        <v>2.0359645971419415E-19</v>
      </c>
      <c r="AC37" s="3">
        <f t="shared" si="27"/>
        <v>4.4201295827467341E-176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4.8084221375484629E-6</v>
      </c>
      <c r="C38" s="18">
        <f t="shared" si="3"/>
        <v>2.3181635308382595E-6</v>
      </c>
      <c r="D38" s="17"/>
      <c r="F38" s="3">
        <f t="shared" si="28"/>
        <v>2.3181635308382595E-6</v>
      </c>
      <c r="G38" s="3">
        <f t="shared" si="28"/>
        <v>2.3181635308382595E-6</v>
      </c>
      <c r="H38" s="3">
        <f t="shared" si="28"/>
        <v>2.3181635308382595E-6</v>
      </c>
      <c r="I38" s="3">
        <f t="shared" si="28"/>
        <v>2.3181635308382595E-6</v>
      </c>
      <c r="J38" s="3">
        <f t="shared" si="28"/>
        <v>2.3181635308382595E-6</v>
      </c>
      <c r="K38" s="3">
        <f t="shared" si="28"/>
        <v>2.3181635308382595E-6</v>
      </c>
      <c r="L38" s="3">
        <f t="shared" si="28"/>
        <v>2.3181635308382587E-6</v>
      </c>
      <c r="M38" s="3">
        <f t="shared" si="28"/>
        <v>2.3181635308382511E-6</v>
      </c>
      <c r="N38" s="3">
        <f t="shared" si="28"/>
        <v>2.3181635308381757E-6</v>
      </c>
      <c r="O38" s="3">
        <f t="shared" si="28"/>
        <v>2.3181635308374214E-6</v>
      </c>
      <c r="P38" s="3">
        <f t="shared" si="27"/>
        <v>2.3181635308298777E-6</v>
      </c>
      <c r="Q38" s="3">
        <f t="shared" si="27"/>
        <v>2.3181635307544427E-6</v>
      </c>
      <c r="R38" s="3">
        <f t="shared" si="27"/>
        <v>2.3181635300000912E-6</v>
      </c>
      <c r="S38" s="3">
        <f t="shared" si="27"/>
        <v>2.3181635224565767E-6</v>
      </c>
      <c r="T38" s="3">
        <f t="shared" si="27"/>
        <v>2.3181634470214356E-6</v>
      </c>
      <c r="U38" s="3">
        <f t="shared" si="27"/>
        <v>2.3181626926701575E-6</v>
      </c>
      <c r="V38" s="3">
        <f t="shared" si="27"/>
        <v>2.3181551491708765E-6</v>
      </c>
      <c r="W38" s="3">
        <f t="shared" si="27"/>
        <v>2.318079715528148E-6</v>
      </c>
      <c r="X38" s="3">
        <f t="shared" si="27"/>
        <v>2.317325514092838E-6</v>
      </c>
      <c r="Y38" s="3">
        <f t="shared" si="27"/>
        <v>2.3097969826983068E-6</v>
      </c>
      <c r="Z38" s="3">
        <f t="shared" si="27"/>
        <v>2.2358438712774281E-6</v>
      </c>
      <c r="AA38" s="3">
        <f t="shared" si="27"/>
        <v>1.6147976623528436E-6</v>
      </c>
      <c r="AB38" s="3">
        <f t="shared" si="27"/>
        <v>6.2356897185054773E-8</v>
      </c>
      <c r="AC38" s="3">
        <f t="shared" si="27"/>
        <v>4.5977816932023864E-22</v>
      </c>
      <c r="AD38" s="3">
        <f t="shared" si="27"/>
        <v>2.1836691769216386E-163</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0.15715992675061655</v>
      </c>
      <c r="C39" s="18">
        <f t="shared" si="3"/>
        <v>7.5767559561282297E-2</v>
      </c>
      <c r="D39" s="17"/>
      <c r="F39" s="3">
        <f t="shared" si="28"/>
        <v>7.5767559561282297E-2</v>
      </c>
      <c r="G39" s="3">
        <f t="shared" si="28"/>
        <v>7.5767559561282297E-2</v>
      </c>
      <c r="H39" s="3">
        <f t="shared" si="28"/>
        <v>7.5767559561282297E-2</v>
      </c>
      <c r="I39" s="3">
        <f t="shared" si="28"/>
        <v>7.5767559561282297E-2</v>
      </c>
      <c r="J39" s="3">
        <f t="shared" si="28"/>
        <v>7.5767559561282297E-2</v>
      </c>
      <c r="K39" s="3">
        <f t="shared" si="28"/>
        <v>7.5767559561282297E-2</v>
      </c>
      <c r="L39" s="3">
        <f t="shared" si="28"/>
        <v>7.5767559561282283E-2</v>
      </c>
      <c r="M39" s="3">
        <f t="shared" si="28"/>
        <v>7.5767559561282227E-2</v>
      </c>
      <c r="N39" s="3">
        <f t="shared" si="28"/>
        <v>7.5767559561281533E-2</v>
      </c>
      <c r="O39" s="3">
        <f t="shared" si="28"/>
        <v>7.5767559561274719E-2</v>
      </c>
      <c r="P39" s="3">
        <f t="shared" si="27"/>
        <v>7.5767559561206524E-2</v>
      </c>
      <c r="Q39" s="3">
        <f t="shared" si="27"/>
        <v>7.5767559560524625E-2</v>
      </c>
      <c r="R39" s="3">
        <f t="shared" si="27"/>
        <v>7.5767559553705538E-2</v>
      </c>
      <c r="S39" s="3">
        <f t="shared" si="27"/>
        <v>7.5767559485514738E-2</v>
      </c>
      <c r="T39" s="3">
        <f t="shared" si="27"/>
        <v>7.5767558803606708E-2</v>
      </c>
      <c r="U39" s="3">
        <f t="shared" si="27"/>
        <v>7.5767551984526726E-2</v>
      </c>
      <c r="V39" s="3">
        <f t="shared" si="27"/>
        <v>7.5767483793760623E-2</v>
      </c>
      <c r="W39" s="3">
        <f t="shared" si="27"/>
        <v>7.5766801889475044E-2</v>
      </c>
      <c r="X39" s="3">
        <f t="shared" si="27"/>
        <v>7.5759983184151336E-2</v>
      </c>
      <c r="Y39" s="3">
        <f t="shared" si="27"/>
        <v>7.5691829872876024E-2</v>
      </c>
      <c r="Z39" s="3">
        <f t="shared" si="27"/>
        <v>7.5013659747227734E-2</v>
      </c>
      <c r="AA39" s="3">
        <f t="shared" si="27"/>
        <v>6.855732296431645E-2</v>
      </c>
      <c r="AB39" s="3">
        <f t="shared" si="27"/>
        <v>2.7873327470328505E-2</v>
      </c>
      <c r="AC39" s="3">
        <f t="shared" si="27"/>
        <v>3.4398418823571042E-6</v>
      </c>
      <c r="AD39" s="3">
        <f t="shared" si="27"/>
        <v>2.8186107808565407E-45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6.3635038845471045E-2</v>
      </c>
      <c r="C40" s="18">
        <f t="shared" si="3"/>
        <v>3.067875950056604E-2</v>
      </c>
      <c r="D40" s="17"/>
      <c r="F40" s="3">
        <f t="shared" si="28"/>
        <v>3.067875950056604E-2</v>
      </c>
      <c r="G40" s="3">
        <f t="shared" si="28"/>
        <v>3.067875950056604E-2</v>
      </c>
      <c r="H40" s="3">
        <f t="shared" si="28"/>
        <v>3.067875950056604E-2</v>
      </c>
      <c r="I40" s="3">
        <f t="shared" si="28"/>
        <v>3.067875950056604E-2</v>
      </c>
      <c r="J40" s="3">
        <f t="shared" si="28"/>
        <v>3.067875950056604E-2</v>
      </c>
      <c r="K40" s="3">
        <f t="shared" si="28"/>
        <v>3.067875950056604E-2</v>
      </c>
      <c r="L40" s="3">
        <f t="shared" si="28"/>
        <v>3.067875950056604E-2</v>
      </c>
      <c r="M40" s="3">
        <f t="shared" si="28"/>
        <v>3.0678759500566036E-2</v>
      </c>
      <c r="N40" s="3">
        <f t="shared" si="28"/>
        <v>3.0678759500566009E-2</v>
      </c>
      <c r="O40" s="3">
        <f t="shared" si="28"/>
        <v>3.0678759500565735E-2</v>
      </c>
      <c r="P40" s="3">
        <f t="shared" si="27"/>
        <v>3.0678759500562969E-2</v>
      </c>
      <c r="Q40" s="3">
        <f t="shared" si="27"/>
        <v>3.0678759500535363E-2</v>
      </c>
      <c r="R40" s="3">
        <f t="shared" si="27"/>
        <v>3.0678759500259251E-2</v>
      </c>
      <c r="S40" s="3">
        <f t="shared" si="27"/>
        <v>3.0678759497498164E-2</v>
      </c>
      <c r="T40" s="3">
        <f t="shared" si="27"/>
        <v>3.0678759469887282E-2</v>
      </c>
      <c r="U40" s="3">
        <f t="shared" si="27"/>
        <v>3.0678759193778448E-2</v>
      </c>
      <c r="V40" s="3">
        <f t="shared" si="27"/>
        <v>3.0678756432690246E-2</v>
      </c>
      <c r="W40" s="3">
        <f t="shared" si="27"/>
        <v>3.067872882182188E-2</v>
      </c>
      <c r="X40" s="3">
        <f t="shared" si="27"/>
        <v>3.0678452714504967E-2</v>
      </c>
      <c r="Y40" s="3">
        <f t="shared" si="27"/>
        <v>3.0675691778004669E-2</v>
      </c>
      <c r="Z40" s="3">
        <f t="shared" si="27"/>
        <v>3.0648096075333378E-2</v>
      </c>
      <c r="AA40" s="3">
        <f t="shared" si="27"/>
        <v>3.037350074316612E-2</v>
      </c>
      <c r="AB40" s="3">
        <f t="shared" si="27"/>
        <v>2.775928953503834E-2</v>
      </c>
      <c r="AC40" s="3">
        <f t="shared" si="27"/>
        <v>1.1286084900901312E-2</v>
      </c>
      <c r="AD40" s="3">
        <f t="shared" si="27"/>
        <v>1.3928135265258632E-6</v>
      </c>
      <c r="AE40" s="3">
        <f t="shared" si="27"/>
        <v>1.141273161921767E-45</v>
      </c>
      <c r="AF40" s="3">
        <f t="shared" si="29"/>
        <v>0</v>
      </c>
      <c r="AG40" s="3">
        <f t="shared" si="29"/>
        <v>0</v>
      </c>
      <c r="AH40" s="3">
        <f t="shared" si="29"/>
        <v>0</v>
      </c>
      <c r="AI40" s="3">
        <f t="shared" si="29"/>
        <v>0</v>
      </c>
      <c r="AJ40" s="3">
        <f t="shared" si="29"/>
        <v>0</v>
      </c>
    </row>
    <row r="41" spans="1:36" x14ac:dyDescent="0.25">
      <c r="A41" s="3">
        <f t="shared" si="30"/>
        <v>1000000000</v>
      </c>
      <c r="B41" s="17">
        <v>0.1571624629133252</v>
      </c>
      <c r="C41" s="18">
        <f t="shared" si="3"/>
        <v>7.5768782257570458E-2</v>
      </c>
      <c r="D41" s="17"/>
      <c r="F41" s="3">
        <f t="shared" si="28"/>
        <v>7.5768782257570458E-2</v>
      </c>
      <c r="G41" s="3">
        <f t="shared" si="28"/>
        <v>7.5768782257570458E-2</v>
      </c>
      <c r="H41" s="3">
        <f t="shared" si="28"/>
        <v>7.5768782257570458E-2</v>
      </c>
      <c r="I41" s="3">
        <f t="shared" si="28"/>
        <v>7.5768782257570458E-2</v>
      </c>
      <c r="J41" s="3">
        <f t="shared" si="28"/>
        <v>7.5768782257570458E-2</v>
      </c>
      <c r="K41" s="3">
        <f t="shared" si="28"/>
        <v>7.5768782257570458E-2</v>
      </c>
      <c r="L41" s="3">
        <f t="shared" si="28"/>
        <v>7.5768782257570458E-2</v>
      </c>
      <c r="M41" s="3">
        <f t="shared" si="28"/>
        <v>7.5768782257570458E-2</v>
      </c>
      <c r="N41" s="3">
        <f t="shared" si="28"/>
        <v>7.5768782257570444E-2</v>
      </c>
      <c r="O41" s="3">
        <f t="shared" si="28"/>
        <v>7.5768782257570388E-2</v>
      </c>
      <c r="P41" s="3">
        <f t="shared" si="27"/>
        <v>7.5768782257569695E-2</v>
      </c>
      <c r="Q41" s="3">
        <f t="shared" si="27"/>
        <v>7.5768782257562881E-2</v>
      </c>
      <c r="R41" s="3">
        <f t="shared" si="27"/>
        <v>7.5768782257494685E-2</v>
      </c>
      <c r="S41" s="3">
        <f t="shared" si="27"/>
        <v>7.5768782256812772E-2</v>
      </c>
      <c r="T41" s="3">
        <f t="shared" si="27"/>
        <v>7.5768782249993574E-2</v>
      </c>
      <c r="U41" s="3">
        <f t="shared" si="27"/>
        <v>7.5768782181801678E-2</v>
      </c>
      <c r="V41" s="3">
        <f t="shared" si="27"/>
        <v>7.5768781499882643E-2</v>
      </c>
      <c r="W41" s="3">
        <f t="shared" si="27"/>
        <v>7.576877468069261E-2</v>
      </c>
      <c r="X41" s="3">
        <f t="shared" si="27"/>
        <v>7.5768706488826082E-2</v>
      </c>
      <c r="Y41" s="3">
        <f t="shared" si="27"/>
        <v>7.5768024573536305E-2</v>
      </c>
      <c r="Z41" s="3">
        <f t="shared" si="27"/>
        <v>7.5761205758175978E-2</v>
      </c>
      <c r="AA41" s="3">
        <f t="shared" si="27"/>
        <v>7.5693051347079043E-2</v>
      </c>
      <c r="AB41" s="3">
        <f t="shared" si="27"/>
        <v>7.5014870277484547E-2</v>
      </c>
      <c r="AC41" s="3">
        <f t="shared" si="27"/>
        <v>6.8558429305668869E-2</v>
      </c>
      <c r="AD41" s="3">
        <f t="shared" si="27"/>
        <v>2.7873777275155717E-2</v>
      </c>
      <c r="AE41" s="3">
        <f t="shared" si="27"/>
        <v>3.4398973926827074E-6</v>
      </c>
      <c r="AF41" s="3">
        <f t="shared" si="29"/>
        <v>2.8186562660874164E-45</v>
      </c>
      <c r="AG41" s="3">
        <f t="shared" si="29"/>
        <v>0</v>
      </c>
      <c r="AH41" s="3">
        <f t="shared" si="29"/>
        <v>0</v>
      </c>
      <c r="AI41" s="3">
        <f t="shared" si="29"/>
        <v>0</v>
      </c>
      <c r="AJ41" s="3">
        <f t="shared" si="29"/>
        <v>0</v>
      </c>
    </row>
    <row r="42" spans="1:36" x14ac:dyDescent="0.25">
      <c r="A42" s="3">
        <f t="shared" si="30"/>
        <v>10000000000</v>
      </c>
      <c r="B42" s="17">
        <v>8.2889533821869615E-2</v>
      </c>
      <c r="C42" s="18">
        <f t="shared" si="3"/>
        <v>3.996144450245992E-2</v>
      </c>
      <c r="D42" s="17"/>
      <c r="F42" s="3">
        <f t="shared" si="28"/>
        <v>3.996144450245992E-2</v>
      </c>
      <c r="G42" s="3">
        <f t="shared" si="28"/>
        <v>3.996144450245992E-2</v>
      </c>
      <c r="H42" s="3">
        <f t="shared" si="28"/>
        <v>3.996144450245992E-2</v>
      </c>
      <c r="I42" s="3">
        <f t="shared" si="28"/>
        <v>3.996144450245992E-2</v>
      </c>
      <c r="J42" s="3">
        <f t="shared" si="28"/>
        <v>3.996144450245992E-2</v>
      </c>
      <c r="K42" s="3">
        <f t="shared" si="28"/>
        <v>3.996144450245992E-2</v>
      </c>
      <c r="L42" s="3">
        <f t="shared" si="28"/>
        <v>3.996144450245992E-2</v>
      </c>
      <c r="M42" s="3">
        <f t="shared" si="28"/>
        <v>3.996144450245992E-2</v>
      </c>
      <c r="N42" s="3">
        <f t="shared" si="28"/>
        <v>3.996144450245992E-2</v>
      </c>
      <c r="O42" s="3">
        <f t="shared" si="28"/>
        <v>3.9961444502459913E-2</v>
      </c>
      <c r="P42" s="3">
        <f t="shared" si="27"/>
        <v>3.9961444502459878E-2</v>
      </c>
      <c r="Q42" s="3">
        <f t="shared" si="27"/>
        <v>3.9961444502459517E-2</v>
      </c>
      <c r="R42" s="3">
        <f t="shared" si="27"/>
        <v>3.9961444502455923E-2</v>
      </c>
      <c r="S42" s="3">
        <f t="shared" si="27"/>
        <v>3.9961444502419959E-2</v>
      </c>
      <c r="T42" s="3">
        <f t="shared" si="27"/>
        <v>3.9961444502060302E-2</v>
      </c>
      <c r="U42" s="3">
        <f t="shared" si="27"/>
        <v>3.9961444498463776E-2</v>
      </c>
      <c r="V42" s="3">
        <f t="shared" si="27"/>
        <v>3.9961444462498476E-2</v>
      </c>
      <c r="W42" s="3">
        <f t="shared" si="27"/>
        <v>3.9961444102845474E-2</v>
      </c>
      <c r="X42" s="3">
        <f t="shared" si="27"/>
        <v>3.9961440506315671E-2</v>
      </c>
      <c r="Y42" s="3">
        <f t="shared" si="27"/>
        <v>3.9961404541035396E-2</v>
      </c>
      <c r="Z42" s="3">
        <f t="shared" si="27"/>
        <v>3.996104489001296E-2</v>
      </c>
      <c r="AA42" s="3">
        <f t="shared" si="27"/>
        <v>3.9957448557810235E-2</v>
      </c>
      <c r="AB42" s="3">
        <f t="shared" si="27"/>
        <v>3.9921503032021133E-2</v>
      </c>
      <c r="AC42" s="3">
        <f t="shared" si="27"/>
        <v>3.956382148603705E-2</v>
      </c>
      <c r="AD42" s="3">
        <f t="shared" si="27"/>
        <v>3.6158610264593126E-2</v>
      </c>
      <c r="AE42" s="3">
        <f t="shared" si="27"/>
        <v>1.4700993871968562E-2</v>
      </c>
      <c r="AF42" s="3">
        <f t="shared" si="29"/>
        <v>1.8142467736191168E-6</v>
      </c>
      <c r="AG42" s="3">
        <f t="shared" si="29"/>
        <v>1.4865960966069107E-45</v>
      </c>
      <c r="AH42" s="3">
        <f t="shared" si="29"/>
        <v>0</v>
      </c>
      <c r="AI42" s="3">
        <f t="shared" si="29"/>
        <v>0</v>
      </c>
      <c r="AJ42" s="3">
        <f t="shared" si="29"/>
        <v>0</v>
      </c>
    </row>
    <row r="43" spans="1:36" x14ac:dyDescent="0.25">
      <c r="A43" s="3">
        <f t="shared" si="30"/>
        <v>100000000000</v>
      </c>
      <c r="B43" s="17">
        <v>0.10023465298444464</v>
      </c>
      <c r="C43" s="18">
        <f t="shared" si="3"/>
        <v>4.8323610204746917E-2</v>
      </c>
      <c r="D43" s="17"/>
      <c r="F43" s="3">
        <f t="shared" si="28"/>
        <v>4.8323610204746917E-2</v>
      </c>
      <c r="G43" s="3">
        <f t="shared" si="28"/>
        <v>4.8323610204746917E-2</v>
      </c>
      <c r="H43" s="3">
        <f t="shared" si="28"/>
        <v>4.8323610204746917E-2</v>
      </c>
      <c r="I43" s="3">
        <f t="shared" si="28"/>
        <v>4.8323610204746917E-2</v>
      </c>
      <c r="J43" s="3">
        <f t="shared" si="28"/>
        <v>4.8323610204746917E-2</v>
      </c>
      <c r="K43" s="3">
        <f t="shared" si="28"/>
        <v>4.8323610204746917E-2</v>
      </c>
      <c r="L43" s="3">
        <f t="shared" si="28"/>
        <v>4.8323610204746917E-2</v>
      </c>
      <c r="M43" s="3">
        <f t="shared" si="28"/>
        <v>4.8323610204746917E-2</v>
      </c>
      <c r="N43" s="3">
        <f t="shared" si="28"/>
        <v>4.8323610204746917E-2</v>
      </c>
      <c r="O43" s="3">
        <f t="shared" si="28"/>
        <v>4.8323610204746917E-2</v>
      </c>
      <c r="P43" s="3">
        <f t="shared" si="27"/>
        <v>4.832361020474691E-2</v>
      </c>
      <c r="Q43" s="3">
        <f t="shared" si="27"/>
        <v>4.8323610204746868E-2</v>
      </c>
      <c r="R43" s="3">
        <f t="shared" si="27"/>
        <v>4.8323610204746431E-2</v>
      </c>
      <c r="S43" s="3">
        <f t="shared" si="27"/>
        <v>4.832361020474208E-2</v>
      </c>
      <c r="T43" s="3">
        <f t="shared" si="27"/>
        <v>4.8323610204698594E-2</v>
      </c>
      <c r="U43" s="3">
        <f t="shared" si="27"/>
        <v>4.8323610204263678E-2</v>
      </c>
      <c r="V43" s="3">
        <f t="shared" si="27"/>
        <v>4.8323610199914553E-2</v>
      </c>
      <c r="W43" s="3">
        <f t="shared" si="27"/>
        <v>4.8323610156423308E-2</v>
      </c>
      <c r="X43" s="3">
        <f t="shared" si="27"/>
        <v>4.832360972151082E-2</v>
      </c>
      <c r="Y43" s="3">
        <f t="shared" si="27"/>
        <v>4.8323605372386141E-2</v>
      </c>
      <c r="Z43" s="3">
        <f t="shared" si="27"/>
        <v>4.8323561881160874E-2</v>
      </c>
      <c r="AA43" s="3">
        <f t="shared" si="27"/>
        <v>4.8323126971061038E-2</v>
      </c>
      <c r="AB43" s="3">
        <f t="shared" si="27"/>
        <v>4.8318778085336439E-2</v>
      </c>
      <c r="AC43" s="3">
        <f t="shared" si="27"/>
        <v>4.8275310748295351E-2</v>
      </c>
      <c r="AD43" s="3">
        <f t="shared" si="27"/>
        <v>4.7842782249369289E-2</v>
      </c>
      <c r="AE43" s="3">
        <f t="shared" si="27"/>
        <v>4.3725010687839343E-2</v>
      </c>
      <c r="AF43" s="3">
        <f t="shared" si="29"/>
        <v>1.7777262717508905E-2</v>
      </c>
      <c r="AG43" s="3">
        <f t="shared" si="29"/>
        <v>2.1938885091652062E-6</v>
      </c>
      <c r="AH43" s="3">
        <f t="shared" si="29"/>
        <v>1.7976750139727432E-45</v>
      </c>
      <c r="AI43" s="3">
        <f t="shared" si="29"/>
        <v>0</v>
      </c>
      <c r="AJ43" s="3">
        <f t="shared" si="29"/>
        <v>0</v>
      </c>
    </row>
    <row r="44" spans="1:36" x14ac:dyDescent="0.25">
      <c r="A44" s="3">
        <f t="shared" si="30"/>
        <v>1000000000000</v>
      </c>
      <c r="B44" s="17">
        <v>3.0790741824128488E-2</v>
      </c>
      <c r="C44" s="18">
        <f t="shared" si="3"/>
        <v>1.4844365312015322E-2</v>
      </c>
      <c r="D44" s="17"/>
      <c r="F44" s="3">
        <f t="shared" si="28"/>
        <v>1.4844365312015322E-2</v>
      </c>
      <c r="G44" s="3">
        <f t="shared" si="28"/>
        <v>1.4844365312015322E-2</v>
      </c>
      <c r="H44" s="3">
        <f t="shared" si="28"/>
        <v>1.4844365312015322E-2</v>
      </c>
      <c r="I44" s="3">
        <f t="shared" si="28"/>
        <v>1.4844365312015322E-2</v>
      </c>
      <c r="J44" s="3">
        <f t="shared" si="28"/>
        <v>1.4844365312015322E-2</v>
      </c>
      <c r="K44" s="3">
        <f t="shared" si="28"/>
        <v>1.4844365312015322E-2</v>
      </c>
      <c r="L44" s="3">
        <f t="shared" si="28"/>
        <v>1.4844365312015322E-2</v>
      </c>
      <c r="M44" s="3">
        <f t="shared" si="28"/>
        <v>1.4844365312015322E-2</v>
      </c>
      <c r="N44" s="3">
        <f t="shared" si="28"/>
        <v>1.4844365312015322E-2</v>
      </c>
      <c r="O44" s="3">
        <f t="shared" si="28"/>
        <v>1.4844365312015322E-2</v>
      </c>
      <c r="P44" s="3">
        <f t="shared" si="27"/>
        <v>1.4844365312015322E-2</v>
      </c>
      <c r="Q44" s="3">
        <f t="shared" si="27"/>
        <v>1.484436531201532E-2</v>
      </c>
      <c r="R44" s="3">
        <f t="shared" si="27"/>
        <v>1.4844365312015306E-2</v>
      </c>
      <c r="S44" s="3">
        <f t="shared" si="27"/>
        <v>1.4844365312015172E-2</v>
      </c>
      <c r="T44" s="3">
        <f t="shared" si="27"/>
        <v>1.4844365312013837E-2</v>
      </c>
      <c r="U44" s="3">
        <f t="shared" si="27"/>
        <v>1.4844365312000478E-2</v>
      </c>
      <c r="V44" s="3">
        <f t="shared" si="27"/>
        <v>1.4844365311866878E-2</v>
      </c>
      <c r="W44" s="3">
        <f t="shared" si="27"/>
        <v>1.4844365310530886E-2</v>
      </c>
      <c r="X44" s="3">
        <f t="shared" si="27"/>
        <v>1.4844365297170956E-2</v>
      </c>
      <c r="Y44" s="3">
        <f t="shared" si="27"/>
        <v>1.484436516357167E-2</v>
      </c>
      <c r="Z44" s="3">
        <f t="shared" si="27"/>
        <v>1.4844363827578866E-2</v>
      </c>
      <c r="AA44" s="3">
        <f t="shared" si="27"/>
        <v>1.4844350467657433E-2</v>
      </c>
      <c r="AB44" s="3">
        <f t="shared" si="27"/>
        <v>1.4844216869104417E-2</v>
      </c>
      <c r="AC44" s="3">
        <f t="shared" si="27"/>
        <v>1.4842880949703473E-2</v>
      </c>
      <c r="AD44" s="3">
        <f t="shared" si="27"/>
        <v>1.482952836641252E-2</v>
      </c>
      <c r="AE44" s="3">
        <f t="shared" si="27"/>
        <v>1.4696661409272687E-2</v>
      </c>
      <c r="AF44" s="3">
        <f t="shared" si="29"/>
        <v>1.3431737181306504E-2</v>
      </c>
      <c r="AG44" s="3">
        <f t="shared" si="29"/>
        <v>5.46093681552894E-3</v>
      </c>
      <c r="AH44" s="3">
        <f t="shared" si="29"/>
        <v>6.7393314253416213E-7</v>
      </c>
      <c r="AI44" s="3">
        <f t="shared" si="29"/>
        <v>5.5222166776505243E-46</v>
      </c>
      <c r="AJ44" s="3">
        <f t="shared" si="29"/>
        <v>0</v>
      </c>
    </row>
    <row r="45" spans="1:36" x14ac:dyDescent="0.25">
      <c r="A45" s="3">
        <f t="shared" si="30"/>
        <v>10000000000000</v>
      </c>
      <c r="B45" s="17">
        <v>3.2445020335301028E-2</v>
      </c>
      <c r="C45" s="18">
        <f t="shared" si="3"/>
        <v>1.5641900970231219E-2</v>
      </c>
      <c r="D45" s="17"/>
      <c r="F45" s="3">
        <f t="shared" si="28"/>
        <v>1.5641900970231219E-2</v>
      </c>
      <c r="G45" s="3">
        <f t="shared" si="28"/>
        <v>1.5641900970231219E-2</v>
      </c>
      <c r="H45" s="3">
        <f t="shared" si="28"/>
        <v>1.5641900970231219E-2</v>
      </c>
      <c r="I45" s="3">
        <f t="shared" si="28"/>
        <v>1.5641900970231219E-2</v>
      </c>
      <c r="J45" s="3">
        <f t="shared" si="28"/>
        <v>1.5641900970231219E-2</v>
      </c>
      <c r="K45" s="3">
        <f t="shared" si="28"/>
        <v>1.5641900970231219E-2</v>
      </c>
      <c r="L45" s="3">
        <f t="shared" si="28"/>
        <v>1.5641900970231219E-2</v>
      </c>
      <c r="M45" s="3">
        <f t="shared" si="28"/>
        <v>1.5641900970231219E-2</v>
      </c>
      <c r="N45" s="3">
        <f t="shared" si="28"/>
        <v>1.5641900970231219E-2</v>
      </c>
      <c r="O45" s="3">
        <f t="shared" si="28"/>
        <v>1.5641900970231219E-2</v>
      </c>
      <c r="P45" s="3">
        <f t="shared" si="27"/>
        <v>1.5641900970231219E-2</v>
      </c>
      <c r="Q45" s="3">
        <f t="shared" si="27"/>
        <v>1.5641900970231219E-2</v>
      </c>
      <c r="R45" s="3">
        <f t="shared" si="27"/>
        <v>1.5641900970231215E-2</v>
      </c>
      <c r="S45" s="3">
        <f t="shared" si="27"/>
        <v>1.5641900970231201E-2</v>
      </c>
      <c r="T45" s="3">
        <f t="shared" si="27"/>
        <v>1.5641900970231062E-2</v>
      </c>
      <c r="U45" s="3">
        <f t="shared" si="27"/>
        <v>1.5641900970229654E-2</v>
      </c>
      <c r="V45" s="3">
        <f t="shared" si="27"/>
        <v>1.5641900970215578E-2</v>
      </c>
      <c r="W45" s="3">
        <f t="shared" si="27"/>
        <v>1.5641900970074799E-2</v>
      </c>
      <c r="X45" s="3">
        <f t="shared" si="27"/>
        <v>1.5641900968667029E-2</v>
      </c>
      <c r="Y45" s="3">
        <f t="shared" si="27"/>
        <v>1.5641900954589318E-2</v>
      </c>
      <c r="Z45" s="3">
        <f t="shared" si="27"/>
        <v>1.5641900813812209E-2</v>
      </c>
      <c r="AA45" s="3">
        <f t="shared" si="27"/>
        <v>1.5641899406041201E-2</v>
      </c>
      <c r="AB45" s="3">
        <f t="shared" si="27"/>
        <v>1.564188532833807E-2</v>
      </c>
      <c r="AC45" s="3">
        <f t="shared" si="27"/>
        <v>1.5641744552003609E-2</v>
      </c>
      <c r="AD45" s="3">
        <f t="shared" si="27"/>
        <v>1.5640336858341094E-2</v>
      </c>
      <c r="AE45" s="3">
        <f t="shared" si="27"/>
        <v>1.5626266887605142E-2</v>
      </c>
      <c r="AF45" s="3">
        <f t="shared" si="29"/>
        <v>1.548626145509837E-2</v>
      </c>
      <c r="AG45" s="3">
        <f t="shared" si="29"/>
        <v>1.4153377287078186E-2</v>
      </c>
      <c r="AH45" s="3">
        <f t="shared" si="29"/>
        <v>5.7543337877877026E-3</v>
      </c>
      <c r="AI45" s="3">
        <f t="shared" si="29"/>
        <v>7.1014120540024102E-7</v>
      </c>
      <c r="AJ45" s="3">
        <f t="shared" si="29"/>
        <v>5.8189060018654163E-46</v>
      </c>
    </row>
    <row r="46" spans="1:36" x14ac:dyDescent="0.25">
      <c r="A46" s="3">
        <f t="shared" si="30"/>
        <v>100000000000000</v>
      </c>
      <c r="B46" s="17">
        <v>3.1478636120316583E-3</v>
      </c>
      <c r="C46" s="18">
        <f t="shared" si="3"/>
        <v>1.5176002473828224E-3</v>
      </c>
      <c r="D46" s="17"/>
      <c r="F46" s="3">
        <f t="shared" si="28"/>
        <v>1.5176002473828224E-3</v>
      </c>
      <c r="G46" s="3">
        <f t="shared" si="28"/>
        <v>1.5176002473828224E-3</v>
      </c>
      <c r="H46" s="3">
        <f t="shared" si="28"/>
        <v>1.5176002473828224E-3</v>
      </c>
      <c r="I46" s="3">
        <f t="shared" si="28"/>
        <v>1.5176002473828224E-3</v>
      </c>
      <c r="J46" s="3">
        <f t="shared" si="28"/>
        <v>1.5176002473828224E-3</v>
      </c>
      <c r="K46" s="3">
        <f t="shared" si="28"/>
        <v>1.5176002473828224E-3</v>
      </c>
      <c r="L46" s="3">
        <f t="shared" si="28"/>
        <v>1.5176002473828224E-3</v>
      </c>
      <c r="M46" s="3">
        <f t="shared" si="28"/>
        <v>1.5176002473828224E-3</v>
      </c>
      <c r="N46" s="3">
        <f t="shared" si="28"/>
        <v>1.5176002473828224E-3</v>
      </c>
      <c r="O46" s="3">
        <f t="shared" si="28"/>
        <v>1.5176002473828224E-3</v>
      </c>
      <c r="P46" s="3">
        <f t="shared" si="27"/>
        <v>1.5176002473828224E-3</v>
      </c>
      <c r="Q46" s="3">
        <f t="shared" si="27"/>
        <v>1.5176002473828224E-3</v>
      </c>
      <c r="R46" s="3">
        <f t="shared" si="27"/>
        <v>1.5176002473828224E-3</v>
      </c>
      <c r="S46" s="3">
        <f t="shared" si="27"/>
        <v>1.5176002473828222E-3</v>
      </c>
      <c r="T46" s="3">
        <f t="shared" si="27"/>
        <v>1.5176002473828209E-3</v>
      </c>
      <c r="U46" s="3">
        <f t="shared" si="27"/>
        <v>1.5176002473828072E-3</v>
      </c>
      <c r="V46" s="3">
        <f t="shared" si="27"/>
        <v>1.5176002473826706E-3</v>
      </c>
      <c r="W46" s="3">
        <f t="shared" si="27"/>
        <v>1.5176002473813047E-3</v>
      </c>
      <c r="X46" s="3">
        <f t="shared" si="27"/>
        <v>1.5176002473676464E-3</v>
      </c>
      <c r="Y46" s="3">
        <f t="shared" si="27"/>
        <v>1.5176002472310623E-3</v>
      </c>
      <c r="Z46" s="3">
        <f t="shared" si="27"/>
        <v>1.5176002458652221E-3</v>
      </c>
      <c r="AA46" s="3">
        <f t="shared" si="27"/>
        <v>1.51760023220682E-3</v>
      </c>
      <c r="AB46" s="3">
        <f t="shared" si="27"/>
        <v>1.5176000956228053E-3</v>
      </c>
      <c r="AC46" s="3">
        <f t="shared" si="27"/>
        <v>1.5175987297833338E-3</v>
      </c>
      <c r="AD46" s="3">
        <f t="shared" si="27"/>
        <v>1.5175850714562282E-3</v>
      </c>
      <c r="AE46" s="3">
        <f t="shared" si="27"/>
        <v>1.5174484949458324E-3</v>
      </c>
      <c r="AF46" s="3">
        <f t="shared" si="29"/>
        <v>1.5160834056826931E-3</v>
      </c>
      <c r="AG46" s="3">
        <f t="shared" si="29"/>
        <v>1.5024998726190597E-3</v>
      </c>
      <c r="AH46" s="3">
        <f t="shared" si="29"/>
        <v>1.3731814894526065E-3</v>
      </c>
      <c r="AI46" s="3">
        <f t="shared" si="29"/>
        <v>5.5829393092883528E-4</v>
      </c>
      <c r="AJ46" s="3">
        <f t="shared" si="29"/>
        <v>6.8898944638709769E-8</v>
      </c>
    </row>
    <row r="47" spans="1:36" x14ac:dyDescent="0.25">
      <c r="A47" s="3">
        <f t="shared" si="30"/>
        <v>1000000000000000</v>
      </c>
      <c r="B47" s="17">
        <v>7.4430322989670773E-3</v>
      </c>
      <c r="C47" s="18">
        <f t="shared" si="3"/>
        <v>3.5883218113444658E-3</v>
      </c>
      <c r="D47" s="17"/>
      <c r="F47" s="3">
        <f t="shared" si="28"/>
        <v>3.5883218113444658E-3</v>
      </c>
      <c r="G47" s="3">
        <f t="shared" si="28"/>
        <v>3.5883218113444658E-3</v>
      </c>
      <c r="H47" s="3">
        <f t="shared" si="28"/>
        <v>3.5883218113444658E-3</v>
      </c>
      <c r="I47" s="3">
        <f t="shared" si="28"/>
        <v>3.5883218113444658E-3</v>
      </c>
      <c r="J47" s="3">
        <f t="shared" si="28"/>
        <v>3.5883218113444658E-3</v>
      </c>
      <c r="K47" s="3">
        <f t="shared" si="28"/>
        <v>3.5883218113444658E-3</v>
      </c>
      <c r="L47" s="3">
        <f t="shared" si="28"/>
        <v>3.5883218113444658E-3</v>
      </c>
      <c r="M47" s="3">
        <f t="shared" si="28"/>
        <v>3.5883218113444658E-3</v>
      </c>
      <c r="N47" s="3">
        <f t="shared" si="28"/>
        <v>3.5883218113444658E-3</v>
      </c>
      <c r="O47" s="3">
        <f t="shared" si="28"/>
        <v>3.5883218113444658E-3</v>
      </c>
      <c r="P47" s="3">
        <f t="shared" si="27"/>
        <v>3.5883218113444658E-3</v>
      </c>
      <c r="Q47" s="3">
        <f t="shared" si="27"/>
        <v>3.5883218113444658E-3</v>
      </c>
      <c r="R47" s="3">
        <f t="shared" si="27"/>
        <v>3.5883218113444658E-3</v>
      </c>
      <c r="S47" s="3">
        <f t="shared" si="27"/>
        <v>3.5883218113444658E-3</v>
      </c>
      <c r="T47" s="3">
        <f t="shared" si="27"/>
        <v>3.5883218113444654E-3</v>
      </c>
      <c r="U47" s="3">
        <f t="shared" si="27"/>
        <v>3.5883218113444623E-3</v>
      </c>
      <c r="V47" s="3">
        <f t="shared" si="27"/>
        <v>3.5883218113444298E-3</v>
      </c>
      <c r="W47" s="3">
        <f t="shared" si="27"/>
        <v>3.5883218113441067E-3</v>
      </c>
      <c r="X47" s="3">
        <f t="shared" si="27"/>
        <v>3.5883218113408775E-3</v>
      </c>
      <c r="Y47" s="3">
        <f t="shared" si="27"/>
        <v>3.5883218113085826E-3</v>
      </c>
      <c r="Z47" s="3">
        <f t="shared" si="27"/>
        <v>3.5883218109856335E-3</v>
      </c>
      <c r="AA47" s="3">
        <f t="shared" si="27"/>
        <v>3.5883218077561439E-3</v>
      </c>
      <c r="AB47" s="3">
        <f t="shared" si="27"/>
        <v>3.588321775461248E-3</v>
      </c>
      <c r="AC47" s="3">
        <f t="shared" si="27"/>
        <v>3.5883214525123026E-3</v>
      </c>
      <c r="AD47" s="3">
        <f t="shared" si="27"/>
        <v>3.5883182230244488E-3</v>
      </c>
      <c r="AE47" s="3">
        <f t="shared" si="27"/>
        <v>3.5882859283057678E-3</v>
      </c>
      <c r="AF47" s="3">
        <f t="shared" si="29"/>
        <v>3.5879629971043423E-3</v>
      </c>
      <c r="AG47" s="3">
        <f t="shared" si="29"/>
        <v>3.5847352830961229E-3</v>
      </c>
      <c r="AH47" s="3">
        <f t="shared" si="29"/>
        <v>3.5526174127601022E-3</v>
      </c>
      <c r="AI47" s="3">
        <f t="shared" si="29"/>
        <v>3.246847842859044E-3</v>
      </c>
      <c r="AJ47" s="3">
        <f t="shared" si="29"/>
        <v>1.3200698227006998E-3</v>
      </c>
    </row>
    <row r="48" spans="1:36" x14ac:dyDescent="0.25">
      <c r="A48" s="3">
        <f t="shared" si="30"/>
        <v>1E+16</v>
      </c>
      <c r="B48" s="17">
        <v>2.3686611480052334E-2</v>
      </c>
      <c r="C48" s="18">
        <f t="shared" si="3"/>
        <v>1.1419429769572463E-2</v>
      </c>
      <c r="D48" s="17"/>
      <c r="F48" s="3">
        <f t="shared" si="28"/>
        <v>1.1419429769572463E-2</v>
      </c>
      <c r="G48" s="3">
        <f t="shared" si="28"/>
        <v>1.1419429769572463E-2</v>
      </c>
      <c r="H48" s="3">
        <f t="shared" si="28"/>
        <v>1.1419429769572463E-2</v>
      </c>
      <c r="I48" s="3">
        <f t="shared" si="28"/>
        <v>1.1419429769572463E-2</v>
      </c>
      <c r="J48" s="3">
        <f t="shared" si="28"/>
        <v>1.1419429769572463E-2</v>
      </c>
      <c r="K48" s="3">
        <f t="shared" si="28"/>
        <v>1.1419429769572463E-2</v>
      </c>
      <c r="L48" s="3">
        <f t="shared" si="28"/>
        <v>1.1419429769572463E-2</v>
      </c>
      <c r="M48" s="3">
        <f t="shared" si="28"/>
        <v>1.1419429769572463E-2</v>
      </c>
      <c r="N48" s="3">
        <f t="shared" si="28"/>
        <v>1.1419429769572463E-2</v>
      </c>
      <c r="O48" s="3">
        <f t="shared" si="28"/>
        <v>1.1419429769572463E-2</v>
      </c>
      <c r="P48" s="3">
        <f t="shared" si="27"/>
        <v>1.1419429769572463E-2</v>
      </c>
      <c r="Q48" s="3">
        <f t="shared" si="27"/>
        <v>1.1419429769572463E-2</v>
      </c>
      <c r="R48" s="3">
        <f t="shared" si="27"/>
        <v>1.1419429769572463E-2</v>
      </c>
      <c r="S48" s="3">
        <f t="shared" si="27"/>
        <v>1.1419429769572463E-2</v>
      </c>
      <c r="T48" s="3">
        <f t="shared" si="27"/>
        <v>1.1419429769572463E-2</v>
      </c>
      <c r="U48" s="3">
        <f t="shared" si="27"/>
        <v>1.1419429769572461E-2</v>
      </c>
      <c r="V48" s="3">
        <f t="shared" si="27"/>
        <v>1.1419429769572451E-2</v>
      </c>
      <c r="W48" s="3">
        <f t="shared" si="27"/>
        <v>1.1419429769572349E-2</v>
      </c>
      <c r="X48" s="3">
        <f t="shared" si="27"/>
        <v>1.1419429769571322E-2</v>
      </c>
      <c r="Y48" s="3">
        <f t="shared" si="27"/>
        <v>1.1419429769561043E-2</v>
      </c>
      <c r="Z48" s="3">
        <f t="shared" si="27"/>
        <v>1.1419429769458268E-2</v>
      </c>
      <c r="AA48" s="3">
        <f t="shared" si="27"/>
        <v>1.1419429768430521E-2</v>
      </c>
      <c r="AB48" s="3">
        <f t="shared" si="27"/>
        <v>1.1419429758153033E-2</v>
      </c>
      <c r="AC48" s="3">
        <f t="shared" si="27"/>
        <v>1.1419429655378167E-2</v>
      </c>
      <c r="AD48" s="3">
        <f t="shared" si="27"/>
        <v>1.1419428627629544E-2</v>
      </c>
      <c r="AE48" s="3">
        <f t="shared" si="27"/>
        <v>1.1419418350148404E-2</v>
      </c>
      <c r="AF48" s="3">
        <f t="shared" si="29"/>
        <v>1.1419315575845737E-2</v>
      </c>
      <c r="AG48" s="3">
        <f t="shared" si="29"/>
        <v>1.1418287883690752E-2</v>
      </c>
      <c r="AH48" s="3">
        <f t="shared" si="29"/>
        <v>1.1408016047615013E-2</v>
      </c>
      <c r="AI48" s="3">
        <f t="shared" si="29"/>
        <v>1.1305804544875519E-2</v>
      </c>
      <c r="AJ48" s="3">
        <f t="shared" si="29"/>
        <v>1.0332727348142919E-2</v>
      </c>
    </row>
    <row r="49" spans="1:36" x14ac:dyDescent="0.25">
      <c r="B49" s="16">
        <f>SUM(B17:B48)</f>
        <v>2.0742376771882496</v>
      </c>
      <c r="C49" s="18">
        <f>SUM(C17:C48)</f>
        <v>1.0000000000000004</v>
      </c>
      <c r="F49" s="3">
        <f t="shared" ref="F49:AJ49" si="31">F16-F17</f>
        <v>60.758427128228504</v>
      </c>
      <c r="G49" s="3">
        <f t="shared" si="31"/>
        <v>-78.594295536324353</v>
      </c>
      <c r="H49" s="3">
        <f t="shared" si="31"/>
        <v>20.81022545849919</v>
      </c>
      <c r="I49" s="3">
        <f t="shared" si="31"/>
        <v>-3.3990667153038885</v>
      </c>
      <c r="J49" s="3">
        <f t="shared" si="31"/>
        <v>0.47340059797170397</v>
      </c>
      <c r="K49" s="3">
        <f t="shared" si="31"/>
        <v>-6.0340064795127546E-2</v>
      </c>
      <c r="L49" s="3">
        <f t="shared" si="31"/>
        <v>1.4180315913108643E-2</v>
      </c>
      <c r="M49" s="3">
        <f t="shared" si="31"/>
        <v>-1.7366653520184627E-2</v>
      </c>
      <c r="N49" s="3">
        <f t="shared" si="31"/>
        <v>4.4416094363441516E-2</v>
      </c>
      <c r="O49" s="3">
        <f t="shared" si="31"/>
        <v>-8.7080174027505564E-2</v>
      </c>
      <c r="P49" s="3">
        <f t="shared" si="31"/>
        <v>0.14509949723924365</v>
      </c>
      <c r="Q49" s="3">
        <f t="shared" si="31"/>
        <v>-0.21430381011577992</v>
      </c>
      <c r="R49" s="3">
        <f t="shared" si="31"/>
        <v>0.26312405274029516</v>
      </c>
      <c r="S49" s="3">
        <f t="shared" si="31"/>
        <v>-0.27710460695561778</v>
      </c>
      <c r="T49" s="3">
        <f t="shared" si="31"/>
        <v>0.24843027533870554</v>
      </c>
      <c r="U49" s="3">
        <f t="shared" si="31"/>
        <v>-0.1900031810218934</v>
      </c>
      <c r="V49" s="3">
        <f t="shared" si="31"/>
        <v>0.12890744133346743</v>
      </c>
      <c r="W49" s="3">
        <f t="shared" si="31"/>
        <v>-7.1148539610021544E-2</v>
      </c>
      <c r="X49" s="3">
        <f t="shared" si="31"/>
        <v>3.4769175968904165E-2</v>
      </c>
      <c r="Y49" s="3">
        <f t="shared" si="31"/>
        <v>-1.7322643635907298E-2</v>
      </c>
      <c r="Z49" s="3">
        <f t="shared" si="31"/>
        <v>1.7069196915144857E-3</v>
      </c>
      <c r="AA49" s="3">
        <f t="shared" si="31"/>
        <v>4.1754059061531734E-3</v>
      </c>
      <c r="AB49" s="3">
        <f t="shared" si="31"/>
        <v>-4.5405123084947263E-3</v>
      </c>
      <c r="AC49" s="3">
        <f t="shared" si="31"/>
        <v>3.4391836279610288E-3</v>
      </c>
      <c r="AD49" s="3">
        <f t="shared" si="31"/>
        <v>1.8284433622284268E-4</v>
      </c>
      <c r="AE49" s="3">
        <f t="shared" si="31"/>
        <v>-8.5935460288055765E-4</v>
      </c>
      <c r="AF49" s="3">
        <f t="shared" si="31"/>
        <v>1.8381380298251315E-3</v>
      </c>
      <c r="AG49" s="3">
        <f t="shared" si="31"/>
        <v>-2.7766728590563616E-3</v>
      </c>
      <c r="AH49" s="3">
        <f t="shared" si="31"/>
        <v>2.5368533783876046E-3</v>
      </c>
      <c r="AI49" s="3">
        <f t="shared" si="31"/>
        <v>1.3503571364026357E-3</v>
      </c>
      <c r="AJ49" s="3">
        <f t="shared" si="31"/>
        <v>-4.518395490435978E-3</v>
      </c>
    </row>
    <row r="50" spans="1:36" x14ac:dyDescent="0.25">
      <c r="F50" s="57">
        <f t="shared" ref="F50:AJ50" si="32">F49/F17</f>
        <v>1.1086139056295411E-2</v>
      </c>
      <c r="G50" s="57">
        <f t="shared" si="32"/>
        <v>-1.4496017278509373E-2</v>
      </c>
      <c r="H50" s="57">
        <f t="shared" si="32"/>
        <v>3.9945346024800486E-3</v>
      </c>
      <c r="I50" s="57">
        <f t="shared" si="32"/>
        <v>-6.6342104890897309E-4</v>
      </c>
      <c r="J50" s="57">
        <f t="shared" si="32"/>
        <v>9.4721103803603628E-5</v>
      </c>
      <c r="K50" s="57">
        <f t="shared" si="32"/>
        <v>-1.2394355531434676E-5</v>
      </c>
      <c r="L50" s="57">
        <f t="shared" si="32"/>
        <v>3.0025687161845993E-6</v>
      </c>
      <c r="M50" s="57">
        <f t="shared" si="32"/>
        <v>-3.8030704866332956E-6</v>
      </c>
      <c r="N50" s="57">
        <f t="shared" si="32"/>
        <v>1.0075354195022413E-5</v>
      </c>
      <c r="O50" s="57">
        <f t="shared" si="32"/>
        <v>-2.0459186232332881E-5</v>
      </c>
      <c r="P50" s="57">
        <f t="shared" si="32"/>
        <v>3.5489278250676127E-5</v>
      </c>
      <c r="Q50" s="57">
        <f t="shared" si="32"/>
        <v>-5.5136883122761892E-5</v>
      </c>
      <c r="R50" s="57">
        <f t="shared" si="32"/>
        <v>7.1622070139714023E-5</v>
      </c>
      <c r="S50" s="57">
        <f t="shared" si="32"/>
        <v>-7.9382004890429295E-5</v>
      </c>
      <c r="T50" s="57">
        <f t="shared" si="32"/>
        <v>7.4639567485533149E-5</v>
      </c>
      <c r="U50" s="57">
        <f t="shared" si="32"/>
        <v>-6.0073505450307238E-5</v>
      </c>
      <c r="V50" s="57">
        <f t="shared" si="32"/>
        <v>4.3128283488645439E-5</v>
      </c>
      <c r="W50" s="57">
        <f t="shared" si="32"/>
        <v>-2.5426026253205004E-5</v>
      </c>
      <c r="X50" s="57">
        <f t="shared" si="32"/>
        <v>1.3375495256886157E-5</v>
      </c>
      <c r="Y50" s="57">
        <f t="shared" si="32"/>
        <v>-7.2477091989972955E-6</v>
      </c>
      <c r="Z50" s="57">
        <f t="shared" si="32"/>
        <v>7.8464685240079555E-7</v>
      </c>
      <c r="AA50" s="57">
        <f t="shared" si="32"/>
        <v>2.147025574158851E-6</v>
      </c>
      <c r="AB50" s="57">
        <f t="shared" si="32"/>
        <v>-2.6830230636586366E-6</v>
      </c>
      <c r="AC50" s="57">
        <f t="shared" si="32"/>
        <v>2.4480709437334882E-6</v>
      </c>
      <c r="AD50" s="57">
        <f t="shared" si="32"/>
        <v>1.6752541922020665E-7</v>
      </c>
      <c r="AE50" s="57">
        <f t="shared" si="32"/>
        <v>-1.0870260026233483E-6</v>
      </c>
      <c r="AF50" s="57">
        <f t="shared" si="32"/>
        <v>3.3153028958677127E-6</v>
      </c>
      <c r="AG50" s="57">
        <f t="shared" si="32"/>
        <v>-6.9018988944874915E-6</v>
      </c>
      <c r="AH50" s="57">
        <f t="shared" si="32"/>
        <v>7.8413881566890027E-6</v>
      </c>
      <c r="AI50" s="57">
        <f t="shared" si="32"/>
        <v>4.7489257351017306E-6</v>
      </c>
      <c r="AJ50" s="57">
        <f t="shared" si="32"/>
        <v>-1.7054937175818733E-5</v>
      </c>
    </row>
    <row r="51" spans="1:36" x14ac:dyDescent="0.25">
      <c r="A51" s="13" t="s">
        <v>21</v>
      </c>
      <c r="B51" s="3">
        <f>STUTT!D8</f>
        <v>5614.1607000000004</v>
      </c>
      <c r="E51" s="11" t="s">
        <v>24</v>
      </c>
      <c r="F51" s="20">
        <f t="shared" ref="F51:AJ51" si="33">(F16-F17)^2</f>
        <v>3691.5864670962533</v>
      </c>
      <c r="G51" s="20">
        <f t="shared" si="33"/>
        <v>6177.0632908510943</v>
      </c>
      <c r="H51" s="20">
        <f t="shared" si="33"/>
        <v>433.06548363356779</v>
      </c>
      <c r="I51" s="20">
        <f t="shared" si="33"/>
        <v>11.553654535086766</v>
      </c>
      <c r="J51" s="20">
        <f t="shared" si="33"/>
        <v>0.22410812615996689</v>
      </c>
      <c r="K51" s="20">
        <f t="shared" si="33"/>
        <v>3.6409234194801905E-3</v>
      </c>
      <c r="L51" s="20">
        <f t="shared" si="33"/>
        <v>2.010813593955622E-4</v>
      </c>
      <c r="M51" s="20">
        <f t="shared" si="33"/>
        <v>3.0160065449014113E-4</v>
      </c>
      <c r="N51" s="20">
        <f t="shared" si="33"/>
        <v>1.9727894385021412E-3</v>
      </c>
      <c r="O51" s="20">
        <f t="shared" si="33"/>
        <v>7.5829567086606545E-3</v>
      </c>
      <c r="P51" s="20">
        <f t="shared" si="33"/>
        <v>2.1053864099081273E-2</v>
      </c>
      <c r="Q51" s="20">
        <f t="shared" si="33"/>
        <v>4.5926123030140258E-2</v>
      </c>
      <c r="R51" s="20">
        <f t="shared" si="33"/>
        <v>6.9234267130477631E-2</v>
      </c>
      <c r="S51" s="20">
        <f t="shared" si="33"/>
        <v>7.6786963196027416E-2</v>
      </c>
      <c r="T51" s="20">
        <f t="shared" si="33"/>
        <v>6.1717601704865045E-2</v>
      </c>
      <c r="U51" s="20">
        <f t="shared" si="33"/>
        <v>3.6101208798438394E-2</v>
      </c>
      <c r="V51" s="20">
        <f t="shared" si="33"/>
        <v>1.6617128431141347E-2</v>
      </c>
      <c r="W51" s="20">
        <f t="shared" si="33"/>
        <v>5.0621146886388043E-3</v>
      </c>
      <c r="X51" s="20">
        <f t="shared" si="33"/>
        <v>1.2088955975566229E-3</v>
      </c>
      <c r="Y51" s="20">
        <f t="shared" si="33"/>
        <v>3.000739825366396E-4</v>
      </c>
      <c r="Z51" s="20">
        <f t="shared" si="33"/>
        <v>2.9135748332799071E-6</v>
      </c>
      <c r="AA51" s="20">
        <f t="shared" si="33"/>
        <v>1.7434014481138805E-5</v>
      </c>
      <c r="AB51" s="20">
        <f t="shared" si="33"/>
        <v>2.061625202359211E-5</v>
      </c>
      <c r="AC51" s="20">
        <f t="shared" si="33"/>
        <v>1.1827984026835185E-5</v>
      </c>
      <c r="AD51" s="20">
        <f t="shared" si="33"/>
        <v>3.3432051288771939E-8</v>
      </c>
      <c r="AE51" s="20">
        <f t="shared" si="33"/>
        <v>7.3849033349200097E-7</v>
      </c>
      <c r="AF51" s="20">
        <f t="shared" si="33"/>
        <v>3.3787514166894163E-6</v>
      </c>
      <c r="AG51" s="20">
        <f t="shared" si="33"/>
        <v>7.7099121662202294E-6</v>
      </c>
      <c r="AH51" s="20">
        <f t="shared" si="33"/>
        <v>6.4356250634366029E-6</v>
      </c>
      <c r="AI51" s="20">
        <f t="shared" si="33"/>
        <v>1.8234643958335263E-6</v>
      </c>
      <c r="AJ51" s="20">
        <f t="shared" si="33"/>
        <v>2.0415897807992183E-5</v>
      </c>
    </row>
    <row r="52" spans="1:36" x14ac:dyDescent="0.25">
      <c r="A52" s="13"/>
    </row>
    <row r="53" spans="1:36" x14ac:dyDescent="0.25">
      <c r="E53" s="108" t="s">
        <v>25</v>
      </c>
      <c r="F53" s="108"/>
      <c r="G53" s="21">
        <f>SUM(F51:AJ51)</f>
        <v>10313.840805161792</v>
      </c>
      <c r="I53" s="3">
        <f>G53+C123</f>
        <v>10313.840805161792</v>
      </c>
      <c r="K53" s="3">
        <f>SUM(Z51:AJ51)</f>
        <v>9.3327398599798739E-5</v>
      </c>
    </row>
    <row r="55" spans="1:36" x14ac:dyDescent="0.25">
      <c r="E55" s="30" t="s">
        <v>30</v>
      </c>
      <c r="F55" s="31">
        <f t="shared" ref="F55:AJ55" si="34">ABS(F17-F16)/F16</f>
        <v>1.0964584151695263E-2</v>
      </c>
      <c r="G55" s="31">
        <f t="shared" si="34"/>
        <v>1.4709242715060682E-2</v>
      </c>
      <c r="H55" s="31">
        <f t="shared" si="34"/>
        <v>3.9786417802180948E-3</v>
      </c>
      <c r="I55" s="31">
        <f t="shared" si="34"/>
        <v>6.6386146858078926E-4</v>
      </c>
      <c r="J55" s="31">
        <f t="shared" si="34"/>
        <v>9.4712132565863408E-5</v>
      </c>
      <c r="K55" s="31">
        <f t="shared" si="34"/>
        <v>1.2394509153387761E-5</v>
      </c>
      <c r="L55" s="31">
        <f t="shared" si="34"/>
        <v>3.0025597007927731E-6</v>
      </c>
      <c r="M55" s="31">
        <f t="shared" si="34"/>
        <v>3.8030849500334272E-6</v>
      </c>
      <c r="N55" s="31">
        <f t="shared" si="34"/>
        <v>1.0075252683283025E-5</v>
      </c>
      <c r="O55" s="31">
        <f t="shared" si="34"/>
        <v>2.0459604819198117E-5</v>
      </c>
      <c r="P55" s="31">
        <f t="shared" si="34"/>
        <v>3.5488018806502135E-5</v>
      </c>
      <c r="Q55" s="31">
        <f t="shared" si="34"/>
        <v>5.5139923366271934E-5</v>
      </c>
      <c r="R55" s="31">
        <f t="shared" si="34"/>
        <v>7.1616940786157839E-5</v>
      </c>
      <c r="S55" s="31">
        <f t="shared" si="34"/>
        <v>7.9388306893395346E-5</v>
      </c>
      <c r="T55" s="31">
        <f t="shared" si="34"/>
        <v>7.4633996836289567E-5</v>
      </c>
      <c r="U55" s="31">
        <f t="shared" si="34"/>
        <v>6.007711449317218E-5</v>
      </c>
      <c r="V55" s="31">
        <f t="shared" si="34"/>
        <v>4.3126423520026016E-5</v>
      </c>
      <c r="W55" s="31">
        <f t="shared" si="34"/>
        <v>2.5426672752453938E-5</v>
      </c>
      <c r="X55" s="31">
        <f t="shared" si="34"/>
        <v>1.3375316355405686E-5</v>
      </c>
      <c r="Y55" s="31">
        <f t="shared" si="34"/>
        <v>7.2477617286666492E-6</v>
      </c>
      <c r="Z55" s="31">
        <f t="shared" si="34"/>
        <v>7.8464623673059565E-7</v>
      </c>
      <c r="AA55" s="31">
        <f t="shared" si="34"/>
        <v>2.1470209644499322E-6</v>
      </c>
      <c r="AB55" s="31">
        <f t="shared" si="34"/>
        <v>2.6830302622907109E-6</v>
      </c>
      <c r="AC55" s="31">
        <f t="shared" si="34"/>
        <v>2.4480649506968142E-6</v>
      </c>
      <c r="AD55" s="31">
        <f t="shared" si="34"/>
        <v>1.6752539115544526E-7</v>
      </c>
      <c r="AE55" s="31">
        <f t="shared" si="34"/>
        <v>1.0870271842501632E-6</v>
      </c>
      <c r="AF55" s="31">
        <f t="shared" si="34"/>
        <v>3.3152919046708608E-6</v>
      </c>
      <c r="AG55" s="31">
        <f t="shared" si="34"/>
        <v>6.9019465310246235E-6</v>
      </c>
      <c r="AH55" s="31">
        <f t="shared" si="34"/>
        <v>7.841326669802921E-6</v>
      </c>
      <c r="AI55" s="31">
        <f t="shared" si="34"/>
        <v>4.7489031829131924E-6</v>
      </c>
      <c r="AJ55" s="31">
        <f t="shared" si="34"/>
        <v>1.7055228051661673E-5</v>
      </c>
    </row>
    <row r="56" spans="1:36" x14ac:dyDescent="0.25">
      <c r="E56" s="13" t="s">
        <v>31</v>
      </c>
      <c r="F56" s="32">
        <f>AVERAGE(F55:AJ55)</f>
        <v>9.9920895955791524E-4</v>
      </c>
    </row>
    <row r="57" spans="1:36" x14ac:dyDescent="0.25">
      <c r="A57" s="42"/>
      <c r="B57" s="15"/>
      <c r="C57" s="15"/>
      <c r="D57" s="15"/>
      <c r="F57" s="60">
        <f>AVERAGE(S55:X55)</f>
        <v>4.9337971808457124E-5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09"/>
      <c r="D63" s="109"/>
      <c r="E63" s="109"/>
      <c r="F63" s="109"/>
      <c r="G63" s="109"/>
      <c r="H63" s="109"/>
      <c r="I63" s="109"/>
    </row>
    <row r="64" spans="1:36" x14ac:dyDescent="0.25">
      <c r="A64" s="42">
        <f>10^A65</f>
        <v>1.0000000000000001E-5</v>
      </c>
      <c r="B64" s="42">
        <f>10^B65</f>
        <v>100000</v>
      </c>
      <c r="C64" s="15"/>
      <c r="D64" s="15"/>
      <c r="E64" s="15"/>
      <c r="F64" s="15"/>
      <c r="G64" s="15"/>
      <c r="H64" s="15"/>
      <c r="I64" s="15"/>
    </row>
    <row r="65" spans="1:13" x14ac:dyDescent="0.25">
      <c r="A65" s="15">
        <v>-5</v>
      </c>
      <c r="B65" s="43">
        <v>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0"/>
    </row>
    <row r="101" spans="1:9" x14ac:dyDescent="0.25">
      <c r="A101" s="11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-32.327390242825459</v>
      </c>
    </row>
    <row r="119" spans="1:14" x14ac:dyDescent="0.25">
      <c r="L119" s="11">
        <f>L118+1</f>
        <v>2</v>
      </c>
      <c r="M119" s="11">
        <f t="shared" ref="M119:M124" si="35">INDEX($B$125:$K$126,1,L119)</f>
        <v>0</v>
      </c>
      <c r="N119" s="11">
        <f t="shared" ref="N119:N124" si="36">IF(L119=$B$3,0,INDEX($B$125:$K$126,2,L119))</f>
        <v>-18.555397625382522</v>
      </c>
    </row>
    <row r="120" spans="1:14" x14ac:dyDescent="0.25">
      <c r="L120" s="11">
        <f t="shared" ref="L120:L124" si="37">L119+1</f>
        <v>3</v>
      </c>
      <c r="M120" s="11">
        <f t="shared" si="35"/>
        <v>25</v>
      </c>
      <c r="N120" s="11">
        <f t="shared" si="36"/>
        <v>-11.98704882172361</v>
      </c>
    </row>
    <row r="121" spans="1:14" x14ac:dyDescent="0.25">
      <c r="A121" s="3">
        <f>(A165+A204+A243+A282+A321+A360+A399)*10^9</f>
        <v>207522695882870</v>
      </c>
      <c r="L121" s="11">
        <f t="shared" si="37"/>
        <v>4</v>
      </c>
      <c r="M121" s="11">
        <f t="shared" si="35"/>
        <v>50</v>
      </c>
      <c r="N121" s="11">
        <f t="shared" si="36"/>
        <v>-6.7709490541777377</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08"/>
      <c r="B123" s="108"/>
      <c r="C123" s="3"/>
      <c r="D123" s="3"/>
      <c r="E123" s="3"/>
      <c r="F123" s="3"/>
      <c r="G123" s="3"/>
      <c r="H123" s="3"/>
      <c r="I123" s="3"/>
      <c r="J123" s="3"/>
      <c r="K123" s="3"/>
      <c r="L123" s="11">
        <f t="shared" si="37"/>
        <v>6</v>
      </c>
      <c r="M123" s="11">
        <f t="shared" si="35"/>
        <v>125</v>
      </c>
      <c r="N123" s="11">
        <f t="shared" si="36"/>
        <v>16.114845881619132</v>
      </c>
    </row>
    <row r="124" spans="1:14" x14ac:dyDescent="0.25">
      <c r="B124" s="3"/>
      <c r="C124" s="3"/>
      <c r="D124" s="3"/>
      <c r="E124" s="3"/>
      <c r="F124" s="3"/>
      <c r="G124" s="3"/>
      <c r="H124" s="3"/>
      <c r="I124" s="3"/>
      <c r="J124" s="3"/>
      <c r="K124" s="3"/>
      <c r="L124" s="11">
        <f t="shared" si="37"/>
        <v>7</v>
      </c>
      <c r="M124" s="11">
        <f t="shared" si="35"/>
        <v>160</v>
      </c>
      <c r="N124" s="11">
        <f t="shared" si="36"/>
        <v>30.625247513077529</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-32.327390242825459</v>
      </c>
      <c r="C126" s="3">
        <v>-18.555397625382522</v>
      </c>
      <c r="D126" s="3">
        <v>-11.98704882172361</v>
      </c>
      <c r="E126" s="3">
        <v>-6.7709490541777377</v>
      </c>
      <c r="F126" s="3">
        <v>-9.6567605214398195E-5</v>
      </c>
      <c r="G126" s="3">
        <v>16.114845881619132</v>
      </c>
      <c r="H126" s="3">
        <v>30.625247513077529</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5627.8046868132324</v>
      </c>
      <c r="C130" s="26">
        <f>INDEX(Comparison!$AM$3:$AS$33,G14,$B$122)</f>
        <v>5627.8375717832278</v>
      </c>
      <c r="D130" s="26">
        <f>INDEX(Comparison!$AM$3:$AS$33,H14,$B$122)</f>
        <v>5627.8172471251501</v>
      </c>
      <c r="E130" s="26">
        <f>INDEX(Comparison!$AM$3:$AS$33,I14,$B$122)</f>
        <v>5627.8109307653194</v>
      </c>
      <c r="F130" s="26">
        <f>INDEX(Comparison!$AM$3:$AS$33,J14,$B$122)</f>
        <v>5627.8090666274475</v>
      </c>
      <c r="G130" s="26">
        <f>INDEX(Comparison!$AM$3:$AS$33,K14,$B$122)</f>
        <v>5627.8083245923272</v>
      </c>
      <c r="H130" s="26">
        <f>INDEX(Comparison!$AM$3:$AS$33,L14,$B$122)</f>
        <v>5627.808252198668</v>
      </c>
      <c r="I130" s="26">
        <f>INDEX(Comparison!$AM$3:$AS$33,M14,$B$122)</f>
        <v>5627.808053116114</v>
      </c>
      <c r="J130" s="26">
        <f>INDEX(Comparison!$AM$3:$AS$33,N14,$B$122)</f>
        <v>5627.8079807224613</v>
      </c>
      <c r="K130" s="26">
        <f>INDEX(Comparison!$AM$3:$AS$33,O14,$B$122)</f>
        <v>5627.8066052434133</v>
      </c>
      <c r="L130" s="26">
        <f>INDEX(Comparison!$AM$3:$AS$33,P14,$B$122)</f>
        <v>5627.7932848495184</v>
      </c>
      <c r="M130" s="26">
        <f>INDEX(Comparison!$AM$3:$AS$33,Q14,$B$122)</f>
        <v>5627.6610797391322</v>
      </c>
      <c r="N130" s="26">
        <f>INDEX(Comparison!$AM$3:$AS$33,R14,$B$122)</f>
        <v>5626.3493372203875</v>
      </c>
      <c r="O130" s="26">
        <f>INDEX(Comparison!$AM$3:$AS$33,S14,$B$122)</f>
        <v>5613.8255139047442</v>
      </c>
      <c r="P130" s="26">
        <f>INDEX(Comparison!$AM$3:$AS$33,T14,$B$122)</f>
        <v>5517.4172060787987</v>
      </c>
      <c r="Q130" s="26">
        <f>INDEX(Comparison!$AM$3:$AS$33,U14,$B$122)</f>
        <v>5360.9194936383001</v>
      </c>
      <c r="R130" s="26">
        <f>INDEX(Comparison!$AM$3:$AS$33,V14,$B$122)</f>
        <v>5250.254742360099</v>
      </c>
      <c r="S130" s="26">
        <f>INDEX(Comparison!$AM$3:$AS$33,W14,$B$122)</f>
        <v>5138.7770947931922</v>
      </c>
      <c r="T130" s="26">
        <f>INDEX(Comparison!$AM$3:$AS$33,X14,$B$122)</f>
        <v>5015.7448530146003</v>
      </c>
      <c r="U130" s="26">
        <f>INDEX(Comparison!$AM$3:$AS$33,Y14,$B$122)</f>
        <v>4881.370820360753</v>
      </c>
      <c r="V130" s="26">
        <f>INDEX(Comparison!$AM$3:$AS$33,Z14,$B$122)</f>
        <v>4715.1502303445186</v>
      </c>
      <c r="W130" s="26">
        <f>INDEX(Comparison!$AM$3:$AS$33,AA14,$B$122)</f>
        <v>4502.659399288631</v>
      </c>
      <c r="X130" s="26">
        <f>INDEX(Comparison!$AM$3:$AS$33,AB14,$B$122)</f>
        <v>4273.4157788380835</v>
      </c>
      <c r="Y130" s="26">
        <f>INDEX(Comparison!$AM$3:$AS$33,AC14,$B$122)</f>
        <v>4058.4470173916279</v>
      </c>
      <c r="Z130" s="26">
        <f>INDEX(Comparison!$AM$3:$AS$33,AD14,$B$122)</f>
        <v>3848.5922465336935</v>
      </c>
      <c r="AA130" s="26">
        <f>INDEX(Comparison!$AM$3:$AS$33,AE14,$B$122)</f>
        <v>3623.9563394023553</v>
      </c>
      <c r="AB130" s="26">
        <f>INDEX(Comparison!$AM$3:$AS$33,AF14,$B$122)</f>
        <v>3404.5451338992034</v>
      </c>
      <c r="AC130" s="26">
        <f>INDEX(Comparison!$AM$3:$AS$33,AG14,$B$122)</f>
        <v>3224.8694264190117</v>
      </c>
      <c r="AD130" s="26">
        <f>INDEX(Comparison!$AM$3:$AS$33,AH14,$B$122)</f>
        <v>3068.1804215620291</v>
      </c>
      <c r="AE130" s="26">
        <f>INDEX(Comparison!$AM$3:$AS$33,AI14,$B$122)</f>
        <v>2915.919267959634</v>
      </c>
      <c r="AF130" s="26">
        <f>INDEX(Comparison!$AM$3:$AS$33,AJ14,$B$122)</f>
        <v>2771.0117587804812</v>
      </c>
    </row>
    <row r="131" spans="1:33" x14ac:dyDescent="0.25">
      <c r="A131" s="69" t="s">
        <v>22</v>
      </c>
      <c r="B131" s="27">
        <f>($C$17+SUM(B132:B162))*$B$51</f>
        <v>5614.1606998848074</v>
      </c>
      <c r="C131" s="27">
        <f t="shared" ref="C131:AF131" si="40">($C$17+SUM(C132:C162))*$B$51</f>
        <v>5614.1606988480416</v>
      </c>
      <c r="D131" s="27">
        <f t="shared" si="40"/>
        <v>5614.1606884804041</v>
      </c>
      <c r="E131" s="27">
        <f t="shared" si="40"/>
        <v>5614.1605848040635</v>
      </c>
      <c r="F131" s="27">
        <f t="shared" si="40"/>
        <v>5614.1595480453443</v>
      </c>
      <c r="G131" s="27">
        <f t="shared" si="40"/>
        <v>5614.1491809265945</v>
      </c>
      <c r="H131" s="27">
        <f t="shared" si="40"/>
        <v>5614.0455565698367</v>
      </c>
      <c r="I131" s="27">
        <f t="shared" si="40"/>
        <v>5613.013981871366</v>
      </c>
      <c r="J131" s="27">
        <f t="shared" si="40"/>
        <v>5603.151236131439</v>
      </c>
      <c r="K131" s="27">
        <f t="shared" si="40"/>
        <v>5538.617940998115</v>
      </c>
      <c r="L131" s="27">
        <f t="shared" si="40"/>
        <v>5487.9780873142554</v>
      </c>
      <c r="M131" s="27">
        <f t="shared" si="40"/>
        <v>5487.9582426117013</v>
      </c>
      <c r="N131" s="27">
        <f t="shared" si="40"/>
        <v>5487.8967795228727</v>
      </c>
      <c r="O131" s="27">
        <f t="shared" si="40"/>
        <v>5487.2828455915715</v>
      </c>
      <c r="P131" s="27">
        <f t="shared" si="40"/>
        <v>5481.2126631127821</v>
      </c>
      <c r="Q131" s="27">
        <f t="shared" si="40"/>
        <v>5426.9177719690324</v>
      </c>
      <c r="R131" s="27">
        <f t="shared" si="40"/>
        <v>5216.3511868308087</v>
      </c>
      <c r="S131" s="27">
        <f t="shared" si="40"/>
        <v>5127.101186219601</v>
      </c>
      <c r="T131" s="27">
        <f t="shared" si="40"/>
        <v>5003.3912677247727</v>
      </c>
      <c r="U131" s="27">
        <f t="shared" si="40"/>
        <v>4874.0649089654571</v>
      </c>
      <c r="V131" s="27">
        <f t="shared" si="40"/>
        <v>4729.3944352588878</v>
      </c>
      <c r="W131" s="27">
        <f t="shared" si="40"/>
        <v>4573.5659702762805</v>
      </c>
      <c r="X131" s="27">
        <f t="shared" si="40"/>
        <v>4415.4590464851926</v>
      </c>
      <c r="Y131" s="27">
        <f t="shared" si="40"/>
        <v>4263.1044385944997</v>
      </c>
      <c r="Z131" s="27">
        <f t="shared" si="40"/>
        <v>4096.5917080743338</v>
      </c>
      <c r="AA131" s="27">
        <f t="shared" si="40"/>
        <v>3896.2562069819292</v>
      </c>
      <c r="AB131" s="27">
        <f t="shared" si="40"/>
        <v>3682.5921968411508</v>
      </c>
      <c r="AC131" s="27">
        <f t="shared" si="40"/>
        <v>3497.3366219745376</v>
      </c>
      <c r="AD131" s="27">
        <f t="shared" si="40"/>
        <v>3335.0606446221782</v>
      </c>
      <c r="AE131" s="27">
        <f t="shared" si="40"/>
        <v>3169.1635864124005</v>
      </c>
      <c r="AF131" s="27">
        <f t="shared" si="40"/>
        <v>2995.9423613720928</v>
      </c>
    </row>
    <row r="132" spans="1:33" x14ac:dyDescent="0.25">
      <c r="B132" s="3">
        <f t="shared" ref="B132:Z133" si="41">$C18*EXP(-B$129/$A18/EXP(-$B$126))</f>
        <v>2.2478093165054402E-2</v>
      </c>
      <c r="C132" s="3">
        <f t="shared" ref="C132:AF132" si="42">$C18*EXP(-C$129/$A18/EXP(-$B$126))</f>
        <v>2.2478092980385073E-2</v>
      </c>
      <c r="D132" s="3">
        <f t="shared" si="42"/>
        <v>2.2478091133691834E-2</v>
      </c>
      <c r="E132" s="3">
        <f t="shared" si="42"/>
        <v>2.2478072666767837E-2</v>
      </c>
      <c r="F132" s="3">
        <f t="shared" si="42"/>
        <v>2.2477887998362249E-2</v>
      </c>
      <c r="G132" s="3">
        <f t="shared" si="42"/>
        <v>2.2476041397747146E-2</v>
      </c>
      <c r="H132" s="3">
        <f t="shared" si="42"/>
        <v>2.2457583733133637E-2</v>
      </c>
      <c r="I132" s="3">
        <f t="shared" si="42"/>
        <v>2.2273838710700822E-2</v>
      </c>
      <c r="J132" s="3">
        <f t="shared" si="42"/>
        <v>2.0517077527708077E-2</v>
      </c>
      <c r="K132" s="3">
        <f t="shared" si="42"/>
        <v>9.0223524724576745E-3</v>
      </c>
      <c r="L132" s="3">
        <f t="shared" si="42"/>
        <v>2.4398475400832701E-6</v>
      </c>
      <c r="M132" s="3">
        <f t="shared" si="42"/>
        <v>5.1026019007557439E-42</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5.092992390618125E-2</v>
      </c>
      <c r="C133" s="3">
        <f t="shared" si="41"/>
        <v>5.0929923906181146E-2</v>
      </c>
      <c r="D133" s="3">
        <f t="shared" si="41"/>
        <v>5.092992390618007E-2</v>
      </c>
      <c r="E133" s="3">
        <f t="shared" si="41"/>
        <v>5.0929923906169357E-2</v>
      </c>
      <c r="F133" s="3">
        <f t="shared" si="41"/>
        <v>5.0929923906062179E-2</v>
      </c>
      <c r="G133" s="3">
        <f t="shared" si="41"/>
        <v>5.0929923904990383E-2</v>
      </c>
      <c r="H133" s="3">
        <f t="shared" si="41"/>
        <v>5.0929923894272471E-2</v>
      </c>
      <c r="I133" s="3">
        <f t="shared" si="41"/>
        <v>5.0929923787093337E-2</v>
      </c>
      <c r="J133" s="3">
        <f t="shared" si="41"/>
        <v>5.0929922715301994E-2</v>
      </c>
      <c r="K133" s="3">
        <f t="shared" si="41"/>
        <v>5.0929911997389797E-2</v>
      </c>
      <c r="L133" s="3">
        <f t="shared" si="41"/>
        <v>5.0929804818391933E-2</v>
      </c>
      <c r="M133" s="3">
        <f t="shared" si="41"/>
        <v>5.0928733040818588E-2</v>
      </c>
      <c r="N133" s="3">
        <f t="shared" si="41"/>
        <v>5.0918016505516007E-2</v>
      </c>
      <c r="O133" s="3">
        <f t="shared" si="41"/>
        <v>5.081097509905317E-2</v>
      </c>
      <c r="P133" s="3">
        <f t="shared" si="41"/>
        <v>4.9752859721335148E-2</v>
      </c>
      <c r="Q133" s="3">
        <f t="shared" si="41"/>
        <v>4.0310969042857941E-2</v>
      </c>
      <c r="R133" s="3">
        <f t="shared" si="41"/>
        <v>4.9144524560215258E-3</v>
      </c>
      <c r="S133" s="3">
        <f t="shared" si="41"/>
        <v>3.5644631846714415E-12</v>
      </c>
      <c r="T133" s="3">
        <f t="shared" si="41"/>
        <v>1.4360980390172235E-103</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9.6872855231009188E-3</v>
      </c>
      <c r="C134" s="3">
        <f t="shared" si="44"/>
        <v>9.6872855231009171E-3</v>
      </c>
      <c r="D134" s="3">
        <f t="shared" si="44"/>
        <v>9.687285523100898E-3</v>
      </c>
      <c r="E134" s="3">
        <f t="shared" si="44"/>
        <v>9.6872855231007141E-3</v>
      </c>
      <c r="F134" s="3">
        <f t="shared" si="44"/>
        <v>9.6872855230988753E-3</v>
      </c>
      <c r="G134" s="3">
        <f t="shared" si="44"/>
        <v>9.6872855230804855E-3</v>
      </c>
      <c r="H134" s="3">
        <f t="shared" si="44"/>
        <v>9.687285522896584E-3</v>
      </c>
      <c r="I134" s="3">
        <f t="shared" si="44"/>
        <v>9.6872855210575655E-3</v>
      </c>
      <c r="J134" s="3">
        <f t="shared" si="44"/>
        <v>9.6872855026673872E-3</v>
      </c>
      <c r="K134" s="3">
        <f t="shared" si="44"/>
        <v>9.6872853187656184E-3</v>
      </c>
      <c r="L134" s="3">
        <f t="shared" si="44"/>
        <v>9.687283479748109E-3</v>
      </c>
      <c r="M134" s="3">
        <f t="shared" si="44"/>
        <v>9.6872650895922213E-3</v>
      </c>
      <c r="N134" s="3">
        <f t="shared" si="44"/>
        <v>9.6870811899534576E-3</v>
      </c>
      <c r="O134" s="3">
        <f t="shared" si="44"/>
        <v>9.6852423855646307E-3</v>
      </c>
      <c r="P134" s="3">
        <f t="shared" si="44"/>
        <v>9.6668735280776123E-3</v>
      </c>
      <c r="Q134" s="3">
        <f t="shared" si="44"/>
        <v>9.4850901849325309E-3</v>
      </c>
      <c r="R134" s="3">
        <f t="shared" si="44"/>
        <v>7.8450504820941538E-3</v>
      </c>
      <c r="S134" s="3">
        <f t="shared" si="44"/>
        <v>1.1752723607029118E-3</v>
      </c>
      <c r="T134" s="3">
        <f t="shared" si="44"/>
        <v>6.6921601458547666E-12</v>
      </c>
      <c r="U134" s="3">
        <f t="shared" si="44"/>
        <v>2.3979733349299582E-94</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2.5365400912727508E-2</v>
      </c>
      <c r="C135" s="3">
        <f t="shared" si="47"/>
        <v>2.5365400912727508E-2</v>
      </c>
      <c r="D135" s="3">
        <f t="shared" si="47"/>
        <v>2.5365400912727501E-2</v>
      </c>
      <c r="E135" s="3">
        <f t="shared" si="47"/>
        <v>2.5365400912727459E-2</v>
      </c>
      <c r="F135" s="3">
        <f t="shared" si="47"/>
        <v>2.5365400912727026E-2</v>
      </c>
      <c r="G135" s="3">
        <f t="shared" si="47"/>
        <v>2.5365400912722682E-2</v>
      </c>
      <c r="H135" s="3">
        <f t="shared" si="47"/>
        <v>2.5365400912679241E-2</v>
      </c>
      <c r="I135" s="3">
        <f t="shared" si="47"/>
        <v>2.5365400912244859E-2</v>
      </c>
      <c r="J135" s="3">
        <f t="shared" si="47"/>
        <v>2.5365400907901039E-2</v>
      </c>
      <c r="K135" s="3">
        <f t="shared" si="47"/>
        <v>2.5365400864462807E-2</v>
      </c>
      <c r="L135" s="3">
        <f t="shared" si="47"/>
        <v>2.5365400430080495E-2</v>
      </c>
      <c r="M135" s="3">
        <f t="shared" si="47"/>
        <v>2.5365396086257794E-2</v>
      </c>
      <c r="N135" s="3">
        <f t="shared" si="47"/>
        <v>2.5365352648071701E-2</v>
      </c>
      <c r="O135" s="3">
        <f t="shared" si="47"/>
        <v>2.5364918270302073E-2</v>
      </c>
      <c r="P135" s="3">
        <f t="shared" si="47"/>
        <v>2.5360574901710693E-2</v>
      </c>
      <c r="Q135" s="3">
        <f t="shared" si="47"/>
        <v>2.5317182100374407E-2</v>
      </c>
      <c r="R135" s="3">
        <f t="shared" si="47"/>
        <v>2.4887316757525143E-2</v>
      </c>
      <c r="S135" s="3">
        <f t="shared" si="47"/>
        <v>2.0970325680263979E-2</v>
      </c>
      <c r="T135" s="3">
        <f t="shared" si="47"/>
        <v>3.7833469935764931E-3</v>
      </c>
      <c r="U135" s="3">
        <f t="shared" si="47"/>
        <v>1.3822486369213214E-10</v>
      </c>
      <c r="V135" s="3">
        <f t="shared" si="47"/>
        <v>5.8571470132531393E-85</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2.3099378117218305E-2</v>
      </c>
      <c r="C136" s="3">
        <f t="shared" si="49"/>
        <v>2.3099378117218305E-2</v>
      </c>
      <c r="D136" s="3">
        <f t="shared" si="49"/>
        <v>2.3099378117218305E-2</v>
      </c>
      <c r="E136" s="3">
        <f t="shared" si="49"/>
        <v>2.3099378117218301E-2</v>
      </c>
      <c r="F136" s="3">
        <f t="shared" si="49"/>
        <v>2.3099378117218267E-2</v>
      </c>
      <c r="G136" s="3">
        <f t="shared" si="49"/>
        <v>2.3099378117217906E-2</v>
      </c>
      <c r="H136" s="3">
        <f t="shared" si="49"/>
        <v>2.3099378117214339E-2</v>
      </c>
      <c r="I136" s="3">
        <f t="shared" si="49"/>
        <v>2.3099378117178656E-2</v>
      </c>
      <c r="J136" s="3">
        <f t="shared" si="49"/>
        <v>2.3099378116821813E-2</v>
      </c>
      <c r="K136" s="3">
        <f t="shared" si="49"/>
        <v>2.3099378113253379E-2</v>
      </c>
      <c r="L136" s="3">
        <f t="shared" si="49"/>
        <v>2.3099378077569073E-2</v>
      </c>
      <c r="M136" s="3">
        <f t="shared" si="49"/>
        <v>2.309937772072599E-2</v>
      </c>
      <c r="N136" s="3">
        <f t="shared" si="49"/>
        <v>2.3099374152295491E-2</v>
      </c>
      <c r="O136" s="3">
        <f t="shared" si="49"/>
        <v>2.3099338468020789E-2</v>
      </c>
      <c r="P136" s="3">
        <f t="shared" si="49"/>
        <v>2.3098981628305655E-2</v>
      </c>
      <c r="Q136" s="3">
        <f t="shared" si="49"/>
        <v>2.3095413534326519E-2</v>
      </c>
      <c r="R136" s="3">
        <f t="shared" si="49"/>
        <v>2.3059762894434451E-2</v>
      </c>
      <c r="S136" s="3">
        <f t="shared" si="49"/>
        <v>2.2706269237889876E-2</v>
      </c>
      <c r="T136" s="3">
        <f t="shared" si="49"/>
        <v>1.9456075374628359E-2</v>
      </c>
      <c r="U136" s="3">
        <f t="shared" si="49"/>
        <v>4.1509720525216721E-3</v>
      </c>
      <c r="V136" s="3">
        <f t="shared" si="49"/>
        <v>8.111394096777838E-10</v>
      </c>
      <c r="W136" s="3">
        <f t="shared" si="49"/>
        <v>6.5849492480188028E-77</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2.7649262864666301E-2</v>
      </c>
      <c r="C137" s="3">
        <f t="shared" si="51"/>
        <v>2.7649262864666301E-2</v>
      </c>
      <c r="D137" s="3">
        <f t="shared" si="51"/>
        <v>2.7649262864666301E-2</v>
      </c>
      <c r="E137" s="3">
        <f t="shared" si="51"/>
        <v>2.7649262864666301E-2</v>
      </c>
      <c r="F137" s="3">
        <f t="shared" si="51"/>
        <v>2.7649262864666298E-2</v>
      </c>
      <c r="G137" s="3">
        <f t="shared" si="51"/>
        <v>2.764926286466626E-2</v>
      </c>
      <c r="H137" s="3">
        <f t="shared" si="51"/>
        <v>2.7649262864665874E-2</v>
      </c>
      <c r="I137" s="3">
        <f t="shared" si="51"/>
        <v>2.764926286466202E-2</v>
      </c>
      <c r="J137" s="3">
        <f t="shared" si="51"/>
        <v>2.7649262864623488E-2</v>
      </c>
      <c r="K137" s="3">
        <f t="shared" si="51"/>
        <v>2.7649262864238182E-2</v>
      </c>
      <c r="L137" s="3">
        <f t="shared" si="51"/>
        <v>2.7649262860385111E-2</v>
      </c>
      <c r="M137" s="3">
        <f t="shared" si="51"/>
        <v>2.7649262821854391E-2</v>
      </c>
      <c r="N137" s="3">
        <f t="shared" si="51"/>
        <v>2.7649262436547171E-2</v>
      </c>
      <c r="O137" s="3">
        <f t="shared" si="51"/>
        <v>2.7649258583475323E-2</v>
      </c>
      <c r="P137" s="3">
        <f t="shared" si="51"/>
        <v>2.7649220052786375E-2</v>
      </c>
      <c r="Q137" s="3">
        <f t="shared" si="51"/>
        <v>2.7648834748850059E-2</v>
      </c>
      <c r="R137" s="3">
        <f t="shared" si="51"/>
        <v>2.7644982004790365E-2</v>
      </c>
      <c r="S137" s="3">
        <f t="shared" si="51"/>
        <v>2.7606484079319128E-2</v>
      </c>
      <c r="T137" s="3">
        <f t="shared" si="51"/>
        <v>2.7224441175306029E-2</v>
      </c>
      <c r="U137" s="3">
        <f t="shared" si="51"/>
        <v>2.3683054952730893E-2</v>
      </c>
      <c r="V137" s="3">
        <f t="shared" si="51"/>
        <v>5.8779408339211378E-3</v>
      </c>
      <c r="W137" s="3">
        <f t="shared" si="51"/>
        <v>5.2131483737551046E-9</v>
      </c>
      <c r="X137" s="3">
        <f t="shared" si="51"/>
        <v>1.5698163239418968E-69</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2.9567803961689888E-2</v>
      </c>
      <c r="C138" s="3">
        <f t="shared" si="53"/>
        <v>2.9567803961689888E-2</v>
      </c>
      <c r="D138" s="3">
        <f t="shared" si="53"/>
        <v>2.9567803961689888E-2</v>
      </c>
      <c r="E138" s="3">
        <f t="shared" si="53"/>
        <v>2.9567803961689888E-2</v>
      </c>
      <c r="F138" s="3">
        <f t="shared" si="53"/>
        <v>2.9567803961689888E-2</v>
      </c>
      <c r="G138" s="3">
        <f t="shared" si="53"/>
        <v>2.9567803961689884E-2</v>
      </c>
      <c r="H138" s="3">
        <f t="shared" si="53"/>
        <v>2.9567803961689846E-2</v>
      </c>
      <c r="I138" s="3">
        <f t="shared" si="53"/>
        <v>2.9567803961689475E-2</v>
      </c>
      <c r="J138" s="3">
        <f t="shared" si="53"/>
        <v>2.9567803961685759E-2</v>
      </c>
      <c r="K138" s="3">
        <f t="shared" si="53"/>
        <v>2.9567803961648587E-2</v>
      </c>
      <c r="L138" s="3">
        <f t="shared" si="53"/>
        <v>2.9567803961276888E-2</v>
      </c>
      <c r="M138" s="3">
        <f t="shared" si="53"/>
        <v>2.9567803957559917E-2</v>
      </c>
      <c r="N138" s="3">
        <f t="shared" si="53"/>
        <v>2.9567803920390202E-2</v>
      </c>
      <c r="O138" s="3">
        <f t="shared" si="53"/>
        <v>2.9567803548693039E-2</v>
      </c>
      <c r="P138" s="3">
        <f t="shared" si="53"/>
        <v>2.9567799831721683E-2</v>
      </c>
      <c r="Q138" s="3">
        <f t="shared" si="53"/>
        <v>2.9567762662033793E-2</v>
      </c>
      <c r="R138" s="3">
        <f t="shared" si="53"/>
        <v>2.9567390967724833E-2</v>
      </c>
      <c r="S138" s="3">
        <f t="shared" si="53"/>
        <v>2.9563674281615427E-2</v>
      </c>
      <c r="T138" s="3">
        <f t="shared" si="53"/>
        <v>2.9526533106593013E-2</v>
      </c>
      <c r="U138" s="3">
        <f t="shared" si="53"/>
        <v>2.9157678056306414E-2</v>
      </c>
      <c r="V138" s="3">
        <f t="shared" si="53"/>
        <v>2.5713295031229232E-2</v>
      </c>
      <c r="W138" s="3">
        <f t="shared" si="53"/>
        <v>7.3148545985445958E-3</v>
      </c>
      <c r="X138" s="3">
        <f t="shared" si="53"/>
        <v>2.539132400034093E-8</v>
      </c>
      <c r="Y138" s="3">
        <f t="shared" si="53"/>
        <v>6.4488435532594252E-63</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2.9957814581893651E-2</v>
      </c>
      <c r="C139" s="3">
        <f t="shared" si="55"/>
        <v>2.9957814581893651E-2</v>
      </c>
      <c r="D139" s="3">
        <f t="shared" si="55"/>
        <v>2.9957814581893651E-2</v>
      </c>
      <c r="E139" s="3">
        <f t="shared" si="55"/>
        <v>2.9957814581893651E-2</v>
      </c>
      <c r="F139" s="3">
        <f t="shared" si="55"/>
        <v>2.9957814581893651E-2</v>
      </c>
      <c r="G139" s="3">
        <f t="shared" si="55"/>
        <v>2.9957814581893651E-2</v>
      </c>
      <c r="H139" s="3">
        <f t="shared" si="55"/>
        <v>2.9957814581893647E-2</v>
      </c>
      <c r="I139" s="3">
        <f t="shared" si="55"/>
        <v>2.9957814581893612E-2</v>
      </c>
      <c r="J139" s="3">
        <f t="shared" si="55"/>
        <v>2.9957814581893276E-2</v>
      </c>
      <c r="K139" s="3">
        <f t="shared" si="55"/>
        <v>2.9957814581889876E-2</v>
      </c>
      <c r="L139" s="3">
        <f t="shared" si="55"/>
        <v>2.9957814581855903E-2</v>
      </c>
      <c r="M139" s="3">
        <f t="shared" si="55"/>
        <v>2.9957814581516178E-2</v>
      </c>
      <c r="N139" s="3">
        <f t="shared" si="55"/>
        <v>2.9957814578118934E-2</v>
      </c>
      <c r="O139" s="3">
        <f t="shared" si="55"/>
        <v>2.9957814544146481E-2</v>
      </c>
      <c r="P139" s="3">
        <f t="shared" si="55"/>
        <v>2.9957814204421958E-2</v>
      </c>
      <c r="Q139" s="3">
        <f t="shared" si="55"/>
        <v>2.9957810807176969E-2</v>
      </c>
      <c r="R139" s="3">
        <f t="shared" si="55"/>
        <v>2.9957776834748231E-2</v>
      </c>
      <c r="S139" s="3">
        <f t="shared" si="55"/>
        <v>2.9957437112579734E-2</v>
      </c>
      <c r="T139" s="3">
        <f t="shared" si="55"/>
        <v>2.9954040102772861E-2</v>
      </c>
      <c r="U139" s="3">
        <f t="shared" si="55"/>
        <v>2.9920091183628702E-2</v>
      </c>
      <c r="V139" s="3">
        <f t="shared" si="55"/>
        <v>2.958271102520325E-2</v>
      </c>
      <c r="W139" s="3">
        <f t="shared" si="55"/>
        <v>2.6411225651706043E-2</v>
      </c>
      <c r="X139" s="3">
        <f t="shared" si="55"/>
        <v>8.4975631606546472E-3</v>
      </c>
      <c r="Y139" s="3">
        <f t="shared" si="55"/>
        <v>1.0100732196873154E-7</v>
      </c>
      <c r="Z139" s="3">
        <f t="shared" si="55"/>
        <v>5.6877095550464101E-57</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2.7071321334420872E-2</v>
      </c>
      <c r="C140" s="3">
        <f t="shared" si="57"/>
        <v>2.7071321334420872E-2</v>
      </c>
      <c r="D140" s="3">
        <f t="shared" si="57"/>
        <v>2.7071321334420872E-2</v>
      </c>
      <c r="E140" s="3">
        <f t="shared" si="57"/>
        <v>2.7071321334420872E-2</v>
      </c>
      <c r="F140" s="3">
        <f t="shared" si="57"/>
        <v>2.7071321334420872E-2</v>
      </c>
      <c r="G140" s="3">
        <f t="shared" si="57"/>
        <v>2.7071321334420872E-2</v>
      </c>
      <c r="H140" s="3">
        <f t="shared" si="57"/>
        <v>2.7071321334420872E-2</v>
      </c>
      <c r="I140" s="3">
        <f t="shared" si="57"/>
        <v>2.7071321334420868E-2</v>
      </c>
      <c r="J140" s="3">
        <f t="shared" si="57"/>
        <v>2.7071321334420841E-2</v>
      </c>
      <c r="K140" s="3">
        <f t="shared" si="57"/>
        <v>2.7071321334420567E-2</v>
      </c>
      <c r="L140" s="3">
        <f t="shared" si="57"/>
        <v>2.7071321334417794E-2</v>
      </c>
      <c r="M140" s="3">
        <f t="shared" si="57"/>
        <v>2.7071321334390101E-2</v>
      </c>
      <c r="N140" s="3">
        <f t="shared" si="57"/>
        <v>2.707132133411317E-2</v>
      </c>
      <c r="O140" s="3">
        <f t="shared" si="57"/>
        <v>2.7071321331343854E-2</v>
      </c>
      <c r="P140" s="3">
        <f t="shared" si="57"/>
        <v>2.7071321303650673E-2</v>
      </c>
      <c r="Q140" s="3">
        <f t="shared" si="57"/>
        <v>2.7071321026718886E-2</v>
      </c>
      <c r="R140" s="3">
        <f t="shared" si="57"/>
        <v>2.7071318257401153E-2</v>
      </c>
      <c r="S140" s="3">
        <f t="shared" si="57"/>
        <v>2.7071290564239413E-2</v>
      </c>
      <c r="T140" s="3">
        <f t="shared" si="57"/>
        <v>2.7071013634180109E-2</v>
      </c>
      <c r="U140" s="3">
        <f t="shared" si="57"/>
        <v>2.7068244489391824E-2</v>
      </c>
      <c r="V140" s="3">
        <f t="shared" si="57"/>
        <v>2.7040568616084969E-2</v>
      </c>
      <c r="W140" s="3">
        <f t="shared" si="57"/>
        <v>2.6765361461746233E-2</v>
      </c>
      <c r="X140" s="3">
        <f t="shared" si="57"/>
        <v>2.4162732332833982E-2</v>
      </c>
      <c r="Y140" s="3">
        <f t="shared" si="57"/>
        <v>8.6871104656954263E-3</v>
      </c>
      <c r="Z140" s="3">
        <f t="shared" si="57"/>
        <v>3.1345005846132039E-7</v>
      </c>
      <c r="AA140" s="3">
        <f t="shared" ref="AA140" si="58">$C26*EXP(-AA$129/$A26/EXP(-$B$126))</f>
        <v>1.1724611642126081E-51</v>
      </c>
      <c r="AB140" s="3">
        <f t="shared" si="46"/>
        <v>0</v>
      </c>
      <c r="AC140" s="3">
        <f t="shared" si="46"/>
        <v>0</v>
      </c>
      <c r="AD140" s="3">
        <f t="shared" si="46"/>
        <v>0</v>
      </c>
      <c r="AE140" s="3">
        <f t="shared" si="46"/>
        <v>0</v>
      </c>
      <c r="AF140" s="3">
        <f t="shared" si="46"/>
        <v>0</v>
      </c>
    </row>
    <row r="141" spans="1:33" x14ac:dyDescent="0.25">
      <c r="B141" s="3">
        <f t="shared" ref="B141:Z141" si="59">$C27*EXP(-B$129/$A27/EXP(-$B$126))</f>
        <v>3.2010538564501728E-2</v>
      </c>
      <c r="C141" s="3">
        <f t="shared" si="59"/>
        <v>3.2010538564501728E-2</v>
      </c>
      <c r="D141" s="3">
        <f t="shared" si="59"/>
        <v>3.2010538564501728E-2</v>
      </c>
      <c r="E141" s="3">
        <f t="shared" si="59"/>
        <v>3.2010538564501728E-2</v>
      </c>
      <c r="F141" s="3">
        <f t="shared" si="59"/>
        <v>3.2010538564501728E-2</v>
      </c>
      <c r="G141" s="3">
        <f t="shared" si="59"/>
        <v>3.2010538564501728E-2</v>
      </c>
      <c r="H141" s="3">
        <f t="shared" si="59"/>
        <v>3.2010538564501728E-2</v>
      </c>
      <c r="I141" s="3">
        <f t="shared" si="59"/>
        <v>3.2010538564501728E-2</v>
      </c>
      <c r="J141" s="3">
        <f t="shared" si="59"/>
        <v>3.2010538564501721E-2</v>
      </c>
      <c r="K141" s="3">
        <f t="shared" si="59"/>
        <v>3.2010538564501693E-2</v>
      </c>
      <c r="L141" s="3">
        <f t="shared" si="59"/>
        <v>3.2010538564501402E-2</v>
      </c>
      <c r="M141" s="3">
        <f t="shared" si="59"/>
        <v>3.2010538564498446E-2</v>
      </c>
      <c r="N141" s="3">
        <f t="shared" si="59"/>
        <v>3.2010538564468907E-2</v>
      </c>
      <c r="O141" s="3">
        <f t="shared" si="59"/>
        <v>3.2010538564173512E-2</v>
      </c>
      <c r="P141" s="3">
        <f t="shared" si="59"/>
        <v>3.2010538561219562E-2</v>
      </c>
      <c r="Q141" s="3">
        <f t="shared" si="59"/>
        <v>3.201053853168008E-2</v>
      </c>
      <c r="R141" s="3">
        <f t="shared" si="59"/>
        <v>3.2010538236285219E-2</v>
      </c>
      <c r="S141" s="3">
        <f t="shared" si="59"/>
        <v>3.2010535282336806E-2</v>
      </c>
      <c r="T141" s="3">
        <f t="shared" si="59"/>
        <v>3.2010505742867623E-2</v>
      </c>
      <c r="U141" s="3">
        <f t="shared" si="59"/>
        <v>3.2010210349675113E-2</v>
      </c>
      <c r="V141" s="3">
        <f t="shared" si="59"/>
        <v>3.2007256567669777E-2</v>
      </c>
      <c r="W141" s="3">
        <f t="shared" si="59"/>
        <v>3.1977733734482379E-2</v>
      </c>
      <c r="X141" s="3">
        <f t="shared" si="59"/>
        <v>3.1683998984726125E-2</v>
      </c>
      <c r="Y141" s="3">
        <f t="shared" si="59"/>
        <v>2.8891033488799064E-2</v>
      </c>
      <c r="Z141" s="3">
        <f t="shared" si="59"/>
        <v>1.1481376205547117E-2</v>
      </c>
      <c r="AA141" s="3">
        <f t="shared" ref="AA141" si="60">$C27*EXP(-AA$129/$A27/EXP(-$B$126))</f>
        <v>1.1279832378002773E-6</v>
      </c>
      <c r="AB141" s="3">
        <f t="shared" si="46"/>
        <v>9.4490822652520395E-47</v>
      </c>
      <c r="AC141" s="3">
        <f t="shared" si="46"/>
        <v>0</v>
      </c>
      <c r="AD141" s="3">
        <f t="shared" si="46"/>
        <v>0</v>
      </c>
      <c r="AE141" s="3">
        <f t="shared" si="46"/>
        <v>0</v>
      </c>
      <c r="AF141" s="3">
        <f t="shared" si="46"/>
        <v>0</v>
      </c>
    </row>
    <row r="142" spans="1:33" x14ac:dyDescent="0.25">
      <c r="B142" s="3">
        <f t="shared" ref="B142:Z142" si="61">$C28*EXP(-B$129/$A28/EXP(-$B$126))</f>
        <v>4.0907961623415999E-2</v>
      </c>
      <c r="C142" s="3">
        <f t="shared" si="61"/>
        <v>4.0907961623415999E-2</v>
      </c>
      <c r="D142" s="3">
        <f t="shared" si="61"/>
        <v>4.0907961623415999E-2</v>
      </c>
      <c r="E142" s="3">
        <f t="shared" si="61"/>
        <v>4.0907961623415999E-2</v>
      </c>
      <c r="F142" s="3">
        <f t="shared" si="61"/>
        <v>4.0907961623415999E-2</v>
      </c>
      <c r="G142" s="3">
        <f t="shared" si="61"/>
        <v>4.0907961623415999E-2</v>
      </c>
      <c r="H142" s="3">
        <f t="shared" si="61"/>
        <v>4.0907961623415999E-2</v>
      </c>
      <c r="I142" s="3">
        <f t="shared" si="61"/>
        <v>4.0907961623415999E-2</v>
      </c>
      <c r="J142" s="3">
        <f t="shared" si="61"/>
        <v>4.0907961623415999E-2</v>
      </c>
      <c r="K142" s="3">
        <f t="shared" si="61"/>
        <v>4.0907961623415992E-2</v>
      </c>
      <c r="L142" s="3">
        <f t="shared" si="61"/>
        <v>4.0907961623415964E-2</v>
      </c>
      <c r="M142" s="3">
        <f t="shared" si="61"/>
        <v>4.0907961623415624E-2</v>
      </c>
      <c r="N142" s="3">
        <f t="shared" si="61"/>
        <v>4.0907961623412217E-2</v>
      </c>
      <c r="O142" s="3">
        <f t="shared" si="61"/>
        <v>4.0907961623378161E-2</v>
      </c>
      <c r="P142" s="3">
        <f t="shared" si="61"/>
        <v>4.0907961623037628E-2</v>
      </c>
      <c r="Q142" s="3">
        <f t="shared" si="61"/>
        <v>4.0907961619632255E-2</v>
      </c>
      <c r="R142" s="3">
        <f t="shared" si="61"/>
        <v>4.0907961585578551E-2</v>
      </c>
      <c r="S142" s="3">
        <f t="shared" si="61"/>
        <v>4.0907961245041487E-2</v>
      </c>
      <c r="T142" s="3">
        <f t="shared" si="61"/>
        <v>4.0907957839671071E-2</v>
      </c>
      <c r="U142" s="3">
        <f t="shared" si="61"/>
        <v>4.0907923785982458E-2</v>
      </c>
      <c r="V142" s="3">
        <f t="shared" si="61"/>
        <v>4.0907583250655459E-2</v>
      </c>
      <c r="W142" s="3">
        <f t="shared" si="61"/>
        <v>4.0904178053293619E-2</v>
      </c>
      <c r="X142" s="3">
        <f t="shared" si="61"/>
        <v>4.0870141665686782E-2</v>
      </c>
      <c r="Y142" s="3">
        <f t="shared" si="61"/>
        <v>4.0531331600870267E-2</v>
      </c>
      <c r="Z142" s="3">
        <f t="shared" si="61"/>
        <v>3.7293930959812545E-2</v>
      </c>
      <c r="AA142" s="3">
        <f t="shared" ref="AA142" si="62">$C28*EXP(-AA$129/$A28/EXP(-$B$126))</f>
        <v>1.6222249115476206E-2</v>
      </c>
      <c r="AB142" s="3">
        <f t="shared" si="46"/>
        <v>3.9340520760389292E-6</v>
      </c>
      <c r="AC142" s="3">
        <f t="shared" si="46"/>
        <v>2.7677731131284612E-42</v>
      </c>
      <c r="AD142" s="3">
        <f t="shared" si="46"/>
        <v>0</v>
      </c>
      <c r="AE142" s="3">
        <f t="shared" si="46"/>
        <v>0</v>
      </c>
      <c r="AF142" s="3">
        <f t="shared" si="46"/>
        <v>0</v>
      </c>
    </row>
    <row r="143" spans="1:33" x14ac:dyDescent="0.25">
      <c r="B143" s="3">
        <f t="shared" ref="B143:Z143" si="63">$C29*EXP(-B$129/$A29/EXP(-$B$126))</f>
        <v>4.0610124346011141E-2</v>
      </c>
      <c r="C143" s="3">
        <f t="shared" si="63"/>
        <v>4.0610124346011141E-2</v>
      </c>
      <c r="D143" s="3">
        <f t="shared" si="63"/>
        <v>4.0610124346011141E-2</v>
      </c>
      <c r="E143" s="3">
        <f t="shared" si="63"/>
        <v>4.0610124346011141E-2</v>
      </c>
      <c r="F143" s="3">
        <f t="shared" si="63"/>
        <v>4.0610124346011141E-2</v>
      </c>
      <c r="G143" s="3">
        <f t="shared" si="63"/>
        <v>4.0610124346011141E-2</v>
      </c>
      <c r="H143" s="3">
        <f t="shared" si="63"/>
        <v>4.0610124346011141E-2</v>
      </c>
      <c r="I143" s="3">
        <f t="shared" si="63"/>
        <v>4.0610124346011141E-2</v>
      </c>
      <c r="J143" s="3">
        <f t="shared" si="63"/>
        <v>4.0610124346011141E-2</v>
      </c>
      <c r="K143" s="3">
        <f t="shared" si="63"/>
        <v>4.0610124346011141E-2</v>
      </c>
      <c r="L143" s="3">
        <f t="shared" si="63"/>
        <v>4.0610124346011134E-2</v>
      </c>
      <c r="M143" s="3">
        <f t="shared" si="63"/>
        <v>4.0610124346011106E-2</v>
      </c>
      <c r="N143" s="3">
        <f t="shared" si="63"/>
        <v>4.0610124346010801E-2</v>
      </c>
      <c r="O143" s="3">
        <f t="shared" si="63"/>
        <v>4.0610124346007748E-2</v>
      </c>
      <c r="P143" s="3">
        <f t="shared" si="63"/>
        <v>4.0610124345977258E-2</v>
      </c>
      <c r="Q143" s="3">
        <f t="shared" si="63"/>
        <v>4.0610124345672301E-2</v>
      </c>
      <c r="R143" s="3">
        <f t="shared" si="63"/>
        <v>4.061012434262274E-2</v>
      </c>
      <c r="S143" s="3">
        <f t="shared" si="63"/>
        <v>4.061012431212712E-2</v>
      </c>
      <c r="T143" s="3">
        <f t="shared" si="63"/>
        <v>4.0610124007170935E-2</v>
      </c>
      <c r="U143" s="3">
        <f t="shared" si="63"/>
        <v>4.0610120957609186E-2</v>
      </c>
      <c r="V143" s="3">
        <f t="shared" si="63"/>
        <v>4.061009046200427E-2</v>
      </c>
      <c r="W143" s="3">
        <f t="shared" si="63"/>
        <v>4.0609785507214634E-2</v>
      </c>
      <c r="X143" s="3">
        <f t="shared" si="63"/>
        <v>4.0606736085265861E-2</v>
      </c>
      <c r="Y143" s="3">
        <f t="shared" si="63"/>
        <v>4.0576254457038552E-2</v>
      </c>
      <c r="Z143" s="3">
        <f t="shared" si="63"/>
        <v>4.0272693809387784E-2</v>
      </c>
      <c r="AA143" s="3">
        <f t="shared" ref="AA143" si="64">$C29*EXP(-AA$129/$A29/EXP(-$B$126))</f>
        <v>3.7359231030075185E-2</v>
      </c>
      <c r="AB143" s="3">
        <f t="shared" si="46"/>
        <v>1.7630734748555858E-2</v>
      </c>
      <c r="AC143" s="3">
        <f t="shared" si="46"/>
        <v>9.6604029628802733E-6</v>
      </c>
      <c r="AD143" s="3">
        <f t="shared" si="46"/>
        <v>2.3563703586698545E-38</v>
      </c>
      <c r="AE143" s="3">
        <f t="shared" si="46"/>
        <v>0</v>
      </c>
      <c r="AF143" s="3">
        <f t="shared" si="46"/>
        <v>0</v>
      </c>
    </row>
    <row r="144" spans="1:33" x14ac:dyDescent="0.25">
      <c r="B144" s="3">
        <f t="shared" ref="B144:Z144" si="65">$C30*EXP(-B$129/$A30/EXP(-$B$126))</f>
        <v>2.925116065031759E-2</v>
      </c>
      <c r="C144" s="3">
        <f t="shared" si="65"/>
        <v>2.925116065031759E-2</v>
      </c>
      <c r="D144" s="3">
        <f t="shared" si="65"/>
        <v>2.925116065031759E-2</v>
      </c>
      <c r="E144" s="3">
        <f t="shared" si="65"/>
        <v>2.925116065031759E-2</v>
      </c>
      <c r="F144" s="3">
        <f t="shared" si="65"/>
        <v>2.925116065031759E-2</v>
      </c>
      <c r="G144" s="3">
        <f t="shared" si="65"/>
        <v>2.925116065031759E-2</v>
      </c>
      <c r="H144" s="3">
        <f t="shared" si="65"/>
        <v>2.925116065031759E-2</v>
      </c>
      <c r="I144" s="3">
        <f t="shared" si="65"/>
        <v>2.925116065031759E-2</v>
      </c>
      <c r="J144" s="3">
        <f t="shared" si="65"/>
        <v>2.925116065031759E-2</v>
      </c>
      <c r="K144" s="3">
        <f t="shared" si="65"/>
        <v>2.925116065031759E-2</v>
      </c>
      <c r="L144" s="3">
        <f t="shared" si="65"/>
        <v>2.925116065031759E-2</v>
      </c>
      <c r="M144" s="3">
        <f t="shared" si="65"/>
        <v>2.9251160650317586E-2</v>
      </c>
      <c r="N144" s="3">
        <f t="shared" si="65"/>
        <v>2.9251160650317565E-2</v>
      </c>
      <c r="O144" s="3">
        <f t="shared" si="65"/>
        <v>2.9251160650317368E-2</v>
      </c>
      <c r="P144" s="3">
        <f t="shared" si="65"/>
        <v>2.9251160650315387E-2</v>
      </c>
      <c r="Q144" s="3">
        <f t="shared" si="65"/>
        <v>2.9251160650295576E-2</v>
      </c>
      <c r="R144" s="3">
        <f t="shared" si="65"/>
        <v>2.9251160650097422E-2</v>
      </c>
      <c r="S144" s="3">
        <f t="shared" si="65"/>
        <v>2.9251160648115931E-2</v>
      </c>
      <c r="T144" s="3">
        <f t="shared" si="65"/>
        <v>2.9251160628300989E-2</v>
      </c>
      <c r="U144" s="3">
        <f t="shared" si="65"/>
        <v>2.9251160430151558E-2</v>
      </c>
      <c r="V144" s="3">
        <f t="shared" si="65"/>
        <v>2.9251158448657343E-2</v>
      </c>
      <c r="W144" s="3">
        <f t="shared" si="65"/>
        <v>2.9251138633722588E-2</v>
      </c>
      <c r="X144" s="3">
        <f t="shared" si="65"/>
        <v>2.9250940485113272E-2</v>
      </c>
      <c r="Y144" s="3">
        <f t="shared" si="65"/>
        <v>2.9248959072843361E-2</v>
      </c>
      <c r="Z144" s="3">
        <f t="shared" si="65"/>
        <v>2.9229152330619027E-2</v>
      </c>
      <c r="AA144" s="3">
        <f t="shared" ref="AA144" si="66">$C30*EXP(-AA$129/$A30/EXP(-$B$126))</f>
        <v>2.903182110935168E-2</v>
      </c>
      <c r="AB144" s="3">
        <f t="shared" ref="AB144:AF153" si="67">$C30*EXP(-AB$129/$A30/EXP(-$B$126))</f>
        <v>2.7130316734264505E-2</v>
      </c>
      <c r="AC144" s="3">
        <f t="shared" si="67"/>
        <v>1.3780364735568124E-2</v>
      </c>
      <c r="AD144" s="3">
        <f t="shared" si="67"/>
        <v>1.5751401365196459E-5</v>
      </c>
      <c r="AE144" s="3">
        <f t="shared" si="67"/>
        <v>5.9965858100733465E-35</v>
      </c>
      <c r="AF144" s="3">
        <f t="shared" si="67"/>
        <v>0</v>
      </c>
    </row>
    <row r="145" spans="1:32" x14ac:dyDescent="0.25">
      <c r="B145" s="3">
        <f t="shared" ref="B145:Z145" si="68">$C31*EXP(-B$129/$A31/EXP(-$B$126))</f>
        <v>3.1259582937297976E-2</v>
      </c>
      <c r="C145" s="3">
        <f t="shared" si="68"/>
        <v>3.1259582937297976E-2</v>
      </c>
      <c r="D145" s="3">
        <f t="shared" si="68"/>
        <v>3.1259582937297976E-2</v>
      </c>
      <c r="E145" s="3">
        <f t="shared" si="68"/>
        <v>3.1259582937297976E-2</v>
      </c>
      <c r="F145" s="3">
        <f t="shared" si="68"/>
        <v>3.1259582937297976E-2</v>
      </c>
      <c r="G145" s="3">
        <f t="shared" si="68"/>
        <v>3.1259582937297976E-2</v>
      </c>
      <c r="H145" s="3">
        <f t="shared" si="68"/>
        <v>3.1259582937297976E-2</v>
      </c>
      <c r="I145" s="3">
        <f t="shared" si="68"/>
        <v>3.1259582937297976E-2</v>
      </c>
      <c r="J145" s="3">
        <f t="shared" si="68"/>
        <v>3.1259582937297976E-2</v>
      </c>
      <c r="K145" s="3">
        <f t="shared" si="68"/>
        <v>3.1259582937297976E-2</v>
      </c>
      <c r="L145" s="3">
        <f t="shared" si="68"/>
        <v>3.1259582937297976E-2</v>
      </c>
      <c r="M145" s="3">
        <f t="shared" si="68"/>
        <v>3.1259582937297976E-2</v>
      </c>
      <c r="N145" s="3">
        <f t="shared" si="68"/>
        <v>3.1259582937297969E-2</v>
      </c>
      <c r="O145" s="3">
        <f t="shared" si="68"/>
        <v>3.1259582937297956E-2</v>
      </c>
      <c r="P145" s="3">
        <f t="shared" si="68"/>
        <v>3.1259582937297761E-2</v>
      </c>
      <c r="Q145" s="3">
        <f t="shared" si="68"/>
        <v>3.1259582937295853E-2</v>
      </c>
      <c r="R145" s="3">
        <f t="shared" si="68"/>
        <v>3.125958293727675E-2</v>
      </c>
      <c r="S145" s="3">
        <f t="shared" si="68"/>
        <v>3.1259582937085729E-2</v>
      </c>
      <c r="T145" s="3">
        <f t="shared" si="68"/>
        <v>3.1259582935175528E-2</v>
      </c>
      <c r="U145" s="3">
        <f t="shared" si="68"/>
        <v>3.1259582916073503E-2</v>
      </c>
      <c r="V145" s="3">
        <f t="shared" si="68"/>
        <v>3.1259582725053213E-2</v>
      </c>
      <c r="W145" s="3">
        <f t="shared" si="68"/>
        <v>3.1259580814850411E-2</v>
      </c>
      <c r="X145" s="3">
        <f t="shared" si="68"/>
        <v>3.1259561712828822E-2</v>
      </c>
      <c r="Y145" s="3">
        <f t="shared" si="68"/>
        <v>3.125937069325492E-2</v>
      </c>
      <c r="Z145" s="3">
        <f t="shared" si="68"/>
        <v>3.1257460561714814E-2</v>
      </c>
      <c r="AA145" s="3">
        <f t="shared" ref="AA145" si="69">$C31*EXP(-AA$129/$A31/EXP(-$B$126))</f>
        <v>3.1238365664752452E-2</v>
      </c>
      <c r="AB145" s="3">
        <f t="shared" si="67"/>
        <v>3.1048057090168953E-2</v>
      </c>
      <c r="AC145" s="3">
        <f t="shared" si="67"/>
        <v>2.9207586286303627E-2</v>
      </c>
      <c r="AD145" s="3">
        <f t="shared" si="67"/>
        <v>1.5852876239250389E-2</v>
      </c>
      <c r="AE145" s="3">
        <f t="shared" si="67"/>
        <v>3.5174835665149051E-5</v>
      </c>
      <c r="AF145" s="3">
        <f t="shared" si="67"/>
        <v>1.0173541394673061E-31</v>
      </c>
    </row>
    <row r="146" spans="1:32" x14ac:dyDescent="0.25">
      <c r="B146" s="3">
        <f t="shared" ref="B146:Z146" si="70">$C32*EXP(-B$129/$A32/EXP(-$B$126))</f>
        <v>2.9704645444291411E-2</v>
      </c>
      <c r="C146" s="3">
        <f t="shared" si="70"/>
        <v>2.9704645444291411E-2</v>
      </c>
      <c r="D146" s="3">
        <f t="shared" si="70"/>
        <v>2.9704645444291411E-2</v>
      </c>
      <c r="E146" s="3">
        <f t="shared" si="70"/>
        <v>2.9704645444291411E-2</v>
      </c>
      <c r="F146" s="3">
        <f t="shared" si="70"/>
        <v>2.9704645444291411E-2</v>
      </c>
      <c r="G146" s="3">
        <f t="shared" si="70"/>
        <v>2.9704645444291411E-2</v>
      </c>
      <c r="H146" s="3">
        <f t="shared" si="70"/>
        <v>2.9704645444291411E-2</v>
      </c>
      <c r="I146" s="3">
        <f t="shared" si="70"/>
        <v>2.9704645444291411E-2</v>
      </c>
      <c r="J146" s="3">
        <f t="shared" si="70"/>
        <v>2.9704645444291411E-2</v>
      </c>
      <c r="K146" s="3">
        <f t="shared" si="70"/>
        <v>2.9704645444291411E-2</v>
      </c>
      <c r="L146" s="3">
        <f t="shared" si="70"/>
        <v>2.9704645444291411E-2</v>
      </c>
      <c r="M146" s="3">
        <f t="shared" si="70"/>
        <v>2.9704645444291411E-2</v>
      </c>
      <c r="N146" s="3">
        <f t="shared" si="70"/>
        <v>2.9704645444291411E-2</v>
      </c>
      <c r="O146" s="3">
        <f t="shared" si="70"/>
        <v>2.9704645444291407E-2</v>
      </c>
      <c r="P146" s="3">
        <f t="shared" si="70"/>
        <v>2.970464544429139E-2</v>
      </c>
      <c r="Q146" s="3">
        <f t="shared" si="70"/>
        <v>2.9704645444291231E-2</v>
      </c>
      <c r="R146" s="3">
        <f t="shared" si="70"/>
        <v>2.970464544428959E-2</v>
      </c>
      <c r="S146" s="3">
        <f t="shared" si="70"/>
        <v>2.9704645444273217E-2</v>
      </c>
      <c r="T146" s="3">
        <f t="shared" si="70"/>
        <v>2.9704645444109473E-2</v>
      </c>
      <c r="U146" s="3">
        <f t="shared" si="70"/>
        <v>2.9704645442472026E-2</v>
      </c>
      <c r="V146" s="3">
        <f t="shared" si="70"/>
        <v>2.9704645426097555E-2</v>
      </c>
      <c r="W146" s="3">
        <f t="shared" si="70"/>
        <v>2.9704645262352843E-2</v>
      </c>
      <c r="X146" s="3">
        <f t="shared" si="70"/>
        <v>2.97046436249058E-2</v>
      </c>
      <c r="Y146" s="3">
        <f t="shared" si="70"/>
        <v>2.9704627250440322E-2</v>
      </c>
      <c r="Z146" s="3">
        <f t="shared" si="70"/>
        <v>2.9704463506281968E-2</v>
      </c>
      <c r="AA146" s="3">
        <f t="shared" ref="AA146" si="71">$C32*EXP(-AA$129/$A32/EXP(-$B$126))</f>
        <v>2.9702826114342017E-2</v>
      </c>
      <c r="AB146" s="3">
        <f t="shared" si="67"/>
        <v>2.9686457158287424E-2</v>
      </c>
      <c r="AC146" s="3">
        <f t="shared" si="67"/>
        <v>2.9523262921401065E-2</v>
      </c>
      <c r="AD146" s="3">
        <f t="shared" si="67"/>
        <v>2.793985738063157E-2</v>
      </c>
      <c r="AE146" s="3">
        <f t="shared" si="67"/>
        <v>1.6099874560683534E-2</v>
      </c>
      <c r="AF146" s="3">
        <f t="shared" si="67"/>
        <v>6.498386922802613E-5</v>
      </c>
    </row>
    <row r="147" spans="1:32" x14ac:dyDescent="0.25">
      <c r="B147" s="3">
        <f t="shared" ref="B147:Z147" si="72">$C33*EXP(-B$129/$A33/EXP(-$B$126))</f>
        <v>3.5282603781975501E-2</v>
      </c>
      <c r="C147" s="3">
        <f t="shared" si="72"/>
        <v>3.5282603781975501E-2</v>
      </c>
      <c r="D147" s="3">
        <f t="shared" si="72"/>
        <v>3.5282603781975501E-2</v>
      </c>
      <c r="E147" s="3">
        <f t="shared" si="72"/>
        <v>3.5282603781975501E-2</v>
      </c>
      <c r="F147" s="3">
        <f t="shared" si="72"/>
        <v>3.5282603781975501E-2</v>
      </c>
      <c r="G147" s="3">
        <f t="shared" si="72"/>
        <v>3.5282603781975501E-2</v>
      </c>
      <c r="H147" s="3">
        <f t="shared" si="72"/>
        <v>3.5282603781975501E-2</v>
      </c>
      <c r="I147" s="3">
        <f t="shared" si="72"/>
        <v>3.5282603781975501E-2</v>
      </c>
      <c r="J147" s="3">
        <f t="shared" si="72"/>
        <v>3.5282603781975501E-2</v>
      </c>
      <c r="K147" s="3">
        <f t="shared" si="72"/>
        <v>3.5282603781975501E-2</v>
      </c>
      <c r="L147" s="3">
        <f t="shared" si="72"/>
        <v>3.5282603781975501E-2</v>
      </c>
      <c r="M147" s="3">
        <f t="shared" si="72"/>
        <v>3.5282603781975501E-2</v>
      </c>
      <c r="N147" s="3">
        <f t="shared" si="72"/>
        <v>3.5282603781975501E-2</v>
      </c>
      <c r="O147" s="3">
        <f t="shared" si="72"/>
        <v>3.5282603781975501E-2</v>
      </c>
      <c r="P147" s="3">
        <f t="shared" si="72"/>
        <v>3.5282603781975501E-2</v>
      </c>
      <c r="Q147" s="3">
        <f t="shared" si="72"/>
        <v>3.528260378197548E-2</v>
      </c>
      <c r="R147" s="3">
        <f t="shared" si="72"/>
        <v>3.5282603781975307E-2</v>
      </c>
      <c r="S147" s="3">
        <f t="shared" si="72"/>
        <v>3.5282603781973551E-2</v>
      </c>
      <c r="T147" s="3">
        <f t="shared" si="72"/>
        <v>3.5282603781956003E-2</v>
      </c>
      <c r="U147" s="3">
        <f t="shared" si="72"/>
        <v>3.528260378178056E-2</v>
      </c>
      <c r="V147" s="3">
        <f t="shared" si="72"/>
        <v>3.5282603780026067E-2</v>
      </c>
      <c r="W147" s="3">
        <f t="shared" si="72"/>
        <v>3.5282603762481206E-2</v>
      </c>
      <c r="X147" s="3">
        <f t="shared" si="72"/>
        <v>3.5282603587032516E-2</v>
      </c>
      <c r="Y147" s="3">
        <f t="shared" si="72"/>
        <v>3.5282601832545689E-2</v>
      </c>
      <c r="Z147" s="3">
        <f t="shared" si="72"/>
        <v>3.5282584287682266E-2</v>
      </c>
      <c r="AA147" s="3">
        <f t="shared" ref="AA147" si="73">$C33*EXP(-AA$129/$A33/EXP(-$B$126))</f>
        <v>3.5282408839527837E-2</v>
      </c>
      <c r="AB147" s="3">
        <f t="shared" si="67"/>
        <v>3.5280654405967268E-2</v>
      </c>
      <c r="AC147" s="3">
        <f t="shared" si="67"/>
        <v>3.5263114867845467E-2</v>
      </c>
      <c r="AD147" s="3">
        <f t="shared" si="67"/>
        <v>3.5088198353511083E-2</v>
      </c>
      <c r="AE147" s="3">
        <f t="shared" si="67"/>
        <v>3.3386050433852815E-2</v>
      </c>
      <c r="AF147" s="3">
        <f t="shared" si="67"/>
        <v>2.0305084542827111E-2</v>
      </c>
    </row>
    <row r="148" spans="1:32" x14ac:dyDescent="0.25">
      <c r="B148" s="3">
        <f t="shared" ref="B148:Z148" si="74">$C34*EXP(-B$129/$A34/EXP(-$B$126))</f>
        <v>3.4987985455608057E-2</v>
      </c>
      <c r="C148" s="3">
        <f t="shared" si="74"/>
        <v>3.4987985455608057E-2</v>
      </c>
      <c r="D148" s="3">
        <f t="shared" si="74"/>
        <v>3.4987985455608057E-2</v>
      </c>
      <c r="E148" s="3">
        <f t="shared" si="74"/>
        <v>3.4987985455608057E-2</v>
      </c>
      <c r="F148" s="3">
        <f t="shared" si="74"/>
        <v>3.4987985455608057E-2</v>
      </c>
      <c r="G148" s="3">
        <f t="shared" si="74"/>
        <v>3.4987985455608057E-2</v>
      </c>
      <c r="H148" s="3">
        <f t="shared" si="74"/>
        <v>3.4987985455608057E-2</v>
      </c>
      <c r="I148" s="3">
        <f t="shared" si="74"/>
        <v>3.4987985455608057E-2</v>
      </c>
      <c r="J148" s="3">
        <f t="shared" si="74"/>
        <v>3.4987985455608057E-2</v>
      </c>
      <c r="K148" s="3">
        <f t="shared" si="74"/>
        <v>3.4987985455608057E-2</v>
      </c>
      <c r="L148" s="3">
        <f t="shared" si="74"/>
        <v>3.4987985455608057E-2</v>
      </c>
      <c r="M148" s="3">
        <f t="shared" si="74"/>
        <v>3.4987985455608057E-2</v>
      </c>
      <c r="N148" s="3">
        <f t="shared" si="74"/>
        <v>3.4987985455608057E-2</v>
      </c>
      <c r="O148" s="3">
        <f t="shared" si="74"/>
        <v>3.4987985455608057E-2</v>
      </c>
      <c r="P148" s="3">
        <f t="shared" si="74"/>
        <v>3.4987985455608057E-2</v>
      </c>
      <c r="Q148" s="3">
        <f t="shared" si="74"/>
        <v>3.4987985455608057E-2</v>
      </c>
      <c r="R148" s="3">
        <f t="shared" si="74"/>
        <v>3.4987985455608044E-2</v>
      </c>
      <c r="S148" s="3">
        <f t="shared" si="74"/>
        <v>3.4987985455607884E-2</v>
      </c>
      <c r="T148" s="3">
        <f t="shared" si="74"/>
        <v>3.4987985455606316E-2</v>
      </c>
      <c r="U148" s="3">
        <f t="shared" si="74"/>
        <v>3.498798545559062E-2</v>
      </c>
      <c r="V148" s="3">
        <f t="shared" si="74"/>
        <v>3.4987985455433676E-2</v>
      </c>
      <c r="W148" s="3">
        <f t="shared" si="74"/>
        <v>3.4987985453864195E-2</v>
      </c>
      <c r="X148" s="3">
        <f t="shared" si="74"/>
        <v>3.4987985438169424E-2</v>
      </c>
      <c r="Y148" s="3">
        <f t="shared" si="74"/>
        <v>3.4987985281221698E-2</v>
      </c>
      <c r="Z148" s="3">
        <f t="shared" si="74"/>
        <v>3.498798371174449E-2</v>
      </c>
      <c r="AA148" s="3">
        <f>$C34*EXP(-AA$129/$A34/EXP(-$B$126))</f>
        <v>3.4987968016976304E-2</v>
      </c>
      <c r="AB148" s="3">
        <f t="shared" si="67"/>
        <v>3.4987811069681685E-2</v>
      </c>
      <c r="AC148" s="3">
        <f t="shared" si="67"/>
        <v>3.4986241635456404E-2</v>
      </c>
      <c r="AD148" s="3">
        <f t="shared" si="67"/>
        <v>3.4970551164654057E-2</v>
      </c>
      <c r="AE148" s="3">
        <f t="shared" si="67"/>
        <v>3.4814032959896608E-2</v>
      </c>
      <c r="AF148" s="3">
        <f t="shared" si="67"/>
        <v>3.3286867371684466E-2</v>
      </c>
    </row>
    <row r="149" spans="1:32" x14ac:dyDescent="0.25">
      <c r="B149" s="3">
        <f t="shared" ref="B149:Z149" si="75">$C35*EXP(-B$129/$A35/EXP(-$B$126))</f>
        <v>4.0020818076897231E-2</v>
      </c>
      <c r="C149" s="3">
        <f t="shared" si="75"/>
        <v>4.0020818076897231E-2</v>
      </c>
      <c r="D149" s="3">
        <f t="shared" si="75"/>
        <v>4.0020818076897231E-2</v>
      </c>
      <c r="E149" s="3">
        <f t="shared" si="75"/>
        <v>4.0020818076897231E-2</v>
      </c>
      <c r="F149" s="3">
        <f t="shared" si="75"/>
        <v>4.0020818076897231E-2</v>
      </c>
      <c r="G149" s="3">
        <f t="shared" si="75"/>
        <v>4.0020818076897231E-2</v>
      </c>
      <c r="H149" s="3">
        <f t="shared" si="75"/>
        <v>4.0020818076897231E-2</v>
      </c>
      <c r="I149" s="3">
        <f t="shared" si="75"/>
        <v>4.0020818076897231E-2</v>
      </c>
      <c r="J149" s="3">
        <f t="shared" si="75"/>
        <v>4.0020818076897231E-2</v>
      </c>
      <c r="K149" s="3">
        <f t="shared" si="75"/>
        <v>4.0020818076897231E-2</v>
      </c>
      <c r="L149" s="3">
        <f t="shared" si="75"/>
        <v>4.0020818076897231E-2</v>
      </c>
      <c r="M149" s="3">
        <f t="shared" si="75"/>
        <v>4.0020818076897231E-2</v>
      </c>
      <c r="N149" s="3">
        <f t="shared" si="75"/>
        <v>4.0020818076897231E-2</v>
      </c>
      <c r="O149" s="3">
        <f t="shared" si="75"/>
        <v>4.0020818076897231E-2</v>
      </c>
      <c r="P149" s="3">
        <f t="shared" si="75"/>
        <v>4.0020818076897231E-2</v>
      </c>
      <c r="Q149" s="3">
        <f t="shared" si="75"/>
        <v>4.0020818076897231E-2</v>
      </c>
      <c r="R149" s="3">
        <f t="shared" si="75"/>
        <v>4.0020818076897231E-2</v>
      </c>
      <c r="S149" s="3">
        <f t="shared" si="75"/>
        <v>4.002081807689721E-2</v>
      </c>
      <c r="T149" s="3">
        <f t="shared" si="75"/>
        <v>4.0020818076897051E-2</v>
      </c>
      <c r="U149" s="3">
        <f t="shared" si="75"/>
        <v>4.0020818076895434E-2</v>
      </c>
      <c r="V149" s="3">
        <f t="shared" si="75"/>
        <v>4.0020818076879239E-2</v>
      </c>
      <c r="W149" s="3">
        <f t="shared" si="75"/>
        <v>4.0020818076717292E-2</v>
      </c>
      <c r="X149" s="3">
        <f t="shared" si="75"/>
        <v>4.0020818075097837E-2</v>
      </c>
      <c r="Y149" s="3">
        <f t="shared" si="75"/>
        <v>4.0020818058903299E-2</v>
      </c>
      <c r="Z149" s="3">
        <f t="shared" si="75"/>
        <v>4.002081789695789E-2</v>
      </c>
      <c r="AA149" s="3">
        <f t="shared" ref="AA149" si="76">$C35*EXP(-AA$129/$A35/EXP(-$B$126))</f>
        <v>4.002081627750384E-2</v>
      </c>
      <c r="AB149" s="3">
        <f t="shared" si="67"/>
        <v>4.0020800082966969E-2</v>
      </c>
      <c r="AC149" s="3">
        <f t="shared" si="67"/>
        <v>4.0020638137958683E-2</v>
      </c>
      <c r="AD149" s="3">
        <f t="shared" si="67"/>
        <v>4.0019018723917686E-2</v>
      </c>
      <c r="AE149" s="3">
        <f t="shared" si="67"/>
        <v>4.0002828187150702E-2</v>
      </c>
      <c r="AF149" s="3">
        <f t="shared" si="67"/>
        <v>3.9841282644822291E-2</v>
      </c>
    </row>
    <row r="150" spans="1:32" x14ac:dyDescent="0.25">
      <c r="B150" s="3">
        <f t="shared" ref="B150:Z150" si="77">$C36*EXP(-B$129/$A36/EXP(-$B$126))</f>
        <v>3.51305921997421E-2</v>
      </c>
      <c r="C150" s="3">
        <f t="shared" si="77"/>
        <v>3.51305921997421E-2</v>
      </c>
      <c r="D150" s="3">
        <f t="shared" si="77"/>
        <v>3.51305921997421E-2</v>
      </c>
      <c r="E150" s="3">
        <f t="shared" si="77"/>
        <v>3.51305921997421E-2</v>
      </c>
      <c r="F150" s="3">
        <f t="shared" si="77"/>
        <v>3.51305921997421E-2</v>
      </c>
      <c r="G150" s="3">
        <f t="shared" si="77"/>
        <v>3.51305921997421E-2</v>
      </c>
      <c r="H150" s="3">
        <f t="shared" si="77"/>
        <v>3.51305921997421E-2</v>
      </c>
      <c r="I150" s="3">
        <f t="shared" si="77"/>
        <v>3.51305921997421E-2</v>
      </c>
      <c r="J150" s="3">
        <f t="shared" si="77"/>
        <v>3.51305921997421E-2</v>
      </c>
      <c r="K150" s="3">
        <f t="shared" si="77"/>
        <v>3.51305921997421E-2</v>
      </c>
      <c r="L150" s="3">
        <f t="shared" si="77"/>
        <v>3.51305921997421E-2</v>
      </c>
      <c r="M150" s="3">
        <f t="shared" si="77"/>
        <v>3.51305921997421E-2</v>
      </c>
      <c r="N150" s="3">
        <f t="shared" si="77"/>
        <v>3.51305921997421E-2</v>
      </c>
      <c r="O150" s="3">
        <f t="shared" si="77"/>
        <v>3.51305921997421E-2</v>
      </c>
      <c r="P150" s="3">
        <f t="shared" si="77"/>
        <v>3.51305921997421E-2</v>
      </c>
      <c r="Q150" s="3">
        <f t="shared" si="77"/>
        <v>3.51305921997421E-2</v>
      </c>
      <c r="R150" s="3">
        <f t="shared" si="77"/>
        <v>3.51305921997421E-2</v>
      </c>
      <c r="S150" s="3">
        <f t="shared" si="77"/>
        <v>3.51305921997421E-2</v>
      </c>
      <c r="T150" s="3">
        <f t="shared" si="77"/>
        <v>3.5130592199742086E-2</v>
      </c>
      <c r="U150" s="3">
        <f t="shared" si="77"/>
        <v>3.5130592199741954E-2</v>
      </c>
      <c r="V150" s="3">
        <f t="shared" si="77"/>
        <v>3.5130592199740678E-2</v>
      </c>
      <c r="W150" s="3">
        <f t="shared" si="77"/>
        <v>3.5130592199727854E-2</v>
      </c>
      <c r="X150" s="3">
        <f t="shared" si="77"/>
        <v>3.5130592199599617E-2</v>
      </c>
      <c r="Y150" s="3">
        <f t="shared" si="77"/>
        <v>3.513059219831724E-2</v>
      </c>
      <c r="Z150" s="3">
        <f t="shared" si="77"/>
        <v>3.5130592185493498E-2</v>
      </c>
      <c r="AA150" s="3">
        <f t="shared" ref="AA150" si="78">$C36*EXP(-AA$129/$A36/EXP(-$B$126))</f>
        <v>3.5130592057256091E-2</v>
      </c>
      <c r="AB150" s="3">
        <f t="shared" si="67"/>
        <v>3.5130590774882009E-2</v>
      </c>
      <c r="AC150" s="3">
        <f t="shared" si="67"/>
        <v>3.513057795114382E-2</v>
      </c>
      <c r="AD150" s="3">
        <f t="shared" si="67"/>
        <v>3.5130449714019352E-2</v>
      </c>
      <c r="AE150" s="3">
        <f t="shared" si="67"/>
        <v>3.5129167368520141E-2</v>
      </c>
      <c r="AF150" s="3">
        <f t="shared" si="67"/>
        <v>3.51163464877235E-2</v>
      </c>
    </row>
    <row r="151" spans="1:32" x14ac:dyDescent="0.25">
      <c r="B151" s="3">
        <f t="shared" ref="B151:Z151" si="79">$C37*EXP(-B$129/$A37/EXP(-$B$126))</f>
        <v>5.1976552303921161E-2</v>
      </c>
      <c r="C151" s="3">
        <f t="shared" si="79"/>
        <v>5.1976552303921161E-2</v>
      </c>
      <c r="D151" s="3">
        <f t="shared" si="79"/>
        <v>5.1976552303921161E-2</v>
      </c>
      <c r="E151" s="3">
        <f t="shared" si="79"/>
        <v>5.1976552303921161E-2</v>
      </c>
      <c r="F151" s="3">
        <f t="shared" si="79"/>
        <v>5.1976552303921161E-2</v>
      </c>
      <c r="G151" s="3">
        <f t="shared" si="79"/>
        <v>5.1976552303921161E-2</v>
      </c>
      <c r="H151" s="3">
        <f t="shared" si="79"/>
        <v>5.1976552303921161E-2</v>
      </c>
      <c r="I151" s="3">
        <f t="shared" si="79"/>
        <v>5.1976552303921161E-2</v>
      </c>
      <c r="J151" s="3">
        <f t="shared" si="79"/>
        <v>5.1976552303921161E-2</v>
      </c>
      <c r="K151" s="3">
        <f t="shared" si="79"/>
        <v>5.1976552303921161E-2</v>
      </c>
      <c r="L151" s="3">
        <f t="shared" si="79"/>
        <v>5.1976552303921161E-2</v>
      </c>
      <c r="M151" s="3">
        <f t="shared" si="79"/>
        <v>5.1976552303921161E-2</v>
      </c>
      <c r="N151" s="3">
        <f t="shared" si="79"/>
        <v>5.1976552303921161E-2</v>
      </c>
      <c r="O151" s="3">
        <f t="shared" si="79"/>
        <v>5.1976552303921161E-2</v>
      </c>
      <c r="P151" s="3">
        <f t="shared" si="79"/>
        <v>5.1976552303921161E-2</v>
      </c>
      <c r="Q151" s="3">
        <f t="shared" si="79"/>
        <v>5.1976552303921161E-2</v>
      </c>
      <c r="R151" s="3">
        <f t="shared" si="79"/>
        <v>5.1976552303921161E-2</v>
      </c>
      <c r="S151" s="3">
        <f t="shared" si="79"/>
        <v>5.1976552303921161E-2</v>
      </c>
      <c r="T151" s="3">
        <f t="shared" si="79"/>
        <v>5.1976552303921161E-2</v>
      </c>
      <c r="U151" s="3">
        <f t="shared" si="79"/>
        <v>5.1976552303921147E-2</v>
      </c>
      <c r="V151" s="3">
        <f t="shared" si="79"/>
        <v>5.1976552303920974E-2</v>
      </c>
      <c r="W151" s="3">
        <f t="shared" si="79"/>
        <v>5.197655230391926E-2</v>
      </c>
      <c r="X151" s="3">
        <f t="shared" si="79"/>
        <v>5.1976552303902142E-2</v>
      </c>
      <c r="Y151" s="3">
        <f t="shared" si="79"/>
        <v>5.1976552303730994E-2</v>
      </c>
      <c r="Z151" s="3">
        <f t="shared" si="79"/>
        <v>5.1976552302019467E-2</v>
      </c>
      <c r="AA151" s="3">
        <f t="shared" ref="AA151" si="80">$C37*EXP(-AA$129/$A37/EXP(-$B$126))</f>
        <v>5.1976552284904214E-2</v>
      </c>
      <c r="AB151" s="3">
        <f t="shared" si="67"/>
        <v>5.1976552113751684E-2</v>
      </c>
      <c r="AC151" s="3">
        <f t="shared" si="67"/>
        <v>5.1976550402226401E-2</v>
      </c>
      <c r="AD151" s="3">
        <f t="shared" si="67"/>
        <v>5.1976533286976628E-2</v>
      </c>
      <c r="AE151" s="3">
        <f t="shared" si="67"/>
        <v>5.1976362134788984E-2</v>
      </c>
      <c r="AF151" s="3">
        <f t="shared" si="67"/>
        <v>5.1974650643909236E-2</v>
      </c>
    </row>
    <row r="152" spans="1:32" x14ac:dyDescent="0.25">
      <c r="B152" s="3">
        <f t="shared" ref="B152:Z152" si="81">$C38*EXP(-B$129/$A38/EXP(-$B$126))</f>
        <v>2.3181635308382595E-6</v>
      </c>
      <c r="C152" s="3">
        <f t="shared" si="81"/>
        <v>2.3181635308382595E-6</v>
      </c>
      <c r="D152" s="3">
        <f t="shared" si="81"/>
        <v>2.3181635308382595E-6</v>
      </c>
      <c r="E152" s="3">
        <f t="shared" si="81"/>
        <v>2.3181635308382595E-6</v>
      </c>
      <c r="F152" s="3">
        <f t="shared" si="81"/>
        <v>2.3181635308382595E-6</v>
      </c>
      <c r="G152" s="3">
        <f t="shared" si="81"/>
        <v>2.3181635308382595E-6</v>
      </c>
      <c r="H152" s="3">
        <f t="shared" si="81"/>
        <v>2.3181635308382595E-6</v>
      </c>
      <c r="I152" s="3">
        <f t="shared" si="81"/>
        <v>2.3181635308382595E-6</v>
      </c>
      <c r="J152" s="3">
        <f t="shared" si="81"/>
        <v>2.3181635308382595E-6</v>
      </c>
      <c r="K152" s="3">
        <f t="shared" si="81"/>
        <v>2.3181635308382595E-6</v>
      </c>
      <c r="L152" s="3">
        <f t="shared" si="81"/>
        <v>2.3181635308382595E-6</v>
      </c>
      <c r="M152" s="3">
        <f t="shared" si="81"/>
        <v>2.3181635308382595E-6</v>
      </c>
      <c r="N152" s="3">
        <f t="shared" si="81"/>
        <v>2.3181635308382595E-6</v>
      </c>
      <c r="O152" s="3">
        <f t="shared" si="81"/>
        <v>2.3181635308382595E-6</v>
      </c>
      <c r="P152" s="3">
        <f t="shared" si="81"/>
        <v>2.3181635308382595E-6</v>
      </c>
      <c r="Q152" s="3">
        <f t="shared" si="81"/>
        <v>2.3181635308382595E-6</v>
      </c>
      <c r="R152" s="3">
        <f t="shared" si="81"/>
        <v>2.3181635308382595E-6</v>
      </c>
      <c r="S152" s="3">
        <f t="shared" si="81"/>
        <v>2.3181635308382595E-6</v>
      </c>
      <c r="T152" s="3">
        <f t="shared" si="81"/>
        <v>2.3181635308382595E-6</v>
      </c>
      <c r="U152" s="3">
        <f t="shared" si="81"/>
        <v>2.3181635308382595E-6</v>
      </c>
      <c r="V152" s="3">
        <f t="shared" si="81"/>
        <v>2.3181635308382587E-6</v>
      </c>
      <c r="W152" s="3">
        <f t="shared" si="81"/>
        <v>2.3181635308382519E-6</v>
      </c>
      <c r="X152" s="3">
        <f t="shared" si="81"/>
        <v>2.3181635308381833E-6</v>
      </c>
      <c r="Y152" s="3">
        <f t="shared" si="81"/>
        <v>2.3181635308374942E-6</v>
      </c>
      <c r="Z152" s="3">
        <f t="shared" si="81"/>
        <v>2.3181635308306087E-6</v>
      </c>
      <c r="AA152" s="3">
        <f t="shared" ref="AA152" si="82">$C38*EXP(-AA$129/$A38/EXP(-$B$126))</f>
        <v>2.3181635307617483E-6</v>
      </c>
      <c r="AB152" s="3">
        <f t="shared" si="67"/>
        <v>2.3181635300731491E-6</v>
      </c>
      <c r="AC152" s="3">
        <f t="shared" si="67"/>
        <v>2.318163523187157E-6</v>
      </c>
      <c r="AD152" s="3">
        <f t="shared" si="67"/>
        <v>2.3181634543272375E-6</v>
      </c>
      <c r="AE152" s="3">
        <f t="shared" si="67"/>
        <v>2.3181627657281523E-6</v>
      </c>
      <c r="AF152" s="3">
        <f t="shared" si="67"/>
        <v>2.3181558797485521E-6</v>
      </c>
    </row>
    <row r="153" spans="1:32" x14ac:dyDescent="0.25">
      <c r="B153" s="3">
        <f t="shared" ref="B153:Z153" si="83">$C39*EXP(-B$129/$A39/EXP(-$B$126))</f>
        <v>7.5767559561282297E-2</v>
      </c>
      <c r="C153" s="3">
        <f t="shared" si="83"/>
        <v>7.5767559561282297E-2</v>
      </c>
      <c r="D153" s="3">
        <f t="shared" si="83"/>
        <v>7.5767559561282297E-2</v>
      </c>
      <c r="E153" s="3">
        <f t="shared" si="83"/>
        <v>7.5767559561282297E-2</v>
      </c>
      <c r="F153" s="3">
        <f t="shared" si="83"/>
        <v>7.5767559561282297E-2</v>
      </c>
      <c r="G153" s="3">
        <f t="shared" si="83"/>
        <v>7.5767559561282297E-2</v>
      </c>
      <c r="H153" s="3">
        <f t="shared" si="83"/>
        <v>7.5767559561282297E-2</v>
      </c>
      <c r="I153" s="3">
        <f t="shared" si="83"/>
        <v>7.5767559561282297E-2</v>
      </c>
      <c r="J153" s="3">
        <f t="shared" si="83"/>
        <v>7.5767559561282297E-2</v>
      </c>
      <c r="K153" s="3">
        <f t="shared" si="83"/>
        <v>7.5767559561282297E-2</v>
      </c>
      <c r="L153" s="3">
        <f t="shared" si="83"/>
        <v>7.5767559561282297E-2</v>
      </c>
      <c r="M153" s="3">
        <f t="shared" si="83"/>
        <v>7.5767559561282297E-2</v>
      </c>
      <c r="N153" s="3">
        <f t="shared" si="83"/>
        <v>7.5767559561282297E-2</v>
      </c>
      <c r="O153" s="3">
        <f t="shared" si="83"/>
        <v>7.5767559561282297E-2</v>
      </c>
      <c r="P153" s="3">
        <f t="shared" si="83"/>
        <v>7.5767559561282297E-2</v>
      </c>
      <c r="Q153" s="3">
        <f t="shared" si="83"/>
        <v>7.5767559561282297E-2</v>
      </c>
      <c r="R153" s="3">
        <f t="shared" si="83"/>
        <v>7.5767559561282297E-2</v>
      </c>
      <c r="S153" s="3">
        <f t="shared" si="83"/>
        <v>7.5767559561282297E-2</v>
      </c>
      <c r="T153" s="3">
        <f t="shared" si="83"/>
        <v>7.5767559561282297E-2</v>
      </c>
      <c r="U153" s="3">
        <f t="shared" si="83"/>
        <v>7.5767559561282297E-2</v>
      </c>
      <c r="V153" s="3">
        <f t="shared" si="83"/>
        <v>7.5767559561282283E-2</v>
      </c>
      <c r="W153" s="3">
        <f t="shared" si="83"/>
        <v>7.5767559561282227E-2</v>
      </c>
      <c r="X153" s="3">
        <f t="shared" si="83"/>
        <v>7.5767559561281603E-2</v>
      </c>
      <c r="Y153" s="3">
        <f t="shared" si="83"/>
        <v>7.5767559561275385E-2</v>
      </c>
      <c r="Z153" s="3">
        <f t="shared" si="83"/>
        <v>7.576755956121313E-2</v>
      </c>
      <c r="AA153" s="3">
        <f t="shared" ref="AA153" si="84">$C39*EXP(-AA$129/$A39/EXP(-$B$126))</f>
        <v>7.5767559560590669E-2</v>
      </c>
      <c r="AB153" s="3">
        <f t="shared" si="67"/>
        <v>7.5767559554365954E-2</v>
      </c>
      <c r="AC153" s="3">
        <f t="shared" si="67"/>
        <v>7.5767559492118927E-2</v>
      </c>
      <c r="AD153" s="3">
        <f t="shared" si="67"/>
        <v>7.5767558869648671E-2</v>
      </c>
      <c r="AE153" s="3">
        <f t="shared" si="67"/>
        <v>7.5767552644946307E-2</v>
      </c>
      <c r="AF153" s="3">
        <f t="shared" si="67"/>
        <v>7.5767490397950873E-2</v>
      </c>
    </row>
    <row r="154" spans="1:32" x14ac:dyDescent="0.25">
      <c r="B154" s="3">
        <f t="shared" ref="B154:Z154" si="85">$C40*EXP(-B$129/$A40/EXP(-$B$126))</f>
        <v>3.067875950056604E-2</v>
      </c>
      <c r="C154" s="3">
        <f t="shared" si="85"/>
        <v>3.067875950056604E-2</v>
      </c>
      <c r="D154" s="3">
        <f t="shared" si="85"/>
        <v>3.067875950056604E-2</v>
      </c>
      <c r="E154" s="3">
        <f t="shared" si="85"/>
        <v>3.067875950056604E-2</v>
      </c>
      <c r="F154" s="3">
        <f t="shared" si="85"/>
        <v>3.067875950056604E-2</v>
      </c>
      <c r="G154" s="3">
        <f t="shared" si="85"/>
        <v>3.067875950056604E-2</v>
      </c>
      <c r="H154" s="3">
        <f t="shared" si="85"/>
        <v>3.067875950056604E-2</v>
      </c>
      <c r="I154" s="3">
        <f t="shared" si="85"/>
        <v>3.067875950056604E-2</v>
      </c>
      <c r="J154" s="3">
        <f t="shared" si="85"/>
        <v>3.067875950056604E-2</v>
      </c>
      <c r="K154" s="3">
        <f t="shared" si="85"/>
        <v>3.067875950056604E-2</v>
      </c>
      <c r="L154" s="3">
        <f t="shared" si="85"/>
        <v>3.067875950056604E-2</v>
      </c>
      <c r="M154" s="3">
        <f t="shared" si="85"/>
        <v>3.067875950056604E-2</v>
      </c>
      <c r="N154" s="3">
        <f t="shared" si="85"/>
        <v>3.067875950056604E-2</v>
      </c>
      <c r="O154" s="3">
        <f t="shared" si="85"/>
        <v>3.067875950056604E-2</v>
      </c>
      <c r="P154" s="3">
        <f t="shared" si="85"/>
        <v>3.067875950056604E-2</v>
      </c>
      <c r="Q154" s="3">
        <f t="shared" si="85"/>
        <v>3.067875950056604E-2</v>
      </c>
      <c r="R154" s="3">
        <f t="shared" si="85"/>
        <v>3.067875950056604E-2</v>
      </c>
      <c r="S154" s="3">
        <f t="shared" si="85"/>
        <v>3.067875950056604E-2</v>
      </c>
      <c r="T154" s="3">
        <f t="shared" si="85"/>
        <v>3.067875950056604E-2</v>
      </c>
      <c r="U154" s="3">
        <f t="shared" si="85"/>
        <v>3.067875950056604E-2</v>
      </c>
      <c r="V154" s="3">
        <f t="shared" si="85"/>
        <v>3.067875950056604E-2</v>
      </c>
      <c r="W154" s="3">
        <f t="shared" si="85"/>
        <v>3.0678759500566036E-2</v>
      </c>
      <c r="X154" s="3">
        <f t="shared" si="85"/>
        <v>3.0678759500566012E-2</v>
      </c>
      <c r="Y154" s="3">
        <f t="shared" si="85"/>
        <v>3.0678759500565759E-2</v>
      </c>
      <c r="Z154" s="3">
        <f t="shared" si="85"/>
        <v>3.067875950056324E-2</v>
      </c>
      <c r="AA154" s="3">
        <f t="shared" ref="AA154:AF154" si="86">$C40*EXP(-AA$129/$A40/EXP(-$B$126))</f>
        <v>3.0678759500538035E-2</v>
      </c>
      <c r="AB154" s="3">
        <f t="shared" si="86"/>
        <v>3.0678759500285993E-2</v>
      </c>
      <c r="AC154" s="3">
        <f t="shared" si="86"/>
        <v>3.0678759497765572E-2</v>
      </c>
      <c r="AD154" s="3">
        <f t="shared" si="86"/>
        <v>3.0678759472561358E-2</v>
      </c>
      <c r="AE154" s="3">
        <f t="shared" si="86"/>
        <v>3.0678759220519252E-2</v>
      </c>
      <c r="AF154" s="3">
        <f t="shared" si="86"/>
        <v>3.0678756700098272E-2</v>
      </c>
    </row>
    <row r="155" spans="1:32" x14ac:dyDescent="0.25">
      <c r="B155" s="3">
        <f t="shared" ref="B155:Z155" si="87">$C41*EXP(-B$129/$A41/EXP(-$B$126))</f>
        <v>7.5768782257570458E-2</v>
      </c>
      <c r="C155" s="3">
        <f t="shared" si="87"/>
        <v>7.5768782257570458E-2</v>
      </c>
      <c r="D155" s="3">
        <f t="shared" si="87"/>
        <v>7.5768782257570458E-2</v>
      </c>
      <c r="E155" s="3">
        <f t="shared" si="87"/>
        <v>7.5768782257570458E-2</v>
      </c>
      <c r="F155" s="3">
        <f t="shared" si="87"/>
        <v>7.5768782257570458E-2</v>
      </c>
      <c r="G155" s="3">
        <f t="shared" si="87"/>
        <v>7.5768782257570458E-2</v>
      </c>
      <c r="H155" s="3">
        <f t="shared" si="87"/>
        <v>7.5768782257570458E-2</v>
      </c>
      <c r="I155" s="3">
        <f t="shared" si="87"/>
        <v>7.5768782257570458E-2</v>
      </c>
      <c r="J155" s="3">
        <f t="shared" si="87"/>
        <v>7.5768782257570458E-2</v>
      </c>
      <c r="K155" s="3">
        <f t="shared" si="87"/>
        <v>7.5768782257570458E-2</v>
      </c>
      <c r="L155" s="3">
        <f t="shared" si="87"/>
        <v>7.5768782257570458E-2</v>
      </c>
      <c r="M155" s="3">
        <f t="shared" si="87"/>
        <v>7.5768782257570458E-2</v>
      </c>
      <c r="N155" s="3">
        <f t="shared" si="87"/>
        <v>7.5768782257570458E-2</v>
      </c>
      <c r="O155" s="3">
        <f t="shared" si="87"/>
        <v>7.5768782257570458E-2</v>
      </c>
      <c r="P155" s="3">
        <f t="shared" si="87"/>
        <v>7.5768782257570458E-2</v>
      </c>
      <c r="Q155" s="3">
        <f t="shared" si="87"/>
        <v>7.5768782257570458E-2</v>
      </c>
      <c r="R155" s="3">
        <f t="shared" si="87"/>
        <v>7.5768782257570458E-2</v>
      </c>
      <c r="S155" s="3">
        <f t="shared" si="87"/>
        <v>7.5768782257570458E-2</v>
      </c>
      <c r="T155" s="3">
        <f t="shared" si="87"/>
        <v>7.5768782257570458E-2</v>
      </c>
      <c r="U155" s="3">
        <f t="shared" si="87"/>
        <v>7.5768782257570458E-2</v>
      </c>
      <c r="V155" s="3">
        <f t="shared" si="87"/>
        <v>7.5768782257570458E-2</v>
      </c>
      <c r="W155" s="3">
        <f t="shared" si="87"/>
        <v>7.5768782257570458E-2</v>
      </c>
      <c r="X155" s="3">
        <f t="shared" si="87"/>
        <v>7.5768782257570444E-2</v>
      </c>
      <c r="Y155" s="3">
        <f t="shared" si="87"/>
        <v>7.5768782257570388E-2</v>
      </c>
      <c r="Z155" s="3">
        <f t="shared" si="87"/>
        <v>7.5768782257569764E-2</v>
      </c>
      <c r="AA155" s="3">
        <f t="shared" ref="AA155:AF155" si="88">$C41*EXP(-AA$129/$A41/EXP(-$B$126))</f>
        <v>7.5768782257563547E-2</v>
      </c>
      <c r="AB155" s="3">
        <f t="shared" si="88"/>
        <v>7.5768782257501291E-2</v>
      </c>
      <c r="AC155" s="3">
        <f t="shared" si="88"/>
        <v>7.5768782256878817E-2</v>
      </c>
      <c r="AD155" s="3">
        <f t="shared" si="88"/>
        <v>7.5768782250654004E-2</v>
      </c>
      <c r="AE155" s="3">
        <f t="shared" si="88"/>
        <v>7.5768782188405978E-2</v>
      </c>
      <c r="AF155" s="3">
        <f t="shared" si="88"/>
        <v>7.5768781565925675E-2</v>
      </c>
    </row>
    <row r="156" spans="1:32" x14ac:dyDescent="0.25">
      <c r="B156" s="3">
        <f t="shared" ref="B156:Z156" si="89">$C42*EXP(-B$129/$A42/EXP(-$B$126))</f>
        <v>3.996144450245992E-2</v>
      </c>
      <c r="C156" s="3">
        <f t="shared" si="89"/>
        <v>3.996144450245992E-2</v>
      </c>
      <c r="D156" s="3">
        <f t="shared" si="89"/>
        <v>3.996144450245992E-2</v>
      </c>
      <c r="E156" s="3">
        <f t="shared" si="89"/>
        <v>3.996144450245992E-2</v>
      </c>
      <c r="F156" s="3">
        <f t="shared" si="89"/>
        <v>3.996144450245992E-2</v>
      </c>
      <c r="G156" s="3">
        <f t="shared" si="89"/>
        <v>3.996144450245992E-2</v>
      </c>
      <c r="H156" s="3">
        <f t="shared" si="89"/>
        <v>3.996144450245992E-2</v>
      </c>
      <c r="I156" s="3">
        <f t="shared" si="89"/>
        <v>3.996144450245992E-2</v>
      </c>
      <c r="J156" s="3">
        <f t="shared" si="89"/>
        <v>3.996144450245992E-2</v>
      </c>
      <c r="K156" s="3">
        <f t="shared" si="89"/>
        <v>3.996144450245992E-2</v>
      </c>
      <c r="L156" s="3">
        <f t="shared" si="89"/>
        <v>3.996144450245992E-2</v>
      </c>
      <c r="M156" s="3">
        <f t="shared" si="89"/>
        <v>3.996144450245992E-2</v>
      </c>
      <c r="N156" s="3">
        <f t="shared" si="89"/>
        <v>3.996144450245992E-2</v>
      </c>
      <c r="O156" s="3">
        <f t="shared" si="89"/>
        <v>3.996144450245992E-2</v>
      </c>
      <c r="P156" s="3">
        <f t="shared" si="89"/>
        <v>3.996144450245992E-2</v>
      </c>
      <c r="Q156" s="3">
        <f t="shared" si="89"/>
        <v>3.996144450245992E-2</v>
      </c>
      <c r="R156" s="3">
        <f t="shared" si="89"/>
        <v>3.996144450245992E-2</v>
      </c>
      <c r="S156" s="3">
        <f t="shared" si="89"/>
        <v>3.996144450245992E-2</v>
      </c>
      <c r="T156" s="3">
        <f t="shared" si="89"/>
        <v>3.996144450245992E-2</v>
      </c>
      <c r="U156" s="3">
        <f t="shared" si="89"/>
        <v>3.996144450245992E-2</v>
      </c>
      <c r="V156" s="3">
        <f t="shared" si="89"/>
        <v>3.996144450245992E-2</v>
      </c>
      <c r="W156" s="3">
        <f t="shared" si="89"/>
        <v>3.996144450245992E-2</v>
      </c>
      <c r="X156" s="3">
        <f t="shared" si="89"/>
        <v>3.996144450245992E-2</v>
      </c>
      <c r="Y156" s="3">
        <f t="shared" si="89"/>
        <v>3.9961444502459913E-2</v>
      </c>
      <c r="Z156" s="3">
        <f t="shared" si="89"/>
        <v>3.9961444502459885E-2</v>
      </c>
      <c r="AA156" s="3">
        <f t="shared" ref="AA156:AF156" si="90">$C42*EXP(-AA$129/$A42/EXP(-$B$126))</f>
        <v>3.9961444502459559E-2</v>
      </c>
      <c r="AB156" s="3">
        <f t="shared" si="90"/>
        <v>3.996144450245627E-2</v>
      </c>
      <c r="AC156" s="3">
        <f t="shared" si="90"/>
        <v>3.9961444502423442E-2</v>
      </c>
      <c r="AD156" s="3">
        <f t="shared" si="90"/>
        <v>3.9961444502095135E-2</v>
      </c>
      <c r="AE156" s="3">
        <f t="shared" si="90"/>
        <v>3.9961444498812095E-2</v>
      </c>
      <c r="AF156" s="3">
        <f t="shared" si="90"/>
        <v>3.9961444465981669E-2</v>
      </c>
    </row>
    <row r="157" spans="1:32" x14ac:dyDescent="0.25">
      <c r="B157" s="3">
        <f t="shared" ref="B157:Z157" si="91">$C43*EXP(-B$129/$A43/EXP(-$B$126))</f>
        <v>4.8323610204746917E-2</v>
      </c>
      <c r="C157" s="3">
        <f t="shared" si="91"/>
        <v>4.8323610204746917E-2</v>
      </c>
      <c r="D157" s="3">
        <f t="shared" si="91"/>
        <v>4.8323610204746917E-2</v>
      </c>
      <c r="E157" s="3">
        <f t="shared" si="91"/>
        <v>4.8323610204746917E-2</v>
      </c>
      <c r="F157" s="3">
        <f t="shared" si="91"/>
        <v>4.8323610204746917E-2</v>
      </c>
      <c r="G157" s="3">
        <f t="shared" si="91"/>
        <v>4.8323610204746917E-2</v>
      </c>
      <c r="H157" s="3">
        <f t="shared" si="91"/>
        <v>4.8323610204746917E-2</v>
      </c>
      <c r="I157" s="3">
        <f t="shared" si="91"/>
        <v>4.8323610204746917E-2</v>
      </c>
      <c r="J157" s="3">
        <f t="shared" si="91"/>
        <v>4.8323610204746917E-2</v>
      </c>
      <c r="K157" s="3">
        <f t="shared" si="91"/>
        <v>4.8323610204746917E-2</v>
      </c>
      <c r="L157" s="3">
        <f t="shared" si="91"/>
        <v>4.8323610204746917E-2</v>
      </c>
      <c r="M157" s="3">
        <f t="shared" si="91"/>
        <v>4.8323610204746917E-2</v>
      </c>
      <c r="N157" s="3">
        <f t="shared" si="91"/>
        <v>4.8323610204746917E-2</v>
      </c>
      <c r="O157" s="3">
        <f t="shared" si="91"/>
        <v>4.8323610204746917E-2</v>
      </c>
      <c r="P157" s="3">
        <f t="shared" si="91"/>
        <v>4.8323610204746917E-2</v>
      </c>
      <c r="Q157" s="3">
        <f t="shared" si="91"/>
        <v>4.8323610204746917E-2</v>
      </c>
      <c r="R157" s="3">
        <f t="shared" si="91"/>
        <v>4.8323610204746917E-2</v>
      </c>
      <c r="S157" s="3">
        <f t="shared" si="91"/>
        <v>4.8323610204746917E-2</v>
      </c>
      <c r="T157" s="3">
        <f t="shared" si="91"/>
        <v>4.8323610204746917E-2</v>
      </c>
      <c r="U157" s="3">
        <f t="shared" si="91"/>
        <v>4.8323610204746917E-2</v>
      </c>
      <c r="V157" s="3">
        <f t="shared" si="91"/>
        <v>4.8323610204746917E-2</v>
      </c>
      <c r="W157" s="3">
        <f t="shared" si="91"/>
        <v>4.8323610204746917E-2</v>
      </c>
      <c r="X157" s="3">
        <f t="shared" si="91"/>
        <v>4.8323610204746917E-2</v>
      </c>
      <c r="Y157" s="3">
        <f t="shared" si="91"/>
        <v>4.8323610204746917E-2</v>
      </c>
      <c r="Z157" s="3">
        <f t="shared" si="91"/>
        <v>4.832361020474691E-2</v>
      </c>
      <c r="AA157" s="3">
        <f t="shared" ref="AA157:AF157" si="92">$C43*EXP(-AA$129/$A43/EXP(-$B$126))</f>
        <v>4.8323610204746875E-2</v>
      </c>
      <c r="AB157" s="3">
        <f t="shared" si="92"/>
        <v>4.832361020474648E-2</v>
      </c>
      <c r="AC157" s="3">
        <f t="shared" si="92"/>
        <v>4.8323610204742504E-2</v>
      </c>
      <c r="AD157" s="3">
        <f t="shared" si="92"/>
        <v>4.8323610204702806E-2</v>
      </c>
      <c r="AE157" s="3">
        <f t="shared" si="92"/>
        <v>4.8323610204305804E-2</v>
      </c>
      <c r="AF157" s="3">
        <f t="shared" si="92"/>
        <v>4.8323610200335765E-2</v>
      </c>
    </row>
    <row r="158" spans="1:32" x14ac:dyDescent="0.25">
      <c r="B158" s="3">
        <f t="shared" ref="B158:Z158" si="93">$C44*EXP(-B$129/$A44/EXP(-$B$126))</f>
        <v>1.4844365312015322E-2</v>
      </c>
      <c r="C158" s="3">
        <f t="shared" si="93"/>
        <v>1.4844365312015322E-2</v>
      </c>
      <c r="D158" s="3">
        <f t="shared" si="93"/>
        <v>1.4844365312015322E-2</v>
      </c>
      <c r="E158" s="3">
        <f t="shared" si="93"/>
        <v>1.4844365312015322E-2</v>
      </c>
      <c r="F158" s="3">
        <f t="shared" si="93"/>
        <v>1.4844365312015322E-2</v>
      </c>
      <c r="G158" s="3">
        <f t="shared" si="93"/>
        <v>1.4844365312015322E-2</v>
      </c>
      <c r="H158" s="3">
        <f t="shared" si="93"/>
        <v>1.4844365312015322E-2</v>
      </c>
      <c r="I158" s="3">
        <f t="shared" si="93"/>
        <v>1.4844365312015322E-2</v>
      </c>
      <c r="J158" s="3">
        <f t="shared" si="93"/>
        <v>1.4844365312015322E-2</v>
      </c>
      <c r="K158" s="3">
        <f t="shared" si="93"/>
        <v>1.4844365312015322E-2</v>
      </c>
      <c r="L158" s="3">
        <f t="shared" si="93"/>
        <v>1.4844365312015322E-2</v>
      </c>
      <c r="M158" s="3">
        <f t="shared" si="93"/>
        <v>1.4844365312015322E-2</v>
      </c>
      <c r="N158" s="3">
        <f t="shared" si="93"/>
        <v>1.4844365312015322E-2</v>
      </c>
      <c r="O158" s="3">
        <f t="shared" si="93"/>
        <v>1.4844365312015322E-2</v>
      </c>
      <c r="P158" s="3">
        <f t="shared" si="93"/>
        <v>1.4844365312015322E-2</v>
      </c>
      <c r="Q158" s="3">
        <f t="shared" si="93"/>
        <v>1.4844365312015322E-2</v>
      </c>
      <c r="R158" s="3">
        <f t="shared" si="93"/>
        <v>1.4844365312015322E-2</v>
      </c>
      <c r="S158" s="3">
        <f t="shared" si="93"/>
        <v>1.4844365312015322E-2</v>
      </c>
      <c r="T158" s="3">
        <f t="shared" si="93"/>
        <v>1.4844365312015322E-2</v>
      </c>
      <c r="U158" s="3">
        <f t="shared" si="93"/>
        <v>1.4844365312015322E-2</v>
      </c>
      <c r="V158" s="3">
        <f t="shared" si="93"/>
        <v>1.4844365312015322E-2</v>
      </c>
      <c r="W158" s="3">
        <f t="shared" si="93"/>
        <v>1.4844365312015322E-2</v>
      </c>
      <c r="X158" s="3">
        <f t="shared" si="93"/>
        <v>1.4844365312015322E-2</v>
      </c>
      <c r="Y158" s="3">
        <f t="shared" si="93"/>
        <v>1.4844365312015322E-2</v>
      </c>
      <c r="Z158" s="3">
        <f t="shared" si="93"/>
        <v>1.4844365312015322E-2</v>
      </c>
      <c r="AA158" s="3">
        <f t="shared" ref="AA158:AF158" si="94">$C44*EXP(-AA$129/$A44/EXP(-$B$126))</f>
        <v>1.484436531201532E-2</v>
      </c>
      <c r="AB158" s="3">
        <f t="shared" si="94"/>
        <v>1.4844365312015308E-2</v>
      </c>
      <c r="AC158" s="3">
        <f t="shared" si="94"/>
        <v>1.4844365312015186E-2</v>
      </c>
      <c r="AD158" s="3">
        <f t="shared" si="94"/>
        <v>1.4844365312013967E-2</v>
      </c>
      <c r="AE158" s="3">
        <f t="shared" si="94"/>
        <v>1.4844365312001772E-2</v>
      </c>
      <c r="AF158" s="3">
        <f t="shared" si="94"/>
        <v>1.4844365311879817E-2</v>
      </c>
    </row>
    <row r="159" spans="1:32" x14ac:dyDescent="0.25">
      <c r="A159" s="11" t="s">
        <v>75</v>
      </c>
      <c r="B159" s="3">
        <f t="shared" ref="B159:Z159" si="95">$C45*EXP(-B$129/$A45/EXP(-$B$126))</f>
        <v>1.5641900970231219E-2</v>
      </c>
      <c r="C159" s="3">
        <f t="shared" si="95"/>
        <v>1.5641900970231219E-2</v>
      </c>
      <c r="D159" s="3">
        <f t="shared" si="95"/>
        <v>1.5641900970231219E-2</v>
      </c>
      <c r="E159" s="3">
        <f t="shared" si="95"/>
        <v>1.5641900970231219E-2</v>
      </c>
      <c r="F159" s="3">
        <f t="shared" si="95"/>
        <v>1.5641900970231219E-2</v>
      </c>
      <c r="G159" s="3">
        <f t="shared" si="95"/>
        <v>1.5641900970231219E-2</v>
      </c>
      <c r="H159" s="3">
        <f t="shared" si="95"/>
        <v>1.5641900970231219E-2</v>
      </c>
      <c r="I159" s="3">
        <f t="shared" si="95"/>
        <v>1.5641900970231219E-2</v>
      </c>
      <c r="J159" s="3">
        <f t="shared" si="95"/>
        <v>1.5641900970231219E-2</v>
      </c>
      <c r="K159" s="3">
        <f t="shared" si="95"/>
        <v>1.5641900970231219E-2</v>
      </c>
      <c r="L159" s="3">
        <f t="shared" si="95"/>
        <v>1.5641900970231219E-2</v>
      </c>
      <c r="M159" s="3">
        <f t="shared" si="95"/>
        <v>1.5641900970231219E-2</v>
      </c>
      <c r="N159" s="3">
        <f t="shared" si="95"/>
        <v>1.5641900970231219E-2</v>
      </c>
      <c r="O159" s="3">
        <f t="shared" si="95"/>
        <v>1.5641900970231219E-2</v>
      </c>
      <c r="P159" s="3">
        <f t="shared" si="95"/>
        <v>1.5641900970231219E-2</v>
      </c>
      <c r="Q159" s="3">
        <f t="shared" si="95"/>
        <v>1.5641900970231219E-2</v>
      </c>
      <c r="R159" s="3">
        <f t="shared" si="95"/>
        <v>1.5641900970231219E-2</v>
      </c>
      <c r="S159" s="3">
        <f t="shared" si="95"/>
        <v>1.5641900970231219E-2</v>
      </c>
      <c r="T159" s="3">
        <f t="shared" si="95"/>
        <v>1.5641900970231219E-2</v>
      </c>
      <c r="U159" s="3">
        <f t="shared" si="95"/>
        <v>1.5641900970231219E-2</v>
      </c>
      <c r="V159" s="3">
        <f t="shared" si="95"/>
        <v>1.5641900970231219E-2</v>
      </c>
      <c r="W159" s="3">
        <f t="shared" si="95"/>
        <v>1.5641900970231219E-2</v>
      </c>
      <c r="X159" s="3">
        <f t="shared" si="95"/>
        <v>1.5641900970231219E-2</v>
      </c>
      <c r="Y159" s="3">
        <f t="shared" si="95"/>
        <v>1.5641900970231219E-2</v>
      </c>
      <c r="Z159" s="3">
        <f t="shared" si="95"/>
        <v>1.5641900970231219E-2</v>
      </c>
      <c r="AA159" s="3">
        <f t="shared" ref="AA159:AF159" si="96">$C45*EXP(-AA$129/$A45/EXP(-$B$126))</f>
        <v>1.5641900970231219E-2</v>
      </c>
      <c r="AB159" s="3">
        <f t="shared" si="96"/>
        <v>1.5641900970231215E-2</v>
      </c>
      <c r="AC159" s="3">
        <f t="shared" si="96"/>
        <v>1.5641900970231205E-2</v>
      </c>
      <c r="AD159" s="3">
        <f t="shared" si="96"/>
        <v>1.5641900970231076E-2</v>
      </c>
      <c r="AE159" s="3">
        <f t="shared" si="96"/>
        <v>1.5641900970229793E-2</v>
      </c>
      <c r="AF159" s="3">
        <f t="shared" si="96"/>
        <v>1.5641900970216942E-2</v>
      </c>
    </row>
    <row r="160" spans="1:32" x14ac:dyDescent="0.25">
      <c r="B160" s="3">
        <f t="shared" ref="B160:Z160" si="97">$C46*EXP(-B$129/$A46/EXP(-$B$126))</f>
        <v>1.5176002473828224E-3</v>
      </c>
      <c r="C160" s="3">
        <f t="shared" si="97"/>
        <v>1.5176002473828224E-3</v>
      </c>
      <c r="D160" s="3">
        <f t="shared" si="97"/>
        <v>1.5176002473828224E-3</v>
      </c>
      <c r="E160" s="3">
        <f t="shared" si="97"/>
        <v>1.5176002473828224E-3</v>
      </c>
      <c r="F160" s="3">
        <f t="shared" si="97"/>
        <v>1.5176002473828224E-3</v>
      </c>
      <c r="G160" s="3">
        <f t="shared" si="97"/>
        <v>1.5176002473828224E-3</v>
      </c>
      <c r="H160" s="3">
        <f t="shared" si="97"/>
        <v>1.5176002473828224E-3</v>
      </c>
      <c r="I160" s="3">
        <f t="shared" si="97"/>
        <v>1.5176002473828224E-3</v>
      </c>
      <c r="J160" s="3">
        <f t="shared" si="97"/>
        <v>1.5176002473828224E-3</v>
      </c>
      <c r="K160" s="3">
        <f t="shared" si="97"/>
        <v>1.5176002473828224E-3</v>
      </c>
      <c r="L160" s="3">
        <f t="shared" si="97"/>
        <v>1.5176002473828224E-3</v>
      </c>
      <c r="M160" s="3">
        <f t="shared" si="97"/>
        <v>1.5176002473828224E-3</v>
      </c>
      <c r="N160" s="3">
        <f t="shared" si="97"/>
        <v>1.5176002473828224E-3</v>
      </c>
      <c r="O160" s="3">
        <f t="shared" si="97"/>
        <v>1.5176002473828224E-3</v>
      </c>
      <c r="P160" s="3">
        <f t="shared" si="97"/>
        <v>1.5176002473828224E-3</v>
      </c>
      <c r="Q160" s="3">
        <f t="shared" si="97"/>
        <v>1.5176002473828224E-3</v>
      </c>
      <c r="R160" s="3">
        <f t="shared" si="97"/>
        <v>1.5176002473828224E-3</v>
      </c>
      <c r="S160" s="3">
        <f t="shared" si="97"/>
        <v>1.5176002473828224E-3</v>
      </c>
      <c r="T160" s="3">
        <f t="shared" si="97"/>
        <v>1.5176002473828224E-3</v>
      </c>
      <c r="U160" s="3">
        <f t="shared" si="97"/>
        <v>1.5176002473828224E-3</v>
      </c>
      <c r="V160" s="3">
        <f t="shared" si="97"/>
        <v>1.5176002473828224E-3</v>
      </c>
      <c r="W160" s="3">
        <f t="shared" si="97"/>
        <v>1.5176002473828224E-3</v>
      </c>
      <c r="X160" s="3">
        <f t="shared" si="97"/>
        <v>1.5176002473828224E-3</v>
      </c>
      <c r="Y160" s="3">
        <f t="shared" si="97"/>
        <v>1.5176002473828224E-3</v>
      </c>
      <c r="Z160" s="3">
        <f t="shared" si="97"/>
        <v>1.5176002473828224E-3</v>
      </c>
      <c r="AA160" s="3">
        <f t="shared" ref="AA160:AF160" si="98">$C46*EXP(-AA$129/$A46/EXP(-$B$126))</f>
        <v>1.5176002473828224E-3</v>
      </c>
      <c r="AB160" s="3">
        <f t="shared" si="98"/>
        <v>1.5176002473828224E-3</v>
      </c>
      <c r="AC160" s="3">
        <f t="shared" si="98"/>
        <v>1.5176002473828222E-3</v>
      </c>
      <c r="AD160" s="3">
        <f t="shared" si="98"/>
        <v>1.5176002473828211E-3</v>
      </c>
      <c r="AE160" s="3">
        <f t="shared" si="98"/>
        <v>1.5176002473828085E-3</v>
      </c>
      <c r="AF160" s="3">
        <f t="shared" si="98"/>
        <v>1.5176002473826838E-3</v>
      </c>
    </row>
    <row r="161" spans="1:34" x14ac:dyDescent="0.25">
      <c r="A161" s="11" t="s">
        <v>75</v>
      </c>
      <c r="B161" s="3">
        <f t="shared" ref="B161:Z161" si="99">$C47*EXP(-B$129/$A47/EXP(-$B$126))</f>
        <v>3.5883218113444658E-3</v>
      </c>
      <c r="C161" s="3">
        <f t="shared" si="99"/>
        <v>3.5883218113444658E-3</v>
      </c>
      <c r="D161" s="3">
        <f t="shared" si="99"/>
        <v>3.5883218113444658E-3</v>
      </c>
      <c r="E161" s="3">
        <f t="shared" si="99"/>
        <v>3.5883218113444658E-3</v>
      </c>
      <c r="F161" s="3">
        <f t="shared" si="99"/>
        <v>3.5883218113444658E-3</v>
      </c>
      <c r="G161" s="3">
        <f t="shared" si="99"/>
        <v>3.5883218113444658E-3</v>
      </c>
      <c r="H161" s="3">
        <f t="shared" si="99"/>
        <v>3.5883218113444658E-3</v>
      </c>
      <c r="I161" s="3">
        <f t="shared" si="99"/>
        <v>3.5883218113444658E-3</v>
      </c>
      <c r="J161" s="3">
        <f t="shared" si="99"/>
        <v>3.5883218113444658E-3</v>
      </c>
      <c r="K161" s="3">
        <f t="shared" si="99"/>
        <v>3.5883218113444658E-3</v>
      </c>
      <c r="L161" s="3">
        <f t="shared" si="99"/>
        <v>3.5883218113444658E-3</v>
      </c>
      <c r="M161" s="3">
        <f t="shared" si="99"/>
        <v>3.5883218113444658E-3</v>
      </c>
      <c r="N161" s="3">
        <f t="shared" si="99"/>
        <v>3.5883218113444658E-3</v>
      </c>
      <c r="O161" s="3">
        <f t="shared" si="99"/>
        <v>3.5883218113444658E-3</v>
      </c>
      <c r="P161" s="3">
        <f t="shared" si="99"/>
        <v>3.5883218113444658E-3</v>
      </c>
      <c r="Q161" s="3">
        <f t="shared" si="99"/>
        <v>3.5883218113444658E-3</v>
      </c>
      <c r="R161" s="3">
        <f t="shared" si="99"/>
        <v>3.5883218113444658E-3</v>
      </c>
      <c r="S161" s="3">
        <f t="shared" si="99"/>
        <v>3.5883218113444658E-3</v>
      </c>
      <c r="T161" s="3">
        <f t="shared" si="99"/>
        <v>3.5883218113444658E-3</v>
      </c>
      <c r="U161" s="3">
        <f t="shared" si="99"/>
        <v>3.5883218113444658E-3</v>
      </c>
      <c r="V161" s="3">
        <f t="shared" si="99"/>
        <v>3.5883218113444658E-3</v>
      </c>
      <c r="W161" s="3">
        <f t="shared" si="99"/>
        <v>3.5883218113444658E-3</v>
      </c>
      <c r="X161" s="3">
        <f t="shared" si="99"/>
        <v>3.5883218113444658E-3</v>
      </c>
      <c r="Y161" s="3">
        <f t="shared" si="99"/>
        <v>3.5883218113444658E-3</v>
      </c>
      <c r="Z161" s="3">
        <f t="shared" si="99"/>
        <v>3.5883218113444658E-3</v>
      </c>
      <c r="AA161" s="3">
        <f t="shared" ref="AA161:AF161" si="100">$C47*EXP(-AA$129/$A47/EXP(-$B$126))</f>
        <v>3.5883218113444658E-3</v>
      </c>
      <c r="AB161" s="3">
        <f t="shared" si="100"/>
        <v>3.5883218113444658E-3</v>
      </c>
      <c r="AC161" s="3">
        <f t="shared" si="100"/>
        <v>3.5883218113444658E-3</v>
      </c>
      <c r="AD161" s="3">
        <f t="shared" si="100"/>
        <v>3.5883218113444654E-3</v>
      </c>
      <c r="AE161" s="3">
        <f t="shared" si="100"/>
        <v>3.5883218113444628E-3</v>
      </c>
      <c r="AF161" s="3">
        <f t="shared" si="100"/>
        <v>3.5883218113444333E-3</v>
      </c>
    </row>
    <row r="162" spans="1:34" x14ac:dyDescent="0.25">
      <c r="B162" s="3">
        <f t="shared" ref="B162:Z162" si="101">$C48*EXP(-B$129/$A48/EXP(-$B$126))</f>
        <v>1.1419429769572463E-2</v>
      </c>
      <c r="C162" s="3">
        <f t="shared" si="101"/>
        <v>1.1419429769572463E-2</v>
      </c>
      <c r="D162" s="3">
        <f t="shared" si="101"/>
        <v>1.1419429769572463E-2</v>
      </c>
      <c r="E162" s="3">
        <f t="shared" si="101"/>
        <v>1.1419429769572463E-2</v>
      </c>
      <c r="F162" s="3">
        <f t="shared" si="101"/>
        <v>1.1419429769572463E-2</v>
      </c>
      <c r="G162" s="3">
        <f t="shared" si="101"/>
        <v>1.1419429769572463E-2</v>
      </c>
      <c r="H162" s="3">
        <f t="shared" si="101"/>
        <v>1.1419429769572463E-2</v>
      </c>
      <c r="I162" s="3">
        <f t="shared" si="101"/>
        <v>1.1419429769572463E-2</v>
      </c>
      <c r="J162" s="3">
        <f t="shared" si="101"/>
        <v>1.1419429769572463E-2</v>
      </c>
      <c r="K162" s="3">
        <f t="shared" si="101"/>
        <v>1.1419429769572463E-2</v>
      </c>
      <c r="L162" s="3">
        <f t="shared" si="101"/>
        <v>1.1419429769572463E-2</v>
      </c>
      <c r="M162" s="3">
        <f t="shared" si="101"/>
        <v>1.1419429769572463E-2</v>
      </c>
      <c r="N162" s="3">
        <f t="shared" si="101"/>
        <v>1.1419429769572463E-2</v>
      </c>
      <c r="O162" s="3">
        <f t="shared" si="101"/>
        <v>1.1419429769572463E-2</v>
      </c>
      <c r="P162" s="3">
        <f t="shared" si="101"/>
        <v>1.1419429769572463E-2</v>
      </c>
      <c r="Q162" s="3">
        <f t="shared" si="101"/>
        <v>1.1419429769572463E-2</v>
      </c>
      <c r="R162" s="3">
        <f t="shared" si="101"/>
        <v>1.1419429769572463E-2</v>
      </c>
      <c r="S162" s="3">
        <f t="shared" si="101"/>
        <v>1.1419429769572463E-2</v>
      </c>
      <c r="T162" s="3">
        <f t="shared" si="101"/>
        <v>1.1419429769572463E-2</v>
      </c>
      <c r="U162" s="3">
        <f t="shared" si="101"/>
        <v>1.1419429769572463E-2</v>
      </c>
      <c r="V162" s="3">
        <f t="shared" si="101"/>
        <v>1.1419429769572463E-2</v>
      </c>
      <c r="W162" s="3">
        <f t="shared" si="101"/>
        <v>1.1419429769572463E-2</v>
      </c>
      <c r="X162" s="3">
        <f t="shared" si="101"/>
        <v>1.1419429769572463E-2</v>
      </c>
      <c r="Y162" s="3">
        <f t="shared" si="101"/>
        <v>1.1419429769572463E-2</v>
      </c>
      <c r="Z162" s="3">
        <f t="shared" si="101"/>
        <v>1.1419429769572463E-2</v>
      </c>
      <c r="AA162" s="3">
        <f t="shared" ref="AA162:AF162" si="102">$C48*EXP(-AA$129/$A48/EXP(-$B$126))</f>
        <v>1.1419429769572463E-2</v>
      </c>
      <c r="AB162" s="3">
        <f t="shared" si="102"/>
        <v>1.1419429769572463E-2</v>
      </c>
      <c r="AC162" s="3">
        <f t="shared" si="102"/>
        <v>1.1419429769572463E-2</v>
      </c>
      <c r="AD162" s="3">
        <f t="shared" si="102"/>
        <v>1.1419429769572463E-2</v>
      </c>
      <c r="AE162" s="3">
        <f t="shared" si="102"/>
        <v>1.1419429769572461E-2</v>
      </c>
      <c r="AF162" s="3">
        <f t="shared" si="102"/>
        <v>1.1419429769572453E-2</v>
      </c>
    </row>
    <row r="163" spans="1:34" x14ac:dyDescent="0.25">
      <c r="A163" s="80">
        <f>AVERAGE(B163:AF163)</f>
        <v>4.2387174263394858E-3</v>
      </c>
      <c r="B163" s="81">
        <f>IF($A$64&lt;=B129,IF($B$64&gt;=B129,ABS((B131-B130)/B130),0),0)</f>
        <v>0</v>
      </c>
      <c r="C163" s="81">
        <f t="shared" ref="C163:AF163" si="103">IF($A$64&lt;=C129,IF($B$64&gt;=C129,ABS((C131-C130)/C130),0),0)</f>
        <v>0</v>
      </c>
      <c r="D163" s="81">
        <f t="shared" si="103"/>
        <v>0</v>
      </c>
      <c r="E163" s="81">
        <f t="shared" si="103"/>
        <v>0</v>
      </c>
      <c r="F163" s="81">
        <f t="shared" si="103"/>
        <v>0</v>
      </c>
      <c r="G163" s="81">
        <f t="shared" si="103"/>
        <v>0</v>
      </c>
      <c r="H163" s="81">
        <f t="shared" si="103"/>
        <v>0</v>
      </c>
      <c r="I163" s="81">
        <f t="shared" si="103"/>
        <v>0</v>
      </c>
      <c r="J163" s="81">
        <f t="shared" si="103"/>
        <v>0</v>
      </c>
      <c r="K163" s="81">
        <f t="shared" si="103"/>
        <v>0</v>
      </c>
      <c r="L163" s="81">
        <f t="shared" si="103"/>
        <v>2.4843698135050017E-2</v>
      </c>
      <c r="M163" s="81">
        <f t="shared" si="103"/>
        <v>2.4824316025425397E-2</v>
      </c>
      <c r="N163" s="81">
        <f t="shared" si="103"/>
        <v>2.4607885042188856E-2</v>
      </c>
      <c r="O163" s="81">
        <f t="shared" si="103"/>
        <v>2.2541254265873129E-2</v>
      </c>
      <c r="P163" s="81">
        <f t="shared" si="103"/>
        <v>6.5618642951503301E-3</v>
      </c>
      <c r="Q163" s="81">
        <f t="shared" si="103"/>
        <v>1.2310999709854104E-2</v>
      </c>
      <c r="R163" s="81">
        <f t="shared" si="103"/>
        <v>6.4575067673859118E-3</v>
      </c>
      <c r="S163" s="81">
        <f t="shared" si="103"/>
        <v>2.2721181242559966E-3</v>
      </c>
      <c r="T163" s="81">
        <f t="shared" si="103"/>
        <v>2.4629612653448195E-3</v>
      </c>
      <c r="U163" s="81">
        <f t="shared" si="103"/>
        <v>1.4966925612006554E-3</v>
      </c>
      <c r="V163" s="81">
        <f t="shared" si="103"/>
        <v>3.0209440247948257E-3</v>
      </c>
      <c r="W163" s="81">
        <f t="shared" si="103"/>
        <v>0</v>
      </c>
      <c r="X163" s="81">
        <f t="shared" si="103"/>
        <v>0</v>
      </c>
      <c r="Y163" s="81">
        <f t="shared" si="103"/>
        <v>0</v>
      </c>
      <c r="Z163" s="81">
        <f t="shared" si="103"/>
        <v>0</v>
      </c>
      <c r="AA163" s="81">
        <f t="shared" si="103"/>
        <v>0</v>
      </c>
      <c r="AB163" s="81">
        <f t="shared" si="103"/>
        <v>0</v>
      </c>
      <c r="AC163" s="81">
        <f t="shared" si="103"/>
        <v>0</v>
      </c>
      <c r="AD163" s="81">
        <f t="shared" si="103"/>
        <v>0</v>
      </c>
      <c r="AE163" s="81">
        <f t="shared" si="103"/>
        <v>0</v>
      </c>
      <c r="AF163" s="81">
        <f t="shared" si="103"/>
        <v>0</v>
      </c>
    </row>
    <row r="164" spans="1:34" x14ac:dyDescent="0.25">
      <c r="B164" s="21">
        <f>(B131-B130)^2</f>
        <v>186.15837930303132</v>
      </c>
      <c r="C164" s="21">
        <f t="shared" ref="C164:AF164" si="104">(C131-C130)^2</f>
        <v>187.05685328522634</v>
      </c>
      <c r="D164" s="21">
        <f t="shared" si="104"/>
        <v>186.50159401738475</v>
      </c>
      <c r="E164" s="21">
        <f t="shared" si="104"/>
        <v>186.3319448619747</v>
      </c>
      <c r="F164" s="21">
        <f t="shared" si="104"/>
        <v>186.30935752317933</v>
      </c>
      <c r="G164" s="21">
        <f t="shared" si="104"/>
        <v>186.57220568112572</v>
      </c>
      <c r="H164" s="21">
        <f t="shared" si="104"/>
        <v>189.41179097185361</v>
      </c>
      <c r="I164" s="21">
        <f t="shared" si="104"/>
        <v>218.86454399467996</v>
      </c>
      <c r="J164" s="21">
        <f t="shared" si="104"/>
        <v>607.95505382690692</v>
      </c>
      <c r="K164" s="21">
        <f t="shared" si="104"/>
        <v>7954.617829860541</v>
      </c>
      <c r="L164" s="21">
        <f t="shared" si="104"/>
        <v>19548.28946182461</v>
      </c>
      <c r="M164" s="21">
        <f t="shared" si="104"/>
        <v>19516.882701453498</v>
      </c>
      <c r="N164" s="21">
        <f t="shared" si="104"/>
        <v>19169.110732983652</v>
      </c>
      <c r="O164" s="21">
        <f t="shared" si="104"/>
        <v>16013.046903817649</v>
      </c>
      <c r="P164" s="21">
        <f t="shared" si="104"/>
        <v>1310.7689313781393</v>
      </c>
      <c r="Q164" s="21">
        <f t="shared" si="104"/>
        <v>4355.7727426208112</v>
      </c>
      <c r="R164" s="21">
        <f t="shared" si="104"/>
        <v>1149.4510775276719</v>
      </c>
      <c r="S164" s="21">
        <f t="shared" si="104"/>
        <v>136.32684101886019</v>
      </c>
      <c r="T164" s="21">
        <f t="shared" si="104"/>
        <v>152.61106951304501</v>
      </c>
      <c r="U164" s="21">
        <f t="shared" si="104"/>
        <v>53.376341315914189</v>
      </c>
      <c r="V164" s="21">
        <f t="shared" si="104"/>
        <v>202.89737364254023</v>
      </c>
      <c r="W164" s="21">
        <f t="shared" si="104"/>
        <v>5027.741809226578</v>
      </c>
      <c r="X164" s="21">
        <f t="shared" si="104"/>
        <v>20176.289883868281</v>
      </c>
      <c r="Y164" s="21">
        <f t="shared" si="104"/>
        <v>41884.660053409672</v>
      </c>
      <c r="Z164" s="21">
        <f t="shared" si="104"/>
        <v>61503.732924447562</v>
      </c>
      <c r="AA164" s="21">
        <f t="shared" si="104"/>
        <v>74147.21788385346</v>
      </c>
      <c r="AB164" s="21">
        <f t="shared" si="104"/>
        <v>77310.169210643246</v>
      </c>
      <c r="AC164" s="21">
        <f t="shared" si="104"/>
        <v>74238.372653893195</v>
      </c>
      <c r="AD164" s="21">
        <f t="shared" si="104"/>
        <v>71225.053460634939</v>
      </c>
      <c r="AE164" s="21">
        <f t="shared" si="104"/>
        <v>64132.684828606209</v>
      </c>
      <c r="AF164" s="21">
        <f t="shared" si="104"/>
        <v>50593.775982225539</v>
      </c>
    </row>
    <row r="165" spans="1:34" x14ac:dyDescent="0.25">
      <c r="A165" s="72">
        <f>SUM(B165:AF165)</f>
        <v>81608.534177096415</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19548.28946182461</v>
      </c>
      <c r="M165" s="60">
        <f t="shared" si="105"/>
        <v>19516.882701453498</v>
      </c>
      <c r="N165" s="60">
        <f t="shared" si="105"/>
        <v>19169.110732983652</v>
      </c>
      <c r="O165" s="60">
        <f t="shared" si="105"/>
        <v>16013.046903817649</v>
      </c>
      <c r="P165" s="60">
        <f t="shared" si="105"/>
        <v>1310.7689313781393</v>
      </c>
      <c r="Q165" s="60">
        <f t="shared" si="105"/>
        <v>4355.7727426208112</v>
      </c>
      <c r="R165" s="60">
        <f t="shared" si="105"/>
        <v>1149.4510775276719</v>
      </c>
      <c r="S165" s="60">
        <f t="shared" si="105"/>
        <v>136.32684101886019</v>
      </c>
      <c r="T165" s="60">
        <f t="shared" si="105"/>
        <v>152.61106951304501</v>
      </c>
      <c r="U165" s="60">
        <f t="shared" si="105"/>
        <v>53.376341315914189</v>
      </c>
      <c r="V165" s="60">
        <f t="shared" si="105"/>
        <v>202.89737364254023</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5619.5329931741162</v>
      </c>
      <c r="C169" s="26">
        <f>INDEX(Comparison!$AM$3:$AS$33,G$14,$C$122)</f>
        <v>5619.5658717740425</v>
      </c>
      <c r="D169" s="26">
        <f>INDEX(Comparison!$AM$3:$AS$33,H$14,$C$122)</f>
        <v>5619.5453722286029</v>
      </c>
      <c r="E169" s="26">
        <f>INDEX(Comparison!$AM$3:$AS$33,I$14,$C$122)</f>
        <v>5619.5381902049257</v>
      </c>
      <c r="F169" s="26">
        <f>INDEX(Comparison!$AM$3:$AS$33,J$14,$C$122)</f>
        <v>5619.5270202096081</v>
      </c>
      <c r="G169" s="26">
        <f>INDEX(Comparison!$AM$3:$AS$33,K$14,$C$122)</f>
        <v>5619.4334394084344</v>
      </c>
      <c r="H169" s="26">
        <f>INDEX(Comparison!$AM$3:$AS$33,L$14,$C$122)</f>
        <v>5618.5096180858227</v>
      </c>
      <c r="I169" s="26">
        <f>INDEX(Comparison!$AM$3:$AS$33,M$14,$C$122)</f>
        <v>5609.604774269872</v>
      </c>
      <c r="J169" s="26">
        <f>INDEX(Comparison!$AM$3:$AS$33,N$14,$C$122)</f>
        <v>5534.6820731552771</v>
      </c>
      <c r="K169" s="26">
        <f>INDEX(Comparison!$AM$3:$AS$33,O$14,$C$122)</f>
        <v>5370.399425083704</v>
      </c>
      <c r="L169" s="26">
        <f>INDEX(Comparison!$AM$3:$AS$33,P$14,$C$122)</f>
        <v>5257.8155746015464</v>
      </c>
      <c r="M169" s="26">
        <f>INDEX(Comparison!$AM$3:$AS$33,Q$14,$C$122)</f>
        <v>5148.9525022518937</v>
      </c>
      <c r="N169" s="26">
        <f>INDEX(Comparison!$AM$3:$AS$33,R$14,$C$122)</f>
        <v>5026.92102925375</v>
      </c>
      <c r="O169" s="26">
        <f>INDEX(Comparison!$AM$3:$AS$33,S$14,$C$122)</f>
        <v>4898.1924827249632</v>
      </c>
      <c r="P169" s="26">
        <f>INDEX(Comparison!$AM$3:$AS$33,T$14,$C$122)</f>
        <v>4753.3269146217463</v>
      </c>
      <c r="Q169" s="26">
        <f>INDEX(Comparison!$AM$3:$AS$33,U$14,$C$122)</f>
        <v>4597.3394014710702</v>
      </c>
      <c r="R169" s="26">
        <f>INDEX(Comparison!$AM$3:$AS$33,V$14,$C$122)</f>
        <v>4437.480614548972</v>
      </c>
      <c r="S169" s="26">
        <f>INDEX(Comparison!$AM$3:$AS$33,W$14,$C$122)</f>
        <v>4282.6976933023134</v>
      </c>
      <c r="T169" s="26">
        <f>INDEX(Comparison!$AM$3:$AS$33,X$14,$C$122)</f>
        <v>4104.6708903026465</v>
      </c>
      <c r="U169" s="26">
        <f>INDEX(Comparison!$AM$3:$AS$33,Y$14,$C$122)</f>
        <v>3863.6251591234022</v>
      </c>
      <c r="V169" s="26">
        <f>INDEX(Comparison!$AM$3:$AS$33,Z$14,$C$122)</f>
        <v>3593.12923880173</v>
      </c>
      <c r="W169" s="26">
        <f>INDEX(Comparison!$AM$3:$AS$33,AA$14,$C$122)</f>
        <v>3360.468185804395</v>
      </c>
      <c r="X169" s="26">
        <f>INDEX(Comparison!$AM$3:$AS$33,AB$14,$C$122)</f>
        <v>3169.2406182554596</v>
      </c>
      <c r="Y169" s="26">
        <f>INDEX(Comparison!$AM$3:$AS$33,AC$14,$C$122)</f>
        <v>2988.8293612758935</v>
      </c>
      <c r="Z169" s="26">
        <f>INDEX(Comparison!$AM$3:$AS$33,AD$14,$C$122)</f>
        <v>2827.4607055264137</v>
      </c>
      <c r="AA169" s="26">
        <f>INDEX(Comparison!$AM$3:$AS$33,AE$14,$C$122)</f>
        <v>2670.1707037079254</v>
      </c>
      <c r="AB169" s="26">
        <f>INDEX(Comparison!$AM$3:$AS$33,AF$14,$C$122)</f>
        <v>2515.5612619665249</v>
      </c>
      <c r="AC169" s="26">
        <f>INDEX(Comparison!$AM$3:$AS$33,AG$14,$C$122)</f>
        <v>2336.7097855049965</v>
      </c>
      <c r="AD169" s="26">
        <f>INDEX(Comparison!$AM$3:$AS$33,AH$14,$C$122)</f>
        <v>2150.3686174171794</v>
      </c>
      <c r="AE169" s="26">
        <f>INDEX(Comparison!$AM$3:$AS$33,AI$14,$C$122)</f>
        <v>1940.5173332718871</v>
      </c>
      <c r="AF169" s="26">
        <f>INDEX(Comparison!$AM$3:$AS$33,AJ$14,$C$122)</f>
        <v>1703.202634105066</v>
      </c>
      <c r="AG169" s="26"/>
      <c r="AH169" s="26"/>
    </row>
    <row r="170" spans="1:34" x14ac:dyDescent="0.25">
      <c r="A170" s="71" t="s">
        <v>22</v>
      </c>
      <c r="B170" s="27">
        <f>($C$17+SUM(B171:B201))*$B$51</f>
        <v>5614.0504577669844</v>
      </c>
      <c r="C170" s="27">
        <f t="shared" ref="C170:AF170" si="106">($C$17+SUM(C171:C201))*$B$51</f>
        <v>5613.0626013379579</v>
      </c>
      <c r="D170" s="27">
        <f t="shared" si="106"/>
        <v>5603.5998685076183</v>
      </c>
      <c r="E170" s="27">
        <f t="shared" si="106"/>
        <v>5540.6257357979202</v>
      </c>
      <c r="F170" s="27">
        <f t="shared" si="106"/>
        <v>5487.9846242161666</v>
      </c>
      <c r="G170" s="27">
        <f t="shared" si="106"/>
        <v>5487.9585334621161</v>
      </c>
      <c r="H170" s="27">
        <f t="shared" si="106"/>
        <v>5487.8996874397744</v>
      </c>
      <c r="I170" s="27">
        <f t="shared" si="106"/>
        <v>5487.3118661014305</v>
      </c>
      <c r="J170" s="27">
        <f t="shared" si="106"/>
        <v>5481.49706818305</v>
      </c>
      <c r="K170" s="27">
        <f t="shared" si="106"/>
        <v>5429.2429507554443</v>
      </c>
      <c r="L170" s="27">
        <f t="shared" si="106"/>
        <v>5219.7611867117093</v>
      </c>
      <c r="M170" s="27">
        <f t="shared" si="106"/>
        <v>5128.7836512212025</v>
      </c>
      <c r="N170" s="27">
        <f t="shared" si="106"/>
        <v>5006.0969980976024</v>
      </c>
      <c r="O170" s="27">
        <f t="shared" si="106"/>
        <v>4876.8189738730825</v>
      </c>
      <c r="P170" s="27">
        <f t="shared" si="106"/>
        <v>4732.6022991577402</v>
      </c>
      <c r="Q170" s="27">
        <f t="shared" si="106"/>
        <v>4576.9621419768937</v>
      </c>
      <c r="R170" s="27">
        <f t="shared" si="106"/>
        <v>4418.8346733963035</v>
      </c>
      <c r="S170" s="27">
        <f t="shared" si="106"/>
        <v>4266.331658241058</v>
      </c>
      <c r="T170" s="27">
        <f t="shared" si="106"/>
        <v>4100.3821192878395</v>
      </c>
      <c r="U170" s="27">
        <f t="shared" si="106"/>
        <v>3900.7228908719135</v>
      </c>
      <c r="V170" s="27">
        <f t="shared" si="106"/>
        <v>3686.7273085924112</v>
      </c>
      <c r="W170" s="27">
        <f t="shared" si="106"/>
        <v>3500.4028297731752</v>
      </c>
      <c r="X170" s="27">
        <f t="shared" si="106"/>
        <v>3338.1656320559291</v>
      </c>
      <c r="Y170" s="27">
        <f t="shared" si="106"/>
        <v>3172.1060659076902</v>
      </c>
      <c r="Z170" s="27">
        <f t="shared" si="106"/>
        <v>2999.2088504614308</v>
      </c>
      <c r="AA170" s="27">
        <f t="shared" si="106"/>
        <v>2808.3524804299914</v>
      </c>
      <c r="AB170" s="27">
        <f t="shared" si="106"/>
        <v>2610.3007524914387</v>
      </c>
      <c r="AC170" s="27">
        <f t="shared" si="106"/>
        <v>2400.2495229851133</v>
      </c>
      <c r="AD170" s="27">
        <f t="shared" si="106"/>
        <v>2187.8249616285661</v>
      </c>
      <c r="AE170" s="27">
        <f t="shared" si="106"/>
        <v>1953.3781072396428</v>
      </c>
      <c r="AF170" s="27">
        <f t="shared" si="106"/>
        <v>1715.8715408624744</v>
      </c>
      <c r="AG170" s="27"/>
      <c r="AH170" s="27"/>
    </row>
    <row r="171" spans="1:34" x14ac:dyDescent="0.25">
      <c r="B171" s="3">
        <f t="shared" ref="B171:AF171" si="107">$C18*EXP(-B$168/$A18/EXP(-$C$126))</f>
        <v>2.2458456738824285E-2</v>
      </c>
      <c r="C171" s="3">
        <f t="shared" si="107"/>
        <v>2.2282498854238619E-2</v>
      </c>
      <c r="D171" s="3">
        <f t="shared" si="107"/>
        <v>2.0596988329926999E-2</v>
      </c>
      <c r="E171" s="3">
        <f t="shared" si="107"/>
        <v>9.3799824012262122E-3</v>
      </c>
      <c r="F171" s="3">
        <f t="shared" si="107"/>
        <v>3.5990263790816199E-6</v>
      </c>
      <c r="G171" s="3">
        <f t="shared" si="107"/>
        <v>2.4889438123591807E-40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5.09299238947796E-2</v>
      </c>
      <c r="C172" s="3">
        <f t="shared" si="108"/>
        <v>5.0929923792164655E-2</v>
      </c>
      <c r="D172" s="3">
        <f t="shared" si="108"/>
        <v>5.0929922766015136E-2</v>
      </c>
      <c r="E172" s="3">
        <f t="shared" si="108"/>
        <v>5.0929912504521134E-2</v>
      </c>
      <c r="F172" s="3">
        <f t="shared" si="108"/>
        <v>5.0929809889694824E-2</v>
      </c>
      <c r="G172" s="3">
        <f t="shared" si="108"/>
        <v>5.0928783752802964E-2</v>
      </c>
      <c r="H172" s="3">
        <f t="shared" si="108"/>
        <v>5.091852352092241E-2</v>
      </c>
      <c r="I172" s="3">
        <f t="shared" si="108"/>
        <v>5.0816034821200201E-2</v>
      </c>
      <c r="J172" s="3">
        <f t="shared" si="108"/>
        <v>4.9802425485456915E-2</v>
      </c>
      <c r="K172" s="3">
        <f t="shared" si="108"/>
        <v>4.0714368007047273E-2</v>
      </c>
      <c r="L172" s="3">
        <f t="shared" si="108"/>
        <v>5.4289986327911953E-3</v>
      </c>
      <c r="M172" s="3">
        <f t="shared" si="108"/>
        <v>9.6480618107798155E-12</v>
      </c>
      <c r="N172" s="3">
        <f t="shared" si="108"/>
        <v>3.0314019498279575E-99</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9.6872855229052854E-3</v>
      </c>
      <c r="C173" s="3">
        <f t="shared" si="109"/>
        <v>9.687285521144581E-3</v>
      </c>
      <c r="D173" s="3">
        <f t="shared" si="109"/>
        <v>9.6872855035375419E-3</v>
      </c>
      <c r="E173" s="3">
        <f t="shared" si="109"/>
        <v>9.6872853274671596E-3</v>
      </c>
      <c r="F173" s="3">
        <f t="shared" si="109"/>
        <v>9.687283566763509E-3</v>
      </c>
      <c r="G173" s="3">
        <f t="shared" si="109"/>
        <v>9.6872659597445985E-3</v>
      </c>
      <c r="H173" s="3">
        <f t="shared" si="109"/>
        <v>9.6870898913155642E-3</v>
      </c>
      <c r="I173" s="3">
        <f t="shared" si="109"/>
        <v>9.6853293830203909E-3</v>
      </c>
      <c r="J173" s="3">
        <f t="shared" si="109"/>
        <v>9.6677418877565528E-3</v>
      </c>
      <c r="K173" s="3">
        <f t="shared" si="109"/>
        <v>9.4936139336410947E-3</v>
      </c>
      <c r="L173" s="3">
        <f t="shared" si="109"/>
        <v>7.9158355773907667E-3</v>
      </c>
      <c r="M173" s="3">
        <f t="shared" si="109"/>
        <v>1.2857269420976695E-3</v>
      </c>
      <c r="N173" s="3">
        <f t="shared" si="109"/>
        <v>1.6431172023400371E-11</v>
      </c>
      <c r="O173" s="3">
        <f t="shared" si="109"/>
        <v>1.9092663639618576E-90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2.5365400912681298E-2</v>
      </c>
      <c r="C174" s="3">
        <f t="shared" si="110"/>
        <v>2.5365400912265416E-2</v>
      </c>
      <c r="D174" s="3">
        <f t="shared" si="110"/>
        <v>2.5365400908106569E-2</v>
      </c>
      <c r="E174" s="3">
        <f t="shared" si="110"/>
        <v>2.5365400866518142E-2</v>
      </c>
      <c r="F174" s="3">
        <f t="shared" si="110"/>
        <v>2.5365400450633836E-2</v>
      </c>
      <c r="G174" s="3">
        <f t="shared" si="110"/>
        <v>2.5365396291791166E-2</v>
      </c>
      <c r="H174" s="3">
        <f t="shared" si="110"/>
        <v>2.5365354703401982E-2</v>
      </c>
      <c r="I174" s="3">
        <f t="shared" si="110"/>
        <v>2.5364938823260397E-2</v>
      </c>
      <c r="J174" s="3">
        <f t="shared" si="110"/>
        <v>2.5360780396849296E-2</v>
      </c>
      <c r="K174" s="3">
        <f t="shared" si="110"/>
        <v>2.53192336104727E-2</v>
      </c>
      <c r="L174" s="3">
        <f t="shared" si="110"/>
        <v>2.4907490883942167E-2</v>
      </c>
      <c r="M174" s="3">
        <f t="shared" si="110"/>
        <v>2.1140936506048879E-2</v>
      </c>
      <c r="N174" s="3">
        <f t="shared" si="110"/>
        <v>4.1026705148942246E-3</v>
      </c>
      <c r="O174" s="3">
        <f t="shared" si="110"/>
        <v>3.1080702305130875E-10</v>
      </c>
      <c r="P174" s="3">
        <f t="shared" si="110"/>
        <v>1.9352303118377523E-81</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2.3099378117214509E-2</v>
      </c>
      <c r="C175" s="3">
        <f t="shared" si="111"/>
        <v>2.3099378117180346E-2</v>
      </c>
      <c r="D175" s="3">
        <f t="shared" si="111"/>
        <v>2.3099378116838699E-2</v>
      </c>
      <c r="E175" s="3">
        <f t="shared" si="111"/>
        <v>2.3099378113422227E-2</v>
      </c>
      <c r="F175" s="3">
        <f t="shared" si="111"/>
        <v>2.3099378079257521E-2</v>
      </c>
      <c r="G175" s="3">
        <f t="shared" si="111"/>
        <v>2.309937773761047E-2</v>
      </c>
      <c r="H175" s="3">
        <f t="shared" si="111"/>
        <v>2.3099374321140217E-2</v>
      </c>
      <c r="I175" s="3">
        <f t="shared" si="111"/>
        <v>2.309934015646551E-2</v>
      </c>
      <c r="J175" s="3">
        <f t="shared" si="111"/>
        <v>2.3098998512497627E-2</v>
      </c>
      <c r="K175" s="3">
        <f t="shared" si="111"/>
        <v>2.3095582350720557E-2</v>
      </c>
      <c r="L175" s="3">
        <f t="shared" si="111"/>
        <v>2.3061448507927945E-2</v>
      </c>
      <c r="M175" s="3">
        <f t="shared" si="111"/>
        <v>2.2722872438131869E-2</v>
      </c>
      <c r="N175" s="3">
        <f t="shared" si="111"/>
        <v>1.9598810457831961E-2</v>
      </c>
      <c r="O175" s="3">
        <f t="shared" si="111"/>
        <v>4.465751334524249E-3</v>
      </c>
      <c r="P175" s="3">
        <f t="shared" si="111"/>
        <v>1.6847783587036787E-9</v>
      </c>
      <c r="Q175" s="3">
        <f t="shared" si="111"/>
        <v>9.8406811708739936E-74</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2.7649262864665888E-2</v>
      </c>
      <c r="C176" s="3">
        <f t="shared" si="112"/>
        <v>2.7649262864662204E-2</v>
      </c>
      <c r="D176" s="3">
        <f t="shared" si="112"/>
        <v>2.7649262864625313E-2</v>
      </c>
      <c r="E176" s="3">
        <f t="shared" si="112"/>
        <v>2.7649262864256414E-2</v>
      </c>
      <c r="F176" s="3">
        <f t="shared" si="112"/>
        <v>2.764926286056742E-2</v>
      </c>
      <c r="G176" s="3">
        <f t="shared" si="112"/>
        <v>2.7649262823677519E-2</v>
      </c>
      <c r="H176" s="3">
        <f t="shared" si="112"/>
        <v>2.7649262454778466E-2</v>
      </c>
      <c r="I176" s="3">
        <f t="shared" si="112"/>
        <v>2.7649258765788214E-2</v>
      </c>
      <c r="J176" s="3">
        <f t="shared" si="112"/>
        <v>2.7649221875912774E-2</v>
      </c>
      <c r="K176" s="3">
        <f t="shared" si="112"/>
        <v>2.7648852979865388E-2</v>
      </c>
      <c r="L176" s="3">
        <f t="shared" si="112"/>
        <v>2.7645164290080394E-2</v>
      </c>
      <c r="M176" s="3">
        <f t="shared" si="112"/>
        <v>2.7608304447759309E-2</v>
      </c>
      <c r="N176" s="3">
        <f t="shared" si="112"/>
        <v>2.7242398268803803E-2</v>
      </c>
      <c r="O176" s="3">
        <f t="shared" si="112"/>
        <v>2.3839731578134234E-2</v>
      </c>
      <c r="P176" s="3">
        <f t="shared" si="112"/>
        <v>6.2785823547528118E-3</v>
      </c>
      <c r="Q176" s="3">
        <f t="shared" si="112"/>
        <v>1.0080078981506459E-8</v>
      </c>
      <c r="R176" s="3">
        <f t="shared" si="112"/>
        <v>1.1467990731386154E-66</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2.9567803961689849E-2</v>
      </c>
      <c r="C177" s="3">
        <f t="shared" si="113"/>
        <v>2.9567803961689492E-2</v>
      </c>
      <c r="D177" s="3">
        <f t="shared" si="113"/>
        <v>2.9567803961685932E-2</v>
      </c>
      <c r="E177" s="3">
        <f t="shared" si="113"/>
        <v>2.9567803961650346E-2</v>
      </c>
      <c r="F177" s="3">
        <f t="shared" si="113"/>
        <v>2.9567803961294478E-2</v>
      </c>
      <c r="G177" s="3">
        <f t="shared" si="113"/>
        <v>2.956780395773579E-2</v>
      </c>
      <c r="H177" s="3">
        <f t="shared" si="113"/>
        <v>2.9567803922148934E-2</v>
      </c>
      <c r="I177" s="3">
        <f t="shared" si="113"/>
        <v>2.9567803566280356E-2</v>
      </c>
      <c r="J177" s="3">
        <f t="shared" si="113"/>
        <v>2.9567800007594808E-2</v>
      </c>
      <c r="K177" s="3">
        <f t="shared" si="113"/>
        <v>2.9567764420762886E-2</v>
      </c>
      <c r="L177" s="3">
        <f t="shared" si="113"/>
        <v>2.9567408554799373E-2</v>
      </c>
      <c r="M177" s="3">
        <f t="shared" si="113"/>
        <v>2.9563850130724167E-2</v>
      </c>
      <c r="N177" s="3">
        <f t="shared" si="113"/>
        <v>2.9528289435478923E-2</v>
      </c>
      <c r="O177" s="3">
        <f t="shared" si="113"/>
        <v>2.9175026582091316E-2</v>
      </c>
      <c r="P177" s="3">
        <f t="shared" si="113"/>
        <v>2.5866696834301324E-2</v>
      </c>
      <c r="Q177" s="3">
        <f t="shared" si="113"/>
        <v>7.7631521744713147E-3</v>
      </c>
      <c r="R177" s="3">
        <f t="shared" si="113"/>
        <v>4.6026649580074033E-8</v>
      </c>
      <c r="S177" s="3">
        <f t="shared" si="113"/>
        <v>2.4701424157569076E-60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2.9957814581893647E-2</v>
      </c>
      <c r="C178" s="3">
        <f t="shared" si="114"/>
        <v>2.9957814581893612E-2</v>
      </c>
      <c r="D178" s="3">
        <f t="shared" si="114"/>
        <v>2.995781458189329E-2</v>
      </c>
      <c r="E178" s="3">
        <f t="shared" si="114"/>
        <v>2.9957814581890035E-2</v>
      </c>
      <c r="F178" s="3">
        <f t="shared" si="114"/>
        <v>2.9957814581857509E-2</v>
      </c>
      <c r="G178" s="3">
        <f t="shared" si="114"/>
        <v>2.9957814581532252E-2</v>
      </c>
      <c r="H178" s="3">
        <f t="shared" si="114"/>
        <v>2.9957814578279677E-2</v>
      </c>
      <c r="I178" s="3">
        <f t="shared" si="114"/>
        <v>2.9957814545753931E-2</v>
      </c>
      <c r="J178" s="3">
        <f t="shared" si="114"/>
        <v>2.995781422049645E-2</v>
      </c>
      <c r="K178" s="3">
        <f t="shared" si="114"/>
        <v>2.9957810967921841E-2</v>
      </c>
      <c r="L178" s="3">
        <f t="shared" si="114"/>
        <v>2.9957778442195201E-2</v>
      </c>
      <c r="M178" s="3">
        <f t="shared" si="114"/>
        <v>2.9957453186871048E-2</v>
      </c>
      <c r="N178" s="3">
        <f t="shared" si="114"/>
        <v>2.995420082784675E-2</v>
      </c>
      <c r="O178" s="3">
        <f t="shared" si="114"/>
        <v>2.9921696651527527E-2</v>
      </c>
      <c r="P178" s="3">
        <f t="shared" si="114"/>
        <v>2.9598588504434122E-2</v>
      </c>
      <c r="Q178" s="3">
        <f t="shared" si="114"/>
        <v>2.6553321466784532E-2</v>
      </c>
      <c r="R178" s="3">
        <f t="shared" si="114"/>
        <v>8.9659719637306123E-3</v>
      </c>
      <c r="S178" s="3">
        <f t="shared" si="114"/>
        <v>1.7273590070841246E-7</v>
      </c>
      <c r="T178" s="3">
        <f t="shared" si="114"/>
        <v>1.2168440778510034E-54</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2.7071321334420872E-2</v>
      </c>
      <c r="C179" s="3">
        <f t="shared" si="115"/>
        <v>2.7071321334420868E-2</v>
      </c>
      <c r="D179" s="3">
        <f t="shared" si="115"/>
        <v>2.7071321334420841E-2</v>
      </c>
      <c r="E179" s="3">
        <f t="shared" si="115"/>
        <v>2.7071321334420577E-2</v>
      </c>
      <c r="F179" s="3">
        <f t="shared" si="115"/>
        <v>2.7071321334417926E-2</v>
      </c>
      <c r="G179" s="3">
        <f t="shared" si="115"/>
        <v>2.7071321334391413E-2</v>
      </c>
      <c r="H179" s="3">
        <f t="shared" si="115"/>
        <v>2.7071321334126274E-2</v>
      </c>
      <c r="I179" s="3">
        <f t="shared" si="115"/>
        <v>2.7071321331474885E-2</v>
      </c>
      <c r="J179" s="3">
        <f t="shared" si="115"/>
        <v>2.707132130496101E-2</v>
      </c>
      <c r="K179" s="3">
        <f t="shared" si="115"/>
        <v>2.7071321039822259E-2</v>
      </c>
      <c r="L179" s="3">
        <f t="shared" si="115"/>
        <v>2.7071318388434868E-2</v>
      </c>
      <c r="M179" s="3">
        <f t="shared" si="115"/>
        <v>2.7071291874575264E-2</v>
      </c>
      <c r="N179" s="3">
        <f t="shared" si="115"/>
        <v>2.7071026737407439E-2</v>
      </c>
      <c r="O179" s="3">
        <f t="shared" si="115"/>
        <v>2.7068375508546946E-2</v>
      </c>
      <c r="P179" s="3">
        <f t="shared" si="115"/>
        <v>2.7041877496542487E-2</v>
      </c>
      <c r="Q179" s="3">
        <f t="shared" si="115"/>
        <v>2.6778319876501873E-2</v>
      </c>
      <c r="R179" s="3">
        <f t="shared" si="115"/>
        <v>2.4279971083275974E-2</v>
      </c>
      <c r="S179" s="3">
        <f t="shared" si="115"/>
        <v>9.1179365630630321E-3</v>
      </c>
      <c r="T179" s="3">
        <f t="shared" si="115"/>
        <v>5.0860494441153014E-7</v>
      </c>
      <c r="U179" s="3">
        <f t="shared" si="115"/>
        <v>1.4832716402820714E-49</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3.2010538564501728E-2</v>
      </c>
      <c r="C180" s="3">
        <f t="shared" si="116"/>
        <v>3.2010538564501728E-2</v>
      </c>
      <c r="D180" s="3">
        <f t="shared" si="116"/>
        <v>3.2010538564501721E-2</v>
      </c>
      <c r="E180" s="3">
        <f t="shared" si="116"/>
        <v>3.2010538564501693E-2</v>
      </c>
      <c r="F180" s="3">
        <f t="shared" si="116"/>
        <v>3.2010538564501416E-2</v>
      </c>
      <c r="G180" s="3">
        <f t="shared" si="116"/>
        <v>3.2010538564498585E-2</v>
      </c>
      <c r="H180" s="3">
        <f t="shared" si="116"/>
        <v>3.2010538564470302E-2</v>
      </c>
      <c r="I180" s="3">
        <f t="shared" si="116"/>
        <v>3.2010538564187493E-2</v>
      </c>
      <c r="J180" s="3">
        <f t="shared" si="116"/>
        <v>3.2010538561359332E-2</v>
      </c>
      <c r="K180" s="3">
        <f t="shared" si="116"/>
        <v>3.2010538533077774E-2</v>
      </c>
      <c r="L180" s="3">
        <f t="shared" si="116"/>
        <v>3.2010538250262198E-2</v>
      </c>
      <c r="M180" s="3">
        <f t="shared" si="116"/>
        <v>3.2010535422106551E-2</v>
      </c>
      <c r="N180" s="3">
        <f t="shared" si="116"/>
        <v>3.2010507140563846E-2</v>
      </c>
      <c r="O180" s="3">
        <f t="shared" si="116"/>
        <v>3.201022432651103E-2</v>
      </c>
      <c r="P180" s="3">
        <f t="shared" si="116"/>
        <v>3.2007396323406254E-2</v>
      </c>
      <c r="Q180" s="3">
        <f t="shared" si="116"/>
        <v>3.1979130030204229E-2</v>
      </c>
      <c r="R180" s="3">
        <f t="shared" si="116"/>
        <v>3.1697836402478204E-2</v>
      </c>
      <c r="S180" s="3">
        <f t="shared" si="116"/>
        <v>2.9017458153690119E-2</v>
      </c>
      <c r="T180" s="3">
        <f t="shared" si="116"/>
        <v>1.199380100058259E-2</v>
      </c>
      <c r="U180" s="3">
        <f t="shared" si="116"/>
        <v>1.7455470474305968E-6</v>
      </c>
      <c r="V180" s="3">
        <f t="shared" si="116"/>
        <v>7.4418130968518216E-45</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4.0907961623415999E-2</v>
      </c>
      <c r="C181" s="3">
        <f t="shared" si="117"/>
        <v>4.0907961623415999E-2</v>
      </c>
      <c r="D181" s="3">
        <f t="shared" si="117"/>
        <v>4.0907961623415999E-2</v>
      </c>
      <c r="E181" s="3">
        <f t="shared" si="117"/>
        <v>4.0907961623415992E-2</v>
      </c>
      <c r="F181" s="3">
        <f t="shared" si="117"/>
        <v>4.0907961623415964E-2</v>
      </c>
      <c r="G181" s="3">
        <f t="shared" si="117"/>
        <v>4.0907961623415638E-2</v>
      </c>
      <c r="H181" s="3">
        <f t="shared" si="117"/>
        <v>4.0907961623412377E-2</v>
      </c>
      <c r="I181" s="3">
        <f t="shared" si="117"/>
        <v>4.0907961623379771E-2</v>
      </c>
      <c r="J181" s="3">
        <f t="shared" si="117"/>
        <v>4.0907961623053733E-2</v>
      </c>
      <c r="K181" s="3">
        <f t="shared" si="117"/>
        <v>4.0907961619793383E-2</v>
      </c>
      <c r="L181" s="3">
        <f t="shared" si="117"/>
        <v>4.0907961587189838E-2</v>
      </c>
      <c r="M181" s="3">
        <f t="shared" si="117"/>
        <v>4.0907961261154431E-2</v>
      </c>
      <c r="N181" s="3">
        <f t="shared" si="117"/>
        <v>4.090795800080041E-2</v>
      </c>
      <c r="O181" s="3">
        <f t="shared" si="117"/>
        <v>4.0907925397274572E-2</v>
      </c>
      <c r="P181" s="3">
        <f t="shared" si="117"/>
        <v>4.0907599363445325E-2</v>
      </c>
      <c r="Q181" s="3">
        <f t="shared" si="117"/>
        <v>4.0904339168065344E-2</v>
      </c>
      <c r="R181" s="3">
        <f t="shared" si="117"/>
        <v>4.0871751501300901E-2</v>
      </c>
      <c r="S181" s="3">
        <f t="shared" si="117"/>
        <v>4.0547299333069026E-2</v>
      </c>
      <c r="T181" s="3">
        <f t="shared" si="117"/>
        <v>3.7441114953653619E-2</v>
      </c>
      <c r="U181" s="3">
        <f t="shared" si="117"/>
        <v>1.6873966082455626E-2</v>
      </c>
      <c r="V181" s="3">
        <f t="shared" si="117"/>
        <v>5.8331233385244683E-6</v>
      </c>
      <c r="W181" s="3">
        <f t="shared" si="117"/>
        <v>1.4214809242603235E-40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4.0610124346011141E-2</v>
      </c>
      <c r="C182" s="3">
        <f t="shared" si="118"/>
        <v>4.0610124346011141E-2</v>
      </c>
      <c r="D182" s="3">
        <f t="shared" si="118"/>
        <v>4.0610124346011141E-2</v>
      </c>
      <c r="E182" s="3">
        <f t="shared" si="118"/>
        <v>4.0610124346011141E-2</v>
      </c>
      <c r="F182" s="3">
        <f t="shared" si="118"/>
        <v>4.0610124346011134E-2</v>
      </c>
      <c r="G182" s="3">
        <f t="shared" si="118"/>
        <v>4.0610124346011106E-2</v>
      </c>
      <c r="H182" s="3">
        <f t="shared" si="118"/>
        <v>4.0610124346010815E-2</v>
      </c>
      <c r="I182" s="3">
        <f t="shared" si="118"/>
        <v>4.0610124346007893E-2</v>
      </c>
      <c r="J182" s="3">
        <f t="shared" si="118"/>
        <v>4.0610124345978701E-2</v>
      </c>
      <c r="K182" s="3">
        <f t="shared" si="118"/>
        <v>4.0610124345686734E-2</v>
      </c>
      <c r="L182" s="3">
        <f t="shared" si="118"/>
        <v>4.0610124342767034E-2</v>
      </c>
      <c r="M182" s="3">
        <f t="shared" si="118"/>
        <v>4.0610124313570056E-2</v>
      </c>
      <c r="N182" s="3">
        <f t="shared" si="118"/>
        <v>4.0610124021600316E-2</v>
      </c>
      <c r="O182" s="3">
        <f t="shared" si="118"/>
        <v>4.0610121101902992E-2</v>
      </c>
      <c r="P182" s="3">
        <f t="shared" si="118"/>
        <v>4.0610091904941338E-2</v>
      </c>
      <c r="Q182" s="3">
        <f t="shared" si="118"/>
        <v>4.0609799936479264E-2</v>
      </c>
      <c r="R182" s="3">
        <f t="shared" si="118"/>
        <v>4.0606880367307856E-2</v>
      </c>
      <c r="S182" s="3">
        <f t="shared" si="118"/>
        <v>4.0577696217451414E-2</v>
      </c>
      <c r="T182" s="3">
        <f t="shared" si="118"/>
        <v>4.0287005840244125E-2</v>
      </c>
      <c r="U182" s="3">
        <f t="shared" si="118"/>
        <v>3.7492210053495213E-2</v>
      </c>
      <c r="V182" s="3">
        <f t="shared" si="118"/>
        <v>1.8268443310177053E-2</v>
      </c>
      <c r="W182" s="3">
        <f t="shared" si="118"/>
        <v>1.3781819096304483E-5</v>
      </c>
      <c r="X182" s="3">
        <f t="shared" si="118"/>
        <v>8.2291802677345482E-37</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2.925116065031759E-2</v>
      </c>
      <c r="C183" s="3">
        <f t="shared" si="119"/>
        <v>2.925116065031759E-2</v>
      </c>
      <c r="D183" s="3">
        <f t="shared" si="119"/>
        <v>2.925116065031759E-2</v>
      </c>
      <c r="E183" s="3">
        <f t="shared" si="119"/>
        <v>2.925116065031759E-2</v>
      </c>
      <c r="F183" s="3">
        <f t="shared" si="119"/>
        <v>2.925116065031759E-2</v>
      </c>
      <c r="G183" s="3">
        <f t="shared" si="119"/>
        <v>2.9251160650317586E-2</v>
      </c>
      <c r="H183" s="3">
        <f t="shared" si="119"/>
        <v>2.9251160650317569E-2</v>
      </c>
      <c r="I183" s="3">
        <f t="shared" si="119"/>
        <v>2.9251160650317378E-2</v>
      </c>
      <c r="J183" s="3">
        <f t="shared" si="119"/>
        <v>2.9251160650315484E-2</v>
      </c>
      <c r="K183" s="3">
        <f t="shared" si="119"/>
        <v>2.9251160650296509E-2</v>
      </c>
      <c r="L183" s="3">
        <f t="shared" si="119"/>
        <v>2.92511606501068E-2</v>
      </c>
      <c r="M183" s="3">
        <f t="shared" si="119"/>
        <v>2.9251160648209686E-2</v>
      </c>
      <c r="N183" s="3">
        <f t="shared" si="119"/>
        <v>2.9251160629238555E-2</v>
      </c>
      <c r="O183" s="3">
        <f t="shared" si="119"/>
        <v>2.9251160439527243E-2</v>
      </c>
      <c r="P183" s="3">
        <f t="shared" si="119"/>
        <v>2.925115854241421E-2</v>
      </c>
      <c r="Q183" s="3">
        <f t="shared" si="119"/>
        <v>2.9251139571290639E-2</v>
      </c>
      <c r="R183" s="3">
        <f t="shared" si="119"/>
        <v>2.9250949860731623E-2</v>
      </c>
      <c r="S183" s="3">
        <f t="shared" si="119"/>
        <v>2.9249052822811216E-2</v>
      </c>
      <c r="T183" s="3">
        <f t="shared" si="119"/>
        <v>2.9230089208956773E-2</v>
      </c>
      <c r="U183" s="3">
        <f t="shared" si="119"/>
        <v>2.9041127984726921E-2</v>
      </c>
      <c r="V183" s="3">
        <f t="shared" si="119"/>
        <v>2.7217415314289829E-2</v>
      </c>
      <c r="W183" s="3">
        <f t="shared" si="119"/>
        <v>1.4229212846031439E-2</v>
      </c>
      <c r="X183" s="3">
        <f t="shared" si="119"/>
        <v>2.1703052967289807E-5</v>
      </c>
      <c r="Y183" s="3">
        <f t="shared" si="119"/>
        <v>1.4788372316298163E-33</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3.1259582937297976E-2</v>
      </c>
      <c r="C184" s="3">
        <f t="shared" si="120"/>
        <v>3.1259582937297976E-2</v>
      </c>
      <c r="D184" s="3">
        <f t="shared" si="120"/>
        <v>3.1259582937297976E-2</v>
      </c>
      <c r="E184" s="3">
        <f t="shared" si="120"/>
        <v>3.1259582937297976E-2</v>
      </c>
      <c r="F184" s="3">
        <f t="shared" si="120"/>
        <v>3.1259582937297976E-2</v>
      </c>
      <c r="G184" s="3">
        <f t="shared" si="120"/>
        <v>3.1259582937297976E-2</v>
      </c>
      <c r="H184" s="3">
        <f t="shared" si="120"/>
        <v>3.1259582937297969E-2</v>
      </c>
      <c r="I184" s="3">
        <f t="shared" si="120"/>
        <v>3.1259582937297956E-2</v>
      </c>
      <c r="J184" s="3">
        <f t="shared" si="120"/>
        <v>3.1259582937297768E-2</v>
      </c>
      <c r="K184" s="3">
        <f t="shared" si="120"/>
        <v>3.1259582937295943E-2</v>
      </c>
      <c r="L184" s="3">
        <f t="shared" si="120"/>
        <v>3.1259582937277659E-2</v>
      </c>
      <c r="M184" s="3">
        <f t="shared" si="120"/>
        <v>3.1259582937094771E-2</v>
      </c>
      <c r="N184" s="3">
        <f t="shared" si="120"/>
        <v>3.1259582935265914E-2</v>
      </c>
      <c r="O184" s="3">
        <f t="shared" si="120"/>
        <v>3.1259582916977335E-2</v>
      </c>
      <c r="P184" s="3">
        <f t="shared" si="120"/>
        <v>3.1259582734091573E-2</v>
      </c>
      <c r="Q184" s="3">
        <f t="shared" si="120"/>
        <v>3.1259580905234043E-2</v>
      </c>
      <c r="R184" s="3">
        <f t="shared" si="120"/>
        <v>3.1259562616664537E-2</v>
      </c>
      <c r="S184" s="3">
        <f t="shared" si="120"/>
        <v>3.1259379731558019E-2</v>
      </c>
      <c r="T184" s="3">
        <f t="shared" si="120"/>
        <v>3.1257550939340413E-2</v>
      </c>
      <c r="U184" s="3">
        <f t="shared" si="120"/>
        <v>3.1239268900651963E-2</v>
      </c>
      <c r="V184" s="3">
        <f t="shared" si="120"/>
        <v>3.1057035590916493E-2</v>
      </c>
      <c r="W184" s="3">
        <f t="shared" si="120"/>
        <v>2.9292159003592676E-2</v>
      </c>
      <c r="X184" s="3">
        <f t="shared" si="120"/>
        <v>1.6317935586261149E-2</v>
      </c>
      <c r="Y184" s="3">
        <f t="shared" si="120"/>
        <v>4.6968158172672214E-5</v>
      </c>
      <c r="Z184" s="3">
        <f t="shared" si="120"/>
        <v>1.833102225422692E-30</v>
      </c>
      <c r="AA184" s="3">
        <f t="shared" si="120"/>
        <v>1.5032050702289271E-284</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2.9704645444291411E-2</v>
      </c>
      <c r="C185" s="3">
        <f t="shared" si="121"/>
        <v>2.9704645444291411E-2</v>
      </c>
      <c r="D185" s="3">
        <f t="shared" si="121"/>
        <v>2.9704645444291411E-2</v>
      </c>
      <c r="E185" s="3">
        <f t="shared" si="121"/>
        <v>2.9704645444291411E-2</v>
      </c>
      <c r="F185" s="3">
        <f t="shared" si="121"/>
        <v>2.9704645444291411E-2</v>
      </c>
      <c r="G185" s="3">
        <f t="shared" si="121"/>
        <v>2.9704645444291411E-2</v>
      </c>
      <c r="H185" s="3">
        <f t="shared" si="121"/>
        <v>2.9704645444291411E-2</v>
      </c>
      <c r="I185" s="3">
        <f t="shared" si="121"/>
        <v>2.9704645444291407E-2</v>
      </c>
      <c r="J185" s="3">
        <f t="shared" si="121"/>
        <v>2.9704645444291394E-2</v>
      </c>
      <c r="K185" s="3">
        <f t="shared" si="121"/>
        <v>2.9704645444291237E-2</v>
      </c>
      <c r="L185" s="3">
        <f t="shared" si="121"/>
        <v>2.9704645444289669E-2</v>
      </c>
      <c r="M185" s="3">
        <f t="shared" si="121"/>
        <v>2.9704645444273991E-2</v>
      </c>
      <c r="N185" s="3">
        <f t="shared" si="121"/>
        <v>2.970464544411722E-2</v>
      </c>
      <c r="O185" s="3">
        <f t="shared" si="121"/>
        <v>2.9704645442549506E-2</v>
      </c>
      <c r="P185" s="3">
        <f t="shared" si="121"/>
        <v>2.9704645426872331E-2</v>
      </c>
      <c r="Q185" s="3">
        <f t="shared" si="121"/>
        <v>2.9704645270100631E-2</v>
      </c>
      <c r="R185" s="3">
        <f t="shared" si="121"/>
        <v>2.9704643702383647E-2</v>
      </c>
      <c r="S185" s="3">
        <f t="shared" si="121"/>
        <v>2.9704628025218376E-2</v>
      </c>
      <c r="T185" s="3">
        <f t="shared" si="121"/>
        <v>2.9704471254020721E-2</v>
      </c>
      <c r="U185" s="3">
        <f t="shared" si="121"/>
        <v>2.9702903587549692E-2</v>
      </c>
      <c r="V185" s="3">
        <f t="shared" si="121"/>
        <v>2.9687231472504665E-2</v>
      </c>
      <c r="W185" s="3">
        <f t="shared" si="121"/>
        <v>2.9530964401400388E-2</v>
      </c>
      <c r="X185" s="3">
        <f t="shared" si="121"/>
        <v>2.8012827303308122E-2</v>
      </c>
      <c r="Y185" s="3">
        <f t="shared" si="121"/>
        <v>1.6525327762381806E-2</v>
      </c>
      <c r="Z185" s="3">
        <f t="shared" si="121"/>
        <v>8.4349296199956572E-5</v>
      </c>
      <c r="AA185" s="3">
        <f t="shared" si="121"/>
        <v>1.0125005679710085E-27</v>
      </c>
      <c r="AB185" s="3">
        <f t="shared" si="121"/>
        <v>6.2883021065128509E-257</v>
      </c>
      <c r="AC185" s="3">
        <f t="shared" si="121"/>
        <v>0</v>
      </c>
      <c r="AD185" s="3">
        <f t="shared" si="121"/>
        <v>0</v>
      </c>
      <c r="AE185" s="3">
        <f t="shared" si="121"/>
        <v>0</v>
      </c>
      <c r="AF185" s="3">
        <f t="shared" si="121"/>
        <v>0</v>
      </c>
      <c r="AG185" s="3"/>
      <c r="AH185" s="3"/>
    </row>
    <row r="186" spans="2:34" x14ac:dyDescent="0.25">
      <c r="B186" s="3">
        <f t="shared" ref="B186:AF186" si="122">$C33*EXP(-B$168/$A33/EXP(-$C$126))</f>
        <v>3.5282603781975501E-2</v>
      </c>
      <c r="C186" s="3">
        <f t="shared" si="122"/>
        <v>3.5282603781975501E-2</v>
      </c>
      <c r="D186" s="3">
        <f t="shared" si="122"/>
        <v>3.5282603781975501E-2</v>
      </c>
      <c r="E186" s="3">
        <f t="shared" si="122"/>
        <v>3.5282603781975501E-2</v>
      </c>
      <c r="F186" s="3">
        <f t="shared" si="122"/>
        <v>3.5282603781975501E-2</v>
      </c>
      <c r="G186" s="3">
        <f t="shared" si="122"/>
        <v>3.5282603781975501E-2</v>
      </c>
      <c r="H186" s="3">
        <f t="shared" si="122"/>
        <v>3.5282603781975501E-2</v>
      </c>
      <c r="I186" s="3">
        <f t="shared" si="122"/>
        <v>3.5282603781975501E-2</v>
      </c>
      <c r="J186" s="3">
        <f t="shared" si="122"/>
        <v>3.5282603781975501E-2</v>
      </c>
      <c r="K186" s="3">
        <f t="shared" si="122"/>
        <v>3.528260378197548E-2</v>
      </c>
      <c r="L186" s="3">
        <f t="shared" si="122"/>
        <v>3.5282603781975314E-2</v>
      </c>
      <c r="M186" s="3">
        <f t="shared" si="122"/>
        <v>3.5282603781973634E-2</v>
      </c>
      <c r="N186" s="3">
        <f t="shared" si="122"/>
        <v>3.5282603781956835E-2</v>
      </c>
      <c r="O186" s="3">
        <f t="shared" si="122"/>
        <v>3.5282603781788859E-2</v>
      </c>
      <c r="P186" s="3">
        <f t="shared" si="122"/>
        <v>3.5282603780109084E-2</v>
      </c>
      <c r="Q186" s="3">
        <f t="shared" si="122"/>
        <v>3.5282603763311361E-2</v>
      </c>
      <c r="R186" s="3">
        <f t="shared" si="122"/>
        <v>3.528260359533409E-2</v>
      </c>
      <c r="S186" s="3">
        <f t="shared" si="122"/>
        <v>3.5282601915561422E-2</v>
      </c>
      <c r="T186" s="3">
        <f t="shared" si="122"/>
        <v>3.5282585117839167E-2</v>
      </c>
      <c r="U186" s="3">
        <f t="shared" si="122"/>
        <v>3.5282417141056448E-2</v>
      </c>
      <c r="V186" s="3">
        <f t="shared" si="122"/>
        <v>3.5280737417213229E-2</v>
      </c>
      <c r="W186" s="3">
        <f t="shared" si="122"/>
        <v>3.5263944576405179E-2</v>
      </c>
      <c r="X186" s="3">
        <f t="shared" si="122"/>
        <v>3.5096455157065741E-2</v>
      </c>
      <c r="Y186" s="3">
        <f t="shared" si="122"/>
        <v>3.3464696292098153E-2</v>
      </c>
      <c r="Z186" s="3">
        <f t="shared" si="122"/>
        <v>2.07885036628014E-2</v>
      </c>
      <c r="AA186" s="3">
        <f t="shared" si="122"/>
        <v>1.7790438570921196E-4</v>
      </c>
      <c r="AB186" s="3">
        <f t="shared" si="122"/>
        <v>3.7481839420122859E-25</v>
      </c>
      <c r="AC186" s="3">
        <f t="shared" si="122"/>
        <v>6.458970608781047E-232</v>
      </c>
      <c r="AD186" s="3">
        <f t="shared" si="122"/>
        <v>0</v>
      </c>
      <c r="AE186" s="3">
        <f t="shared" si="122"/>
        <v>0</v>
      </c>
      <c r="AF186" s="3">
        <f t="shared" si="122"/>
        <v>0</v>
      </c>
      <c r="AG186" s="3"/>
      <c r="AH186" s="3"/>
    </row>
    <row r="187" spans="2:34" x14ac:dyDescent="0.25">
      <c r="B187" s="3">
        <f t="shared" ref="B187:AF187" si="123">$C34*EXP(-B$168/$A34/EXP(-$C$126))</f>
        <v>3.4987985455608057E-2</v>
      </c>
      <c r="C187" s="3">
        <f t="shared" si="123"/>
        <v>3.4987985455608057E-2</v>
      </c>
      <c r="D187" s="3">
        <f t="shared" si="123"/>
        <v>3.4987985455608057E-2</v>
      </c>
      <c r="E187" s="3">
        <f t="shared" si="123"/>
        <v>3.4987985455608057E-2</v>
      </c>
      <c r="F187" s="3">
        <f t="shared" si="123"/>
        <v>3.4987985455608057E-2</v>
      </c>
      <c r="G187" s="3">
        <f t="shared" si="123"/>
        <v>3.4987985455608057E-2</v>
      </c>
      <c r="H187" s="3">
        <f t="shared" si="123"/>
        <v>3.4987985455608057E-2</v>
      </c>
      <c r="I187" s="3">
        <f t="shared" si="123"/>
        <v>3.4987985455608057E-2</v>
      </c>
      <c r="J187" s="3">
        <f t="shared" si="123"/>
        <v>3.4987985455608057E-2</v>
      </c>
      <c r="K187" s="3">
        <f t="shared" si="123"/>
        <v>3.4987985455608057E-2</v>
      </c>
      <c r="L187" s="3">
        <f t="shared" si="123"/>
        <v>3.4987985455608044E-2</v>
      </c>
      <c r="M187" s="3">
        <f t="shared" si="123"/>
        <v>3.4987985455607891E-2</v>
      </c>
      <c r="N187" s="3">
        <f t="shared" si="123"/>
        <v>3.4987985455606385E-2</v>
      </c>
      <c r="O187" s="3">
        <f t="shared" si="123"/>
        <v>3.4987985455591362E-2</v>
      </c>
      <c r="P187" s="3">
        <f t="shared" si="123"/>
        <v>3.4987985455441094E-2</v>
      </c>
      <c r="Q187" s="3">
        <f t="shared" si="123"/>
        <v>3.4987985453938455E-2</v>
      </c>
      <c r="R187" s="3">
        <f t="shared" si="123"/>
        <v>3.4987985438912038E-2</v>
      </c>
      <c r="S187" s="3">
        <f t="shared" si="123"/>
        <v>3.4987985288647876E-2</v>
      </c>
      <c r="T187" s="3">
        <f t="shared" si="123"/>
        <v>3.498798378600626E-2</v>
      </c>
      <c r="U187" s="3">
        <f t="shared" si="123"/>
        <v>3.4987968759593681E-2</v>
      </c>
      <c r="V187" s="3">
        <f t="shared" si="123"/>
        <v>3.4987818495822831E-2</v>
      </c>
      <c r="W187" s="3">
        <f t="shared" si="123"/>
        <v>3.4986315893607629E-2</v>
      </c>
      <c r="X187" s="3">
        <f t="shared" si="123"/>
        <v>3.4971293420226181E-2</v>
      </c>
      <c r="Y187" s="3">
        <f t="shared" si="123"/>
        <v>3.4821423000196319E-2</v>
      </c>
      <c r="Z187" s="3">
        <f t="shared" si="123"/>
        <v>3.3357593564575183E-2</v>
      </c>
      <c r="AA187" s="3">
        <f t="shared" si="123"/>
        <v>2.1710843291467989E-2</v>
      </c>
      <c r="AB187" s="3">
        <f t="shared" si="123"/>
        <v>2.961396033766536E-4</v>
      </c>
      <c r="AC187" s="3">
        <f t="shared" si="123"/>
        <v>6.6022880487313239E-23</v>
      </c>
      <c r="AD187" s="3">
        <f t="shared" si="123"/>
        <v>2.0029690790910304E-209</v>
      </c>
      <c r="AE187" s="3">
        <f t="shared" si="123"/>
        <v>0</v>
      </c>
      <c r="AF187" s="3">
        <f t="shared" si="123"/>
        <v>0</v>
      </c>
      <c r="AG187" s="3"/>
      <c r="AH187" s="3"/>
    </row>
    <row r="188" spans="2:34" x14ac:dyDescent="0.25">
      <c r="B188" s="3">
        <f t="shared" ref="B188:AF188" si="124">$C35*EXP(-B$168/$A35/EXP(-$C$126))</f>
        <v>4.0020818076897231E-2</v>
      </c>
      <c r="C188" s="3">
        <f t="shared" si="124"/>
        <v>4.0020818076897231E-2</v>
      </c>
      <c r="D188" s="3">
        <f t="shared" si="124"/>
        <v>4.0020818076897231E-2</v>
      </c>
      <c r="E188" s="3">
        <f t="shared" si="124"/>
        <v>4.0020818076897231E-2</v>
      </c>
      <c r="F188" s="3">
        <f t="shared" si="124"/>
        <v>4.0020818076897231E-2</v>
      </c>
      <c r="G188" s="3">
        <f t="shared" si="124"/>
        <v>4.0020818076897231E-2</v>
      </c>
      <c r="H188" s="3">
        <f t="shared" si="124"/>
        <v>4.0020818076897231E-2</v>
      </c>
      <c r="I188" s="3">
        <f t="shared" si="124"/>
        <v>4.0020818076897231E-2</v>
      </c>
      <c r="J188" s="3">
        <f t="shared" si="124"/>
        <v>4.0020818076897231E-2</v>
      </c>
      <c r="K188" s="3">
        <f t="shared" si="124"/>
        <v>4.0020818076897231E-2</v>
      </c>
      <c r="L188" s="3">
        <f t="shared" si="124"/>
        <v>4.0020818076897231E-2</v>
      </c>
      <c r="M188" s="3">
        <f t="shared" si="124"/>
        <v>4.002081807689721E-2</v>
      </c>
      <c r="N188" s="3">
        <f t="shared" si="124"/>
        <v>4.0020818076897058E-2</v>
      </c>
      <c r="O188" s="3">
        <f t="shared" si="124"/>
        <v>4.002081807689551E-2</v>
      </c>
      <c r="P188" s="3">
        <f t="shared" si="124"/>
        <v>4.0020818076880002E-2</v>
      </c>
      <c r="Q188" s="3">
        <f t="shared" si="124"/>
        <v>4.0020818076724952E-2</v>
      </c>
      <c r="R188" s="3">
        <f t="shared" si="124"/>
        <v>4.0020818075174464E-2</v>
      </c>
      <c r="S188" s="3">
        <f t="shared" si="124"/>
        <v>4.0020818059669561E-2</v>
      </c>
      <c r="T188" s="3">
        <f t="shared" si="124"/>
        <v>4.0020817904620538E-2</v>
      </c>
      <c r="U188" s="3">
        <f t="shared" si="124"/>
        <v>4.002081635413033E-2</v>
      </c>
      <c r="V188" s="3">
        <f t="shared" si="124"/>
        <v>4.0020800849231535E-2</v>
      </c>
      <c r="W188" s="3">
        <f t="shared" si="124"/>
        <v>4.0020645800573983E-2</v>
      </c>
      <c r="X188" s="3">
        <f t="shared" si="124"/>
        <v>4.0019095347036023E-2</v>
      </c>
      <c r="Y188" s="3">
        <f t="shared" si="124"/>
        <v>4.0003594114938298E-2</v>
      </c>
      <c r="Z188" s="3">
        <f t="shared" si="124"/>
        <v>3.9848911649128176E-2</v>
      </c>
      <c r="AA188" s="3">
        <f t="shared" si="124"/>
        <v>3.8334604534351259E-2</v>
      </c>
      <c r="AB188" s="3">
        <f t="shared" si="124"/>
        <v>2.6021732994687283E-2</v>
      </c>
      <c r="AC188" s="3">
        <f t="shared" si="124"/>
        <v>5.4049104875949984E-4</v>
      </c>
      <c r="AD188" s="3">
        <f t="shared" si="124"/>
        <v>8.0781404788315351E-21</v>
      </c>
      <c r="AE188" s="3">
        <f t="shared" si="124"/>
        <v>4.4930407289038807E-189</v>
      </c>
      <c r="AF188" s="3">
        <f t="shared" si="124"/>
        <v>0</v>
      </c>
      <c r="AG188" s="3"/>
      <c r="AH188" s="3"/>
    </row>
    <row r="189" spans="2:34" x14ac:dyDescent="0.25">
      <c r="B189" s="3">
        <f t="shared" ref="B189:AF189" si="125">$C36*EXP(-B$168/$A36/EXP(-$C$126))</f>
        <v>3.51305921997421E-2</v>
      </c>
      <c r="C189" s="3">
        <f t="shared" si="125"/>
        <v>3.51305921997421E-2</v>
      </c>
      <c r="D189" s="3">
        <f t="shared" si="125"/>
        <v>3.51305921997421E-2</v>
      </c>
      <c r="E189" s="3">
        <f t="shared" si="125"/>
        <v>3.51305921997421E-2</v>
      </c>
      <c r="F189" s="3">
        <f t="shared" si="125"/>
        <v>3.51305921997421E-2</v>
      </c>
      <c r="G189" s="3">
        <f t="shared" si="125"/>
        <v>3.51305921997421E-2</v>
      </c>
      <c r="H189" s="3">
        <f t="shared" si="125"/>
        <v>3.51305921997421E-2</v>
      </c>
      <c r="I189" s="3">
        <f t="shared" si="125"/>
        <v>3.51305921997421E-2</v>
      </c>
      <c r="J189" s="3">
        <f t="shared" si="125"/>
        <v>3.51305921997421E-2</v>
      </c>
      <c r="K189" s="3">
        <f t="shared" si="125"/>
        <v>3.51305921997421E-2</v>
      </c>
      <c r="L189" s="3">
        <f t="shared" si="125"/>
        <v>3.51305921997421E-2</v>
      </c>
      <c r="M189" s="3">
        <f t="shared" si="125"/>
        <v>3.51305921997421E-2</v>
      </c>
      <c r="N189" s="3">
        <f t="shared" si="125"/>
        <v>3.5130592199742086E-2</v>
      </c>
      <c r="O189" s="3">
        <f t="shared" si="125"/>
        <v>3.5130592199741961E-2</v>
      </c>
      <c r="P189" s="3">
        <f t="shared" si="125"/>
        <v>3.5130592199740733E-2</v>
      </c>
      <c r="Q189" s="3">
        <f t="shared" si="125"/>
        <v>3.5130592199728458E-2</v>
      </c>
      <c r="R189" s="3">
        <f t="shared" si="125"/>
        <v>3.5130592199605681E-2</v>
      </c>
      <c r="S189" s="3">
        <f t="shared" si="125"/>
        <v>3.513059219837792E-2</v>
      </c>
      <c r="T189" s="3">
        <f t="shared" si="125"/>
        <v>3.5130592186100269E-2</v>
      </c>
      <c r="U189" s="3">
        <f t="shared" si="125"/>
        <v>3.51305920633238E-2</v>
      </c>
      <c r="V189" s="3">
        <f t="shared" si="125"/>
        <v>3.5130590835559139E-2</v>
      </c>
      <c r="W189" s="3">
        <f t="shared" si="125"/>
        <v>3.5130578557914884E-2</v>
      </c>
      <c r="X189" s="3">
        <f t="shared" si="125"/>
        <v>3.51304557817083E-2</v>
      </c>
      <c r="Y189" s="3">
        <f t="shared" si="125"/>
        <v>3.5129228043241915E-2</v>
      </c>
      <c r="Z189" s="3">
        <f t="shared" si="125"/>
        <v>3.5116953018214561E-2</v>
      </c>
      <c r="AA189" s="3">
        <f t="shared" si="125"/>
        <v>3.4994438426748278E-2</v>
      </c>
      <c r="AB189" s="3">
        <f t="shared" si="125"/>
        <v>3.3792556490633008E-2</v>
      </c>
      <c r="AC189" s="3">
        <f t="shared" si="125"/>
        <v>2.3825457432054435E-2</v>
      </c>
      <c r="AD189" s="3">
        <f t="shared" si="125"/>
        <v>7.2317472351136913E-4</v>
      </c>
      <c r="AE189" s="3">
        <f t="shared" si="125"/>
        <v>4.8002421384394068E-19</v>
      </c>
      <c r="AF189" s="3">
        <f t="shared" si="125"/>
        <v>7.9700714195785551E-171</v>
      </c>
      <c r="AG189" s="3"/>
      <c r="AH189" s="3"/>
    </row>
    <row r="190" spans="2:34" x14ac:dyDescent="0.25">
      <c r="B190" s="3">
        <f t="shared" ref="B190:AF190" si="126">$C37*EXP(-B$168/$A37/EXP(-$C$126))</f>
        <v>5.1976552303921161E-2</v>
      </c>
      <c r="C190" s="3">
        <f t="shared" si="126"/>
        <v>5.1976552303921161E-2</v>
      </c>
      <c r="D190" s="3">
        <f t="shared" si="126"/>
        <v>5.1976552303921161E-2</v>
      </c>
      <c r="E190" s="3">
        <f t="shared" si="126"/>
        <v>5.1976552303921161E-2</v>
      </c>
      <c r="F190" s="3">
        <f t="shared" si="126"/>
        <v>5.1976552303921161E-2</v>
      </c>
      <c r="G190" s="3">
        <f t="shared" si="126"/>
        <v>5.1976552303921161E-2</v>
      </c>
      <c r="H190" s="3">
        <f t="shared" si="126"/>
        <v>5.1976552303921161E-2</v>
      </c>
      <c r="I190" s="3">
        <f t="shared" si="126"/>
        <v>5.1976552303921161E-2</v>
      </c>
      <c r="J190" s="3">
        <f t="shared" si="126"/>
        <v>5.1976552303921161E-2</v>
      </c>
      <c r="K190" s="3">
        <f t="shared" si="126"/>
        <v>5.1976552303921161E-2</v>
      </c>
      <c r="L190" s="3">
        <f t="shared" si="126"/>
        <v>5.1976552303921161E-2</v>
      </c>
      <c r="M190" s="3">
        <f t="shared" si="126"/>
        <v>5.1976552303921161E-2</v>
      </c>
      <c r="N190" s="3">
        <f t="shared" si="126"/>
        <v>5.1976552303921161E-2</v>
      </c>
      <c r="O190" s="3">
        <f t="shared" si="126"/>
        <v>5.1976552303921147E-2</v>
      </c>
      <c r="P190" s="3">
        <f t="shared" si="126"/>
        <v>5.1976552303920974E-2</v>
      </c>
      <c r="Q190" s="3">
        <f t="shared" si="126"/>
        <v>5.1976552303919336E-2</v>
      </c>
      <c r="R190" s="3">
        <f t="shared" si="126"/>
        <v>5.1976552303902954E-2</v>
      </c>
      <c r="S190" s="3">
        <f t="shared" si="126"/>
        <v>5.1976552303739092E-2</v>
      </c>
      <c r="T190" s="3">
        <f t="shared" si="126"/>
        <v>5.1976552302100444E-2</v>
      </c>
      <c r="U190" s="3">
        <f t="shared" si="126"/>
        <v>5.1976552285714045E-2</v>
      </c>
      <c r="V190" s="3">
        <f t="shared" si="126"/>
        <v>5.1976552121849977E-2</v>
      </c>
      <c r="W190" s="3">
        <f t="shared" si="126"/>
        <v>5.1976550483209351E-2</v>
      </c>
      <c r="X190" s="3">
        <f t="shared" si="126"/>
        <v>5.1976534096805894E-2</v>
      </c>
      <c r="Y190" s="3">
        <f t="shared" si="126"/>
        <v>5.1976370233055527E-2</v>
      </c>
      <c r="Z190" s="3">
        <f t="shared" si="126"/>
        <v>5.1974731623964779E-2</v>
      </c>
      <c r="AA190" s="3">
        <f t="shared" si="126"/>
        <v>5.195834837402568E-2</v>
      </c>
      <c r="AB190" s="3">
        <f t="shared" si="126"/>
        <v>5.1794799640350171E-2</v>
      </c>
      <c r="AC190" s="3">
        <f t="shared" si="126"/>
        <v>5.0187360640412557E-2</v>
      </c>
      <c r="AD190" s="3">
        <f t="shared" si="126"/>
        <v>3.6616459496813344E-2</v>
      </c>
      <c r="AE190" s="3">
        <f t="shared" si="126"/>
        <v>1.5649349013501001E-3</v>
      </c>
      <c r="AF190" s="3">
        <f t="shared" si="126"/>
        <v>3.1819660818362551E-17</v>
      </c>
      <c r="AG190" s="3"/>
      <c r="AH190" s="3"/>
    </row>
    <row r="191" spans="2:34" x14ac:dyDescent="0.25">
      <c r="B191" s="3">
        <f t="shared" ref="B191:AF191" si="127">$C38*EXP(-B$168/$A38/EXP(-$C$126))</f>
        <v>2.3181635308382595E-6</v>
      </c>
      <c r="C191" s="3">
        <f t="shared" si="127"/>
        <v>2.3181635308382595E-6</v>
      </c>
      <c r="D191" s="3">
        <f t="shared" si="127"/>
        <v>2.3181635308382595E-6</v>
      </c>
      <c r="E191" s="3">
        <f t="shared" si="127"/>
        <v>2.3181635308382595E-6</v>
      </c>
      <c r="F191" s="3">
        <f t="shared" si="127"/>
        <v>2.3181635308382595E-6</v>
      </c>
      <c r="G191" s="3">
        <f t="shared" si="127"/>
        <v>2.3181635308382595E-6</v>
      </c>
      <c r="H191" s="3">
        <f t="shared" si="127"/>
        <v>2.3181635308382595E-6</v>
      </c>
      <c r="I191" s="3">
        <f t="shared" si="127"/>
        <v>2.3181635308382595E-6</v>
      </c>
      <c r="J191" s="3">
        <f t="shared" si="127"/>
        <v>2.3181635308382595E-6</v>
      </c>
      <c r="K191" s="3">
        <f t="shared" si="127"/>
        <v>2.3181635308382595E-6</v>
      </c>
      <c r="L191" s="3">
        <f t="shared" si="127"/>
        <v>2.3181635308382595E-6</v>
      </c>
      <c r="M191" s="3">
        <f t="shared" si="127"/>
        <v>2.3181635308382595E-6</v>
      </c>
      <c r="N191" s="3">
        <f t="shared" si="127"/>
        <v>2.3181635308382595E-6</v>
      </c>
      <c r="O191" s="3">
        <f t="shared" si="127"/>
        <v>2.3181635308382595E-6</v>
      </c>
      <c r="P191" s="3">
        <f t="shared" si="127"/>
        <v>2.3181635308382587E-6</v>
      </c>
      <c r="Q191" s="3">
        <f t="shared" si="127"/>
        <v>2.3181635308382523E-6</v>
      </c>
      <c r="R191" s="3">
        <f t="shared" si="127"/>
        <v>2.3181635308381863E-6</v>
      </c>
      <c r="S191" s="3">
        <f t="shared" si="127"/>
        <v>2.3181635308375273E-6</v>
      </c>
      <c r="T191" s="3">
        <f t="shared" si="127"/>
        <v>2.3181635308309344E-6</v>
      </c>
      <c r="U191" s="3">
        <f t="shared" si="127"/>
        <v>2.3181635307650069E-6</v>
      </c>
      <c r="V191" s="3">
        <f t="shared" si="127"/>
        <v>2.318163530105731E-6</v>
      </c>
      <c r="W191" s="3">
        <f t="shared" si="127"/>
        <v>2.3181635235129763E-6</v>
      </c>
      <c r="X191" s="3">
        <f t="shared" si="127"/>
        <v>2.3181634575854302E-6</v>
      </c>
      <c r="Y191" s="3">
        <f t="shared" si="127"/>
        <v>2.3181627983100725E-6</v>
      </c>
      <c r="Z191" s="3">
        <f t="shared" si="127"/>
        <v>2.3181562055668052E-6</v>
      </c>
      <c r="AA191" s="3">
        <f t="shared" si="127"/>
        <v>2.3180902791653411E-6</v>
      </c>
      <c r="AB191" s="3">
        <f t="shared" si="127"/>
        <v>2.3174311182609133E-6</v>
      </c>
      <c r="AC191" s="3">
        <f t="shared" si="127"/>
        <v>2.310849809396221E-6</v>
      </c>
      <c r="AD191" s="3">
        <f t="shared" si="127"/>
        <v>2.2460559821595863E-6</v>
      </c>
      <c r="AE191" s="3">
        <f t="shared" si="127"/>
        <v>1.6900873207420539E-6</v>
      </c>
      <c r="AF191" s="3">
        <f t="shared" si="127"/>
        <v>9.8354630902865406E-8</v>
      </c>
      <c r="AG191" s="3"/>
      <c r="AH191" s="3"/>
    </row>
    <row r="192" spans="2:34" x14ac:dyDescent="0.25">
      <c r="B192" s="3">
        <f t="shared" ref="B192:AF192" si="128">$C39*EXP(-B$168/$A39/EXP(-$C$126))</f>
        <v>7.5767559561282297E-2</v>
      </c>
      <c r="C192" s="3">
        <f t="shared" si="128"/>
        <v>7.5767559561282297E-2</v>
      </c>
      <c r="D192" s="3">
        <f t="shared" si="128"/>
        <v>7.5767559561282297E-2</v>
      </c>
      <c r="E192" s="3">
        <f t="shared" si="128"/>
        <v>7.5767559561282297E-2</v>
      </c>
      <c r="F192" s="3">
        <f t="shared" si="128"/>
        <v>7.5767559561282297E-2</v>
      </c>
      <c r="G192" s="3">
        <f t="shared" si="128"/>
        <v>7.5767559561282297E-2</v>
      </c>
      <c r="H192" s="3">
        <f t="shared" si="128"/>
        <v>7.5767559561282297E-2</v>
      </c>
      <c r="I192" s="3">
        <f t="shared" si="128"/>
        <v>7.5767559561282297E-2</v>
      </c>
      <c r="J192" s="3">
        <f t="shared" si="128"/>
        <v>7.5767559561282297E-2</v>
      </c>
      <c r="K192" s="3">
        <f t="shared" si="128"/>
        <v>7.5767559561282297E-2</v>
      </c>
      <c r="L192" s="3">
        <f t="shared" si="128"/>
        <v>7.5767559561282297E-2</v>
      </c>
      <c r="M192" s="3">
        <f t="shared" si="128"/>
        <v>7.5767559561282297E-2</v>
      </c>
      <c r="N192" s="3">
        <f t="shared" si="128"/>
        <v>7.5767559561282297E-2</v>
      </c>
      <c r="O192" s="3">
        <f t="shared" si="128"/>
        <v>7.5767559561282297E-2</v>
      </c>
      <c r="P192" s="3">
        <f t="shared" si="128"/>
        <v>7.5767559561282283E-2</v>
      </c>
      <c r="Q192" s="3">
        <f t="shared" si="128"/>
        <v>7.5767559561282227E-2</v>
      </c>
      <c r="R192" s="3">
        <f t="shared" si="128"/>
        <v>7.576755956128163E-2</v>
      </c>
      <c r="S192" s="3">
        <f t="shared" si="128"/>
        <v>7.5767559561275677E-2</v>
      </c>
      <c r="T192" s="3">
        <f t="shared" si="128"/>
        <v>7.5767559561216072E-2</v>
      </c>
      <c r="U192" s="3">
        <f t="shared" si="128"/>
        <v>7.5767559560620118E-2</v>
      </c>
      <c r="V192" s="3">
        <f t="shared" si="128"/>
        <v>7.5767559554660496E-2</v>
      </c>
      <c r="W192" s="3">
        <f t="shared" si="128"/>
        <v>7.5767559495064224E-2</v>
      </c>
      <c r="X192" s="3">
        <f t="shared" si="128"/>
        <v>7.5767558899101625E-2</v>
      </c>
      <c r="Y192" s="3">
        <f t="shared" si="128"/>
        <v>7.576755293947586E-2</v>
      </c>
      <c r="Z192" s="3">
        <f t="shared" si="128"/>
        <v>7.5767493343243938E-2</v>
      </c>
      <c r="AA192" s="3">
        <f t="shared" si="128"/>
        <v>7.5766897383502993E-2</v>
      </c>
      <c r="AB192" s="3">
        <f t="shared" si="128"/>
        <v>7.576093804390574E-2</v>
      </c>
      <c r="AC192" s="3">
        <f t="shared" si="128"/>
        <v>7.5701370421645819E-2</v>
      </c>
      <c r="AD192" s="3">
        <f t="shared" si="128"/>
        <v>7.5108264085153795E-2</v>
      </c>
      <c r="AE192" s="3">
        <f t="shared" si="128"/>
        <v>6.9426864956338319E-2</v>
      </c>
      <c r="AF192" s="3">
        <f t="shared" si="128"/>
        <v>3.1617378280326007E-2</v>
      </c>
      <c r="AG192" s="3"/>
      <c r="AH192" s="3"/>
    </row>
    <row r="193" spans="1:34" x14ac:dyDescent="0.25">
      <c r="B193" s="3">
        <f t="shared" ref="B193:AF193" si="129">$C40*EXP(-B$168/$A40/EXP(-$C$126))</f>
        <v>3.067875950056604E-2</v>
      </c>
      <c r="C193" s="3">
        <f t="shared" si="129"/>
        <v>3.067875950056604E-2</v>
      </c>
      <c r="D193" s="3">
        <f t="shared" si="129"/>
        <v>3.067875950056604E-2</v>
      </c>
      <c r="E193" s="3">
        <f t="shared" si="129"/>
        <v>3.067875950056604E-2</v>
      </c>
      <c r="F193" s="3">
        <f t="shared" si="129"/>
        <v>3.067875950056604E-2</v>
      </c>
      <c r="G193" s="3">
        <f t="shared" si="129"/>
        <v>3.067875950056604E-2</v>
      </c>
      <c r="H193" s="3">
        <f t="shared" si="129"/>
        <v>3.067875950056604E-2</v>
      </c>
      <c r="I193" s="3">
        <f t="shared" si="129"/>
        <v>3.067875950056604E-2</v>
      </c>
      <c r="J193" s="3">
        <f t="shared" si="129"/>
        <v>3.067875950056604E-2</v>
      </c>
      <c r="K193" s="3">
        <f t="shared" si="129"/>
        <v>3.067875950056604E-2</v>
      </c>
      <c r="L193" s="3">
        <f t="shared" si="129"/>
        <v>3.067875950056604E-2</v>
      </c>
      <c r="M193" s="3">
        <f t="shared" si="129"/>
        <v>3.067875950056604E-2</v>
      </c>
      <c r="N193" s="3">
        <f t="shared" si="129"/>
        <v>3.067875950056604E-2</v>
      </c>
      <c r="O193" s="3">
        <f t="shared" si="129"/>
        <v>3.067875950056604E-2</v>
      </c>
      <c r="P193" s="3">
        <f t="shared" si="129"/>
        <v>3.067875950056604E-2</v>
      </c>
      <c r="Q193" s="3">
        <f t="shared" si="129"/>
        <v>3.0678759500566036E-2</v>
      </c>
      <c r="R193" s="3">
        <f t="shared" si="129"/>
        <v>3.0678759500566012E-2</v>
      </c>
      <c r="S193" s="3">
        <f t="shared" si="129"/>
        <v>3.0678759500565769E-2</v>
      </c>
      <c r="T193" s="3">
        <f t="shared" si="129"/>
        <v>3.0678759500563358E-2</v>
      </c>
      <c r="U193" s="3">
        <f t="shared" si="129"/>
        <v>3.0678759500539228E-2</v>
      </c>
      <c r="V193" s="3">
        <f t="shared" si="129"/>
        <v>3.0678759500297918E-2</v>
      </c>
      <c r="W193" s="3">
        <f t="shared" si="129"/>
        <v>3.067875949788483E-2</v>
      </c>
      <c r="X193" s="3">
        <f t="shared" si="129"/>
        <v>3.0678759473753928E-2</v>
      </c>
      <c r="Y193" s="3">
        <f t="shared" si="129"/>
        <v>3.0678759232444938E-2</v>
      </c>
      <c r="Z193" s="3">
        <f t="shared" si="129"/>
        <v>3.067875681935513E-2</v>
      </c>
      <c r="AA193" s="3">
        <f t="shared" si="129"/>
        <v>3.0678732688467499E-2</v>
      </c>
      <c r="AB193" s="3">
        <f t="shared" si="129"/>
        <v>3.0678491380635092E-2</v>
      </c>
      <c r="AC193" s="3">
        <f t="shared" si="129"/>
        <v>3.0676078406700797E-2</v>
      </c>
      <c r="AD193" s="3">
        <f t="shared" si="129"/>
        <v>3.0651959103295563E-2</v>
      </c>
      <c r="AE193" s="3">
        <f t="shared" si="129"/>
        <v>3.041180663222668E-2</v>
      </c>
      <c r="AF193" s="3">
        <f t="shared" si="129"/>
        <v>2.8111372534719823E-2</v>
      </c>
      <c r="AG193" s="3"/>
      <c r="AH193" s="3"/>
    </row>
    <row r="194" spans="1:34" x14ac:dyDescent="0.25">
      <c r="B194" s="3">
        <f t="shared" ref="B194:AF194" si="130">$C41*EXP(-B$168/$A41/EXP(-$C$126))</f>
        <v>7.5768782257570458E-2</v>
      </c>
      <c r="C194" s="3">
        <f t="shared" si="130"/>
        <v>7.5768782257570458E-2</v>
      </c>
      <c r="D194" s="3">
        <f t="shared" si="130"/>
        <v>7.5768782257570458E-2</v>
      </c>
      <c r="E194" s="3">
        <f t="shared" si="130"/>
        <v>7.5768782257570458E-2</v>
      </c>
      <c r="F194" s="3">
        <f t="shared" si="130"/>
        <v>7.5768782257570458E-2</v>
      </c>
      <c r="G194" s="3">
        <f t="shared" si="130"/>
        <v>7.5768782257570458E-2</v>
      </c>
      <c r="H194" s="3">
        <f t="shared" si="130"/>
        <v>7.5768782257570458E-2</v>
      </c>
      <c r="I194" s="3">
        <f t="shared" si="130"/>
        <v>7.5768782257570458E-2</v>
      </c>
      <c r="J194" s="3">
        <f t="shared" si="130"/>
        <v>7.5768782257570458E-2</v>
      </c>
      <c r="K194" s="3">
        <f t="shared" si="130"/>
        <v>7.5768782257570458E-2</v>
      </c>
      <c r="L194" s="3">
        <f t="shared" si="130"/>
        <v>7.5768782257570458E-2</v>
      </c>
      <c r="M194" s="3">
        <f t="shared" si="130"/>
        <v>7.5768782257570458E-2</v>
      </c>
      <c r="N194" s="3">
        <f t="shared" si="130"/>
        <v>7.5768782257570458E-2</v>
      </c>
      <c r="O194" s="3">
        <f t="shared" si="130"/>
        <v>7.5768782257570458E-2</v>
      </c>
      <c r="P194" s="3">
        <f t="shared" si="130"/>
        <v>7.5768782257570458E-2</v>
      </c>
      <c r="Q194" s="3">
        <f t="shared" si="130"/>
        <v>7.5768782257570458E-2</v>
      </c>
      <c r="R194" s="3">
        <f t="shared" si="130"/>
        <v>7.5768782257570444E-2</v>
      </c>
      <c r="S194" s="3">
        <f t="shared" si="130"/>
        <v>7.5768782257570388E-2</v>
      </c>
      <c r="T194" s="3">
        <f t="shared" si="130"/>
        <v>7.5768782257569792E-2</v>
      </c>
      <c r="U194" s="3">
        <f t="shared" si="130"/>
        <v>7.5768782257563838E-2</v>
      </c>
      <c r="V194" s="3">
        <f t="shared" si="130"/>
        <v>7.5768782257504233E-2</v>
      </c>
      <c r="W194" s="3">
        <f t="shared" si="130"/>
        <v>7.5768782256908265E-2</v>
      </c>
      <c r="X194" s="3">
        <f t="shared" si="130"/>
        <v>7.5768782250948546E-2</v>
      </c>
      <c r="Y194" s="3">
        <f t="shared" si="130"/>
        <v>7.5768782191351317E-2</v>
      </c>
      <c r="Z194" s="3">
        <f t="shared" si="130"/>
        <v>7.5768781595379101E-2</v>
      </c>
      <c r="AA194" s="3">
        <f t="shared" si="130"/>
        <v>7.5768775635657162E-2</v>
      </c>
      <c r="AB194" s="3">
        <f t="shared" si="130"/>
        <v>7.576871603846351E-2</v>
      </c>
      <c r="AC194" s="3">
        <f t="shared" si="130"/>
        <v>7.5768120069105285E-2</v>
      </c>
      <c r="AD194" s="3">
        <f t="shared" si="130"/>
        <v>7.5762160633339404E-2</v>
      </c>
      <c r="AE194" s="3">
        <f t="shared" si="130"/>
        <v>7.57025920498091E-2</v>
      </c>
      <c r="AF194" s="3">
        <f t="shared" si="130"/>
        <v>7.5109476142084741E-2</v>
      </c>
      <c r="AG194" s="3"/>
      <c r="AH194" s="3"/>
    </row>
    <row r="195" spans="1:34" x14ac:dyDescent="0.25">
      <c r="B195" s="3">
        <f t="shared" ref="B195:AF195" si="131">$C42*EXP(-B$168/$A42/EXP(-$C$126))</f>
        <v>3.996144450245992E-2</v>
      </c>
      <c r="C195" s="3">
        <f t="shared" si="131"/>
        <v>3.996144450245992E-2</v>
      </c>
      <c r="D195" s="3">
        <f t="shared" si="131"/>
        <v>3.996144450245992E-2</v>
      </c>
      <c r="E195" s="3">
        <f t="shared" si="131"/>
        <v>3.996144450245992E-2</v>
      </c>
      <c r="F195" s="3">
        <f t="shared" si="131"/>
        <v>3.996144450245992E-2</v>
      </c>
      <c r="G195" s="3">
        <f t="shared" si="131"/>
        <v>3.996144450245992E-2</v>
      </c>
      <c r="H195" s="3">
        <f t="shared" si="131"/>
        <v>3.996144450245992E-2</v>
      </c>
      <c r="I195" s="3">
        <f t="shared" si="131"/>
        <v>3.996144450245992E-2</v>
      </c>
      <c r="J195" s="3">
        <f t="shared" si="131"/>
        <v>3.996144450245992E-2</v>
      </c>
      <c r="K195" s="3">
        <f t="shared" si="131"/>
        <v>3.996144450245992E-2</v>
      </c>
      <c r="L195" s="3">
        <f t="shared" si="131"/>
        <v>3.996144450245992E-2</v>
      </c>
      <c r="M195" s="3">
        <f t="shared" si="131"/>
        <v>3.996144450245992E-2</v>
      </c>
      <c r="N195" s="3">
        <f t="shared" si="131"/>
        <v>3.996144450245992E-2</v>
      </c>
      <c r="O195" s="3">
        <f t="shared" si="131"/>
        <v>3.996144450245992E-2</v>
      </c>
      <c r="P195" s="3">
        <f t="shared" si="131"/>
        <v>3.996144450245992E-2</v>
      </c>
      <c r="Q195" s="3">
        <f t="shared" si="131"/>
        <v>3.996144450245992E-2</v>
      </c>
      <c r="R195" s="3">
        <f t="shared" si="131"/>
        <v>3.996144450245992E-2</v>
      </c>
      <c r="S195" s="3">
        <f t="shared" si="131"/>
        <v>3.9961444502459913E-2</v>
      </c>
      <c r="T195" s="3">
        <f t="shared" si="131"/>
        <v>3.9961444502459885E-2</v>
      </c>
      <c r="U195" s="3">
        <f t="shared" si="131"/>
        <v>3.9961444502459566E-2</v>
      </c>
      <c r="V195" s="3">
        <f t="shared" si="131"/>
        <v>3.9961444502456429E-2</v>
      </c>
      <c r="W195" s="3">
        <f t="shared" si="131"/>
        <v>3.9961444502424996E-2</v>
      </c>
      <c r="X195" s="3">
        <f t="shared" si="131"/>
        <v>3.9961444502110671E-2</v>
      </c>
      <c r="Y195" s="3">
        <f t="shared" si="131"/>
        <v>3.9961444498967436E-2</v>
      </c>
      <c r="Z195" s="3">
        <f t="shared" si="131"/>
        <v>3.9961444467535079E-2</v>
      </c>
      <c r="AA195" s="3">
        <f t="shared" si="131"/>
        <v>3.9961444153211553E-2</v>
      </c>
      <c r="AB195" s="3">
        <f t="shared" si="131"/>
        <v>3.996144100997643E-2</v>
      </c>
      <c r="AC195" s="3">
        <f t="shared" si="131"/>
        <v>3.9961409577638794E-2</v>
      </c>
      <c r="AD195" s="3">
        <f t="shared" si="131"/>
        <v>3.9961095255622206E-2</v>
      </c>
      <c r="AE195" s="3">
        <f t="shared" si="131"/>
        <v>3.9957952171432005E-2</v>
      </c>
      <c r="AF195" s="3">
        <f t="shared" si="131"/>
        <v>3.992653492314175E-2</v>
      </c>
      <c r="AG195" s="3"/>
      <c r="AH195" s="3"/>
    </row>
    <row r="196" spans="1:34" x14ac:dyDescent="0.25">
      <c r="B196" s="3">
        <f t="shared" ref="B196:AF196" si="132">$C43*EXP(-B$168/$A43/EXP(-$C$126))</f>
        <v>4.8323610204746917E-2</v>
      </c>
      <c r="C196" s="3">
        <f t="shared" si="132"/>
        <v>4.8323610204746917E-2</v>
      </c>
      <c r="D196" s="3">
        <f t="shared" si="132"/>
        <v>4.8323610204746917E-2</v>
      </c>
      <c r="E196" s="3">
        <f t="shared" si="132"/>
        <v>4.8323610204746917E-2</v>
      </c>
      <c r="F196" s="3">
        <f t="shared" si="132"/>
        <v>4.8323610204746917E-2</v>
      </c>
      <c r="G196" s="3">
        <f t="shared" si="132"/>
        <v>4.8323610204746917E-2</v>
      </c>
      <c r="H196" s="3">
        <f t="shared" si="132"/>
        <v>4.8323610204746917E-2</v>
      </c>
      <c r="I196" s="3">
        <f t="shared" si="132"/>
        <v>4.8323610204746917E-2</v>
      </c>
      <c r="J196" s="3">
        <f t="shared" si="132"/>
        <v>4.8323610204746917E-2</v>
      </c>
      <c r="K196" s="3">
        <f t="shared" si="132"/>
        <v>4.8323610204746917E-2</v>
      </c>
      <c r="L196" s="3">
        <f t="shared" si="132"/>
        <v>4.8323610204746917E-2</v>
      </c>
      <c r="M196" s="3">
        <f t="shared" si="132"/>
        <v>4.8323610204746917E-2</v>
      </c>
      <c r="N196" s="3">
        <f t="shared" si="132"/>
        <v>4.8323610204746917E-2</v>
      </c>
      <c r="O196" s="3">
        <f t="shared" si="132"/>
        <v>4.8323610204746917E-2</v>
      </c>
      <c r="P196" s="3">
        <f t="shared" si="132"/>
        <v>4.8323610204746917E-2</v>
      </c>
      <c r="Q196" s="3">
        <f t="shared" si="132"/>
        <v>4.8323610204746917E-2</v>
      </c>
      <c r="R196" s="3">
        <f t="shared" si="132"/>
        <v>4.8323610204746917E-2</v>
      </c>
      <c r="S196" s="3">
        <f t="shared" si="132"/>
        <v>4.8323610204746917E-2</v>
      </c>
      <c r="T196" s="3">
        <f t="shared" si="132"/>
        <v>4.832361020474691E-2</v>
      </c>
      <c r="U196" s="3">
        <f t="shared" si="132"/>
        <v>4.8323610204746875E-2</v>
      </c>
      <c r="V196" s="3">
        <f t="shared" si="132"/>
        <v>4.8323610204746494E-2</v>
      </c>
      <c r="W196" s="3">
        <f t="shared" si="132"/>
        <v>4.8323610204742698E-2</v>
      </c>
      <c r="X196" s="3">
        <f t="shared" si="132"/>
        <v>4.8323610204704687E-2</v>
      </c>
      <c r="Y196" s="3">
        <f t="shared" si="132"/>
        <v>4.8323610204324581E-2</v>
      </c>
      <c r="Z196" s="3">
        <f t="shared" si="132"/>
        <v>4.8323610200523615E-2</v>
      </c>
      <c r="AA196" s="3">
        <f t="shared" si="132"/>
        <v>4.8323610162513853E-2</v>
      </c>
      <c r="AB196" s="3">
        <f t="shared" si="132"/>
        <v>4.8323609782416295E-2</v>
      </c>
      <c r="AC196" s="3">
        <f t="shared" si="132"/>
        <v>4.8323605981440858E-2</v>
      </c>
      <c r="AD196" s="3">
        <f t="shared" si="132"/>
        <v>4.8323567971702952E-2</v>
      </c>
      <c r="AE196" s="3">
        <f t="shared" si="132"/>
        <v>4.8323187875968239E-2</v>
      </c>
      <c r="AF196" s="3">
        <f t="shared" si="132"/>
        <v>4.8319387083050488E-2</v>
      </c>
      <c r="AG196" s="3"/>
      <c r="AH196" s="3"/>
    </row>
    <row r="197" spans="1:34" x14ac:dyDescent="0.25">
      <c r="B197" s="3">
        <f t="shared" ref="B197:AF197" si="133">$C44*EXP(-B$168/$A44/EXP(-$C$126))</f>
        <v>1.4844365312015322E-2</v>
      </c>
      <c r="C197" s="3">
        <f t="shared" si="133"/>
        <v>1.4844365312015322E-2</v>
      </c>
      <c r="D197" s="3">
        <f t="shared" si="133"/>
        <v>1.4844365312015322E-2</v>
      </c>
      <c r="E197" s="3">
        <f t="shared" si="133"/>
        <v>1.4844365312015322E-2</v>
      </c>
      <c r="F197" s="3">
        <f t="shared" si="133"/>
        <v>1.4844365312015322E-2</v>
      </c>
      <c r="G197" s="3">
        <f t="shared" si="133"/>
        <v>1.4844365312015322E-2</v>
      </c>
      <c r="H197" s="3">
        <f t="shared" si="133"/>
        <v>1.4844365312015322E-2</v>
      </c>
      <c r="I197" s="3">
        <f t="shared" si="133"/>
        <v>1.4844365312015322E-2</v>
      </c>
      <c r="J197" s="3">
        <f t="shared" si="133"/>
        <v>1.4844365312015322E-2</v>
      </c>
      <c r="K197" s="3">
        <f t="shared" si="133"/>
        <v>1.4844365312015322E-2</v>
      </c>
      <c r="L197" s="3">
        <f t="shared" si="133"/>
        <v>1.4844365312015322E-2</v>
      </c>
      <c r="M197" s="3">
        <f t="shared" si="133"/>
        <v>1.4844365312015322E-2</v>
      </c>
      <c r="N197" s="3">
        <f t="shared" si="133"/>
        <v>1.4844365312015322E-2</v>
      </c>
      <c r="O197" s="3">
        <f t="shared" si="133"/>
        <v>1.4844365312015322E-2</v>
      </c>
      <c r="P197" s="3">
        <f t="shared" si="133"/>
        <v>1.4844365312015322E-2</v>
      </c>
      <c r="Q197" s="3">
        <f t="shared" si="133"/>
        <v>1.4844365312015322E-2</v>
      </c>
      <c r="R197" s="3">
        <f t="shared" si="133"/>
        <v>1.4844365312015322E-2</v>
      </c>
      <c r="S197" s="3">
        <f t="shared" si="133"/>
        <v>1.4844365312015322E-2</v>
      </c>
      <c r="T197" s="3">
        <f t="shared" si="133"/>
        <v>1.4844365312015322E-2</v>
      </c>
      <c r="U197" s="3">
        <f t="shared" si="133"/>
        <v>1.484436531201532E-2</v>
      </c>
      <c r="V197" s="3">
        <f t="shared" si="133"/>
        <v>1.4844365312015308E-2</v>
      </c>
      <c r="W197" s="3">
        <f t="shared" si="133"/>
        <v>1.4844365312015191E-2</v>
      </c>
      <c r="X197" s="3">
        <f t="shared" si="133"/>
        <v>1.4844365312014024E-2</v>
      </c>
      <c r="Y197" s="3">
        <f t="shared" si="133"/>
        <v>1.4844365312002348E-2</v>
      </c>
      <c r="Z197" s="3">
        <f t="shared" si="133"/>
        <v>1.4844365311885587E-2</v>
      </c>
      <c r="AA197" s="3">
        <f t="shared" si="133"/>
        <v>1.4844365310717979E-2</v>
      </c>
      <c r="AB197" s="3">
        <f t="shared" si="133"/>
        <v>1.484436529904189E-2</v>
      </c>
      <c r="AC197" s="3">
        <f t="shared" si="133"/>
        <v>1.4844365182281015E-2</v>
      </c>
      <c r="AD197" s="3">
        <f t="shared" si="133"/>
        <v>1.4844364014672311E-2</v>
      </c>
      <c r="AE197" s="3">
        <f t="shared" si="133"/>
        <v>1.4844352338590319E-2</v>
      </c>
      <c r="AF197" s="3">
        <f t="shared" si="133"/>
        <v>1.4844235578275522E-2</v>
      </c>
      <c r="AG197" s="3"/>
      <c r="AH197" s="3"/>
    </row>
    <row r="198" spans="1:34" x14ac:dyDescent="0.25">
      <c r="B198" s="3">
        <f t="shared" ref="B198:AF198" si="134">$C45*EXP(-B$168/$A45/EXP(-$C$126))</f>
        <v>1.5641900970231219E-2</v>
      </c>
      <c r="C198" s="3">
        <f t="shared" si="134"/>
        <v>1.5641900970231219E-2</v>
      </c>
      <c r="D198" s="3">
        <f t="shared" si="134"/>
        <v>1.5641900970231219E-2</v>
      </c>
      <c r="E198" s="3">
        <f t="shared" si="134"/>
        <v>1.5641900970231219E-2</v>
      </c>
      <c r="F198" s="3">
        <f t="shared" si="134"/>
        <v>1.5641900970231219E-2</v>
      </c>
      <c r="G198" s="3">
        <f t="shared" si="134"/>
        <v>1.5641900970231219E-2</v>
      </c>
      <c r="H198" s="3">
        <f t="shared" si="134"/>
        <v>1.5641900970231219E-2</v>
      </c>
      <c r="I198" s="3">
        <f t="shared" si="134"/>
        <v>1.5641900970231219E-2</v>
      </c>
      <c r="J198" s="3">
        <f t="shared" si="134"/>
        <v>1.5641900970231219E-2</v>
      </c>
      <c r="K198" s="3">
        <f t="shared" si="134"/>
        <v>1.5641900970231219E-2</v>
      </c>
      <c r="L198" s="3">
        <f t="shared" si="134"/>
        <v>1.5641900970231219E-2</v>
      </c>
      <c r="M198" s="3">
        <f t="shared" si="134"/>
        <v>1.5641900970231219E-2</v>
      </c>
      <c r="N198" s="3">
        <f t="shared" si="134"/>
        <v>1.5641900970231219E-2</v>
      </c>
      <c r="O198" s="3">
        <f t="shared" si="134"/>
        <v>1.5641900970231219E-2</v>
      </c>
      <c r="P198" s="3">
        <f t="shared" si="134"/>
        <v>1.5641900970231219E-2</v>
      </c>
      <c r="Q198" s="3">
        <f t="shared" si="134"/>
        <v>1.5641900970231219E-2</v>
      </c>
      <c r="R198" s="3">
        <f t="shared" si="134"/>
        <v>1.5641900970231219E-2</v>
      </c>
      <c r="S198" s="3">
        <f t="shared" si="134"/>
        <v>1.5641900970231219E-2</v>
      </c>
      <c r="T198" s="3">
        <f t="shared" si="134"/>
        <v>1.5641900970231219E-2</v>
      </c>
      <c r="U198" s="3">
        <f t="shared" si="134"/>
        <v>1.5641900970231219E-2</v>
      </c>
      <c r="V198" s="3">
        <f t="shared" si="134"/>
        <v>1.5641900970231215E-2</v>
      </c>
      <c r="W198" s="3">
        <f t="shared" si="134"/>
        <v>1.5641900970231205E-2</v>
      </c>
      <c r="X198" s="3">
        <f t="shared" si="134"/>
        <v>1.564190097023108E-2</v>
      </c>
      <c r="Y198" s="3">
        <f t="shared" si="134"/>
        <v>1.5641900970229852E-2</v>
      </c>
      <c r="Z198" s="3">
        <f t="shared" si="134"/>
        <v>1.5641900970217549E-2</v>
      </c>
      <c r="AA198" s="3">
        <f t="shared" si="134"/>
        <v>1.5641900970094512E-2</v>
      </c>
      <c r="AB198" s="3">
        <f t="shared" si="134"/>
        <v>1.5641900968864173E-2</v>
      </c>
      <c r="AC198" s="3">
        <f t="shared" si="134"/>
        <v>1.5641900956560772E-2</v>
      </c>
      <c r="AD198" s="3">
        <f t="shared" si="134"/>
        <v>1.5641900833526741E-2</v>
      </c>
      <c r="AE198" s="3">
        <f t="shared" si="134"/>
        <v>1.5641899603186519E-2</v>
      </c>
      <c r="AF198" s="3">
        <f t="shared" si="134"/>
        <v>1.5641887299789617E-2</v>
      </c>
      <c r="AG198" s="3"/>
      <c r="AH198" s="3"/>
    </row>
    <row r="199" spans="1:34" x14ac:dyDescent="0.25">
      <c r="B199" s="3">
        <f t="shared" ref="B199:AF199" si="135">$C46*EXP(-B$168/$A46/EXP(-$C$126))</f>
        <v>1.5176002473828224E-3</v>
      </c>
      <c r="C199" s="3">
        <f t="shared" si="135"/>
        <v>1.5176002473828224E-3</v>
      </c>
      <c r="D199" s="3">
        <f t="shared" si="135"/>
        <v>1.5176002473828224E-3</v>
      </c>
      <c r="E199" s="3">
        <f t="shared" si="135"/>
        <v>1.5176002473828224E-3</v>
      </c>
      <c r="F199" s="3">
        <f t="shared" si="135"/>
        <v>1.5176002473828224E-3</v>
      </c>
      <c r="G199" s="3">
        <f t="shared" si="135"/>
        <v>1.5176002473828224E-3</v>
      </c>
      <c r="H199" s="3">
        <f t="shared" si="135"/>
        <v>1.5176002473828224E-3</v>
      </c>
      <c r="I199" s="3">
        <f t="shared" si="135"/>
        <v>1.5176002473828224E-3</v>
      </c>
      <c r="J199" s="3">
        <f t="shared" si="135"/>
        <v>1.5176002473828224E-3</v>
      </c>
      <c r="K199" s="3">
        <f t="shared" si="135"/>
        <v>1.5176002473828224E-3</v>
      </c>
      <c r="L199" s="3">
        <f t="shared" si="135"/>
        <v>1.5176002473828224E-3</v>
      </c>
      <c r="M199" s="3">
        <f t="shared" si="135"/>
        <v>1.5176002473828224E-3</v>
      </c>
      <c r="N199" s="3">
        <f t="shared" si="135"/>
        <v>1.5176002473828224E-3</v>
      </c>
      <c r="O199" s="3">
        <f t="shared" si="135"/>
        <v>1.5176002473828224E-3</v>
      </c>
      <c r="P199" s="3">
        <f t="shared" si="135"/>
        <v>1.5176002473828224E-3</v>
      </c>
      <c r="Q199" s="3">
        <f t="shared" si="135"/>
        <v>1.5176002473828224E-3</v>
      </c>
      <c r="R199" s="3">
        <f t="shared" si="135"/>
        <v>1.5176002473828224E-3</v>
      </c>
      <c r="S199" s="3">
        <f t="shared" si="135"/>
        <v>1.5176002473828224E-3</v>
      </c>
      <c r="T199" s="3">
        <f t="shared" si="135"/>
        <v>1.5176002473828224E-3</v>
      </c>
      <c r="U199" s="3">
        <f t="shared" si="135"/>
        <v>1.5176002473828224E-3</v>
      </c>
      <c r="V199" s="3">
        <f t="shared" si="135"/>
        <v>1.5176002473828224E-3</v>
      </c>
      <c r="W199" s="3">
        <f t="shared" si="135"/>
        <v>1.5176002473828222E-3</v>
      </c>
      <c r="X199" s="3">
        <f t="shared" si="135"/>
        <v>1.5176002473828211E-3</v>
      </c>
      <c r="Y199" s="3">
        <f t="shared" si="135"/>
        <v>1.5176002473828091E-3</v>
      </c>
      <c r="Z199" s="3">
        <f t="shared" si="135"/>
        <v>1.5176002473826897E-3</v>
      </c>
      <c r="AA199" s="3">
        <f t="shared" si="135"/>
        <v>1.517600247381496E-3</v>
      </c>
      <c r="AB199" s="3">
        <f t="shared" si="135"/>
        <v>1.5176002473695591E-3</v>
      </c>
      <c r="AC199" s="3">
        <f t="shared" si="135"/>
        <v>1.5176002472501897E-3</v>
      </c>
      <c r="AD199" s="3">
        <f t="shared" si="135"/>
        <v>1.5176002460564953E-3</v>
      </c>
      <c r="AE199" s="3">
        <f t="shared" si="135"/>
        <v>1.517600234119553E-3</v>
      </c>
      <c r="AF199" s="3">
        <f t="shared" si="135"/>
        <v>1.5176001147501343E-3</v>
      </c>
      <c r="AG199" s="3"/>
      <c r="AH199" s="3"/>
    </row>
    <row r="200" spans="1:34" x14ac:dyDescent="0.25">
      <c r="B200" s="3">
        <f t="shared" ref="B200:AF200" si="136">$C47*EXP(-B$168/$A47/EXP(-$C$126))</f>
        <v>3.5883218113444658E-3</v>
      </c>
      <c r="C200" s="3">
        <f t="shared" si="136"/>
        <v>3.5883218113444658E-3</v>
      </c>
      <c r="D200" s="3">
        <f t="shared" si="136"/>
        <v>3.5883218113444658E-3</v>
      </c>
      <c r="E200" s="3">
        <f t="shared" si="136"/>
        <v>3.5883218113444658E-3</v>
      </c>
      <c r="F200" s="3">
        <f t="shared" si="136"/>
        <v>3.5883218113444658E-3</v>
      </c>
      <c r="G200" s="3">
        <f t="shared" si="136"/>
        <v>3.5883218113444658E-3</v>
      </c>
      <c r="H200" s="3">
        <f t="shared" si="136"/>
        <v>3.5883218113444658E-3</v>
      </c>
      <c r="I200" s="3">
        <f t="shared" si="136"/>
        <v>3.5883218113444658E-3</v>
      </c>
      <c r="J200" s="3">
        <f t="shared" si="136"/>
        <v>3.5883218113444658E-3</v>
      </c>
      <c r="K200" s="3">
        <f t="shared" si="136"/>
        <v>3.5883218113444658E-3</v>
      </c>
      <c r="L200" s="3">
        <f t="shared" si="136"/>
        <v>3.5883218113444658E-3</v>
      </c>
      <c r="M200" s="3">
        <f t="shared" si="136"/>
        <v>3.5883218113444658E-3</v>
      </c>
      <c r="N200" s="3">
        <f t="shared" si="136"/>
        <v>3.5883218113444658E-3</v>
      </c>
      <c r="O200" s="3">
        <f t="shared" si="136"/>
        <v>3.5883218113444658E-3</v>
      </c>
      <c r="P200" s="3">
        <f t="shared" si="136"/>
        <v>3.5883218113444658E-3</v>
      </c>
      <c r="Q200" s="3">
        <f t="shared" si="136"/>
        <v>3.5883218113444658E-3</v>
      </c>
      <c r="R200" s="3">
        <f t="shared" si="136"/>
        <v>3.5883218113444658E-3</v>
      </c>
      <c r="S200" s="3">
        <f t="shared" si="136"/>
        <v>3.5883218113444658E-3</v>
      </c>
      <c r="T200" s="3">
        <f t="shared" si="136"/>
        <v>3.5883218113444658E-3</v>
      </c>
      <c r="U200" s="3">
        <f t="shared" si="136"/>
        <v>3.5883218113444658E-3</v>
      </c>
      <c r="V200" s="3">
        <f t="shared" si="136"/>
        <v>3.5883218113444658E-3</v>
      </c>
      <c r="W200" s="3">
        <f t="shared" si="136"/>
        <v>3.5883218113444658E-3</v>
      </c>
      <c r="X200" s="3">
        <f t="shared" si="136"/>
        <v>3.5883218113444654E-3</v>
      </c>
      <c r="Y200" s="3">
        <f t="shared" si="136"/>
        <v>3.5883218113444628E-3</v>
      </c>
      <c r="Z200" s="3">
        <f t="shared" si="136"/>
        <v>3.5883218113444341E-3</v>
      </c>
      <c r="AA200" s="3">
        <f t="shared" si="136"/>
        <v>3.5883218113441522E-3</v>
      </c>
      <c r="AB200" s="3">
        <f t="shared" si="136"/>
        <v>3.5883218113413298E-3</v>
      </c>
      <c r="AC200" s="3">
        <f t="shared" si="136"/>
        <v>3.588321811313105E-3</v>
      </c>
      <c r="AD200" s="3">
        <f t="shared" si="136"/>
        <v>3.5883218110308599E-3</v>
      </c>
      <c r="AE200" s="3">
        <f t="shared" si="136"/>
        <v>3.5883218082084041E-3</v>
      </c>
      <c r="AF200" s="3">
        <f t="shared" si="136"/>
        <v>3.5883217799838494E-3</v>
      </c>
      <c r="AG200" s="3"/>
      <c r="AH200" s="3"/>
    </row>
    <row r="201" spans="1:34" x14ac:dyDescent="0.25">
      <c r="B201" s="3">
        <f t="shared" ref="B201:AF201" si="137">$C48*EXP(-B$168/$A48/EXP(-$C$126))</f>
        <v>1.1419429769572463E-2</v>
      </c>
      <c r="C201" s="3">
        <f t="shared" si="137"/>
        <v>1.1419429769572463E-2</v>
      </c>
      <c r="D201" s="3">
        <f t="shared" si="137"/>
        <v>1.1419429769572463E-2</v>
      </c>
      <c r="E201" s="3">
        <f t="shared" si="137"/>
        <v>1.1419429769572463E-2</v>
      </c>
      <c r="F201" s="3">
        <f t="shared" si="137"/>
        <v>1.1419429769572463E-2</v>
      </c>
      <c r="G201" s="3">
        <f t="shared" si="137"/>
        <v>1.1419429769572463E-2</v>
      </c>
      <c r="H201" s="3">
        <f t="shared" si="137"/>
        <v>1.1419429769572463E-2</v>
      </c>
      <c r="I201" s="3">
        <f t="shared" si="137"/>
        <v>1.1419429769572463E-2</v>
      </c>
      <c r="J201" s="3">
        <f t="shared" si="137"/>
        <v>1.1419429769572463E-2</v>
      </c>
      <c r="K201" s="3">
        <f t="shared" si="137"/>
        <v>1.1419429769572463E-2</v>
      </c>
      <c r="L201" s="3">
        <f t="shared" si="137"/>
        <v>1.1419429769572463E-2</v>
      </c>
      <c r="M201" s="3">
        <f t="shared" si="137"/>
        <v>1.1419429769572463E-2</v>
      </c>
      <c r="N201" s="3">
        <f t="shared" si="137"/>
        <v>1.1419429769572463E-2</v>
      </c>
      <c r="O201" s="3">
        <f t="shared" si="137"/>
        <v>1.1419429769572463E-2</v>
      </c>
      <c r="P201" s="3">
        <f t="shared" si="137"/>
        <v>1.1419429769572463E-2</v>
      </c>
      <c r="Q201" s="3">
        <f t="shared" si="137"/>
        <v>1.1419429769572463E-2</v>
      </c>
      <c r="R201" s="3">
        <f t="shared" si="137"/>
        <v>1.1419429769572463E-2</v>
      </c>
      <c r="S201" s="3">
        <f t="shared" si="137"/>
        <v>1.1419429769572463E-2</v>
      </c>
      <c r="T201" s="3">
        <f t="shared" si="137"/>
        <v>1.1419429769572463E-2</v>
      </c>
      <c r="U201" s="3">
        <f t="shared" si="137"/>
        <v>1.1419429769572463E-2</v>
      </c>
      <c r="V201" s="3">
        <f t="shared" si="137"/>
        <v>1.1419429769572463E-2</v>
      </c>
      <c r="W201" s="3">
        <f t="shared" si="137"/>
        <v>1.1419429769572463E-2</v>
      </c>
      <c r="X201" s="3">
        <f t="shared" si="137"/>
        <v>1.1419429769572463E-2</v>
      </c>
      <c r="Y201" s="3">
        <f t="shared" si="137"/>
        <v>1.1419429769572461E-2</v>
      </c>
      <c r="Z201" s="3">
        <f t="shared" si="137"/>
        <v>1.1419429769572453E-2</v>
      </c>
      <c r="AA201" s="3">
        <f t="shared" si="137"/>
        <v>1.1419429769572362E-2</v>
      </c>
      <c r="AB201" s="3">
        <f t="shared" si="137"/>
        <v>1.1419429769571466E-2</v>
      </c>
      <c r="AC201" s="3">
        <f t="shared" si="137"/>
        <v>1.1419429769562483E-2</v>
      </c>
      <c r="AD201" s="3">
        <f t="shared" si="137"/>
        <v>1.1419429769472661E-2</v>
      </c>
      <c r="AE201" s="3">
        <f t="shared" si="137"/>
        <v>1.1419429768574447E-2</v>
      </c>
      <c r="AF201" s="3">
        <f t="shared" si="137"/>
        <v>1.1419429759592301E-2</v>
      </c>
      <c r="AG201" s="3"/>
      <c r="AH201" s="3"/>
    </row>
    <row r="202" spans="1:34" x14ac:dyDescent="0.25">
      <c r="A202" s="80">
        <f>AVERAGE(B202:AF202)</f>
        <v>2.3604004440196434E-3</v>
      </c>
      <c r="B202" s="81">
        <f>IF($A$64&lt;=B168,IF($B$64&gt;=B168,ABS((B170-B169)/B169),0),0)</f>
        <v>0</v>
      </c>
      <c r="C202" s="81">
        <f t="shared" ref="C202:AF202" si="138">IF($A$64&lt;=C168,IF($B$64&gt;=C168,ABS((C170-C169)/C169),0),0)</f>
        <v>0</v>
      </c>
      <c r="D202" s="81">
        <f t="shared" si="138"/>
        <v>0</v>
      </c>
      <c r="E202" s="81">
        <f t="shared" si="138"/>
        <v>0</v>
      </c>
      <c r="F202" s="81">
        <f t="shared" si="138"/>
        <v>0</v>
      </c>
      <c r="G202" s="81">
        <f t="shared" si="138"/>
        <v>0</v>
      </c>
      <c r="H202" s="81">
        <f t="shared" si="138"/>
        <v>0</v>
      </c>
      <c r="I202" s="81">
        <f t="shared" si="138"/>
        <v>0</v>
      </c>
      <c r="J202" s="81">
        <f t="shared" si="138"/>
        <v>0</v>
      </c>
      <c r="K202" s="81">
        <f t="shared" si="138"/>
        <v>0</v>
      </c>
      <c r="L202" s="81">
        <f t="shared" si="138"/>
        <v>7.2376802399960359E-3</v>
      </c>
      <c r="M202" s="81">
        <f t="shared" si="138"/>
        <v>3.9170784779759401E-3</v>
      </c>
      <c r="N202" s="81">
        <f t="shared" si="138"/>
        <v>4.14250214693326E-3</v>
      </c>
      <c r="O202" s="81">
        <f t="shared" si="138"/>
        <v>4.3635502131165946E-3</v>
      </c>
      <c r="P202" s="81">
        <f t="shared" si="138"/>
        <v>4.360023166143894E-3</v>
      </c>
      <c r="Q202" s="81">
        <f t="shared" si="138"/>
        <v>4.4324026822244551E-3</v>
      </c>
      <c r="R202" s="81">
        <f t="shared" si="138"/>
        <v>4.201920587897293E-3</v>
      </c>
      <c r="S202" s="81">
        <f t="shared" si="138"/>
        <v>3.8214313111219916E-3</v>
      </c>
      <c r="T202" s="81">
        <f t="shared" si="138"/>
        <v>1.0448513728443659E-3</v>
      </c>
      <c r="U202" s="81">
        <f t="shared" si="138"/>
        <v>9.6017937094415653E-3</v>
      </c>
      <c r="V202" s="81">
        <f t="shared" si="138"/>
        <v>2.6049179856913556E-2</v>
      </c>
      <c r="W202" s="81">
        <f t="shared" si="138"/>
        <v>0</v>
      </c>
      <c r="X202" s="81">
        <f t="shared" si="138"/>
        <v>0</v>
      </c>
      <c r="Y202" s="81">
        <f t="shared" si="138"/>
        <v>0</v>
      </c>
      <c r="Z202" s="81">
        <f t="shared" si="138"/>
        <v>0</v>
      </c>
      <c r="AA202" s="81">
        <f t="shared" si="138"/>
        <v>0</v>
      </c>
      <c r="AB202" s="81">
        <f t="shared" si="138"/>
        <v>0</v>
      </c>
      <c r="AC202" s="81">
        <f t="shared" si="138"/>
        <v>0</v>
      </c>
      <c r="AD202" s="81">
        <f t="shared" si="138"/>
        <v>0</v>
      </c>
      <c r="AE202" s="81">
        <f t="shared" si="138"/>
        <v>0</v>
      </c>
      <c r="AF202" s="81">
        <f t="shared" si="138"/>
        <v>0</v>
      </c>
    </row>
    <row r="203" spans="1:34" x14ac:dyDescent="0.25">
      <c r="B203" s="21">
        <f>(B170-B169)^2</f>
        <v>30.058194490453449</v>
      </c>
      <c r="C203" s="21">
        <f t="shared" ref="C203:AF203" si="139">(C170-C169)^2</f>
        <v>42.292526364852975</v>
      </c>
      <c r="D203" s="21">
        <f t="shared" si="139"/>
        <v>254.25908891593249</v>
      </c>
      <c r="E203" s="21">
        <f t="shared" si="139"/>
        <v>6227.1754605377218</v>
      </c>
      <c r="F203" s="21">
        <f t="shared" si="139"/>
        <v>17303.401943695364</v>
      </c>
      <c r="G203" s="21">
        <f t="shared" si="139"/>
        <v>17285.650893593258</v>
      </c>
      <c r="H203" s="21">
        <f t="shared" si="139"/>
        <v>17058.95398336554</v>
      </c>
      <c r="I203" s="21">
        <f t="shared" si="139"/>
        <v>14955.555388294866</v>
      </c>
      <c r="J203" s="21">
        <f t="shared" si="139"/>
        <v>2828.6447538958141</v>
      </c>
      <c r="K203" s="21">
        <f t="shared" si="139"/>
        <v>3462.5605134807574</v>
      </c>
      <c r="L203" s="21">
        <f t="shared" si="139"/>
        <v>1448.1364376701742</v>
      </c>
      <c r="M203" s="21">
        <f t="shared" si="139"/>
        <v>406.78255189821579</v>
      </c>
      <c r="N203" s="21">
        <f t="shared" si="139"/>
        <v>433.64027359220643</v>
      </c>
      <c r="O203" s="21">
        <f t="shared" si="139"/>
        <v>456.826880641419</v>
      </c>
      <c r="P203" s="21">
        <f t="shared" si="139"/>
        <v>429.50968613092044</v>
      </c>
      <c r="Q203" s="21">
        <f t="shared" si="139"/>
        <v>415.23270449300804</v>
      </c>
      <c r="R203" s="21">
        <f t="shared" si="139"/>
        <v>347.67112146877508</v>
      </c>
      <c r="S203" s="21">
        <f t="shared" si="139"/>
        <v>267.84710362624065</v>
      </c>
      <c r="T203" s="21">
        <f t="shared" si="139"/>
        <v>18.393556817448882</v>
      </c>
      <c r="U203" s="21">
        <f t="shared" si="139"/>
        <v>1376.2417008844996</v>
      </c>
      <c r="V203" s="21">
        <f t="shared" si="139"/>
        <v>8760.5986685412227</v>
      </c>
      <c r="W203" s="21">
        <f t="shared" si="139"/>
        <v>19581.704582669263</v>
      </c>
      <c r="X203" s="21">
        <f t="shared" si="139"/>
        <v>28535.660287488816</v>
      </c>
      <c r="Y203" s="21">
        <f t="shared" si="139"/>
        <v>33590.350460690868</v>
      </c>
      <c r="Z203" s="21">
        <f t="shared" si="139"/>
        <v>29497.425288619634</v>
      </c>
      <c r="AA203" s="21">
        <f t="shared" si="139"/>
        <v>19094.203418066882</v>
      </c>
      <c r="AB203" s="21">
        <f t="shared" si="139"/>
        <v>8975.5710649202483</v>
      </c>
      <c r="AC203" s="21">
        <f t="shared" si="139"/>
        <v>4037.2982390421666</v>
      </c>
      <c r="AD203" s="21">
        <f t="shared" si="139"/>
        <v>1402.9777216818857</v>
      </c>
      <c r="AE203" s="21">
        <f t="shared" si="139"/>
        <v>165.39950704970209</v>
      </c>
      <c r="AF203" s="21">
        <f t="shared" si="139"/>
        <v>160.50119842790878</v>
      </c>
      <c r="AG203" s="3"/>
      <c r="AH203" s="3"/>
    </row>
    <row r="204" spans="1:34" x14ac:dyDescent="0.25">
      <c r="A204" s="72">
        <f>SUM(B204:AF204)</f>
        <v>14360.880685764132</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1448.1364376701742</v>
      </c>
      <c r="M204" s="60">
        <f t="shared" ref="M204" si="150">IF($A$64&lt;=M168,IF($B$64&gt;=M168,ABS(M203),0),0)</f>
        <v>406.78255189821579</v>
      </c>
      <c r="N204" s="60">
        <f t="shared" ref="N204" si="151">IF($A$64&lt;=N168,IF($B$64&gt;=N168,ABS(N203),0),0)</f>
        <v>433.64027359220643</v>
      </c>
      <c r="O204" s="60">
        <f t="shared" ref="O204" si="152">IF($A$64&lt;=O168,IF($B$64&gt;=O168,ABS(O203),0),0)</f>
        <v>456.826880641419</v>
      </c>
      <c r="P204" s="60">
        <f t="shared" ref="P204" si="153">IF($A$64&lt;=P168,IF($B$64&gt;=P168,ABS(P203),0),0)</f>
        <v>429.50968613092044</v>
      </c>
      <c r="Q204" s="60">
        <f t="shared" ref="Q204" si="154">IF($A$64&lt;=Q168,IF($B$64&gt;=Q168,ABS(Q203),0),0)</f>
        <v>415.23270449300804</v>
      </c>
      <c r="R204" s="60">
        <f t="shared" ref="R204" si="155">IF($A$64&lt;=R168,IF($B$64&gt;=R168,ABS(R203),0),0)</f>
        <v>347.67112146877508</v>
      </c>
      <c r="S204" s="60">
        <f t="shared" ref="S204" si="156">IF($A$64&lt;=S168,IF($B$64&gt;=S168,ABS(S203),0),0)</f>
        <v>267.84710362624065</v>
      </c>
      <c r="T204" s="60">
        <f t="shared" ref="T204" si="157">IF($A$64&lt;=T168,IF($B$64&gt;=T168,ABS(T203),0),0)</f>
        <v>18.393556817448882</v>
      </c>
      <c r="U204" s="60">
        <f t="shared" ref="U204" si="158">IF($A$64&lt;=U168,IF($B$64&gt;=U168,ABS(U203),0),0)</f>
        <v>1376.2417008844996</v>
      </c>
      <c r="V204" s="60">
        <f t="shared" ref="V204" si="159">IF($A$64&lt;=V168,IF($B$64&gt;=V168,ABS(V203),0),0)</f>
        <v>8760.5986685412227</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5614.15966521874</v>
      </c>
      <c r="C208" s="26">
        <f>INDEX(Comparison!$AM$3:$AS$33,G$14,$D$122)</f>
        <v>5614.1868795733999</v>
      </c>
      <c r="D208" s="26">
        <f>INDEX(Comparison!$AM$3:$AS$33,H$14,$D$122)</f>
        <v>5614.1101001096886</v>
      </c>
      <c r="E208" s="26">
        <f>INDEX(Comparison!$AM$3:$AS$33,I$14,$D$122)</f>
        <v>5613.5440717227957</v>
      </c>
      <c r="F208" s="26">
        <f>INDEX(Comparison!$AM$3:$AS$33,J$14,$D$122)</f>
        <v>5608.0875082385601</v>
      </c>
      <c r="G208" s="26">
        <f>INDEX(Comparison!$AM$3:$AS$33,K$14,$D$122)</f>
        <v>5561.0618011761198</v>
      </c>
      <c r="H208" s="26">
        <f>INDEX(Comparison!$AM$3:$AS$33,L$14,$D$122)</f>
        <v>5391.7011748892737</v>
      </c>
      <c r="I208" s="26">
        <f>INDEX(Comparison!$AM$3:$AS$33,M$14,$D$122)</f>
        <v>5273.7806689105482</v>
      </c>
      <c r="J208" s="26">
        <f>INDEX(Comparison!$AM$3:$AS$33,N$14,$D$122)</f>
        <v>5167.1400623232676</v>
      </c>
      <c r="K208" s="26">
        <f>INDEX(Comparison!$AM$3:$AS$33,O$14,$D$122)</f>
        <v>5046.4639033804824</v>
      </c>
      <c r="L208" s="26">
        <f>INDEX(Comparison!$AM$3:$AS$33,P$14,$D$122)</f>
        <v>4920.6469341545144</v>
      </c>
      <c r="M208" s="26">
        <f>INDEX(Comparison!$AM$3:$AS$33,Q$14,$D$122)</f>
        <v>4778.6212241451321</v>
      </c>
      <c r="N208" s="26">
        <f>INDEX(Comparison!$AM$3:$AS$33,R$14,$D$122)</f>
        <v>4624.8276392807802</v>
      </c>
      <c r="O208" s="26">
        <f>INDEX(Comparison!$AM$3:$AS$33,S$14,$D$122)</f>
        <v>4464.4431086830655</v>
      </c>
      <c r="P208" s="26">
        <f>INDEX(Comparison!$AM$3:$AS$33,T$14,$D$122)</f>
        <v>4311.3670250981177</v>
      </c>
      <c r="Q208" s="26">
        <f>INDEX(Comparison!$AM$3:$AS$33,U$14,$D$122)</f>
        <v>4152.6891106145395</v>
      </c>
      <c r="R208" s="26">
        <f>INDEX(Comparison!$AM$3:$AS$33,V$14,$D$122)</f>
        <v>3957.9636218361616</v>
      </c>
      <c r="S208" s="26">
        <f>INDEX(Comparison!$AM$3:$AS$33,W$14,$D$122)</f>
        <v>3730.5898476111606</v>
      </c>
      <c r="T208" s="26">
        <f>INDEX(Comparison!$AM$3:$AS$33,X$14,$D$122)</f>
        <v>3500.0702814112506</v>
      </c>
      <c r="U208" s="26">
        <f>INDEX(Comparison!$AM$3:$AS$33,Y$14,$D$122)</f>
        <v>3289.3669034465734</v>
      </c>
      <c r="V208" s="26">
        <f>INDEX(Comparison!$AM$3:$AS$33,Z$14,$D$122)</f>
        <v>3085.2633506749817</v>
      </c>
      <c r="W208" s="26">
        <f>INDEX(Comparison!$AM$3:$AS$33,AA$14,$D$122)</f>
        <v>2905.3736728917142</v>
      </c>
      <c r="X208" s="26">
        <f>INDEX(Comparison!$AM$3:$AS$33,AB$14,$D$122)</f>
        <v>2732.9260794562178</v>
      </c>
      <c r="Y208" s="26">
        <f>INDEX(Comparison!$AM$3:$AS$33,AC$14,$D$122)</f>
        <v>2568.1909736158736</v>
      </c>
      <c r="Z208" s="26">
        <f>INDEX(Comparison!$AM$3:$AS$33,AD$14,$D$122)</f>
        <v>2386.1123895749793</v>
      </c>
      <c r="AA208" s="26">
        <f>INDEX(Comparison!$AM$3:$AS$33,AE$14,$D$122)</f>
        <v>2196.768027007945</v>
      </c>
      <c r="AB208" s="26">
        <f>INDEX(Comparison!$AM$3:$AS$33,AF$14,$D$122)</f>
        <v>1987.4046244520723</v>
      </c>
      <c r="AC208" s="26">
        <f>INDEX(Comparison!$AM$3:$AS$33,AG$14,$D$122)</f>
        <v>1756.4334468648422</v>
      </c>
      <c r="AD208" s="26">
        <f>INDEX(Comparison!$AM$3:$AS$33,AH$14,$D$122)</f>
        <v>1488.4468583518017</v>
      </c>
      <c r="AE208" s="26">
        <f>INDEX(Comparison!$AM$3:$AS$33,AI$14,$D$122)</f>
        <v>1185.6745633902476</v>
      </c>
      <c r="AF208" s="26">
        <f>INDEX(Comparison!$AM$3:$AS$33,AJ$14,$D$122)</f>
        <v>877.46280556758461</v>
      </c>
      <c r="AG208" s="26"/>
      <c r="AH208" s="26"/>
    </row>
    <row r="209" spans="1:34" x14ac:dyDescent="0.25">
      <c r="A209" s="71" t="s">
        <v>22</v>
      </c>
      <c r="B209" s="27">
        <f>($C$17+SUM(B210:B240))*$B$51</f>
        <v>5555.6864669499955</v>
      </c>
      <c r="C209" s="27">
        <f t="shared" ref="C209:AF209" si="170">($C$17+SUM(C210:C240))*$B$51</f>
        <v>5488.2145626596193</v>
      </c>
      <c r="D209" s="27">
        <f t="shared" si="170"/>
        <v>5487.9604154653689</v>
      </c>
      <c r="E209" s="27">
        <f t="shared" si="170"/>
        <v>5487.9185042899107</v>
      </c>
      <c r="F209" s="27">
        <f t="shared" si="170"/>
        <v>5487.4997166669273</v>
      </c>
      <c r="G209" s="27">
        <f t="shared" si="170"/>
        <v>5483.3440824116888</v>
      </c>
      <c r="H209" s="27">
        <f t="shared" si="170"/>
        <v>5444.8473671944048</v>
      </c>
      <c r="I209" s="27">
        <f t="shared" si="170"/>
        <v>5250.7983041302023</v>
      </c>
      <c r="J209" s="27">
        <f t="shared" si="170"/>
        <v>5141.540298659349</v>
      </c>
      <c r="K209" s="27">
        <f t="shared" si="170"/>
        <v>5028.0269546046538</v>
      </c>
      <c r="L209" s="27">
        <f t="shared" si="170"/>
        <v>4898.5107638168711</v>
      </c>
      <c r="M209" s="27">
        <f t="shared" si="170"/>
        <v>4757.6899573001565</v>
      </c>
      <c r="N209" s="27">
        <f t="shared" si="170"/>
        <v>4603.2216212410422</v>
      </c>
      <c r="O209" s="27">
        <f t="shared" si="170"/>
        <v>4444.6454269554733</v>
      </c>
      <c r="P209" s="27">
        <f t="shared" si="170"/>
        <v>4290.4946479658975</v>
      </c>
      <c r="Q209" s="27">
        <f t="shared" si="170"/>
        <v>4128.4131081714677</v>
      </c>
      <c r="R209" s="27">
        <f t="shared" si="170"/>
        <v>3933.6485211869503</v>
      </c>
      <c r="S209" s="27">
        <f t="shared" si="170"/>
        <v>3717.1848396691521</v>
      </c>
      <c r="T209" s="27">
        <f t="shared" si="170"/>
        <v>3522.9269249490349</v>
      </c>
      <c r="U209" s="27">
        <f t="shared" si="170"/>
        <v>3360.8682677975285</v>
      </c>
      <c r="V209" s="27">
        <f t="shared" si="170"/>
        <v>3193.7930272590852</v>
      </c>
      <c r="W209" s="27">
        <f t="shared" si="170"/>
        <v>3023.3807803722052</v>
      </c>
      <c r="X209" s="27">
        <f t="shared" si="170"/>
        <v>2832.8089033150613</v>
      </c>
      <c r="Y209" s="27">
        <f t="shared" si="170"/>
        <v>2636.9082870455923</v>
      </c>
      <c r="Z209" s="27">
        <f t="shared" si="170"/>
        <v>2426.4733377429766</v>
      </c>
      <c r="AA209" s="27">
        <f t="shared" si="170"/>
        <v>2219.1010927437378</v>
      </c>
      <c r="AB209" s="27">
        <f t="shared" si="170"/>
        <v>1979.1431773817362</v>
      </c>
      <c r="AC209" s="27">
        <f t="shared" si="170"/>
        <v>1771.7834568237477</v>
      </c>
      <c r="AD209" s="27">
        <f t="shared" si="170"/>
        <v>1450.5005736129394</v>
      </c>
      <c r="AE209" s="27">
        <f t="shared" si="170"/>
        <v>1172.4241744021281</v>
      </c>
      <c r="AF209" s="27">
        <f t="shared" si="170"/>
        <v>839.03145877956604</v>
      </c>
      <c r="AG209" s="27"/>
      <c r="AH209" s="27"/>
    </row>
    <row r="210" spans="1:34" x14ac:dyDescent="0.25">
      <c r="B210" s="3">
        <f t="shared" ref="B210:AF210" si="171">$C18*EXP(-B$207/$A18/EXP(-$D$126))</f>
        <v>1.2062611762315404E-2</v>
      </c>
      <c r="C210" s="3">
        <f t="shared" si="171"/>
        <v>4.4522372222141284E-5</v>
      </c>
      <c r="D210" s="3">
        <f t="shared" si="171"/>
        <v>2.0890448115688876E-29</v>
      </c>
      <c r="E210" s="3">
        <f t="shared" si="171"/>
        <v>1.0805437470727337E-272</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5.0929915785999598E-2</v>
      </c>
      <c r="C211" s="3">
        <f t="shared" si="172"/>
        <v>5.0929842704422822E-2</v>
      </c>
      <c r="D211" s="3">
        <f t="shared" si="172"/>
        <v>5.0929111894422792E-2</v>
      </c>
      <c r="E211" s="3">
        <f t="shared" si="172"/>
        <v>5.0921804371163254E-2</v>
      </c>
      <c r="F211" s="3">
        <f t="shared" si="172"/>
        <v>5.084878678203162E-2</v>
      </c>
      <c r="G211" s="3">
        <f t="shared" si="172"/>
        <v>5.0124344749583646E-2</v>
      </c>
      <c r="H211" s="3">
        <f t="shared" si="172"/>
        <v>4.3424001181310692E-2</v>
      </c>
      <c r="I211" s="3">
        <f t="shared" si="172"/>
        <v>1.0340490315854276E-2</v>
      </c>
      <c r="J211" s="3">
        <f t="shared" si="172"/>
        <v>6.0625324542395729E-9</v>
      </c>
      <c r="K211" s="3">
        <f t="shared" si="172"/>
        <v>2.9092665883699237E-71</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9.6872853837719451E-3</v>
      </c>
      <c r="C212" s="3">
        <f t="shared" si="173"/>
        <v>9.6872841298112616E-3</v>
      </c>
      <c r="D212" s="3">
        <f t="shared" si="173"/>
        <v>9.6872715902133703E-3</v>
      </c>
      <c r="E212" s="3">
        <f t="shared" si="173"/>
        <v>9.687146195127198E-3</v>
      </c>
      <c r="F212" s="3">
        <f t="shared" si="173"/>
        <v>9.6858923335354369E-3</v>
      </c>
      <c r="G212" s="3">
        <f t="shared" si="173"/>
        <v>9.6733626403407158E-3</v>
      </c>
      <c r="H212" s="3">
        <f t="shared" si="173"/>
        <v>9.5489537219660015E-3</v>
      </c>
      <c r="I212" s="3">
        <f t="shared" si="173"/>
        <v>8.3895561084500019E-3</v>
      </c>
      <c r="J212" s="3">
        <f t="shared" si="173"/>
        <v>2.2991691640981871E-3</v>
      </c>
      <c r="K212" s="3">
        <f t="shared" si="173"/>
        <v>5.4940215534393952E-9</v>
      </c>
      <c r="L212" s="3">
        <f t="shared" si="173"/>
        <v>3.3349143589389267E-65</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2.5365400879817524E-2</v>
      </c>
      <c r="C213" s="3">
        <f t="shared" si="174"/>
        <v>2.5365400583627674E-2</v>
      </c>
      <c r="D213" s="3">
        <f t="shared" si="174"/>
        <v>2.5365397621729364E-2</v>
      </c>
      <c r="E213" s="3">
        <f t="shared" si="174"/>
        <v>2.5365368002765259E-2</v>
      </c>
      <c r="F213" s="3">
        <f t="shared" si="174"/>
        <v>2.5365071815026473E-2</v>
      </c>
      <c r="G213" s="3">
        <f t="shared" si="174"/>
        <v>2.5362110127851688E-2</v>
      </c>
      <c r="H213" s="3">
        <f t="shared" si="174"/>
        <v>2.5332512269199942E-2</v>
      </c>
      <c r="I213" s="3">
        <f t="shared" si="174"/>
        <v>2.5038426803353511E-2</v>
      </c>
      <c r="J213" s="3">
        <f t="shared" si="174"/>
        <v>2.2278954298278499E-2</v>
      </c>
      <c r="K213" s="3">
        <f t="shared" si="174"/>
        <v>6.9306257459000502E-3</v>
      </c>
      <c r="L213" s="3">
        <f t="shared" si="174"/>
        <v>5.8823233928909006E-8</v>
      </c>
      <c r="M213" s="3">
        <f t="shared" si="174"/>
        <v>1.1410729024696453E-58</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2.3099378114514766E-2</v>
      </c>
      <c r="C214" s="3">
        <f t="shared" si="175"/>
        <v>2.3099378090182903E-2</v>
      </c>
      <c r="D214" s="3">
        <f t="shared" si="175"/>
        <v>2.3099377846864298E-2</v>
      </c>
      <c r="E214" s="3">
        <f t="shared" si="175"/>
        <v>2.3099375413678375E-2</v>
      </c>
      <c r="F214" s="3">
        <f t="shared" si="175"/>
        <v>2.3099351081833242E-2</v>
      </c>
      <c r="G214" s="3">
        <f t="shared" si="175"/>
        <v>2.3099107764791554E-2</v>
      </c>
      <c r="H214" s="3">
        <f t="shared" si="175"/>
        <v>2.3096674735334131E-2</v>
      </c>
      <c r="I214" s="3">
        <f t="shared" si="175"/>
        <v>2.3072358531214129E-2</v>
      </c>
      <c r="J214" s="3">
        <f t="shared" si="175"/>
        <v>2.2830600059238985E-2</v>
      </c>
      <c r="K214" s="3">
        <f t="shared" si="175"/>
        <v>2.0548052703627081E-2</v>
      </c>
      <c r="L214" s="3">
        <f t="shared" si="175"/>
        <v>7.1664507102073361E-3</v>
      </c>
      <c r="M214" s="3">
        <f t="shared" si="175"/>
        <v>1.9082645853921028E-7</v>
      </c>
      <c r="N214" s="3">
        <f t="shared" si="175"/>
        <v>3.419663031631054E-53</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2.7649262864374382E-2</v>
      </c>
      <c r="C215" s="3">
        <f t="shared" si="176"/>
        <v>2.7649262861747109E-2</v>
      </c>
      <c r="D215" s="3">
        <f t="shared" si="176"/>
        <v>2.7649262835474381E-2</v>
      </c>
      <c r="E215" s="3">
        <f t="shared" si="176"/>
        <v>2.7649262572747094E-2</v>
      </c>
      <c r="F215" s="3">
        <f t="shared" si="176"/>
        <v>2.7649259945474361E-2</v>
      </c>
      <c r="G215" s="3">
        <f t="shared" si="176"/>
        <v>2.7649233672760773E-2</v>
      </c>
      <c r="H215" s="3">
        <f t="shared" si="176"/>
        <v>2.7648970946997947E-2</v>
      </c>
      <c r="I215" s="3">
        <f t="shared" si="176"/>
        <v>2.7646343826670326E-2</v>
      </c>
      <c r="J215" s="3">
        <f t="shared" si="176"/>
        <v>2.7620086348631244E-2</v>
      </c>
      <c r="K215" s="3">
        <f t="shared" si="176"/>
        <v>2.7358879278685744E-2</v>
      </c>
      <c r="L215" s="3">
        <f t="shared" si="176"/>
        <v>2.4878890823429096E-2</v>
      </c>
      <c r="M215" s="3">
        <f t="shared" si="176"/>
        <v>9.6196246407969019E-3</v>
      </c>
      <c r="N215" s="3">
        <f t="shared" si="176"/>
        <v>7.1850408997371826E-7</v>
      </c>
      <c r="O215" s="3">
        <f t="shared" si="176"/>
        <v>3.8827589515614464E-48</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2.9567803961661726E-2</v>
      </c>
      <c r="C216" s="3">
        <f t="shared" si="177"/>
        <v>2.956780396140828E-2</v>
      </c>
      <c r="D216" s="3">
        <f t="shared" si="177"/>
        <v>2.956780395887381E-2</v>
      </c>
      <c r="E216" s="3">
        <f t="shared" si="177"/>
        <v>2.9567803933529101E-2</v>
      </c>
      <c r="F216" s="3">
        <f t="shared" si="177"/>
        <v>2.9567803680082026E-2</v>
      </c>
      <c r="G216" s="3">
        <f t="shared" si="177"/>
        <v>2.9567801145611385E-2</v>
      </c>
      <c r="H216" s="3">
        <f t="shared" si="177"/>
        <v>2.9567775800916941E-2</v>
      </c>
      <c r="I216" s="3">
        <f t="shared" si="177"/>
        <v>2.9567522355167367E-2</v>
      </c>
      <c r="J216" s="3">
        <f t="shared" si="177"/>
        <v>2.956498801715373E-2</v>
      </c>
      <c r="K216" s="3">
        <f t="shared" si="177"/>
        <v>2.9539656581439991E-2</v>
      </c>
      <c r="L216" s="3">
        <f t="shared" si="177"/>
        <v>2.9287532887015553E-2</v>
      </c>
      <c r="M216" s="3">
        <f t="shared" si="177"/>
        <v>2.6881671007409409E-2</v>
      </c>
      <c r="N216" s="3">
        <f t="shared" si="177"/>
        <v>1.1407513344119722E-2</v>
      </c>
      <c r="O216" s="3">
        <f t="shared" si="177"/>
        <v>2.1604201715792715E-6</v>
      </c>
      <c r="P216" s="3">
        <f t="shared" si="177"/>
        <v>1.2823618953632441E-43</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2.9957814581891076E-2</v>
      </c>
      <c r="C217" s="3">
        <f t="shared" si="178"/>
        <v>2.9957814581867911E-2</v>
      </c>
      <c r="D217" s="3">
        <f t="shared" si="178"/>
        <v>2.9957814581636266E-2</v>
      </c>
      <c r="E217" s="3">
        <f t="shared" si="178"/>
        <v>2.9957814579319807E-2</v>
      </c>
      <c r="F217" s="3">
        <f t="shared" si="178"/>
        <v>2.9957814556155198E-2</v>
      </c>
      <c r="G217" s="3">
        <f t="shared" si="178"/>
        <v>2.9957814324509131E-2</v>
      </c>
      <c r="H217" s="3">
        <f t="shared" si="178"/>
        <v>2.9957812008048541E-2</v>
      </c>
      <c r="I217" s="3">
        <f t="shared" si="178"/>
        <v>2.9957788843452491E-2</v>
      </c>
      <c r="J217" s="3">
        <f t="shared" si="178"/>
        <v>2.9957557198477137E-2</v>
      </c>
      <c r="K217" s="3">
        <f t="shared" si="178"/>
        <v>2.9955240847235508E-2</v>
      </c>
      <c r="L217" s="3">
        <f t="shared" si="178"/>
        <v>2.9932087183189845E-2</v>
      </c>
      <c r="M217" s="3">
        <f t="shared" si="178"/>
        <v>2.9701532568006003E-2</v>
      </c>
      <c r="N217" s="3">
        <f t="shared" si="178"/>
        <v>2.7491436544806878E-2</v>
      </c>
      <c r="O217" s="3">
        <f t="shared" si="178"/>
        <v>1.2687708306881325E-2</v>
      </c>
      <c r="P217" s="3">
        <f t="shared" si="178"/>
        <v>5.5621244204202958E-6</v>
      </c>
      <c r="Q217" s="3">
        <f t="shared" si="178"/>
        <v>1.4581957848279833E-39</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2.707132133442066E-2</v>
      </c>
      <c r="C218" s="3">
        <f t="shared" si="179"/>
        <v>2.7071321334418773E-2</v>
      </c>
      <c r="D218" s="3">
        <f t="shared" si="179"/>
        <v>2.7071321334399889E-2</v>
      </c>
      <c r="E218" s="3">
        <f t="shared" si="179"/>
        <v>2.707132133421106E-2</v>
      </c>
      <c r="F218" s="3">
        <f t="shared" si="179"/>
        <v>2.7071321332322758E-2</v>
      </c>
      <c r="G218" s="3">
        <f t="shared" si="179"/>
        <v>2.7071321313439766E-2</v>
      </c>
      <c r="H218" s="3">
        <f t="shared" si="179"/>
        <v>2.7071321124609828E-2</v>
      </c>
      <c r="I218" s="3">
        <f t="shared" si="179"/>
        <v>2.707131923631052E-2</v>
      </c>
      <c r="J218" s="3">
        <f t="shared" si="179"/>
        <v>2.7071300353324668E-2</v>
      </c>
      <c r="K218" s="3">
        <f t="shared" si="179"/>
        <v>2.7071111524190568E-2</v>
      </c>
      <c r="L218" s="3">
        <f t="shared" si="179"/>
        <v>2.7069223305290237E-2</v>
      </c>
      <c r="M218" s="3">
        <f t="shared" si="179"/>
        <v>2.7050348358485202E-2</v>
      </c>
      <c r="N218" s="3">
        <f t="shared" si="179"/>
        <v>2.686232124463761E-2</v>
      </c>
      <c r="O218" s="3">
        <f t="shared" si="179"/>
        <v>2.5052455510806346E-2</v>
      </c>
      <c r="P218" s="3">
        <f t="shared" si="179"/>
        <v>1.247147757840489E-2</v>
      </c>
      <c r="Q218" s="3">
        <f t="shared" si="179"/>
        <v>1.1657193816586096E-5</v>
      </c>
      <c r="R218" s="3">
        <f t="shared" si="179"/>
        <v>5.9341030958004579E-36</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3.2010538564501707E-2</v>
      </c>
      <c r="C219" s="3">
        <f t="shared" si="180"/>
        <v>3.2010538564501506E-2</v>
      </c>
      <c r="D219" s="3">
        <f t="shared" si="180"/>
        <v>3.2010538564499487E-2</v>
      </c>
      <c r="E219" s="3">
        <f t="shared" si="180"/>
        <v>3.201053856447935E-2</v>
      </c>
      <c r="F219" s="3">
        <f t="shared" si="180"/>
        <v>3.2010538564277928E-2</v>
      </c>
      <c r="G219" s="3">
        <f t="shared" si="180"/>
        <v>3.2010538562263741E-2</v>
      </c>
      <c r="H219" s="3">
        <f t="shared" si="180"/>
        <v>3.2010538542121811E-2</v>
      </c>
      <c r="I219" s="3">
        <f t="shared" si="180"/>
        <v>3.2010538340702561E-2</v>
      </c>
      <c r="J219" s="3">
        <f t="shared" si="180"/>
        <v>3.2010536326510158E-2</v>
      </c>
      <c r="K219" s="3">
        <f t="shared" si="180"/>
        <v>3.2010516184593073E-2</v>
      </c>
      <c r="L219" s="3">
        <f t="shared" si="180"/>
        <v>3.2010314766119249E-2</v>
      </c>
      <c r="M219" s="3">
        <f t="shared" si="180"/>
        <v>3.200830065108546E-2</v>
      </c>
      <c r="N219" s="3">
        <f t="shared" si="180"/>
        <v>3.1988166469568591E-2</v>
      </c>
      <c r="O219" s="3">
        <f t="shared" si="180"/>
        <v>3.1787519916788479E-2</v>
      </c>
      <c r="P219" s="3">
        <f t="shared" si="180"/>
        <v>2.98489888405408E-2</v>
      </c>
      <c r="Q219" s="3">
        <f t="shared" si="180"/>
        <v>1.5909605355802409E-2</v>
      </c>
      <c r="R219" s="3">
        <f t="shared" si="180"/>
        <v>2.9441317444183473E-5</v>
      </c>
      <c r="S219" s="3">
        <f t="shared" si="180"/>
        <v>1.3865501123975544E-32</v>
      </c>
      <c r="T219" s="3">
        <f t="shared" si="180"/>
        <v>7.4425005331480363E-306</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4.0907961623415992E-2</v>
      </c>
      <c r="C220" s="3">
        <f t="shared" si="181"/>
        <v>4.0907961623415971E-2</v>
      </c>
      <c r="D220" s="3">
        <f t="shared" si="181"/>
        <v>4.0907961623415742E-2</v>
      </c>
      <c r="E220" s="3">
        <f t="shared" si="181"/>
        <v>4.0907961623413418E-2</v>
      </c>
      <c r="F220" s="3">
        <f t="shared" si="181"/>
        <v>4.09079616233902E-2</v>
      </c>
      <c r="G220" s="3">
        <f t="shared" si="181"/>
        <v>4.0907961623157997E-2</v>
      </c>
      <c r="H220" s="3">
        <f t="shared" si="181"/>
        <v>4.0907961620836E-2</v>
      </c>
      <c r="I220" s="3">
        <f t="shared" si="181"/>
        <v>4.0907961597615984E-2</v>
      </c>
      <c r="J220" s="3">
        <f t="shared" si="181"/>
        <v>4.0907961365415878E-2</v>
      </c>
      <c r="K220" s="3">
        <f t="shared" si="181"/>
        <v>4.0907959043414863E-2</v>
      </c>
      <c r="L220" s="3">
        <f t="shared" si="181"/>
        <v>4.0907935823411942E-2</v>
      </c>
      <c r="M220" s="3">
        <f t="shared" si="181"/>
        <v>4.0907703624107644E-2</v>
      </c>
      <c r="N220" s="3">
        <f t="shared" si="181"/>
        <v>4.0905381703553227E-2</v>
      </c>
      <c r="O220" s="3">
        <f t="shared" si="181"/>
        <v>4.0882169745344331E-2</v>
      </c>
      <c r="P220" s="3">
        <f t="shared" si="181"/>
        <v>4.0650773377018064E-2</v>
      </c>
      <c r="Q220" s="3">
        <f t="shared" si="181"/>
        <v>3.8407634977189228E-2</v>
      </c>
      <c r="R220" s="3">
        <f t="shared" si="181"/>
        <v>2.177233941990693E-2</v>
      </c>
      <c r="S220" s="3">
        <f t="shared" si="181"/>
        <v>7.4607141822272715E-5</v>
      </c>
      <c r="T220" s="3">
        <f t="shared" si="181"/>
        <v>1.6654571656567197E-29</v>
      </c>
      <c r="U220" s="3">
        <f t="shared" si="181"/>
        <v>5.1175738157190727E-276</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4.0610124346011141E-2</v>
      </c>
      <c r="C221" s="3">
        <f t="shared" si="182"/>
        <v>4.0610124346011134E-2</v>
      </c>
      <c r="D221" s="3">
        <f t="shared" si="182"/>
        <v>4.061012434601112E-2</v>
      </c>
      <c r="E221" s="3">
        <f t="shared" si="182"/>
        <v>4.0610124346010912E-2</v>
      </c>
      <c r="F221" s="3">
        <f t="shared" si="182"/>
        <v>4.061012434600883E-2</v>
      </c>
      <c r="G221" s="3">
        <f t="shared" si="182"/>
        <v>4.0610124345988041E-2</v>
      </c>
      <c r="H221" s="3">
        <f t="shared" si="182"/>
        <v>4.0610124345780096E-2</v>
      </c>
      <c r="I221" s="3">
        <f t="shared" si="182"/>
        <v>4.0610124343700711E-2</v>
      </c>
      <c r="J221" s="3">
        <f t="shared" si="182"/>
        <v>4.0610124322906831E-2</v>
      </c>
      <c r="K221" s="3">
        <f t="shared" si="182"/>
        <v>4.0610124114968053E-2</v>
      </c>
      <c r="L221" s="3">
        <f t="shared" si="182"/>
        <v>4.0610122035580322E-2</v>
      </c>
      <c r="M221" s="3">
        <f t="shared" si="182"/>
        <v>4.0610101241708857E-2</v>
      </c>
      <c r="N221" s="3">
        <f t="shared" si="182"/>
        <v>4.0609893303579794E-2</v>
      </c>
      <c r="O221" s="3">
        <f t="shared" si="182"/>
        <v>4.0607813980847715E-2</v>
      </c>
      <c r="P221" s="3">
        <f t="shared" si="182"/>
        <v>4.0587026608271286E-2</v>
      </c>
      <c r="Q221" s="3">
        <f t="shared" si="182"/>
        <v>4.0379737249255601E-2</v>
      </c>
      <c r="R221" s="3">
        <f t="shared" si="182"/>
        <v>3.8364188229710779E-2</v>
      </c>
      <c r="S221" s="3">
        <f t="shared" si="182"/>
        <v>2.2990650420952601E-2</v>
      </c>
      <c r="T221" s="3">
        <f t="shared" si="182"/>
        <v>1.3734210700715356E-4</v>
      </c>
      <c r="U221" s="3">
        <f t="shared" si="182"/>
        <v>7.9492871290758776E-27</v>
      </c>
      <c r="V221" s="3">
        <f t="shared" si="182"/>
        <v>3.3540765230307741E-249</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2.925116065031759E-2</v>
      </c>
      <c r="C222" s="3">
        <f t="shared" si="183"/>
        <v>2.925116065031759E-2</v>
      </c>
      <c r="D222" s="3">
        <f t="shared" si="183"/>
        <v>2.925116065031759E-2</v>
      </c>
      <c r="E222" s="3">
        <f t="shared" si="183"/>
        <v>2.9251160650317572E-2</v>
      </c>
      <c r="F222" s="3">
        <f t="shared" si="183"/>
        <v>2.9251160650317441E-2</v>
      </c>
      <c r="G222" s="3">
        <f t="shared" si="183"/>
        <v>2.9251160650316091E-2</v>
      </c>
      <c r="H222" s="3">
        <f t="shared" si="183"/>
        <v>2.9251160650302577E-2</v>
      </c>
      <c r="I222" s="3">
        <f t="shared" si="183"/>
        <v>2.9251160650167467E-2</v>
      </c>
      <c r="J222" s="3">
        <f t="shared" si="183"/>
        <v>2.9251160648816357E-2</v>
      </c>
      <c r="K222" s="3">
        <f t="shared" si="183"/>
        <v>2.9251160635305251E-2</v>
      </c>
      <c r="L222" s="3">
        <f t="shared" si="183"/>
        <v>2.92511605001942E-2</v>
      </c>
      <c r="M222" s="3">
        <f t="shared" si="183"/>
        <v>2.9251159149083751E-2</v>
      </c>
      <c r="N222" s="3">
        <f t="shared" si="183"/>
        <v>2.9251145637982669E-2</v>
      </c>
      <c r="O222" s="3">
        <f t="shared" si="183"/>
        <v>2.9251010527315099E-2</v>
      </c>
      <c r="P222" s="3">
        <f t="shared" si="183"/>
        <v>2.9249659454962995E-2</v>
      </c>
      <c r="Q222" s="3">
        <f t="shared" si="183"/>
        <v>2.9236152163217309E-2</v>
      </c>
      <c r="R222" s="3">
        <f t="shared" si="183"/>
        <v>2.9101421837519938E-2</v>
      </c>
      <c r="S222" s="3">
        <f t="shared" si="183"/>
        <v>2.7787799420716502E-2</v>
      </c>
      <c r="T222" s="3">
        <f t="shared" si="183"/>
        <v>1.7508688910421275E-2</v>
      </c>
      <c r="U222" s="3">
        <f t="shared" si="183"/>
        <v>1.7268250351028656E-4</v>
      </c>
      <c r="V222" s="3">
        <f t="shared" si="183"/>
        <v>1.5038185441808472E-24</v>
      </c>
      <c r="W222" s="3">
        <f t="shared" si="183"/>
        <v>3.7728230130486744E-225</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3.1259582937297976E-2</v>
      </c>
      <c r="C223" s="3">
        <f t="shared" si="184"/>
        <v>3.1259582937297976E-2</v>
      </c>
      <c r="D223" s="3">
        <f t="shared" si="184"/>
        <v>3.1259582937297976E-2</v>
      </c>
      <c r="E223" s="3">
        <f t="shared" si="184"/>
        <v>3.1259582937297976E-2</v>
      </c>
      <c r="F223" s="3">
        <f t="shared" si="184"/>
        <v>3.1259582937297963E-2</v>
      </c>
      <c r="G223" s="3">
        <f t="shared" si="184"/>
        <v>3.1259582937297831E-2</v>
      </c>
      <c r="H223" s="3">
        <f t="shared" si="184"/>
        <v>3.1259582937296526E-2</v>
      </c>
      <c r="I223" s="3">
        <f t="shared" si="184"/>
        <v>3.1259582937283502E-2</v>
      </c>
      <c r="J223" s="3">
        <f t="shared" si="184"/>
        <v>3.1259582937153252E-2</v>
      </c>
      <c r="K223" s="3">
        <f t="shared" si="184"/>
        <v>3.1259582935850759E-2</v>
      </c>
      <c r="L223" s="3">
        <f t="shared" si="184"/>
        <v>3.1259582922825761E-2</v>
      </c>
      <c r="M223" s="3">
        <f t="shared" si="184"/>
        <v>3.1259582792575819E-2</v>
      </c>
      <c r="N223" s="3">
        <f t="shared" si="184"/>
        <v>3.1259581490076453E-2</v>
      </c>
      <c r="O223" s="3">
        <f t="shared" si="184"/>
        <v>3.1259568465085735E-2</v>
      </c>
      <c r="P223" s="3">
        <f t="shared" si="184"/>
        <v>3.1259438215477067E-2</v>
      </c>
      <c r="Q223" s="3">
        <f t="shared" si="184"/>
        <v>3.1258135749239233E-2</v>
      </c>
      <c r="R223" s="3">
        <f t="shared" si="184"/>
        <v>3.124511407128255E-2</v>
      </c>
      <c r="S223" s="3">
        <f t="shared" si="184"/>
        <v>3.1115195274290578E-2</v>
      </c>
      <c r="T223" s="3">
        <f t="shared" si="184"/>
        <v>2.9845351241326305E-2</v>
      </c>
      <c r="U223" s="3">
        <f t="shared" si="184"/>
        <v>1.9675162539870138E-2</v>
      </c>
      <c r="V223" s="3">
        <f t="shared" si="184"/>
        <v>3.0502446471073591E-4</v>
      </c>
      <c r="W223" s="3">
        <f t="shared" si="184"/>
        <v>2.4462346972905693E-22</v>
      </c>
      <c r="X223" s="3">
        <f t="shared" si="184"/>
        <v>2.6923567431176172E-203</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2.9704645444291411E-2</v>
      </c>
      <c r="C224" s="3">
        <f t="shared" si="185"/>
        <v>2.9704645444291411E-2</v>
      </c>
      <c r="D224" s="3">
        <f t="shared" si="185"/>
        <v>2.9704645444291411E-2</v>
      </c>
      <c r="E224" s="3">
        <f t="shared" si="185"/>
        <v>2.9704645444291411E-2</v>
      </c>
      <c r="F224" s="3">
        <f t="shared" si="185"/>
        <v>2.9704645444291411E-2</v>
      </c>
      <c r="G224" s="3">
        <f t="shared" si="185"/>
        <v>2.9704645444291397E-2</v>
      </c>
      <c r="H224" s="3">
        <f t="shared" si="185"/>
        <v>2.9704645444291286E-2</v>
      </c>
      <c r="I224" s="3">
        <f t="shared" si="185"/>
        <v>2.9704645444290172E-2</v>
      </c>
      <c r="J224" s="3">
        <f t="shared" si="185"/>
        <v>2.9704645444279004E-2</v>
      </c>
      <c r="K224" s="3">
        <f t="shared" si="185"/>
        <v>2.9704645444167354E-2</v>
      </c>
      <c r="L224" s="3">
        <f t="shared" si="185"/>
        <v>2.9704645443050834E-2</v>
      </c>
      <c r="M224" s="3">
        <f t="shared" si="185"/>
        <v>2.9704645431885668E-2</v>
      </c>
      <c r="N224" s="3">
        <f t="shared" si="185"/>
        <v>2.9704645320233973E-2</v>
      </c>
      <c r="O224" s="3">
        <f t="shared" si="185"/>
        <v>2.9704644203717056E-2</v>
      </c>
      <c r="P224" s="3">
        <f t="shared" si="185"/>
        <v>2.9704633038550202E-2</v>
      </c>
      <c r="Q224" s="3">
        <f t="shared" si="185"/>
        <v>2.970452138711244E-2</v>
      </c>
      <c r="R224" s="3">
        <f t="shared" si="185"/>
        <v>2.9703404895816285E-2</v>
      </c>
      <c r="S224" s="3">
        <f t="shared" si="185"/>
        <v>2.9692242290674232E-2</v>
      </c>
      <c r="T224" s="3">
        <f t="shared" si="185"/>
        <v>2.9580846700573638E-2</v>
      </c>
      <c r="U224" s="3">
        <f t="shared" si="185"/>
        <v>2.8489619619104792E-2</v>
      </c>
      <c r="V224" s="3">
        <f t="shared" si="185"/>
        <v>1.9563526852590454E-2</v>
      </c>
      <c r="W224" s="3">
        <f t="shared" si="185"/>
        <v>4.5609168107437425E-4</v>
      </c>
      <c r="X224" s="3">
        <f t="shared" si="185"/>
        <v>2.163227287974945E-20</v>
      </c>
      <c r="Y224" s="3">
        <f t="shared" si="185"/>
        <v>1.2462413875209722E-183</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3.5282603781975501E-2</v>
      </c>
      <c r="C225" s="3">
        <f t="shared" si="186"/>
        <v>3.5282603781975501E-2</v>
      </c>
      <c r="D225" s="3">
        <f t="shared" si="186"/>
        <v>3.5282603781975501E-2</v>
      </c>
      <c r="E225" s="3">
        <f t="shared" si="186"/>
        <v>3.5282603781975501E-2</v>
      </c>
      <c r="F225" s="3">
        <f t="shared" si="186"/>
        <v>3.5282603781975501E-2</v>
      </c>
      <c r="G225" s="3">
        <f t="shared" si="186"/>
        <v>3.5282603781975501E-2</v>
      </c>
      <c r="H225" s="3">
        <f t="shared" si="186"/>
        <v>3.5282603781975487E-2</v>
      </c>
      <c r="I225" s="3">
        <f t="shared" si="186"/>
        <v>3.5282603781975369E-2</v>
      </c>
      <c r="J225" s="3">
        <f t="shared" si="186"/>
        <v>3.5282603781974176E-2</v>
      </c>
      <c r="K225" s="3">
        <f t="shared" si="186"/>
        <v>3.5282603781962213E-2</v>
      </c>
      <c r="L225" s="3">
        <f t="shared" si="186"/>
        <v>3.5282603781842579E-2</v>
      </c>
      <c r="M225" s="3">
        <f t="shared" si="186"/>
        <v>3.5282603780646252E-2</v>
      </c>
      <c r="N225" s="3">
        <f t="shared" si="186"/>
        <v>3.528260376868303E-2</v>
      </c>
      <c r="O225" s="3">
        <f t="shared" si="186"/>
        <v>3.5282603649050809E-2</v>
      </c>
      <c r="P225" s="3">
        <f t="shared" si="186"/>
        <v>3.5282602452728636E-2</v>
      </c>
      <c r="Q225" s="3">
        <f t="shared" si="186"/>
        <v>3.5282590489509082E-2</v>
      </c>
      <c r="R225" s="3">
        <f t="shared" si="186"/>
        <v>3.5282470857536649E-2</v>
      </c>
      <c r="S225" s="3">
        <f t="shared" si="186"/>
        <v>3.5281274560121985E-2</v>
      </c>
      <c r="T225" s="3">
        <f t="shared" si="186"/>
        <v>3.5269313816658286E-2</v>
      </c>
      <c r="U225" s="3">
        <f t="shared" si="186"/>
        <v>3.5149929170720504E-2</v>
      </c>
      <c r="V225" s="3">
        <f t="shared" si="186"/>
        <v>3.3978084597721767E-2</v>
      </c>
      <c r="W225" s="3">
        <f t="shared" si="186"/>
        <v>2.4207128975042385E-2</v>
      </c>
      <c r="X225" s="3">
        <f t="shared" si="186"/>
        <v>8.1543095156280557E-4</v>
      </c>
      <c r="Y225" s="3">
        <f t="shared" si="186"/>
        <v>1.5340032220701736E-18</v>
      </c>
      <c r="Z225" s="3">
        <f t="shared" si="186"/>
        <v>8.5156356069267216E-166</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3.4987985455608057E-2</v>
      </c>
      <c r="C226" s="3">
        <f t="shared" si="187"/>
        <v>3.4987985455608057E-2</v>
      </c>
      <c r="D226" s="3">
        <f t="shared" si="187"/>
        <v>3.4987985455608057E-2</v>
      </c>
      <c r="E226" s="3">
        <f t="shared" si="187"/>
        <v>3.4987985455608057E-2</v>
      </c>
      <c r="F226" s="3">
        <f t="shared" si="187"/>
        <v>3.4987985455608057E-2</v>
      </c>
      <c r="G226" s="3">
        <f t="shared" si="187"/>
        <v>3.4987985455608057E-2</v>
      </c>
      <c r="H226" s="3">
        <f t="shared" si="187"/>
        <v>3.4987985455608057E-2</v>
      </c>
      <c r="I226" s="3">
        <f t="shared" si="187"/>
        <v>3.4987985455608044E-2</v>
      </c>
      <c r="J226" s="3">
        <f t="shared" si="187"/>
        <v>3.4987985455607939E-2</v>
      </c>
      <c r="K226" s="3">
        <f t="shared" si="187"/>
        <v>3.4987985455606871E-2</v>
      </c>
      <c r="L226" s="3">
        <f t="shared" si="187"/>
        <v>3.4987985455596164E-2</v>
      </c>
      <c r="M226" s="3">
        <f t="shared" si="187"/>
        <v>3.4987985455489153E-2</v>
      </c>
      <c r="N226" s="3">
        <f t="shared" si="187"/>
        <v>3.4987985454418981E-2</v>
      </c>
      <c r="O226" s="3">
        <f t="shared" si="187"/>
        <v>3.498798544371727E-2</v>
      </c>
      <c r="P226" s="3">
        <f t="shared" si="187"/>
        <v>3.4987985336700202E-2</v>
      </c>
      <c r="Q226" s="3">
        <f t="shared" si="187"/>
        <v>3.4987984266529507E-2</v>
      </c>
      <c r="R226" s="3">
        <f t="shared" si="187"/>
        <v>3.4987973564824318E-2</v>
      </c>
      <c r="S226" s="3">
        <f t="shared" si="187"/>
        <v>3.4987866547952544E-2</v>
      </c>
      <c r="T226" s="3">
        <f t="shared" si="187"/>
        <v>3.4986796397237743E-2</v>
      </c>
      <c r="U226" s="3">
        <f t="shared" si="187"/>
        <v>3.4976096690184096E-2</v>
      </c>
      <c r="V226" s="3">
        <f t="shared" si="187"/>
        <v>3.4869279425530947E-2</v>
      </c>
      <c r="W226" s="3">
        <f t="shared" si="187"/>
        <v>3.3818885533010407E-2</v>
      </c>
      <c r="X226" s="3">
        <f t="shared" si="187"/>
        <v>2.4907060850163067E-2</v>
      </c>
      <c r="Y226" s="3">
        <f t="shared" si="187"/>
        <v>1.1693765537840704E-3</v>
      </c>
      <c r="Z226" s="3">
        <f t="shared" si="187"/>
        <v>6.0851793548884192E-17</v>
      </c>
      <c r="AA226" s="3">
        <f t="shared" si="187"/>
        <v>8.8606053965229843E-150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4.0020818076897231E-2</v>
      </c>
      <c r="C227" s="3">
        <f t="shared" si="188"/>
        <v>4.0020818076897231E-2</v>
      </c>
      <c r="D227" s="3">
        <f t="shared" si="188"/>
        <v>4.0020818076897231E-2</v>
      </c>
      <c r="E227" s="3">
        <f t="shared" si="188"/>
        <v>4.0020818076897231E-2</v>
      </c>
      <c r="F227" s="3">
        <f t="shared" si="188"/>
        <v>4.0020818076897231E-2</v>
      </c>
      <c r="G227" s="3">
        <f t="shared" si="188"/>
        <v>4.0020818076897231E-2</v>
      </c>
      <c r="H227" s="3">
        <f t="shared" si="188"/>
        <v>4.0020818076897231E-2</v>
      </c>
      <c r="I227" s="3">
        <f t="shared" si="188"/>
        <v>4.0020818076897231E-2</v>
      </c>
      <c r="J227" s="3">
        <f t="shared" si="188"/>
        <v>4.0020818076897217E-2</v>
      </c>
      <c r="K227" s="3">
        <f t="shared" si="188"/>
        <v>4.0020818076897106E-2</v>
      </c>
      <c r="L227" s="3">
        <f t="shared" si="188"/>
        <v>4.0020818076896003E-2</v>
      </c>
      <c r="M227" s="3">
        <f t="shared" si="188"/>
        <v>4.0020818076884963E-2</v>
      </c>
      <c r="N227" s="3">
        <f t="shared" si="188"/>
        <v>4.0020818076774538E-2</v>
      </c>
      <c r="O227" s="3">
        <f t="shared" si="188"/>
        <v>4.0020818075670289E-2</v>
      </c>
      <c r="P227" s="3">
        <f t="shared" si="188"/>
        <v>4.002081806462781E-2</v>
      </c>
      <c r="Q227" s="3">
        <f t="shared" si="188"/>
        <v>4.0020817954202995E-2</v>
      </c>
      <c r="R227" s="3">
        <f t="shared" si="188"/>
        <v>4.0020816849954864E-2</v>
      </c>
      <c r="S227" s="3">
        <f t="shared" si="188"/>
        <v>4.0020805807475253E-2</v>
      </c>
      <c r="T227" s="3">
        <f t="shared" si="188"/>
        <v>4.0020695382846729E-2</v>
      </c>
      <c r="U227" s="3">
        <f t="shared" si="188"/>
        <v>4.001959115331883E-2</v>
      </c>
      <c r="V227" s="3">
        <f t="shared" si="188"/>
        <v>4.0008550533603048E-2</v>
      </c>
      <c r="W227" s="3">
        <f t="shared" si="188"/>
        <v>3.9898311721837401E-2</v>
      </c>
      <c r="X227" s="3">
        <f t="shared" si="188"/>
        <v>3.881249251381446E-2</v>
      </c>
      <c r="Y227" s="3">
        <f t="shared" si="188"/>
        <v>2.9453823511889871E-2</v>
      </c>
      <c r="Z227" s="3">
        <f t="shared" si="188"/>
        <v>1.865705726434953E-3</v>
      </c>
      <c r="AA227" s="3">
        <f t="shared" si="188"/>
        <v>1.940250427782801E-15</v>
      </c>
      <c r="AB227" s="3">
        <f t="shared" si="188"/>
        <v>2.8708084855901801E-135</v>
      </c>
      <c r="AC227" s="3">
        <f t="shared" si="188"/>
        <v>0</v>
      </c>
      <c r="AD227" s="3">
        <f t="shared" si="188"/>
        <v>0</v>
      </c>
      <c r="AE227" s="3">
        <f t="shared" si="188"/>
        <v>0</v>
      </c>
      <c r="AF227" s="3">
        <f t="shared" si="188"/>
        <v>0</v>
      </c>
      <c r="AG227" s="3"/>
      <c r="AH227" s="3"/>
    </row>
    <row r="228" spans="2:34" x14ac:dyDescent="0.25">
      <c r="B228" s="3">
        <f t="shared" ref="B228:AF228" si="189">$C36*EXP(-B$207/$A36/EXP(-$D$126))</f>
        <v>3.51305921997421E-2</v>
      </c>
      <c r="C228" s="3">
        <f t="shared" si="189"/>
        <v>3.51305921997421E-2</v>
      </c>
      <c r="D228" s="3">
        <f t="shared" si="189"/>
        <v>3.51305921997421E-2</v>
      </c>
      <c r="E228" s="3">
        <f t="shared" si="189"/>
        <v>3.51305921997421E-2</v>
      </c>
      <c r="F228" s="3">
        <f t="shared" si="189"/>
        <v>3.51305921997421E-2</v>
      </c>
      <c r="G228" s="3">
        <f t="shared" si="189"/>
        <v>3.51305921997421E-2</v>
      </c>
      <c r="H228" s="3">
        <f t="shared" si="189"/>
        <v>3.51305921997421E-2</v>
      </c>
      <c r="I228" s="3">
        <f t="shared" si="189"/>
        <v>3.51305921997421E-2</v>
      </c>
      <c r="J228" s="3">
        <f t="shared" si="189"/>
        <v>3.51305921997421E-2</v>
      </c>
      <c r="K228" s="3">
        <f t="shared" si="189"/>
        <v>3.5130592199742093E-2</v>
      </c>
      <c r="L228" s="3">
        <f t="shared" si="189"/>
        <v>3.5130592199742003E-2</v>
      </c>
      <c r="M228" s="3">
        <f t="shared" si="189"/>
        <v>3.5130592199741129E-2</v>
      </c>
      <c r="N228" s="3">
        <f t="shared" si="189"/>
        <v>3.5130592199732386E-2</v>
      </c>
      <c r="O228" s="3">
        <f t="shared" si="189"/>
        <v>3.5130592199644942E-2</v>
      </c>
      <c r="P228" s="3">
        <f t="shared" si="189"/>
        <v>3.5130592198770544E-2</v>
      </c>
      <c r="Q228" s="3">
        <f t="shared" si="189"/>
        <v>3.5130592190026483E-2</v>
      </c>
      <c r="R228" s="3">
        <f t="shared" si="189"/>
        <v>3.5130592102585956E-2</v>
      </c>
      <c r="S228" s="3">
        <f t="shared" si="189"/>
        <v>3.5130591228180671E-2</v>
      </c>
      <c r="T228" s="3">
        <f t="shared" si="189"/>
        <v>3.513058248412905E-2</v>
      </c>
      <c r="U228" s="3">
        <f t="shared" si="189"/>
        <v>3.5130495043732515E-2</v>
      </c>
      <c r="V228" s="3">
        <f t="shared" si="189"/>
        <v>3.5129620651737276E-2</v>
      </c>
      <c r="W228" s="3">
        <f t="shared" si="189"/>
        <v>3.5120877928686137E-2</v>
      </c>
      <c r="X228" s="3">
        <f t="shared" si="189"/>
        <v>3.5033570278151065E-2</v>
      </c>
      <c r="Y228" s="3">
        <f t="shared" si="189"/>
        <v>3.4172342374378231E-2</v>
      </c>
      <c r="Z228" s="3">
        <f t="shared" si="189"/>
        <v>2.6642701075378857E-2</v>
      </c>
      <c r="AA228" s="3">
        <f t="shared" si="189"/>
        <v>2.2111249449214172E-3</v>
      </c>
      <c r="AB228" s="3">
        <f t="shared" si="189"/>
        <v>3.4273906218623932E-14</v>
      </c>
      <c r="AC228" s="3">
        <f t="shared" si="189"/>
        <v>2.7445225501691247E-122</v>
      </c>
      <c r="AD228" s="3">
        <f t="shared" si="189"/>
        <v>0</v>
      </c>
      <c r="AE228" s="3">
        <f t="shared" si="189"/>
        <v>0</v>
      </c>
      <c r="AF228" s="3">
        <f t="shared" si="189"/>
        <v>0</v>
      </c>
      <c r="AG228" s="3"/>
      <c r="AH228" s="3"/>
    </row>
    <row r="229" spans="2:34" x14ac:dyDescent="0.25">
      <c r="B229" s="3">
        <f t="shared" ref="B229:AF229" si="190">$C37*EXP(-B$207/$A37/EXP(-$D$126))</f>
        <v>5.1976552303921161E-2</v>
      </c>
      <c r="C229" s="3">
        <f t="shared" si="190"/>
        <v>5.1976552303921161E-2</v>
      </c>
      <c r="D229" s="3">
        <f t="shared" si="190"/>
        <v>5.1976552303921161E-2</v>
      </c>
      <c r="E229" s="3">
        <f t="shared" si="190"/>
        <v>5.1976552303921161E-2</v>
      </c>
      <c r="F229" s="3">
        <f t="shared" si="190"/>
        <v>5.1976552303921161E-2</v>
      </c>
      <c r="G229" s="3">
        <f t="shared" si="190"/>
        <v>5.1976552303921161E-2</v>
      </c>
      <c r="H229" s="3">
        <f t="shared" si="190"/>
        <v>5.1976552303921161E-2</v>
      </c>
      <c r="I229" s="3">
        <f t="shared" si="190"/>
        <v>5.1976552303921161E-2</v>
      </c>
      <c r="J229" s="3">
        <f t="shared" si="190"/>
        <v>5.1976552303921161E-2</v>
      </c>
      <c r="K229" s="3">
        <f t="shared" si="190"/>
        <v>5.1976552303921161E-2</v>
      </c>
      <c r="L229" s="3">
        <f t="shared" si="190"/>
        <v>5.1976552303921147E-2</v>
      </c>
      <c r="M229" s="3">
        <f t="shared" si="190"/>
        <v>5.1976552303921036E-2</v>
      </c>
      <c r="N229" s="3">
        <f t="shared" si="190"/>
        <v>5.1976552303919864E-2</v>
      </c>
      <c r="O229" s="3">
        <f t="shared" si="190"/>
        <v>5.1976552303908193E-2</v>
      </c>
      <c r="P229" s="3">
        <f t="shared" si="190"/>
        <v>5.1976552303791494E-2</v>
      </c>
      <c r="Q229" s="3">
        <f t="shared" si="190"/>
        <v>5.1976552302624462E-2</v>
      </c>
      <c r="R229" s="3">
        <f t="shared" si="190"/>
        <v>5.197655229095418E-2</v>
      </c>
      <c r="S229" s="3">
        <f t="shared" si="190"/>
        <v>5.1976552174251359E-2</v>
      </c>
      <c r="T229" s="3">
        <f t="shared" si="190"/>
        <v>5.1976551007223121E-2</v>
      </c>
      <c r="U229" s="3">
        <f t="shared" si="190"/>
        <v>5.1976539336942261E-2</v>
      </c>
      <c r="V229" s="3">
        <f t="shared" si="190"/>
        <v>5.1976422634277736E-2</v>
      </c>
      <c r="W229" s="3">
        <f t="shared" si="190"/>
        <v>5.1975255622044143E-2</v>
      </c>
      <c r="X229" s="3">
        <f t="shared" si="190"/>
        <v>5.1963586940754293E-2</v>
      </c>
      <c r="Y229" s="3">
        <f t="shared" si="190"/>
        <v>5.1847044112819478E-2</v>
      </c>
      <c r="Z229" s="3">
        <f t="shared" si="190"/>
        <v>5.0695895427885301E-2</v>
      </c>
      <c r="AA229" s="3">
        <f t="shared" si="190"/>
        <v>4.0500535490035856E-2</v>
      </c>
      <c r="AB229" s="3">
        <f t="shared" si="190"/>
        <v>4.2888458457287374E-3</v>
      </c>
      <c r="AC229" s="3">
        <f t="shared" si="190"/>
        <v>7.6056642380924242E-13</v>
      </c>
      <c r="AD229" s="3">
        <f t="shared" si="190"/>
        <v>2.3393988529139255E-110</v>
      </c>
      <c r="AE229" s="3">
        <f t="shared" si="190"/>
        <v>0</v>
      </c>
      <c r="AF229" s="3">
        <f t="shared" si="190"/>
        <v>0</v>
      </c>
      <c r="AG229" s="3"/>
      <c r="AH229" s="3"/>
    </row>
    <row r="230" spans="2:34" x14ac:dyDescent="0.25">
      <c r="B230" s="3">
        <f t="shared" ref="B230:AF230" si="191">$C38*EXP(-B$207/$A38/EXP(-$D$126))</f>
        <v>2.3181635308382595E-6</v>
      </c>
      <c r="C230" s="3">
        <f t="shared" si="191"/>
        <v>2.3181635308382595E-6</v>
      </c>
      <c r="D230" s="3">
        <f t="shared" si="191"/>
        <v>2.3181635308382595E-6</v>
      </c>
      <c r="E230" s="3">
        <f t="shared" si="191"/>
        <v>2.3181635308382595E-6</v>
      </c>
      <c r="F230" s="3">
        <f t="shared" si="191"/>
        <v>2.3181635308382595E-6</v>
      </c>
      <c r="G230" s="3">
        <f t="shared" si="191"/>
        <v>2.3181635308382595E-6</v>
      </c>
      <c r="H230" s="3">
        <f t="shared" si="191"/>
        <v>2.3181635308382595E-6</v>
      </c>
      <c r="I230" s="3">
        <f t="shared" si="191"/>
        <v>2.3181635308382595E-6</v>
      </c>
      <c r="J230" s="3">
        <f t="shared" si="191"/>
        <v>2.3181635308382595E-6</v>
      </c>
      <c r="K230" s="3">
        <f t="shared" si="191"/>
        <v>2.3181635308382595E-6</v>
      </c>
      <c r="L230" s="3">
        <f t="shared" si="191"/>
        <v>2.3181635308382595E-6</v>
      </c>
      <c r="M230" s="3">
        <f t="shared" si="191"/>
        <v>2.3181635308382591E-6</v>
      </c>
      <c r="N230" s="3">
        <f t="shared" si="191"/>
        <v>2.3181635308382545E-6</v>
      </c>
      <c r="O230" s="3">
        <f t="shared" si="191"/>
        <v>2.3181635308382074E-6</v>
      </c>
      <c r="P230" s="3">
        <f t="shared" si="191"/>
        <v>2.3181635308377378E-6</v>
      </c>
      <c r="Q230" s="3">
        <f t="shared" si="191"/>
        <v>2.3181635308330422E-6</v>
      </c>
      <c r="R230" s="3">
        <f t="shared" si="191"/>
        <v>2.3181635307860891E-6</v>
      </c>
      <c r="S230" s="3">
        <f t="shared" si="191"/>
        <v>2.318163530316558E-6</v>
      </c>
      <c r="T230" s="3">
        <f t="shared" si="191"/>
        <v>2.3181635256212447E-6</v>
      </c>
      <c r="U230" s="3">
        <f t="shared" si="191"/>
        <v>2.3181634786681146E-6</v>
      </c>
      <c r="V230" s="3">
        <f t="shared" si="191"/>
        <v>2.3181630091368607E-6</v>
      </c>
      <c r="W230" s="3">
        <f t="shared" si="191"/>
        <v>2.3181583138295565E-6</v>
      </c>
      <c r="X230" s="3">
        <f t="shared" si="191"/>
        <v>2.3181113612795627E-6</v>
      </c>
      <c r="Y230" s="3">
        <f t="shared" si="191"/>
        <v>2.3176418880808166E-6</v>
      </c>
      <c r="Z230" s="3">
        <f t="shared" si="191"/>
        <v>2.3129523822950237E-6</v>
      </c>
      <c r="AA230" s="3">
        <f t="shared" si="191"/>
        <v>2.2665760491404019E-6</v>
      </c>
      <c r="AB230" s="3">
        <f t="shared" si="191"/>
        <v>1.8509996191762311E-6</v>
      </c>
      <c r="AC230" s="3">
        <f t="shared" si="191"/>
        <v>2.4421181461638853E-7</v>
      </c>
      <c r="AD230" s="3">
        <f t="shared" si="191"/>
        <v>3.902744166408735E-16</v>
      </c>
      <c r="AE230" s="3">
        <f t="shared" si="191"/>
        <v>4.2403744501904598E-104</v>
      </c>
      <c r="AF230" s="3">
        <f t="shared" si="191"/>
        <v>0</v>
      </c>
      <c r="AG230" s="3"/>
      <c r="AH230" s="3"/>
    </row>
    <row r="231" spans="2:34" x14ac:dyDescent="0.25">
      <c r="B231" s="3">
        <f t="shared" ref="B231:AF231" si="192">$C39*EXP(-B$207/$A39/EXP(-$D$126))</f>
        <v>7.5767559561282297E-2</v>
      </c>
      <c r="C231" s="3">
        <f t="shared" si="192"/>
        <v>7.5767559561282297E-2</v>
      </c>
      <c r="D231" s="3">
        <f t="shared" si="192"/>
        <v>7.5767559561282297E-2</v>
      </c>
      <c r="E231" s="3">
        <f t="shared" si="192"/>
        <v>7.5767559561282297E-2</v>
      </c>
      <c r="F231" s="3">
        <f t="shared" si="192"/>
        <v>7.5767559561282297E-2</v>
      </c>
      <c r="G231" s="3">
        <f t="shared" si="192"/>
        <v>7.5767559561282297E-2</v>
      </c>
      <c r="H231" s="3">
        <f t="shared" si="192"/>
        <v>7.5767559561282297E-2</v>
      </c>
      <c r="I231" s="3">
        <f t="shared" si="192"/>
        <v>7.5767559561282297E-2</v>
      </c>
      <c r="J231" s="3">
        <f t="shared" si="192"/>
        <v>7.5767559561282297E-2</v>
      </c>
      <c r="K231" s="3">
        <f t="shared" si="192"/>
        <v>7.5767559561282297E-2</v>
      </c>
      <c r="L231" s="3">
        <f t="shared" si="192"/>
        <v>7.5767559561282297E-2</v>
      </c>
      <c r="M231" s="3">
        <f t="shared" si="192"/>
        <v>7.5767559561282283E-2</v>
      </c>
      <c r="N231" s="3">
        <f t="shared" si="192"/>
        <v>7.5767559561282241E-2</v>
      </c>
      <c r="O231" s="3">
        <f t="shared" si="192"/>
        <v>7.5767559561281825E-2</v>
      </c>
      <c r="P231" s="3">
        <f t="shared" si="192"/>
        <v>7.5767559561277578E-2</v>
      </c>
      <c r="Q231" s="3">
        <f t="shared" si="192"/>
        <v>7.576755956123514E-2</v>
      </c>
      <c r="R231" s="3">
        <f t="shared" si="192"/>
        <v>7.5767559560810688E-2</v>
      </c>
      <c r="S231" s="3">
        <f t="shared" si="192"/>
        <v>7.5767559556566291E-2</v>
      </c>
      <c r="T231" s="3">
        <f t="shared" si="192"/>
        <v>7.5767559514122257E-2</v>
      </c>
      <c r="U231" s="3">
        <f t="shared" si="192"/>
        <v>7.5767559089681927E-2</v>
      </c>
      <c r="V231" s="3">
        <f t="shared" si="192"/>
        <v>7.5767554845278695E-2</v>
      </c>
      <c r="W231" s="3">
        <f t="shared" si="192"/>
        <v>7.5767512401259507E-2</v>
      </c>
      <c r="X231" s="3">
        <f t="shared" si="192"/>
        <v>7.5767087962375301E-2</v>
      </c>
      <c r="Y231" s="3">
        <f t="shared" si="192"/>
        <v>7.5762843704301641E-2</v>
      </c>
      <c r="Z231" s="3">
        <f t="shared" si="192"/>
        <v>7.5720414197691405E-2</v>
      </c>
      <c r="AA231" s="3">
        <f t="shared" si="192"/>
        <v>7.5297423838417435E-2</v>
      </c>
      <c r="AB231" s="3">
        <f t="shared" si="192"/>
        <v>7.1195326714584964E-2</v>
      </c>
      <c r="AC231" s="3">
        <f t="shared" si="192"/>
        <v>4.0659794744175491E-2</v>
      </c>
      <c r="AD231" s="3">
        <f t="shared" si="192"/>
        <v>1.5007284920927984E-4</v>
      </c>
      <c r="AE231" s="3">
        <f t="shared" si="192"/>
        <v>7.0416038353431658E-29</v>
      </c>
      <c r="AF231" s="3">
        <f t="shared" si="192"/>
        <v>3.6422200957619493E-272</v>
      </c>
      <c r="AG231" s="3"/>
      <c r="AH231" s="3"/>
    </row>
    <row r="232" spans="2:34" x14ac:dyDescent="0.25">
      <c r="B232" s="3">
        <f t="shared" ref="B232:AF232" si="193">$C40*EXP(-B$207/$A40/EXP(-$D$126))</f>
        <v>3.067875950056604E-2</v>
      </c>
      <c r="C232" s="3">
        <f t="shared" si="193"/>
        <v>3.067875950056604E-2</v>
      </c>
      <c r="D232" s="3">
        <f t="shared" si="193"/>
        <v>3.067875950056604E-2</v>
      </c>
      <c r="E232" s="3">
        <f t="shared" si="193"/>
        <v>3.067875950056604E-2</v>
      </c>
      <c r="F232" s="3">
        <f t="shared" si="193"/>
        <v>3.067875950056604E-2</v>
      </c>
      <c r="G232" s="3">
        <f t="shared" si="193"/>
        <v>3.067875950056604E-2</v>
      </c>
      <c r="H232" s="3">
        <f t="shared" si="193"/>
        <v>3.067875950056604E-2</v>
      </c>
      <c r="I232" s="3">
        <f t="shared" si="193"/>
        <v>3.067875950056604E-2</v>
      </c>
      <c r="J232" s="3">
        <f t="shared" si="193"/>
        <v>3.067875950056604E-2</v>
      </c>
      <c r="K232" s="3">
        <f t="shared" si="193"/>
        <v>3.067875950056604E-2</v>
      </c>
      <c r="L232" s="3">
        <f t="shared" si="193"/>
        <v>3.067875950056604E-2</v>
      </c>
      <c r="M232" s="3">
        <f t="shared" si="193"/>
        <v>3.067875950056604E-2</v>
      </c>
      <c r="N232" s="3">
        <f t="shared" si="193"/>
        <v>3.0678759500566036E-2</v>
      </c>
      <c r="O232" s="3">
        <f t="shared" si="193"/>
        <v>3.0678759500566019E-2</v>
      </c>
      <c r="P232" s="3">
        <f t="shared" si="193"/>
        <v>3.0678759500565849E-2</v>
      </c>
      <c r="Q232" s="3">
        <f t="shared" si="193"/>
        <v>3.0678759500564128E-2</v>
      </c>
      <c r="R232" s="3">
        <f t="shared" si="193"/>
        <v>3.0678759500546944E-2</v>
      </c>
      <c r="S232" s="3">
        <f t="shared" si="193"/>
        <v>3.0678759500375085E-2</v>
      </c>
      <c r="T232" s="3">
        <f t="shared" si="193"/>
        <v>3.0678759498656498E-2</v>
      </c>
      <c r="U232" s="3">
        <f t="shared" si="193"/>
        <v>3.0678759481470644E-2</v>
      </c>
      <c r="V232" s="3">
        <f t="shared" si="193"/>
        <v>3.0678759309612096E-2</v>
      </c>
      <c r="W232" s="3">
        <f t="shared" si="193"/>
        <v>3.0678757591026642E-2</v>
      </c>
      <c r="X232" s="3">
        <f t="shared" si="193"/>
        <v>3.0678740405177384E-2</v>
      </c>
      <c r="Y232" s="3">
        <f t="shared" si="193"/>
        <v>3.067856854721434E-2</v>
      </c>
      <c r="Z232" s="3">
        <f t="shared" si="193"/>
        <v>3.067685002053281E-2</v>
      </c>
      <c r="AA232" s="3">
        <f t="shared" si="193"/>
        <v>3.0659670047513223E-2</v>
      </c>
      <c r="AB232" s="3">
        <f t="shared" si="193"/>
        <v>3.0488398601285258E-2</v>
      </c>
      <c r="AC232" s="3">
        <f t="shared" si="193"/>
        <v>2.8827433778890101E-2</v>
      </c>
      <c r="AD232" s="3">
        <f t="shared" si="193"/>
        <v>1.6463405598936092E-2</v>
      </c>
      <c r="AE232" s="3">
        <f t="shared" si="193"/>
        <v>6.0765436753078519E-5</v>
      </c>
      <c r="AF232" s="3">
        <f t="shared" si="193"/>
        <v>2.8511895039727253E-29</v>
      </c>
      <c r="AG232" s="3"/>
      <c r="AH232" s="3"/>
    </row>
    <row r="233" spans="2:34" x14ac:dyDescent="0.25">
      <c r="B233" s="3">
        <f t="shared" ref="B233:AF233" si="194">$C41*EXP(-B$207/$A41/EXP(-$D$126))</f>
        <v>7.5768782257570458E-2</v>
      </c>
      <c r="C233" s="3">
        <f t="shared" si="194"/>
        <v>7.5768782257570458E-2</v>
      </c>
      <c r="D233" s="3">
        <f t="shared" si="194"/>
        <v>7.5768782257570458E-2</v>
      </c>
      <c r="E233" s="3">
        <f t="shared" si="194"/>
        <v>7.5768782257570458E-2</v>
      </c>
      <c r="F233" s="3">
        <f t="shared" si="194"/>
        <v>7.5768782257570458E-2</v>
      </c>
      <c r="G233" s="3">
        <f t="shared" si="194"/>
        <v>7.5768782257570458E-2</v>
      </c>
      <c r="H233" s="3">
        <f t="shared" si="194"/>
        <v>7.5768782257570458E-2</v>
      </c>
      <c r="I233" s="3">
        <f t="shared" si="194"/>
        <v>7.5768782257570458E-2</v>
      </c>
      <c r="J233" s="3">
        <f t="shared" si="194"/>
        <v>7.5768782257570458E-2</v>
      </c>
      <c r="K233" s="3">
        <f t="shared" si="194"/>
        <v>7.5768782257570458E-2</v>
      </c>
      <c r="L233" s="3">
        <f t="shared" si="194"/>
        <v>7.5768782257570458E-2</v>
      </c>
      <c r="M233" s="3">
        <f t="shared" si="194"/>
        <v>7.5768782257570458E-2</v>
      </c>
      <c r="N233" s="3">
        <f t="shared" si="194"/>
        <v>7.5768782257570458E-2</v>
      </c>
      <c r="O233" s="3">
        <f t="shared" si="194"/>
        <v>7.5768782257570444E-2</v>
      </c>
      <c r="P233" s="3">
        <f t="shared" si="194"/>
        <v>7.5768782257570402E-2</v>
      </c>
      <c r="Q233" s="3">
        <f t="shared" si="194"/>
        <v>7.5768782257569986E-2</v>
      </c>
      <c r="R233" s="3">
        <f t="shared" si="194"/>
        <v>7.5768782257565739E-2</v>
      </c>
      <c r="S233" s="3">
        <f t="shared" si="194"/>
        <v>7.5768782257523301E-2</v>
      </c>
      <c r="T233" s="3">
        <f t="shared" si="194"/>
        <v>7.5768782257098849E-2</v>
      </c>
      <c r="U233" s="3">
        <f t="shared" si="194"/>
        <v>7.5768782252854369E-2</v>
      </c>
      <c r="V233" s="3">
        <f t="shared" si="194"/>
        <v>7.5768782210409655E-2</v>
      </c>
      <c r="W233" s="3">
        <f t="shared" si="194"/>
        <v>7.5768781785962469E-2</v>
      </c>
      <c r="X233" s="3">
        <f t="shared" si="194"/>
        <v>7.5768777541490751E-2</v>
      </c>
      <c r="Y233" s="3">
        <f t="shared" si="194"/>
        <v>7.5768735096786624E-2</v>
      </c>
      <c r="Z233" s="3">
        <f t="shared" si="194"/>
        <v>7.576831065105305E-2</v>
      </c>
      <c r="AA233" s="3">
        <f t="shared" si="194"/>
        <v>7.576406632448783E-2</v>
      </c>
      <c r="AB233" s="3">
        <f t="shared" si="194"/>
        <v>7.572163613317294E-2</v>
      </c>
      <c r="AC233" s="3">
        <f t="shared" si="194"/>
        <v>7.5298638947907143E-2</v>
      </c>
      <c r="AD233" s="3">
        <f t="shared" si="194"/>
        <v>7.1196475626628758E-2</v>
      </c>
      <c r="AE233" s="3">
        <f t="shared" si="194"/>
        <v>4.0660450890161959E-2</v>
      </c>
      <c r="AF233" s="3">
        <f t="shared" si="194"/>
        <v>1.5007527100452763E-4</v>
      </c>
      <c r="AG233" s="3"/>
      <c r="AH233" s="3"/>
    </row>
    <row r="234" spans="2:34" x14ac:dyDescent="0.25">
      <c r="B234" s="3">
        <f t="shared" ref="B234:AF234" si="195">$C42*EXP(-B$207/$A42/EXP(-$D$126))</f>
        <v>3.996144450245992E-2</v>
      </c>
      <c r="C234" s="3">
        <f t="shared" si="195"/>
        <v>3.996144450245992E-2</v>
      </c>
      <c r="D234" s="3">
        <f t="shared" si="195"/>
        <v>3.996144450245992E-2</v>
      </c>
      <c r="E234" s="3">
        <f t="shared" si="195"/>
        <v>3.996144450245992E-2</v>
      </c>
      <c r="F234" s="3">
        <f t="shared" si="195"/>
        <v>3.996144450245992E-2</v>
      </c>
      <c r="G234" s="3">
        <f t="shared" si="195"/>
        <v>3.996144450245992E-2</v>
      </c>
      <c r="H234" s="3">
        <f t="shared" si="195"/>
        <v>3.996144450245992E-2</v>
      </c>
      <c r="I234" s="3">
        <f t="shared" si="195"/>
        <v>3.996144450245992E-2</v>
      </c>
      <c r="J234" s="3">
        <f t="shared" si="195"/>
        <v>3.996144450245992E-2</v>
      </c>
      <c r="K234" s="3">
        <f t="shared" si="195"/>
        <v>3.996144450245992E-2</v>
      </c>
      <c r="L234" s="3">
        <f t="shared" si="195"/>
        <v>3.996144450245992E-2</v>
      </c>
      <c r="M234" s="3">
        <f t="shared" si="195"/>
        <v>3.996144450245992E-2</v>
      </c>
      <c r="N234" s="3">
        <f t="shared" si="195"/>
        <v>3.996144450245992E-2</v>
      </c>
      <c r="O234" s="3">
        <f t="shared" si="195"/>
        <v>3.996144450245992E-2</v>
      </c>
      <c r="P234" s="3">
        <f t="shared" si="195"/>
        <v>3.9961444502459913E-2</v>
      </c>
      <c r="Q234" s="3">
        <f t="shared" si="195"/>
        <v>3.9961444502459892E-2</v>
      </c>
      <c r="R234" s="3">
        <f t="shared" si="195"/>
        <v>3.996144450245967E-2</v>
      </c>
      <c r="S234" s="3">
        <f t="shared" si="195"/>
        <v>3.9961444502457429E-2</v>
      </c>
      <c r="T234" s="3">
        <f t="shared" si="195"/>
        <v>3.9961444502435051E-2</v>
      </c>
      <c r="U234" s="3">
        <f t="shared" si="195"/>
        <v>3.9961444502211188E-2</v>
      </c>
      <c r="V234" s="3">
        <f t="shared" si="195"/>
        <v>3.9961444499972597E-2</v>
      </c>
      <c r="W234" s="3">
        <f t="shared" si="195"/>
        <v>3.9961444477586698E-2</v>
      </c>
      <c r="X234" s="3">
        <f t="shared" si="195"/>
        <v>3.9961444253727718E-2</v>
      </c>
      <c r="Y234" s="3">
        <f t="shared" si="195"/>
        <v>3.9961442015137939E-2</v>
      </c>
      <c r="Z234" s="3">
        <f t="shared" si="195"/>
        <v>3.9961419629247104E-2</v>
      </c>
      <c r="AA234" s="3">
        <f t="shared" si="195"/>
        <v>3.996119577102844E-2</v>
      </c>
      <c r="AB234" s="3">
        <f t="shared" si="195"/>
        <v>3.9958957257811872E-2</v>
      </c>
      <c r="AC234" s="3">
        <f t="shared" si="195"/>
        <v>3.9936579021222371E-2</v>
      </c>
      <c r="AD234" s="3">
        <f t="shared" si="195"/>
        <v>3.9713484785838818E-2</v>
      </c>
      <c r="AE234" s="3">
        <f t="shared" si="195"/>
        <v>3.7549950319281988E-2</v>
      </c>
      <c r="AF234" s="3">
        <f t="shared" si="195"/>
        <v>2.1444852395392126E-2</v>
      </c>
      <c r="AG234" s="3"/>
      <c r="AH234" s="3"/>
    </row>
    <row r="235" spans="2:34" x14ac:dyDescent="0.25">
      <c r="B235" s="3">
        <f t="shared" ref="B235:AF235" si="196">$C43*EXP(-B$207/$A43/EXP(-$D$126))</f>
        <v>4.8323610204746917E-2</v>
      </c>
      <c r="C235" s="3">
        <f t="shared" si="196"/>
        <v>4.8323610204746917E-2</v>
      </c>
      <c r="D235" s="3">
        <f t="shared" si="196"/>
        <v>4.8323610204746917E-2</v>
      </c>
      <c r="E235" s="3">
        <f t="shared" si="196"/>
        <v>4.8323610204746917E-2</v>
      </c>
      <c r="F235" s="3">
        <f t="shared" si="196"/>
        <v>4.8323610204746917E-2</v>
      </c>
      <c r="G235" s="3">
        <f t="shared" si="196"/>
        <v>4.8323610204746917E-2</v>
      </c>
      <c r="H235" s="3">
        <f t="shared" si="196"/>
        <v>4.8323610204746917E-2</v>
      </c>
      <c r="I235" s="3">
        <f t="shared" si="196"/>
        <v>4.8323610204746917E-2</v>
      </c>
      <c r="J235" s="3">
        <f t="shared" si="196"/>
        <v>4.8323610204746917E-2</v>
      </c>
      <c r="K235" s="3">
        <f t="shared" si="196"/>
        <v>4.8323610204746917E-2</v>
      </c>
      <c r="L235" s="3">
        <f t="shared" si="196"/>
        <v>4.8323610204746917E-2</v>
      </c>
      <c r="M235" s="3">
        <f t="shared" si="196"/>
        <v>4.8323610204746917E-2</v>
      </c>
      <c r="N235" s="3">
        <f t="shared" si="196"/>
        <v>4.8323610204746917E-2</v>
      </c>
      <c r="O235" s="3">
        <f t="shared" si="196"/>
        <v>4.8323610204746917E-2</v>
      </c>
      <c r="P235" s="3">
        <f t="shared" si="196"/>
        <v>4.8323610204746917E-2</v>
      </c>
      <c r="Q235" s="3">
        <f t="shared" si="196"/>
        <v>4.832361020474691E-2</v>
      </c>
      <c r="R235" s="3">
        <f t="shared" si="196"/>
        <v>4.8323610204746882E-2</v>
      </c>
      <c r="S235" s="3">
        <f t="shared" si="196"/>
        <v>4.8323610204746618E-2</v>
      </c>
      <c r="T235" s="3">
        <f t="shared" si="196"/>
        <v>4.8323610204743905E-2</v>
      </c>
      <c r="U235" s="3">
        <f t="shared" si="196"/>
        <v>4.8323610204716844E-2</v>
      </c>
      <c r="V235" s="3">
        <f t="shared" si="196"/>
        <v>4.8323610204446137E-2</v>
      </c>
      <c r="W235" s="3">
        <f t="shared" si="196"/>
        <v>4.8323610201739108E-2</v>
      </c>
      <c r="X235" s="3">
        <f t="shared" si="196"/>
        <v>4.8323610174668831E-2</v>
      </c>
      <c r="Y235" s="3">
        <f t="shared" si="196"/>
        <v>4.8323609903966044E-2</v>
      </c>
      <c r="Z235" s="3">
        <f t="shared" si="196"/>
        <v>4.8323607196938283E-2</v>
      </c>
      <c r="AA235" s="3">
        <f t="shared" si="196"/>
        <v>4.832358012666902E-2</v>
      </c>
      <c r="AB235" s="3">
        <f t="shared" si="196"/>
        <v>4.8323309424810404E-2</v>
      </c>
      <c r="AC235" s="3">
        <f t="shared" si="196"/>
        <v>4.8320602489626698E-2</v>
      </c>
      <c r="AD235" s="3">
        <f t="shared" si="196"/>
        <v>4.8293541476305366E-2</v>
      </c>
      <c r="AE235" s="3">
        <f t="shared" si="196"/>
        <v>4.8023763468932848E-2</v>
      </c>
      <c r="AF235" s="3">
        <f t="shared" si="196"/>
        <v>4.5407496776671726E-2</v>
      </c>
      <c r="AG235" s="3"/>
      <c r="AH235" s="3"/>
    </row>
    <row r="236" spans="2:34" x14ac:dyDescent="0.25">
      <c r="B236" s="3">
        <f t="shared" ref="B236:AF236" si="197">$C44*EXP(-B$207/$A44/EXP(-$D$126))</f>
        <v>1.4844365312015322E-2</v>
      </c>
      <c r="C236" s="3">
        <f t="shared" si="197"/>
        <v>1.4844365312015322E-2</v>
      </c>
      <c r="D236" s="3">
        <f t="shared" si="197"/>
        <v>1.4844365312015322E-2</v>
      </c>
      <c r="E236" s="3">
        <f t="shared" si="197"/>
        <v>1.4844365312015322E-2</v>
      </c>
      <c r="F236" s="3">
        <f t="shared" si="197"/>
        <v>1.4844365312015322E-2</v>
      </c>
      <c r="G236" s="3">
        <f t="shared" si="197"/>
        <v>1.4844365312015322E-2</v>
      </c>
      <c r="H236" s="3">
        <f t="shared" si="197"/>
        <v>1.4844365312015322E-2</v>
      </c>
      <c r="I236" s="3">
        <f t="shared" si="197"/>
        <v>1.4844365312015322E-2</v>
      </c>
      <c r="J236" s="3">
        <f t="shared" si="197"/>
        <v>1.4844365312015322E-2</v>
      </c>
      <c r="K236" s="3">
        <f t="shared" si="197"/>
        <v>1.4844365312015322E-2</v>
      </c>
      <c r="L236" s="3">
        <f t="shared" si="197"/>
        <v>1.4844365312015322E-2</v>
      </c>
      <c r="M236" s="3">
        <f t="shared" si="197"/>
        <v>1.4844365312015322E-2</v>
      </c>
      <c r="N236" s="3">
        <f t="shared" si="197"/>
        <v>1.4844365312015322E-2</v>
      </c>
      <c r="O236" s="3">
        <f t="shared" si="197"/>
        <v>1.4844365312015322E-2</v>
      </c>
      <c r="P236" s="3">
        <f t="shared" si="197"/>
        <v>1.4844365312015322E-2</v>
      </c>
      <c r="Q236" s="3">
        <f t="shared" si="197"/>
        <v>1.4844365312015322E-2</v>
      </c>
      <c r="R236" s="3">
        <f t="shared" si="197"/>
        <v>1.484436531201532E-2</v>
      </c>
      <c r="S236" s="3">
        <f t="shared" si="197"/>
        <v>1.4844365312015311E-2</v>
      </c>
      <c r="T236" s="3">
        <f t="shared" si="197"/>
        <v>1.484436531201523E-2</v>
      </c>
      <c r="U236" s="3">
        <f t="shared" si="197"/>
        <v>1.4844365312014397E-2</v>
      </c>
      <c r="V236" s="3">
        <f t="shared" si="197"/>
        <v>1.4844365312006082E-2</v>
      </c>
      <c r="W236" s="3">
        <f t="shared" si="197"/>
        <v>1.4844365311922925E-2</v>
      </c>
      <c r="X236" s="3">
        <f t="shared" si="197"/>
        <v>1.4844365311091363E-2</v>
      </c>
      <c r="Y236" s="3">
        <f t="shared" si="197"/>
        <v>1.4844365302775737E-2</v>
      </c>
      <c r="Z236" s="3">
        <f t="shared" si="197"/>
        <v>1.484436521961947E-2</v>
      </c>
      <c r="AA236" s="3">
        <f t="shared" si="197"/>
        <v>1.4844364388056827E-2</v>
      </c>
      <c r="AB236" s="3">
        <f t="shared" si="197"/>
        <v>1.4844356072432967E-2</v>
      </c>
      <c r="AC236" s="3">
        <f t="shared" si="197"/>
        <v>1.4844272916450562E-2</v>
      </c>
      <c r="AD236" s="3">
        <f t="shared" si="197"/>
        <v>1.4843441382246626E-2</v>
      </c>
      <c r="AE236" s="3">
        <f t="shared" si="197"/>
        <v>1.4835128601687534E-2</v>
      </c>
      <c r="AF236" s="3">
        <f t="shared" si="197"/>
        <v>1.4752256414000865E-2</v>
      </c>
      <c r="AG236" s="3"/>
      <c r="AH236" s="3"/>
    </row>
    <row r="237" spans="2:34" x14ac:dyDescent="0.25">
      <c r="B237" s="3">
        <f t="shared" ref="B237:AF237" si="198">$C45*EXP(-B$207/$A45/EXP(-$D$126))</f>
        <v>1.5641900970231219E-2</v>
      </c>
      <c r="C237" s="3">
        <f t="shared" si="198"/>
        <v>1.5641900970231219E-2</v>
      </c>
      <c r="D237" s="3">
        <f t="shared" si="198"/>
        <v>1.5641900970231219E-2</v>
      </c>
      <c r="E237" s="3">
        <f t="shared" si="198"/>
        <v>1.5641900970231219E-2</v>
      </c>
      <c r="F237" s="3">
        <f t="shared" si="198"/>
        <v>1.5641900970231219E-2</v>
      </c>
      <c r="G237" s="3">
        <f t="shared" si="198"/>
        <v>1.5641900970231219E-2</v>
      </c>
      <c r="H237" s="3">
        <f t="shared" si="198"/>
        <v>1.5641900970231219E-2</v>
      </c>
      <c r="I237" s="3">
        <f t="shared" si="198"/>
        <v>1.5641900970231219E-2</v>
      </c>
      <c r="J237" s="3">
        <f t="shared" si="198"/>
        <v>1.5641900970231219E-2</v>
      </c>
      <c r="K237" s="3">
        <f t="shared" si="198"/>
        <v>1.5641900970231219E-2</v>
      </c>
      <c r="L237" s="3">
        <f t="shared" si="198"/>
        <v>1.5641900970231219E-2</v>
      </c>
      <c r="M237" s="3">
        <f t="shared" si="198"/>
        <v>1.5641900970231219E-2</v>
      </c>
      <c r="N237" s="3">
        <f t="shared" si="198"/>
        <v>1.5641900970231219E-2</v>
      </c>
      <c r="O237" s="3">
        <f t="shared" si="198"/>
        <v>1.5641900970231219E-2</v>
      </c>
      <c r="P237" s="3">
        <f t="shared" si="198"/>
        <v>1.5641900970231219E-2</v>
      </c>
      <c r="Q237" s="3">
        <f t="shared" si="198"/>
        <v>1.5641900970231219E-2</v>
      </c>
      <c r="R237" s="3">
        <f t="shared" si="198"/>
        <v>1.5641900970231219E-2</v>
      </c>
      <c r="S237" s="3">
        <f t="shared" si="198"/>
        <v>1.5641900970231215E-2</v>
      </c>
      <c r="T237" s="3">
        <f t="shared" si="198"/>
        <v>1.5641900970231208E-2</v>
      </c>
      <c r="U237" s="3">
        <f t="shared" si="198"/>
        <v>1.5641900970231121E-2</v>
      </c>
      <c r="V237" s="3">
        <f t="shared" si="198"/>
        <v>1.5641900970230244E-2</v>
      </c>
      <c r="W237" s="3">
        <f t="shared" si="198"/>
        <v>1.5641900970221483E-2</v>
      </c>
      <c r="X237" s="3">
        <f t="shared" si="198"/>
        <v>1.5641900970133859E-2</v>
      </c>
      <c r="Y237" s="3">
        <f t="shared" si="198"/>
        <v>1.5641900969257619E-2</v>
      </c>
      <c r="Z237" s="3">
        <f t="shared" si="198"/>
        <v>1.5641900960495222E-2</v>
      </c>
      <c r="AA237" s="3">
        <f t="shared" si="198"/>
        <v>1.5641900872871262E-2</v>
      </c>
      <c r="AB237" s="3">
        <f t="shared" si="198"/>
        <v>1.5641899996631677E-2</v>
      </c>
      <c r="AC237" s="3">
        <f t="shared" si="198"/>
        <v>1.5641891234238526E-2</v>
      </c>
      <c r="AD237" s="3">
        <f t="shared" si="198"/>
        <v>1.5641803610576988E-2</v>
      </c>
      <c r="AE237" s="3">
        <f t="shared" si="198"/>
        <v>1.5640927400958189E-2</v>
      </c>
      <c r="AF237" s="3">
        <f t="shared" si="198"/>
        <v>1.5632168003869833E-2</v>
      </c>
      <c r="AG237" s="3"/>
      <c r="AH237" s="3"/>
    </row>
    <row r="238" spans="2:34" x14ac:dyDescent="0.25">
      <c r="B238" s="3">
        <f t="shared" ref="B238:AF238" si="199">$C46*EXP(-B$207/$A46/EXP(-$D$126))</f>
        <v>1.5176002473828224E-3</v>
      </c>
      <c r="C238" s="3">
        <f t="shared" si="199"/>
        <v>1.5176002473828224E-3</v>
      </c>
      <c r="D238" s="3">
        <f t="shared" si="199"/>
        <v>1.5176002473828224E-3</v>
      </c>
      <c r="E238" s="3">
        <f t="shared" si="199"/>
        <v>1.5176002473828224E-3</v>
      </c>
      <c r="F238" s="3">
        <f t="shared" si="199"/>
        <v>1.5176002473828224E-3</v>
      </c>
      <c r="G238" s="3">
        <f t="shared" si="199"/>
        <v>1.5176002473828224E-3</v>
      </c>
      <c r="H238" s="3">
        <f t="shared" si="199"/>
        <v>1.5176002473828224E-3</v>
      </c>
      <c r="I238" s="3">
        <f t="shared" si="199"/>
        <v>1.5176002473828224E-3</v>
      </c>
      <c r="J238" s="3">
        <f t="shared" si="199"/>
        <v>1.5176002473828224E-3</v>
      </c>
      <c r="K238" s="3">
        <f t="shared" si="199"/>
        <v>1.5176002473828224E-3</v>
      </c>
      <c r="L238" s="3">
        <f t="shared" si="199"/>
        <v>1.5176002473828224E-3</v>
      </c>
      <c r="M238" s="3">
        <f t="shared" si="199"/>
        <v>1.5176002473828224E-3</v>
      </c>
      <c r="N238" s="3">
        <f t="shared" si="199"/>
        <v>1.5176002473828224E-3</v>
      </c>
      <c r="O238" s="3">
        <f t="shared" si="199"/>
        <v>1.5176002473828224E-3</v>
      </c>
      <c r="P238" s="3">
        <f t="shared" si="199"/>
        <v>1.5176002473828224E-3</v>
      </c>
      <c r="Q238" s="3">
        <f t="shared" si="199"/>
        <v>1.5176002473828224E-3</v>
      </c>
      <c r="R238" s="3">
        <f t="shared" si="199"/>
        <v>1.5176002473828224E-3</v>
      </c>
      <c r="S238" s="3">
        <f t="shared" si="199"/>
        <v>1.5176002473828224E-3</v>
      </c>
      <c r="T238" s="3">
        <f t="shared" si="199"/>
        <v>1.5176002473828222E-3</v>
      </c>
      <c r="U238" s="3">
        <f t="shared" si="199"/>
        <v>1.5176002473828213E-3</v>
      </c>
      <c r="V238" s="3">
        <f t="shared" si="199"/>
        <v>1.5176002473828128E-3</v>
      </c>
      <c r="W238" s="3">
        <f t="shared" si="199"/>
        <v>1.5176002473827278E-3</v>
      </c>
      <c r="X238" s="3">
        <f t="shared" si="199"/>
        <v>1.5176002473818778E-3</v>
      </c>
      <c r="Y238" s="3">
        <f t="shared" si="199"/>
        <v>1.5176002473733764E-3</v>
      </c>
      <c r="Z238" s="3">
        <f t="shared" si="199"/>
        <v>1.5176002472883621E-3</v>
      </c>
      <c r="AA238" s="3">
        <f t="shared" si="199"/>
        <v>1.5176002464382219E-3</v>
      </c>
      <c r="AB238" s="3">
        <f t="shared" si="199"/>
        <v>1.5176002379368161E-3</v>
      </c>
      <c r="AC238" s="3">
        <f t="shared" si="199"/>
        <v>1.5176001529227624E-3</v>
      </c>
      <c r="AD238" s="3">
        <f t="shared" si="199"/>
        <v>1.5175993027824858E-3</v>
      </c>
      <c r="AE238" s="3">
        <f t="shared" si="199"/>
        <v>1.5175908014059152E-3</v>
      </c>
      <c r="AF238" s="3">
        <f t="shared" si="199"/>
        <v>1.5175057902594583E-3</v>
      </c>
      <c r="AG238" s="3"/>
      <c r="AH238" s="3"/>
    </row>
    <row r="239" spans="2:34" x14ac:dyDescent="0.25">
      <c r="B239" s="3">
        <f t="shared" ref="B239:AF239" si="200">$C47*EXP(-B$207/$A47/EXP(-$D$126))</f>
        <v>3.5883218113444658E-3</v>
      </c>
      <c r="C239" s="3">
        <f t="shared" si="200"/>
        <v>3.5883218113444658E-3</v>
      </c>
      <c r="D239" s="3">
        <f t="shared" si="200"/>
        <v>3.5883218113444658E-3</v>
      </c>
      <c r="E239" s="3">
        <f t="shared" si="200"/>
        <v>3.5883218113444658E-3</v>
      </c>
      <c r="F239" s="3">
        <f t="shared" si="200"/>
        <v>3.5883218113444658E-3</v>
      </c>
      <c r="G239" s="3">
        <f t="shared" si="200"/>
        <v>3.5883218113444658E-3</v>
      </c>
      <c r="H239" s="3">
        <f t="shared" si="200"/>
        <v>3.5883218113444658E-3</v>
      </c>
      <c r="I239" s="3">
        <f t="shared" si="200"/>
        <v>3.5883218113444658E-3</v>
      </c>
      <c r="J239" s="3">
        <f t="shared" si="200"/>
        <v>3.5883218113444658E-3</v>
      </c>
      <c r="K239" s="3">
        <f t="shared" si="200"/>
        <v>3.5883218113444658E-3</v>
      </c>
      <c r="L239" s="3">
        <f t="shared" si="200"/>
        <v>3.5883218113444658E-3</v>
      </c>
      <c r="M239" s="3">
        <f t="shared" si="200"/>
        <v>3.5883218113444658E-3</v>
      </c>
      <c r="N239" s="3">
        <f t="shared" si="200"/>
        <v>3.5883218113444658E-3</v>
      </c>
      <c r="O239" s="3">
        <f t="shared" si="200"/>
        <v>3.5883218113444658E-3</v>
      </c>
      <c r="P239" s="3">
        <f t="shared" si="200"/>
        <v>3.5883218113444658E-3</v>
      </c>
      <c r="Q239" s="3">
        <f t="shared" si="200"/>
        <v>3.5883218113444658E-3</v>
      </c>
      <c r="R239" s="3">
        <f t="shared" si="200"/>
        <v>3.5883218113444658E-3</v>
      </c>
      <c r="S239" s="3">
        <f t="shared" si="200"/>
        <v>3.5883218113444658E-3</v>
      </c>
      <c r="T239" s="3">
        <f t="shared" si="200"/>
        <v>3.5883218113444658E-3</v>
      </c>
      <c r="U239" s="3">
        <f t="shared" si="200"/>
        <v>3.5883218113444654E-3</v>
      </c>
      <c r="V239" s="3">
        <f t="shared" si="200"/>
        <v>3.5883218113444632E-3</v>
      </c>
      <c r="W239" s="3">
        <f t="shared" si="200"/>
        <v>3.5883218113444437E-3</v>
      </c>
      <c r="X239" s="3">
        <f t="shared" si="200"/>
        <v>3.5883218113442424E-3</v>
      </c>
      <c r="Y239" s="3">
        <f t="shared" si="200"/>
        <v>3.5883218113422323E-3</v>
      </c>
      <c r="Z239" s="3">
        <f t="shared" si="200"/>
        <v>3.5883218113221308E-3</v>
      </c>
      <c r="AA239" s="3">
        <f t="shared" si="200"/>
        <v>3.5883218111211175E-3</v>
      </c>
      <c r="AB239" s="3">
        <f t="shared" si="200"/>
        <v>3.588321809110985E-3</v>
      </c>
      <c r="AC239" s="3">
        <f t="shared" si="200"/>
        <v>3.5883217890096577E-3</v>
      </c>
      <c r="AD239" s="3">
        <f t="shared" si="200"/>
        <v>3.5883215879963909E-3</v>
      </c>
      <c r="AE239" s="3">
        <f t="shared" si="200"/>
        <v>3.588319577864341E-3</v>
      </c>
      <c r="AF239" s="3">
        <f t="shared" si="200"/>
        <v>3.5882994766057732E-3</v>
      </c>
      <c r="AG239" s="3"/>
      <c r="AH239" s="3"/>
    </row>
    <row r="240" spans="2:34" x14ac:dyDescent="0.25">
      <c r="B240" s="3">
        <f t="shared" ref="B240:AF240" si="201">$C48*EXP(-B$207/$A48/EXP(-$D$126))</f>
        <v>1.1419429769572463E-2</v>
      </c>
      <c r="C240" s="3">
        <f t="shared" si="201"/>
        <v>1.1419429769572463E-2</v>
      </c>
      <c r="D240" s="3">
        <f t="shared" si="201"/>
        <v>1.1419429769572463E-2</v>
      </c>
      <c r="E240" s="3">
        <f t="shared" si="201"/>
        <v>1.1419429769572463E-2</v>
      </c>
      <c r="F240" s="3">
        <f t="shared" si="201"/>
        <v>1.1419429769572463E-2</v>
      </c>
      <c r="G240" s="3">
        <f t="shared" si="201"/>
        <v>1.1419429769572463E-2</v>
      </c>
      <c r="H240" s="3">
        <f t="shared" si="201"/>
        <v>1.1419429769572463E-2</v>
      </c>
      <c r="I240" s="3">
        <f t="shared" si="201"/>
        <v>1.1419429769572463E-2</v>
      </c>
      <c r="J240" s="3">
        <f t="shared" si="201"/>
        <v>1.1419429769572463E-2</v>
      </c>
      <c r="K240" s="3">
        <f t="shared" si="201"/>
        <v>1.1419429769572463E-2</v>
      </c>
      <c r="L240" s="3">
        <f t="shared" si="201"/>
        <v>1.1419429769572463E-2</v>
      </c>
      <c r="M240" s="3">
        <f t="shared" si="201"/>
        <v>1.1419429769572463E-2</v>
      </c>
      <c r="N240" s="3">
        <f t="shared" si="201"/>
        <v>1.1419429769572463E-2</v>
      </c>
      <c r="O240" s="3">
        <f t="shared" si="201"/>
        <v>1.1419429769572463E-2</v>
      </c>
      <c r="P240" s="3">
        <f t="shared" si="201"/>
        <v>1.1419429769572463E-2</v>
      </c>
      <c r="Q240" s="3">
        <f t="shared" si="201"/>
        <v>1.1419429769572463E-2</v>
      </c>
      <c r="R240" s="3">
        <f t="shared" si="201"/>
        <v>1.1419429769572463E-2</v>
      </c>
      <c r="S240" s="3">
        <f t="shared" si="201"/>
        <v>1.1419429769572463E-2</v>
      </c>
      <c r="T240" s="3">
        <f t="shared" si="201"/>
        <v>1.1419429769572463E-2</v>
      </c>
      <c r="U240" s="3">
        <f t="shared" si="201"/>
        <v>1.1419429769572463E-2</v>
      </c>
      <c r="V240" s="3">
        <f t="shared" si="201"/>
        <v>1.1419429769572461E-2</v>
      </c>
      <c r="W240" s="3">
        <f t="shared" si="201"/>
        <v>1.1419429769572456E-2</v>
      </c>
      <c r="X240" s="3">
        <f t="shared" si="201"/>
        <v>1.1419429769572392E-2</v>
      </c>
      <c r="Y240" s="3">
        <f t="shared" si="201"/>
        <v>1.1419429769571752E-2</v>
      </c>
      <c r="Z240" s="3">
        <f t="shared" si="201"/>
        <v>1.1419429769565356E-2</v>
      </c>
      <c r="AA240" s="3">
        <f t="shared" si="201"/>
        <v>1.1419429769501385E-2</v>
      </c>
      <c r="AB240" s="3">
        <f t="shared" si="201"/>
        <v>1.1419429768861683E-2</v>
      </c>
      <c r="AC240" s="3">
        <f t="shared" si="201"/>
        <v>1.1419429762464663E-2</v>
      </c>
      <c r="AD240" s="3">
        <f t="shared" si="201"/>
        <v>1.1419429698494453E-2</v>
      </c>
      <c r="AE240" s="3">
        <f t="shared" si="201"/>
        <v>1.1419429058792386E-2</v>
      </c>
      <c r="AF240" s="3">
        <f t="shared" si="201"/>
        <v>1.1419422661773673E-2</v>
      </c>
      <c r="AG240" s="3"/>
      <c r="AH240" s="3"/>
    </row>
    <row r="241" spans="1:34" x14ac:dyDescent="0.25">
      <c r="A241" s="80">
        <f>AVERAGE(B241:AF241)</f>
        <v>3.285581992660787E-3</v>
      </c>
      <c r="B241" s="81">
        <f>IF($A$64&lt;=B207,IF($B$64&gt;=B207,ABS((B209-B208)/B208),0),0)</f>
        <v>0</v>
      </c>
      <c r="C241" s="81">
        <f t="shared" ref="C241:AF241" si="202">IF($A$64&lt;=C207,IF($B$64&gt;=C207,ABS((C209-C208)/C208),0),0)</f>
        <v>0</v>
      </c>
      <c r="D241" s="81">
        <f t="shared" si="202"/>
        <v>0</v>
      </c>
      <c r="E241" s="81">
        <f t="shared" si="202"/>
        <v>0</v>
      </c>
      <c r="F241" s="81">
        <f t="shared" si="202"/>
        <v>0</v>
      </c>
      <c r="G241" s="81">
        <f t="shared" si="202"/>
        <v>0</v>
      </c>
      <c r="H241" s="81">
        <f t="shared" si="202"/>
        <v>0</v>
      </c>
      <c r="I241" s="81">
        <f t="shared" si="202"/>
        <v>0</v>
      </c>
      <c r="J241" s="81">
        <f t="shared" si="202"/>
        <v>0</v>
      </c>
      <c r="K241" s="81">
        <f t="shared" si="202"/>
        <v>0</v>
      </c>
      <c r="L241" s="81">
        <f t="shared" si="202"/>
        <v>4.498630085404986E-3</v>
      </c>
      <c r="M241" s="81">
        <f t="shared" si="202"/>
        <v>4.3801895699988515E-3</v>
      </c>
      <c r="N241" s="81">
        <f t="shared" si="202"/>
        <v>4.6717455708464107E-3</v>
      </c>
      <c r="O241" s="81">
        <f t="shared" si="202"/>
        <v>4.4345243618597961E-3</v>
      </c>
      <c r="P241" s="81">
        <f t="shared" si="202"/>
        <v>4.8412433946620906E-3</v>
      </c>
      <c r="Q241" s="81">
        <f t="shared" si="202"/>
        <v>5.8458511572707806E-3</v>
      </c>
      <c r="R241" s="81">
        <f t="shared" si="202"/>
        <v>6.1433360617728621E-3</v>
      </c>
      <c r="S241" s="81">
        <f t="shared" si="202"/>
        <v>3.5932676840881514E-3</v>
      </c>
      <c r="T241" s="81">
        <f t="shared" si="202"/>
        <v>6.5303384503948734E-3</v>
      </c>
      <c r="U241" s="81">
        <f t="shared" si="202"/>
        <v>2.1737120379011692E-2</v>
      </c>
      <c r="V241" s="81">
        <f t="shared" si="202"/>
        <v>3.5176795057173915E-2</v>
      </c>
      <c r="W241" s="81">
        <f t="shared" si="202"/>
        <v>0</v>
      </c>
      <c r="X241" s="81">
        <f t="shared" si="202"/>
        <v>0</v>
      </c>
      <c r="Y241" s="81">
        <f t="shared" si="202"/>
        <v>0</v>
      </c>
      <c r="Z241" s="81">
        <f t="shared" si="202"/>
        <v>0</v>
      </c>
      <c r="AA241" s="81">
        <f t="shared" si="202"/>
        <v>0</v>
      </c>
      <c r="AB241" s="81">
        <f t="shared" si="202"/>
        <v>0</v>
      </c>
      <c r="AC241" s="81">
        <f t="shared" si="202"/>
        <v>0</v>
      </c>
      <c r="AD241" s="81">
        <f t="shared" si="202"/>
        <v>0</v>
      </c>
      <c r="AE241" s="81">
        <f t="shared" si="202"/>
        <v>0</v>
      </c>
      <c r="AF241" s="81">
        <f t="shared" si="202"/>
        <v>0</v>
      </c>
    </row>
    <row r="242" spans="1:34" x14ac:dyDescent="0.25">
      <c r="B242" s="21">
        <f>(B209-B208)^2</f>
        <v>3419.1149157758996</v>
      </c>
      <c r="C242" s="21">
        <f t="shared" ref="C242:AF242" si="203">(C209-C208)^2</f>
        <v>15869.024628625964</v>
      </c>
      <c r="D242" s="21">
        <f t="shared" si="203"/>
        <v>15913.742935861304</v>
      </c>
      <c r="E242" s="21">
        <f t="shared" si="203"/>
        <v>15781.783192834328</v>
      </c>
      <c r="F242" s="21">
        <f t="shared" si="203"/>
        <v>14541.415476123557</v>
      </c>
      <c r="G242" s="21">
        <f t="shared" si="203"/>
        <v>6040.043809947203</v>
      </c>
      <c r="H242" s="21">
        <f t="shared" si="203"/>
        <v>2824.5177565339741</v>
      </c>
      <c r="I242" s="21">
        <f t="shared" si="203"/>
        <v>528.18909089688646</v>
      </c>
      <c r="J242" s="21">
        <f t="shared" si="203"/>
        <v>655.34789964848528</v>
      </c>
      <c r="K242" s="21">
        <f t="shared" si="203"/>
        <v>339.92108016252655</v>
      </c>
      <c r="L242" s="21">
        <f t="shared" si="203"/>
        <v>490.01003721715938</v>
      </c>
      <c r="M242" s="21">
        <f t="shared" si="203"/>
        <v>438.11793173557703</v>
      </c>
      <c r="N242" s="21">
        <f t="shared" si="203"/>
        <v>466.8200155334859</v>
      </c>
      <c r="O242" s="21">
        <f t="shared" si="203"/>
        <v>391.94820178703549</v>
      </c>
      <c r="P242" s="21">
        <f t="shared" si="203"/>
        <v>435.65612714962907</v>
      </c>
      <c r="Q242" s="21">
        <f t="shared" si="203"/>
        <v>589.3242946160268</v>
      </c>
      <c r="R242" s="21">
        <f t="shared" si="203"/>
        <v>591.22411958127179</v>
      </c>
      <c r="S242" s="21">
        <f t="shared" si="203"/>
        <v>179.6942379253116</v>
      </c>
      <c r="T242" s="21">
        <f t="shared" si="203"/>
        <v>522.42615381333655</v>
      </c>
      <c r="U242" s="21">
        <f t="shared" si="203"/>
        <v>5112.4451040480326</v>
      </c>
      <c r="V242" s="21">
        <f t="shared" si="203"/>
        <v>11778.69069945011</v>
      </c>
      <c r="W242" s="21">
        <f t="shared" si="203"/>
        <v>13925.677415912145</v>
      </c>
      <c r="X242" s="21">
        <f t="shared" si="203"/>
        <v>9976.578502016755</v>
      </c>
      <c r="Y242" s="21">
        <f t="shared" si="203"/>
        <v>4722.0691649981864</v>
      </c>
      <c r="Z242" s="21">
        <f t="shared" si="203"/>
        <v>1629.0061370197664</v>
      </c>
      <c r="AA242" s="21">
        <f t="shared" si="203"/>
        <v>498.76582515924434</v>
      </c>
      <c r="AB242" s="21">
        <f t="shared" si="203"/>
        <v>68.251507695964747</v>
      </c>
      <c r="AC242" s="21">
        <f t="shared" si="203"/>
        <v>235.6228057384981</v>
      </c>
      <c r="AD242" s="21">
        <f t="shared" si="203"/>
        <v>1439.9205254828087</v>
      </c>
      <c r="AE242" s="21">
        <f t="shared" si="203"/>
        <v>175.57280833647954</v>
      </c>
      <c r="AF242" s="21">
        <f t="shared" si="203"/>
        <v>1476.9684159409455</v>
      </c>
      <c r="AG242" s="3"/>
      <c r="AH242" s="3"/>
    </row>
    <row r="243" spans="1:34" x14ac:dyDescent="0.25">
      <c r="A243" s="72">
        <f>SUM(B243:AF243)</f>
        <v>20996.356922856976</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490.01003721715938</v>
      </c>
      <c r="M243" s="60">
        <f t="shared" ref="M243" si="214">IF($A$64&lt;=M207,IF($B$64&gt;=M207,ABS(M242),0),0)</f>
        <v>438.11793173557703</v>
      </c>
      <c r="N243" s="60">
        <f t="shared" ref="N243" si="215">IF($A$64&lt;=N207,IF($B$64&gt;=N207,ABS(N242),0),0)</f>
        <v>466.8200155334859</v>
      </c>
      <c r="O243" s="60">
        <f t="shared" ref="O243" si="216">IF($A$64&lt;=O207,IF($B$64&gt;=O207,ABS(O242),0),0)</f>
        <v>391.94820178703549</v>
      </c>
      <c r="P243" s="60">
        <f t="shared" ref="P243" si="217">IF($A$64&lt;=P207,IF($B$64&gt;=P207,ABS(P242),0),0)</f>
        <v>435.65612714962907</v>
      </c>
      <c r="Q243" s="60">
        <f t="shared" ref="Q243" si="218">IF($A$64&lt;=Q207,IF($B$64&gt;=Q207,ABS(Q242),0),0)</f>
        <v>589.3242946160268</v>
      </c>
      <c r="R243" s="60">
        <f t="shared" ref="R243" si="219">IF($A$64&lt;=R207,IF($B$64&gt;=R207,ABS(R242),0),0)</f>
        <v>591.22411958127179</v>
      </c>
      <c r="S243" s="60">
        <f t="shared" ref="S243" si="220">IF($A$64&lt;=S207,IF($B$64&gt;=S207,ABS(S242),0),0)</f>
        <v>179.6942379253116</v>
      </c>
      <c r="T243" s="60">
        <f t="shared" ref="T243" si="221">IF($A$64&lt;=T207,IF($B$64&gt;=T207,ABS(T242),0),0)</f>
        <v>522.42615381333655</v>
      </c>
      <c r="U243" s="60">
        <f t="shared" ref="U243" si="222">IF($A$64&lt;=U207,IF($B$64&gt;=U207,ABS(U242),0),0)</f>
        <v>5112.4451040480326</v>
      </c>
      <c r="V243" s="60">
        <f t="shared" ref="V243" si="223">IF($A$64&lt;=V207,IF($B$64&gt;=V207,ABS(V242),0),0)</f>
        <v>11778.69069945011</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5608.5595412821331</v>
      </c>
      <c r="C247" s="26">
        <f>INDEX(Comparison!$AM$3:$AS$33,G$14,$E$122)</f>
        <v>5607.5578036030483</v>
      </c>
      <c r="D247" s="26">
        <f>INDEX(Comparison!$AM$3:$AS$33,H$14,$E$122)</f>
        <v>5597.5650860558781</v>
      </c>
      <c r="E247" s="26">
        <f>INDEX(Comparison!$AM$3:$AS$33,I$14,$E$122)</f>
        <v>5515.87592015054</v>
      </c>
      <c r="F247" s="26">
        <f>INDEX(Comparison!$AM$3:$AS$33,J$14,$E$122)</f>
        <v>5354.4297457358771</v>
      </c>
      <c r="G247" s="26">
        <f>INDEX(Comparison!$AM$3:$AS$33,K$14,$E$122)</f>
        <v>5243.0021702463746</v>
      </c>
      <c r="H247" s="26">
        <f>INDEX(Comparison!$AM$3:$AS$33,L$14,$E$122)</f>
        <v>5133.7176502815901</v>
      </c>
      <c r="I247" s="26">
        <f>INDEX(Comparison!$AM$3:$AS$33,M$14,$E$122)</f>
        <v>5011.8758976932013</v>
      </c>
      <c r="J247" s="26">
        <f>INDEX(Comparison!$AM$3:$AS$33,N$14,$E$122)</f>
        <v>4882.7230333645084</v>
      </c>
      <c r="K247" s="26">
        <f>INDEX(Comparison!$AM$3:$AS$33,O$14,$E$122)</f>
        <v>4737.6825060207148</v>
      </c>
      <c r="L247" s="26">
        <f>INDEX(Comparison!$AM$3:$AS$33,P$14,$E$122)</f>
        <v>4581.7042756516666</v>
      </c>
      <c r="M247" s="26">
        <f>INDEX(Comparison!$AM$3:$AS$33,Q$14,$E$122)</f>
        <v>4422.8560767502513</v>
      </c>
      <c r="N247" s="26">
        <f>INDEX(Comparison!$AM$3:$AS$33,R$14,$E$122)</f>
        <v>4270.4317526073974</v>
      </c>
      <c r="O247" s="26">
        <f>INDEX(Comparison!$AM$3:$AS$33,S$14,$E$122)</f>
        <v>4104.9210309366072</v>
      </c>
      <c r="P247" s="26">
        <f>INDEX(Comparison!$AM$3:$AS$33,T$14,$E$122)</f>
        <v>3904.1870554469519</v>
      </c>
      <c r="Q247" s="26">
        <f>INDEX(Comparison!$AM$3:$AS$33,U$14,$E$122)</f>
        <v>3689.3430627142566</v>
      </c>
      <c r="R247" s="26">
        <f>INDEX(Comparison!$AM$3:$AS$33,V$14,$E$122)</f>
        <v>3495.8611800317371</v>
      </c>
      <c r="S247" s="26">
        <f>INDEX(Comparison!$AM$3:$AS$33,W$14,$E$122)</f>
        <v>3307.8943029856523</v>
      </c>
      <c r="T247" s="26">
        <f>INDEX(Comparison!$AM$3:$AS$33,X$14,$E$122)</f>
        <v>3103.7900841852515</v>
      </c>
      <c r="U247" s="26">
        <f>INDEX(Comparison!$AM$3:$AS$33,Y$14,$E$122)</f>
        <v>2911.6115267339505</v>
      </c>
      <c r="V247" s="26">
        <f>INDEX(Comparison!$AM$3:$AS$33,Z$14,$E$122)</f>
        <v>2729.2195894835777</v>
      </c>
      <c r="W247" s="26">
        <f>INDEX(Comparison!$AM$3:$AS$33,AA$14,$E$122)</f>
        <v>2550.726219448276</v>
      </c>
      <c r="X247" s="26">
        <f>INDEX(Comparison!$AM$3:$AS$33,AB$14,$E$122)</f>
        <v>2358.1438044871866</v>
      </c>
      <c r="Y247" s="26">
        <f>INDEX(Comparison!$AM$3:$AS$33,AC$14,$E$122)</f>
        <v>2158.239452794789</v>
      </c>
      <c r="Z247" s="26">
        <f>INDEX(Comparison!$AM$3:$AS$33,AD$14,$E$122)</f>
        <v>1939.4329282086981</v>
      </c>
      <c r="AA247" s="26">
        <f>INDEX(Comparison!$AM$3:$AS$33,AE$14,$E$122)</f>
        <v>1697.1946565213088</v>
      </c>
      <c r="AB247" s="26">
        <f>INDEX(Comparison!$AM$3:$AS$33,AF$14,$E$122)</f>
        <v>1417.4356606109552</v>
      </c>
      <c r="AC247" s="26">
        <f>INDEX(Comparison!$AM$3:$AS$33,AG$14,$E$122)</f>
        <v>1107.9541803332813</v>
      </c>
      <c r="AD247" s="26">
        <f>INDEX(Comparison!$AM$3:$AS$33,AH$14,$E$122)</f>
        <v>805.95331833639966</v>
      </c>
      <c r="AE247" s="26">
        <f>INDEX(Comparison!$AM$3:$AS$33,AI$14,$E$122)</f>
        <v>565.79561192848462</v>
      </c>
      <c r="AF247" s="26">
        <f>INDEX(Comparison!$AM$3:$AS$33,AJ$14,$E$122)</f>
        <v>408.65393596789795</v>
      </c>
      <c r="AG247" s="26"/>
      <c r="AH247" s="26"/>
    </row>
    <row r="248" spans="1:34" x14ac:dyDescent="0.25">
      <c r="A248" s="71" t="s">
        <v>22</v>
      </c>
      <c r="B248" s="27">
        <f>($C$17+SUM(B249:B279))*$B$51</f>
        <v>5487.9564935259732</v>
      </c>
      <c r="C248" s="27">
        <f t="shared" ref="C248:AF248" si="234">($C$17+SUM(C249:C279))*$B$51</f>
        <v>5487.8792927359827</v>
      </c>
      <c r="D248" s="27">
        <f t="shared" si="234"/>
        <v>5487.108384228367</v>
      </c>
      <c r="E248" s="27">
        <f t="shared" si="234"/>
        <v>5479.5081722205805</v>
      </c>
      <c r="F248" s="27">
        <f t="shared" si="234"/>
        <v>5413.4011988771717</v>
      </c>
      <c r="G248" s="27">
        <f t="shared" si="234"/>
        <v>5200.8617647175752</v>
      </c>
      <c r="H248" s="27">
        <f t="shared" si="234"/>
        <v>5118.1209878405971</v>
      </c>
      <c r="I248" s="27">
        <f t="shared" si="234"/>
        <v>4989.8311972102638</v>
      </c>
      <c r="J248" s="27">
        <f t="shared" si="234"/>
        <v>4859.9630998285347</v>
      </c>
      <c r="K248" s="27">
        <f t="shared" si="234"/>
        <v>4712.9349258608345</v>
      </c>
      <c r="L248" s="27">
        <f t="shared" si="234"/>
        <v>4556.0182938889257</v>
      </c>
      <c r="M248" s="27">
        <f t="shared" si="234"/>
        <v>4397.8839711192104</v>
      </c>
      <c r="N248" s="27">
        <f t="shared" si="234"/>
        <v>4245.9928736116699</v>
      </c>
      <c r="O248" s="27">
        <f t="shared" si="234"/>
        <v>4076.285576712929</v>
      </c>
      <c r="P248" s="27">
        <f t="shared" si="234"/>
        <v>3872.2608130346161</v>
      </c>
      <c r="Q248" s="27">
        <f t="shared" si="234"/>
        <v>3660.289210833163</v>
      </c>
      <c r="R248" s="27">
        <f t="shared" si="234"/>
        <v>3480.608363089103</v>
      </c>
      <c r="S248" s="27">
        <f t="shared" si="234"/>
        <v>3318.0327734671841</v>
      </c>
      <c r="T248" s="27">
        <f t="shared" si="234"/>
        <v>3152.9682250729284</v>
      </c>
      <c r="U248" s="27">
        <f t="shared" si="234"/>
        <v>2977.9619278658247</v>
      </c>
      <c r="V248" s="27">
        <f t="shared" si="234"/>
        <v>2787.544733018924</v>
      </c>
      <c r="W248" s="27">
        <f t="shared" si="234"/>
        <v>2588.0411241636275</v>
      </c>
      <c r="X248" s="27">
        <f t="shared" si="234"/>
        <v>2379.5626240279666</v>
      </c>
      <c r="Y248" s="27">
        <f t="shared" si="234"/>
        <v>2162.4860173519087</v>
      </c>
      <c r="Z248" s="27">
        <f t="shared" si="234"/>
        <v>1936.4662007460227</v>
      </c>
      <c r="AA248" s="27">
        <f t="shared" si="234"/>
        <v>1668.0506246958987</v>
      </c>
      <c r="AB248" s="27">
        <f t="shared" si="234"/>
        <v>1390.2311584289891</v>
      </c>
      <c r="AC248" s="27">
        <f t="shared" si="234"/>
        <v>1066.735347405039</v>
      </c>
      <c r="AD248" s="27">
        <f t="shared" si="234"/>
        <v>775.57955036791805</v>
      </c>
      <c r="AE248" s="27">
        <f t="shared" si="234"/>
        <v>539.5962436870318</v>
      </c>
      <c r="AF248" s="27">
        <f t="shared" si="234"/>
        <v>396.94271587297015</v>
      </c>
      <c r="AG248" s="27"/>
      <c r="AH248" s="27"/>
    </row>
    <row r="249" spans="1:34" x14ac:dyDescent="0.25">
      <c r="B249" s="3">
        <f t="shared" ref="B249:AF249" si="235">$C18*EXP(-B$246/$A18/EXP(-$E$126))</f>
        <v>3.5916669826803234E-52</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5.0928428074426192E-2</v>
      </c>
      <c r="C250" s="3">
        <f t="shared" si="236"/>
        <v>5.0914967565468053E-2</v>
      </c>
      <c r="D250" s="3">
        <f t="shared" si="236"/>
        <v>5.0780557991331653E-2</v>
      </c>
      <c r="E250" s="3">
        <f t="shared" si="236"/>
        <v>4.9455823915457262E-2</v>
      </c>
      <c r="F250" s="3">
        <f t="shared" si="236"/>
        <v>3.796795172661966E-2</v>
      </c>
      <c r="G250" s="3">
        <f t="shared" si="236"/>
        <v>2.7003150770803647E-3</v>
      </c>
      <c r="H250" s="3">
        <f t="shared" si="236"/>
        <v>8.9410220759183373E-15</v>
      </c>
      <c r="I250" s="3">
        <f t="shared" si="236"/>
        <v>1.4161668565040202E-129</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9.6872598567448436E-3</v>
      </c>
      <c r="C251" s="3">
        <f t="shared" si="237"/>
        <v>9.6870288626002693E-3</v>
      </c>
      <c r="D251" s="3">
        <f t="shared" si="237"/>
        <v>9.6847192240777768E-3</v>
      </c>
      <c r="E251" s="3">
        <f t="shared" si="237"/>
        <v>9.6616531044690698E-3</v>
      </c>
      <c r="F251" s="3">
        <f t="shared" si="237"/>
        <v>9.4339919366900546E-3</v>
      </c>
      <c r="G251" s="3">
        <f t="shared" si="237"/>
        <v>7.4325203033953841E-3</v>
      </c>
      <c r="H251" s="3">
        <f t="shared" si="237"/>
        <v>6.8476592253888355E-4</v>
      </c>
      <c r="I251" s="3">
        <f t="shared" si="237"/>
        <v>3.0171888351162644E-14</v>
      </c>
      <c r="J251" s="3">
        <f t="shared" si="237"/>
        <v>8.3215842951980516E-118</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2.536539485023856E-2</v>
      </c>
      <c r="C252" s="3">
        <f t="shared" si="238"/>
        <v>2.5365340287903215E-2</v>
      </c>
      <c r="D252" s="3">
        <f t="shared" si="238"/>
        <v>2.5364794671004883E-2</v>
      </c>
      <c r="E252" s="3">
        <f t="shared" si="238"/>
        <v>2.5359339147481952E-2</v>
      </c>
      <c r="F252" s="3">
        <f t="shared" si="238"/>
        <v>2.5304848406949649E-2</v>
      </c>
      <c r="G252" s="3">
        <f t="shared" si="238"/>
        <v>2.4766339434593391E-2</v>
      </c>
      <c r="H252" s="3">
        <f t="shared" si="238"/>
        <v>1.9972969090689838E-2</v>
      </c>
      <c r="I252" s="3">
        <f t="shared" si="238"/>
        <v>2.3240781121866465E-3</v>
      </c>
      <c r="J252" s="3">
        <f t="shared" si="238"/>
        <v>1.0576248034292942E-12</v>
      </c>
      <c r="K252" s="3">
        <f t="shared" si="238"/>
        <v>4.0284752044854641E-106</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2.3099377619187556E-2</v>
      </c>
      <c r="C253" s="3">
        <f t="shared" si="239"/>
        <v>2.3099373136911322E-2</v>
      </c>
      <c r="D253" s="3">
        <f t="shared" si="239"/>
        <v>2.3099328314196817E-2</v>
      </c>
      <c r="E253" s="3">
        <f t="shared" si="239"/>
        <v>2.3098880091835357E-2</v>
      </c>
      <c r="F253" s="3">
        <f t="shared" si="239"/>
        <v>2.3094398346548004E-2</v>
      </c>
      <c r="G253" s="3">
        <f t="shared" si="239"/>
        <v>2.3049628692072284E-2</v>
      </c>
      <c r="H253" s="3">
        <f t="shared" si="239"/>
        <v>2.2606677847164091E-2</v>
      </c>
      <c r="I253" s="3">
        <f t="shared" si="239"/>
        <v>1.861936491264916E-2</v>
      </c>
      <c r="J253" s="3">
        <f t="shared" si="239"/>
        <v>2.6745211958338266E-3</v>
      </c>
      <c r="K253" s="3">
        <f t="shared" si="239"/>
        <v>1.000133211481824E-11</v>
      </c>
      <c r="L253" s="3">
        <f t="shared" si="239"/>
        <v>5.3478091508647082E-96</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2.7649262810890609E-2</v>
      </c>
      <c r="C254" s="3">
        <f t="shared" si="240"/>
        <v>2.7649262326909368E-2</v>
      </c>
      <c r="D254" s="3">
        <f t="shared" si="240"/>
        <v>2.7649257487097467E-2</v>
      </c>
      <c r="E254" s="3">
        <f t="shared" si="240"/>
        <v>2.7649209089025045E-2</v>
      </c>
      <c r="F254" s="3">
        <f t="shared" si="240"/>
        <v>2.7648725112960237E-2</v>
      </c>
      <c r="G254" s="3">
        <f t="shared" si="240"/>
        <v>2.764388581822529E-2</v>
      </c>
      <c r="H254" s="3">
        <f t="shared" si="240"/>
        <v>2.7595539432026497E-2</v>
      </c>
      <c r="I254" s="3">
        <f t="shared" si="240"/>
        <v>2.7116701670014929E-2</v>
      </c>
      <c r="J254" s="3">
        <f t="shared" si="240"/>
        <v>2.2762324737804165E-2</v>
      </c>
      <c r="K254" s="3">
        <f t="shared" si="240"/>
        <v>3.9537948579824993E-3</v>
      </c>
      <c r="L254" s="3">
        <f t="shared" si="240"/>
        <v>9.8852875281761019E-11</v>
      </c>
      <c r="M254" s="3">
        <f t="shared" si="240"/>
        <v>9.4349812753574294E-87</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2.956780395650227E-2</v>
      </c>
      <c r="C255" s="3">
        <f t="shared" si="241"/>
        <v>2.956780390981369E-2</v>
      </c>
      <c r="D255" s="3">
        <f t="shared" si="241"/>
        <v>2.9567803442927931E-2</v>
      </c>
      <c r="E255" s="3">
        <f t="shared" si="241"/>
        <v>2.9567798774070727E-2</v>
      </c>
      <c r="F255" s="3">
        <f t="shared" si="241"/>
        <v>2.9567752085539224E-2</v>
      </c>
      <c r="G255" s="3">
        <f t="shared" si="241"/>
        <v>2.9567285204278947E-2</v>
      </c>
      <c r="H255" s="3">
        <f t="shared" si="241"/>
        <v>2.9562616797125588E-2</v>
      </c>
      <c r="I255" s="3">
        <f t="shared" si="241"/>
        <v>2.9515973246856897E-2</v>
      </c>
      <c r="J255" s="3">
        <f t="shared" si="241"/>
        <v>2.9053566296066282E-2</v>
      </c>
      <c r="K255" s="3">
        <f t="shared" si="241"/>
        <v>2.4809777018279588E-2</v>
      </c>
      <c r="L255" s="3">
        <f t="shared" si="241"/>
        <v>5.1151335712837781E-3</v>
      </c>
      <c r="M255" s="3">
        <f t="shared" si="241"/>
        <v>7.0990160492478045E-10</v>
      </c>
      <c r="N255" s="3">
        <f t="shared" si="241"/>
        <v>1.8819580957204004E-78</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2.9957814581419513E-2</v>
      </c>
      <c r="C256" s="3">
        <f t="shared" si="242"/>
        <v>2.9957814577152259E-2</v>
      </c>
      <c r="D256" s="3">
        <f t="shared" si="242"/>
        <v>2.9957814534479741E-2</v>
      </c>
      <c r="E256" s="3">
        <f t="shared" si="242"/>
        <v>2.9957814107754551E-2</v>
      </c>
      <c r="F256" s="3">
        <f t="shared" si="242"/>
        <v>2.9957809840503002E-2</v>
      </c>
      <c r="G256" s="3">
        <f t="shared" si="242"/>
        <v>2.9957767168020937E-2</v>
      </c>
      <c r="H256" s="3">
        <f t="shared" si="242"/>
        <v>2.9957340446543357E-2</v>
      </c>
      <c r="I256" s="3">
        <f t="shared" si="242"/>
        <v>2.9953073566057805E-2</v>
      </c>
      <c r="J256" s="3">
        <f t="shared" si="242"/>
        <v>2.991043817261449E-2</v>
      </c>
      <c r="K256" s="3">
        <f t="shared" si="242"/>
        <v>2.9487407837295754E-2</v>
      </c>
      <c r="L256" s="3">
        <f t="shared" si="242"/>
        <v>2.5572595487181222E-2</v>
      </c>
      <c r="M256" s="3">
        <f t="shared" si="242"/>
        <v>6.1539920809288804E-3</v>
      </c>
      <c r="N256" s="3">
        <f t="shared" si="242"/>
        <v>4.0084657240846976E-9</v>
      </c>
      <c r="O256" s="3">
        <f t="shared" si="242"/>
        <v>5.5104946781422867E-71</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2.7071321334382222E-2</v>
      </c>
      <c r="C257" s="3">
        <f t="shared" si="243"/>
        <v>2.7071321334034372E-2</v>
      </c>
      <c r="D257" s="3">
        <f t="shared" si="243"/>
        <v>2.7071321330555852E-2</v>
      </c>
      <c r="E257" s="3">
        <f t="shared" si="243"/>
        <v>2.7071321295770674E-2</v>
      </c>
      <c r="F257" s="3">
        <f t="shared" si="243"/>
        <v>2.7071320947918923E-2</v>
      </c>
      <c r="G257" s="3">
        <f t="shared" si="243"/>
        <v>2.7071317469401644E-2</v>
      </c>
      <c r="H257" s="3">
        <f t="shared" si="243"/>
        <v>2.7071282684253448E-2</v>
      </c>
      <c r="I257" s="3">
        <f t="shared" si="243"/>
        <v>2.7070934835229796E-2</v>
      </c>
      <c r="J257" s="3">
        <f t="shared" si="243"/>
        <v>2.7067456590814089E-2</v>
      </c>
      <c r="K257" s="3">
        <f t="shared" si="243"/>
        <v>2.7032698717057622E-2</v>
      </c>
      <c r="L257" s="3">
        <f t="shared" si="243"/>
        <v>2.6687565378091867E-2</v>
      </c>
      <c r="M257" s="3">
        <f t="shared" si="243"/>
        <v>2.3469534591246264E-2</v>
      </c>
      <c r="N257" s="3">
        <f t="shared" si="243"/>
        <v>6.4932135967867661E-3</v>
      </c>
      <c r="O257" s="3">
        <f t="shared" si="243"/>
        <v>1.7061287783189753E-8</v>
      </c>
      <c r="P257" s="3">
        <f t="shared" si="243"/>
        <v>2.6762889444482564E-64</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3.2010538564497606E-2</v>
      </c>
      <c r="C258" s="3">
        <f t="shared" si="244"/>
        <v>3.2010538564460497E-2</v>
      </c>
      <c r="D258" s="3">
        <f t="shared" si="244"/>
        <v>3.2010538564089454E-2</v>
      </c>
      <c r="E258" s="3">
        <f t="shared" si="244"/>
        <v>3.2010538560379026E-2</v>
      </c>
      <c r="F258" s="3">
        <f t="shared" si="244"/>
        <v>3.201053852327472E-2</v>
      </c>
      <c r="G258" s="3">
        <f t="shared" si="244"/>
        <v>3.2010538152231656E-2</v>
      </c>
      <c r="H258" s="3">
        <f t="shared" si="244"/>
        <v>3.201053444180129E-2</v>
      </c>
      <c r="I258" s="3">
        <f t="shared" si="244"/>
        <v>3.2010497337521225E-2</v>
      </c>
      <c r="J258" s="3">
        <f t="shared" si="244"/>
        <v>3.2010126297086036E-2</v>
      </c>
      <c r="K258" s="3">
        <f t="shared" si="244"/>
        <v>3.2006416129270403E-2</v>
      </c>
      <c r="L258" s="3">
        <f t="shared" si="244"/>
        <v>3.1969338094594443E-2</v>
      </c>
      <c r="M258" s="3">
        <f t="shared" si="244"/>
        <v>3.1600911987083417E-2</v>
      </c>
      <c r="N258" s="3">
        <f t="shared" si="244"/>
        <v>2.8142283515115493E-2</v>
      </c>
      <c r="O258" s="3">
        <f t="shared" si="244"/>
        <v>8.8299147424262155E-3</v>
      </c>
      <c r="P258" s="3">
        <f t="shared" si="244"/>
        <v>8.1644751811873534E-8</v>
      </c>
      <c r="Q258" s="3">
        <f t="shared" si="244"/>
        <v>3.7294595618371378E-58</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4.090796162341552E-2</v>
      </c>
      <c r="C259" s="3">
        <f t="shared" si="245"/>
        <v>4.0907961623411246E-2</v>
      </c>
      <c r="D259" s="3">
        <f t="shared" si="245"/>
        <v>4.0907961623368468E-2</v>
      </c>
      <c r="E259" s="3">
        <f t="shared" si="245"/>
        <v>4.0907961622940726E-2</v>
      </c>
      <c r="F259" s="3">
        <f t="shared" si="245"/>
        <v>4.0907961618663266E-2</v>
      </c>
      <c r="G259" s="3">
        <f t="shared" si="245"/>
        <v>4.0907961575888684E-2</v>
      </c>
      <c r="H259" s="3">
        <f t="shared" si="245"/>
        <v>4.090796114814288E-2</v>
      </c>
      <c r="I259" s="3">
        <f t="shared" si="245"/>
        <v>4.0907956870685026E-2</v>
      </c>
      <c r="J259" s="3">
        <f t="shared" si="245"/>
        <v>4.0907914096131093E-2</v>
      </c>
      <c r="K259" s="3">
        <f t="shared" si="245"/>
        <v>4.090748635305172E-2</v>
      </c>
      <c r="L259" s="3">
        <f t="shared" si="245"/>
        <v>4.0903209168242506E-2</v>
      </c>
      <c r="M259" s="3">
        <f t="shared" si="245"/>
        <v>4.0860461909084662E-2</v>
      </c>
      <c r="N259" s="3">
        <f t="shared" si="245"/>
        <v>4.0435438724450878E-2</v>
      </c>
      <c r="O259" s="3">
        <f t="shared" si="245"/>
        <v>3.6420930482284689E-2</v>
      </c>
      <c r="P259" s="3">
        <f t="shared" si="245"/>
        <v>1.2800879543985538E-2</v>
      </c>
      <c r="Q259" s="3">
        <f t="shared" si="245"/>
        <v>3.6823710727484918E-7</v>
      </c>
      <c r="R259" s="3">
        <f t="shared" si="245"/>
        <v>1.4289102245416903E-52</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4.0610124346011099E-2</v>
      </c>
      <c r="C260" s="3">
        <f t="shared" si="246"/>
        <v>4.0610124346010718E-2</v>
      </c>
      <c r="D260" s="3">
        <f t="shared" si="246"/>
        <v>4.0610124346006887E-2</v>
      </c>
      <c r="E260" s="3">
        <f t="shared" si="246"/>
        <v>4.0610124345968578E-2</v>
      </c>
      <c r="F260" s="3">
        <f t="shared" si="246"/>
        <v>4.0610124345585523E-2</v>
      </c>
      <c r="G260" s="3">
        <f t="shared" si="246"/>
        <v>4.0610124341754997E-2</v>
      </c>
      <c r="H260" s="3">
        <f t="shared" si="246"/>
        <v>4.06101243034497E-2</v>
      </c>
      <c r="I260" s="3">
        <f t="shared" si="246"/>
        <v>4.0610123920396729E-2</v>
      </c>
      <c r="J260" s="3">
        <f t="shared" si="246"/>
        <v>4.0610120089867217E-2</v>
      </c>
      <c r="K260" s="3">
        <f t="shared" si="246"/>
        <v>4.0610081784592029E-2</v>
      </c>
      <c r="L260" s="3">
        <f t="shared" si="246"/>
        <v>4.0609698733827283E-2</v>
      </c>
      <c r="M260" s="3">
        <f t="shared" si="246"/>
        <v>4.0605868424894206E-2</v>
      </c>
      <c r="N260" s="3">
        <f t="shared" si="246"/>
        <v>4.0567585200063781E-2</v>
      </c>
      <c r="O260" s="3">
        <f t="shared" si="246"/>
        <v>4.0186732486530666E-2</v>
      </c>
      <c r="P260" s="3">
        <f t="shared" si="246"/>
        <v>3.6569421102164337E-2</v>
      </c>
      <c r="Q260" s="3">
        <f t="shared" si="246"/>
        <v>1.4238753812094272E-2</v>
      </c>
      <c r="R260" s="3">
        <f t="shared" si="246"/>
        <v>1.1402785056013701E-6</v>
      </c>
      <c r="S260" s="3">
        <f t="shared" si="246"/>
        <v>1.2370877471698959E-47</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2.9251160650317586E-2</v>
      </c>
      <c r="C261" s="3">
        <f t="shared" si="247"/>
        <v>2.9251160650317562E-2</v>
      </c>
      <c r="D261" s="3">
        <f t="shared" si="247"/>
        <v>2.9251160650317312E-2</v>
      </c>
      <c r="E261" s="3">
        <f t="shared" si="247"/>
        <v>2.9251160650314821E-2</v>
      </c>
      <c r="F261" s="3">
        <f t="shared" si="247"/>
        <v>2.9251160650289935E-2</v>
      </c>
      <c r="G261" s="3">
        <f t="shared" si="247"/>
        <v>2.925116065004104E-2</v>
      </c>
      <c r="H261" s="3">
        <f t="shared" si="247"/>
        <v>2.9251160647552104E-2</v>
      </c>
      <c r="I261" s="3">
        <f t="shared" si="247"/>
        <v>2.9251160622662715E-2</v>
      </c>
      <c r="J261" s="3">
        <f t="shared" si="247"/>
        <v>2.9251160373768837E-2</v>
      </c>
      <c r="K261" s="3">
        <f t="shared" si="247"/>
        <v>2.9251157884830205E-2</v>
      </c>
      <c r="L261" s="3">
        <f t="shared" si="247"/>
        <v>2.9251132995455502E-2</v>
      </c>
      <c r="M261" s="3">
        <f t="shared" si="247"/>
        <v>2.9250884102873239E-2</v>
      </c>
      <c r="N261" s="3">
        <f t="shared" si="247"/>
        <v>2.9248395293525669E-2</v>
      </c>
      <c r="O261" s="3">
        <f t="shared" si="247"/>
        <v>2.9223518843886503E-2</v>
      </c>
      <c r="P261" s="3">
        <f t="shared" si="247"/>
        <v>2.897591507367565E-2</v>
      </c>
      <c r="Q261" s="3">
        <f t="shared" si="247"/>
        <v>2.6612377390173834E-2</v>
      </c>
      <c r="R261" s="3">
        <f t="shared" si="247"/>
        <v>1.1364460099474501E-2</v>
      </c>
      <c r="S261" s="3">
        <f t="shared" si="247"/>
        <v>2.291923694274499E-6</v>
      </c>
      <c r="T261" s="3">
        <f t="shared" si="247"/>
        <v>2.5510185523680114E-43</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3.1259582937297976E-2</v>
      </c>
      <c r="C262" s="3">
        <f t="shared" si="248"/>
        <v>3.1259582937297969E-2</v>
      </c>
      <c r="D262" s="3">
        <f t="shared" si="248"/>
        <v>3.1259582937297949E-2</v>
      </c>
      <c r="E262" s="3">
        <f t="shared" si="248"/>
        <v>3.1259582937297706E-2</v>
      </c>
      <c r="F262" s="3">
        <f t="shared" si="248"/>
        <v>3.1259582937295312E-2</v>
      </c>
      <c r="G262" s="3">
        <f t="shared" si="248"/>
        <v>3.1259582937271317E-2</v>
      </c>
      <c r="H262" s="3">
        <f t="shared" si="248"/>
        <v>3.1259582937031377E-2</v>
      </c>
      <c r="I262" s="3">
        <f t="shared" si="248"/>
        <v>3.1259582934631991E-2</v>
      </c>
      <c r="J262" s="3">
        <f t="shared" si="248"/>
        <v>3.1259582910638087E-2</v>
      </c>
      <c r="K262" s="3">
        <f t="shared" si="248"/>
        <v>3.1259582670699067E-2</v>
      </c>
      <c r="L262" s="3">
        <f t="shared" si="248"/>
        <v>3.1259580271308991E-2</v>
      </c>
      <c r="M262" s="3">
        <f t="shared" si="248"/>
        <v>3.1259556277418332E-2</v>
      </c>
      <c r="N262" s="3">
        <f t="shared" si="248"/>
        <v>3.1259316339524702E-2</v>
      </c>
      <c r="O262" s="3">
        <f t="shared" si="248"/>
        <v>3.1256917061878595E-2</v>
      </c>
      <c r="P262" s="3">
        <f t="shared" si="248"/>
        <v>3.1232934411564665E-2</v>
      </c>
      <c r="Q262" s="3">
        <f t="shared" si="248"/>
        <v>3.0994117653197088E-2</v>
      </c>
      <c r="R262" s="3">
        <f t="shared" si="248"/>
        <v>2.8704114792960256E-2</v>
      </c>
      <c r="S262" s="3">
        <f t="shared" si="248"/>
        <v>1.332272204747088E-2</v>
      </c>
      <c r="T262" s="3">
        <f t="shared" si="248"/>
        <v>6.1813175961132113E-6</v>
      </c>
      <c r="U262" s="3">
        <f t="shared" si="248"/>
        <v>2.8573403066977829E-39</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2.9704645444291411E-2</v>
      </c>
      <c r="C263" s="3">
        <f t="shared" si="249"/>
        <v>2.9704645444291411E-2</v>
      </c>
      <c r="D263" s="3">
        <f t="shared" si="249"/>
        <v>2.9704645444291407E-2</v>
      </c>
      <c r="E263" s="3">
        <f t="shared" si="249"/>
        <v>2.9704645444291387E-2</v>
      </c>
      <c r="F263" s="3">
        <f t="shared" si="249"/>
        <v>2.9704645444291182E-2</v>
      </c>
      <c r="G263" s="3">
        <f t="shared" si="249"/>
        <v>2.9704645444289125E-2</v>
      </c>
      <c r="H263" s="3">
        <f t="shared" si="249"/>
        <v>2.9704645444268558E-2</v>
      </c>
      <c r="I263" s="3">
        <f t="shared" si="249"/>
        <v>2.9704645444062878E-2</v>
      </c>
      <c r="J263" s="3">
        <f t="shared" si="249"/>
        <v>2.9704645442006097E-2</v>
      </c>
      <c r="K263" s="3">
        <f t="shared" si="249"/>
        <v>2.9704645421438258E-2</v>
      </c>
      <c r="L263" s="3">
        <f t="shared" si="249"/>
        <v>2.9704645215759867E-2</v>
      </c>
      <c r="M263" s="3">
        <f t="shared" si="249"/>
        <v>2.9704643158976057E-2</v>
      </c>
      <c r="N263" s="3">
        <f t="shared" si="249"/>
        <v>2.9704622591145785E-2</v>
      </c>
      <c r="O263" s="3">
        <f t="shared" si="249"/>
        <v>2.9704416913626321E-2</v>
      </c>
      <c r="P263" s="3">
        <f t="shared" si="249"/>
        <v>2.9702360216757207E-2</v>
      </c>
      <c r="Q263" s="3">
        <f t="shared" si="249"/>
        <v>2.968180107861168E-2</v>
      </c>
      <c r="R263" s="3">
        <f t="shared" si="249"/>
        <v>2.9476990749304662E-2</v>
      </c>
      <c r="S263" s="3">
        <f t="shared" si="249"/>
        <v>2.7505028196993291E-2</v>
      </c>
      <c r="T263" s="3">
        <f t="shared" si="249"/>
        <v>1.3762634876178018E-2</v>
      </c>
      <c r="U263" s="3">
        <f t="shared" si="249"/>
        <v>1.353930976991062E-5</v>
      </c>
      <c r="V263" s="3">
        <f t="shared" si="249"/>
        <v>1.1495977104003618E-35</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3.5282603781975501E-2</v>
      </c>
      <c r="C264" s="3">
        <f t="shared" si="250"/>
        <v>3.5282603781975501E-2</v>
      </c>
      <c r="D264" s="3">
        <f t="shared" si="250"/>
        <v>3.5282603781975501E-2</v>
      </c>
      <c r="E264" s="3">
        <f t="shared" si="250"/>
        <v>3.5282603781975494E-2</v>
      </c>
      <c r="F264" s="3">
        <f t="shared" si="250"/>
        <v>3.528260378197548E-2</v>
      </c>
      <c r="G264" s="3">
        <f t="shared" si="250"/>
        <v>3.5282603781975251E-2</v>
      </c>
      <c r="H264" s="3">
        <f t="shared" si="250"/>
        <v>3.5282603781973051E-2</v>
      </c>
      <c r="I264" s="3">
        <f t="shared" si="250"/>
        <v>3.5282603781951014E-2</v>
      </c>
      <c r="J264" s="3">
        <f t="shared" si="250"/>
        <v>3.5282603781730634E-2</v>
      </c>
      <c r="K264" s="3">
        <f t="shared" si="250"/>
        <v>3.5282603779526842E-2</v>
      </c>
      <c r="L264" s="3">
        <f t="shared" si="250"/>
        <v>3.5282603757488873E-2</v>
      </c>
      <c r="M264" s="3">
        <f t="shared" si="250"/>
        <v>3.5282603537109214E-2</v>
      </c>
      <c r="N264" s="3">
        <f t="shared" si="250"/>
        <v>3.5282601333312694E-2</v>
      </c>
      <c r="O264" s="3">
        <f t="shared" si="250"/>
        <v>3.5282579295355082E-2</v>
      </c>
      <c r="P264" s="3">
        <f t="shared" si="250"/>
        <v>3.5282358916536027E-2</v>
      </c>
      <c r="Q264" s="3">
        <f t="shared" si="250"/>
        <v>3.5280155204052123E-2</v>
      </c>
      <c r="R264" s="3">
        <f t="shared" si="250"/>
        <v>3.5258125648126991E-2</v>
      </c>
      <c r="S264" s="3">
        <f t="shared" si="250"/>
        <v>3.5038585233957607E-2</v>
      </c>
      <c r="T264" s="3">
        <f t="shared" si="250"/>
        <v>3.2916979183995512E-2</v>
      </c>
      <c r="U264" s="3">
        <f t="shared" si="250"/>
        <v>1.7626012728501703E-2</v>
      </c>
      <c r="V264" s="3">
        <f t="shared" si="250"/>
        <v>3.4158213220343461E-5</v>
      </c>
      <c r="W264" s="3">
        <f t="shared" si="250"/>
        <v>2.5521476866081061E-32</v>
      </c>
      <c r="X264" s="3">
        <f t="shared" si="250"/>
        <v>1.3836058019820601E-303</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3.4987985455608057E-2</v>
      </c>
      <c r="C265" s="3">
        <f t="shared" si="251"/>
        <v>3.4987985455608057E-2</v>
      </c>
      <c r="D265" s="3">
        <f t="shared" si="251"/>
        <v>3.4987985455608057E-2</v>
      </c>
      <c r="E265" s="3">
        <f t="shared" si="251"/>
        <v>3.4987985455608057E-2</v>
      </c>
      <c r="F265" s="3">
        <f t="shared" si="251"/>
        <v>3.4987985455608051E-2</v>
      </c>
      <c r="G265" s="3">
        <f t="shared" si="251"/>
        <v>3.4987985455608037E-2</v>
      </c>
      <c r="H265" s="3">
        <f t="shared" si="251"/>
        <v>3.4987985455607842E-2</v>
      </c>
      <c r="I265" s="3">
        <f t="shared" si="251"/>
        <v>3.4987985455605865E-2</v>
      </c>
      <c r="J265" s="3">
        <f t="shared" si="251"/>
        <v>3.4987985455586151E-2</v>
      </c>
      <c r="K265" s="3">
        <f t="shared" si="251"/>
        <v>3.498798545538901E-2</v>
      </c>
      <c r="L265" s="3">
        <f t="shared" si="251"/>
        <v>3.4987985453417608E-2</v>
      </c>
      <c r="M265" s="3">
        <f t="shared" si="251"/>
        <v>3.4987985433703531E-2</v>
      </c>
      <c r="N265" s="3">
        <f t="shared" si="251"/>
        <v>3.4987985236562782E-2</v>
      </c>
      <c r="O265" s="3">
        <f t="shared" si="251"/>
        <v>3.4987983265155322E-2</v>
      </c>
      <c r="P265" s="3">
        <f t="shared" si="251"/>
        <v>3.4987963551086868E-2</v>
      </c>
      <c r="Q265" s="3">
        <f t="shared" si="251"/>
        <v>3.4987766411013255E-2</v>
      </c>
      <c r="R265" s="3">
        <f t="shared" si="251"/>
        <v>3.4985795071369452E-2</v>
      </c>
      <c r="S265" s="3">
        <f t="shared" si="251"/>
        <v>3.4966087782888469E-2</v>
      </c>
      <c r="T265" s="3">
        <f t="shared" si="251"/>
        <v>3.4769624422330156E-2</v>
      </c>
      <c r="U265" s="3">
        <f t="shared" si="251"/>
        <v>3.28646914455622E-2</v>
      </c>
      <c r="V265" s="3">
        <f t="shared" si="251"/>
        <v>1.8707905013758006E-2</v>
      </c>
      <c r="W265" s="3">
        <f t="shared" si="251"/>
        <v>6.683148726189206E-5</v>
      </c>
      <c r="X265" s="3">
        <f t="shared" si="251"/>
        <v>2.2622511827739298E-29</v>
      </c>
      <c r="Y265" s="3">
        <f t="shared" si="251"/>
        <v>4.4682534937046994E-274</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4.0020818076897231E-2</v>
      </c>
      <c r="C266" s="3">
        <f t="shared" si="252"/>
        <v>4.0020818076897231E-2</v>
      </c>
      <c r="D266" s="3">
        <f t="shared" si="252"/>
        <v>4.0020818076897231E-2</v>
      </c>
      <c r="E266" s="3">
        <f t="shared" si="252"/>
        <v>4.0020818076897231E-2</v>
      </c>
      <c r="F266" s="3">
        <f t="shared" si="252"/>
        <v>4.0020818076897231E-2</v>
      </c>
      <c r="G266" s="3">
        <f t="shared" si="252"/>
        <v>4.0020818076897224E-2</v>
      </c>
      <c r="H266" s="3">
        <f t="shared" si="252"/>
        <v>4.002081807689721E-2</v>
      </c>
      <c r="I266" s="3">
        <f t="shared" si="252"/>
        <v>4.0020818076897002E-2</v>
      </c>
      <c r="J266" s="3">
        <f t="shared" si="252"/>
        <v>4.0020818076894969E-2</v>
      </c>
      <c r="K266" s="3">
        <f t="shared" si="252"/>
        <v>4.0020818076874631E-2</v>
      </c>
      <c r="L266" s="3">
        <f t="shared" si="252"/>
        <v>4.0020818076671211E-2</v>
      </c>
      <c r="M266" s="3">
        <f t="shared" si="252"/>
        <v>4.0020818074637025E-2</v>
      </c>
      <c r="N266" s="3">
        <f t="shared" si="252"/>
        <v>4.00208180542952E-2</v>
      </c>
      <c r="O266" s="3">
        <f t="shared" si="252"/>
        <v>4.0020817850876897E-2</v>
      </c>
      <c r="P266" s="3">
        <f t="shared" si="252"/>
        <v>4.0020815816693936E-2</v>
      </c>
      <c r="Q266" s="3">
        <f t="shared" si="252"/>
        <v>4.002079547487003E-2</v>
      </c>
      <c r="R266" s="3">
        <f t="shared" si="252"/>
        <v>4.0020592057199628E-2</v>
      </c>
      <c r="S266" s="3">
        <f t="shared" si="252"/>
        <v>4.0018557937360921E-2</v>
      </c>
      <c r="T266" s="3">
        <f t="shared" si="252"/>
        <v>3.9998222424439449E-2</v>
      </c>
      <c r="U266" s="3">
        <f t="shared" si="252"/>
        <v>3.9795434773999147E-2</v>
      </c>
      <c r="V266" s="3">
        <f t="shared" si="252"/>
        <v>3.7823253277910938E-2</v>
      </c>
      <c r="W266" s="3">
        <f t="shared" si="252"/>
        <v>2.2751768073039674E-2</v>
      </c>
      <c r="X266" s="3">
        <f t="shared" si="252"/>
        <v>1.4111652138168879E-4</v>
      </c>
      <c r="Y266" s="3">
        <f t="shared" si="252"/>
        <v>1.189063273503869E-26</v>
      </c>
      <c r="Z266" s="3">
        <f t="shared" si="252"/>
        <v>2.1452405407819784E-247</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3.51305921997421E-2</v>
      </c>
      <c r="C267" s="3">
        <f t="shared" si="253"/>
        <v>3.51305921997421E-2</v>
      </c>
      <c r="D267" s="3">
        <f t="shared" si="253"/>
        <v>3.51305921997421E-2</v>
      </c>
      <c r="E267" s="3">
        <f t="shared" si="253"/>
        <v>3.51305921997421E-2</v>
      </c>
      <c r="F267" s="3">
        <f t="shared" si="253"/>
        <v>3.51305921997421E-2</v>
      </c>
      <c r="G267" s="3">
        <f t="shared" si="253"/>
        <v>3.51305921997421E-2</v>
      </c>
      <c r="H267" s="3">
        <f t="shared" si="253"/>
        <v>3.51305921997421E-2</v>
      </c>
      <c r="I267" s="3">
        <f t="shared" si="253"/>
        <v>3.5130592199742079E-2</v>
      </c>
      <c r="J267" s="3">
        <f t="shared" si="253"/>
        <v>3.513059219974192E-2</v>
      </c>
      <c r="K267" s="3">
        <f t="shared" si="253"/>
        <v>3.513059219974031E-2</v>
      </c>
      <c r="L267" s="3">
        <f t="shared" si="253"/>
        <v>3.5130592199724205E-2</v>
      </c>
      <c r="M267" s="3">
        <f t="shared" si="253"/>
        <v>3.5130592199563125E-2</v>
      </c>
      <c r="N267" s="3">
        <f t="shared" si="253"/>
        <v>3.5130592197952344E-2</v>
      </c>
      <c r="O267" s="3">
        <f t="shared" si="253"/>
        <v>3.5130592181844549E-2</v>
      </c>
      <c r="P267" s="3">
        <f t="shared" si="253"/>
        <v>3.5130592020766585E-2</v>
      </c>
      <c r="Q267" s="3">
        <f t="shared" si="253"/>
        <v>3.513059040998702E-2</v>
      </c>
      <c r="R267" s="3">
        <f t="shared" si="253"/>
        <v>3.5130574302195371E-2</v>
      </c>
      <c r="S267" s="3">
        <f t="shared" si="253"/>
        <v>3.5130413224685096E-2</v>
      </c>
      <c r="T267" s="3">
        <f t="shared" si="253"/>
        <v>3.5128802490202476E-2</v>
      </c>
      <c r="U267" s="3">
        <f t="shared" si="253"/>
        <v>3.5112699206700008E-2</v>
      </c>
      <c r="V267" s="3">
        <f t="shared" si="253"/>
        <v>3.4952071815890315E-2</v>
      </c>
      <c r="W267" s="3">
        <f t="shared" si="253"/>
        <v>3.3385662850015159E-2</v>
      </c>
      <c r="X267" s="3">
        <f t="shared" si="253"/>
        <v>2.1107208279176951E-2</v>
      </c>
      <c r="Y267" s="3">
        <f t="shared" si="253"/>
        <v>2.1534694707300554E-4</v>
      </c>
      <c r="Z267" s="3">
        <f t="shared" si="253"/>
        <v>2.6315883508824299E-24</v>
      </c>
      <c r="AA267" s="3">
        <f t="shared" si="253"/>
        <v>1.9543858760890585E-223</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5.1976552303921161E-2</v>
      </c>
      <c r="C268" s="3">
        <f t="shared" si="254"/>
        <v>5.1976552303921161E-2</v>
      </c>
      <c r="D268" s="3">
        <f t="shared" si="254"/>
        <v>5.1976552303921161E-2</v>
      </c>
      <c r="E268" s="3">
        <f t="shared" si="254"/>
        <v>5.1976552303921161E-2</v>
      </c>
      <c r="F268" s="3">
        <f t="shared" si="254"/>
        <v>5.1976552303921161E-2</v>
      </c>
      <c r="G268" s="3">
        <f t="shared" si="254"/>
        <v>5.1976552303921161E-2</v>
      </c>
      <c r="H268" s="3">
        <f t="shared" si="254"/>
        <v>5.1976552303921161E-2</v>
      </c>
      <c r="I268" s="3">
        <f t="shared" si="254"/>
        <v>5.1976552303921161E-2</v>
      </c>
      <c r="J268" s="3">
        <f t="shared" si="254"/>
        <v>5.1976552303921141E-2</v>
      </c>
      <c r="K268" s="3">
        <f t="shared" si="254"/>
        <v>5.1976552303920925E-2</v>
      </c>
      <c r="L268" s="3">
        <f t="shared" si="254"/>
        <v>5.1976552303918774E-2</v>
      </c>
      <c r="M268" s="3">
        <f t="shared" si="254"/>
        <v>5.1976552303897278E-2</v>
      </c>
      <c r="N268" s="3">
        <f t="shared" si="254"/>
        <v>5.197655230368229E-2</v>
      </c>
      <c r="O268" s="3">
        <f t="shared" si="254"/>
        <v>5.1976552301532454E-2</v>
      </c>
      <c r="P268" s="3">
        <f t="shared" si="254"/>
        <v>5.197655228003413E-2</v>
      </c>
      <c r="Q268" s="3">
        <f t="shared" si="254"/>
        <v>5.1976552065050835E-2</v>
      </c>
      <c r="R268" s="3">
        <f t="shared" si="254"/>
        <v>5.1976549915217947E-2</v>
      </c>
      <c r="S268" s="3">
        <f t="shared" si="254"/>
        <v>5.197652841689393E-2</v>
      </c>
      <c r="T268" s="3">
        <f t="shared" si="254"/>
        <v>5.1976313434142864E-2</v>
      </c>
      <c r="U268" s="3">
        <f t="shared" si="254"/>
        <v>5.1974163655537614E-2</v>
      </c>
      <c r="V268" s="3">
        <f t="shared" si="254"/>
        <v>5.1952670759281845E-2</v>
      </c>
      <c r="W268" s="3">
        <f t="shared" si="254"/>
        <v>5.1738230028896562E-2</v>
      </c>
      <c r="X268" s="3">
        <f t="shared" si="254"/>
        <v>4.964190695656185E-2</v>
      </c>
      <c r="Y268" s="3">
        <f t="shared" si="254"/>
        <v>3.2825953125215912E-2</v>
      </c>
      <c r="Z268" s="3">
        <f t="shared" si="254"/>
        <v>5.2469416259006904E-4</v>
      </c>
      <c r="AA268" s="3">
        <f t="shared" si="254"/>
        <v>5.7120908735255162E-22</v>
      </c>
      <c r="AB268" s="3">
        <f t="shared" si="254"/>
        <v>1.3356229182650258E-201</v>
      </c>
      <c r="AC268" s="3">
        <f t="shared" si="254"/>
        <v>0</v>
      </c>
      <c r="AD268" s="3">
        <f t="shared" si="254"/>
        <v>0</v>
      </c>
      <c r="AE268" s="3">
        <f t="shared" si="254"/>
        <v>0</v>
      </c>
      <c r="AF268" s="3">
        <f t="shared" si="254"/>
        <v>0</v>
      </c>
      <c r="AG268" s="3"/>
      <c r="AH268" s="3"/>
    </row>
    <row r="269" spans="2:34" x14ac:dyDescent="0.25">
      <c r="B269" s="3">
        <f t="shared" ref="B269:AF269" si="255">$C38*EXP(-B$246/$A38/EXP(-$E$126))</f>
        <v>2.3181635308382595E-6</v>
      </c>
      <c r="C269" s="3">
        <f t="shared" si="255"/>
        <v>2.3181635308382595E-6</v>
      </c>
      <c r="D269" s="3">
        <f t="shared" si="255"/>
        <v>2.3181635308382595E-6</v>
      </c>
      <c r="E269" s="3">
        <f t="shared" si="255"/>
        <v>2.3181635308382595E-6</v>
      </c>
      <c r="F269" s="3">
        <f t="shared" si="255"/>
        <v>2.3181635308382595E-6</v>
      </c>
      <c r="G269" s="3">
        <f t="shared" si="255"/>
        <v>2.3181635308382595E-6</v>
      </c>
      <c r="H269" s="3">
        <f t="shared" si="255"/>
        <v>2.3181635308382595E-6</v>
      </c>
      <c r="I269" s="3">
        <f t="shared" si="255"/>
        <v>2.3181635308382595E-6</v>
      </c>
      <c r="J269" s="3">
        <f t="shared" si="255"/>
        <v>2.3181635308382595E-6</v>
      </c>
      <c r="K269" s="3">
        <f t="shared" si="255"/>
        <v>2.3181635308382587E-6</v>
      </c>
      <c r="L269" s="3">
        <f t="shared" si="255"/>
        <v>2.3181635308382502E-6</v>
      </c>
      <c r="M269" s="3">
        <f t="shared" si="255"/>
        <v>2.3181635308381634E-6</v>
      </c>
      <c r="N269" s="3">
        <f t="shared" si="255"/>
        <v>2.3181635308372986E-6</v>
      </c>
      <c r="O269" s="3">
        <f t="shared" si="255"/>
        <v>2.3181635308286491E-6</v>
      </c>
      <c r="P269" s="3">
        <f t="shared" si="255"/>
        <v>2.3181635307421548E-6</v>
      </c>
      <c r="Q269" s="3">
        <f t="shared" si="255"/>
        <v>2.3181635298772109E-6</v>
      </c>
      <c r="R269" s="3">
        <f t="shared" si="255"/>
        <v>2.3181635212277725E-6</v>
      </c>
      <c r="S269" s="3">
        <f t="shared" si="255"/>
        <v>2.3181634347333914E-6</v>
      </c>
      <c r="T269" s="3">
        <f t="shared" si="255"/>
        <v>2.318162569789758E-6</v>
      </c>
      <c r="U269" s="3">
        <f t="shared" si="255"/>
        <v>2.3181539203711713E-6</v>
      </c>
      <c r="V269" s="3">
        <f t="shared" si="255"/>
        <v>2.3180674279602622E-6</v>
      </c>
      <c r="W269" s="3">
        <f t="shared" si="255"/>
        <v>2.3172026813223446E-6</v>
      </c>
      <c r="X269" s="3">
        <f t="shared" si="255"/>
        <v>2.3085729375843221E-6</v>
      </c>
      <c r="Y269" s="3">
        <f t="shared" si="255"/>
        <v>2.2240235399628204E-6</v>
      </c>
      <c r="Z269" s="3">
        <f t="shared" si="255"/>
        <v>1.5314300811122592E-6</v>
      </c>
      <c r="AA269" s="3">
        <f t="shared" si="255"/>
        <v>3.6700764531622465E-8</v>
      </c>
      <c r="AB269" s="3">
        <f t="shared" si="255"/>
        <v>2.2932663056397822E-24</v>
      </c>
      <c r="AC269" s="3">
        <f t="shared" si="255"/>
        <v>2.0808859499189723E-186</v>
      </c>
      <c r="AD269" s="3">
        <f t="shared" si="255"/>
        <v>0</v>
      </c>
      <c r="AE269" s="3">
        <f t="shared" si="255"/>
        <v>0</v>
      </c>
      <c r="AF269" s="3">
        <f t="shared" si="255"/>
        <v>0</v>
      </c>
      <c r="AG269" s="3"/>
      <c r="AH269" s="3"/>
    </row>
    <row r="270" spans="2:34" x14ac:dyDescent="0.25">
      <c r="B270" s="3">
        <f t="shared" ref="B270:AF270" si="256">$C39*EXP(-B$246/$A39/EXP(-$E$126))</f>
        <v>7.5767559561282297E-2</v>
      </c>
      <c r="C270" s="3">
        <f t="shared" si="256"/>
        <v>7.5767559561282297E-2</v>
      </c>
      <c r="D270" s="3">
        <f t="shared" si="256"/>
        <v>7.5767559561282297E-2</v>
      </c>
      <c r="E270" s="3">
        <f t="shared" si="256"/>
        <v>7.5767559561282297E-2</v>
      </c>
      <c r="F270" s="3">
        <f t="shared" si="256"/>
        <v>7.5767559561282297E-2</v>
      </c>
      <c r="G270" s="3">
        <f t="shared" si="256"/>
        <v>7.5767559561282297E-2</v>
      </c>
      <c r="H270" s="3">
        <f t="shared" si="256"/>
        <v>7.5767559561282297E-2</v>
      </c>
      <c r="I270" s="3">
        <f t="shared" si="256"/>
        <v>7.5767559561282297E-2</v>
      </c>
      <c r="J270" s="3">
        <f t="shared" si="256"/>
        <v>7.5767559561282297E-2</v>
      </c>
      <c r="K270" s="3">
        <f t="shared" si="256"/>
        <v>7.5767559561282283E-2</v>
      </c>
      <c r="L270" s="3">
        <f t="shared" si="256"/>
        <v>7.5767559561282213E-2</v>
      </c>
      <c r="M270" s="3">
        <f t="shared" si="256"/>
        <v>7.5767559561281436E-2</v>
      </c>
      <c r="N270" s="3">
        <f t="shared" si="256"/>
        <v>7.5767559561273609E-2</v>
      </c>
      <c r="O270" s="3">
        <f t="shared" si="256"/>
        <v>7.5767559561195422E-2</v>
      </c>
      <c r="P270" s="3">
        <f t="shared" si="256"/>
        <v>7.5767559560413547E-2</v>
      </c>
      <c r="Q270" s="3">
        <f t="shared" si="256"/>
        <v>7.5767559552594746E-2</v>
      </c>
      <c r="R270" s="3">
        <f t="shared" si="256"/>
        <v>7.5767559474406762E-2</v>
      </c>
      <c r="S270" s="3">
        <f t="shared" si="256"/>
        <v>7.5767558692526965E-2</v>
      </c>
      <c r="T270" s="3">
        <f t="shared" si="256"/>
        <v>7.5767550873729383E-2</v>
      </c>
      <c r="U270" s="3">
        <f t="shared" si="256"/>
        <v>7.5767472685798004E-2</v>
      </c>
      <c r="V270" s="3">
        <f t="shared" si="256"/>
        <v>7.5766690810921924E-2</v>
      </c>
      <c r="W270" s="3">
        <f t="shared" si="256"/>
        <v>7.5758872505913802E-2</v>
      </c>
      <c r="X270" s="3">
        <f t="shared" si="256"/>
        <v>7.5680733814158838E-2</v>
      </c>
      <c r="Y270" s="3">
        <f t="shared" si="256"/>
        <v>7.4903765839009068E-2</v>
      </c>
      <c r="Z270" s="3">
        <f t="shared" si="256"/>
        <v>6.7559563608127149E-2</v>
      </c>
      <c r="AA270" s="3">
        <f t="shared" si="256"/>
        <v>2.4072359743965224E-2</v>
      </c>
      <c r="AB270" s="3">
        <f t="shared" si="256"/>
        <v>7.9403008651669139E-7</v>
      </c>
      <c r="AC270" s="3">
        <f t="shared" si="256"/>
        <v>1.2106535896433638E-51</v>
      </c>
      <c r="AD270" s="3">
        <f t="shared" si="256"/>
        <v>0</v>
      </c>
      <c r="AE270" s="3">
        <f t="shared" si="256"/>
        <v>0</v>
      </c>
      <c r="AF270" s="3">
        <f t="shared" si="256"/>
        <v>0</v>
      </c>
      <c r="AG270" s="3"/>
      <c r="AH270" s="3"/>
    </row>
    <row r="271" spans="2:34" x14ac:dyDescent="0.25">
      <c r="B271" s="3">
        <f t="shared" ref="B271:AF271" si="257">$C40*EXP(-B$246/$A40/EXP(-$E$126))</f>
        <v>3.067875950056604E-2</v>
      </c>
      <c r="C271" s="3">
        <f t="shared" si="257"/>
        <v>3.067875950056604E-2</v>
      </c>
      <c r="D271" s="3">
        <f t="shared" si="257"/>
        <v>3.067875950056604E-2</v>
      </c>
      <c r="E271" s="3">
        <f t="shared" si="257"/>
        <v>3.067875950056604E-2</v>
      </c>
      <c r="F271" s="3">
        <f t="shared" si="257"/>
        <v>3.067875950056604E-2</v>
      </c>
      <c r="G271" s="3">
        <f t="shared" si="257"/>
        <v>3.067875950056604E-2</v>
      </c>
      <c r="H271" s="3">
        <f t="shared" si="257"/>
        <v>3.067875950056604E-2</v>
      </c>
      <c r="I271" s="3">
        <f t="shared" si="257"/>
        <v>3.067875950056604E-2</v>
      </c>
      <c r="J271" s="3">
        <f t="shared" si="257"/>
        <v>3.067875950056604E-2</v>
      </c>
      <c r="K271" s="3">
        <f t="shared" si="257"/>
        <v>3.067875950056604E-2</v>
      </c>
      <c r="L271" s="3">
        <f t="shared" si="257"/>
        <v>3.0678759500566036E-2</v>
      </c>
      <c r="M271" s="3">
        <f t="shared" si="257"/>
        <v>3.0678759500566005E-2</v>
      </c>
      <c r="N271" s="3">
        <f t="shared" si="257"/>
        <v>3.0678759500565689E-2</v>
      </c>
      <c r="O271" s="3">
        <f t="shared" si="257"/>
        <v>3.0678759500562522E-2</v>
      </c>
      <c r="P271" s="3">
        <f t="shared" si="257"/>
        <v>3.0678759500530863E-2</v>
      </c>
      <c r="Q271" s="3">
        <f t="shared" si="257"/>
        <v>3.0678759500214276E-2</v>
      </c>
      <c r="R271" s="3">
        <f t="shared" si="257"/>
        <v>3.0678759497048395E-2</v>
      </c>
      <c r="S271" s="3">
        <f t="shared" si="257"/>
        <v>3.0678759465389591E-2</v>
      </c>
      <c r="T271" s="3">
        <f t="shared" si="257"/>
        <v>3.0678759148801565E-2</v>
      </c>
      <c r="U271" s="3">
        <f t="shared" si="257"/>
        <v>3.0678755982921448E-2</v>
      </c>
      <c r="V271" s="3">
        <f t="shared" si="257"/>
        <v>3.0678724324138235E-2</v>
      </c>
      <c r="W271" s="3">
        <f t="shared" si="257"/>
        <v>3.0678407738102972E-2</v>
      </c>
      <c r="X271" s="3">
        <f t="shared" si="257"/>
        <v>3.0675242057428616E-2</v>
      </c>
      <c r="Y271" s="3">
        <f t="shared" si="257"/>
        <v>3.0643603211649235E-2</v>
      </c>
      <c r="Z271" s="3">
        <f t="shared" si="257"/>
        <v>3.0329004011314928E-2</v>
      </c>
      <c r="AA271" s="3">
        <f t="shared" si="257"/>
        <v>2.7355290521407533E-2</v>
      </c>
      <c r="AB271" s="3">
        <f t="shared" si="257"/>
        <v>9.7470492579201391E-3</v>
      </c>
      <c r="AC271" s="3">
        <f t="shared" si="257"/>
        <v>3.2150775610974358E-7</v>
      </c>
      <c r="AD271" s="3">
        <f t="shared" si="257"/>
        <v>4.902012223994765E-52</v>
      </c>
      <c r="AE271" s="3">
        <f t="shared" si="257"/>
        <v>0</v>
      </c>
      <c r="AF271" s="3">
        <f t="shared" si="257"/>
        <v>0</v>
      </c>
      <c r="AG271" s="3"/>
      <c r="AH271" s="3"/>
    </row>
    <row r="272" spans="2:34" x14ac:dyDescent="0.25">
      <c r="B272" s="3">
        <f t="shared" ref="B272:AF272" si="258">$C41*EXP(-B$246/$A41/EXP(-$E$126))</f>
        <v>7.5768782257570458E-2</v>
      </c>
      <c r="C272" s="3">
        <f t="shared" si="258"/>
        <v>7.5768782257570458E-2</v>
      </c>
      <c r="D272" s="3">
        <f t="shared" si="258"/>
        <v>7.5768782257570458E-2</v>
      </c>
      <c r="E272" s="3">
        <f t="shared" si="258"/>
        <v>7.5768782257570458E-2</v>
      </c>
      <c r="F272" s="3">
        <f t="shared" si="258"/>
        <v>7.5768782257570458E-2</v>
      </c>
      <c r="G272" s="3">
        <f t="shared" si="258"/>
        <v>7.5768782257570458E-2</v>
      </c>
      <c r="H272" s="3">
        <f t="shared" si="258"/>
        <v>7.5768782257570458E-2</v>
      </c>
      <c r="I272" s="3">
        <f t="shared" si="258"/>
        <v>7.5768782257570458E-2</v>
      </c>
      <c r="J272" s="3">
        <f t="shared" si="258"/>
        <v>7.5768782257570458E-2</v>
      </c>
      <c r="K272" s="3">
        <f t="shared" si="258"/>
        <v>7.5768782257570458E-2</v>
      </c>
      <c r="L272" s="3">
        <f t="shared" si="258"/>
        <v>7.5768782257570458E-2</v>
      </c>
      <c r="M272" s="3">
        <f t="shared" si="258"/>
        <v>7.5768782257570444E-2</v>
      </c>
      <c r="N272" s="3">
        <f t="shared" si="258"/>
        <v>7.5768782257570375E-2</v>
      </c>
      <c r="O272" s="3">
        <f t="shared" si="258"/>
        <v>7.5768782257569597E-2</v>
      </c>
      <c r="P272" s="3">
        <f t="shared" si="258"/>
        <v>7.576878225756177E-2</v>
      </c>
      <c r="Q272" s="3">
        <f t="shared" si="258"/>
        <v>7.5768782257483583E-2</v>
      </c>
      <c r="R272" s="3">
        <f t="shared" si="258"/>
        <v>7.5768782256701694E-2</v>
      </c>
      <c r="S272" s="3">
        <f t="shared" si="258"/>
        <v>7.5768782248882768E-2</v>
      </c>
      <c r="T272" s="3">
        <f t="shared" si="258"/>
        <v>7.5768782170693522E-2</v>
      </c>
      <c r="U272" s="3">
        <f t="shared" si="258"/>
        <v>7.576878138880111E-2</v>
      </c>
      <c r="V272" s="3">
        <f t="shared" si="258"/>
        <v>7.5768773569877351E-2</v>
      </c>
      <c r="W272" s="3">
        <f t="shared" si="258"/>
        <v>7.5768695380684217E-2</v>
      </c>
      <c r="X272" s="3">
        <f t="shared" si="258"/>
        <v>7.5767913493190661E-2</v>
      </c>
      <c r="Y272" s="3">
        <f t="shared" si="258"/>
        <v>7.576009506201492E-2</v>
      </c>
      <c r="Z272" s="3">
        <f t="shared" si="258"/>
        <v>7.5681955109299606E-2</v>
      </c>
      <c r="AA272" s="3">
        <f t="shared" si="258"/>
        <v>7.4904974595856863E-2</v>
      </c>
      <c r="AB272" s="3">
        <f t="shared" si="258"/>
        <v>6.7560653848173571E-2</v>
      </c>
      <c r="AC272" s="3">
        <f t="shared" si="258"/>
        <v>2.4072748210811415E-2</v>
      </c>
      <c r="AD272" s="3">
        <f t="shared" si="258"/>
        <v>7.9404290014887241E-7</v>
      </c>
      <c r="AE272" s="3">
        <f t="shared" si="258"/>
        <v>1.2106731265224566E-51</v>
      </c>
      <c r="AF272" s="3">
        <f t="shared" si="258"/>
        <v>0</v>
      </c>
      <c r="AG272" s="3"/>
      <c r="AH272" s="3"/>
    </row>
    <row r="273" spans="1:34" x14ac:dyDescent="0.25">
      <c r="B273" s="3">
        <f t="shared" ref="B273:AF273" si="259">$C42*EXP(-B$246/$A42/EXP(-$E$126))</f>
        <v>3.996144450245992E-2</v>
      </c>
      <c r="C273" s="3">
        <f t="shared" si="259"/>
        <v>3.996144450245992E-2</v>
      </c>
      <c r="D273" s="3">
        <f t="shared" si="259"/>
        <v>3.996144450245992E-2</v>
      </c>
      <c r="E273" s="3">
        <f t="shared" si="259"/>
        <v>3.996144450245992E-2</v>
      </c>
      <c r="F273" s="3">
        <f t="shared" si="259"/>
        <v>3.996144450245992E-2</v>
      </c>
      <c r="G273" s="3">
        <f t="shared" si="259"/>
        <v>3.996144450245992E-2</v>
      </c>
      <c r="H273" s="3">
        <f t="shared" si="259"/>
        <v>3.996144450245992E-2</v>
      </c>
      <c r="I273" s="3">
        <f t="shared" si="259"/>
        <v>3.996144450245992E-2</v>
      </c>
      <c r="J273" s="3">
        <f t="shared" si="259"/>
        <v>3.996144450245992E-2</v>
      </c>
      <c r="K273" s="3">
        <f t="shared" si="259"/>
        <v>3.996144450245992E-2</v>
      </c>
      <c r="L273" s="3">
        <f t="shared" si="259"/>
        <v>3.996144450245992E-2</v>
      </c>
      <c r="M273" s="3">
        <f t="shared" si="259"/>
        <v>3.996144450245992E-2</v>
      </c>
      <c r="N273" s="3">
        <f t="shared" si="259"/>
        <v>3.9961444502459913E-2</v>
      </c>
      <c r="O273" s="3">
        <f t="shared" si="259"/>
        <v>3.9961444502459878E-2</v>
      </c>
      <c r="P273" s="3">
        <f t="shared" si="259"/>
        <v>3.9961444502459462E-2</v>
      </c>
      <c r="Q273" s="3">
        <f t="shared" si="259"/>
        <v>3.996144450245534E-2</v>
      </c>
      <c r="R273" s="3">
        <f t="shared" si="259"/>
        <v>3.9961444502414095E-2</v>
      </c>
      <c r="S273" s="3">
        <f t="shared" si="259"/>
        <v>3.9961444502001717E-2</v>
      </c>
      <c r="T273" s="3">
        <f t="shared" si="259"/>
        <v>3.9961444497877918E-2</v>
      </c>
      <c r="U273" s="3">
        <f t="shared" si="259"/>
        <v>3.9961444456639891E-2</v>
      </c>
      <c r="V273" s="3">
        <f t="shared" si="259"/>
        <v>3.9961444044259629E-2</v>
      </c>
      <c r="W273" s="3">
        <f t="shared" si="259"/>
        <v>3.9961439920457205E-2</v>
      </c>
      <c r="X273" s="3">
        <f t="shared" si="259"/>
        <v>3.9961398682456427E-2</v>
      </c>
      <c r="Y273" s="3">
        <f t="shared" si="259"/>
        <v>3.9960986304789128E-2</v>
      </c>
      <c r="Z273" s="3">
        <f t="shared" si="259"/>
        <v>3.9956862762160934E-2</v>
      </c>
      <c r="AA273" s="3">
        <f t="shared" si="259"/>
        <v>3.9915650731416619E-2</v>
      </c>
      <c r="AB273" s="3">
        <f t="shared" si="259"/>
        <v>3.950586106947003E-2</v>
      </c>
      <c r="AC273" s="3">
        <f t="shared" si="259"/>
        <v>3.5632370467903879E-2</v>
      </c>
      <c r="AD273" s="3">
        <f t="shared" si="259"/>
        <v>1.2696281542150759E-2</v>
      </c>
      <c r="AE273" s="3">
        <f t="shared" si="259"/>
        <v>4.1878858734991833E-7</v>
      </c>
      <c r="AF273" s="3">
        <f t="shared" si="259"/>
        <v>6.385248055285046E-52</v>
      </c>
      <c r="AG273" s="3"/>
      <c r="AH273" s="3"/>
    </row>
    <row r="274" spans="1:34" x14ac:dyDescent="0.25">
      <c r="B274" s="3">
        <f t="shared" ref="B274:AF274" si="260">$C43*EXP(-B$246/$A43/EXP(-$E$126))</f>
        <v>4.8323610204746917E-2</v>
      </c>
      <c r="C274" s="3">
        <f t="shared" si="260"/>
        <v>4.8323610204746917E-2</v>
      </c>
      <c r="D274" s="3">
        <f t="shared" si="260"/>
        <v>4.8323610204746917E-2</v>
      </c>
      <c r="E274" s="3">
        <f t="shared" si="260"/>
        <v>4.8323610204746917E-2</v>
      </c>
      <c r="F274" s="3">
        <f t="shared" si="260"/>
        <v>4.8323610204746917E-2</v>
      </c>
      <c r="G274" s="3">
        <f t="shared" si="260"/>
        <v>4.8323610204746917E-2</v>
      </c>
      <c r="H274" s="3">
        <f t="shared" si="260"/>
        <v>4.8323610204746917E-2</v>
      </c>
      <c r="I274" s="3">
        <f t="shared" si="260"/>
        <v>4.8323610204746917E-2</v>
      </c>
      <c r="J274" s="3">
        <f t="shared" si="260"/>
        <v>4.8323610204746917E-2</v>
      </c>
      <c r="K274" s="3">
        <f t="shared" si="260"/>
        <v>4.8323610204746917E-2</v>
      </c>
      <c r="L274" s="3">
        <f t="shared" si="260"/>
        <v>4.8323610204746917E-2</v>
      </c>
      <c r="M274" s="3">
        <f t="shared" si="260"/>
        <v>4.8323610204746917E-2</v>
      </c>
      <c r="N274" s="3">
        <f t="shared" si="260"/>
        <v>4.8323610204746917E-2</v>
      </c>
      <c r="O274" s="3">
        <f t="shared" si="260"/>
        <v>4.832361020474691E-2</v>
      </c>
      <c r="P274" s="3">
        <f t="shared" si="260"/>
        <v>4.8323610204746861E-2</v>
      </c>
      <c r="Q274" s="3">
        <f t="shared" si="260"/>
        <v>4.8323610204746362E-2</v>
      </c>
      <c r="R274" s="3">
        <f t="shared" si="260"/>
        <v>4.8323610204741373E-2</v>
      </c>
      <c r="S274" s="3">
        <f t="shared" si="260"/>
        <v>4.832361020469151E-2</v>
      </c>
      <c r="T274" s="3">
        <f t="shared" si="260"/>
        <v>4.8323610204192839E-2</v>
      </c>
      <c r="U274" s="3">
        <f t="shared" si="260"/>
        <v>4.8323610199206099E-2</v>
      </c>
      <c r="V274" s="3">
        <f t="shared" si="260"/>
        <v>4.832361014933878E-2</v>
      </c>
      <c r="W274" s="3">
        <f t="shared" si="260"/>
        <v>4.8323609650665539E-2</v>
      </c>
      <c r="X274" s="3">
        <f t="shared" si="260"/>
        <v>4.8323604663933373E-2</v>
      </c>
      <c r="Y274" s="3">
        <f t="shared" si="260"/>
        <v>4.8323554796640023E-2</v>
      </c>
      <c r="Z274" s="3">
        <f t="shared" si="260"/>
        <v>4.8323056126536888E-2</v>
      </c>
      <c r="AA274" s="3">
        <f t="shared" si="260"/>
        <v>4.8318069708525514E-2</v>
      </c>
      <c r="AB274" s="3">
        <f t="shared" si="260"/>
        <v>4.8268233819602345E-2</v>
      </c>
      <c r="AC274" s="3">
        <f t="shared" si="260"/>
        <v>4.7772693277052053E-2</v>
      </c>
      <c r="AD274" s="3">
        <f t="shared" si="260"/>
        <v>4.3088652139592405E-2</v>
      </c>
      <c r="AE274" s="3">
        <f t="shared" si="260"/>
        <v>1.5353052621880298E-2</v>
      </c>
      <c r="AF274" s="3">
        <f t="shared" si="260"/>
        <v>5.0642254566268996E-7</v>
      </c>
      <c r="AG274" s="3"/>
      <c r="AH274" s="3"/>
    </row>
    <row r="275" spans="1:34" x14ac:dyDescent="0.25">
      <c r="B275" s="3">
        <f t="shared" ref="B275:AF275" si="261">$C44*EXP(-B$246/$A44/EXP(-$E$126))</f>
        <v>1.4844365312015322E-2</v>
      </c>
      <c r="C275" s="3">
        <f t="shared" si="261"/>
        <v>1.4844365312015322E-2</v>
      </c>
      <c r="D275" s="3">
        <f t="shared" si="261"/>
        <v>1.4844365312015322E-2</v>
      </c>
      <c r="E275" s="3">
        <f t="shared" si="261"/>
        <v>1.4844365312015322E-2</v>
      </c>
      <c r="F275" s="3">
        <f t="shared" si="261"/>
        <v>1.4844365312015322E-2</v>
      </c>
      <c r="G275" s="3">
        <f t="shared" si="261"/>
        <v>1.4844365312015322E-2</v>
      </c>
      <c r="H275" s="3">
        <f t="shared" si="261"/>
        <v>1.4844365312015322E-2</v>
      </c>
      <c r="I275" s="3">
        <f t="shared" si="261"/>
        <v>1.4844365312015322E-2</v>
      </c>
      <c r="J275" s="3">
        <f t="shared" si="261"/>
        <v>1.4844365312015322E-2</v>
      </c>
      <c r="K275" s="3">
        <f t="shared" si="261"/>
        <v>1.4844365312015322E-2</v>
      </c>
      <c r="L275" s="3">
        <f t="shared" si="261"/>
        <v>1.4844365312015322E-2</v>
      </c>
      <c r="M275" s="3">
        <f t="shared" si="261"/>
        <v>1.4844365312015322E-2</v>
      </c>
      <c r="N275" s="3">
        <f t="shared" si="261"/>
        <v>1.4844365312015322E-2</v>
      </c>
      <c r="O275" s="3">
        <f t="shared" si="261"/>
        <v>1.4844365312015322E-2</v>
      </c>
      <c r="P275" s="3">
        <f t="shared" si="261"/>
        <v>1.484436531201532E-2</v>
      </c>
      <c r="Q275" s="3">
        <f t="shared" si="261"/>
        <v>1.4844365312015304E-2</v>
      </c>
      <c r="R275" s="3">
        <f t="shared" si="261"/>
        <v>1.4844365312015152E-2</v>
      </c>
      <c r="S275" s="3">
        <f t="shared" si="261"/>
        <v>1.484436531201362E-2</v>
      </c>
      <c r="T275" s="3">
        <f t="shared" si="261"/>
        <v>1.48443653119983E-2</v>
      </c>
      <c r="U275" s="3">
        <f t="shared" si="261"/>
        <v>1.4844365311845116E-2</v>
      </c>
      <c r="V275" s="3">
        <f t="shared" si="261"/>
        <v>1.4844365310313258E-2</v>
      </c>
      <c r="W275" s="3">
        <f t="shared" si="261"/>
        <v>1.4844365294994685E-2</v>
      </c>
      <c r="X275" s="3">
        <f t="shared" si="261"/>
        <v>1.4844365141808948E-2</v>
      </c>
      <c r="Y275" s="3">
        <f t="shared" si="261"/>
        <v>1.4844363609951672E-2</v>
      </c>
      <c r="Z275" s="3">
        <f t="shared" si="261"/>
        <v>1.484434829138759E-2</v>
      </c>
      <c r="AA275" s="3">
        <f t="shared" si="261"/>
        <v>1.4844195106616217E-2</v>
      </c>
      <c r="AB275" s="3">
        <f t="shared" si="261"/>
        <v>1.4842663345842432E-2</v>
      </c>
      <c r="AC275" s="3">
        <f t="shared" si="261"/>
        <v>1.4827354428779114E-2</v>
      </c>
      <c r="AD275" s="3">
        <f t="shared" si="261"/>
        <v>1.4675131016468581E-2</v>
      </c>
      <c r="AE275" s="3">
        <f t="shared" si="261"/>
        <v>1.3236256365209005E-2</v>
      </c>
      <c r="AF275" s="3">
        <f t="shared" si="261"/>
        <v>4.716251968926736E-3</v>
      </c>
      <c r="AG275" s="3"/>
      <c r="AH275" s="3"/>
    </row>
    <row r="276" spans="1:34" x14ac:dyDescent="0.25">
      <c r="B276" s="3">
        <f t="shared" ref="B276:AF276" si="262">$C45*EXP(-B$246/$A45/EXP(-$E$126))</f>
        <v>1.5641900970231219E-2</v>
      </c>
      <c r="C276" s="3">
        <f t="shared" si="262"/>
        <v>1.5641900970231219E-2</v>
      </c>
      <c r="D276" s="3">
        <f t="shared" si="262"/>
        <v>1.5641900970231219E-2</v>
      </c>
      <c r="E276" s="3">
        <f t="shared" si="262"/>
        <v>1.5641900970231219E-2</v>
      </c>
      <c r="F276" s="3">
        <f t="shared" si="262"/>
        <v>1.5641900970231219E-2</v>
      </c>
      <c r="G276" s="3">
        <f t="shared" si="262"/>
        <v>1.5641900970231219E-2</v>
      </c>
      <c r="H276" s="3">
        <f t="shared" si="262"/>
        <v>1.5641900970231219E-2</v>
      </c>
      <c r="I276" s="3">
        <f t="shared" si="262"/>
        <v>1.5641900970231219E-2</v>
      </c>
      <c r="J276" s="3">
        <f t="shared" si="262"/>
        <v>1.5641900970231219E-2</v>
      </c>
      <c r="K276" s="3">
        <f t="shared" si="262"/>
        <v>1.5641900970231219E-2</v>
      </c>
      <c r="L276" s="3">
        <f t="shared" si="262"/>
        <v>1.5641900970231219E-2</v>
      </c>
      <c r="M276" s="3">
        <f t="shared" si="262"/>
        <v>1.5641900970231219E-2</v>
      </c>
      <c r="N276" s="3">
        <f t="shared" si="262"/>
        <v>1.5641900970231219E-2</v>
      </c>
      <c r="O276" s="3">
        <f t="shared" si="262"/>
        <v>1.5641900970231219E-2</v>
      </c>
      <c r="P276" s="3">
        <f t="shared" si="262"/>
        <v>1.5641900970231219E-2</v>
      </c>
      <c r="Q276" s="3">
        <f t="shared" si="262"/>
        <v>1.5641900970231215E-2</v>
      </c>
      <c r="R276" s="3">
        <f t="shared" si="262"/>
        <v>1.5641900970231201E-2</v>
      </c>
      <c r="S276" s="3">
        <f t="shared" si="262"/>
        <v>1.5641900970231038E-2</v>
      </c>
      <c r="T276" s="3">
        <f t="shared" si="262"/>
        <v>1.5641900970229425E-2</v>
      </c>
      <c r="U276" s="3">
        <f t="shared" si="262"/>
        <v>1.5641900970213281E-2</v>
      </c>
      <c r="V276" s="3">
        <f t="shared" si="262"/>
        <v>1.5641900970051869E-2</v>
      </c>
      <c r="W276" s="3">
        <f t="shared" si="262"/>
        <v>1.5641900968437709E-2</v>
      </c>
      <c r="X276" s="3">
        <f t="shared" si="262"/>
        <v>1.5641900952296121E-2</v>
      </c>
      <c r="Y276" s="3">
        <f t="shared" si="262"/>
        <v>1.5641900790880254E-2</v>
      </c>
      <c r="Z276" s="3">
        <f t="shared" si="262"/>
        <v>1.5641899176721662E-2</v>
      </c>
      <c r="AA276" s="3">
        <f t="shared" si="262"/>
        <v>1.5641883035144886E-2</v>
      </c>
      <c r="AB276" s="3">
        <f t="shared" si="262"/>
        <v>1.5641721620293283E-2</v>
      </c>
      <c r="AC276" s="3">
        <f t="shared" si="262"/>
        <v>1.5640107563388187E-2</v>
      </c>
      <c r="AD276" s="3">
        <f t="shared" si="262"/>
        <v>1.5623976151931203E-2</v>
      </c>
      <c r="AE276" s="3">
        <f t="shared" si="262"/>
        <v>1.5463574309840673E-2</v>
      </c>
      <c r="AF276" s="3">
        <f t="shared" si="262"/>
        <v>1.3947393972688711E-2</v>
      </c>
      <c r="AG276" s="3"/>
      <c r="AH276" s="3"/>
    </row>
    <row r="277" spans="1:34" x14ac:dyDescent="0.25">
      <c r="B277" s="3">
        <f t="shared" ref="B277:AF277" si="263">$C46*EXP(-B$246/$A46/EXP(-$E$126))</f>
        <v>1.5176002473828224E-3</v>
      </c>
      <c r="C277" s="3">
        <f t="shared" si="263"/>
        <v>1.5176002473828224E-3</v>
      </c>
      <c r="D277" s="3">
        <f t="shared" si="263"/>
        <v>1.5176002473828224E-3</v>
      </c>
      <c r="E277" s="3">
        <f t="shared" si="263"/>
        <v>1.5176002473828224E-3</v>
      </c>
      <c r="F277" s="3">
        <f t="shared" si="263"/>
        <v>1.5176002473828224E-3</v>
      </c>
      <c r="G277" s="3">
        <f t="shared" si="263"/>
        <v>1.5176002473828224E-3</v>
      </c>
      <c r="H277" s="3">
        <f t="shared" si="263"/>
        <v>1.5176002473828224E-3</v>
      </c>
      <c r="I277" s="3">
        <f t="shared" si="263"/>
        <v>1.5176002473828224E-3</v>
      </c>
      <c r="J277" s="3">
        <f t="shared" si="263"/>
        <v>1.5176002473828224E-3</v>
      </c>
      <c r="K277" s="3">
        <f t="shared" si="263"/>
        <v>1.5176002473828224E-3</v>
      </c>
      <c r="L277" s="3">
        <f t="shared" si="263"/>
        <v>1.5176002473828224E-3</v>
      </c>
      <c r="M277" s="3">
        <f t="shared" si="263"/>
        <v>1.5176002473828224E-3</v>
      </c>
      <c r="N277" s="3">
        <f t="shared" si="263"/>
        <v>1.5176002473828224E-3</v>
      </c>
      <c r="O277" s="3">
        <f t="shared" si="263"/>
        <v>1.5176002473828224E-3</v>
      </c>
      <c r="P277" s="3">
        <f t="shared" si="263"/>
        <v>1.5176002473828224E-3</v>
      </c>
      <c r="Q277" s="3">
        <f t="shared" si="263"/>
        <v>1.5176002473828224E-3</v>
      </c>
      <c r="R277" s="3">
        <f t="shared" si="263"/>
        <v>1.5176002473828222E-3</v>
      </c>
      <c r="S277" s="3">
        <f t="shared" si="263"/>
        <v>1.5176002473828206E-3</v>
      </c>
      <c r="T277" s="3">
        <f t="shared" si="263"/>
        <v>1.517600247382805E-3</v>
      </c>
      <c r="U277" s="3">
        <f t="shared" si="263"/>
        <v>1.5176002473826482E-3</v>
      </c>
      <c r="V277" s="3">
        <f t="shared" si="263"/>
        <v>1.5176002473810822E-3</v>
      </c>
      <c r="W277" s="3">
        <f t="shared" si="263"/>
        <v>1.5176002473654216E-3</v>
      </c>
      <c r="X277" s="3">
        <f t="shared" si="263"/>
        <v>1.5176002472088133E-3</v>
      </c>
      <c r="Y277" s="3">
        <f t="shared" si="263"/>
        <v>1.517600245642733E-3</v>
      </c>
      <c r="Z277" s="3">
        <f t="shared" si="263"/>
        <v>1.5176002299819278E-3</v>
      </c>
      <c r="AA277" s="3">
        <f t="shared" si="263"/>
        <v>1.5176000733738862E-3</v>
      </c>
      <c r="AB277" s="3">
        <f t="shared" si="263"/>
        <v>1.5175985072943569E-3</v>
      </c>
      <c r="AC277" s="3">
        <f t="shared" si="263"/>
        <v>1.5175828465879512E-3</v>
      </c>
      <c r="AD277" s="3">
        <f t="shared" si="263"/>
        <v>1.5174262484121204E-3</v>
      </c>
      <c r="AE277" s="3">
        <f t="shared" si="263"/>
        <v>1.5158611551370548E-3</v>
      </c>
      <c r="AF277" s="3">
        <f t="shared" si="263"/>
        <v>1.5002987324046436E-3</v>
      </c>
      <c r="AG277" s="3"/>
      <c r="AH277" s="3"/>
    </row>
    <row r="278" spans="1:34" x14ac:dyDescent="0.25">
      <c r="B278" s="3">
        <f t="shared" ref="B278:AF278" si="264">$C47*EXP(-B$246/$A47/EXP(-$E$126))</f>
        <v>3.5883218113444658E-3</v>
      </c>
      <c r="C278" s="3">
        <f t="shared" si="264"/>
        <v>3.5883218113444658E-3</v>
      </c>
      <c r="D278" s="3">
        <f t="shared" si="264"/>
        <v>3.5883218113444658E-3</v>
      </c>
      <c r="E278" s="3">
        <f t="shared" si="264"/>
        <v>3.5883218113444658E-3</v>
      </c>
      <c r="F278" s="3">
        <f t="shared" si="264"/>
        <v>3.5883218113444658E-3</v>
      </c>
      <c r="G278" s="3">
        <f t="shared" si="264"/>
        <v>3.5883218113444658E-3</v>
      </c>
      <c r="H278" s="3">
        <f t="shared" si="264"/>
        <v>3.5883218113444658E-3</v>
      </c>
      <c r="I278" s="3">
        <f t="shared" si="264"/>
        <v>3.5883218113444658E-3</v>
      </c>
      <c r="J278" s="3">
        <f t="shared" si="264"/>
        <v>3.5883218113444658E-3</v>
      </c>
      <c r="K278" s="3">
        <f t="shared" si="264"/>
        <v>3.5883218113444658E-3</v>
      </c>
      <c r="L278" s="3">
        <f t="shared" si="264"/>
        <v>3.5883218113444658E-3</v>
      </c>
      <c r="M278" s="3">
        <f t="shared" si="264"/>
        <v>3.5883218113444658E-3</v>
      </c>
      <c r="N278" s="3">
        <f t="shared" si="264"/>
        <v>3.5883218113444658E-3</v>
      </c>
      <c r="O278" s="3">
        <f t="shared" si="264"/>
        <v>3.5883218113444658E-3</v>
      </c>
      <c r="P278" s="3">
        <f t="shared" si="264"/>
        <v>3.5883218113444658E-3</v>
      </c>
      <c r="Q278" s="3">
        <f t="shared" si="264"/>
        <v>3.5883218113444658E-3</v>
      </c>
      <c r="R278" s="3">
        <f t="shared" si="264"/>
        <v>3.5883218113444658E-3</v>
      </c>
      <c r="S278" s="3">
        <f t="shared" si="264"/>
        <v>3.5883218113444654E-3</v>
      </c>
      <c r="T278" s="3">
        <f t="shared" si="264"/>
        <v>3.5883218113444619E-3</v>
      </c>
      <c r="U278" s="3">
        <f t="shared" si="264"/>
        <v>3.5883218113444246E-3</v>
      </c>
      <c r="V278" s="3">
        <f t="shared" si="264"/>
        <v>3.5883218113440542E-3</v>
      </c>
      <c r="W278" s="3">
        <f t="shared" si="264"/>
        <v>3.5883218113403515E-3</v>
      </c>
      <c r="X278" s="3">
        <f t="shared" si="264"/>
        <v>3.5883218113033221E-3</v>
      </c>
      <c r="Y278" s="3">
        <f t="shared" si="264"/>
        <v>3.5883218109330267E-3</v>
      </c>
      <c r="Z278" s="3">
        <f t="shared" si="264"/>
        <v>3.5883218072300747E-3</v>
      </c>
      <c r="AA278" s="3">
        <f t="shared" si="264"/>
        <v>3.588321770200555E-3</v>
      </c>
      <c r="AB278" s="3">
        <f t="shared" si="264"/>
        <v>3.5883213999053781E-3</v>
      </c>
      <c r="AC278" s="3">
        <f t="shared" si="264"/>
        <v>3.5883176969557094E-3</v>
      </c>
      <c r="AD278" s="3">
        <f t="shared" si="264"/>
        <v>3.5882806676691939E-3</v>
      </c>
      <c r="AE278" s="3">
        <f t="shared" si="264"/>
        <v>3.5879103958199902E-3</v>
      </c>
      <c r="AF278" s="3">
        <f t="shared" si="264"/>
        <v>3.5842097781208352E-3</v>
      </c>
      <c r="AG278" s="3"/>
      <c r="AH278" s="3"/>
    </row>
    <row r="279" spans="1:34" x14ac:dyDescent="0.25">
      <c r="B279" s="3">
        <f t="shared" ref="B279:AF279" si="265">$C48*EXP(-B$246/$A48/EXP(-$E$126))</f>
        <v>1.1419429769572463E-2</v>
      </c>
      <c r="C279" s="3">
        <f t="shared" si="265"/>
        <v>1.1419429769572463E-2</v>
      </c>
      <c r="D279" s="3">
        <f t="shared" si="265"/>
        <v>1.1419429769572463E-2</v>
      </c>
      <c r="E279" s="3">
        <f t="shared" si="265"/>
        <v>1.1419429769572463E-2</v>
      </c>
      <c r="F279" s="3">
        <f t="shared" si="265"/>
        <v>1.1419429769572463E-2</v>
      </c>
      <c r="G279" s="3">
        <f t="shared" si="265"/>
        <v>1.1419429769572463E-2</v>
      </c>
      <c r="H279" s="3">
        <f t="shared" si="265"/>
        <v>1.1419429769572463E-2</v>
      </c>
      <c r="I279" s="3">
        <f t="shared" si="265"/>
        <v>1.1419429769572463E-2</v>
      </c>
      <c r="J279" s="3">
        <f t="shared" si="265"/>
        <v>1.1419429769572463E-2</v>
      </c>
      <c r="K279" s="3">
        <f t="shared" si="265"/>
        <v>1.1419429769572463E-2</v>
      </c>
      <c r="L279" s="3">
        <f t="shared" si="265"/>
        <v>1.1419429769572463E-2</v>
      </c>
      <c r="M279" s="3">
        <f t="shared" si="265"/>
        <v>1.1419429769572463E-2</v>
      </c>
      <c r="N279" s="3">
        <f t="shared" si="265"/>
        <v>1.1419429769572463E-2</v>
      </c>
      <c r="O279" s="3">
        <f t="shared" si="265"/>
        <v>1.1419429769572463E-2</v>
      </c>
      <c r="P279" s="3">
        <f t="shared" si="265"/>
        <v>1.1419429769572463E-2</v>
      </c>
      <c r="Q279" s="3">
        <f t="shared" si="265"/>
        <v>1.1419429769572463E-2</v>
      </c>
      <c r="R279" s="3">
        <f t="shared" si="265"/>
        <v>1.1419429769572463E-2</v>
      </c>
      <c r="S279" s="3">
        <f t="shared" si="265"/>
        <v>1.1419429769572463E-2</v>
      </c>
      <c r="T279" s="3">
        <f t="shared" si="265"/>
        <v>1.1419429769572461E-2</v>
      </c>
      <c r="U279" s="3">
        <f t="shared" si="265"/>
        <v>1.1419429769572451E-2</v>
      </c>
      <c r="V279" s="3">
        <f t="shared" si="265"/>
        <v>1.1419429769572333E-2</v>
      </c>
      <c r="W279" s="3">
        <f t="shared" si="265"/>
        <v>1.1419429769571153E-2</v>
      </c>
      <c r="X279" s="3">
        <f t="shared" si="265"/>
        <v>1.1419429769559369E-2</v>
      </c>
      <c r="Y279" s="3">
        <f t="shared" si="265"/>
        <v>1.1419429769441528E-2</v>
      </c>
      <c r="Z279" s="3">
        <f t="shared" si="265"/>
        <v>1.1419429768263104E-2</v>
      </c>
      <c r="AA279" s="3">
        <f t="shared" si="265"/>
        <v>1.1419429756478878E-2</v>
      </c>
      <c r="AB279" s="3">
        <f t="shared" si="265"/>
        <v>1.1419429638636604E-2</v>
      </c>
      <c r="AC279" s="3">
        <f t="shared" si="265"/>
        <v>1.1419428460213935E-2</v>
      </c>
      <c r="AD279" s="3">
        <f t="shared" si="265"/>
        <v>1.1419416675993927E-2</v>
      </c>
      <c r="AE279" s="3">
        <f t="shared" si="265"/>
        <v>1.1419298834462702E-2</v>
      </c>
      <c r="AF279" s="3">
        <f t="shared" si="265"/>
        <v>1.1418120486031337E-2</v>
      </c>
      <c r="AG279" s="3"/>
      <c r="AH279" s="3"/>
    </row>
    <row r="280" spans="1:34" x14ac:dyDescent="0.25">
      <c r="A280" s="80">
        <f>AVERAGE(B280:AF280)</f>
        <v>7.6986825418484083E-3</v>
      </c>
      <c r="B280" s="81">
        <f>IF($D$61&lt;=B246,IF($E$61&gt;=B246,ABS((B248-B247)/B247),0),0)</f>
        <v>2.1503390820486797E-2</v>
      </c>
      <c r="C280" s="81">
        <f t="shared" ref="C280:AF280" si="266">IF($D$61&lt;=C246,IF($E$61&gt;=C246,ABS((C248-C247)/C247),0),0)</f>
        <v>2.1342358841163981E-2</v>
      </c>
      <c r="D280" s="81">
        <f t="shared" si="266"/>
        <v>1.9732991064752483E-2</v>
      </c>
      <c r="E280" s="81">
        <f t="shared" si="266"/>
        <v>6.5932860812008484E-3</v>
      </c>
      <c r="F280" s="81">
        <f t="shared" si="266"/>
        <v>1.1013582387229551E-2</v>
      </c>
      <c r="G280" s="81">
        <f t="shared" si="266"/>
        <v>8.0374571973177711E-3</v>
      </c>
      <c r="H280" s="81">
        <f t="shared" si="266"/>
        <v>3.0380834131260594E-3</v>
      </c>
      <c r="I280" s="81">
        <f t="shared" si="266"/>
        <v>4.3984928862831488E-3</v>
      </c>
      <c r="J280" s="81">
        <f t="shared" si="266"/>
        <v>4.6613197964437145E-3</v>
      </c>
      <c r="K280" s="81">
        <f t="shared" si="266"/>
        <v>5.2235623911966855E-3</v>
      </c>
      <c r="L280" s="81">
        <f t="shared" si="266"/>
        <v>5.6062068211697527E-3</v>
      </c>
      <c r="M280" s="81">
        <f t="shared" si="266"/>
        <v>5.6461492749701843E-3</v>
      </c>
      <c r="N280" s="81">
        <f t="shared" si="266"/>
        <v>5.7228122146679473E-3</v>
      </c>
      <c r="O280" s="81">
        <f t="shared" si="266"/>
        <v>6.9758843124795725E-3</v>
      </c>
      <c r="P280" s="81">
        <f t="shared" si="266"/>
        <v>8.1774366747601641E-3</v>
      </c>
      <c r="Q280" s="81">
        <f t="shared" si="266"/>
        <v>7.8750746100902328E-3</v>
      </c>
      <c r="R280" s="81">
        <f t="shared" si="266"/>
        <v>4.3631071593339564E-3</v>
      </c>
      <c r="S280" s="81">
        <f t="shared" si="266"/>
        <v>3.0649318124769038E-3</v>
      </c>
      <c r="T280" s="81">
        <f t="shared" si="266"/>
        <v>1.5844544751352326E-2</v>
      </c>
      <c r="U280" s="81">
        <f t="shared" si="266"/>
        <v>2.2788205267995198E-2</v>
      </c>
      <c r="V280" s="81">
        <f t="shared" si="266"/>
        <v>2.1370630549512732E-2</v>
      </c>
      <c r="W280" s="81">
        <f t="shared" si="266"/>
        <v>1.4629129708566987E-2</v>
      </c>
      <c r="X280" s="81">
        <f t="shared" si="266"/>
        <v>9.0829149180908075E-3</v>
      </c>
      <c r="Y280" s="81">
        <f t="shared" si="266"/>
        <v>1.967605842632805E-3</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14545.095128074578</v>
      </c>
      <c r="C281" s="21">
        <f t="shared" ref="C281:AF281" si="267">(C248-C247)^2</f>
        <v>14322.945963358337</v>
      </c>
      <c r="D281" s="21">
        <f t="shared" si="267"/>
        <v>12200.682978611694</v>
      </c>
      <c r="E281" s="21">
        <f t="shared" si="267"/>
        <v>1322.613089497072</v>
      </c>
      <c r="F281" s="21">
        <f t="shared" si="267"/>
        <v>3477.632285595912</v>
      </c>
      <c r="G281" s="21">
        <f t="shared" si="267"/>
        <v>1775.8137781316686</v>
      </c>
      <c r="H281" s="21">
        <f t="shared" si="267"/>
        <v>243.25587929828129</v>
      </c>
      <c r="I281" s="21">
        <f t="shared" si="267"/>
        <v>485.96881938242547</v>
      </c>
      <c r="J281" s="21">
        <f t="shared" si="267"/>
        <v>518.01457456193975</v>
      </c>
      <c r="K281" s="21">
        <f t="shared" si="267"/>
        <v>612.44272376969968</v>
      </c>
      <c r="L281" s="21">
        <f t="shared" si="267"/>
        <v>659.76965911586296</v>
      </c>
      <c r="M281" s="21">
        <f t="shared" si="267"/>
        <v>623.60605964786487</v>
      </c>
      <c r="N281" s="21">
        <f t="shared" si="267"/>
        <v>597.25880656780896</v>
      </c>
      <c r="O281" s="21">
        <f t="shared" si="267"/>
        <v>819.98923859636693</v>
      </c>
      <c r="P281" s="21">
        <f t="shared" si="267"/>
        <v>1019.284954571229</v>
      </c>
      <c r="Q281" s="21">
        <f t="shared" si="267"/>
        <v>844.12630912852489</v>
      </c>
      <c r="R281" s="21">
        <f t="shared" si="267"/>
        <v>232.64842468550665</v>
      </c>
      <c r="S281" s="21">
        <f t="shared" si="267"/>
        <v>102.78858370489246</v>
      </c>
      <c r="T281" s="21">
        <f t="shared" si="267"/>
        <v>2418.4895411681905</v>
      </c>
      <c r="U281" s="21">
        <f t="shared" si="267"/>
        <v>4402.3757303606062</v>
      </c>
      <c r="V281" s="21">
        <f t="shared" si="267"/>
        <v>3401.8223684187533</v>
      </c>
      <c r="W281" s="21">
        <f t="shared" si="267"/>
        <v>1392.4021139157639</v>
      </c>
      <c r="X281" s="21">
        <f t="shared" si="267"/>
        <v>458.7658305205025</v>
      </c>
      <c r="Y281" s="21">
        <f t="shared" si="267"/>
        <v>18.03331053778485</v>
      </c>
      <c r="Z281" s="21">
        <f t="shared" si="267"/>
        <v>8.8014718377924641</v>
      </c>
      <c r="AA281" s="21">
        <f t="shared" si="267"/>
        <v>849.37459104051902</v>
      </c>
      <c r="AB281" s="21">
        <f t="shared" si="267"/>
        <v>740.08493896859625</v>
      </c>
      <c r="AC281" s="21">
        <f t="shared" si="267"/>
        <v>1698.9921879663571</v>
      </c>
      <c r="AD281" s="21">
        <f t="shared" si="267"/>
        <v>922.56578060315985</v>
      </c>
      <c r="AE281" s="21">
        <f t="shared" si="267"/>
        <v>686.40689625124651</v>
      </c>
      <c r="AF281" s="21">
        <f t="shared" si="267"/>
        <v>137.15267611184063</v>
      </c>
      <c r="AG281" s="3"/>
      <c r="AH281" s="3"/>
    </row>
    <row r="282" spans="1:34" s="3" customFormat="1" x14ac:dyDescent="0.25">
      <c r="A282" s="72">
        <f>SUM(B282:AF282)</f>
        <v>66495.826151221248</v>
      </c>
      <c r="B282" s="21">
        <f>IF($D$61&lt;=B246,IF($E$61&gt;=B246,ABS(B281),0),0)</f>
        <v>14545.095128074578</v>
      </c>
      <c r="C282" s="21">
        <f t="shared" ref="C282:AF282" si="268">IF($D$61&lt;=C246,IF($E$61&gt;=C246,ABS(C281),0),0)</f>
        <v>14322.945963358337</v>
      </c>
      <c r="D282" s="21">
        <f t="shared" si="268"/>
        <v>12200.682978611694</v>
      </c>
      <c r="E282" s="21">
        <f t="shared" si="268"/>
        <v>1322.613089497072</v>
      </c>
      <c r="F282" s="21">
        <f t="shared" si="268"/>
        <v>3477.632285595912</v>
      </c>
      <c r="G282" s="21">
        <f t="shared" si="268"/>
        <v>1775.8137781316686</v>
      </c>
      <c r="H282" s="21">
        <f t="shared" si="268"/>
        <v>243.25587929828129</v>
      </c>
      <c r="I282" s="21">
        <f t="shared" si="268"/>
        <v>485.96881938242547</v>
      </c>
      <c r="J282" s="21">
        <f t="shared" si="268"/>
        <v>518.01457456193975</v>
      </c>
      <c r="K282" s="21">
        <f t="shared" si="268"/>
        <v>612.44272376969968</v>
      </c>
      <c r="L282" s="21">
        <f t="shared" si="268"/>
        <v>659.76965911586296</v>
      </c>
      <c r="M282" s="21">
        <f t="shared" si="268"/>
        <v>623.60605964786487</v>
      </c>
      <c r="N282" s="21">
        <f t="shared" si="268"/>
        <v>597.25880656780896</v>
      </c>
      <c r="O282" s="21">
        <f t="shared" si="268"/>
        <v>819.98923859636693</v>
      </c>
      <c r="P282" s="21">
        <f t="shared" si="268"/>
        <v>1019.284954571229</v>
      </c>
      <c r="Q282" s="21">
        <f t="shared" si="268"/>
        <v>844.12630912852489</v>
      </c>
      <c r="R282" s="21">
        <f t="shared" si="268"/>
        <v>232.64842468550665</v>
      </c>
      <c r="S282" s="21">
        <f t="shared" si="268"/>
        <v>102.78858370489246</v>
      </c>
      <c r="T282" s="21">
        <f t="shared" si="268"/>
        <v>2418.4895411681905</v>
      </c>
      <c r="U282" s="21">
        <f t="shared" si="268"/>
        <v>4402.3757303606062</v>
      </c>
      <c r="V282" s="21">
        <f t="shared" si="268"/>
        <v>3401.8223684187533</v>
      </c>
      <c r="W282" s="21">
        <f t="shared" si="268"/>
        <v>1392.4021139157639</v>
      </c>
      <c r="X282" s="21">
        <f t="shared" si="268"/>
        <v>458.7658305205025</v>
      </c>
      <c r="Y282" s="21">
        <f t="shared" si="268"/>
        <v>18.03331053778485</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5541.3343805505365</v>
      </c>
      <c r="C286" s="26">
        <f>INDEX(Comparison!$AM$3:$AS$33,G$14,$F$122)</f>
        <v>5343.1911525840997</v>
      </c>
      <c r="D286" s="26">
        <f>INDEX(Comparison!$AM$3:$AS$33,H$14,$F$122)</f>
        <v>5230.4848257433341</v>
      </c>
      <c r="E286" s="26">
        <f>INDEX(Comparison!$AM$3:$AS$33,I$14,$F$122)</f>
        <v>5120.1446027142574</v>
      </c>
      <c r="F286" s="26">
        <f>INDEX(Comparison!$AM$3:$AS$33,J$14,$F$122)</f>
        <v>4998.3099857085181</v>
      </c>
      <c r="G286" s="26">
        <f>INDEX(Comparison!$AM$3:$AS$33,K$14,$F$122)</f>
        <v>4868.289986185935</v>
      </c>
      <c r="H286" s="26">
        <f>INDEX(Comparison!$AM$3:$AS$33,L$14,$F$122)</f>
        <v>4722.7423685745798</v>
      </c>
      <c r="I286" s="26">
        <f>INDEX(Comparison!$AM$3:$AS$33,M$14,$F$122)</f>
        <v>4566.4647906515956</v>
      </c>
      <c r="J286" s="26">
        <f>INDEX(Comparison!$AM$3:$AS$33,N$14,$F$122)</f>
        <v>4408.434781704007</v>
      </c>
      <c r="K286" s="26">
        <f>INDEX(Comparison!$AM$3:$AS$33,O$14,$F$122)</f>
        <v>4256.2001953133786</v>
      </c>
      <c r="L286" s="26">
        <f>INDEX(Comparison!$AM$3:$AS$33,P$14,$F$122)</f>
        <v>4088.6897076558816</v>
      </c>
      <c r="M286" s="26">
        <f>INDEX(Comparison!$AM$3:$AS$33,Q$14,$F$122)</f>
        <v>3886.5453020717396</v>
      </c>
      <c r="N286" s="26">
        <f>INDEX(Comparison!$AM$3:$AS$33,R$14,$F$122)</f>
        <v>3674.0476464355193</v>
      </c>
      <c r="O286" s="26">
        <f>INDEX(Comparison!$AM$3:$AS$33,S$14,$F$122)</f>
        <v>3490.4964950029853</v>
      </c>
      <c r="P286" s="26">
        <f>INDEX(Comparison!$AM$3:$AS$33,T$14,$F$122)</f>
        <v>3328.6476119407066</v>
      </c>
      <c r="Q286" s="26">
        <f>INDEX(Comparison!$AM$3:$AS$33,U$14,$F$122)</f>
        <v>3162.6549081928265</v>
      </c>
      <c r="R286" s="26">
        <f>INDEX(Comparison!$AM$3:$AS$33,V$14,$F$122)</f>
        <v>2989.0593935666489</v>
      </c>
      <c r="S286" s="26">
        <f>INDEX(Comparison!$AM$3:$AS$33,W$14,$F$122)</f>
        <v>2798.1852090008501</v>
      </c>
      <c r="T286" s="26">
        <f>INDEX(Comparison!$AM$3:$AS$33,X$14,$F$122)</f>
        <v>2599.5030730508342</v>
      </c>
      <c r="U286" s="26">
        <f>INDEX(Comparison!$AM$3:$AS$33,Y$14,$F$122)</f>
        <v>2390.0680354035449</v>
      </c>
      <c r="V286" s="26">
        <f>INDEX(Comparison!$AM$3:$AS$33,Z$14,$F$122)</f>
        <v>2175.40034172183</v>
      </c>
      <c r="W286" s="26">
        <f>INDEX(Comparison!$AM$3:$AS$33,AA$14,$F$122)</f>
        <v>1944.7438917872487</v>
      </c>
      <c r="X286" s="26">
        <f>INDEX(Comparison!$AM$3:$AS$33,AB$14,$F$122)</f>
        <v>1692.3075271682321</v>
      </c>
      <c r="Y286" s="26">
        <f>INDEX(Comparison!$AM$3:$AS$33,AC$14,$F$122)</f>
        <v>1404.857998960405</v>
      </c>
      <c r="Z286" s="26">
        <f>INDEX(Comparison!$AM$3:$AS$33,AD$14,$F$122)</f>
        <v>1091.4425267820036</v>
      </c>
      <c r="AA286" s="26">
        <f>INDEX(Comparison!$AM$3:$AS$33,AE$14,$F$122)</f>
        <v>790.55484106714846</v>
      </c>
      <c r="AB286" s="26">
        <f>INDEX(Comparison!$AM$3:$AS$33,AF$14,$F$122)</f>
        <v>554.44228824478739</v>
      </c>
      <c r="AC286" s="26">
        <f>INDEX(Comparison!$AM$3:$AS$33,AG$14,$F$122)</f>
        <v>402.30286435501444</v>
      </c>
      <c r="AD286" s="26">
        <f>INDEX(Comparison!$AM$3:$AS$33,AH$14,$F$122)</f>
        <v>323.52349101295181</v>
      </c>
      <c r="AE286" s="26">
        <f>INDEX(Comparison!$AM$3:$AS$33,AI$14,$F$122)</f>
        <v>284.35137217816799</v>
      </c>
      <c r="AF286" s="26">
        <f>INDEX(Comparison!$AM$3:$AS$33,AJ$14,$F$122)</f>
        <v>264.92729834801332</v>
      </c>
      <c r="AG286" s="26"/>
      <c r="AH286" s="26"/>
    </row>
    <row r="287" spans="1:34" x14ac:dyDescent="0.25">
      <c r="A287" s="71" t="s">
        <v>22</v>
      </c>
      <c r="B287" s="27">
        <f>($C$17+SUM(B288:B318))*$B$51</f>
        <v>5480.5766580189611</v>
      </c>
      <c r="C287" s="27">
        <f t="shared" ref="C287:AF287" si="269">($C$17+SUM(C288:C318))*$B$51</f>
        <v>5421.7910722471524</v>
      </c>
      <c r="D287" s="27">
        <f t="shared" si="269"/>
        <v>5209.6813300621843</v>
      </c>
      <c r="E287" s="27">
        <f t="shared" si="269"/>
        <v>5123.5474594747766</v>
      </c>
      <c r="F287" s="27">
        <f t="shared" si="269"/>
        <v>4997.842378476088</v>
      </c>
      <c r="G287" s="27">
        <f t="shared" si="269"/>
        <v>4868.3563301802924</v>
      </c>
      <c r="H287" s="27">
        <f t="shared" si="269"/>
        <v>4722.7351972066108</v>
      </c>
      <c r="I287" s="27">
        <f t="shared" si="269"/>
        <v>4566.4896230704289</v>
      </c>
      <c r="J287" s="27">
        <f t="shared" si="269"/>
        <v>4408.3978347771726</v>
      </c>
      <c r="K287" s="27">
        <f t="shared" si="269"/>
        <v>4256.2945231054737</v>
      </c>
      <c r="L287" s="27">
        <f t="shared" si="269"/>
        <v>4088.5531929843555</v>
      </c>
      <c r="M287" s="27">
        <f t="shared" si="269"/>
        <v>3886.7697466546315</v>
      </c>
      <c r="N287" s="27">
        <f t="shared" si="269"/>
        <v>3673.7939402958445</v>
      </c>
      <c r="O287" s="27">
        <f t="shared" si="269"/>
        <v>3490.7806442951342</v>
      </c>
      <c r="P287" s="27">
        <f t="shared" si="269"/>
        <v>3328.4063443056343</v>
      </c>
      <c r="Q287" s="27">
        <f t="shared" si="269"/>
        <v>3162.8517137829599</v>
      </c>
      <c r="R287" s="27">
        <f t="shared" si="269"/>
        <v>2988.9380350132151</v>
      </c>
      <c r="S287" s="27">
        <f t="shared" si="269"/>
        <v>2798.2637423396759</v>
      </c>
      <c r="T287" s="27">
        <f t="shared" si="269"/>
        <v>2599.4762009351416</v>
      </c>
      <c r="U287" s="27">
        <f t="shared" si="269"/>
        <v>2390.0926886363932</v>
      </c>
      <c r="V287" s="27">
        <f t="shared" si="269"/>
        <v>2175.4076222161689</v>
      </c>
      <c r="W287" s="27">
        <f t="shared" si="269"/>
        <v>1944.7456936960282</v>
      </c>
      <c r="X287" s="27">
        <f t="shared" si="269"/>
        <v>1692.3291151322787</v>
      </c>
      <c r="Y287" s="27">
        <f t="shared" si="269"/>
        <v>1404.8646553919029</v>
      </c>
      <c r="Z287" s="27">
        <f t="shared" si="269"/>
        <v>1091.4596916534008</v>
      </c>
      <c r="AA287" s="27">
        <f t="shared" si="269"/>
        <v>790.56614784890189</v>
      </c>
      <c r="AB287" s="27">
        <f t="shared" si="269"/>
        <v>554.45091101686603</v>
      </c>
      <c r="AC287" s="27">
        <f t="shared" si="269"/>
        <v>402.30939154660524</v>
      </c>
      <c r="AD287" s="27">
        <f t="shared" si="269"/>
        <v>323.52417739144022</v>
      </c>
      <c r="AE287" s="27">
        <f t="shared" si="269"/>
        <v>284.35056565952772</v>
      </c>
      <c r="AF287" s="27">
        <f t="shared" si="269"/>
        <v>264.93309294823695</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4.9642021116107493E-2</v>
      </c>
      <c r="C289" s="3">
        <f t="shared" si="271"/>
        <v>3.9421877493374155E-2</v>
      </c>
      <c r="D289" s="3">
        <f t="shared" si="271"/>
        <v>3.9320206891869415E-3</v>
      </c>
      <c r="E289" s="3">
        <f t="shared" si="271"/>
        <v>3.8317811558457969E-13</v>
      </c>
      <c r="F289" s="3">
        <f t="shared" si="271"/>
        <v>2.9597138666801719E-113</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9.6649288570177586E-3</v>
      </c>
      <c r="C290" s="3">
        <f t="shared" si="272"/>
        <v>9.4660264292667669E-3</v>
      </c>
      <c r="D290" s="3">
        <f t="shared" si="272"/>
        <v>7.6887939760491558E-3</v>
      </c>
      <c r="E290" s="3">
        <f t="shared" si="272"/>
        <v>9.610884032056437E-4</v>
      </c>
      <c r="F290" s="3">
        <f t="shared" si="272"/>
        <v>8.9498234161130689E-13</v>
      </c>
      <c r="G290" s="3">
        <f t="shared" si="272"/>
        <v>4.3885976166294934E-103</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2.5360114639259922E-2</v>
      </c>
      <c r="C291" s="3">
        <f t="shared" si="273"/>
        <v>2.5312587726344805E-2</v>
      </c>
      <c r="D291" s="3">
        <f t="shared" si="273"/>
        <v>2.4842189968897709E-2</v>
      </c>
      <c r="E291" s="3">
        <f t="shared" si="273"/>
        <v>2.0593170094941618E-2</v>
      </c>
      <c r="F291" s="3">
        <f t="shared" si="273"/>
        <v>3.1554150188768384E-3</v>
      </c>
      <c r="G291" s="3">
        <f t="shared" si="273"/>
        <v>2.2510715783337459E-11</v>
      </c>
      <c r="H291" s="3">
        <f t="shared" si="273"/>
        <v>7.6863024257523297E-93</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2.3098943811097755E-2</v>
      </c>
      <c r="C292" s="3">
        <f t="shared" si="274"/>
        <v>2.3095035423449345E-2</v>
      </c>
      <c r="D292" s="3">
        <f t="shared" si="274"/>
        <v>2.3055987900395754E-2</v>
      </c>
      <c r="E292" s="3">
        <f t="shared" si="274"/>
        <v>2.2669125354669896E-2</v>
      </c>
      <c r="F292" s="3">
        <f t="shared" si="274"/>
        <v>1.914013729227133E-2</v>
      </c>
      <c r="G292" s="3">
        <f t="shared" si="274"/>
        <v>3.5240973341211989E-3</v>
      </c>
      <c r="H292" s="3">
        <f t="shared" si="274"/>
        <v>1.5778886704828647E-10</v>
      </c>
      <c r="I292" s="3">
        <f t="shared" si="274"/>
        <v>5.1092951002282658E-84</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2.764921596934404E-2</v>
      </c>
      <c r="C293" s="3">
        <f t="shared" si="275"/>
        <v>2.7648793915022899E-2</v>
      </c>
      <c r="D293" s="3">
        <f t="shared" si="275"/>
        <v>2.7644573726132292E-2</v>
      </c>
      <c r="E293" s="3">
        <f t="shared" si="275"/>
        <v>2.7602407249305436E-2</v>
      </c>
      <c r="F293" s="3">
        <f t="shared" si="275"/>
        <v>2.7184263769806049E-2</v>
      </c>
      <c r="G293" s="3">
        <f t="shared" si="275"/>
        <v>2.3335856123854928E-2</v>
      </c>
      <c r="H293" s="3">
        <f t="shared" si="275"/>
        <v>5.0709037610782628E-3</v>
      </c>
      <c r="I293" s="3">
        <f t="shared" si="275"/>
        <v>1.1904239788311548E-9</v>
      </c>
      <c r="J293" s="3">
        <f t="shared" si="275"/>
        <v>6.0515224194733233E-76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2.9567799437800645E-2</v>
      </c>
      <c r="C294" s="3">
        <f t="shared" si="276"/>
        <v>2.9567758722828637E-2</v>
      </c>
      <c r="D294" s="3">
        <f t="shared" si="276"/>
        <v>2.9567351576192093E-2</v>
      </c>
      <c r="E294" s="3">
        <f t="shared" si="276"/>
        <v>2.956328041816535E-2</v>
      </c>
      <c r="F294" s="3">
        <f t="shared" si="276"/>
        <v>2.952259965606473E-2</v>
      </c>
      <c r="G294" s="3">
        <f t="shared" si="276"/>
        <v>2.9118858207806731E-2</v>
      </c>
      <c r="H294" s="3">
        <f t="shared" si="276"/>
        <v>2.5372998018993769E-2</v>
      </c>
      <c r="I294" s="3">
        <f t="shared" si="276"/>
        <v>6.4024504268367635E-3</v>
      </c>
      <c r="J294" s="3">
        <f t="shared" si="276"/>
        <v>6.7002439258256016E-9</v>
      </c>
      <c r="K294" s="3">
        <f t="shared" si="276"/>
        <v>1.0556853770847922E-68</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2.9957814168418282E-2</v>
      </c>
      <c r="C295" s="3">
        <f t="shared" si="277"/>
        <v>2.9957810447140222E-2</v>
      </c>
      <c r="D295" s="3">
        <f t="shared" si="277"/>
        <v>2.9957773234385057E-2</v>
      </c>
      <c r="E295" s="3">
        <f t="shared" si="277"/>
        <v>2.9957401109375732E-2</v>
      </c>
      <c r="F295" s="3">
        <f t="shared" si="277"/>
        <v>2.9953680113505399E-2</v>
      </c>
      <c r="G295" s="3">
        <f t="shared" si="277"/>
        <v>2.9916495565413242E-2</v>
      </c>
      <c r="H295" s="3">
        <f t="shared" si="277"/>
        <v>2.9547179505494788E-2</v>
      </c>
      <c r="I295" s="3">
        <f t="shared" si="277"/>
        <v>2.6095711951122834E-2</v>
      </c>
      <c r="J295" s="3">
        <f t="shared" si="277"/>
        <v>7.5352964515557263E-3</v>
      </c>
      <c r="K295" s="3">
        <f t="shared" si="277"/>
        <v>3.0367726026424195E-8</v>
      </c>
      <c r="L295" s="3">
        <f t="shared" si="277"/>
        <v>3.4318758608534809E-62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2.7071321300715774E-2</v>
      </c>
      <c r="C296" s="3">
        <f t="shared" si="278"/>
        <v>2.7071320997369919E-2</v>
      </c>
      <c r="D296" s="3">
        <f t="shared" si="278"/>
        <v>2.7071317963911531E-2</v>
      </c>
      <c r="E296" s="3">
        <f t="shared" si="278"/>
        <v>2.7071287629346338E-2</v>
      </c>
      <c r="F296" s="3">
        <f t="shared" si="278"/>
        <v>2.7070984285563902E-2</v>
      </c>
      <c r="G296" s="3">
        <f t="shared" si="278"/>
        <v>2.7067951034682632E-2</v>
      </c>
      <c r="H296" s="3">
        <f t="shared" si="278"/>
        <v>2.7037637212428665E-2</v>
      </c>
      <c r="I296" s="3">
        <f t="shared" si="278"/>
        <v>2.673635992146383E-2</v>
      </c>
      <c r="J296" s="3">
        <f t="shared" si="278"/>
        <v>2.3902190569844717E-2</v>
      </c>
      <c r="K296" s="3">
        <f t="shared" si="278"/>
        <v>7.7945664035208896E-3</v>
      </c>
      <c r="L296" s="3">
        <f t="shared" si="278"/>
        <v>1.0600699582866314E-7</v>
      </c>
      <c r="M296" s="3">
        <f t="shared" si="278"/>
        <v>2.294881078310128E-56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3.2010538560906507E-2</v>
      </c>
      <c r="C297" s="3">
        <f t="shared" si="279"/>
        <v>3.2010538528549508E-2</v>
      </c>
      <c r="D297" s="3">
        <f t="shared" si="279"/>
        <v>3.2010538204979559E-2</v>
      </c>
      <c r="E297" s="3">
        <f t="shared" si="279"/>
        <v>3.2010534969280198E-2</v>
      </c>
      <c r="F297" s="3">
        <f t="shared" si="279"/>
        <v>3.2010502612304599E-2</v>
      </c>
      <c r="G297" s="3">
        <f t="shared" si="279"/>
        <v>3.201017904434747E-2</v>
      </c>
      <c r="H297" s="3">
        <f t="shared" si="279"/>
        <v>3.2006943544658328E-2</v>
      </c>
      <c r="I297" s="3">
        <f t="shared" si="279"/>
        <v>3.1974606529254865E-2</v>
      </c>
      <c r="J297" s="3">
        <f t="shared" si="279"/>
        <v>3.165302781699969E-2</v>
      </c>
      <c r="K297" s="3">
        <f t="shared" si="279"/>
        <v>2.86098621234488E-2</v>
      </c>
      <c r="L297" s="3">
        <f t="shared" si="279"/>
        <v>1.0411680180855516E-2</v>
      </c>
      <c r="M297" s="3">
        <f t="shared" si="279"/>
        <v>4.2420068293832228E-7</v>
      </c>
      <c r="N297" s="3">
        <f t="shared" si="279"/>
        <v>5.3465890471445858E-51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4.0907961623001532E-2</v>
      </c>
      <c r="C298" s="3">
        <f t="shared" si="280"/>
        <v>4.0907961619271356E-2</v>
      </c>
      <c r="D298" s="3">
        <f t="shared" si="280"/>
        <v>4.0907961581969569E-2</v>
      </c>
      <c r="E298" s="3">
        <f t="shared" si="280"/>
        <v>4.0907961208951703E-2</v>
      </c>
      <c r="F298" s="3">
        <f t="shared" si="280"/>
        <v>4.0907957478773196E-2</v>
      </c>
      <c r="G298" s="3">
        <f t="shared" si="280"/>
        <v>4.090792017700684E-2</v>
      </c>
      <c r="H298" s="3">
        <f t="shared" si="280"/>
        <v>4.0907547161214058E-2</v>
      </c>
      <c r="I298" s="3">
        <f t="shared" si="280"/>
        <v>4.0903817190353513E-2</v>
      </c>
      <c r="J298" s="3">
        <f t="shared" si="280"/>
        <v>4.0866536182167006E-2</v>
      </c>
      <c r="K298" s="3">
        <f t="shared" si="280"/>
        <v>4.0495589848345344E-2</v>
      </c>
      <c r="L298" s="3">
        <f t="shared" si="280"/>
        <v>3.6966363777590973E-2</v>
      </c>
      <c r="M298" s="3">
        <f t="shared" si="280"/>
        <v>1.4852404590134519E-2</v>
      </c>
      <c r="N298" s="3">
        <f t="shared" si="280"/>
        <v>1.6281602714704604E-6</v>
      </c>
      <c r="O298" s="3">
        <f t="shared" si="280"/>
        <v>4.0803834275689048E-46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4.0610124345974025E-2</v>
      </c>
      <c r="C299" s="3">
        <f t="shared" si="281"/>
        <v>4.0610124345639979E-2</v>
      </c>
      <c r="D299" s="3">
        <f t="shared" si="281"/>
        <v>4.0610124342299547E-2</v>
      </c>
      <c r="E299" s="3">
        <f t="shared" si="281"/>
        <v>4.0610124308895226E-2</v>
      </c>
      <c r="F299" s="3">
        <f t="shared" si="281"/>
        <v>4.0610123974851968E-2</v>
      </c>
      <c r="G299" s="3">
        <f t="shared" si="281"/>
        <v>4.0610120634419565E-2</v>
      </c>
      <c r="H299" s="3">
        <f t="shared" si="281"/>
        <v>4.0610087230110635E-2</v>
      </c>
      <c r="I299" s="3">
        <f t="shared" si="281"/>
        <v>4.0609753188532549E-2</v>
      </c>
      <c r="J299" s="3">
        <f t="shared" si="281"/>
        <v>4.0606412923870704E-2</v>
      </c>
      <c r="K299" s="3">
        <f t="shared" si="281"/>
        <v>4.057302538455515E-2</v>
      </c>
      <c r="L299" s="3">
        <f t="shared" si="281"/>
        <v>4.024065613391218E-2</v>
      </c>
      <c r="M299" s="3">
        <f t="shared" si="281"/>
        <v>3.706309308383416E-2</v>
      </c>
      <c r="N299" s="3">
        <f t="shared" si="281"/>
        <v>1.6281999233544276E-2</v>
      </c>
      <c r="O299" s="3">
        <f t="shared" si="281"/>
        <v>4.3588148931756156E-6</v>
      </c>
      <c r="P299" s="3">
        <f t="shared" si="281"/>
        <v>8.2409141089189368E-42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2.9251160650315178E-2</v>
      </c>
      <c r="C300" s="3">
        <f t="shared" si="282"/>
        <v>2.9251160650293474E-2</v>
      </c>
      <c r="D300" s="3">
        <f t="shared" si="282"/>
        <v>2.9251160650076425E-2</v>
      </c>
      <c r="E300" s="3">
        <f t="shared" si="282"/>
        <v>2.9251160647905936E-2</v>
      </c>
      <c r="F300" s="3">
        <f t="shared" si="282"/>
        <v>2.9251160626201016E-2</v>
      </c>
      <c r="G300" s="3">
        <f t="shared" si="282"/>
        <v>2.9251160409151874E-2</v>
      </c>
      <c r="H300" s="3">
        <f t="shared" si="282"/>
        <v>2.9251158238660493E-2</v>
      </c>
      <c r="I300" s="3">
        <f t="shared" si="282"/>
        <v>2.9251136533755582E-2</v>
      </c>
      <c r="J300" s="3">
        <f t="shared" si="282"/>
        <v>2.9250919485592254E-2</v>
      </c>
      <c r="K300" s="3">
        <f t="shared" si="282"/>
        <v>2.9248749092536309E-2</v>
      </c>
      <c r="L300" s="3">
        <f t="shared" si="282"/>
        <v>2.922705401727688E-2</v>
      </c>
      <c r="M300" s="3">
        <f t="shared" si="282"/>
        <v>2.9010986368307675E-2</v>
      </c>
      <c r="N300" s="3">
        <f t="shared" si="282"/>
        <v>2.6936243078613205E-2</v>
      </c>
      <c r="O300" s="3">
        <f t="shared" si="282"/>
        <v>1.2825736060168963E-2</v>
      </c>
      <c r="P300" s="3">
        <f t="shared" si="282"/>
        <v>7.6830747103429816E-6</v>
      </c>
      <c r="Q300" s="3">
        <f t="shared" si="282"/>
        <v>4.5715411740742855E-38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3.125958293729774E-2</v>
      </c>
      <c r="C301" s="3">
        <f t="shared" si="283"/>
        <v>3.1259582937295652E-2</v>
      </c>
      <c r="D301" s="3">
        <f t="shared" si="283"/>
        <v>3.1259582937274724E-2</v>
      </c>
      <c r="E301" s="3">
        <f t="shared" si="283"/>
        <v>3.1259582937065489E-2</v>
      </c>
      <c r="F301" s="3">
        <f t="shared" si="283"/>
        <v>3.1259582934973086E-2</v>
      </c>
      <c r="G301" s="3">
        <f t="shared" si="283"/>
        <v>3.1259582914049087E-2</v>
      </c>
      <c r="H301" s="3">
        <f t="shared" si="283"/>
        <v>3.1259582704809066E-2</v>
      </c>
      <c r="I301" s="3">
        <f t="shared" si="283"/>
        <v>3.1259580612408959E-2</v>
      </c>
      <c r="J301" s="3">
        <f t="shared" si="283"/>
        <v>3.1259559688415567E-2</v>
      </c>
      <c r="K301" s="3">
        <f t="shared" si="283"/>
        <v>3.1259350449251988E-2</v>
      </c>
      <c r="L301" s="3">
        <f t="shared" si="283"/>
        <v>3.12572581346457E-2</v>
      </c>
      <c r="M301" s="3">
        <f t="shared" si="283"/>
        <v>3.1236342689625135E-2</v>
      </c>
      <c r="N301" s="3">
        <f t="shared" si="283"/>
        <v>3.1027956439787906E-2</v>
      </c>
      <c r="O301" s="3">
        <f t="shared" si="283"/>
        <v>2.9019045005659057E-2</v>
      </c>
      <c r="P301" s="3">
        <f t="shared" si="283"/>
        <v>1.4858759240469052E-2</v>
      </c>
      <c r="Q301" s="3">
        <f t="shared" si="283"/>
        <v>1.8406738538251794E-5</v>
      </c>
      <c r="R301" s="3">
        <f t="shared" si="283"/>
        <v>1.5664618371389287E-34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2.970464544429139E-2</v>
      </c>
      <c r="C302" s="3">
        <f t="shared" si="284"/>
        <v>2.9704645444291213E-2</v>
      </c>
      <c r="D302" s="3">
        <f t="shared" si="284"/>
        <v>2.9704645444289419E-2</v>
      </c>
      <c r="E302" s="3">
        <f t="shared" si="284"/>
        <v>2.9704645444271482E-2</v>
      </c>
      <c r="F302" s="3">
        <f t="shared" si="284"/>
        <v>2.9704645444092119E-2</v>
      </c>
      <c r="G302" s="3">
        <f t="shared" si="284"/>
        <v>2.9704645442298491E-2</v>
      </c>
      <c r="H302" s="3">
        <f t="shared" si="284"/>
        <v>2.9704645424362203E-2</v>
      </c>
      <c r="I302" s="3">
        <f t="shared" si="284"/>
        <v>2.9704645244999335E-2</v>
      </c>
      <c r="J302" s="3">
        <f t="shared" si="284"/>
        <v>2.9704643451370739E-2</v>
      </c>
      <c r="K302" s="3">
        <f t="shared" si="284"/>
        <v>2.9704625515090694E-2</v>
      </c>
      <c r="L302" s="3">
        <f t="shared" si="284"/>
        <v>2.9704446152885922E-2</v>
      </c>
      <c r="M302" s="3">
        <f t="shared" si="284"/>
        <v>2.9702652590403399E-2</v>
      </c>
      <c r="N302" s="3">
        <f t="shared" si="284"/>
        <v>2.9684722920767712E-2</v>
      </c>
      <c r="O302" s="3">
        <f t="shared" si="284"/>
        <v>2.9506020415036013E-2</v>
      </c>
      <c r="P302" s="3">
        <f t="shared" si="284"/>
        <v>2.7777108085299727E-2</v>
      </c>
      <c r="Q302" s="3">
        <f t="shared" si="284"/>
        <v>1.5186263474552899E-2</v>
      </c>
      <c r="R302" s="3">
        <f t="shared" si="284"/>
        <v>3.6231803074803312E-5</v>
      </c>
      <c r="S302" s="3">
        <f t="shared" si="284"/>
        <v>2.1651107451357508E-31</v>
      </c>
      <c r="T302" s="3">
        <f t="shared" si="284"/>
        <v>1.2571346496122014E-293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3.5282603781975494E-2</v>
      </c>
      <c r="C303" s="3">
        <f t="shared" si="285"/>
        <v>3.528260378197548E-2</v>
      </c>
      <c r="D303" s="3">
        <f t="shared" si="285"/>
        <v>3.5282603781975286E-2</v>
      </c>
      <c r="E303" s="3">
        <f t="shared" si="285"/>
        <v>3.5282603781973364E-2</v>
      </c>
      <c r="F303" s="3">
        <f t="shared" si="285"/>
        <v>3.528260378195415E-2</v>
      </c>
      <c r="G303" s="3">
        <f t="shared" si="285"/>
        <v>3.5282603781761963E-2</v>
      </c>
      <c r="H303" s="3">
        <f t="shared" si="285"/>
        <v>3.5282603779840133E-2</v>
      </c>
      <c r="I303" s="3">
        <f t="shared" si="285"/>
        <v>3.5282603760621818E-2</v>
      </c>
      <c r="J303" s="3">
        <f t="shared" si="285"/>
        <v>3.5282603568438632E-2</v>
      </c>
      <c r="K303" s="3">
        <f t="shared" si="285"/>
        <v>3.5282601646606869E-2</v>
      </c>
      <c r="L303" s="3">
        <f t="shared" si="285"/>
        <v>3.5282582428294969E-2</v>
      </c>
      <c r="M303" s="3">
        <f t="shared" si="285"/>
        <v>3.5282390245751742E-2</v>
      </c>
      <c r="N303" s="3">
        <f t="shared" si="285"/>
        <v>3.5280468477893033E-2</v>
      </c>
      <c r="O303" s="3">
        <f t="shared" si="285"/>
        <v>3.526125655550201E-2</v>
      </c>
      <c r="P303" s="3">
        <f t="shared" si="285"/>
        <v>3.5069711792794889E-2</v>
      </c>
      <c r="Q303" s="3">
        <f t="shared" si="285"/>
        <v>3.3210569204577101E-2</v>
      </c>
      <c r="R303" s="3">
        <f t="shared" si="285"/>
        <v>1.9262716925383973E-2</v>
      </c>
      <c r="S303" s="3">
        <f t="shared" si="285"/>
        <v>8.3009878132660219E-5</v>
      </c>
      <c r="T303" s="3">
        <f t="shared" si="285"/>
        <v>1.8333784141641979E-28</v>
      </c>
      <c r="U303" s="3">
        <f t="shared" si="285"/>
        <v>5.0637876880200034E-265</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3.4987985455608057E-2</v>
      </c>
      <c r="C304" s="3">
        <f t="shared" si="286"/>
        <v>3.4987985455608057E-2</v>
      </c>
      <c r="D304" s="3">
        <f t="shared" si="286"/>
        <v>3.4987985455608037E-2</v>
      </c>
      <c r="E304" s="3">
        <f t="shared" si="286"/>
        <v>3.498798545560787E-2</v>
      </c>
      <c r="F304" s="3">
        <f t="shared" si="286"/>
        <v>3.4987985455606149E-2</v>
      </c>
      <c r="G304" s="3">
        <f t="shared" si="286"/>
        <v>3.4987985455588955E-2</v>
      </c>
      <c r="H304" s="3">
        <f t="shared" si="286"/>
        <v>3.4987985455417037E-2</v>
      </c>
      <c r="I304" s="3">
        <f t="shared" si="286"/>
        <v>3.4987985453697863E-2</v>
      </c>
      <c r="J304" s="3">
        <f t="shared" si="286"/>
        <v>3.4987985436506101E-2</v>
      </c>
      <c r="K304" s="3">
        <f t="shared" si="286"/>
        <v>3.4987985264588524E-2</v>
      </c>
      <c r="L304" s="3">
        <f t="shared" si="286"/>
        <v>3.4987983545412805E-2</v>
      </c>
      <c r="M304" s="3">
        <f t="shared" si="286"/>
        <v>3.4987966353660235E-2</v>
      </c>
      <c r="N304" s="3">
        <f t="shared" si="286"/>
        <v>3.4987794436599107E-2</v>
      </c>
      <c r="O304" s="3">
        <f t="shared" si="286"/>
        <v>3.4986075312447421E-2</v>
      </c>
      <c r="P304" s="3">
        <f t="shared" si="286"/>
        <v>3.4968888716046913E-2</v>
      </c>
      <c r="Q304" s="3">
        <f t="shared" si="286"/>
        <v>3.4797486420279689E-2</v>
      </c>
      <c r="R304" s="3">
        <f t="shared" si="286"/>
        <v>3.3128998284348891E-2</v>
      </c>
      <c r="S304" s="3">
        <f t="shared" si="286"/>
        <v>2.02680799188882E-2</v>
      </c>
      <c r="T304" s="3">
        <f t="shared" si="286"/>
        <v>1.4888661116710587E-4</v>
      </c>
      <c r="U304" s="3">
        <f t="shared" si="286"/>
        <v>6.8121784160836128E-26</v>
      </c>
      <c r="V304" s="3">
        <f t="shared" si="286"/>
        <v>2.7389853132502521E-239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4.0020818076897231E-2</v>
      </c>
      <c r="C305" s="3">
        <f t="shared" si="287"/>
        <v>4.0020818076897231E-2</v>
      </c>
      <c r="D305" s="3">
        <f t="shared" si="287"/>
        <v>4.0020818076897231E-2</v>
      </c>
      <c r="E305" s="3">
        <f t="shared" si="287"/>
        <v>4.002081807689721E-2</v>
      </c>
      <c r="F305" s="3">
        <f t="shared" si="287"/>
        <v>4.0020818076897037E-2</v>
      </c>
      <c r="G305" s="3">
        <f t="shared" si="287"/>
        <v>4.0020818076895261E-2</v>
      </c>
      <c r="H305" s="3">
        <f t="shared" si="287"/>
        <v>4.0020818076877518E-2</v>
      </c>
      <c r="I305" s="3">
        <f t="shared" si="287"/>
        <v>4.0020818076700132E-2</v>
      </c>
      <c r="J305" s="3">
        <f t="shared" si="287"/>
        <v>4.0020818074926211E-2</v>
      </c>
      <c r="K305" s="3">
        <f t="shared" si="287"/>
        <v>4.0020818057187019E-2</v>
      </c>
      <c r="L305" s="3">
        <f t="shared" si="287"/>
        <v>4.002081787979507E-2</v>
      </c>
      <c r="M305" s="3">
        <f t="shared" si="287"/>
        <v>4.0020816105875656E-2</v>
      </c>
      <c r="N305" s="3">
        <f t="shared" si="287"/>
        <v>4.0020798366685859E-2</v>
      </c>
      <c r="O305" s="3">
        <f t="shared" si="287"/>
        <v>4.0020620975220349E-2</v>
      </c>
      <c r="P305" s="3">
        <f t="shared" si="287"/>
        <v>4.001884710381029E-2</v>
      </c>
      <c r="Q305" s="3">
        <f t="shared" si="287"/>
        <v>4.0001112713507626E-2</v>
      </c>
      <c r="R305" s="3">
        <f t="shared" si="287"/>
        <v>3.9824200481999514E-2</v>
      </c>
      <c r="S305" s="3">
        <f t="shared" si="287"/>
        <v>3.8097545683285175E-2</v>
      </c>
      <c r="T305" s="3">
        <f t="shared" si="287"/>
        <v>2.4456613915406534E-2</v>
      </c>
      <c r="U305" s="3">
        <f t="shared" si="287"/>
        <v>2.9066291104083822E-4</v>
      </c>
      <c r="V305" s="3">
        <f t="shared" si="287"/>
        <v>1.6342651903884644E-23</v>
      </c>
      <c r="W305" s="3">
        <f t="shared" si="287"/>
        <v>5.1600231090212177E-216</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3.51305921997421E-2</v>
      </c>
      <c r="C306" s="3">
        <f t="shared" si="288"/>
        <v>3.51305921997421E-2</v>
      </c>
      <c r="D306" s="3">
        <f t="shared" si="288"/>
        <v>3.51305921997421E-2</v>
      </c>
      <c r="E306" s="3">
        <f t="shared" si="288"/>
        <v>3.51305921997421E-2</v>
      </c>
      <c r="F306" s="3">
        <f t="shared" si="288"/>
        <v>3.5130592199742086E-2</v>
      </c>
      <c r="G306" s="3">
        <f t="shared" si="288"/>
        <v>3.5130592199741947E-2</v>
      </c>
      <c r="H306" s="3">
        <f t="shared" si="288"/>
        <v>3.5130592199740539E-2</v>
      </c>
      <c r="I306" s="3">
        <f t="shared" si="288"/>
        <v>3.5130592199726494E-2</v>
      </c>
      <c r="J306" s="3">
        <f t="shared" si="288"/>
        <v>3.5130592199586023E-2</v>
      </c>
      <c r="K306" s="3">
        <f t="shared" si="288"/>
        <v>3.5130592198181335E-2</v>
      </c>
      <c r="L306" s="3">
        <f t="shared" si="288"/>
        <v>3.5130592184134453E-2</v>
      </c>
      <c r="M306" s="3">
        <f t="shared" si="288"/>
        <v>3.5130592043665615E-2</v>
      </c>
      <c r="N306" s="3">
        <f t="shared" si="288"/>
        <v>3.5130590638977235E-2</v>
      </c>
      <c r="O306" s="3">
        <f t="shared" si="288"/>
        <v>3.5130576592096611E-2</v>
      </c>
      <c r="P306" s="3">
        <f t="shared" si="288"/>
        <v>3.5130436123599264E-2</v>
      </c>
      <c r="Q306" s="3">
        <f t="shared" si="288"/>
        <v>3.5129031469516597E-2</v>
      </c>
      <c r="R306" s="3">
        <f t="shared" si="288"/>
        <v>3.5114988017319521E-2</v>
      </c>
      <c r="S306" s="3">
        <f t="shared" si="288"/>
        <v>3.4974861901852075E-2</v>
      </c>
      <c r="T306" s="3">
        <f t="shared" si="288"/>
        <v>3.3603989968580057E-2</v>
      </c>
      <c r="U306" s="3">
        <f t="shared" si="288"/>
        <v>2.2528860546098522E-2</v>
      </c>
      <c r="V306" s="3">
        <f t="shared" si="288"/>
        <v>4.1325967540044387E-4</v>
      </c>
      <c r="W306" s="3">
        <f t="shared" si="288"/>
        <v>1.7826294014903594E-21</v>
      </c>
      <c r="X306" s="3">
        <f t="shared" si="288"/>
        <v>3.9759545835118719E-195</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5.1976552303921161E-2</v>
      </c>
      <c r="C307" s="3">
        <f t="shared" si="289"/>
        <v>5.1976552303921161E-2</v>
      </c>
      <c r="D307" s="3">
        <f t="shared" si="289"/>
        <v>5.1976552303921161E-2</v>
      </c>
      <c r="E307" s="3">
        <f t="shared" si="289"/>
        <v>5.1976552303921161E-2</v>
      </c>
      <c r="F307" s="3">
        <f t="shared" si="289"/>
        <v>5.1976552303921161E-2</v>
      </c>
      <c r="G307" s="3">
        <f t="shared" si="289"/>
        <v>5.1976552303921141E-2</v>
      </c>
      <c r="H307" s="3">
        <f t="shared" si="289"/>
        <v>5.1976552303920953E-2</v>
      </c>
      <c r="I307" s="3">
        <f t="shared" si="289"/>
        <v>5.197655230391908E-2</v>
      </c>
      <c r="J307" s="3">
        <f t="shared" si="289"/>
        <v>5.1976552303900331E-2</v>
      </c>
      <c r="K307" s="3">
        <f t="shared" si="289"/>
        <v>5.1976552303712856E-2</v>
      </c>
      <c r="L307" s="3">
        <f t="shared" si="289"/>
        <v>5.1976552301838085E-2</v>
      </c>
      <c r="M307" s="3">
        <f t="shared" si="289"/>
        <v>5.1976552283090352E-2</v>
      </c>
      <c r="N307" s="3">
        <f t="shared" si="289"/>
        <v>5.1976552095613103E-2</v>
      </c>
      <c r="O307" s="3">
        <f t="shared" si="289"/>
        <v>5.1976550220840585E-2</v>
      </c>
      <c r="P307" s="3">
        <f t="shared" si="289"/>
        <v>5.1976531473119203E-2</v>
      </c>
      <c r="Q307" s="3">
        <f t="shared" si="289"/>
        <v>5.1976343996277229E-2</v>
      </c>
      <c r="R307" s="3">
        <f t="shared" si="289"/>
        <v>5.1974469265049165E-2</v>
      </c>
      <c r="S307" s="3">
        <f t="shared" si="289"/>
        <v>5.1955725671441619E-2</v>
      </c>
      <c r="T307" s="3">
        <f t="shared" si="289"/>
        <v>5.1768661106864629E-2</v>
      </c>
      <c r="U307" s="3">
        <f t="shared" si="289"/>
        <v>4.9934661733464024E-2</v>
      </c>
      <c r="V307" s="3">
        <f t="shared" si="289"/>
        <v>3.48139983888597E-2</v>
      </c>
      <c r="W307" s="3">
        <f t="shared" si="289"/>
        <v>9.4465196306432102E-4</v>
      </c>
      <c r="X307" s="3">
        <f t="shared" si="289"/>
        <v>2.0438597759428988E-19</v>
      </c>
      <c r="Y307" s="3">
        <f t="shared" si="289"/>
        <v>4.5945581128458122E-176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2.3181635308382595E-6</v>
      </c>
      <c r="C308" s="3">
        <f t="shared" si="290"/>
        <v>2.3181635308382595E-6</v>
      </c>
      <c r="D308" s="3">
        <f t="shared" si="290"/>
        <v>2.3181635308382595E-6</v>
      </c>
      <c r="E308" s="3">
        <f t="shared" si="290"/>
        <v>2.3181635308382595E-6</v>
      </c>
      <c r="F308" s="3">
        <f t="shared" si="290"/>
        <v>2.3181635308382595E-6</v>
      </c>
      <c r="G308" s="3">
        <f t="shared" si="290"/>
        <v>2.3181635308382595E-6</v>
      </c>
      <c r="H308" s="3">
        <f t="shared" si="290"/>
        <v>2.3181635308382587E-6</v>
      </c>
      <c r="I308" s="3">
        <f t="shared" si="290"/>
        <v>2.3181635308382511E-6</v>
      </c>
      <c r="J308" s="3">
        <f t="shared" si="290"/>
        <v>2.3181635308381757E-6</v>
      </c>
      <c r="K308" s="3">
        <f t="shared" si="290"/>
        <v>2.3181635308374214E-6</v>
      </c>
      <c r="L308" s="3">
        <f t="shared" si="290"/>
        <v>2.3181635308298786E-6</v>
      </c>
      <c r="M308" s="3">
        <f t="shared" si="290"/>
        <v>2.3181635307544507E-6</v>
      </c>
      <c r="N308" s="3">
        <f t="shared" si="290"/>
        <v>2.3181635300001721E-6</v>
      </c>
      <c r="O308" s="3">
        <f t="shared" si="290"/>
        <v>2.3181635224573865E-6</v>
      </c>
      <c r="P308" s="3">
        <f t="shared" si="290"/>
        <v>2.3181634470295294E-6</v>
      </c>
      <c r="Q308" s="3">
        <f t="shared" si="290"/>
        <v>2.3181626927510936E-6</v>
      </c>
      <c r="R308" s="3">
        <f t="shared" si="290"/>
        <v>2.3181551499802335E-6</v>
      </c>
      <c r="S308" s="3">
        <f t="shared" si="290"/>
        <v>2.3180797236214542E-6</v>
      </c>
      <c r="T308" s="3">
        <f t="shared" si="290"/>
        <v>2.3173255949995744E-6</v>
      </c>
      <c r="U308" s="3">
        <f t="shared" si="290"/>
        <v>2.3097977891372945E-6</v>
      </c>
      <c r="V308" s="3">
        <f t="shared" si="290"/>
        <v>2.2358516774808098E-6</v>
      </c>
      <c r="W308" s="3">
        <f t="shared" si="290"/>
        <v>1.6148540421259736E-6</v>
      </c>
      <c r="X308" s="3">
        <f t="shared" si="290"/>
        <v>6.2378672174045875E-8</v>
      </c>
      <c r="Y308" s="3">
        <f t="shared" si="290"/>
        <v>4.6138623707023508E-22</v>
      </c>
      <c r="Z308" s="3">
        <f t="shared" si="290"/>
        <v>2.2612560012926851E-163</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7.5767559561282297E-2</v>
      </c>
      <c r="C309" s="3">
        <f t="shared" si="291"/>
        <v>7.5767559561282297E-2</v>
      </c>
      <c r="D309" s="3">
        <f t="shared" si="291"/>
        <v>7.5767559561282297E-2</v>
      </c>
      <c r="E309" s="3">
        <f t="shared" si="291"/>
        <v>7.5767559561282297E-2</v>
      </c>
      <c r="F309" s="3">
        <f t="shared" si="291"/>
        <v>7.5767559561282297E-2</v>
      </c>
      <c r="G309" s="3">
        <f t="shared" si="291"/>
        <v>7.5767559561282297E-2</v>
      </c>
      <c r="H309" s="3">
        <f t="shared" si="291"/>
        <v>7.5767559561282283E-2</v>
      </c>
      <c r="I309" s="3">
        <f t="shared" si="291"/>
        <v>7.5767559561282227E-2</v>
      </c>
      <c r="J309" s="3">
        <f t="shared" si="291"/>
        <v>7.5767559561281533E-2</v>
      </c>
      <c r="K309" s="3">
        <f t="shared" si="291"/>
        <v>7.5767559561274719E-2</v>
      </c>
      <c r="L309" s="3">
        <f t="shared" si="291"/>
        <v>7.5767559561206538E-2</v>
      </c>
      <c r="M309" s="3">
        <f t="shared" si="291"/>
        <v>7.5767559560524694E-2</v>
      </c>
      <c r="N309" s="3">
        <f t="shared" si="291"/>
        <v>7.5767559553706273E-2</v>
      </c>
      <c r="O309" s="3">
        <f t="shared" si="291"/>
        <v>7.5767559485522051E-2</v>
      </c>
      <c r="P309" s="3">
        <f t="shared" si="291"/>
        <v>7.5767558803679871E-2</v>
      </c>
      <c r="Q309" s="3">
        <f t="shared" si="291"/>
        <v>7.576755198525835E-2</v>
      </c>
      <c r="R309" s="3">
        <f t="shared" si="291"/>
        <v>7.5767483801076951E-2</v>
      </c>
      <c r="S309" s="3">
        <f t="shared" si="291"/>
        <v>7.57668019626377E-2</v>
      </c>
      <c r="T309" s="3">
        <f t="shared" si="291"/>
        <v>7.5759983915712037E-2</v>
      </c>
      <c r="U309" s="3">
        <f t="shared" si="291"/>
        <v>7.56918371819022E-2</v>
      </c>
      <c r="V309" s="3">
        <f t="shared" si="291"/>
        <v>7.5013732182659984E-2</v>
      </c>
      <c r="W309" s="3">
        <f t="shared" si="291"/>
        <v>6.8557984977197742E-2</v>
      </c>
      <c r="X309" s="3">
        <f t="shared" si="291"/>
        <v>2.7876019130807488E-2</v>
      </c>
      <c r="Y309" s="3">
        <f t="shared" si="291"/>
        <v>3.4431650991431296E-6</v>
      </c>
      <c r="Z309" s="3">
        <f t="shared" si="291"/>
        <v>2.8459599492902242E-45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3.067875950056604E-2</v>
      </c>
      <c r="C310" s="3">
        <f t="shared" si="292"/>
        <v>3.067875950056604E-2</v>
      </c>
      <c r="D310" s="3">
        <f t="shared" si="292"/>
        <v>3.067875950056604E-2</v>
      </c>
      <c r="E310" s="3">
        <f t="shared" si="292"/>
        <v>3.067875950056604E-2</v>
      </c>
      <c r="F310" s="3">
        <f t="shared" si="292"/>
        <v>3.067875950056604E-2</v>
      </c>
      <c r="G310" s="3">
        <f t="shared" si="292"/>
        <v>3.067875950056604E-2</v>
      </c>
      <c r="H310" s="3">
        <f t="shared" si="292"/>
        <v>3.067875950056604E-2</v>
      </c>
      <c r="I310" s="3">
        <f t="shared" si="292"/>
        <v>3.0678759500566036E-2</v>
      </c>
      <c r="J310" s="3">
        <f t="shared" si="292"/>
        <v>3.0678759500566009E-2</v>
      </c>
      <c r="K310" s="3">
        <f t="shared" si="292"/>
        <v>3.0678759500565735E-2</v>
      </c>
      <c r="L310" s="3">
        <f t="shared" si="292"/>
        <v>3.0678759500562969E-2</v>
      </c>
      <c r="M310" s="3">
        <f t="shared" si="292"/>
        <v>3.0678759500535367E-2</v>
      </c>
      <c r="N310" s="3">
        <f t="shared" si="292"/>
        <v>3.0678759500259282E-2</v>
      </c>
      <c r="O310" s="3">
        <f t="shared" si="292"/>
        <v>3.0678759497498459E-2</v>
      </c>
      <c r="P310" s="3">
        <f t="shared" si="292"/>
        <v>3.0678759469890245E-2</v>
      </c>
      <c r="Q310" s="3">
        <f t="shared" si="292"/>
        <v>3.0678759193808074E-2</v>
      </c>
      <c r="R310" s="3">
        <f t="shared" si="292"/>
        <v>3.0678756432986488E-2</v>
      </c>
      <c r="S310" s="3">
        <f t="shared" si="292"/>
        <v>3.0678728824784309E-2</v>
      </c>
      <c r="T310" s="3">
        <f t="shared" si="292"/>
        <v>3.0678452744128986E-2</v>
      </c>
      <c r="U310" s="3">
        <f t="shared" si="292"/>
        <v>3.0675692074218178E-2</v>
      </c>
      <c r="V310" s="3">
        <f t="shared" si="292"/>
        <v>3.0648099034803863E-2</v>
      </c>
      <c r="W310" s="3">
        <f t="shared" si="292"/>
        <v>3.0373530072726401E-2</v>
      </c>
      <c r="X310" s="3">
        <f t="shared" si="292"/>
        <v>2.7759557588201051E-2</v>
      </c>
      <c r="Y310" s="3">
        <f t="shared" si="292"/>
        <v>1.1287174771090746E-2</v>
      </c>
      <c r="Z310" s="3">
        <f t="shared" si="292"/>
        <v>1.3941591178203044E-6</v>
      </c>
      <c r="AA310" s="3">
        <f t="shared" si="292"/>
        <v>1.1523470115452173E-45</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7.5768782257570458E-2</v>
      </c>
      <c r="C311" s="3">
        <f t="shared" si="293"/>
        <v>7.5768782257570458E-2</v>
      </c>
      <c r="D311" s="3">
        <f t="shared" si="293"/>
        <v>7.5768782257570458E-2</v>
      </c>
      <c r="E311" s="3">
        <f t="shared" si="293"/>
        <v>7.5768782257570458E-2</v>
      </c>
      <c r="F311" s="3">
        <f t="shared" si="293"/>
        <v>7.5768782257570458E-2</v>
      </c>
      <c r="G311" s="3">
        <f t="shared" si="293"/>
        <v>7.5768782257570458E-2</v>
      </c>
      <c r="H311" s="3">
        <f t="shared" si="293"/>
        <v>7.5768782257570458E-2</v>
      </c>
      <c r="I311" s="3">
        <f t="shared" si="293"/>
        <v>7.5768782257570458E-2</v>
      </c>
      <c r="J311" s="3">
        <f t="shared" si="293"/>
        <v>7.5768782257570444E-2</v>
      </c>
      <c r="K311" s="3">
        <f t="shared" si="293"/>
        <v>7.5768782257570388E-2</v>
      </c>
      <c r="L311" s="3">
        <f t="shared" si="293"/>
        <v>7.5768782257569695E-2</v>
      </c>
      <c r="M311" s="3">
        <f t="shared" si="293"/>
        <v>7.5768782257562881E-2</v>
      </c>
      <c r="N311" s="3">
        <f t="shared" si="293"/>
        <v>7.5768782257494699E-2</v>
      </c>
      <c r="O311" s="3">
        <f t="shared" si="293"/>
        <v>7.5768782256812842E-2</v>
      </c>
      <c r="P311" s="3">
        <f t="shared" si="293"/>
        <v>7.576878224999431E-2</v>
      </c>
      <c r="Q311" s="3">
        <f t="shared" si="293"/>
        <v>7.5768782181808991E-2</v>
      </c>
      <c r="R311" s="3">
        <f t="shared" si="293"/>
        <v>7.5768781499955806E-2</v>
      </c>
      <c r="S311" s="3">
        <f t="shared" si="293"/>
        <v>7.5768774681424261E-2</v>
      </c>
      <c r="T311" s="3">
        <f t="shared" si="293"/>
        <v>7.5768706496142535E-2</v>
      </c>
      <c r="U311" s="3">
        <f t="shared" si="293"/>
        <v>7.5768024646700141E-2</v>
      </c>
      <c r="V311" s="3">
        <f t="shared" si="293"/>
        <v>7.5761206489748489E-2</v>
      </c>
      <c r="W311" s="3">
        <f t="shared" si="293"/>
        <v>7.5693058656223167E-2</v>
      </c>
      <c r="X311" s="3">
        <f t="shared" si="293"/>
        <v>7.5014942714085736E-2</v>
      </c>
      <c r="Y311" s="3">
        <f t="shared" si="293"/>
        <v>6.8559091329233379E-2</v>
      </c>
      <c r="Z311" s="3">
        <f t="shared" si="293"/>
        <v>2.7876468979071273E-2</v>
      </c>
      <c r="AA311" s="3">
        <f t="shared" si="293"/>
        <v>3.4432206630970251E-6</v>
      </c>
      <c r="AB311" s="3">
        <f t="shared" si="293"/>
        <v>2.8460058758673288E-45</v>
      </c>
      <c r="AC311" s="3">
        <f t="shared" si="293"/>
        <v>0</v>
      </c>
      <c r="AD311" s="3">
        <f t="shared" si="293"/>
        <v>0</v>
      </c>
      <c r="AE311" s="3">
        <f t="shared" si="293"/>
        <v>0</v>
      </c>
      <c r="AF311" s="3">
        <f t="shared" si="293"/>
        <v>0</v>
      </c>
      <c r="AG311" s="3"/>
      <c r="AH311" s="3"/>
    </row>
    <row r="312" spans="1:34" x14ac:dyDescent="0.25">
      <c r="B312" s="3">
        <f t="shared" ref="B312:AF312" si="294">$C42*EXP(-B$285/$A42/EXP(-$F$126))</f>
        <v>3.996144450245992E-2</v>
      </c>
      <c r="C312" s="3">
        <f t="shared" si="294"/>
        <v>3.996144450245992E-2</v>
      </c>
      <c r="D312" s="3">
        <f t="shared" si="294"/>
        <v>3.996144450245992E-2</v>
      </c>
      <c r="E312" s="3">
        <f t="shared" si="294"/>
        <v>3.996144450245992E-2</v>
      </c>
      <c r="F312" s="3">
        <f t="shared" si="294"/>
        <v>3.996144450245992E-2</v>
      </c>
      <c r="G312" s="3">
        <f t="shared" si="294"/>
        <v>3.996144450245992E-2</v>
      </c>
      <c r="H312" s="3">
        <f t="shared" si="294"/>
        <v>3.996144450245992E-2</v>
      </c>
      <c r="I312" s="3">
        <f t="shared" si="294"/>
        <v>3.996144450245992E-2</v>
      </c>
      <c r="J312" s="3">
        <f t="shared" si="294"/>
        <v>3.996144450245992E-2</v>
      </c>
      <c r="K312" s="3">
        <f t="shared" si="294"/>
        <v>3.9961444502459913E-2</v>
      </c>
      <c r="L312" s="3">
        <f t="shared" si="294"/>
        <v>3.9961444502459878E-2</v>
      </c>
      <c r="M312" s="3">
        <f t="shared" si="294"/>
        <v>3.9961444502459517E-2</v>
      </c>
      <c r="N312" s="3">
        <f t="shared" si="294"/>
        <v>3.9961444502455923E-2</v>
      </c>
      <c r="O312" s="3">
        <f t="shared" si="294"/>
        <v>3.9961444502419965E-2</v>
      </c>
      <c r="P312" s="3">
        <f t="shared" si="294"/>
        <v>3.9961444502060343E-2</v>
      </c>
      <c r="Q312" s="3">
        <f t="shared" si="294"/>
        <v>3.9961444498464158E-2</v>
      </c>
      <c r="R312" s="3">
        <f t="shared" si="294"/>
        <v>3.9961444462502334E-2</v>
      </c>
      <c r="S312" s="3">
        <f t="shared" si="294"/>
        <v>3.9961444102884068E-2</v>
      </c>
      <c r="T312" s="3">
        <f t="shared" si="294"/>
        <v>3.996144050670155E-2</v>
      </c>
      <c r="U312" s="3">
        <f t="shared" si="294"/>
        <v>3.9961404544894191E-2</v>
      </c>
      <c r="V312" s="3">
        <f t="shared" si="294"/>
        <v>3.9961044928600524E-2</v>
      </c>
      <c r="W312" s="3">
        <f t="shared" si="294"/>
        <v>3.9957448943651122E-2</v>
      </c>
      <c r="X312" s="3">
        <f t="shared" si="294"/>
        <v>3.9921506886959127E-2</v>
      </c>
      <c r="Y312" s="3">
        <f t="shared" si="294"/>
        <v>3.956385969004577E-2</v>
      </c>
      <c r="Z312" s="3">
        <f t="shared" si="294"/>
        <v>3.6158959424460076E-2</v>
      </c>
      <c r="AA312" s="3">
        <f t="shared" si="294"/>
        <v>1.4702413511738843E-2</v>
      </c>
      <c r="AB312" s="3">
        <f t="shared" si="294"/>
        <v>1.8159995098024302E-6</v>
      </c>
      <c r="AC312" s="3">
        <f t="shared" si="294"/>
        <v>1.5010206377017982E-45</v>
      </c>
      <c r="AD312" s="3">
        <f t="shared" si="294"/>
        <v>0</v>
      </c>
      <c r="AE312" s="3">
        <f t="shared" si="294"/>
        <v>0</v>
      </c>
      <c r="AF312" s="3">
        <f t="shared" si="294"/>
        <v>0</v>
      </c>
      <c r="AG312" s="3"/>
      <c r="AH312" s="3"/>
    </row>
    <row r="313" spans="1:34" x14ac:dyDescent="0.25">
      <c r="B313" s="3">
        <f t="shared" ref="B313:AF313" si="295">$C43*EXP(-B$285/$A43/EXP(-$F$126))</f>
        <v>4.8323610204746917E-2</v>
      </c>
      <c r="C313" s="3">
        <f t="shared" si="295"/>
        <v>4.8323610204746917E-2</v>
      </c>
      <c r="D313" s="3">
        <f t="shared" si="295"/>
        <v>4.8323610204746917E-2</v>
      </c>
      <c r="E313" s="3">
        <f t="shared" si="295"/>
        <v>4.8323610204746917E-2</v>
      </c>
      <c r="F313" s="3">
        <f t="shared" si="295"/>
        <v>4.8323610204746917E-2</v>
      </c>
      <c r="G313" s="3">
        <f t="shared" si="295"/>
        <v>4.8323610204746917E-2</v>
      </c>
      <c r="H313" s="3">
        <f t="shared" si="295"/>
        <v>4.8323610204746917E-2</v>
      </c>
      <c r="I313" s="3">
        <f t="shared" si="295"/>
        <v>4.8323610204746917E-2</v>
      </c>
      <c r="J313" s="3">
        <f t="shared" si="295"/>
        <v>4.8323610204746917E-2</v>
      </c>
      <c r="K313" s="3">
        <f t="shared" si="295"/>
        <v>4.8323610204746917E-2</v>
      </c>
      <c r="L313" s="3">
        <f t="shared" si="295"/>
        <v>4.832361020474691E-2</v>
      </c>
      <c r="M313" s="3">
        <f t="shared" si="295"/>
        <v>4.8323610204746868E-2</v>
      </c>
      <c r="N313" s="3">
        <f t="shared" si="295"/>
        <v>4.8323610204746431E-2</v>
      </c>
      <c r="O313" s="3">
        <f t="shared" si="295"/>
        <v>4.832361020474208E-2</v>
      </c>
      <c r="P313" s="3">
        <f t="shared" si="295"/>
        <v>4.8323610204698601E-2</v>
      </c>
      <c r="Q313" s="3">
        <f t="shared" si="295"/>
        <v>4.8323610204263727E-2</v>
      </c>
      <c r="R313" s="3">
        <f t="shared" si="295"/>
        <v>4.8323610199915025E-2</v>
      </c>
      <c r="S313" s="3">
        <f t="shared" si="295"/>
        <v>4.8323610156427978E-2</v>
      </c>
      <c r="T313" s="3">
        <f t="shared" si="295"/>
        <v>4.8323609721557484E-2</v>
      </c>
      <c r="U313" s="3">
        <f t="shared" si="295"/>
        <v>4.8323605372852768E-2</v>
      </c>
      <c r="V313" s="3">
        <f t="shared" si="295"/>
        <v>4.8323561885827142E-2</v>
      </c>
      <c r="W313" s="3">
        <f t="shared" si="295"/>
        <v>4.8323127017723275E-2</v>
      </c>
      <c r="X313" s="3">
        <f t="shared" si="295"/>
        <v>4.8318778551916783E-2</v>
      </c>
      <c r="Y313" s="3">
        <f t="shared" si="295"/>
        <v>4.827531540990164E-2</v>
      </c>
      <c r="Z313" s="3">
        <f t="shared" si="295"/>
        <v>4.784282844779001E-2</v>
      </c>
      <c r="AA313" s="3">
        <f t="shared" si="295"/>
        <v>4.372543291144812E-2</v>
      </c>
      <c r="AB313" s="3">
        <f t="shared" si="295"/>
        <v>1.7778979425194134E-2</v>
      </c>
      <c r="AC313" s="3">
        <f t="shared" si="295"/>
        <v>2.1960080156337219E-6</v>
      </c>
      <c r="AD313" s="3">
        <f t="shared" si="295"/>
        <v>1.8151179745546311E-45</v>
      </c>
      <c r="AE313" s="3">
        <f t="shared" si="295"/>
        <v>0</v>
      </c>
      <c r="AF313" s="3">
        <f t="shared" si="295"/>
        <v>0</v>
      </c>
      <c r="AG313" s="3"/>
      <c r="AH313" s="3"/>
    </row>
    <row r="314" spans="1:34" x14ac:dyDescent="0.25">
      <c r="B314" s="3">
        <f t="shared" ref="B314:AF314" si="296">$C44*EXP(-B$285/$A44/EXP(-$F$126))</f>
        <v>1.4844365312015322E-2</v>
      </c>
      <c r="C314" s="3">
        <f t="shared" si="296"/>
        <v>1.4844365312015322E-2</v>
      </c>
      <c r="D314" s="3">
        <f t="shared" si="296"/>
        <v>1.4844365312015322E-2</v>
      </c>
      <c r="E314" s="3">
        <f t="shared" si="296"/>
        <v>1.4844365312015322E-2</v>
      </c>
      <c r="F314" s="3">
        <f t="shared" si="296"/>
        <v>1.4844365312015322E-2</v>
      </c>
      <c r="G314" s="3">
        <f t="shared" si="296"/>
        <v>1.4844365312015322E-2</v>
      </c>
      <c r="H314" s="3">
        <f t="shared" si="296"/>
        <v>1.4844365312015322E-2</v>
      </c>
      <c r="I314" s="3">
        <f t="shared" si="296"/>
        <v>1.4844365312015322E-2</v>
      </c>
      <c r="J314" s="3">
        <f t="shared" si="296"/>
        <v>1.4844365312015322E-2</v>
      </c>
      <c r="K314" s="3">
        <f t="shared" si="296"/>
        <v>1.4844365312015322E-2</v>
      </c>
      <c r="L314" s="3">
        <f t="shared" si="296"/>
        <v>1.4844365312015322E-2</v>
      </c>
      <c r="M314" s="3">
        <f t="shared" si="296"/>
        <v>1.484436531201532E-2</v>
      </c>
      <c r="N314" s="3">
        <f t="shared" si="296"/>
        <v>1.4844365312015306E-2</v>
      </c>
      <c r="O314" s="3">
        <f t="shared" si="296"/>
        <v>1.4844365312015172E-2</v>
      </c>
      <c r="P314" s="3">
        <f t="shared" si="296"/>
        <v>1.4844365312013837E-2</v>
      </c>
      <c r="Q314" s="3">
        <f t="shared" si="296"/>
        <v>1.4844365312000479E-2</v>
      </c>
      <c r="R314" s="3">
        <f t="shared" si="296"/>
        <v>1.4844365311866893E-2</v>
      </c>
      <c r="S314" s="3">
        <f t="shared" si="296"/>
        <v>1.4844365310531028E-2</v>
      </c>
      <c r="T314" s="3">
        <f t="shared" si="296"/>
        <v>1.4844365297172391E-2</v>
      </c>
      <c r="U314" s="3">
        <f t="shared" si="296"/>
        <v>1.4844365163586004E-2</v>
      </c>
      <c r="V314" s="3">
        <f t="shared" si="296"/>
        <v>1.4844363827722206E-2</v>
      </c>
      <c r="W314" s="3">
        <f t="shared" si="296"/>
        <v>1.4844350469090847E-2</v>
      </c>
      <c r="X314" s="3">
        <f t="shared" si="296"/>
        <v>1.484421688343843E-2</v>
      </c>
      <c r="Y314" s="3">
        <f t="shared" si="296"/>
        <v>1.48428810930307E-2</v>
      </c>
      <c r="Z314" s="3">
        <f t="shared" si="296"/>
        <v>1.4829529798395486E-2</v>
      </c>
      <c r="AA314" s="3">
        <f t="shared" si="296"/>
        <v>1.4696675600808276E-2</v>
      </c>
      <c r="AB314" s="3">
        <f t="shared" si="296"/>
        <v>1.3431866882739519E-2</v>
      </c>
      <c r="AC314" s="3">
        <f t="shared" si="296"/>
        <v>5.4614641651186228E-3</v>
      </c>
      <c r="AD314" s="3">
        <f t="shared" si="296"/>
        <v>6.7458422651084591E-7</v>
      </c>
      <c r="AE314" s="3">
        <f t="shared" si="296"/>
        <v>5.5757991144559575E-46</v>
      </c>
      <c r="AF314" s="3">
        <f t="shared" si="296"/>
        <v>0</v>
      </c>
      <c r="AG314" s="3"/>
      <c r="AH314" s="3"/>
    </row>
    <row r="315" spans="1:34" x14ac:dyDescent="0.25">
      <c r="B315" s="3">
        <f t="shared" ref="B315:AF315" si="297">$C45*EXP(-B$285/$A45/EXP(-$F$126))</f>
        <v>1.5641900970231219E-2</v>
      </c>
      <c r="C315" s="3">
        <f t="shared" si="297"/>
        <v>1.5641900970231219E-2</v>
      </c>
      <c r="D315" s="3">
        <f t="shared" si="297"/>
        <v>1.5641900970231219E-2</v>
      </c>
      <c r="E315" s="3">
        <f t="shared" si="297"/>
        <v>1.5641900970231219E-2</v>
      </c>
      <c r="F315" s="3">
        <f t="shared" si="297"/>
        <v>1.5641900970231219E-2</v>
      </c>
      <c r="G315" s="3">
        <f t="shared" si="297"/>
        <v>1.5641900970231219E-2</v>
      </c>
      <c r="H315" s="3">
        <f t="shared" si="297"/>
        <v>1.5641900970231219E-2</v>
      </c>
      <c r="I315" s="3">
        <f t="shared" si="297"/>
        <v>1.5641900970231219E-2</v>
      </c>
      <c r="J315" s="3">
        <f t="shared" si="297"/>
        <v>1.5641900970231219E-2</v>
      </c>
      <c r="K315" s="3">
        <f t="shared" si="297"/>
        <v>1.5641900970231219E-2</v>
      </c>
      <c r="L315" s="3">
        <f t="shared" si="297"/>
        <v>1.5641900970231219E-2</v>
      </c>
      <c r="M315" s="3">
        <f t="shared" si="297"/>
        <v>1.5641900970231219E-2</v>
      </c>
      <c r="N315" s="3">
        <f t="shared" si="297"/>
        <v>1.5641900970231215E-2</v>
      </c>
      <c r="O315" s="3">
        <f t="shared" si="297"/>
        <v>1.5641900970231201E-2</v>
      </c>
      <c r="P315" s="3">
        <f t="shared" si="297"/>
        <v>1.5641900970231062E-2</v>
      </c>
      <c r="Q315" s="3">
        <f t="shared" si="297"/>
        <v>1.5641900970229654E-2</v>
      </c>
      <c r="R315" s="3">
        <f t="shared" si="297"/>
        <v>1.5641900970215578E-2</v>
      </c>
      <c r="S315" s="3">
        <f t="shared" si="297"/>
        <v>1.5641900970074816E-2</v>
      </c>
      <c r="T315" s="3">
        <f t="shared" si="297"/>
        <v>1.5641900968667178E-2</v>
      </c>
      <c r="U315" s="3">
        <f t="shared" si="297"/>
        <v>1.564190095459083E-2</v>
      </c>
      <c r="V315" s="3">
        <f t="shared" si="297"/>
        <v>1.5641900813827315E-2</v>
      </c>
      <c r="W315" s="3">
        <f t="shared" si="297"/>
        <v>1.5641899406192244E-2</v>
      </c>
      <c r="X315" s="3">
        <f t="shared" si="297"/>
        <v>1.5641885329848497E-2</v>
      </c>
      <c r="Y315" s="3">
        <f t="shared" si="297"/>
        <v>1.5641744567107738E-2</v>
      </c>
      <c r="Z315" s="3">
        <f t="shared" si="297"/>
        <v>1.5640337009368791E-2</v>
      </c>
      <c r="AA315" s="3">
        <f t="shared" si="297"/>
        <v>1.5626268396523528E-2</v>
      </c>
      <c r="AB315" s="3">
        <f t="shared" si="297"/>
        <v>1.5486276409095365E-2</v>
      </c>
      <c r="AC315" s="3">
        <f t="shared" si="297"/>
        <v>1.4153513956914065E-2</v>
      </c>
      <c r="AD315" s="3">
        <f t="shared" si="297"/>
        <v>5.75488947002033E-3</v>
      </c>
      <c r="AE315" s="3">
        <f t="shared" si="297"/>
        <v>7.1082726983428919E-7</v>
      </c>
      <c r="AF315" s="3">
        <f t="shared" si="297"/>
        <v>5.8753672349755894E-46</v>
      </c>
      <c r="AG315" s="3"/>
      <c r="AH315" s="3"/>
    </row>
    <row r="316" spans="1:34" x14ac:dyDescent="0.25">
      <c r="B316" s="3">
        <f t="shared" ref="B316:AF316" si="298">$C46*EXP(-B$285/$A46/EXP(-$F$126))</f>
        <v>1.5176002473828224E-3</v>
      </c>
      <c r="C316" s="3">
        <f t="shared" si="298"/>
        <v>1.5176002473828224E-3</v>
      </c>
      <c r="D316" s="3">
        <f t="shared" si="298"/>
        <v>1.5176002473828224E-3</v>
      </c>
      <c r="E316" s="3">
        <f t="shared" si="298"/>
        <v>1.5176002473828224E-3</v>
      </c>
      <c r="F316" s="3">
        <f t="shared" si="298"/>
        <v>1.5176002473828224E-3</v>
      </c>
      <c r="G316" s="3">
        <f t="shared" si="298"/>
        <v>1.5176002473828224E-3</v>
      </c>
      <c r="H316" s="3">
        <f t="shared" si="298"/>
        <v>1.5176002473828224E-3</v>
      </c>
      <c r="I316" s="3">
        <f t="shared" si="298"/>
        <v>1.5176002473828224E-3</v>
      </c>
      <c r="J316" s="3">
        <f t="shared" si="298"/>
        <v>1.5176002473828224E-3</v>
      </c>
      <c r="K316" s="3">
        <f t="shared" si="298"/>
        <v>1.5176002473828224E-3</v>
      </c>
      <c r="L316" s="3">
        <f t="shared" si="298"/>
        <v>1.5176002473828224E-3</v>
      </c>
      <c r="M316" s="3">
        <f t="shared" si="298"/>
        <v>1.5176002473828224E-3</v>
      </c>
      <c r="N316" s="3">
        <f t="shared" si="298"/>
        <v>1.5176002473828224E-3</v>
      </c>
      <c r="O316" s="3">
        <f t="shared" si="298"/>
        <v>1.5176002473828222E-3</v>
      </c>
      <c r="P316" s="3">
        <f t="shared" si="298"/>
        <v>1.5176002473828209E-3</v>
      </c>
      <c r="Q316" s="3">
        <f t="shared" si="298"/>
        <v>1.5176002473828072E-3</v>
      </c>
      <c r="R316" s="3">
        <f t="shared" si="298"/>
        <v>1.5176002473826706E-3</v>
      </c>
      <c r="S316" s="3">
        <f t="shared" si="298"/>
        <v>1.5176002473813049E-3</v>
      </c>
      <c r="T316" s="3">
        <f t="shared" si="298"/>
        <v>1.5176002473676479E-3</v>
      </c>
      <c r="U316" s="3">
        <f t="shared" si="298"/>
        <v>1.517600247231077E-3</v>
      </c>
      <c r="V316" s="3">
        <f t="shared" si="298"/>
        <v>1.5176002458653687E-3</v>
      </c>
      <c r="W316" s="3">
        <f t="shared" si="298"/>
        <v>1.5176002322082854E-3</v>
      </c>
      <c r="X316" s="3">
        <f t="shared" si="298"/>
        <v>1.5176000956374596E-3</v>
      </c>
      <c r="Y316" s="3">
        <f t="shared" si="298"/>
        <v>1.5175987299298776E-3</v>
      </c>
      <c r="Z316" s="3">
        <f t="shared" si="298"/>
        <v>1.5175850729216532E-3</v>
      </c>
      <c r="AA316" s="3">
        <f t="shared" si="298"/>
        <v>1.5174485095987616E-3</v>
      </c>
      <c r="AB316" s="3">
        <f t="shared" si="298"/>
        <v>1.5160835520801751E-3</v>
      </c>
      <c r="AC316" s="3">
        <f t="shared" si="298"/>
        <v>1.5025013234778513E-3</v>
      </c>
      <c r="AD316" s="3">
        <f t="shared" si="298"/>
        <v>1.3731947493611772E-3</v>
      </c>
      <c r="AE316" s="3">
        <f t="shared" si="298"/>
        <v>5.5834784403666711E-4</v>
      </c>
      <c r="AF316" s="3">
        <f t="shared" si="298"/>
        <v>6.8965507619565712E-8</v>
      </c>
      <c r="AG316" s="3"/>
      <c r="AH316" s="3"/>
    </row>
    <row r="317" spans="1:34" x14ac:dyDescent="0.25">
      <c r="B317" s="3">
        <f t="shared" ref="B317:AF317" si="299">$C47*EXP(-B$285/$A47/EXP(-$F$126))</f>
        <v>3.5883218113444658E-3</v>
      </c>
      <c r="C317" s="3">
        <f t="shared" si="299"/>
        <v>3.5883218113444658E-3</v>
      </c>
      <c r="D317" s="3">
        <f t="shared" si="299"/>
        <v>3.5883218113444658E-3</v>
      </c>
      <c r="E317" s="3">
        <f t="shared" si="299"/>
        <v>3.5883218113444658E-3</v>
      </c>
      <c r="F317" s="3">
        <f t="shared" si="299"/>
        <v>3.5883218113444658E-3</v>
      </c>
      <c r="G317" s="3">
        <f t="shared" si="299"/>
        <v>3.5883218113444658E-3</v>
      </c>
      <c r="H317" s="3">
        <f t="shared" si="299"/>
        <v>3.5883218113444658E-3</v>
      </c>
      <c r="I317" s="3">
        <f t="shared" si="299"/>
        <v>3.5883218113444658E-3</v>
      </c>
      <c r="J317" s="3">
        <f t="shared" si="299"/>
        <v>3.5883218113444658E-3</v>
      </c>
      <c r="K317" s="3">
        <f t="shared" si="299"/>
        <v>3.5883218113444658E-3</v>
      </c>
      <c r="L317" s="3">
        <f t="shared" si="299"/>
        <v>3.5883218113444658E-3</v>
      </c>
      <c r="M317" s="3">
        <f t="shared" si="299"/>
        <v>3.5883218113444658E-3</v>
      </c>
      <c r="N317" s="3">
        <f t="shared" si="299"/>
        <v>3.5883218113444658E-3</v>
      </c>
      <c r="O317" s="3">
        <f t="shared" si="299"/>
        <v>3.5883218113444658E-3</v>
      </c>
      <c r="P317" s="3">
        <f t="shared" si="299"/>
        <v>3.5883218113444654E-3</v>
      </c>
      <c r="Q317" s="3">
        <f t="shared" si="299"/>
        <v>3.5883218113444623E-3</v>
      </c>
      <c r="R317" s="3">
        <f t="shared" si="299"/>
        <v>3.5883218113444298E-3</v>
      </c>
      <c r="S317" s="3">
        <f t="shared" si="299"/>
        <v>3.5883218113441067E-3</v>
      </c>
      <c r="T317" s="3">
        <f t="shared" si="299"/>
        <v>3.5883218113408779E-3</v>
      </c>
      <c r="U317" s="3">
        <f t="shared" si="299"/>
        <v>3.5883218113085861E-3</v>
      </c>
      <c r="V317" s="3">
        <f t="shared" si="299"/>
        <v>3.5883218109856682E-3</v>
      </c>
      <c r="W317" s="3">
        <f t="shared" si="299"/>
        <v>3.5883218077564908E-3</v>
      </c>
      <c r="X317" s="3">
        <f t="shared" si="299"/>
        <v>3.5883217754647131E-3</v>
      </c>
      <c r="Y317" s="3">
        <f t="shared" si="299"/>
        <v>3.5883214525469524E-3</v>
      </c>
      <c r="Z317" s="3">
        <f t="shared" si="299"/>
        <v>3.5883182233709472E-3</v>
      </c>
      <c r="AA317" s="3">
        <f t="shared" si="299"/>
        <v>3.5882859317707223E-3</v>
      </c>
      <c r="AB317" s="3">
        <f t="shared" si="299"/>
        <v>3.5879630317507691E-3</v>
      </c>
      <c r="AC317" s="3">
        <f t="shared" si="299"/>
        <v>3.5847356292487273E-3</v>
      </c>
      <c r="AD317" s="3">
        <f t="shared" si="299"/>
        <v>3.5526208432736755E-3</v>
      </c>
      <c r="AE317" s="3">
        <f t="shared" si="299"/>
        <v>3.2468791955286439E-3</v>
      </c>
      <c r="AF317" s="3">
        <f t="shared" si="299"/>
        <v>1.3201972986819958E-3</v>
      </c>
      <c r="AG317" s="3"/>
      <c r="AH317" s="3"/>
    </row>
    <row r="318" spans="1:34" x14ac:dyDescent="0.25">
      <c r="B318" s="3">
        <f t="shared" ref="B318:AF318" si="300">$C48*EXP(-B$285/$A48/EXP(-$F$126))</f>
        <v>1.1419429769572463E-2</v>
      </c>
      <c r="C318" s="3">
        <f t="shared" si="300"/>
        <v>1.1419429769572463E-2</v>
      </c>
      <c r="D318" s="3">
        <f t="shared" si="300"/>
        <v>1.1419429769572463E-2</v>
      </c>
      <c r="E318" s="3">
        <f t="shared" si="300"/>
        <v>1.1419429769572463E-2</v>
      </c>
      <c r="F318" s="3">
        <f t="shared" si="300"/>
        <v>1.1419429769572463E-2</v>
      </c>
      <c r="G318" s="3">
        <f t="shared" si="300"/>
        <v>1.1419429769572463E-2</v>
      </c>
      <c r="H318" s="3">
        <f t="shared" si="300"/>
        <v>1.1419429769572463E-2</v>
      </c>
      <c r="I318" s="3">
        <f t="shared" si="300"/>
        <v>1.1419429769572463E-2</v>
      </c>
      <c r="J318" s="3">
        <f t="shared" si="300"/>
        <v>1.1419429769572463E-2</v>
      </c>
      <c r="K318" s="3">
        <f t="shared" si="300"/>
        <v>1.1419429769572463E-2</v>
      </c>
      <c r="L318" s="3">
        <f t="shared" si="300"/>
        <v>1.1419429769572463E-2</v>
      </c>
      <c r="M318" s="3">
        <f t="shared" si="300"/>
        <v>1.1419429769572463E-2</v>
      </c>
      <c r="N318" s="3">
        <f t="shared" si="300"/>
        <v>1.1419429769572463E-2</v>
      </c>
      <c r="O318" s="3">
        <f t="shared" si="300"/>
        <v>1.1419429769572463E-2</v>
      </c>
      <c r="P318" s="3">
        <f t="shared" si="300"/>
        <v>1.1419429769572463E-2</v>
      </c>
      <c r="Q318" s="3">
        <f t="shared" si="300"/>
        <v>1.1419429769572461E-2</v>
      </c>
      <c r="R318" s="3">
        <f t="shared" si="300"/>
        <v>1.1419429769572451E-2</v>
      </c>
      <c r="S318" s="3">
        <f t="shared" si="300"/>
        <v>1.1419429769572349E-2</v>
      </c>
      <c r="T318" s="3">
        <f t="shared" si="300"/>
        <v>1.1419429769571322E-2</v>
      </c>
      <c r="U318" s="3">
        <f t="shared" si="300"/>
        <v>1.1419429769561045E-2</v>
      </c>
      <c r="V318" s="3">
        <f t="shared" si="300"/>
        <v>1.141942976945828E-2</v>
      </c>
      <c r="W318" s="3">
        <f t="shared" si="300"/>
        <v>1.141942976843063E-2</v>
      </c>
      <c r="X318" s="3">
        <f t="shared" si="300"/>
        <v>1.1419429758154137E-2</v>
      </c>
      <c r="Y318" s="3">
        <f t="shared" si="300"/>
        <v>1.1419429655389194E-2</v>
      </c>
      <c r="Z318" s="3">
        <f t="shared" si="300"/>
        <v>1.1419428627739812E-2</v>
      </c>
      <c r="AA318" s="3">
        <f t="shared" si="300"/>
        <v>1.1419418351251097E-2</v>
      </c>
      <c r="AB318" s="3">
        <f t="shared" si="300"/>
        <v>1.1419315586872564E-2</v>
      </c>
      <c r="AC318" s="3">
        <f t="shared" si="300"/>
        <v>1.1418287993949099E-2</v>
      </c>
      <c r="AD318" s="3">
        <f t="shared" si="300"/>
        <v>1.1408017149206666E-2</v>
      </c>
      <c r="AE318" s="3">
        <f t="shared" si="300"/>
        <v>1.1305815462098355E-2</v>
      </c>
      <c r="AF318" s="3">
        <f t="shared" si="300"/>
        <v>1.0332827124480554E-2</v>
      </c>
      <c r="AG318" s="3"/>
      <c r="AH318" s="3"/>
    </row>
    <row r="319" spans="1:34" x14ac:dyDescent="0.25">
      <c r="A319" s="80">
        <f>AVERAGE(B319:AF319)</f>
        <v>1.5128177729150007E-5</v>
      </c>
      <c r="B319" s="81">
        <f>IF($A$64&lt;=B285,IF($B$64&gt;=B285,ABS((B287-B286)/B286),0),0)</f>
        <v>0</v>
      </c>
      <c r="C319" s="81">
        <f t="shared" ref="C319:AF319" si="301">IF($A$64&lt;=C285,IF($B$64&gt;=C285,ABS((C287-C286)/C286),0),0)</f>
        <v>0</v>
      </c>
      <c r="D319" s="81">
        <f t="shared" si="301"/>
        <v>0</v>
      </c>
      <c r="E319" s="81">
        <f t="shared" si="301"/>
        <v>0</v>
      </c>
      <c r="F319" s="81">
        <f t="shared" si="301"/>
        <v>0</v>
      </c>
      <c r="G319" s="81">
        <f t="shared" si="301"/>
        <v>0</v>
      </c>
      <c r="H319" s="81">
        <f t="shared" si="301"/>
        <v>0</v>
      </c>
      <c r="I319" s="81">
        <f t="shared" si="301"/>
        <v>0</v>
      </c>
      <c r="J319" s="81">
        <f t="shared" si="301"/>
        <v>0</v>
      </c>
      <c r="K319" s="81">
        <f t="shared" si="301"/>
        <v>0</v>
      </c>
      <c r="L319" s="81">
        <f t="shared" si="301"/>
        <v>3.3388366759774304E-5</v>
      </c>
      <c r="M319" s="81">
        <f t="shared" si="301"/>
        <v>5.7749123050818055E-5</v>
      </c>
      <c r="N319" s="81">
        <f t="shared" si="301"/>
        <v>6.9053579073979907E-5</v>
      </c>
      <c r="O319" s="81">
        <f t="shared" si="301"/>
        <v>8.1406554212461676E-5</v>
      </c>
      <c r="P319" s="81">
        <f t="shared" si="301"/>
        <v>7.2482179911986474E-5</v>
      </c>
      <c r="Q319" s="81">
        <f t="shared" si="301"/>
        <v>6.2227968541109346E-5</v>
      </c>
      <c r="R319" s="81">
        <f t="shared" si="301"/>
        <v>4.0600917363825323E-5</v>
      </c>
      <c r="S319" s="81">
        <f t="shared" si="301"/>
        <v>2.8065811574283187E-5</v>
      </c>
      <c r="T319" s="81">
        <f t="shared" si="301"/>
        <v>1.033740485680698E-5</v>
      </c>
      <c r="U319" s="81">
        <f t="shared" si="301"/>
        <v>1.031486655741168E-5</v>
      </c>
      <c r="V319" s="81">
        <f t="shared" si="301"/>
        <v>3.3467377011932636E-6</v>
      </c>
      <c r="W319" s="81">
        <f t="shared" si="301"/>
        <v>0</v>
      </c>
      <c r="X319" s="81">
        <f t="shared" si="301"/>
        <v>0</v>
      </c>
      <c r="Y319" s="81">
        <f t="shared" si="301"/>
        <v>0</v>
      </c>
      <c r="Z319" s="81">
        <f t="shared" si="301"/>
        <v>0</v>
      </c>
      <c r="AA319" s="81">
        <f t="shared" si="301"/>
        <v>0</v>
      </c>
      <c r="AB319" s="81">
        <f t="shared" si="301"/>
        <v>0</v>
      </c>
      <c r="AC319" s="81">
        <f t="shared" si="301"/>
        <v>0</v>
      </c>
      <c r="AD319" s="81">
        <f t="shared" si="301"/>
        <v>0</v>
      </c>
      <c r="AE319" s="81">
        <f t="shared" si="301"/>
        <v>0</v>
      </c>
      <c r="AF319" s="81">
        <f t="shared" si="301"/>
        <v>0</v>
      </c>
    </row>
    <row r="320" spans="1:34" x14ac:dyDescent="0.25">
      <c r="B320" s="21">
        <f>(B287-B286)^2</f>
        <v>3691.5008472239028</v>
      </c>
      <c r="C320" s="21">
        <f t="shared" ref="C320:AF320" si="302">(C287-C286)^2</f>
        <v>6177.9473710383527</v>
      </c>
      <c r="D320" s="21">
        <f t="shared" si="302"/>
        <v>432.78543255561829</v>
      </c>
      <c r="E320" s="21">
        <f t="shared" si="302"/>
        <v>11.579434132611027</v>
      </c>
      <c r="F320" s="21">
        <f t="shared" si="302"/>
        <v>0.21865652382089534</v>
      </c>
      <c r="G320" s="21">
        <f t="shared" si="302"/>
        <v>4.4015255872866818E-3</v>
      </c>
      <c r="H320" s="21">
        <f t="shared" si="302"/>
        <v>5.1428518547114118E-5</v>
      </c>
      <c r="I320" s="21">
        <f t="shared" si="302"/>
        <v>6.1664902511166094E-4</v>
      </c>
      <c r="J320" s="21">
        <f t="shared" si="302"/>
        <v>1.3650754025057057E-3</v>
      </c>
      <c r="K320" s="21">
        <f t="shared" si="302"/>
        <v>8.8977323615364954E-3</v>
      </c>
      <c r="L320" s="21">
        <f t="shared" si="302"/>
        <v>1.8636255541886883E-2</v>
      </c>
      <c r="M320" s="21">
        <f t="shared" si="302"/>
        <v>5.0375370789527814E-2</v>
      </c>
      <c r="N320" s="21">
        <f t="shared" si="302"/>
        <v>6.4366805308640876E-2</v>
      </c>
      <c r="O320" s="21">
        <f t="shared" si="302"/>
        <v>8.0740820228702714E-2</v>
      </c>
      <c r="P320" s="21">
        <f t="shared" si="302"/>
        <v>5.8210071733375911E-2</v>
      </c>
      <c r="Q320" s="21">
        <f t="shared" si="302"/>
        <v>3.8732440307759082E-2</v>
      </c>
      <c r="R320" s="21">
        <f t="shared" si="302"/>
        <v>1.4727898491536077E-2</v>
      </c>
      <c r="S320" s="21">
        <f t="shared" si="302"/>
        <v>6.1674853071222637E-3</v>
      </c>
      <c r="T320" s="21">
        <f t="shared" si="302"/>
        <v>7.2211060179864844E-4</v>
      </c>
      <c r="U320" s="21">
        <f t="shared" si="302"/>
        <v>6.0778188987361539E-4</v>
      </c>
      <c r="V320" s="21">
        <f t="shared" si="302"/>
        <v>5.3005597817723416E-5</v>
      </c>
      <c r="W320" s="21">
        <f t="shared" si="302"/>
        <v>3.2468752496329179E-6</v>
      </c>
      <c r="X320" s="21">
        <f t="shared" si="302"/>
        <v>4.660401916774148E-4</v>
      </c>
      <c r="Y320" s="21">
        <f t="shared" si="302"/>
        <v>4.4308080287016601E-5</v>
      </c>
      <c r="Z320" s="21">
        <f t="shared" si="302"/>
        <v>2.9463281008238108E-4</v>
      </c>
      <c r="AA320" s="21">
        <f t="shared" si="302"/>
        <v>1.278433136197635E-4</v>
      </c>
      <c r="AB320" s="21">
        <f t="shared" si="302"/>
        <v>7.4352198320143642E-5</v>
      </c>
      <c r="AC320" s="21">
        <f t="shared" si="302"/>
        <v>4.2604230063083527E-5</v>
      </c>
      <c r="AD320" s="21">
        <f t="shared" si="302"/>
        <v>4.7111542935248412E-7</v>
      </c>
      <c r="AE320" s="21">
        <f t="shared" si="302"/>
        <v>6.5047231711037254E-7</v>
      </c>
      <c r="AF320" s="21">
        <f t="shared" si="302"/>
        <v>3.3577391751618064E-5</v>
      </c>
      <c r="AG320" s="3"/>
      <c r="AH320" s="3"/>
    </row>
    <row r="321" spans="1:34" x14ac:dyDescent="0.25">
      <c r="A321" s="72">
        <f>SUM(B321:AF321)</f>
        <v>0.33334004579804155</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1.8636255541886883E-2</v>
      </c>
      <c r="M321" s="60">
        <f t="shared" ref="M321" si="313">IF($A$64&lt;=M285,IF($B$64&gt;=M285,ABS(M320),0),0)</f>
        <v>5.0375370789527814E-2</v>
      </c>
      <c r="N321" s="60">
        <f t="shared" ref="N321" si="314">IF($A$64&lt;=N285,IF($B$64&gt;=N285,ABS(N320),0),0)</f>
        <v>6.4366805308640876E-2</v>
      </c>
      <c r="O321" s="60">
        <f t="shared" ref="O321" si="315">IF($A$64&lt;=O285,IF($B$64&gt;=O285,ABS(O320),0),0)</f>
        <v>8.0740820228702714E-2</v>
      </c>
      <c r="P321" s="60">
        <f t="shared" ref="P321" si="316">IF($A$64&lt;=P285,IF($B$64&gt;=P285,ABS(P320),0),0)</f>
        <v>5.8210071733375911E-2</v>
      </c>
      <c r="Q321" s="60">
        <f t="shared" ref="Q321" si="317">IF($A$64&lt;=Q285,IF($B$64&gt;=Q285,ABS(Q320),0),0)</f>
        <v>3.8732440307759082E-2</v>
      </c>
      <c r="R321" s="60">
        <f t="shared" ref="R321" si="318">IF($A$64&lt;=R285,IF($B$64&gt;=R285,ABS(R320),0),0)</f>
        <v>1.4727898491536077E-2</v>
      </c>
      <c r="S321" s="60">
        <f t="shared" ref="S321" si="319">IF($A$64&lt;=S285,IF($B$64&gt;=S285,ABS(S320),0),0)</f>
        <v>6.1674853071222637E-3</v>
      </c>
      <c r="T321" s="60">
        <f t="shared" ref="T321" si="320">IF($A$64&lt;=T285,IF($B$64&gt;=T285,ABS(T320),0),0)</f>
        <v>7.2211060179864844E-4</v>
      </c>
      <c r="U321" s="60">
        <f t="shared" ref="U321" si="321">IF($A$64&lt;=U285,IF($B$64&gt;=U285,ABS(U320),0),0)</f>
        <v>6.0778188987361539E-4</v>
      </c>
      <c r="V321" s="60">
        <f t="shared" ref="V321" si="322">IF($A$64&lt;=V285,IF($B$64&gt;=V285,ABS(V320),0),0)</f>
        <v>5.3005597817723416E-5</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4566.6036136134571</v>
      </c>
      <c r="C325" s="26">
        <f>INDEX(Comparison!$AM$3:$AS$33,G$14,$G$122)</f>
        <v>4367.9191662396088</v>
      </c>
      <c r="D325" s="26">
        <f>INDEX(Comparison!$AM$3:$AS$33,H$14,$G$122)</f>
        <v>4211.7468990411771</v>
      </c>
      <c r="E325" s="26">
        <f>INDEX(Comparison!$AM$3:$AS$33,I$14,$G$122)</f>
        <v>4035.1164889708966</v>
      </c>
      <c r="F325" s="26">
        <f>INDEX(Comparison!$AM$3:$AS$33,J$14,$G$122)</f>
        <v>3826.9829326183326</v>
      </c>
      <c r="G325" s="26">
        <f>INDEX(Comparison!$AM$3:$AS$33,K$14,$G$122)</f>
        <v>3620.1591645384274</v>
      </c>
      <c r="H325" s="26">
        <f>INDEX(Comparison!$AM$3:$AS$33,L$14,$G$122)</f>
        <v>3446.6232486673289</v>
      </c>
      <c r="I325" s="26">
        <f>INDEX(Comparison!$AM$3:$AS$33,M$14,$G$122)</f>
        <v>3283.5389960784037</v>
      </c>
      <c r="J325" s="26">
        <f>INDEX(Comparison!$AM$3:$AS$33,N$14,$G$122)</f>
        <v>3126.1515402495047</v>
      </c>
      <c r="K325" s="26">
        <f>INDEX(Comparison!$AM$3:$AS$33,O$14,$G$122)</f>
        <v>2970.9240585633979</v>
      </c>
      <c r="L325" s="26">
        <f>INDEX(Comparison!$AM$3:$AS$33,P$14,$G$122)</f>
        <v>2814.9531210575578</v>
      </c>
      <c r="M325" s="26">
        <f>INDEX(Comparison!$AM$3:$AS$33,Q$14,$G$122)</f>
        <v>2641.4801683555684</v>
      </c>
      <c r="N325" s="26">
        <f>INDEX(Comparison!$AM$3:$AS$33,R$14,$G$122)</f>
        <v>2449.1835010011705</v>
      </c>
      <c r="O325" s="26">
        <f>INDEX(Comparison!$AM$3:$AS$33,S$14,$G$122)</f>
        <v>2235.8247528873858</v>
      </c>
      <c r="P325" s="26">
        <f>INDEX(Comparison!$AM$3:$AS$33,T$14,$G$122)</f>
        <v>1993.335720552192</v>
      </c>
      <c r="Q325" s="26">
        <f>INDEX(Comparison!$AM$3:$AS$33,U$14,$G$122)</f>
        <v>1707.9100595434049</v>
      </c>
      <c r="R325" s="26">
        <f>INDEX(Comparison!$AM$3:$AS$33,V$14,$G$122)</f>
        <v>1382.9901395885138</v>
      </c>
      <c r="S325" s="26">
        <f>INDEX(Comparison!$AM$3:$AS$33,W$14,$G$122)</f>
        <v>1045.3846206276212</v>
      </c>
      <c r="T325" s="26">
        <f>INDEX(Comparison!$AM$3:$AS$33,X$14,$G$122)</f>
        <v>743.50488577028852</v>
      </c>
      <c r="U325" s="26">
        <f>INDEX(Comparison!$AM$3:$AS$33,Y$14,$G$122)</f>
        <v>519.49600219625086</v>
      </c>
      <c r="V325" s="26">
        <f>INDEX(Comparison!$AM$3:$AS$33,Z$14,$G$122)</f>
        <v>383.51568079468302</v>
      </c>
      <c r="W325" s="26">
        <f>INDEX(Comparison!$AM$3:$AS$33,AA$14,$G$122)</f>
        <v>314.10371823238006</v>
      </c>
      <c r="X325" s="26">
        <f>INDEX(Comparison!$AM$3:$AS$33,AB$14,$G$122)</f>
        <v>280.6909623460773</v>
      </c>
      <c r="Y325" s="26">
        <f>INDEX(Comparison!$AM$3:$AS$33,AC$14,$G$122)</f>
        <v>262.23895816268134</v>
      </c>
      <c r="Z325" s="26">
        <f>INDEX(Comparison!$AM$3:$AS$33,AD$14,$G$122)</f>
        <v>250.5385469230996</v>
      </c>
      <c r="AA325" s="26">
        <f>INDEX(Comparison!$AM$3:$AS$33,AE$14,$G$122)</f>
        <v>245.32626479673095</v>
      </c>
      <c r="AB325" s="26">
        <f>INDEX(Comparison!$AM$3:$AS$33,AF$14,$G$122)</f>
        <v>234.06992955511652</v>
      </c>
      <c r="AC325" s="26">
        <f>INDEX(Comparison!$AM$3:$AS$33,AG$14,$G$122)</f>
        <v>226.1826531941249</v>
      </c>
      <c r="AD325" s="26">
        <f>INDEX(Comparison!$AM$3:$AS$33,AH$14,$G$122)</f>
        <v>225.23832209445587</v>
      </c>
      <c r="AE325" s="26">
        <f>INDEX(Comparison!$AM$3:$AS$33,AI$14,$G$122)</f>
        <v>225.13655271656646</v>
      </c>
      <c r="AF325" s="26">
        <f>INDEX(Comparison!$AM$3:$AS$33,AJ$14,$G$122)</f>
        <v>225.03956034728361</v>
      </c>
      <c r="AG325" s="26"/>
      <c r="AH325" s="26"/>
    </row>
    <row r="326" spans="1:34" x14ac:dyDescent="0.25">
      <c r="A326" s="78" t="s">
        <v>22</v>
      </c>
      <c r="B326" s="27">
        <f>($C$17+SUM(B327:B357))*$B$51</f>
        <v>4566.7334502819276</v>
      </c>
      <c r="C326" s="27">
        <f t="shared" ref="C326:AF326" si="333">($C$17+SUM(C327:C357))*$B$51</f>
        <v>4408.6417510471765</v>
      </c>
      <c r="D326" s="27">
        <f t="shared" si="333"/>
        <v>4256.5311514846499</v>
      </c>
      <c r="E326" s="27">
        <f t="shared" si="333"/>
        <v>4088.8334449978875</v>
      </c>
      <c r="F326" s="27">
        <f t="shared" si="333"/>
        <v>3887.1007818379508</v>
      </c>
      <c r="G326" s="27">
        <f t="shared" si="333"/>
        <v>3674.1013627908578</v>
      </c>
      <c r="H326" s="27">
        <f t="shared" si="333"/>
        <v>3491.0105649389811</v>
      </c>
      <c r="I326" s="27">
        <f t="shared" si="333"/>
        <v>3328.6400994592695</v>
      </c>
      <c r="J326" s="27">
        <f t="shared" si="333"/>
        <v>3163.0736999759979</v>
      </c>
      <c r="K326" s="27">
        <f t="shared" si="333"/>
        <v>2989.1843795681798</v>
      </c>
      <c r="L326" s="27">
        <f t="shared" si="333"/>
        <v>2798.5047489726562</v>
      </c>
      <c r="M326" s="27">
        <f t="shared" si="333"/>
        <v>2599.7339435225058</v>
      </c>
      <c r="N326" s="27">
        <f t="shared" si="333"/>
        <v>2390.3319973592102</v>
      </c>
      <c r="O326" s="27">
        <f t="shared" si="333"/>
        <v>2175.701005616198</v>
      </c>
      <c r="P326" s="27">
        <f t="shared" si="333"/>
        <v>1944.9410095201622</v>
      </c>
      <c r="Q326" s="27">
        <f t="shared" si="333"/>
        <v>1692.8856666886593</v>
      </c>
      <c r="R326" s="27">
        <f t="shared" si="333"/>
        <v>1405.1941239982405</v>
      </c>
      <c r="S326" s="27">
        <f t="shared" si="333"/>
        <v>1092.0260381100336</v>
      </c>
      <c r="T326" s="27">
        <f t="shared" si="333"/>
        <v>790.90717627504557</v>
      </c>
      <c r="U326" s="27">
        <f t="shared" si="333"/>
        <v>554.79245388218305</v>
      </c>
      <c r="V326" s="27">
        <f t="shared" si="333"/>
        <v>402.43182483050322</v>
      </c>
      <c r="W326" s="27">
        <f t="shared" si="333"/>
        <v>323.6294215905383</v>
      </c>
      <c r="X326" s="27">
        <f t="shared" si="333"/>
        <v>284.36831372638284</v>
      </c>
      <c r="Y326" s="27">
        <f t="shared" si="333"/>
        <v>264.97473800498301</v>
      </c>
      <c r="Z326" s="27">
        <f t="shared" si="333"/>
        <v>223.17328425398605</v>
      </c>
      <c r="AA326" s="27">
        <f t="shared" si="333"/>
        <v>199.51376060830188</v>
      </c>
      <c r="AB326" s="27">
        <f t="shared" si="333"/>
        <v>199.51075401213504</v>
      </c>
      <c r="AC326" s="27">
        <f t="shared" si="333"/>
        <v>199.51075401213504</v>
      </c>
      <c r="AD326" s="27">
        <f t="shared" si="333"/>
        <v>199.51075401213504</v>
      </c>
      <c r="AE326" s="27">
        <f t="shared" si="333"/>
        <v>199.51075401213504</v>
      </c>
      <c r="AF326" s="27">
        <f t="shared" si="333"/>
        <v>199.51075401213504</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9.2348728373633989E-84</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1.2557162454802139E-9</v>
      </c>
      <c r="C332" s="3">
        <f t="shared" si="339"/>
        <v>1.0321982343394511E-75</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6.4333642527478014E-3</v>
      </c>
      <c r="C333" s="3">
        <f t="shared" si="340"/>
        <v>7.0308815999502787E-9</v>
      </c>
      <c r="D333" s="3">
        <f t="shared" si="340"/>
        <v>1.7089376332954093E-68</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2.6107053444733238E-2</v>
      </c>
      <c r="C334" s="3">
        <f t="shared" si="341"/>
        <v>7.5681098317939314E-3</v>
      </c>
      <c r="D334" s="3">
        <f t="shared" si="341"/>
        <v>3.17163429293516E-8</v>
      </c>
      <c r="E334" s="3">
        <f t="shared" si="341"/>
        <v>5.2995609760803992E-62</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2.6737407928326257E-2</v>
      </c>
      <c r="C335" s="3">
        <f t="shared" si="342"/>
        <v>2.3911561358835202E-2</v>
      </c>
      <c r="D335" s="3">
        <f t="shared" si="342"/>
        <v>7.8251787576152122E-3</v>
      </c>
      <c r="E335" s="3">
        <f t="shared" si="342"/>
        <v>1.1024466642656363E-7</v>
      </c>
      <c r="F335" s="3">
        <f t="shared" si="342"/>
        <v>3.396180718011823E-56</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3.1974719588453673E-2</v>
      </c>
      <c r="C336" s="3">
        <f t="shared" si="343"/>
        <v>3.1654147056075929E-2</v>
      </c>
      <c r="D336" s="3">
        <f t="shared" si="343"/>
        <v>2.8619980072193137E-2</v>
      </c>
      <c r="E336" s="3">
        <f t="shared" si="343"/>
        <v>1.0448560000044972E-2</v>
      </c>
      <c r="F336" s="3">
        <f t="shared" si="343"/>
        <v>4.3946832685970728E-7</v>
      </c>
      <c r="G336" s="3">
        <f t="shared" si="343"/>
        <v>7.6144576140347867E-51</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4.0903830237346409E-2</v>
      </c>
      <c r="C337" s="3">
        <f t="shared" si="344"/>
        <v>4.0866666533368672E-2</v>
      </c>
      <c r="D337" s="3">
        <f t="shared" si="344"/>
        <v>4.0496881546898816E-2</v>
      </c>
      <c r="E337" s="3">
        <f t="shared" si="344"/>
        <v>3.6978156729173782E-2</v>
      </c>
      <c r="F337" s="3">
        <f t="shared" si="344"/>
        <v>1.4899854577630219E-2</v>
      </c>
      <c r="G337" s="3">
        <f t="shared" si="344"/>
        <v>1.6809304269868551E-6</v>
      </c>
      <c r="H337" s="3">
        <f t="shared" si="344"/>
        <v>5.6134108109925767E-46</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4.060975435701842E-2</v>
      </c>
      <c r="C338" s="3">
        <f t="shared" si="345"/>
        <v>4.0606424607769802E-2</v>
      </c>
      <c r="D338" s="3">
        <f t="shared" si="345"/>
        <v>4.0573142127629545E-2</v>
      </c>
      <c r="E338" s="3">
        <f t="shared" si="345"/>
        <v>4.0241814016198946E-2</v>
      </c>
      <c r="F338" s="3">
        <f t="shared" si="345"/>
        <v>3.7073758977543975E-2</v>
      </c>
      <c r="G338" s="3">
        <f t="shared" si="345"/>
        <v>1.6328915754248028E-2</v>
      </c>
      <c r="H338" s="3">
        <f t="shared" si="345"/>
        <v>4.4860551709270419E-6</v>
      </c>
      <c r="I338" s="3">
        <f t="shared" si="345"/>
        <v>1.0988470085217738E-41</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2.9251136609680171E-2</v>
      </c>
      <c r="C339" s="3">
        <f t="shared" si="346"/>
        <v>2.9250920244832515E-2</v>
      </c>
      <c r="D339" s="3">
        <f t="shared" si="346"/>
        <v>2.9248756684376417E-2</v>
      </c>
      <c r="E339" s="3">
        <f t="shared" si="346"/>
        <v>2.922712987945459E-2</v>
      </c>
      <c r="F339" s="3">
        <f t="shared" si="346"/>
        <v>2.9011739390596078E-2</v>
      </c>
      <c r="G339" s="3">
        <f t="shared" si="346"/>
        <v>2.6943235588456162E-2</v>
      </c>
      <c r="H339" s="3">
        <f t="shared" si="346"/>
        <v>1.2859069931120572E-2</v>
      </c>
      <c r="I339" s="3">
        <f t="shared" si="346"/>
        <v>7.8851081445280802E-6</v>
      </c>
      <c r="J339" s="3">
        <f t="shared" si="346"/>
        <v>5.926367968979923E-38</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3.1259580619728257E-2</v>
      </c>
      <c r="C340" s="3">
        <f t="shared" si="347"/>
        <v>3.1259559761608498E-2</v>
      </c>
      <c r="D340" s="3">
        <f t="shared" si="347"/>
        <v>3.1259351181176426E-2</v>
      </c>
      <c r="E340" s="3">
        <f t="shared" si="347"/>
        <v>3.12572654534009E-2</v>
      </c>
      <c r="F340" s="3">
        <f t="shared" si="347"/>
        <v>3.123641582828152E-2</v>
      </c>
      <c r="G340" s="3">
        <f t="shared" si="347"/>
        <v>3.102868295472538E-2</v>
      </c>
      <c r="H340" s="3">
        <f t="shared" si="347"/>
        <v>2.9025840487427863E-2</v>
      </c>
      <c r="I340" s="3">
        <f t="shared" si="347"/>
        <v>1.489359115744914E-2</v>
      </c>
      <c r="J340" s="3">
        <f t="shared" si="347"/>
        <v>1.8842809798633867E-5</v>
      </c>
      <c r="K340" s="3">
        <f t="shared" si="347"/>
        <v>1.9797394107591109E-34</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2.9704645245626757E-2</v>
      </c>
      <c r="C341" s="3">
        <f t="shared" si="348"/>
        <v>2.9704643457644921E-2</v>
      </c>
      <c r="D341" s="3">
        <f t="shared" si="348"/>
        <v>2.9704625577832492E-2</v>
      </c>
      <c r="E341" s="3">
        <f t="shared" si="348"/>
        <v>2.9704446780300126E-2</v>
      </c>
      <c r="F341" s="3">
        <f t="shared" si="348"/>
        <v>2.9702658864167186E-2</v>
      </c>
      <c r="G341" s="3">
        <f t="shared" si="348"/>
        <v>2.9684785620594296E-2</v>
      </c>
      <c r="H341" s="3">
        <f t="shared" si="348"/>
        <v>2.9506643644685984E-2</v>
      </c>
      <c r="I341" s="3">
        <f t="shared" si="348"/>
        <v>2.778297575659187E-2</v>
      </c>
      <c r="J341" s="3">
        <f t="shared" si="348"/>
        <v>1.5218373640403514E-2</v>
      </c>
      <c r="K341" s="3">
        <f t="shared" si="348"/>
        <v>3.7005226751574903E-5</v>
      </c>
      <c r="L341" s="3">
        <f t="shared" si="348"/>
        <v>2.6743074875103787E-31</v>
      </c>
      <c r="M341" s="3">
        <f t="shared" si="348"/>
        <v>1.0391878149999419E-292</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3.5282603760689042E-2</v>
      </c>
      <c r="C342" s="3">
        <f t="shared" si="349"/>
        <v>3.5282603569110893E-2</v>
      </c>
      <c r="D342" s="3">
        <f t="shared" si="349"/>
        <v>3.5282601653329512E-2</v>
      </c>
      <c r="E342" s="3">
        <f t="shared" si="349"/>
        <v>3.5282582495521367E-2</v>
      </c>
      <c r="F342" s="3">
        <f t="shared" si="349"/>
        <v>3.5282390918012059E-2</v>
      </c>
      <c r="G342" s="3">
        <f t="shared" si="349"/>
        <v>3.5280475200130605E-2</v>
      </c>
      <c r="H342" s="3">
        <f t="shared" si="349"/>
        <v>3.5261323741329537E-2</v>
      </c>
      <c r="I342" s="3">
        <f t="shared" si="349"/>
        <v>3.5070380007158314E-2</v>
      </c>
      <c r="J342" s="3">
        <f t="shared" si="349"/>
        <v>3.3216897651861262E-2</v>
      </c>
      <c r="K342" s="3">
        <f t="shared" si="349"/>
        <v>1.9299454529220113E-2</v>
      </c>
      <c r="L342" s="3">
        <f t="shared" si="349"/>
        <v>8.4606688258497133E-5</v>
      </c>
      <c r="M342" s="3">
        <f t="shared" si="349"/>
        <v>2.2182031102992897E-28</v>
      </c>
      <c r="N342" s="3">
        <f t="shared" si="349"/>
        <v>3.4038267748192647E-264</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3.4987985453703872E-2</v>
      </c>
      <c r="C343" s="3">
        <f t="shared" si="350"/>
        <v>3.4987985436566241E-2</v>
      </c>
      <c r="D343" s="3">
        <f t="shared" si="350"/>
        <v>3.4987985265189904E-2</v>
      </c>
      <c r="E343" s="3">
        <f t="shared" si="350"/>
        <v>3.4987983551426551E-2</v>
      </c>
      <c r="F343" s="3">
        <f t="shared" si="350"/>
        <v>3.4987966413797644E-2</v>
      </c>
      <c r="G343" s="3">
        <f t="shared" si="350"/>
        <v>3.4987795037970316E-2</v>
      </c>
      <c r="H343" s="3">
        <f t="shared" si="350"/>
        <v>3.4986081325864511E-2</v>
      </c>
      <c r="I343" s="3">
        <f t="shared" si="350"/>
        <v>3.4968948820723898E-2</v>
      </c>
      <c r="J343" s="3">
        <f t="shared" si="350"/>
        <v>3.4798084525605621E-2</v>
      </c>
      <c r="K343" s="3">
        <f t="shared" si="350"/>
        <v>3.3134692995382214E-2</v>
      </c>
      <c r="L343" s="3">
        <f t="shared" si="350"/>
        <v>2.0302946708255606E-2</v>
      </c>
      <c r="M343" s="3">
        <f t="shared" si="350"/>
        <v>1.5146779768000714E-4</v>
      </c>
      <c r="N343" s="3">
        <f t="shared" si="350"/>
        <v>8.0897047778860522E-26</v>
      </c>
      <c r="O343" s="3">
        <f t="shared" si="350"/>
        <v>1.5277640755424044E-238</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4.002081807670075E-2</v>
      </c>
      <c r="C344" s="3">
        <f t="shared" si="351"/>
        <v>4.0020818074932414E-2</v>
      </c>
      <c r="D344" s="3">
        <f t="shared" si="351"/>
        <v>4.0020818057249066E-2</v>
      </c>
      <c r="E344" s="3">
        <f t="shared" si="351"/>
        <v>4.0020817880415595E-2</v>
      </c>
      <c r="F344" s="3">
        <f t="shared" si="351"/>
        <v>4.0020816112080894E-2</v>
      </c>
      <c r="G344" s="3">
        <f t="shared" si="351"/>
        <v>4.0020798428738236E-2</v>
      </c>
      <c r="H344" s="3">
        <f t="shared" si="351"/>
        <v>4.0020621595741344E-2</v>
      </c>
      <c r="I344" s="3">
        <f t="shared" si="351"/>
        <v>4.001885330874564E-2</v>
      </c>
      <c r="J344" s="3">
        <f t="shared" si="351"/>
        <v>4.0001174735407173E-2</v>
      </c>
      <c r="K344" s="3">
        <f t="shared" si="351"/>
        <v>3.9824817962271393E-2</v>
      </c>
      <c r="L344" s="3">
        <f t="shared" si="351"/>
        <v>3.8103453177730132E-2</v>
      </c>
      <c r="M344" s="3">
        <f t="shared" si="351"/>
        <v>2.4494563385222653E-2</v>
      </c>
      <c r="N344" s="3">
        <f t="shared" si="351"/>
        <v>2.9520476847744252E-4</v>
      </c>
      <c r="O344" s="3">
        <f t="shared" si="351"/>
        <v>1.9083587776937906E-23</v>
      </c>
      <c r="P344" s="3">
        <f t="shared" si="351"/>
        <v>2.4323530443257274E-215</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3.5130592199726543E-2</v>
      </c>
      <c r="C345" s="3">
        <f t="shared" si="352"/>
        <v>3.5130592199586516E-2</v>
      </c>
      <c r="D345" s="3">
        <f t="shared" si="352"/>
        <v>3.5130592198186247E-2</v>
      </c>
      <c r="E345" s="3">
        <f t="shared" si="352"/>
        <v>3.5130592184183587E-2</v>
      </c>
      <c r="F345" s="3">
        <f t="shared" si="352"/>
        <v>3.5130592044156979E-2</v>
      </c>
      <c r="G345" s="3">
        <f t="shared" si="352"/>
        <v>3.5130590643890895E-2</v>
      </c>
      <c r="H345" s="3">
        <f t="shared" si="352"/>
        <v>3.5130576641233147E-2</v>
      </c>
      <c r="I345" s="3">
        <f t="shared" si="352"/>
        <v>3.5130436614962644E-2</v>
      </c>
      <c r="J345" s="3">
        <f t="shared" si="352"/>
        <v>3.5129036382954268E-2</v>
      </c>
      <c r="K345" s="3">
        <f t="shared" si="352"/>
        <v>3.5115037132084866E-2</v>
      </c>
      <c r="L345" s="3">
        <f t="shared" si="352"/>
        <v>3.4975351092663205E-2</v>
      </c>
      <c r="M345" s="3">
        <f t="shared" si="352"/>
        <v>3.3608690429691106E-2</v>
      </c>
      <c r="N345" s="3">
        <f t="shared" si="352"/>
        <v>2.2560393323675446E-2</v>
      </c>
      <c r="O345" s="3">
        <f t="shared" si="352"/>
        <v>4.1908047994767975E-4</v>
      </c>
      <c r="P345" s="3">
        <f t="shared" si="352"/>
        <v>2.0502418251645119E-21</v>
      </c>
      <c r="Q345" s="3">
        <f t="shared" si="352"/>
        <v>1.6102067842616276E-194</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5.1976552303919087E-2</v>
      </c>
      <c r="C346" s="3">
        <f t="shared" si="353"/>
        <v>5.19765523039004E-2</v>
      </c>
      <c r="D346" s="3">
        <f t="shared" si="353"/>
        <v>5.1976552303713508E-2</v>
      </c>
      <c r="E346" s="3">
        <f t="shared" si="353"/>
        <v>5.1976552301844635E-2</v>
      </c>
      <c r="F346" s="3">
        <f t="shared" si="353"/>
        <v>5.1976552283155932E-2</v>
      </c>
      <c r="G346" s="3">
        <f t="shared" si="353"/>
        <v>5.1976552096268905E-2</v>
      </c>
      <c r="H346" s="3">
        <f t="shared" si="353"/>
        <v>5.1976550227398617E-2</v>
      </c>
      <c r="I346" s="3">
        <f t="shared" si="353"/>
        <v>5.1976531538699459E-2</v>
      </c>
      <c r="J346" s="3">
        <f t="shared" si="353"/>
        <v>5.1976344652077462E-2</v>
      </c>
      <c r="K346" s="3">
        <f t="shared" si="353"/>
        <v>5.1974475822815336E-2</v>
      </c>
      <c r="L346" s="3">
        <f t="shared" si="353"/>
        <v>5.1955791225491176E-2</v>
      </c>
      <c r="M346" s="3">
        <f t="shared" si="353"/>
        <v>5.176931429082085E-2</v>
      </c>
      <c r="N346" s="3">
        <f t="shared" si="353"/>
        <v>4.994096252841871E-2</v>
      </c>
      <c r="O346" s="3">
        <f t="shared" si="353"/>
        <v>3.4857951917917934E-2</v>
      </c>
      <c r="P346" s="3">
        <f t="shared" si="353"/>
        <v>9.5664641356146395E-4</v>
      </c>
      <c r="Q346" s="3">
        <f t="shared" si="353"/>
        <v>2.3187144016484737E-19</v>
      </c>
      <c r="R346" s="3">
        <f t="shared" si="353"/>
        <v>1.622577229760893E-175</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2.3181635308382515E-6</v>
      </c>
      <c r="C347" s="3">
        <f t="shared" si="354"/>
        <v>2.3181635308381761E-6</v>
      </c>
      <c r="D347" s="3">
        <f t="shared" si="354"/>
        <v>2.3181635308374239E-6</v>
      </c>
      <c r="E347" s="3">
        <f t="shared" si="354"/>
        <v>2.3181635308299052E-6</v>
      </c>
      <c r="F347" s="3">
        <f t="shared" si="354"/>
        <v>2.3181635307547146E-6</v>
      </c>
      <c r="G347" s="3">
        <f t="shared" si="354"/>
        <v>2.3181635300028106E-6</v>
      </c>
      <c r="H347" s="3">
        <f t="shared" si="354"/>
        <v>2.3181635224837716E-6</v>
      </c>
      <c r="I347" s="3">
        <f t="shared" si="354"/>
        <v>2.3181634472933789E-6</v>
      </c>
      <c r="J347" s="3">
        <f t="shared" si="354"/>
        <v>2.318162695389589E-6</v>
      </c>
      <c r="K347" s="3">
        <f t="shared" si="354"/>
        <v>2.3181551763651014E-6</v>
      </c>
      <c r="L347" s="3">
        <f t="shared" si="354"/>
        <v>2.3180799874615646E-6</v>
      </c>
      <c r="M347" s="3">
        <f t="shared" si="354"/>
        <v>2.3173282325436916E-6</v>
      </c>
      <c r="N347" s="3">
        <f t="shared" si="354"/>
        <v>2.3098240790327981E-6</v>
      </c>
      <c r="O347" s="3">
        <f t="shared" si="354"/>
        <v>2.2361061729954069E-6</v>
      </c>
      <c r="P347" s="3">
        <f t="shared" si="354"/>
        <v>1.6166930893392286E-6</v>
      </c>
      <c r="Q347" s="3">
        <f t="shared" si="354"/>
        <v>6.3092711994325775E-8</v>
      </c>
      <c r="R347" s="3">
        <f t="shared" si="354"/>
        <v>5.1700570215980331E-22</v>
      </c>
      <c r="S347" s="3">
        <f t="shared" si="354"/>
        <v>7.0575945824386532E-163</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7.5767559561282227E-2</v>
      </c>
      <c r="C348" s="3">
        <f t="shared" si="355"/>
        <v>7.5767559561281533E-2</v>
      </c>
      <c r="D348" s="3">
        <f t="shared" si="355"/>
        <v>7.5767559561274747E-2</v>
      </c>
      <c r="E348" s="3">
        <f t="shared" si="355"/>
        <v>7.5767559561206774E-2</v>
      </c>
      <c r="F348" s="3">
        <f t="shared" si="355"/>
        <v>7.5767559560527081E-2</v>
      </c>
      <c r="G348" s="3">
        <f t="shared" si="355"/>
        <v>7.5767559553730116E-2</v>
      </c>
      <c r="H348" s="3">
        <f t="shared" si="355"/>
        <v>7.5767559485760569E-2</v>
      </c>
      <c r="I348" s="3">
        <f t="shared" si="355"/>
        <v>7.5767558806064977E-2</v>
      </c>
      <c r="J348" s="3">
        <f t="shared" si="355"/>
        <v>7.5767552009109465E-2</v>
      </c>
      <c r="K348" s="3">
        <f t="shared" si="355"/>
        <v>7.5767484039587815E-2</v>
      </c>
      <c r="L348" s="3">
        <f t="shared" si="355"/>
        <v>7.5766804347724856E-2</v>
      </c>
      <c r="M348" s="3">
        <f t="shared" si="355"/>
        <v>7.5760007764440612E-2</v>
      </c>
      <c r="N348" s="3">
        <f t="shared" si="355"/>
        <v>7.569207545500424E-2</v>
      </c>
      <c r="O348" s="3">
        <f t="shared" si="355"/>
        <v>7.5016093600816111E-2</v>
      </c>
      <c r="P348" s="3">
        <f t="shared" si="355"/>
        <v>6.8579569959235503E-2</v>
      </c>
      <c r="Q348" s="3">
        <f t="shared" si="355"/>
        <v>2.7963909196013187E-2</v>
      </c>
      <c r="R348" s="3">
        <f t="shared" si="355"/>
        <v>3.5532776223759207E-6</v>
      </c>
      <c r="S348" s="3">
        <f t="shared" si="355"/>
        <v>3.8988965924644135E-45</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3.0678759500566036E-2</v>
      </c>
      <c r="C349" s="3">
        <f t="shared" si="356"/>
        <v>3.0678759500566009E-2</v>
      </c>
      <c r="D349" s="3">
        <f t="shared" si="356"/>
        <v>3.0678759500565735E-2</v>
      </c>
      <c r="E349" s="3">
        <f t="shared" si="356"/>
        <v>3.067875950056298E-2</v>
      </c>
      <c r="F349" s="3">
        <f t="shared" si="356"/>
        <v>3.067875950053546E-2</v>
      </c>
      <c r="G349" s="3">
        <f t="shared" si="356"/>
        <v>3.0678759500260246E-2</v>
      </c>
      <c r="H349" s="3">
        <f t="shared" si="356"/>
        <v>3.0678759497508114E-2</v>
      </c>
      <c r="I349" s="3">
        <f t="shared" si="356"/>
        <v>3.067875946998682E-2</v>
      </c>
      <c r="J349" s="3">
        <f t="shared" si="356"/>
        <v>3.0678759194773818E-2</v>
      </c>
      <c r="K349" s="3">
        <f t="shared" si="356"/>
        <v>3.0678756442643947E-2</v>
      </c>
      <c r="L349" s="3">
        <f t="shared" si="356"/>
        <v>3.0678728921358849E-2</v>
      </c>
      <c r="M349" s="3">
        <f t="shared" si="356"/>
        <v>3.0678453709865713E-2</v>
      </c>
      <c r="N349" s="3">
        <f t="shared" si="356"/>
        <v>3.0675701730717774E-2</v>
      </c>
      <c r="O349" s="3">
        <f t="shared" si="356"/>
        <v>3.0648195513075502E-2</v>
      </c>
      <c r="P349" s="3">
        <f t="shared" si="356"/>
        <v>3.0374486225730558E-2</v>
      </c>
      <c r="Q349" s="3">
        <f t="shared" si="356"/>
        <v>2.7768297482643936E-2</v>
      </c>
      <c r="R349" s="3">
        <f t="shared" si="356"/>
        <v>1.1322762009066305E-2</v>
      </c>
      <c r="S349" s="3">
        <f t="shared" si="356"/>
        <v>1.4387443682601974E-6</v>
      </c>
      <c r="T349" s="3">
        <f t="shared" si="356"/>
        <v>1.5786876543258143E-45</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7.5768782257570458E-2</v>
      </c>
      <c r="C350" s="3">
        <f t="shared" si="357"/>
        <v>7.5768782257570444E-2</v>
      </c>
      <c r="D350" s="3">
        <f t="shared" si="357"/>
        <v>7.5768782257570388E-2</v>
      </c>
      <c r="E350" s="3">
        <f t="shared" si="357"/>
        <v>7.5768782257569695E-2</v>
      </c>
      <c r="F350" s="3">
        <f t="shared" si="357"/>
        <v>7.5768782257562908E-2</v>
      </c>
      <c r="G350" s="3">
        <f t="shared" si="357"/>
        <v>7.5768782257494935E-2</v>
      </c>
      <c r="H350" s="3">
        <f t="shared" si="357"/>
        <v>7.5768782256815229E-2</v>
      </c>
      <c r="I350" s="3">
        <f t="shared" si="357"/>
        <v>7.5768782250018166E-2</v>
      </c>
      <c r="J350" s="3">
        <f t="shared" si="357"/>
        <v>7.5768782182047509E-2</v>
      </c>
      <c r="K350" s="3">
        <f t="shared" si="357"/>
        <v>7.5768781502340954E-2</v>
      </c>
      <c r="L350" s="3">
        <f t="shared" si="357"/>
        <v>7.5768774705275752E-2</v>
      </c>
      <c r="M350" s="3">
        <f t="shared" si="357"/>
        <v>7.5768706734657243E-2</v>
      </c>
      <c r="N350" s="3">
        <f t="shared" si="357"/>
        <v>7.576802703182578E-2</v>
      </c>
      <c r="O350" s="3">
        <f t="shared" si="357"/>
        <v>7.5761230338861923E-2</v>
      </c>
      <c r="P350" s="3">
        <f t="shared" si="357"/>
        <v>7.569329693317034E-2</v>
      </c>
      <c r="Q350" s="3">
        <f t="shared" si="357"/>
        <v>7.5017304170349158E-2</v>
      </c>
      <c r="R350" s="3">
        <f t="shared" si="357"/>
        <v>6.8580676659598008E-2</v>
      </c>
      <c r="S350" s="3">
        <f t="shared" si="357"/>
        <v>2.7964360462599765E-2</v>
      </c>
      <c r="T350" s="3">
        <f t="shared" si="357"/>
        <v>3.5533349632667296E-6</v>
      </c>
      <c r="U350" s="3">
        <f t="shared" si="357"/>
        <v>3.8989595107690166E-45</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3.996144450245992E-2</v>
      </c>
      <c r="C351" s="3">
        <f t="shared" si="358"/>
        <v>3.996144450245992E-2</v>
      </c>
      <c r="D351" s="3">
        <f t="shared" si="358"/>
        <v>3.9961444502459913E-2</v>
      </c>
      <c r="E351" s="3">
        <f t="shared" si="358"/>
        <v>3.9961444502459878E-2</v>
      </c>
      <c r="F351" s="3">
        <f t="shared" si="358"/>
        <v>3.9961444502459517E-2</v>
      </c>
      <c r="G351" s="3">
        <f t="shared" si="358"/>
        <v>3.9961444502455937E-2</v>
      </c>
      <c r="H351" s="3">
        <f t="shared" si="358"/>
        <v>3.996144450242009E-2</v>
      </c>
      <c r="I351" s="3">
        <f t="shared" si="358"/>
        <v>3.9961444502061599E-2</v>
      </c>
      <c r="J351" s="3">
        <f t="shared" si="358"/>
        <v>3.9961444498476738E-2</v>
      </c>
      <c r="K351" s="3">
        <f t="shared" si="358"/>
        <v>3.9961444462628129E-2</v>
      </c>
      <c r="L351" s="3">
        <f t="shared" si="358"/>
        <v>3.996144410414202E-2</v>
      </c>
      <c r="M351" s="3">
        <f t="shared" si="358"/>
        <v>3.9961440519281133E-2</v>
      </c>
      <c r="N351" s="3">
        <f t="shared" si="358"/>
        <v>3.9961404670689961E-2</v>
      </c>
      <c r="O351" s="3">
        <f t="shared" si="358"/>
        <v>3.996104618654691E-2</v>
      </c>
      <c r="P351" s="3">
        <f t="shared" si="358"/>
        <v>3.9957461521984768E-2</v>
      </c>
      <c r="Q351" s="3">
        <f t="shared" si="358"/>
        <v>3.9921632557330444E-2</v>
      </c>
      <c r="R351" s="3">
        <f t="shared" si="358"/>
        <v>3.9565105152894776E-2</v>
      </c>
      <c r="S351" s="3">
        <f t="shared" si="358"/>
        <v>3.6170343809370752E-2</v>
      </c>
      <c r="T351" s="3">
        <f t="shared" si="358"/>
        <v>1.4748768627085991E-2</v>
      </c>
      <c r="U351" s="3">
        <f t="shared" si="358"/>
        <v>1.8740752286413614E-6</v>
      </c>
      <c r="V351" s="3">
        <f t="shared" si="358"/>
        <v>2.0563621251992172E-45</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4.8323610204746917E-2</v>
      </c>
      <c r="C352" s="3">
        <f t="shared" si="359"/>
        <v>4.8323610204746917E-2</v>
      </c>
      <c r="D352" s="3">
        <f t="shared" si="359"/>
        <v>4.8323610204746917E-2</v>
      </c>
      <c r="E352" s="3">
        <f t="shared" si="359"/>
        <v>4.832361020474691E-2</v>
      </c>
      <c r="F352" s="3">
        <f t="shared" si="359"/>
        <v>4.8323610204746868E-2</v>
      </c>
      <c r="G352" s="3">
        <f t="shared" si="359"/>
        <v>4.8323610204746431E-2</v>
      </c>
      <c r="H352" s="3">
        <f t="shared" si="359"/>
        <v>4.8323610204742101E-2</v>
      </c>
      <c r="I352" s="3">
        <f t="shared" si="359"/>
        <v>4.8323610204698747E-2</v>
      </c>
      <c r="J352" s="3">
        <f t="shared" si="359"/>
        <v>4.8323610204265247E-2</v>
      </c>
      <c r="K352" s="3">
        <f t="shared" si="359"/>
        <v>4.8323610199930235E-2</v>
      </c>
      <c r="L352" s="3">
        <f t="shared" si="359"/>
        <v>4.8323610156580092E-2</v>
      </c>
      <c r="M352" s="3">
        <f t="shared" si="359"/>
        <v>4.8323609723078677E-2</v>
      </c>
      <c r="N352" s="3">
        <f t="shared" si="359"/>
        <v>4.8323605388064704E-2</v>
      </c>
      <c r="O352" s="3">
        <f t="shared" si="359"/>
        <v>4.832356203794641E-2</v>
      </c>
      <c r="P352" s="3">
        <f t="shared" si="359"/>
        <v>4.8323128538902291E-2</v>
      </c>
      <c r="Q352" s="3">
        <f t="shared" si="359"/>
        <v>4.8318793762340218E-2</v>
      </c>
      <c r="R352" s="3">
        <f t="shared" si="359"/>
        <v>4.8275467377532272E-2</v>
      </c>
      <c r="S352" s="3">
        <f t="shared" si="359"/>
        <v>4.7844334531015699E-2</v>
      </c>
      <c r="T352" s="3">
        <f t="shared" si="359"/>
        <v>4.3739199545404776E-2</v>
      </c>
      <c r="U352" s="3">
        <f t="shared" si="359"/>
        <v>1.7835034619217306E-2</v>
      </c>
      <c r="V352" s="3">
        <f t="shared" si="359"/>
        <v>2.2662364178968142E-6</v>
      </c>
      <c r="W352" s="3">
        <f t="shared" si="359"/>
        <v>2.4866679124127997E-45</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1.4844365312015322E-2</v>
      </c>
      <c r="C353" s="3">
        <f t="shared" si="360"/>
        <v>1.4844365312015322E-2</v>
      </c>
      <c r="D353" s="3">
        <f t="shared" si="360"/>
        <v>1.4844365312015322E-2</v>
      </c>
      <c r="E353" s="3">
        <f t="shared" si="360"/>
        <v>1.4844365312015322E-2</v>
      </c>
      <c r="F353" s="3">
        <f t="shared" si="360"/>
        <v>1.484436531201532E-2</v>
      </c>
      <c r="G353" s="3">
        <f t="shared" si="360"/>
        <v>1.4844365312015306E-2</v>
      </c>
      <c r="H353" s="3">
        <f t="shared" si="360"/>
        <v>1.4844365312015172E-2</v>
      </c>
      <c r="I353" s="3">
        <f t="shared" si="360"/>
        <v>1.4844365312013842E-2</v>
      </c>
      <c r="J353" s="3">
        <f t="shared" si="360"/>
        <v>1.4844365312000526E-2</v>
      </c>
      <c r="K353" s="3">
        <f t="shared" si="360"/>
        <v>1.4844365311867358E-2</v>
      </c>
      <c r="L353" s="3">
        <f t="shared" si="360"/>
        <v>1.4844365310535701E-2</v>
      </c>
      <c r="M353" s="3">
        <f t="shared" si="360"/>
        <v>1.4844365297219119E-2</v>
      </c>
      <c r="N353" s="3">
        <f t="shared" si="360"/>
        <v>1.4844365164053294E-2</v>
      </c>
      <c r="O353" s="3">
        <f t="shared" si="360"/>
        <v>1.484436383239511E-2</v>
      </c>
      <c r="P353" s="3">
        <f t="shared" si="360"/>
        <v>1.4844350515819846E-2</v>
      </c>
      <c r="Q353" s="3">
        <f t="shared" si="360"/>
        <v>1.4844217350724234E-2</v>
      </c>
      <c r="R353" s="3">
        <f t="shared" si="360"/>
        <v>1.4842885765468895E-2</v>
      </c>
      <c r="S353" s="3">
        <f t="shared" si="360"/>
        <v>1.4829576480814601E-2</v>
      </c>
      <c r="T353" s="3">
        <f t="shared" si="360"/>
        <v>1.4697138249387258E-2</v>
      </c>
      <c r="U353" s="3">
        <f t="shared" si="360"/>
        <v>1.3436095808159278E-2</v>
      </c>
      <c r="V353" s="3">
        <f t="shared" si="360"/>
        <v>5.478683569343396E-3</v>
      </c>
      <c r="W353" s="3">
        <f t="shared" si="360"/>
        <v>6.9615745032536338E-7</v>
      </c>
      <c r="X353" s="3">
        <f t="shared" si="360"/>
        <v>7.6387105071665528E-46</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1.5641900970231219E-2</v>
      </c>
      <c r="C354" s="3">
        <f t="shared" si="361"/>
        <v>1.5641900970231219E-2</v>
      </c>
      <c r="D354" s="3">
        <f t="shared" si="361"/>
        <v>1.5641900970231219E-2</v>
      </c>
      <c r="E354" s="3">
        <f t="shared" si="361"/>
        <v>1.5641900970231219E-2</v>
      </c>
      <c r="F354" s="3">
        <f t="shared" si="361"/>
        <v>1.5641900970231219E-2</v>
      </c>
      <c r="G354" s="3">
        <f t="shared" si="361"/>
        <v>1.5641900970231215E-2</v>
      </c>
      <c r="H354" s="3">
        <f t="shared" si="361"/>
        <v>1.5641900970231201E-2</v>
      </c>
      <c r="I354" s="3">
        <f t="shared" si="361"/>
        <v>1.5641900970231062E-2</v>
      </c>
      <c r="J354" s="3">
        <f t="shared" si="361"/>
        <v>1.5641900970229661E-2</v>
      </c>
      <c r="K354" s="3">
        <f t="shared" si="361"/>
        <v>1.5641900970215627E-2</v>
      </c>
      <c r="L354" s="3">
        <f t="shared" si="361"/>
        <v>1.5641900970075305E-2</v>
      </c>
      <c r="M354" s="3">
        <f t="shared" si="361"/>
        <v>1.5641900968672101E-2</v>
      </c>
      <c r="N354" s="3">
        <f t="shared" si="361"/>
        <v>1.5641900954640069E-2</v>
      </c>
      <c r="O354" s="3">
        <f t="shared" si="361"/>
        <v>1.5641900814319709E-2</v>
      </c>
      <c r="P354" s="3">
        <f t="shared" si="361"/>
        <v>1.5641899411116204E-2</v>
      </c>
      <c r="Q354" s="3">
        <f t="shared" si="361"/>
        <v>1.5641885379088082E-2</v>
      </c>
      <c r="R354" s="3">
        <f t="shared" si="361"/>
        <v>1.5641745059499168E-2</v>
      </c>
      <c r="S354" s="3">
        <f t="shared" si="361"/>
        <v>1.5640341932840692E-2</v>
      </c>
      <c r="T354" s="3">
        <f t="shared" si="361"/>
        <v>1.5626317587025207E-2</v>
      </c>
      <c r="U354" s="3">
        <f t="shared" si="361"/>
        <v>1.5486763914159027E-2</v>
      </c>
      <c r="V354" s="3">
        <f t="shared" si="361"/>
        <v>1.4157970087657009E-2</v>
      </c>
      <c r="W354" s="3">
        <f t="shared" si="361"/>
        <v>5.7730340124099097E-3</v>
      </c>
      <c r="X354" s="3">
        <f t="shared" si="361"/>
        <v>7.3355954726228943E-7</v>
      </c>
      <c r="Y354" s="3">
        <f t="shared" si="361"/>
        <v>8.0491116179046903E-46</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1.5176002473828224E-3</v>
      </c>
      <c r="C355" s="3">
        <f t="shared" si="362"/>
        <v>1.5176002473828224E-3</v>
      </c>
      <c r="D355" s="3">
        <f t="shared" si="362"/>
        <v>1.5176002473828224E-3</v>
      </c>
      <c r="E355" s="3">
        <f t="shared" si="362"/>
        <v>1.5176002473828224E-3</v>
      </c>
      <c r="F355" s="3">
        <f t="shared" si="362"/>
        <v>1.5176002473828224E-3</v>
      </c>
      <c r="G355" s="3">
        <f t="shared" si="362"/>
        <v>1.5176002473828224E-3</v>
      </c>
      <c r="H355" s="3">
        <f t="shared" si="362"/>
        <v>1.5176002473828222E-3</v>
      </c>
      <c r="I355" s="3">
        <f t="shared" si="362"/>
        <v>1.5176002473828209E-3</v>
      </c>
      <c r="J355" s="3">
        <f t="shared" si="362"/>
        <v>1.5176002473828072E-3</v>
      </c>
      <c r="K355" s="3">
        <f t="shared" si="362"/>
        <v>1.517600247382671E-3</v>
      </c>
      <c r="L355" s="3">
        <f t="shared" si="362"/>
        <v>1.5176002473813097E-3</v>
      </c>
      <c r="M355" s="3">
        <f t="shared" si="362"/>
        <v>1.5176002473676956E-3</v>
      </c>
      <c r="N355" s="3">
        <f t="shared" si="362"/>
        <v>1.5176002472315547E-3</v>
      </c>
      <c r="O355" s="3">
        <f t="shared" si="362"/>
        <v>1.5176002458701461E-3</v>
      </c>
      <c r="P355" s="3">
        <f t="shared" si="362"/>
        <v>1.5176002322560584E-3</v>
      </c>
      <c r="Q355" s="3">
        <f t="shared" si="362"/>
        <v>1.5176000961151896E-3</v>
      </c>
      <c r="R355" s="3">
        <f t="shared" si="362"/>
        <v>1.5175987347071746E-3</v>
      </c>
      <c r="S355" s="3">
        <f t="shared" si="362"/>
        <v>1.5175851206941941E-3</v>
      </c>
      <c r="T355" s="3">
        <f t="shared" si="362"/>
        <v>1.51744898728125E-3</v>
      </c>
      <c r="U355" s="3">
        <f t="shared" si="362"/>
        <v>1.5160883246150263E-3</v>
      </c>
      <c r="V355" s="3">
        <f t="shared" si="362"/>
        <v>1.5025486219364353E-3</v>
      </c>
      <c r="W355" s="3">
        <f t="shared" si="362"/>
        <v>1.3736270897225396E-3</v>
      </c>
      <c r="X355" s="3">
        <f t="shared" si="362"/>
        <v>5.6010825423690304E-4</v>
      </c>
      <c r="Y355" s="3">
        <f t="shared" si="362"/>
        <v>7.1171026623551468E-8</v>
      </c>
      <c r="Z355" s="3">
        <f t="shared" si="362"/>
        <v>7.8093665250736734E-47</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3.5883218113444658E-3</v>
      </c>
      <c r="C356" s="3">
        <f t="shared" si="363"/>
        <v>3.5883218113444658E-3</v>
      </c>
      <c r="D356" s="3">
        <f t="shared" si="363"/>
        <v>3.5883218113444658E-3</v>
      </c>
      <c r="E356" s="3">
        <f t="shared" si="363"/>
        <v>3.5883218113444658E-3</v>
      </c>
      <c r="F356" s="3">
        <f t="shared" si="363"/>
        <v>3.5883218113444658E-3</v>
      </c>
      <c r="G356" s="3">
        <f t="shared" si="363"/>
        <v>3.5883218113444658E-3</v>
      </c>
      <c r="H356" s="3">
        <f t="shared" si="363"/>
        <v>3.5883218113444658E-3</v>
      </c>
      <c r="I356" s="3">
        <f t="shared" si="363"/>
        <v>3.5883218113444654E-3</v>
      </c>
      <c r="J356" s="3">
        <f t="shared" si="363"/>
        <v>3.5883218113444623E-3</v>
      </c>
      <c r="K356" s="3">
        <f t="shared" si="363"/>
        <v>3.5883218113444298E-3</v>
      </c>
      <c r="L356" s="3">
        <f t="shared" si="363"/>
        <v>3.588321811344108E-3</v>
      </c>
      <c r="M356" s="3">
        <f t="shared" si="363"/>
        <v>3.5883218113408892E-3</v>
      </c>
      <c r="N356" s="3">
        <f t="shared" si="363"/>
        <v>3.5883218113086988E-3</v>
      </c>
      <c r="O356" s="3">
        <f t="shared" si="363"/>
        <v>3.5883218109867975E-3</v>
      </c>
      <c r="P356" s="3">
        <f t="shared" si="363"/>
        <v>3.5883218077677865E-3</v>
      </c>
      <c r="Q356" s="3">
        <f t="shared" si="363"/>
        <v>3.5883217755776709E-3</v>
      </c>
      <c r="R356" s="3">
        <f t="shared" si="363"/>
        <v>3.5883214536765315E-3</v>
      </c>
      <c r="S356" s="3">
        <f t="shared" si="363"/>
        <v>3.5883182346667275E-3</v>
      </c>
      <c r="T356" s="3">
        <f t="shared" si="363"/>
        <v>3.5882860447275112E-3</v>
      </c>
      <c r="U356" s="3">
        <f t="shared" si="363"/>
        <v>3.5879641612171719E-3</v>
      </c>
      <c r="V356" s="3">
        <f t="shared" si="363"/>
        <v>3.5847469137690953E-3</v>
      </c>
      <c r="W356" s="3">
        <f t="shared" si="363"/>
        <v>3.5527326791084889E-3</v>
      </c>
      <c r="X356" s="3">
        <f t="shared" si="363"/>
        <v>3.2479014517857027E-3</v>
      </c>
      <c r="Y356" s="3">
        <f t="shared" si="363"/>
        <v>1.3243597375912628E-3</v>
      </c>
      <c r="Z356" s="3">
        <f t="shared" si="363"/>
        <v>1.6828183021812948E-7</v>
      </c>
      <c r="AA356" s="3">
        <f t="shared" si="363"/>
        <v>1.8465020866352281E-46</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1.1419429769572463E-2</v>
      </c>
      <c r="C357" s="3">
        <f t="shared" si="364"/>
        <v>1.1419429769572463E-2</v>
      </c>
      <c r="D357" s="3">
        <f t="shared" si="364"/>
        <v>1.1419429769572463E-2</v>
      </c>
      <c r="E357" s="3">
        <f t="shared" si="364"/>
        <v>1.1419429769572463E-2</v>
      </c>
      <c r="F357" s="3">
        <f t="shared" si="364"/>
        <v>1.1419429769572463E-2</v>
      </c>
      <c r="G357" s="3">
        <f t="shared" si="364"/>
        <v>1.1419429769572463E-2</v>
      </c>
      <c r="H357" s="3">
        <f t="shared" si="364"/>
        <v>1.1419429769572463E-2</v>
      </c>
      <c r="I357" s="3">
        <f t="shared" si="364"/>
        <v>1.1419429769572463E-2</v>
      </c>
      <c r="J357" s="3">
        <f t="shared" si="364"/>
        <v>1.1419429769572461E-2</v>
      </c>
      <c r="K357" s="3">
        <f t="shared" si="364"/>
        <v>1.1419429769572451E-2</v>
      </c>
      <c r="L357" s="3">
        <f t="shared" si="364"/>
        <v>1.1419429769572349E-2</v>
      </c>
      <c r="M357" s="3">
        <f t="shared" si="364"/>
        <v>1.1419429769571325E-2</v>
      </c>
      <c r="N357" s="3">
        <f t="shared" si="364"/>
        <v>1.141942976956108E-2</v>
      </c>
      <c r="O357" s="3">
        <f t="shared" si="364"/>
        <v>1.1419429769458639E-2</v>
      </c>
      <c r="P357" s="3">
        <f t="shared" si="364"/>
        <v>1.1419429768434224E-2</v>
      </c>
      <c r="Q357" s="3">
        <f t="shared" si="364"/>
        <v>1.1419429758190084E-2</v>
      </c>
      <c r="R357" s="3">
        <f t="shared" si="364"/>
        <v>1.1419429655748669E-2</v>
      </c>
      <c r="S357" s="3">
        <f t="shared" si="364"/>
        <v>1.141942863133457E-2</v>
      </c>
      <c r="T357" s="3">
        <f t="shared" si="364"/>
        <v>1.1419418387198644E-2</v>
      </c>
      <c r="U357" s="3">
        <f t="shared" si="364"/>
        <v>1.1419315946344816E-2</v>
      </c>
      <c r="V357" s="3">
        <f t="shared" si="364"/>
        <v>1.1418291588348639E-2</v>
      </c>
      <c r="W357" s="3">
        <f t="shared" si="364"/>
        <v>1.1408053060920999E-2</v>
      </c>
      <c r="X357" s="3">
        <f t="shared" si="364"/>
        <v>1.1306171367039026E-2</v>
      </c>
      <c r="Y357" s="3">
        <f t="shared" si="364"/>
        <v>1.033608033981288E-2</v>
      </c>
      <c r="Z357" s="3">
        <f t="shared" si="364"/>
        <v>4.2146256128032236E-3</v>
      </c>
      <c r="AA357" s="3">
        <f t="shared" si="364"/>
        <v>5.3553795972135343E-7</v>
      </c>
      <c r="AB357" s="3">
        <f t="shared" si="364"/>
        <v>5.8762847944787678E-46</v>
      </c>
      <c r="AC357" s="3">
        <f t="shared" si="364"/>
        <v>0</v>
      </c>
      <c r="AD357" s="3">
        <f t="shared" si="364"/>
        <v>0</v>
      </c>
      <c r="AE357" s="3">
        <f t="shared" si="364"/>
        <v>0</v>
      </c>
      <c r="AF357" s="3">
        <f t="shared" si="364"/>
        <v>0</v>
      </c>
      <c r="AG357" s="3"/>
      <c r="AH357" s="3"/>
    </row>
    <row r="358" spans="1:34" x14ac:dyDescent="0.25">
      <c r="A358" s="80">
        <f>AVERAGE(B358:AF358)</f>
        <v>1.1204387982207093E-2</v>
      </c>
      <c r="B358" s="81">
        <f>IF($A$64&lt;=B324,IF($B$64&gt;=B324,ABS((B326-B325)/B325),0),0)</f>
        <v>0</v>
      </c>
      <c r="C358" s="81">
        <f t="shared" ref="C358:AF358" si="365">IF($A$64&lt;=C324,IF($B$64&gt;=C324,ABS((C326-C325)/C325),0),0)</f>
        <v>0</v>
      </c>
      <c r="D358" s="81">
        <f t="shared" si="365"/>
        <v>0</v>
      </c>
      <c r="E358" s="81">
        <f t="shared" si="365"/>
        <v>0</v>
      </c>
      <c r="F358" s="81">
        <f t="shared" si="365"/>
        <v>0</v>
      </c>
      <c r="G358" s="81">
        <f t="shared" si="365"/>
        <v>0</v>
      </c>
      <c r="H358" s="81">
        <f t="shared" si="365"/>
        <v>0</v>
      </c>
      <c r="I358" s="81">
        <f t="shared" si="365"/>
        <v>0</v>
      </c>
      <c r="J358" s="81">
        <f t="shared" si="365"/>
        <v>0</v>
      </c>
      <c r="K358" s="81">
        <f t="shared" si="365"/>
        <v>0</v>
      </c>
      <c r="L358" s="81">
        <f t="shared" si="365"/>
        <v>5.8432135021566842E-3</v>
      </c>
      <c r="M358" s="81">
        <f t="shared" si="365"/>
        <v>1.5804103068110989E-2</v>
      </c>
      <c r="N358" s="81">
        <f t="shared" si="365"/>
        <v>2.4029029926872846E-2</v>
      </c>
      <c r="O358" s="81">
        <f t="shared" si="365"/>
        <v>2.6891082225269595E-2</v>
      </c>
      <c r="P358" s="81">
        <f t="shared" si="365"/>
        <v>2.4278254050764496E-2</v>
      </c>
      <c r="Q358" s="81">
        <f t="shared" si="365"/>
        <v>8.7969461686772301E-3</v>
      </c>
      <c r="R358" s="81">
        <f t="shared" si="365"/>
        <v>1.6055056196086191E-2</v>
      </c>
      <c r="S358" s="81">
        <f t="shared" si="365"/>
        <v>4.4616513924234068E-2</v>
      </c>
      <c r="T358" s="81">
        <f t="shared" si="365"/>
        <v>6.3755183606691648E-2</v>
      </c>
      <c r="U358" s="81">
        <f t="shared" si="365"/>
        <v>6.7943644487562779E-2</v>
      </c>
      <c r="V358" s="81">
        <f t="shared" si="365"/>
        <v>4.9323000291993394E-2</v>
      </c>
      <c r="W358" s="81">
        <f t="shared" si="365"/>
        <v>0</v>
      </c>
      <c r="X358" s="81">
        <f t="shared" si="365"/>
        <v>0</v>
      </c>
      <c r="Y358" s="81">
        <f t="shared" si="365"/>
        <v>0</v>
      </c>
      <c r="Z358" s="81">
        <f t="shared" si="365"/>
        <v>0</v>
      </c>
      <c r="AA358" s="81">
        <f t="shared" si="365"/>
        <v>0</v>
      </c>
      <c r="AB358" s="81">
        <f t="shared" si="365"/>
        <v>0</v>
      </c>
      <c r="AC358" s="81">
        <f t="shared" si="365"/>
        <v>0</v>
      </c>
      <c r="AD358" s="81">
        <f t="shared" si="365"/>
        <v>0</v>
      </c>
      <c r="AE358" s="81">
        <f t="shared" si="365"/>
        <v>0</v>
      </c>
      <c r="AF358" s="81">
        <f t="shared" si="365"/>
        <v>0</v>
      </c>
    </row>
    <row r="359" spans="1:34" x14ac:dyDescent="0.25">
      <c r="B359" s="21">
        <f>(B326-B325)^2</f>
        <v>1.6857560479515622E-2</v>
      </c>
      <c r="C359" s="21">
        <f t="shared" ref="C359:AF359" si="366">(C326-C325)^2</f>
        <v>1658.328913409546</v>
      </c>
      <c r="D359" s="21">
        <f t="shared" si="366"/>
        <v>2005.6292669206925</v>
      </c>
      <c r="E359" s="21">
        <f t="shared" si="366"/>
        <v>2885.5113648056663</v>
      </c>
      <c r="F359" s="21">
        <f t="shared" si="366"/>
        <v>3614.1557947927445</v>
      </c>
      <c r="G359" s="21">
        <f t="shared" si="366"/>
        <v>2909.7607523045099</v>
      </c>
      <c r="H359" s="21">
        <f t="shared" si="366"/>
        <v>1970.2338457996848</v>
      </c>
      <c r="I359" s="21">
        <f t="shared" si="366"/>
        <v>2034.1095261715516</v>
      </c>
      <c r="J359" s="21">
        <f t="shared" si="366"/>
        <v>1363.2458788686758</v>
      </c>
      <c r="K359" s="21">
        <f t="shared" si="366"/>
        <v>333.43932319767805</v>
      </c>
      <c r="L359" s="21">
        <f t="shared" si="366"/>
        <v>270.5489442433709</v>
      </c>
      <c r="M359" s="21">
        <f t="shared" si="366"/>
        <v>1742.74728781261</v>
      </c>
      <c r="N359" s="21">
        <f t="shared" si="366"/>
        <v>3463.4994809196705</v>
      </c>
      <c r="O359" s="21">
        <f t="shared" si="366"/>
        <v>3614.8649859296584</v>
      </c>
      <c r="P359" s="21">
        <f t="shared" si="366"/>
        <v>2342.0480558736685</v>
      </c>
      <c r="Q359" s="21">
        <f t="shared" si="366"/>
        <v>225.73238065373232</v>
      </c>
      <c r="R359" s="21">
        <f t="shared" si="366"/>
        <v>493.01692366738513</v>
      </c>
      <c r="S359" s="21">
        <f t="shared" si="366"/>
        <v>2175.4218247686858</v>
      </c>
      <c r="T359" s="21">
        <f t="shared" si="366"/>
        <v>2246.9771450973803</v>
      </c>
      <c r="U359" s="21">
        <f t="shared" si="366"/>
        <v>1245.8395016173458</v>
      </c>
      <c r="V359" s="21">
        <f t="shared" si="366"/>
        <v>357.82050518389599</v>
      </c>
      <c r="W359" s="21">
        <f t="shared" si="366"/>
        <v>90.739024467627161</v>
      </c>
      <c r="X359" s="21">
        <f t="shared" si="366"/>
        <v>13.522913174235045</v>
      </c>
      <c r="Y359" s="21">
        <f t="shared" si="366"/>
        <v>7.4844913455441366</v>
      </c>
      <c r="Z359" s="21">
        <f t="shared" si="366"/>
        <v>748.85760094957959</v>
      </c>
      <c r="AA359" s="21">
        <f t="shared" si="366"/>
        <v>2098.7855400148314</v>
      </c>
      <c r="AB359" s="21">
        <f t="shared" si="366"/>
        <v>1194.3366142106092</v>
      </c>
      <c r="AC359" s="21">
        <f t="shared" si="366"/>
        <v>711.39020597423121</v>
      </c>
      <c r="AD359" s="21">
        <f t="shared" si="366"/>
        <v>661.90775943045344</v>
      </c>
      <c r="AE359" s="21">
        <f t="shared" si="366"/>
        <v>656.68155924003895</v>
      </c>
      <c r="AF359" s="21">
        <f t="shared" si="366"/>
        <v>651.71995289752192</v>
      </c>
      <c r="AG359" s="3"/>
      <c r="AH359" s="3"/>
    </row>
    <row r="360" spans="1:34" x14ac:dyDescent="0.25">
      <c r="A360" s="72">
        <f>SUM(B360:AF360)</f>
        <v>18178.517035767403</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270.5489442433709</v>
      </c>
      <c r="M360" s="60">
        <f t="shared" si="367"/>
        <v>1742.74728781261</v>
      </c>
      <c r="N360" s="60">
        <f t="shared" si="367"/>
        <v>3463.4994809196705</v>
      </c>
      <c r="O360" s="60">
        <f t="shared" si="367"/>
        <v>3614.8649859296584</v>
      </c>
      <c r="P360" s="60">
        <f t="shared" si="367"/>
        <v>2342.0480558736685</v>
      </c>
      <c r="Q360" s="60">
        <f t="shared" si="367"/>
        <v>225.73238065373232</v>
      </c>
      <c r="R360" s="60">
        <f t="shared" si="367"/>
        <v>493.01692366738513</v>
      </c>
      <c r="S360" s="60">
        <f t="shared" si="367"/>
        <v>2175.4218247686858</v>
      </c>
      <c r="T360" s="60">
        <f t="shared" si="367"/>
        <v>2246.9771450973803</v>
      </c>
      <c r="U360" s="60">
        <f t="shared" si="367"/>
        <v>1245.8395016173458</v>
      </c>
      <c r="V360" s="60">
        <f t="shared" si="367"/>
        <v>357.82050518389599</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3448.2859181540075</v>
      </c>
      <c r="C364" s="26">
        <f>INDEX(Comparison!$AM$3:$AS$33,G$14,$H$122)</f>
        <v>3239.5923652397146</v>
      </c>
      <c r="D364" s="26">
        <f>INDEX(Comparison!$AM$3:$AS$33,H$14,$H$122)</f>
        <v>3081.9689442141253</v>
      </c>
      <c r="E364" s="26">
        <f>INDEX(Comparison!$AM$3:$AS$33,I$14,$H$122)</f>
        <v>2925.1274026703973</v>
      </c>
      <c r="F364" s="26">
        <f>INDEX(Comparison!$AM$3:$AS$33,J$14,$H$122)</f>
        <v>2768.6775302611704</v>
      </c>
      <c r="G364" s="26">
        <f>INDEX(Comparison!$AM$3:$AS$33,K$14,$H$122)</f>
        <v>2587.8715481120807</v>
      </c>
      <c r="H364" s="26">
        <f>INDEX(Comparison!$AM$3:$AS$33,L$14,$H$122)</f>
        <v>2392.4689452404186</v>
      </c>
      <c r="I364" s="26">
        <f>INDEX(Comparison!$AM$3:$AS$33,M$14,$H$122)</f>
        <v>2172.7822789963197</v>
      </c>
      <c r="J364" s="26">
        <f>INDEX(Comparison!$AM$3:$AS$33,N$14,$H$122)</f>
        <v>1927.9643975704516</v>
      </c>
      <c r="K364" s="26">
        <f>INDEX(Comparison!$AM$3:$AS$33,O$14,$H$122)</f>
        <v>1643.6970338003</v>
      </c>
      <c r="L364" s="26">
        <f>INDEX(Comparison!$AM$3:$AS$33,P$14,$H$122)</f>
        <v>1319.6710728146086</v>
      </c>
      <c r="M364" s="26">
        <f>INDEX(Comparison!$AM$3:$AS$33,Q$14,$H$122)</f>
        <v>983.6154232764427</v>
      </c>
      <c r="N364" s="26">
        <f>INDEX(Comparison!$AM$3:$AS$33,R$14,$H$122)</f>
        <v>693.66104788005293</v>
      </c>
      <c r="O364" s="26">
        <f>INDEX(Comparison!$AM$3:$AS$33,S$14,$H$122)</f>
        <v>485.93999274200024</v>
      </c>
      <c r="P364" s="26">
        <f>INDEX(Comparison!$AM$3:$AS$33,T$14,$H$122)</f>
        <v>367.37990571310178</v>
      </c>
      <c r="Q364" s="26">
        <f>INDEX(Comparison!$AM$3:$AS$33,U$14,$H$122)</f>
        <v>307.17178720865763</v>
      </c>
      <c r="R364" s="26">
        <f>INDEX(Comparison!$AM$3:$AS$33,V$14,$H$122)</f>
        <v>279.06842494658031</v>
      </c>
      <c r="S364" s="26">
        <f>INDEX(Comparison!$AM$3:$AS$33,W$14,$H$122)</f>
        <v>261.67169004040318</v>
      </c>
      <c r="T364" s="26">
        <f>INDEX(Comparison!$AM$3:$AS$33,X$14,$H$122)</f>
        <v>251.34674819282765</v>
      </c>
      <c r="U364" s="26">
        <f>INDEX(Comparison!$AM$3:$AS$33,Y$14,$H$122)</f>
        <v>246.12933837944422</v>
      </c>
      <c r="V364" s="26">
        <f>INDEX(Comparison!$AM$3:$AS$33,Z$14,$H$122)</f>
        <v>232.30454015462297</v>
      </c>
      <c r="W364" s="26">
        <f>INDEX(Comparison!$AM$3:$AS$33,AA$14,$H$122)</f>
        <v>227.24083682489959</v>
      </c>
      <c r="X364" s="26">
        <f>INDEX(Comparison!$AM$3:$AS$33,AB$14,$H$122)</f>
        <v>226.40989093990805</v>
      </c>
      <c r="Y364" s="26">
        <f>INDEX(Comparison!$AM$3:$AS$33,AC$14,$H$122)</f>
        <v>226.30209993218824</v>
      </c>
      <c r="Z364" s="26">
        <f>INDEX(Comparison!$AM$3:$AS$33,AD$14,$H$122)</f>
        <v>225.971358220734</v>
      </c>
      <c r="AA364" s="26">
        <f>INDEX(Comparison!$AM$3:$AS$33,AE$14,$H$122)</f>
        <v>225.60625299057205</v>
      </c>
      <c r="AB364" s="26">
        <f>INDEX(Comparison!$AM$3:$AS$33,AF$14,$H$122)</f>
        <v>225.49131077609314</v>
      </c>
      <c r="AC364" s="26">
        <f>INDEX(Comparison!$AM$3:$AS$33,AG$14,$H$122)</f>
        <v>225.3813329804162</v>
      </c>
      <c r="AD364" s="26">
        <f>INDEX(Comparison!$AM$3:$AS$33,AH$14,$H$122)</f>
        <v>225.28846256587596</v>
      </c>
      <c r="AE364" s="26">
        <f>INDEX(Comparison!$AM$3:$AS$33,AI$14,$H$122)</f>
        <v>225.26138301118297</v>
      </c>
      <c r="AF364" s="26">
        <f>INDEX(Comparison!$AM$3:$AS$33,AJ$14,$H$122)</f>
        <v>225.24704548920718</v>
      </c>
      <c r="AG364" s="26"/>
      <c r="AH364" s="26"/>
    </row>
    <row r="365" spans="1:34" x14ac:dyDescent="0.25">
      <c r="A365" s="71" t="s">
        <v>22</v>
      </c>
      <c r="B365" s="27">
        <f>($C$17+SUM(B366:B396))*$B$51</f>
        <v>3437.5147934691518</v>
      </c>
      <c r="C365" s="27">
        <f t="shared" ref="C365:AF365" si="368">($C$17+SUM(C366:C396))*$B$51</f>
        <v>3273.2837835331989</v>
      </c>
      <c r="D365" s="27">
        <f t="shared" si="368"/>
        <v>3109.059742079422</v>
      </c>
      <c r="E365" s="27">
        <f t="shared" si="368"/>
        <v>2928.6835750231107</v>
      </c>
      <c r="F365" s="27">
        <f t="shared" si="368"/>
        <v>2738.7886542298852</v>
      </c>
      <c r="G365" s="27">
        <f t="shared" si="368"/>
        <v>2535.9834178597216</v>
      </c>
      <c r="H365" s="27">
        <f t="shared" si="368"/>
        <v>2331.7764718147055</v>
      </c>
      <c r="I365" s="27">
        <f t="shared" si="368"/>
        <v>2104.3302544975109</v>
      </c>
      <c r="J365" s="27">
        <f t="shared" si="368"/>
        <v>1900.8703416634723</v>
      </c>
      <c r="K365" s="27">
        <f t="shared" si="368"/>
        <v>1574.3502351939574</v>
      </c>
      <c r="L365" s="27">
        <f t="shared" si="368"/>
        <v>1325.8473255705369</v>
      </c>
      <c r="M365" s="27">
        <f t="shared" si="368"/>
        <v>970.66968956493088</v>
      </c>
      <c r="N365" s="27">
        <f t="shared" si="368"/>
        <v>714.2559866966734</v>
      </c>
      <c r="O365" s="27">
        <f t="shared" si="368"/>
        <v>483.42340310327774</v>
      </c>
      <c r="P365" s="27">
        <f t="shared" si="368"/>
        <v>375.29736091156917</v>
      </c>
      <c r="Q365" s="27">
        <f t="shared" si="368"/>
        <v>302.13864267428585</v>
      </c>
      <c r="R365" s="27">
        <f t="shared" si="368"/>
        <v>280.00886050905996</v>
      </c>
      <c r="S365" s="27">
        <f t="shared" si="368"/>
        <v>254.75040510529817</v>
      </c>
      <c r="T365" s="27">
        <f t="shared" si="368"/>
        <v>208.21331948358193</v>
      </c>
      <c r="U365" s="27">
        <f t="shared" si="368"/>
        <v>199.51075414831388</v>
      </c>
      <c r="V365" s="27">
        <f t="shared" si="368"/>
        <v>199.51075401213504</v>
      </c>
      <c r="W365" s="27">
        <f t="shared" si="368"/>
        <v>199.51075401213504</v>
      </c>
      <c r="X365" s="27">
        <f t="shared" si="368"/>
        <v>199.51075401213504</v>
      </c>
      <c r="Y365" s="27">
        <f t="shared" si="368"/>
        <v>199.51075401213504</v>
      </c>
      <c r="Z365" s="27">
        <f t="shared" si="368"/>
        <v>199.51075401213504</v>
      </c>
      <c r="AA365" s="27">
        <f t="shared" si="368"/>
        <v>199.51075401213504</v>
      </c>
      <c r="AB365" s="27">
        <f t="shared" si="368"/>
        <v>199.51075401213504</v>
      </c>
      <c r="AC365" s="27">
        <f t="shared" si="368"/>
        <v>199.51075401213504</v>
      </c>
      <c r="AD365" s="27">
        <f t="shared" si="368"/>
        <v>199.51075401213504</v>
      </c>
      <c r="AE365" s="27">
        <f t="shared" si="368"/>
        <v>199.51075401213504</v>
      </c>
      <c r="AF365" s="27">
        <f t="shared" si="368"/>
        <v>199.51075401213504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5.4141346507263827E-90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4.8004560267352028E-10</v>
      </c>
      <c r="C377" s="3">
        <f t="shared" si="380"/>
        <v>2.1632966841229105E-81</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5.6367661698683291E-3</v>
      </c>
      <c r="C378" s="3">
        <f t="shared" si="381"/>
        <v>2.0654384908065337E-9</v>
      </c>
      <c r="D378" s="3">
        <f t="shared" si="381"/>
        <v>9.0122811972455401E-74</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2.6944742035285275E-2</v>
      </c>
      <c r="C379" s="3">
        <f t="shared" si="382"/>
        <v>7.0776924354504405E-3</v>
      </c>
      <c r="D379" s="3">
        <f t="shared" si="382"/>
        <v>1.1067976993748398E-8</v>
      </c>
      <c r="E379" s="3">
        <f t="shared" si="382"/>
        <v>9.6790751698474196E-67</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2.9309277380874982E-2</v>
      </c>
      <c r="C380" s="3">
        <f t="shared" si="383"/>
        <v>2.5979557741393149E-2</v>
      </c>
      <c r="D380" s="3">
        <f t="shared" si="383"/>
        <v>7.7785416184373291E-3</v>
      </c>
      <c r="E380" s="3">
        <f t="shared" si="383"/>
        <v>4.5036272702483322E-8</v>
      </c>
      <c r="F380" s="3">
        <f t="shared" si="383"/>
        <v>1.9063605626387385E-60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3.5239982317636705E-2</v>
      </c>
      <c r="C381" s="3">
        <f t="shared" si="384"/>
        <v>3.4858698597893076E-2</v>
      </c>
      <c r="D381" s="3">
        <f t="shared" si="384"/>
        <v>3.1265547912497346E-2</v>
      </c>
      <c r="E381" s="3">
        <f t="shared" si="384"/>
        <v>1.0534520915417726E-2</v>
      </c>
      <c r="F381" s="3">
        <f t="shared" si="384"/>
        <v>1.9865625696000968E-7</v>
      </c>
      <c r="G381" s="3">
        <f t="shared" si="384"/>
        <v>1.129735651850896E-54</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3.4984170653300548E-2</v>
      </c>
      <c r="C382" s="3">
        <f t="shared" si="385"/>
        <v>3.4949856144152733E-2</v>
      </c>
      <c r="D382" s="3">
        <f t="shared" si="385"/>
        <v>3.460855678777628E-2</v>
      </c>
      <c r="E382" s="3">
        <f t="shared" si="385"/>
        <v>3.1373607255018088E-2</v>
      </c>
      <c r="F382" s="3">
        <f t="shared" si="385"/>
        <v>1.1759100990181267E-2</v>
      </c>
      <c r="G382" s="3">
        <f t="shared" si="385"/>
        <v>6.433847553080982E-7</v>
      </c>
      <c r="H382" s="3">
        <f t="shared" si="385"/>
        <v>1.5468109115625395E-49</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4.0020424429673053E-2</v>
      </c>
      <c r="C383" s="3">
        <f t="shared" si="386"/>
        <v>4.0016881778888104E-2</v>
      </c>
      <c r="D383" s="3">
        <f t="shared" si="386"/>
        <v>3.9981472514417069E-2</v>
      </c>
      <c r="E383" s="3">
        <f t="shared" si="386"/>
        <v>3.9629098572962367E-2</v>
      </c>
      <c r="F383" s="3">
        <f t="shared" si="386"/>
        <v>3.6271730828866575E-2</v>
      </c>
      <c r="G383" s="3">
        <f t="shared" si="386"/>
        <v>1.4966117196443968E-2</v>
      </c>
      <c r="H383" s="3">
        <f t="shared" si="386"/>
        <v>2.140512460490413E-6</v>
      </c>
      <c r="I383" s="3">
        <f t="shared" si="386"/>
        <v>7.666620143037252E-45</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3.5130561028419029E-2</v>
      </c>
      <c r="C384" s="3">
        <f t="shared" si="387"/>
        <v>3.5130280487756016E-2</v>
      </c>
      <c r="D384" s="3">
        <f t="shared" si="387"/>
        <v>3.5127475204339537E-2</v>
      </c>
      <c r="E384" s="3">
        <f t="shared" si="387"/>
        <v>3.5099434687900305E-2</v>
      </c>
      <c r="F384" s="3">
        <f t="shared" si="387"/>
        <v>3.4820257664303959E-2</v>
      </c>
      <c r="G384" s="3">
        <f t="shared" si="387"/>
        <v>3.2147748927616439E-2</v>
      </c>
      <c r="H384" s="3">
        <f t="shared" si="387"/>
        <v>1.4465599647761984E-2</v>
      </c>
      <c r="I384" s="3">
        <f t="shared" si="387"/>
        <v>4.9226071262043297E-6</v>
      </c>
      <c r="J384" s="3">
        <f t="shared" si="387"/>
        <v>1.0251384512622741E-40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5.1976548143627371E-2</v>
      </c>
      <c r="C385" s="3">
        <f t="shared" si="388"/>
        <v>5.1976510700998263E-2</v>
      </c>
      <c r="D385" s="3">
        <f t="shared" si="388"/>
        <v>5.197613627619066E-2</v>
      </c>
      <c r="E385" s="3">
        <f t="shared" si="388"/>
        <v>5.197239217646047E-2</v>
      </c>
      <c r="F385" s="3">
        <f t="shared" si="388"/>
        <v>5.1934966009790758E-2</v>
      </c>
      <c r="G385" s="3">
        <f t="shared" si="388"/>
        <v>5.1562183460975373E-2</v>
      </c>
      <c r="H385" s="3">
        <f t="shared" si="388"/>
        <v>4.7978402151730798E-2</v>
      </c>
      <c r="I385" s="3">
        <f t="shared" si="388"/>
        <v>2.3344823032326035E-2</v>
      </c>
      <c r="J385" s="3">
        <f t="shared" si="388"/>
        <v>1.7363554848341578E-5</v>
      </c>
      <c r="K385" s="3">
        <f t="shared" si="388"/>
        <v>8.997445299844166E-37</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2.318163514100119E-6</v>
      </c>
      <c r="C386" s="3">
        <f t="shared" si="389"/>
        <v>2.3181633634568602E-6</v>
      </c>
      <c r="D386" s="3">
        <f t="shared" si="389"/>
        <v>2.3181618570248127E-6</v>
      </c>
      <c r="E386" s="3">
        <f t="shared" si="389"/>
        <v>2.3181467927581747E-6</v>
      </c>
      <c r="F386" s="3">
        <f t="shared" si="389"/>
        <v>2.317996155475815E-6</v>
      </c>
      <c r="G386" s="3">
        <f t="shared" si="389"/>
        <v>2.3164903209245248E-6</v>
      </c>
      <c r="H386" s="3">
        <f t="shared" si="389"/>
        <v>2.3014856734448815E-6</v>
      </c>
      <c r="I386" s="3">
        <f t="shared" si="389"/>
        <v>2.1566821038143015E-6</v>
      </c>
      <c r="J386" s="3">
        <f t="shared" si="389"/>
        <v>1.1260682727090513E-6</v>
      </c>
      <c r="K386" s="3">
        <f t="shared" si="389"/>
        <v>1.6957061661163782E-9</v>
      </c>
      <c r="L386" s="3">
        <f t="shared" si="389"/>
        <v>1.0167387381231465E-37</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7.5767559409975205E-2</v>
      </c>
      <c r="C387" s="3">
        <f t="shared" si="390"/>
        <v>7.5767558048211336E-2</v>
      </c>
      <c r="D387" s="3">
        <f t="shared" si="390"/>
        <v>7.5767544430574041E-2</v>
      </c>
      <c r="E387" s="3">
        <f t="shared" si="390"/>
        <v>7.5767408254335686E-2</v>
      </c>
      <c r="F387" s="3">
        <f t="shared" si="390"/>
        <v>7.5766046505413229E-2</v>
      </c>
      <c r="G387" s="3">
        <f t="shared" si="390"/>
        <v>7.5752430362206802E-2</v>
      </c>
      <c r="H387" s="3">
        <f t="shared" si="390"/>
        <v>7.5616403442492527E-2</v>
      </c>
      <c r="I387" s="3">
        <f t="shared" si="390"/>
        <v>7.426949645833604E-2</v>
      </c>
      <c r="J387" s="3">
        <f t="shared" si="390"/>
        <v>6.2051902723763631E-2</v>
      </c>
      <c r="K387" s="3">
        <f t="shared" si="390"/>
        <v>1.0284929960364501E-2</v>
      </c>
      <c r="L387" s="3">
        <f t="shared" si="390"/>
        <v>1.6093988766155471E-10</v>
      </c>
      <c r="M387" s="3">
        <f t="shared" si="390"/>
        <v>1.4167305109723347E-88</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3.067875949443952E-2</v>
      </c>
      <c r="C388" s="3">
        <f t="shared" si="391"/>
        <v>3.0678759439300849E-2</v>
      </c>
      <c r="D388" s="3">
        <f t="shared" si="391"/>
        <v>3.0678758887914128E-2</v>
      </c>
      <c r="E388" s="3">
        <f t="shared" si="391"/>
        <v>3.0678753374047484E-2</v>
      </c>
      <c r="F388" s="3">
        <f t="shared" si="391"/>
        <v>3.0678698235435516E-2</v>
      </c>
      <c r="G388" s="3">
        <f t="shared" si="391"/>
        <v>3.0678146854766348E-2</v>
      </c>
      <c r="H388" s="3">
        <f t="shared" si="391"/>
        <v>3.0672633593085835E-2</v>
      </c>
      <c r="I388" s="3">
        <f t="shared" si="391"/>
        <v>3.0617555441173842E-2</v>
      </c>
      <c r="J388" s="3">
        <f t="shared" si="391"/>
        <v>3.0072184365797609E-2</v>
      </c>
      <c r="K388" s="3">
        <f t="shared" si="391"/>
        <v>2.5125204127435741E-2</v>
      </c>
      <c r="L388" s="3">
        <f t="shared" si="391"/>
        <v>4.1644325693106507E-3</v>
      </c>
      <c r="M388" s="3">
        <f t="shared" si="391"/>
        <v>6.5165568697292868E-11</v>
      </c>
      <c r="N388" s="3">
        <f t="shared" si="391"/>
        <v>5.7364305878269885E-89</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7.5768782256057363E-2</v>
      </c>
      <c r="C389" s="3">
        <f t="shared" si="392"/>
        <v>7.5768782242439506E-2</v>
      </c>
      <c r="D389" s="3">
        <f t="shared" si="392"/>
        <v>7.5768782106260923E-2</v>
      </c>
      <c r="E389" s="3">
        <f t="shared" si="392"/>
        <v>7.5768780744475073E-2</v>
      </c>
      <c r="F389" s="3">
        <f t="shared" si="392"/>
        <v>7.5768767126618022E-2</v>
      </c>
      <c r="G389" s="3">
        <f t="shared" si="392"/>
        <v>7.5768630948182134E-2</v>
      </c>
      <c r="H389" s="3">
        <f t="shared" si="392"/>
        <v>7.5767269177284505E-2</v>
      </c>
      <c r="I389" s="3">
        <f t="shared" si="392"/>
        <v>7.5753652814348052E-2</v>
      </c>
      <c r="J389" s="3">
        <f t="shared" si="392"/>
        <v>7.5617623699504213E-2</v>
      </c>
      <c r="K389" s="3">
        <f t="shared" si="392"/>
        <v>7.4270694979684346E-2</v>
      </c>
      <c r="L389" s="3">
        <f t="shared" si="392"/>
        <v>6.2052904084129112E-2</v>
      </c>
      <c r="M389" s="3">
        <f t="shared" si="392"/>
        <v>1.0285095933054648E-2</v>
      </c>
      <c r="N389" s="3">
        <f t="shared" si="392"/>
        <v>1.6094248482324825E-10</v>
      </c>
      <c r="O389" s="3">
        <f t="shared" si="392"/>
        <v>1.4167533734103902E-88</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3.9961444502380115E-2</v>
      </c>
      <c r="C390" s="3">
        <f t="shared" si="393"/>
        <v>3.9961444501661891E-2</v>
      </c>
      <c r="D390" s="3">
        <f t="shared" si="393"/>
        <v>3.9961444494479657E-2</v>
      </c>
      <c r="E390" s="3">
        <f t="shared" si="393"/>
        <v>3.9961444422657297E-2</v>
      </c>
      <c r="F390" s="3">
        <f t="shared" si="393"/>
        <v>3.996144370443367E-2</v>
      </c>
      <c r="G390" s="3">
        <f t="shared" si="393"/>
        <v>3.9961436522198156E-2</v>
      </c>
      <c r="H390" s="3">
        <f t="shared" si="393"/>
        <v>3.9961364699914015E-2</v>
      </c>
      <c r="I390" s="3">
        <f t="shared" si="393"/>
        <v>3.996064648417226E-2</v>
      </c>
      <c r="J390" s="3">
        <f t="shared" si="393"/>
        <v>3.9953465036673734E-2</v>
      </c>
      <c r="K390" s="3">
        <f t="shared" si="393"/>
        <v>3.9881721506401964E-2</v>
      </c>
      <c r="L390" s="3">
        <f t="shared" si="393"/>
        <v>3.9171333722909867E-2</v>
      </c>
      <c r="M390" s="3">
        <f t="shared" si="393"/>
        <v>3.2727511369322976E-2</v>
      </c>
      <c r="N390" s="3">
        <f t="shared" si="393"/>
        <v>5.4244938097863333E-3</v>
      </c>
      <c r="O390" s="3">
        <f t="shared" si="393"/>
        <v>8.4883166704314139E-11</v>
      </c>
      <c r="P390" s="3">
        <f t="shared" si="393"/>
        <v>7.4721421696803674E-89</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4.8323610204737265E-2</v>
      </c>
      <c r="C391" s="3">
        <f t="shared" si="394"/>
        <v>4.8323610204650418E-2</v>
      </c>
      <c r="D391" s="3">
        <f t="shared" si="394"/>
        <v>4.8323610203781897E-2</v>
      </c>
      <c r="E391" s="3">
        <f t="shared" si="394"/>
        <v>4.832361019509674E-2</v>
      </c>
      <c r="F391" s="3">
        <f t="shared" si="394"/>
        <v>4.8323610108245131E-2</v>
      </c>
      <c r="G391" s="3">
        <f t="shared" si="394"/>
        <v>4.8323609239729011E-2</v>
      </c>
      <c r="H391" s="3">
        <f t="shared" si="394"/>
        <v>4.8323600554568767E-2</v>
      </c>
      <c r="I391" s="3">
        <f t="shared" si="394"/>
        <v>4.8323513703052101E-2</v>
      </c>
      <c r="J391" s="3">
        <f t="shared" si="394"/>
        <v>4.8322645196470837E-2</v>
      </c>
      <c r="K391" s="3">
        <f t="shared" si="394"/>
        <v>4.8313960989131849E-2</v>
      </c>
      <c r="L391" s="3">
        <f t="shared" si="394"/>
        <v>4.8227204706051241E-2</v>
      </c>
      <c r="M391" s="3">
        <f t="shared" si="394"/>
        <v>4.7368164129037736E-2</v>
      </c>
      <c r="N391" s="3">
        <f t="shared" si="394"/>
        <v>3.9575934305508723E-2</v>
      </c>
      <c r="O391" s="3">
        <f t="shared" si="394"/>
        <v>6.5596008273935457E-3</v>
      </c>
      <c r="P391" s="3">
        <f t="shared" si="394"/>
        <v>1.0264546519361504E-10</v>
      </c>
      <c r="Q391" s="3">
        <f t="shared" si="394"/>
        <v>9.0357315682086788E-89</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1.4844365312015025E-2</v>
      </c>
      <c r="C392" s="3">
        <f t="shared" si="395"/>
        <v>1.4844365312012357E-2</v>
      </c>
      <c r="D392" s="3">
        <f t="shared" si="395"/>
        <v>1.4844365311985679E-2</v>
      </c>
      <c r="E392" s="3">
        <f t="shared" si="395"/>
        <v>1.4844365311718882E-2</v>
      </c>
      <c r="F392" s="3">
        <f t="shared" si="395"/>
        <v>1.4844365309050917E-2</v>
      </c>
      <c r="G392" s="3">
        <f t="shared" si="395"/>
        <v>1.4844365282371265E-2</v>
      </c>
      <c r="H392" s="3">
        <f t="shared" si="395"/>
        <v>1.4844365015574757E-2</v>
      </c>
      <c r="I392" s="3">
        <f t="shared" si="395"/>
        <v>1.4844362347609946E-2</v>
      </c>
      <c r="J392" s="3">
        <f t="shared" si="395"/>
        <v>1.484433566798821E-2</v>
      </c>
      <c r="K392" s="3">
        <f t="shared" si="395"/>
        <v>1.4844068874408145E-2</v>
      </c>
      <c r="L392" s="3">
        <f t="shared" si="395"/>
        <v>1.4841401202319098E-2</v>
      </c>
      <c r="M392" s="3">
        <f t="shared" si="395"/>
        <v>1.4814750835061672E-2</v>
      </c>
      <c r="N392" s="3">
        <f t="shared" si="395"/>
        <v>1.455086508461788E-2</v>
      </c>
      <c r="O392" s="3">
        <f t="shared" si="395"/>
        <v>1.2157196532008729E-2</v>
      </c>
      <c r="P392" s="3">
        <f t="shared" si="395"/>
        <v>2.0150214474924022E-3</v>
      </c>
      <c r="Q392" s="3">
        <f t="shared" si="395"/>
        <v>3.1531311019599664E-11</v>
      </c>
      <c r="R392" s="3">
        <f t="shared" si="395"/>
        <v>2.7756556203373833E-89</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1.5641900970231187E-2</v>
      </c>
      <c r="C393" s="3">
        <f t="shared" si="396"/>
        <v>1.5641900970230906E-2</v>
      </c>
      <c r="D393" s="3">
        <f t="shared" si="396"/>
        <v>1.5641900970228096E-2</v>
      </c>
      <c r="E393" s="3">
        <f t="shared" si="396"/>
        <v>1.5641900970199983E-2</v>
      </c>
      <c r="F393" s="3">
        <f t="shared" si="396"/>
        <v>1.564190096991885E-2</v>
      </c>
      <c r="G393" s="3">
        <f t="shared" si="396"/>
        <v>1.5641900967107547E-2</v>
      </c>
      <c r="H393" s="3">
        <f t="shared" si="396"/>
        <v>1.564190093899449E-2</v>
      </c>
      <c r="I393" s="3">
        <f t="shared" si="396"/>
        <v>1.5641900657863944E-2</v>
      </c>
      <c r="J393" s="3">
        <f t="shared" si="396"/>
        <v>1.5641897846558745E-2</v>
      </c>
      <c r="K393" s="3">
        <f t="shared" si="396"/>
        <v>1.5641869733534555E-2</v>
      </c>
      <c r="L393" s="3">
        <f t="shared" si="396"/>
        <v>1.5641588606071628E-2</v>
      </c>
      <c r="M393" s="3">
        <f t="shared" si="396"/>
        <v>1.56387776093223E-2</v>
      </c>
      <c r="N393" s="3">
        <f t="shared" si="396"/>
        <v>1.5610695411350286E-2</v>
      </c>
      <c r="O393" s="3">
        <f t="shared" si="396"/>
        <v>1.5332632005530171E-2</v>
      </c>
      <c r="P393" s="3">
        <f t="shared" si="396"/>
        <v>1.2810360041153011E-2</v>
      </c>
      <c r="Q393" s="3">
        <f t="shared" si="396"/>
        <v>2.1232814790037679E-3</v>
      </c>
      <c r="R393" s="3">
        <f t="shared" si="396"/>
        <v>3.3225377714931646E-11</v>
      </c>
      <c r="S393" s="3">
        <f t="shared" si="396"/>
        <v>2.9247818568329664E-89</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1.5176002473828219E-3</v>
      </c>
      <c r="C394" s="3">
        <f t="shared" si="397"/>
        <v>1.5176002473828193E-3</v>
      </c>
      <c r="D394" s="3">
        <f t="shared" si="397"/>
        <v>1.517600247382792E-3</v>
      </c>
      <c r="E394" s="3">
        <f t="shared" si="397"/>
        <v>1.5176002473825192E-3</v>
      </c>
      <c r="F394" s="3">
        <f t="shared" si="397"/>
        <v>1.5176002473797918E-3</v>
      </c>
      <c r="G394" s="3">
        <f t="shared" si="397"/>
        <v>1.5176002473525161E-3</v>
      </c>
      <c r="H394" s="3">
        <f t="shared" si="397"/>
        <v>1.517600247079759E-3</v>
      </c>
      <c r="I394" s="3">
        <f t="shared" si="397"/>
        <v>1.5176002443521891E-3</v>
      </c>
      <c r="J394" s="3">
        <f t="shared" si="397"/>
        <v>1.5176002170764896E-3</v>
      </c>
      <c r="K394" s="3">
        <f t="shared" si="397"/>
        <v>1.5175999443195229E-3</v>
      </c>
      <c r="L394" s="3">
        <f t="shared" si="397"/>
        <v>1.5175972167525507E-3</v>
      </c>
      <c r="M394" s="3">
        <f t="shared" si="397"/>
        <v>1.5175699413524514E-3</v>
      </c>
      <c r="N394" s="3">
        <f t="shared" si="397"/>
        <v>1.5172972143117742E-3</v>
      </c>
      <c r="O394" s="3">
        <f t="shared" si="397"/>
        <v>1.5145726381448179E-3</v>
      </c>
      <c r="P394" s="3">
        <f t="shared" si="397"/>
        <v>1.4875945173739588E-3</v>
      </c>
      <c r="Q394" s="3">
        <f t="shared" si="397"/>
        <v>1.242879980158157E-3</v>
      </c>
      <c r="R394" s="3">
        <f t="shared" si="397"/>
        <v>2.0600389325645062E-4</v>
      </c>
      <c r="S394" s="3">
        <f t="shared" si="397"/>
        <v>3.2235750332091915E-12</v>
      </c>
      <c r="T394" s="3">
        <f t="shared" si="397"/>
        <v>2.8376663922869015E-90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3.5883218113444658E-3</v>
      </c>
      <c r="C395" s="3">
        <f t="shared" si="398"/>
        <v>3.5883218113444649E-3</v>
      </c>
      <c r="D395" s="3">
        <f t="shared" si="398"/>
        <v>3.5883218113444584E-3</v>
      </c>
      <c r="E395" s="3">
        <f t="shared" si="398"/>
        <v>3.5883218113443942E-3</v>
      </c>
      <c r="F395" s="3">
        <f t="shared" si="398"/>
        <v>3.5883218113437489E-3</v>
      </c>
      <c r="G395" s="3">
        <f t="shared" si="398"/>
        <v>3.5883218113373001E-3</v>
      </c>
      <c r="H395" s="3">
        <f t="shared" si="398"/>
        <v>3.5883218112728074E-3</v>
      </c>
      <c r="I395" s="3">
        <f t="shared" si="398"/>
        <v>3.5883218106278814E-3</v>
      </c>
      <c r="J395" s="3">
        <f t="shared" si="398"/>
        <v>3.5883218041786215E-3</v>
      </c>
      <c r="K395" s="3">
        <f t="shared" si="398"/>
        <v>3.5883217396860201E-3</v>
      </c>
      <c r="L395" s="3">
        <f t="shared" si="398"/>
        <v>3.5883210947600754E-3</v>
      </c>
      <c r="M395" s="3">
        <f t="shared" si="398"/>
        <v>3.5883146455070033E-3</v>
      </c>
      <c r="N395" s="3">
        <f t="shared" si="398"/>
        <v>3.588250153613793E-3</v>
      </c>
      <c r="O395" s="3">
        <f t="shared" si="398"/>
        <v>3.5876052984285807E-3</v>
      </c>
      <c r="P395" s="3">
        <f t="shared" si="398"/>
        <v>3.5811631170284265E-3</v>
      </c>
      <c r="Q395" s="3">
        <f t="shared" si="398"/>
        <v>3.5173741321767793E-3</v>
      </c>
      <c r="R395" s="3">
        <f t="shared" si="398"/>
        <v>2.938753699715147E-3</v>
      </c>
      <c r="S395" s="3">
        <f t="shared" si="398"/>
        <v>4.8709023648935254E-4</v>
      </c>
      <c r="T395" s="3">
        <f t="shared" si="398"/>
        <v>7.6220497605467976E-12</v>
      </c>
      <c r="U395" s="3">
        <f t="shared" si="398"/>
        <v>6.7095799610750016E-90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1.1419429769572463E-2</v>
      </c>
      <c r="C396" s="3">
        <f t="shared" si="399"/>
        <v>1.1419429769572463E-2</v>
      </c>
      <c r="D396" s="3">
        <f t="shared" si="399"/>
        <v>1.1419429769572461E-2</v>
      </c>
      <c r="E396" s="3">
        <f t="shared" si="399"/>
        <v>1.1419429769572441E-2</v>
      </c>
      <c r="F396" s="3">
        <f t="shared" si="399"/>
        <v>1.1419429769572234E-2</v>
      </c>
      <c r="G396" s="3">
        <f t="shared" si="399"/>
        <v>1.1419429769570182E-2</v>
      </c>
      <c r="H396" s="3">
        <f t="shared" si="399"/>
        <v>1.1419429769549658E-2</v>
      </c>
      <c r="I396" s="3">
        <f t="shared" si="399"/>
        <v>1.1419429769344418E-2</v>
      </c>
      <c r="J396" s="3">
        <f t="shared" si="399"/>
        <v>1.1419429767292015E-2</v>
      </c>
      <c r="K396" s="3">
        <f t="shared" si="399"/>
        <v>1.141942974676797E-2</v>
      </c>
      <c r="L396" s="3">
        <f t="shared" si="399"/>
        <v>1.1419429541527536E-2</v>
      </c>
      <c r="M396" s="3">
        <f t="shared" si="399"/>
        <v>1.1419427489123399E-2</v>
      </c>
      <c r="N396" s="3">
        <f t="shared" si="399"/>
        <v>1.1419406965102311E-2</v>
      </c>
      <c r="O396" s="3">
        <f t="shared" si="399"/>
        <v>1.1419201726920247E-2</v>
      </c>
      <c r="P396" s="3">
        <f t="shared" si="399"/>
        <v>1.1417149547966899E-2</v>
      </c>
      <c r="Q396" s="3">
        <f t="shared" si="399"/>
        <v>1.1396648031678887E-2</v>
      </c>
      <c r="R396" s="3">
        <f t="shared" si="399"/>
        <v>1.1193646776250022E-2</v>
      </c>
      <c r="S396" s="3">
        <f t="shared" si="399"/>
        <v>9.3522524590386666E-3</v>
      </c>
      <c r="T396" s="3">
        <f t="shared" si="399"/>
        <v>1.5501097837572527E-3</v>
      </c>
      <c r="U396" s="3">
        <f t="shared" si="399"/>
        <v>2.4256314376702737E-11</v>
      </c>
      <c r="V396" s="3">
        <f t="shared" si="399"/>
        <v>2.1352482072983037E-89</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80">
        <f>AVERAGE(B397:AF397)</f>
        <v>2.0085503842200134E-2</v>
      </c>
      <c r="B397" s="81">
        <f>IF($A$64&lt;=B363,IF($B$64&gt;=B363,ABS((B365-B364)/B364),0),0)</f>
        <v>0</v>
      </c>
      <c r="C397" s="81">
        <f t="shared" ref="C397:AF397" si="400">IF($A$64&lt;=C363,IF($B$64&gt;=C363,ABS((C365-C364)/C364),0),0)</f>
        <v>0</v>
      </c>
      <c r="D397" s="81">
        <f t="shared" si="400"/>
        <v>0</v>
      </c>
      <c r="E397" s="81">
        <f t="shared" si="400"/>
        <v>0</v>
      </c>
      <c r="F397" s="81">
        <f t="shared" si="400"/>
        <v>0</v>
      </c>
      <c r="G397" s="81">
        <f t="shared" si="400"/>
        <v>0</v>
      </c>
      <c r="H397" s="81">
        <f t="shared" si="400"/>
        <v>0</v>
      </c>
      <c r="I397" s="81">
        <f t="shared" si="400"/>
        <v>0</v>
      </c>
      <c r="J397" s="81">
        <f t="shared" si="400"/>
        <v>0</v>
      </c>
      <c r="K397" s="81">
        <f t="shared" si="400"/>
        <v>0</v>
      </c>
      <c r="L397" s="81">
        <f t="shared" si="400"/>
        <v>4.6801455932163E-3</v>
      </c>
      <c r="M397" s="81">
        <f t="shared" si="400"/>
        <v>1.3161377307799142E-2</v>
      </c>
      <c r="N397" s="81">
        <f t="shared" si="400"/>
        <v>2.9690205150717533E-2</v>
      </c>
      <c r="O397" s="81">
        <f t="shared" si="400"/>
        <v>5.1788074171920202E-3</v>
      </c>
      <c r="P397" s="81">
        <f t="shared" si="400"/>
        <v>2.1551138413787873E-2</v>
      </c>
      <c r="Q397" s="81">
        <f t="shared" si="400"/>
        <v>1.6385438845504516E-2</v>
      </c>
      <c r="R397" s="81">
        <f t="shared" si="400"/>
        <v>3.3699103102032019E-3</v>
      </c>
      <c r="S397" s="81">
        <f t="shared" si="400"/>
        <v>2.6450262670892417E-2</v>
      </c>
      <c r="T397" s="81">
        <f t="shared" si="400"/>
        <v>0.17160925700998014</v>
      </c>
      <c r="U397" s="81">
        <f t="shared" si="400"/>
        <v>0.18940685632226828</v>
      </c>
      <c r="V397" s="81">
        <f t="shared" si="400"/>
        <v>0.14116722006664284</v>
      </c>
      <c r="W397" s="81">
        <f t="shared" si="400"/>
        <v>0</v>
      </c>
      <c r="X397" s="81">
        <f t="shared" si="400"/>
        <v>0</v>
      </c>
      <c r="Y397" s="81">
        <f t="shared" si="400"/>
        <v>0</v>
      </c>
      <c r="Z397" s="81">
        <f t="shared" si="400"/>
        <v>0</v>
      </c>
      <c r="AA397" s="81">
        <f t="shared" si="400"/>
        <v>0</v>
      </c>
      <c r="AB397" s="81">
        <f t="shared" si="400"/>
        <v>0</v>
      </c>
      <c r="AC397" s="81">
        <f t="shared" si="400"/>
        <v>0</v>
      </c>
      <c r="AD397" s="81">
        <f t="shared" si="400"/>
        <v>0</v>
      </c>
      <c r="AE397" s="81">
        <f t="shared" si="400"/>
        <v>0</v>
      </c>
      <c r="AF397" s="81">
        <f t="shared" si="400"/>
        <v>0</v>
      </c>
    </row>
    <row r="398" spans="1:34" x14ac:dyDescent="0.25">
      <c r="B398" s="21">
        <f>(B365-B364)^2</f>
        <v>116.01712697670887</v>
      </c>
      <c r="C398" s="21">
        <f t="shared" ref="C398:AF398" si="401">(C365-C364)^2</f>
        <v>1135.1116666265268</v>
      </c>
      <c r="D398" s="21">
        <f t="shared" si="401"/>
        <v>733.91132897836621</v>
      </c>
      <c r="E398" s="21">
        <f t="shared" si="401"/>
        <v>12.646361802203689</v>
      </c>
      <c r="F398" s="21">
        <f t="shared" si="401"/>
        <v>893.34491041353704</v>
      </c>
      <c r="G398" s="21">
        <f t="shared" si="401"/>
        <v>2692.3780610857871</v>
      </c>
      <c r="H398" s="21">
        <f t="shared" si="401"/>
        <v>3683.5763305308983</v>
      </c>
      <c r="I398" s="21">
        <f t="shared" si="401"/>
        <v>4685.6796579855336</v>
      </c>
      <c r="J398" s="21">
        <f t="shared" si="401"/>
        <v>734.08786549051945</v>
      </c>
      <c r="K398" s="21">
        <f t="shared" si="401"/>
        <v>4808.9784769486459</v>
      </c>
      <c r="L398" s="21">
        <f t="shared" si="401"/>
        <v>38.146098105112131</v>
      </c>
      <c r="M398" s="21">
        <f t="shared" si="401"/>
        <v>167.59202132937361</v>
      </c>
      <c r="N398" s="21">
        <f t="shared" si="401"/>
        <v>424.15150486034054</v>
      </c>
      <c r="O398" s="21">
        <f t="shared" si="401"/>
        <v>6.3332234097254805</v>
      </c>
      <c r="P398" s="21">
        <f t="shared" si="401"/>
        <v>62.68609681973836</v>
      </c>
      <c r="Q398" s="21">
        <f t="shared" si="401"/>
        <v>25.332543903876584</v>
      </c>
      <c r="R398" s="21">
        <f t="shared" si="401"/>
        <v>0.88441904717641462</v>
      </c>
      <c r="S398" s="21">
        <f t="shared" si="401"/>
        <v>47.904185152911516</v>
      </c>
      <c r="T398" s="21">
        <f t="shared" si="401"/>
        <v>1860.4926722155828</v>
      </c>
      <c r="U398" s="21">
        <f t="shared" si="401"/>
        <v>2173.2923957149947</v>
      </c>
      <c r="V398" s="21">
        <f t="shared" si="401"/>
        <v>1075.4324095592335</v>
      </c>
      <c r="W398" s="21">
        <f t="shared" si="401"/>
        <v>768.95749280277994</v>
      </c>
      <c r="X398" s="21">
        <f t="shared" si="401"/>
        <v>723.56356745908181</v>
      </c>
      <c r="Y398" s="21">
        <f t="shared" si="401"/>
        <v>717.77621620795139</v>
      </c>
      <c r="Z398" s="21">
        <f t="shared" si="401"/>
        <v>700.16357508412534</v>
      </c>
      <c r="AA398" s="21">
        <f t="shared" si="401"/>
        <v>680.97506693360685</v>
      </c>
      <c r="AB398" s="21">
        <f t="shared" si="401"/>
        <v>674.98932976524929</v>
      </c>
      <c r="AC398" s="21">
        <f t="shared" si="401"/>
        <v>669.28685615407176</v>
      </c>
      <c r="AD398" s="21">
        <f t="shared" si="401"/>
        <v>664.49025828160791</v>
      </c>
      <c r="AE398" s="21">
        <f t="shared" si="401"/>
        <v>663.09489384660833</v>
      </c>
      <c r="AF398" s="21">
        <f t="shared" si="401"/>
        <v>662.35669899281629</v>
      </c>
      <c r="AG398" s="3"/>
      <c r="AH398" s="3"/>
    </row>
    <row r="399" spans="1:34" x14ac:dyDescent="0.25">
      <c r="A399" s="72">
        <f>SUM(B399:AF399)</f>
        <v>5882.2475701180656</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38.146098105112131</v>
      </c>
      <c r="M399" s="60">
        <f t="shared" ref="M399" si="412">IF($A$64&lt;=M363,IF($B$64&gt;=M363,ABS(M398),0),0)</f>
        <v>167.59202132937361</v>
      </c>
      <c r="N399" s="60">
        <f t="shared" ref="N399" si="413">IF($A$64&lt;=N363,IF($B$64&gt;=N363,ABS(N398),0),0)</f>
        <v>424.15150486034054</v>
      </c>
      <c r="O399" s="60">
        <f t="shared" ref="O399" si="414">IF($A$64&lt;=O363,IF($B$64&gt;=O363,ABS(O398),0),0)</f>
        <v>6.3332234097254805</v>
      </c>
      <c r="P399" s="60">
        <f t="shared" ref="P399" si="415">IF($A$64&lt;=P363,IF($B$64&gt;=P363,ABS(P398),0),0)</f>
        <v>62.68609681973836</v>
      </c>
      <c r="Q399" s="60">
        <f t="shared" ref="Q399" si="416">IF($A$64&lt;=Q363,IF($B$64&gt;=Q363,ABS(Q398),0),0)</f>
        <v>25.332543903876584</v>
      </c>
      <c r="R399" s="60">
        <f t="shared" ref="R399" si="417">IF($A$64&lt;=R363,IF($B$64&gt;=R363,ABS(R398),0),0)</f>
        <v>0.88441904717641462</v>
      </c>
      <c r="S399" s="60">
        <f t="shared" ref="S399" si="418">IF($A$64&lt;=S363,IF($B$64&gt;=S363,ABS(S398),0),0)</f>
        <v>47.904185152911516</v>
      </c>
      <c r="T399" s="60">
        <f t="shared" ref="T399" si="419">IF($A$64&lt;=T363,IF($B$64&gt;=T363,ABS(T398),0),0)</f>
        <v>1860.4926722155828</v>
      </c>
      <c r="U399" s="60">
        <f t="shared" ref="U399" si="420">IF($A$64&lt;=U363,IF($B$64&gt;=U363,ABS(U398),0),0)</f>
        <v>2173.2923957149947</v>
      </c>
      <c r="V399" s="60">
        <f t="shared" ref="V399" si="421">IF($A$64&lt;=V363,IF($B$64&gt;=V363,ABS(V398),0),0)</f>
        <v>1075.4324095592335</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1"/>
      <c r="B532" s="11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6"/>
      <c r="B534" s="10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11"/>
      <c r="B581" s="11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11"/>
      <c r="B596" s="11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6"/>
      <c r="B597" s="10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6"/>
      <c r="B626" s="106"/>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6"/>
      <c r="B627" s="106"/>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1"/>
      <c r="B650" s="11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6"/>
      <c r="B651" s="10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6"/>
      <c r="B652" s="10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6"/>
      <c r="B653" s="10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6"/>
      <c r="B654" s="10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50:B650"/>
    <mergeCell ref="A651:B651"/>
    <mergeCell ref="A652:B652"/>
    <mergeCell ref="A653:B653"/>
    <mergeCell ref="A654:B654"/>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-32.327390242825459</v>
      </c>
      <c r="M1" s="54">
        <v>1</v>
      </c>
      <c r="N1" s="56">
        <f>INDEX($H$217:$P$217,1,Q1)</f>
        <v>0.27879166591256677</v>
      </c>
      <c r="O1" s="11"/>
      <c r="P1" s="55">
        <v>1</v>
      </c>
      <c r="Q1" s="11">
        <v>2</v>
      </c>
    </row>
    <row r="2" spans="1:17" x14ac:dyDescent="0.25">
      <c r="A2" s="11">
        <f>'Mastercurve bestimmen'!M119</f>
        <v>0</v>
      </c>
      <c r="B2" s="11">
        <f>'Mastercurve bestimmen'!N119</f>
        <v>-18.555397625382522</v>
      </c>
      <c r="M2" s="54">
        <v>2</v>
      </c>
      <c r="N2" s="56">
        <f t="shared" ref="N2:N9" si="0">INDEX($H$217:$P$217,1,Q2)</f>
        <v>2.1083785691094286E-3</v>
      </c>
      <c r="O2" s="11"/>
      <c r="P2" s="55">
        <v>2</v>
      </c>
      <c r="Q2" s="11">
        <f>Q1+1</f>
        <v>3</v>
      </c>
    </row>
    <row r="3" spans="1:17" x14ac:dyDescent="0.25">
      <c r="A3" s="11">
        <f>'Mastercurve bestimmen'!M120</f>
        <v>25</v>
      </c>
      <c r="B3" s="11">
        <f>'Mastercurve bestimmen'!N120</f>
        <v>-11.98704882172361</v>
      </c>
      <c r="M3" s="54">
        <v>3</v>
      </c>
      <c r="N3" s="56">
        <f t="shared" si="0"/>
        <v>3.7413044690267028E-6</v>
      </c>
      <c r="O3" s="11"/>
      <c r="P3" s="55">
        <v>3</v>
      </c>
      <c r="Q3" s="11">
        <f t="shared" ref="Q3:Q8" si="1">Q2+1</f>
        <v>4</v>
      </c>
    </row>
    <row r="4" spans="1:17" x14ac:dyDescent="0.25">
      <c r="A4" s="11">
        <f>'Mastercurve bestimmen'!M121</f>
        <v>50</v>
      </c>
      <c r="B4" s="11">
        <f>'Mastercurve bestimmen'!N121</f>
        <v>-6.7709490541777377</v>
      </c>
      <c r="M4" s="54">
        <v>4</v>
      </c>
      <c r="N4" s="56">
        <f t="shared" si="0"/>
        <v>-3.0020233413972978E-7</v>
      </c>
      <c r="O4" s="11"/>
      <c r="P4" s="55">
        <v>4</v>
      </c>
      <c r="Q4" s="11">
        <f t="shared" si="1"/>
        <v>5</v>
      </c>
    </row>
    <row r="5" spans="1:17" x14ac:dyDescent="0.25">
      <c r="A5" s="11">
        <f>'Mastercurve bestimmen'!M122</f>
        <v>80</v>
      </c>
      <c r="B5" s="11">
        <f>'Mastercurve bestimmen'!N122</f>
        <v>0</v>
      </c>
      <c r="M5" s="54">
        <v>5</v>
      </c>
      <c r="N5" s="56">
        <f t="shared" si="0"/>
        <v>2.9051712475681144E-10</v>
      </c>
      <c r="O5" s="11"/>
      <c r="P5" s="55">
        <v>5</v>
      </c>
      <c r="Q5" s="11">
        <f t="shared" si="1"/>
        <v>6</v>
      </c>
    </row>
    <row r="6" spans="1:17" x14ac:dyDescent="0.25">
      <c r="A6" s="11">
        <f>'Mastercurve bestimmen'!M123</f>
        <v>125</v>
      </c>
      <c r="B6" s="11">
        <f>'Mastercurve bestimmen'!N123</f>
        <v>16.114845881619132</v>
      </c>
      <c r="M6" s="54">
        <v>6</v>
      </c>
      <c r="N6" s="56">
        <f t="shared" si="0"/>
        <v>1.9595441295160367E-11</v>
      </c>
      <c r="O6" s="11"/>
      <c r="P6" s="55">
        <v>6</v>
      </c>
      <c r="Q6" s="11">
        <f t="shared" si="1"/>
        <v>7</v>
      </c>
    </row>
    <row r="7" spans="1:17" x14ac:dyDescent="0.25">
      <c r="A7" s="11">
        <f>'Mastercurve bestimmen'!M124</f>
        <v>160</v>
      </c>
      <c r="B7" s="11">
        <f>'Mastercurve bestimmen'!N124</f>
        <v>30.625247513077529</v>
      </c>
      <c r="M7" s="54">
        <v>7</v>
      </c>
      <c r="N7" s="56">
        <f t="shared" si="0"/>
        <v>-1.0998492658773505E-14</v>
      </c>
      <c r="O7" s="11"/>
      <c r="P7" s="55">
        <v>7</v>
      </c>
      <c r="Q7" s="11">
        <f t="shared" si="1"/>
        <v>8</v>
      </c>
    </row>
    <row r="8" spans="1:17" x14ac:dyDescent="0.25">
      <c r="A8" s="11"/>
      <c r="B8" s="11"/>
      <c r="M8" s="54">
        <v>8</v>
      </c>
      <c r="N8" s="56">
        <f t="shared" si="0"/>
        <v>-3.6192482202815763E-16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-32.327390242825459</v>
      </c>
      <c r="E15" s="11">
        <f>A15-'Mastercurve bestimmen'!$B$2</f>
        <v>-120</v>
      </c>
      <c r="F15" s="11">
        <f>B15</f>
        <v>-32.327390242825459</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-32.054107179288593</v>
      </c>
      <c r="E16" s="11">
        <f>A16-'Mastercurve bestimmen'!$B$2</f>
        <v>-119</v>
      </c>
      <c r="F16" s="11">
        <f t="shared" ref="F16:F79" si="4">B16</f>
        <v>-32.054107179288593</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-31.7805576363825</v>
      </c>
      <c r="E17" s="11">
        <f>A17-'Mastercurve bestimmen'!$B$2</f>
        <v>-118</v>
      </c>
      <c r="F17" s="11">
        <f t="shared" si="4"/>
        <v>-31.7805576363825</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-31.506475134737947</v>
      </c>
      <c r="E18" s="11">
        <f>A18-'Mastercurve bestimmen'!$B$2</f>
        <v>-117</v>
      </c>
      <c r="F18" s="11">
        <f t="shared" si="4"/>
        <v>-31.506475134737947</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-31.231593194985713</v>
      </c>
      <c r="E19" s="11">
        <f>A19-'Mastercurve bestimmen'!$B$2</f>
        <v>-116</v>
      </c>
      <c r="F19" s="11">
        <f t="shared" si="4"/>
        <v>-31.231593194985713</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-30.955645337756572</v>
      </c>
      <c r="E20" s="11">
        <f>A20-'Mastercurve bestimmen'!$B$2</f>
        <v>-115</v>
      </c>
      <c r="F20" s="11">
        <f t="shared" si="4"/>
        <v>-30.955645337756572</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-30.678365083681289</v>
      </c>
      <c r="E21" s="11">
        <f>A21-'Mastercurve bestimmen'!$B$2</f>
        <v>-114</v>
      </c>
      <c r="F21" s="11">
        <f t="shared" si="4"/>
        <v>-30.678365083681289</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-30.399485953390638</v>
      </c>
      <c r="E22" s="11">
        <f>A22-'Mastercurve bestimmen'!$B$2</f>
        <v>-113</v>
      </c>
      <c r="F22" s="11">
        <f t="shared" si="4"/>
        <v>-30.399485953390638</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-30.118741467515392</v>
      </c>
      <c r="E23" s="11">
        <f>A23-'Mastercurve bestimmen'!$B$2</f>
        <v>-112</v>
      </c>
      <c r="F23" s="11">
        <f t="shared" si="4"/>
        <v>-30.118741467515392</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-29.835865146686324</v>
      </c>
      <c r="E24" s="11">
        <f>A24-'Mastercurve bestimmen'!$B$2</f>
        <v>-111</v>
      </c>
      <c r="F24" s="11">
        <f t="shared" si="4"/>
        <v>-29.835865146686324</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-29.55059051153421</v>
      </c>
      <c r="E25" s="11">
        <f>A25-'Mastercurve bestimmen'!$B$2</f>
        <v>-110</v>
      </c>
      <c r="F25" s="11">
        <f t="shared" si="4"/>
        <v>-29.55059051153421</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-29.262651082689814</v>
      </c>
      <c r="E26" s="11">
        <f>A26-'Mastercurve bestimmen'!$B$2</f>
        <v>-109</v>
      </c>
      <c r="F26" s="11">
        <f t="shared" si="4"/>
        <v>-29.262651082689814</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-28.971780380783915</v>
      </c>
      <c r="E27" s="11">
        <f>A27-'Mastercurve bestimmen'!$B$2</f>
        <v>-108</v>
      </c>
      <c r="F27" s="11">
        <f t="shared" si="4"/>
        <v>-28.971780380783915</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-28.67771192644728</v>
      </c>
      <c r="E28" s="11">
        <f>A28-'Mastercurve bestimmen'!$B$2</f>
        <v>-107</v>
      </c>
      <c r="F28" s="11">
        <f t="shared" si="4"/>
        <v>-28.67771192644728</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-28.380179240310682</v>
      </c>
      <c r="E29" s="11">
        <f>A29-'Mastercurve bestimmen'!$B$2</f>
        <v>-106</v>
      </c>
      <c r="F29" s="11">
        <f t="shared" si="4"/>
        <v>-28.380179240310682</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-28.0789158430049</v>
      </c>
      <c r="E30" s="11">
        <f>A30-'Mastercurve bestimmen'!$B$2</f>
        <v>-105</v>
      </c>
      <c r="F30" s="11">
        <f t="shared" si="4"/>
        <v>-28.0789158430049</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-27.773655255160698</v>
      </c>
      <c r="E31" s="11">
        <f>A31-'Mastercurve bestimmen'!$B$2</f>
        <v>-104</v>
      </c>
      <c r="F31" s="11">
        <f t="shared" si="4"/>
        <v>-27.773655255160698</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-27.464130997408855</v>
      </c>
      <c r="E32" s="11">
        <f>A32-'Mastercurve bestimmen'!$B$2</f>
        <v>-103</v>
      </c>
      <c r="F32" s="11">
        <f t="shared" si="4"/>
        <v>-27.464130997408855</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-27.150076590380134</v>
      </c>
      <c r="E33" s="11">
        <f>A33-'Mastercurve bestimmen'!$B$2</f>
        <v>-102</v>
      </c>
      <c r="F33" s="11">
        <f t="shared" si="4"/>
        <v>-27.150076590380134</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-26.831225554705313</v>
      </c>
      <c r="E34" s="11">
        <f>A34-'Mastercurve bestimmen'!$B$2</f>
        <v>-101</v>
      </c>
      <c r="F34" s="11">
        <f t="shared" si="4"/>
        <v>-26.831225554705313</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-26.507311411015166</v>
      </c>
      <c r="E35" s="11">
        <f>A35-'Mastercurve bestimmen'!$B$2</f>
        <v>-100</v>
      </c>
      <c r="F35" s="11">
        <f t="shared" si="4"/>
        <v>-26.507311411015166</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-26.178067679940465</v>
      </c>
      <c r="E36" s="11">
        <f>A36-'Mastercurve bestimmen'!$B$2</f>
        <v>-99</v>
      </c>
      <c r="F36" s="11">
        <f t="shared" si="4"/>
        <v>-26.178067679940465</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-25.843227882111975</v>
      </c>
      <c r="E37" s="11">
        <f>A37-'Mastercurve bestimmen'!$B$2</f>
        <v>-98</v>
      </c>
      <c r="F37" s="11">
        <f t="shared" si="4"/>
        <v>-25.843227882111975</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-25.50252553816048</v>
      </c>
      <c r="E38" s="11">
        <f>A38-'Mastercurve bestimmen'!$B$2</f>
        <v>-97</v>
      </c>
      <c r="F38" s="11">
        <f t="shared" si="4"/>
        <v>-25.50252553816048</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-25.155694168716742</v>
      </c>
      <c r="E39" s="11">
        <f>A39-'Mastercurve bestimmen'!$B$2</f>
        <v>-96</v>
      </c>
      <c r="F39" s="11">
        <f t="shared" si="4"/>
        <v>-25.155694168716742</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-24.802467294411539</v>
      </c>
      <c r="E40" s="11">
        <f>A40-'Mastercurve bestimmen'!$B$2</f>
        <v>-95</v>
      </c>
      <c r="F40" s="11">
        <f t="shared" si="4"/>
        <v>-24.802467294411539</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-24.442578435875639</v>
      </c>
      <c r="E41" s="11">
        <f>A41-'Mastercurve bestimmen'!$B$2</f>
        <v>-94</v>
      </c>
      <c r="F41" s="11">
        <f t="shared" si="4"/>
        <v>-24.442578435875639</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-24.075761113739816</v>
      </c>
      <c r="E42" s="11">
        <f>A42-'Mastercurve bestimmen'!$B$2</f>
        <v>-93</v>
      </c>
      <c r="F42" s="11">
        <f t="shared" si="4"/>
        <v>-24.075761113739816</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-23.701748848634843</v>
      </c>
      <c r="E43" s="11">
        <f>A43-'Mastercurve bestimmen'!$B$2</f>
        <v>-92</v>
      </c>
      <c r="F43" s="11">
        <f t="shared" si="4"/>
        <v>-23.701748848634843</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-23.320275161191493</v>
      </c>
      <c r="E44" s="11">
        <f>A44-'Mastercurve bestimmen'!$B$2</f>
        <v>-91</v>
      </c>
      <c r="F44" s="11">
        <f t="shared" si="4"/>
        <v>-23.320275161191493</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-22.931073572040535</v>
      </c>
      <c r="E45" s="11">
        <f>A45-'Mastercurve bestimmen'!$B$2</f>
        <v>-90</v>
      </c>
      <c r="F45" s="11">
        <f t="shared" si="4"/>
        <v>-22.931073572040535</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-22.533877601812748</v>
      </c>
      <c r="E46" s="11">
        <f>A46-'Mastercurve bestimmen'!$B$2</f>
        <v>-89</v>
      </c>
      <c r="F46" s="11">
        <f t="shared" si="4"/>
        <v>-22.533877601812748</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-22.128420771138892</v>
      </c>
      <c r="E47" s="11">
        <f>A47-'Mastercurve bestimmen'!$B$2</f>
        <v>-88</v>
      </c>
      <c r="F47" s="11">
        <f t="shared" si="4"/>
        <v>-22.128420771138892</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-21.714436600649751</v>
      </c>
      <c r="E48" s="11">
        <f>A48-'Mastercurve bestimmen'!$B$2</f>
        <v>-87</v>
      </c>
      <c r="F48" s="11">
        <f t="shared" si="4"/>
        <v>-21.714436600649751</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-21.291658610976093</v>
      </c>
      <c r="E49" s="11">
        <f>A49-'Mastercurve bestimmen'!$B$2</f>
        <v>-86</v>
      </c>
      <c r="F49" s="11">
        <f t="shared" si="4"/>
        <v>-21.291658610976093</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-20.859820322748689</v>
      </c>
      <c r="E50" s="11">
        <f>A50-'Mastercurve bestimmen'!$B$2</f>
        <v>-85</v>
      </c>
      <c r="F50" s="11">
        <f t="shared" si="4"/>
        <v>-20.859820322748689</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-20.418655256598313</v>
      </c>
      <c r="E51" s="11">
        <f>A51-'Mastercurve bestimmen'!$B$2</f>
        <v>-84</v>
      </c>
      <c r="F51" s="11">
        <f t="shared" si="4"/>
        <v>-20.418655256598313</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-19.967896933155735</v>
      </c>
      <c r="E52" s="11">
        <f>A52-'Mastercurve bestimmen'!$B$2</f>
        <v>-83</v>
      </c>
      <c r="F52" s="11">
        <f t="shared" si="4"/>
        <v>-19.967896933155735</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-19.507278873051732</v>
      </c>
      <c r="E53" s="11">
        <f>A53-'Mastercurve bestimmen'!$B$2</f>
        <v>-82</v>
      </c>
      <c r="F53" s="11">
        <f t="shared" si="4"/>
        <v>-19.507278873051732</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-19.036534596917068</v>
      </c>
      <c r="E54" s="11">
        <f>A54-'Mastercurve bestimmen'!$B$2</f>
        <v>-81</v>
      </c>
      <c r="F54" s="11">
        <f t="shared" si="4"/>
        <v>-19.036534596917068</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-18.555397625382522</v>
      </c>
      <c r="E55" s="11">
        <f>A55-'Mastercurve bestimmen'!$B$2</f>
        <v>-80</v>
      </c>
      <c r="F55" s="11">
        <f t="shared" si="4"/>
        <v>-18.555397625382522</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-18.350603417862114</v>
      </c>
      <c r="E56" s="11">
        <f>A56-'Mastercurve bestimmen'!$B$2</f>
        <v>-79</v>
      </c>
      <c r="F56" s="11">
        <f t="shared" si="4"/>
        <v>-18.350603417862114</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-18.135822827424555</v>
      </c>
      <c r="E57" s="11">
        <f>A57-'Mastercurve bestimmen'!$B$2</f>
        <v>-78</v>
      </c>
      <c r="F57" s="11">
        <f t="shared" si="4"/>
        <v>-18.135822827424555</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-17.911728645921794</v>
      </c>
      <c r="E58" s="11">
        <f>A58-'Mastercurve bestimmen'!$B$2</f>
        <v>-77</v>
      </c>
      <c r="F58" s="11">
        <f t="shared" si="4"/>
        <v>-17.911728645921794</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-17.678993665205788</v>
      </c>
      <c r="E59" s="11">
        <f>A59-'Mastercurve bestimmen'!$B$2</f>
        <v>-76</v>
      </c>
      <c r="F59" s="11">
        <f t="shared" si="4"/>
        <v>-17.678993665205788</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-17.438290677128496</v>
      </c>
      <c r="E60" s="11">
        <f>A60-'Mastercurve bestimmen'!$B$2</f>
        <v>-75</v>
      </c>
      <c r="F60" s="11">
        <f t="shared" si="4"/>
        <v>-17.438290677128496</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-17.190292473541867</v>
      </c>
      <c r="E61" s="11">
        <f>A61-'Mastercurve bestimmen'!$B$2</f>
        <v>-74</v>
      </c>
      <c r="F61" s="11">
        <f t="shared" si="4"/>
        <v>-17.190292473541867</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-16.935671846297858</v>
      </c>
      <c r="E62" s="11">
        <f>A62-'Mastercurve bestimmen'!$B$2</f>
        <v>-73</v>
      </c>
      <c r="F62" s="11">
        <f t="shared" si="4"/>
        <v>-16.935671846297858</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-16.675101587248427</v>
      </c>
      <c r="E63" s="11">
        <f>A63-'Mastercurve bestimmen'!$B$2</f>
        <v>-72</v>
      </c>
      <c r="F63" s="11">
        <f t="shared" si="4"/>
        <v>-16.675101587248427</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-16.409254488245537</v>
      </c>
      <c r="E64" s="11">
        <f>A64-'Mastercurve bestimmen'!$B$2</f>
        <v>-71</v>
      </c>
      <c r="F64" s="11">
        <f t="shared" si="4"/>
        <v>-16.409254488245537</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-16.138803341141131</v>
      </c>
      <c r="E65" s="11">
        <f>A65-'Mastercurve bestimmen'!$B$2</f>
        <v>-70</v>
      </c>
      <c r="F65" s="11">
        <f t="shared" si="4"/>
        <v>-16.138803341141131</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-15.86442093778717</v>
      </c>
      <c r="E66" s="11">
        <f>A66-'Mastercurve bestimmen'!$B$2</f>
        <v>-69</v>
      </c>
      <c r="F66" s="11">
        <f t="shared" si="4"/>
        <v>-15.86442093778717</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-15.58678007003561</v>
      </c>
      <c r="E67" s="11">
        <f>A67-'Mastercurve bestimmen'!$B$2</f>
        <v>-68</v>
      </c>
      <c r="F67" s="11">
        <f t="shared" si="4"/>
        <v>-15.58678007003561</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-15.306553529738405</v>
      </c>
      <c r="E68" s="11">
        <f>A68-'Mastercurve bestimmen'!$B$2</f>
        <v>-67</v>
      </c>
      <c r="F68" s="11">
        <f t="shared" si="4"/>
        <v>-15.306553529738405</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-15.024414108747514</v>
      </c>
      <c r="E69" s="11">
        <f>A69-'Mastercurve bestimmen'!$B$2</f>
        <v>-66</v>
      </c>
      <c r="F69" s="11">
        <f t="shared" si="4"/>
        <v>-15.024414108747514</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-14.74103459891489</v>
      </c>
      <c r="E70" s="11">
        <f>A70-'Mastercurve bestimmen'!$B$2</f>
        <v>-65</v>
      </c>
      <c r="F70" s="11">
        <f t="shared" si="4"/>
        <v>-14.74103459891489</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-14.457087792092489</v>
      </c>
      <c r="E71" s="11">
        <f>A71-'Mastercurve bestimmen'!$B$2</f>
        <v>-64</v>
      </c>
      <c r="F71" s="11">
        <f t="shared" si="4"/>
        <v>-14.457087792092489</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-14.173246480132267</v>
      </c>
      <c r="E72" s="11">
        <f>A72-'Mastercurve bestimmen'!$B$2</f>
        <v>-63</v>
      </c>
      <c r="F72" s="11">
        <f t="shared" si="4"/>
        <v>-14.173246480132267</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-13.890183454886177</v>
      </c>
      <c r="E73" s="11">
        <f>A73-'Mastercurve bestimmen'!$B$2</f>
        <v>-62</v>
      </c>
      <c r="F73" s="11">
        <f t="shared" si="4"/>
        <v>-13.890183454886177</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-13.608571508206182</v>
      </c>
      <c r="E74" s="11">
        <f>A74-'Mastercurve bestimmen'!$B$2</f>
        <v>-61</v>
      </c>
      <c r="F74" s="11">
        <f t="shared" si="4"/>
        <v>-13.608571508206182</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-13.32908343194423</v>
      </c>
      <c r="E75" s="11">
        <f>A75-'Mastercurve bestimmen'!$B$2</f>
        <v>-60</v>
      </c>
      <c r="F75" s="11">
        <f t="shared" si="4"/>
        <v>-13.32908343194423</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-13.052392017952279</v>
      </c>
      <c r="E76" s="11">
        <f>A76-'Mastercurve bestimmen'!$B$2</f>
        <v>-59</v>
      </c>
      <c r="F76" s="11">
        <f t="shared" si="4"/>
        <v>-13.052392017952279</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-12.779170058082288</v>
      </c>
      <c r="E77" s="11">
        <f>A77-'Mastercurve bestimmen'!$B$2</f>
        <v>-58</v>
      </c>
      <c r="F77" s="11">
        <f t="shared" si="4"/>
        <v>-12.779170058082288</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-12.510090344186208</v>
      </c>
      <c r="E78" s="11">
        <f>A78-'Mastercurve bestimmen'!$B$2</f>
        <v>-57</v>
      </c>
      <c r="F78" s="11">
        <f t="shared" si="4"/>
        <v>-12.510090344186208</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-12.245825668115996</v>
      </c>
      <c r="E79" s="11">
        <f>A79-'Mastercurve bestimmen'!$B$2</f>
        <v>-56</v>
      </c>
      <c r="F79" s="11">
        <f t="shared" si="4"/>
        <v>-12.245825668115996</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-11.98704882172361</v>
      </c>
      <c r="E80" s="11">
        <f>A80-'Mastercurve bestimmen'!$B$2</f>
        <v>-55</v>
      </c>
      <c r="F80" s="11">
        <f t="shared" ref="F80:F143" si="10">B80</f>
        <v>-11.98704882172361</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-11.734272715938122</v>
      </c>
      <c r="E81" s="11">
        <f>A81-'Mastercurve bestimmen'!$B$2</f>
        <v>-54</v>
      </c>
      <c r="F81" s="11">
        <f t="shared" si="10"/>
        <v>-11.734272715938122</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-11.487370737997093</v>
      </c>
      <c r="E82" s="11">
        <f>A82-'Mastercurve bestimmen'!$B$2</f>
        <v>-53</v>
      </c>
      <c r="F82" s="11">
        <f t="shared" si="10"/>
        <v>-11.487370737997093</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-11.246056394215193</v>
      </c>
      <c r="E83" s="11">
        <f>A83-'Mastercurve bestimmen'!$B$2</f>
        <v>-52</v>
      </c>
      <c r="F83" s="11">
        <f t="shared" si="10"/>
        <v>-11.246056394215193</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-11.010043190907099</v>
      </c>
      <c r="E84" s="11">
        <f>A84-'Mastercurve bestimmen'!$B$2</f>
        <v>-51</v>
      </c>
      <c r="F84" s="11">
        <f t="shared" si="10"/>
        <v>-11.010043190907099</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-10.779044634387491</v>
      </c>
      <c r="E85" s="11">
        <f>A85-'Mastercurve bestimmen'!$B$2</f>
        <v>-50</v>
      </c>
      <c r="F85" s="11">
        <f t="shared" si="10"/>
        <v>-10.779044634387491</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-10.552774230971043</v>
      </c>
      <c r="E86" s="11">
        <f>A86-'Mastercurve bestimmen'!$B$2</f>
        <v>-49</v>
      </c>
      <c r="F86" s="11">
        <f t="shared" si="10"/>
        <v>-10.552774230971043</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-10.330945486972428</v>
      </c>
      <c r="E87" s="11">
        <f>A87-'Mastercurve bestimmen'!$B$2</f>
        <v>-48</v>
      </c>
      <c r="F87" s="11">
        <f t="shared" si="10"/>
        <v>-10.330945486972428</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-10.113271908706325</v>
      </c>
      <c r="E88" s="11">
        <f>A88-'Mastercurve bestimmen'!$B$2</f>
        <v>-47</v>
      </c>
      <c r="F88" s="11">
        <f t="shared" si="10"/>
        <v>-10.113271908706325</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-9.899467002487409</v>
      </c>
      <c r="E89" s="11">
        <f>A89-'Mastercurve bestimmen'!$B$2</f>
        <v>-46</v>
      </c>
      <c r="F89" s="11">
        <f t="shared" si="10"/>
        <v>-9.899467002487409</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-9.689244274630358</v>
      </c>
      <c r="E90" s="11">
        <f>A90-'Mastercurve bestimmen'!$B$2</f>
        <v>-45</v>
      </c>
      <c r="F90" s="11">
        <f t="shared" si="10"/>
        <v>-9.689244274630358</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-9.4823172314498443</v>
      </c>
      <c r="E91" s="11">
        <f>A91-'Mastercurve bestimmen'!$B$2</f>
        <v>-44</v>
      </c>
      <c r="F91" s="11">
        <f t="shared" si="10"/>
        <v>-9.4823172314498443</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-9.278399379260545</v>
      </c>
      <c r="E92" s="11">
        <f>A92-'Mastercurve bestimmen'!$B$2</f>
        <v>-43</v>
      </c>
      <c r="F92" s="11">
        <f t="shared" si="10"/>
        <v>-9.278399379260545</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-9.0772042243771374</v>
      </c>
      <c r="E93" s="11">
        <f>A93-'Mastercurve bestimmen'!$B$2</f>
        <v>-42</v>
      </c>
      <c r="F93" s="11">
        <f t="shared" si="10"/>
        <v>-9.0772042243771374</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-8.8784452731142949</v>
      </c>
      <c r="E94" s="11">
        <f>A94-'Mastercurve bestimmen'!$B$2</f>
        <v>-41</v>
      </c>
      <c r="F94" s="11">
        <f t="shared" si="10"/>
        <v>-8.8784452731142949</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-8.6818360317866947</v>
      </c>
      <c r="E95" s="11">
        <f>A95-'Mastercurve bestimmen'!$B$2</f>
        <v>-40</v>
      </c>
      <c r="F95" s="11">
        <f t="shared" si="10"/>
        <v>-8.6818360317866947</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-8.487090006709014</v>
      </c>
      <c r="E96" s="11">
        <f>A96-'Mastercurve bestimmen'!$B$2</f>
        <v>-39</v>
      </c>
      <c r="F96" s="11">
        <f t="shared" si="10"/>
        <v>-8.487090006709014</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-8.29392070419593</v>
      </c>
      <c r="E97" s="11">
        <f>A97-'Mastercurve bestimmen'!$B$2</f>
        <v>-38</v>
      </c>
      <c r="F97" s="11">
        <f t="shared" si="10"/>
        <v>-8.29392070419593</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-8.1020416305621126</v>
      </c>
      <c r="E98" s="11">
        <f>A98-'Mastercurve bestimmen'!$B$2</f>
        <v>-37</v>
      </c>
      <c r="F98" s="11">
        <f t="shared" si="10"/>
        <v>-8.1020416305621126</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-7.9111662921222425</v>
      </c>
      <c r="E99" s="11">
        <f>A99-'Mastercurve bestimmen'!$B$2</f>
        <v>-36</v>
      </c>
      <c r="F99" s="11">
        <f t="shared" si="10"/>
        <v>-7.9111662921222425</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-7.7210081951909935</v>
      </c>
      <c r="E100" s="11">
        <f>A100-'Mastercurve bestimmen'!$B$2</f>
        <v>-35</v>
      </c>
      <c r="F100" s="11">
        <f t="shared" si="10"/>
        <v>-7.7210081951909935</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-7.5312808460830434</v>
      </c>
      <c r="E101" s="11">
        <f>A101-'Mastercurve bestimmen'!$B$2</f>
        <v>-34</v>
      </c>
      <c r="F101" s="11">
        <f t="shared" si="10"/>
        <v>-7.5312808460830434</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-7.3416977511130668</v>
      </c>
      <c r="E102" s="11">
        <f>A102-'Mastercurve bestimmen'!$B$2</f>
        <v>-33</v>
      </c>
      <c r="F102" s="11">
        <f t="shared" si="10"/>
        <v>-7.3416977511130668</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-7.1519724165957399</v>
      </c>
      <c r="E103" s="11">
        <f>A103-'Mastercurve bestimmen'!$B$2</f>
        <v>-32</v>
      </c>
      <c r="F103" s="11">
        <f t="shared" si="10"/>
        <v>-7.1519724165957399</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-6.961818348845739</v>
      </c>
      <c r="E104" s="11">
        <f>A104-'Mastercurve bestimmen'!$B$2</f>
        <v>-31</v>
      </c>
      <c r="F104" s="11">
        <f t="shared" si="10"/>
        <v>-6.961818348845739</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-6.7709490541777377</v>
      </c>
      <c r="E105" s="11">
        <f>A105-'Mastercurve bestimmen'!$B$2</f>
        <v>-30</v>
      </c>
      <c r="F105" s="11">
        <f t="shared" si="10"/>
        <v>-6.7709490541777377</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-6.5791042877575974</v>
      </c>
      <c r="E106" s="11">
        <f>A106-'Mastercurve bestimmen'!$B$2</f>
        <v>-29</v>
      </c>
      <c r="F106" s="11">
        <f t="shared" si="10"/>
        <v>-6.5791042877575974</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-6.3861288001559098</v>
      </c>
      <c r="E107" s="11">
        <f>A107-'Mastercurve bestimmen'!$B$2</f>
        <v>-28</v>
      </c>
      <c r="F107" s="11">
        <f t="shared" si="10"/>
        <v>-6.3861288001559098</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-6.1918935907944439</v>
      </c>
      <c r="E108" s="11">
        <f>A108-'Mastercurve bestimmen'!$B$2</f>
        <v>-27</v>
      </c>
      <c r="F108" s="11">
        <f t="shared" si="10"/>
        <v>-6.1918935907944439</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-5.9962696590949776</v>
      </c>
      <c r="E109" s="11">
        <f>A109-'Mastercurve bestimmen'!$B$2</f>
        <v>-26</v>
      </c>
      <c r="F109" s="11">
        <f t="shared" si="10"/>
        <v>-5.9962696590949776</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-5.7991280044792823</v>
      </c>
      <c r="E110" s="11">
        <f>A110-'Mastercurve bestimmen'!$B$2</f>
        <v>-25</v>
      </c>
      <c r="F110" s="11">
        <f t="shared" si="10"/>
        <v>-5.7991280044792823</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-5.6003396263691316</v>
      </c>
      <c r="E111" s="11">
        <f>A111-'Mastercurve bestimmen'!$B$2</f>
        <v>-24</v>
      </c>
      <c r="F111" s="11">
        <f t="shared" si="10"/>
        <v>-5.6003396263691316</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-5.3997755241862979</v>
      </c>
      <c r="E112" s="11">
        <f>A112-'Mastercurve bestimmen'!$B$2</f>
        <v>-23</v>
      </c>
      <c r="F112" s="11">
        <f t="shared" si="10"/>
        <v>-5.3997755241862979</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-5.1973066973525581</v>
      </c>
      <c r="E113" s="11">
        <f>A113-'Mastercurve bestimmen'!$B$2</f>
        <v>-22</v>
      </c>
      <c r="F113" s="11">
        <f t="shared" si="10"/>
        <v>-5.1973066973525581</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-4.9928041452896821</v>
      </c>
      <c r="E114" s="11">
        <f>A114-'Mastercurve bestimmen'!$B$2</f>
        <v>-21</v>
      </c>
      <c r="F114" s="11">
        <f t="shared" si="10"/>
        <v>-4.9928041452896821</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-4.7861388674194449</v>
      </c>
      <c r="E115" s="11">
        <f>A115-'Mastercurve bestimmen'!$B$2</f>
        <v>-20</v>
      </c>
      <c r="F115" s="11">
        <f t="shared" si="10"/>
        <v>-4.7861388674194449</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-4.5771818631636201</v>
      </c>
      <c r="E116" s="11">
        <f>A116-'Mastercurve bestimmen'!$B$2</f>
        <v>-19</v>
      </c>
      <c r="F116" s="11">
        <f t="shared" si="10"/>
        <v>-4.5771818631636201</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-4.3658041319439818</v>
      </c>
      <c r="E117" s="11">
        <f>A117-'Mastercurve bestimmen'!$B$2</f>
        <v>-18</v>
      </c>
      <c r="F117" s="11">
        <f t="shared" si="10"/>
        <v>-4.3658041319439818</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-4.1518766731823007</v>
      </c>
      <c r="E118" s="11">
        <f>A118-'Mastercurve bestimmen'!$B$2</f>
        <v>-17</v>
      </c>
      <c r="F118" s="11">
        <f t="shared" si="10"/>
        <v>-4.1518766731823007</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-3.9352704863003538</v>
      </c>
      <c r="E119" s="11">
        <f>A119-'Mastercurve bestimmen'!$B$2</f>
        <v>-16</v>
      </c>
      <c r="F119" s="11">
        <f t="shared" si="10"/>
        <v>-3.9352704863003538</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-3.7158565707199127</v>
      </c>
      <c r="E120" s="11">
        <f>A120-'Mastercurve bestimmen'!$B$2</f>
        <v>-15</v>
      </c>
      <c r="F120" s="11">
        <f t="shared" si="10"/>
        <v>-3.7158565707199127</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-3.4935059258627508</v>
      </c>
      <c r="E121" s="11">
        <f>A121-'Mastercurve bestimmen'!$B$2</f>
        <v>-14</v>
      </c>
      <c r="F121" s="11">
        <f t="shared" si="10"/>
        <v>-3.4935059258627508</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-3.2680895511506427</v>
      </c>
      <c r="E122" s="11">
        <f>A122-'Mastercurve bestimmen'!$B$2</f>
        <v>-13</v>
      </c>
      <c r="F122" s="11">
        <f t="shared" si="10"/>
        <v>-3.2680895511506427</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-3.0394784460053605</v>
      </c>
      <c r="E123" s="11">
        <f>A123-'Mastercurve bestimmen'!$B$2</f>
        <v>-12</v>
      </c>
      <c r="F123" s="11">
        <f t="shared" si="10"/>
        <v>-3.0394784460053605</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-2.807543609848679</v>
      </c>
      <c r="E124" s="11">
        <f>A124-'Mastercurve bestimmen'!$B$2</f>
        <v>-11</v>
      </c>
      <c r="F124" s="11">
        <f t="shared" si="10"/>
        <v>-2.807543609848679</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-2.572156042102371</v>
      </c>
      <c r="E125" s="11">
        <f>A125-'Mastercurve bestimmen'!$B$2</f>
        <v>-10</v>
      </c>
      <c r="F125" s="11">
        <f t="shared" si="10"/>
        <v>-2.572156042102371</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-2.3331867421882095</v>
      </c>
      <c r="E126" s="11">
        <f>A126-'Mastercurve bestimmen'!$B$2</f>
        <v>-9</v>
      </c>
      <c r="F126" s="11">
        <f t="shared" si="10"/>
        <v>-2.3331867421882095</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-2.0905067095279688</v>
      </c>
      <c r="E127" s="11">
        <f>A127-'Mastercurve bestimmen'!$B$2</f>
        <v>-8</v>
      </c>
      <c r="F127" s="11">
        <f t="shared" si="10"/>
        <v>-2.0905067095279688</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-1.843986943543422</v>
      </c>
      <c r="E128" s="11">
        <f>A128-'Mastercurve bestimmen'!$B$2</f>
        <v>-7</v>
      </c>
      <c r="F128" s="11">
        <f t="shared" si="10"/>
        <v>-1.843986943543422</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-1.5934984436563426</v>
      </c>
      <c r="E129" s="11">
        <f>A129-'Mastercurve bestimmen'!$B$2</f>
        <v>-6</v>
      </c>
      <c r="F129" s="11">
        <f t="shared" si="10"/>
        <v>-1.5934984436563426</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-1.3389122092885044</v>
      </c>
      <c r="E130" s="11">
        <f>A130-'Mastercurve bestimmen'!$B$2</f>
        <v>-5</v>
      </c>
      <c r="F130" s="11">
        <f t="shared" si="10"/>
        <v>-1.3389122092885044</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-1.0800992398616809</v>
      </c>
      <c r="E131" s="11">
        <f>A131-'Mastercurve bestimmen'!$B$2</f>
        <v>-4</v>
      </c>
      <c r="F131" s="11">
        <f t="shared" si="10"/>
        <v>-1.0800992398616809</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-0.81693053479764499</v>
      </c>
      <c r="E132" s="11">
        <f>A132-'Mastercurve bestimmen'!$B$2</f>
        <v>-3</v>
      </c>
      <c r="F132" s="11">
        <f t="shared" si="10"/>
        <v>-0.81693053479764499</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-0.54927709351817056</v>
      </c>
      <c r="E133" s="11">
        <f>A133-'Mastercurve bestimmen'!$B$2</f>
        <v>-2</v>
      </c>
      <c r="F133" s="11">
        <f t="shared" si="10"/>
        <v>-0.54927709351817056</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-0.27700991544503106</v>
      </c>
      <c r="E134" s="11">
        <f>A134-'Mastercurve bestimmen'!$B$2</f>
        <v>-1</v>
      </c>
      <c r="F134" s="11">
        <f t="shared" si="10"/>
        <v>-0.27700991544503106</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0.28184487887806531</v>
      </c>
      <c r="E136" s="11">
        <f>A136-'Mastercurve bestimmen'!$B$2</f>
        <v>1</v>
      </c>
      <c r="F136" s="11">
        <f t="shared" si="10"/>
        <v>0.28184487887806531</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0.56846984918197285</v>
      </c>
      <c r="E137" s="11">
        <f>A137-'Mastercurve bestimmen'!$B$2</f>
        <v>2</v>
      </c>
      <c r="F137" s="11">
        <f t="shared" si="10"/>
        <v>0.56846984918197285</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0.85978326438744634</v>
      </c>
      <c r="E138" s="11">
        <f>A138-'Mastercurve bestimmen'!$B$2</f>
        <v>3</v>
      </c>
      <c r="F138" s="11">
        <f t="shared" si="10"/>
        <v>0.85978326438744634</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1.1556934779702097</v>
      </c>
      <c r="E139" s="11">
        <f>A139-'Mastercurve bestimmen'!$B$2</f>
        <v>4</v>
      </c>
      <c r="F139" s="11">
        <f t="shared" si="10"/>
        <v>1.1556934779702097</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1.4561088434059868</v>
      </c>
      <c r="E140" s="11">
        <f>A140-'Mastercurve bestimmen'!$B$2</f>
        <v>5</v>
      </c>
      <c r="F140" s="11">
        <f t="shared" si="10"/>
        <v>1.4561088434059868</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1.7609377141705023</v>
      </c>
      <c r="E141" s="11">
        <f>A141-'Mastercurve bestimmen'!$B$2</f>
        <v>6</v>
      </c>
      <c r="F141" s="11">
        <f t="shared" si="10"/>
        <v>1.7609377141705023</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2.0700884437394786</v>
      </c>
      <c r="E142" s="11">
        <f>A142-'Mastercurve bestimmen'!$B$2</f>
        <v>7</v>
      </c>
      <c r="F142" s="11">
        <f t="shared" si="10"/>
        <v>2.0700884437394786</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2.3834693855886409</v>
      </c>
      <c r="E143" s="11">
        <f>A143-'Mastercurve bestimmen'!$B$2</f>
        <v>8</v>
      </c>
      <c r="F143" s="11">
        <f t="shared" si="10"/>
        <v>2.3834693855886409</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2.7009888931937125</v>
      </c>
      <c r="E144" s="11">
        <f>A144-'Mastercurve bestimmen'!$B$2</f>
        <v>9</v>
      </c>
      <c r="F144" s="11">
        <f t="shared" ref="F144:F207" si="15">B144</f>
        <v>2.7009888931937125</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3.0225553200304178</v>
      </c>
      <c r="E145" s="11">
        <f>A145-'Mastercurve bestimmen'!$B$2</f>
        <v>10</v>
      </c>
      <c r="F145" s="11">
        <f t="shared" si="15"/>
        <v>3.0225553200304178</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3.3480770195744807</v>
      </c>
      <c r="E146" s="11">
        <f>A146-'Mastercurve bestimmen'!$B$2</f>
        <v>11</v>
      </c>
      <c r="F146" s="11">
        <f t="shared" si="15"/>
        <v>3.3480770195744807</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3.6774623453016253</v>
      </c>
      <c r="E147" s="11">
        <f>A147-'Mastercurve bestimmen'!$B$2</f>
        <v>12</v>
      </c>
      <c r="F147" s="11">
        <f t="shared" si="15"/>
        <v>3.6774623453016253</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4.0106196506875742</v>
      </c>
      <c r="E148" s="11">
        <f>A148-'Mastercurve bestimmen'!$B$2</f>
        <v>13</v>
      </c>
      <c r="F148" s="11">
        <f t="shared" si="15"/>
        <v>4.0106196506875742</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4.3474572892080534</v>
      </c>
      <c r="E149" s="11">
        <f>A149-'Mastercurve bestimmen'!$B$2</f>
        <v>14</v>
      </c>
      <c r="F149" s="11">
        <f t="shared" si="15"/>
        <v>4.3474572892080534</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4.6878836143387845</v>
      </c>
      <c r="E150" s="11">
        <f>A150-'Mastercurve bestimmen'!$B$2</f>
        <v>15</v>
      </c>
      <c r="F150" s="11">
        <f t="shared" si="15"/>
        <v>4.6878836143387845</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5.0318069795554932</v>
      </c>
      <c r="E151" s="11">
        <f>A151-'Mastercurve bestimmen'!$B$2</f>
        <v>16</v>
      </c>
      <c r="F151" s="11">
        <f t="shared" si="15"/>
        <v>5.0318069795554932</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5.3791357383339031</v>
      </c>
      <c r="E152" s="11">
        <f>A152-'Mastercurve bestimmen'!$B$2</f>
        <v>17</v>
      </c>
      <c r="F152" s="11">
        <f t="shared" si="15"/>
        <v>5.3791357383339031</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5.7297782441497374</v>
      </c>
      <c r="E153" s="11">
        <f>A153-'Mastercurve bestimmen'!$B$2</f>
        <v>18</v>
      </c>
      <c r="F153" s="11">
        <f t="shared" si="15"/>
        <v>5.7297782441497374</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6.0836428504787206</v>
      </c>
      <c r="E154" s="11">
        <f>A154-'Mastercurve bestimmen'!$B$2</f>
        <v>19</v>
      </c>
      <c r="F154" s="11">
        <f t="shared" si="15"/>
        <v>6.0836428504787206</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6.4406379107965765</v>
      </c>
      <c r="E155" s="11">
        <f>A155-'Mastercurve bestimmen'!$B$2</f>
        <v>20</v>
      </c>
      <c r="F155" s="11">
        <f t="shared" si="15"/>
        <v>6.4406379107965765</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6.8006717785790309</v>
      </c>
      <c r="E156" s="11">
        <f>A156-'Mastercurve bestimmen'!$B$2</f>
        <v>21</v>
      </c>
      <c r="F156" s="11">
        <f t="shared" si="15"/>
        <v>6.8006717785790309</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7.163652807301804</v>
      </c>
      <c r="E157" s="11">
        <f>A157-'Mastercurve bestimmen'!$B$2</f>
        <v>22</v>
      </c>
      <c r="F157" s="11">
        <f t="shared" si="15"/>
        <v>7.163652807301804</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7.5294893504406222</v>
      </c>
      <c r="E158" s="11">
        <f>A158-'Mastercurve bestimmen'!$B$2</f>
        <v>23</v>
      </c>
      <c r="F158" s="11">
        <f t="shared" si="15"/>
        <v>7.5294893504406222</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7.8980897614712102</v>
      </c>
      <c r="E159" s="11">
        <f>A159-'Mastercurve bestimmen'!$B$2</f>
        <v>24</v>
      </c>
      <c r="F159" s="11">
        <f t="shared" si="15"/>
        <v>7.8980897614712102</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8.2693623938692884</v>
      </c>
      <c r="E160" s="11">
        <f>A160-'Mastercurve bestimmen'!$B$2</f>
        <v>25</v>
      </c>
      <c r="F160" s="11">
        <f t="shared" si="15"/>
        <v>8.2693623938692884</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8.643215601110585</v>
      </c>
      <c r="E161" s="11">
        <f>A161-'Mastercurve bestimmen'!$B$2</f>
        <v>26</v>
      </c>
      <c r="F161" s="11">
        <f t="shared" si="15"/>
        <v>8.643215601110585</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9.0195577366708193</v>
      </c>
      <c r="E162" s="11">
        <f>A162-'Mastercurve bestimmen'!$B$2</f>
        <v>27</v>
      </c>
      <c r="F162" s="11">
        <f t="shared" si="15"/>
        <v>9.0195577366708193</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9.3982971540257196</v>
      </c>
      <c r="E163" s="11">
        <f>A163-'Mastercurve bestimmen'!$B$2</f>
        <v>28</v>
      </c>
      <c r="F163" s="11">
        <f t="shared" si="15"/>
        <v>9.3982971540257196</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9.7793422066510072</v>
      </c>
      <c r="E164" s="11">
        <f>A164-'Mastercurve bestimmen'!$B$2</f>
        <v>29</v>
      </c>
      <c r="F164" s="11">
        <f t="shared" si="15"/>
        <v>9.7793422066510072</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10.162601248022408</v>
      </c>
      <c r="E165" s="11">
        <f>A165-'Mastercurve bestimmen'!$B$2</f>
        <v>30</v>
      </c>
      <c r="F165" s="11">
        <f t="shared" si="15"/>
        <v>10.162601248022408</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10.547982631615643</v>
      </c>
      <c r="E166" s="11">
        <f>A166-'Mastercurve bestimmen'!$B$2</f>
        <v>31</v>
      </c>
      <c r="F166" s="11">
        <f t="shared" si="15"/>
        <v>10.547982631615643</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10.93539471090644</v>
      </c>
      <c r="E167" s="11">
        <f>A167-'Mastercurve bestimmen'!$B$2</f>
        <v>32</v>
      </c>
      <c r="F167" s="11">
        <f t="shared" si="15"/>
        <v>10.93539471090644</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11.324745839370522</v>
      </c>
      <c r="E168" s="11">
        <f>A168-'Mastercurve bestimmen'!$B$2</f>
        <v>33</v>
      </c>
      <c r="F168" s="11">
        <f t="shared" si="15"/>
        <v>11.324745839370522</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11.715944370483609</v>
      </c>
      <c r="E169" s="11">
        <f>A169-'Mastercurve bestimmen'!$B$2</f>
        <v>34</v>
      </c>
      <c r="F169" s="11">
        <f t="shared" si="15"/>
        <v>11.715944370483609</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12.108898657721427</v>
      </c>
      <c r="E170" s="11">
        <f>A170-'Mastercurve bestimmen'!$B$2</f>
        <v>35</v>
      </c>
      <c r="F170" s="11">
        <f t="shared" si="15"/>
        <v>12.108898657721427</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12.503517054559703</v>
      </c>
      <c r="E171" s="11">
        <f>A171-'Mastercurve bestimmen'!$B$2</f>
        <v>36</v>
      </c>
      <c r="F171" s="11">
        <f t="shared" si="15"/>
        <v>12.503517054559703</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12.899707914474158</v>
      </c>
      <c r="E172" s="11">
        <f>A172-'Mastercurve bestimmen'!$B$2</f>
        <v>37</v>
      </c>
      <c r="F172" s="11">
        <f t="shared" si="15"/>
        <v>12.899707914474158</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13.297379590940515</v>
      </c>
      <c r="E173" s="11">
        <f>A173-'Mastercurve bestimmen'!$B$2</f>
        <v>38</v>
      </c>
      <c r="F173" s="11">
        <f t="shared" si="15"/>
        <v>13.297379590940515</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13.696440437434502</v>
      </c>
      <c r="E174" s="11">
        <f>A174-'Mastercurve bestimmen'!$B$2</f>
        <v>39</v>
      </c>
      <c r="F174" s="11">
        <f t="shared" si="15"/>
        <v>13.696440437434502</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14.096798807431838</v>
      </c>
      <c r="E175" s="11">
        <f>A175-'Mastercurve bestimmen'!$B$2</f>
        <v>40</v>
      </c>
      <c r="F175" s="11">
        <f t="shared" si="15"/>
        <v>14.096798807431838</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14.498363054408252</v>
      </c>
      <c r="E176" s="11">
        <f>A176-'Mastercurve bestimmen'!$B$2</f>
        <v>41</v>
      </c>
      <c r="F176" s="11">
        <f t="shared" si="15"/>
        <v>14.498363054408252</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14.901041531839464</v>
      </c>
      <c r="E177" s="11">
        <f>A177-'Mastercurve bestimmen'!$B$2</f>
        <v>42</v>
      </c>
      <c r="F177" s="11">
        <f t="shared" si="15"/>
        <v>14.901041531839464</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15.304742593201198</v>
      </c>
      <c r="E178" s="11">
        <f>A178-'Mastercurve bestimmen'!$B$2</f>
        <v>43</v>
      </c>
      <c r="F178" s="11">
        <f t="shared" si="15"/>
        <v>15.304742593201198</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15.70937459196918</v>
      </c>
      <c r="E179" s="11">
        <f>A179-'Mastercurve bestimmen'!$B$2</f>
        <v>44</v>
      </c>
      <c r="F179" s="11">
        <f t="shared" si="15"/>
        <v>15.70937459196918</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16.114845881619132</v>
      </c>
      <c r="E180" s="11">
        <f>A180-'Mastercurve bestimmen'!$B$2</f>
        <v>45</v>
      </c>
      <c r="F180" s="11">
        <f t="shared" si="15"/>
        <v>16.114845881619132</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16.521076529836265</v>
      </c>
      <c r="E181" s="11">
        <f>A181-'Mastercurve bestimmen'!$B$2</f>
        <v>46</v>
      </c>
      <c r="F181" s="11">
        <f t="shared" si="15"/>
        <v>16.521076529836265</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16.92803346114373</v>
      </c>
      <c r="E182" s="11">
        <f>A182-'Mastercurve bestimmen'!$B$2</f>
        <v>47</v>
      </c>
      <c r="F182" s="11">
        <f t="shared" si="15"/>
        <v>16.92803346114373</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17.335695314274165</v>
      </c>
      <c r="E183" s="11">
        <f>A183-'Mastercurve bestimmen'!$B$2</f>
        <v>48</v>
      </c>
      <c r="F183" s="11">
        <f t="shared" si="15"/>
        <v>17.335695314274165</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17.744040727960208</v>
      </c>
      <c r="E184" s="11">
        <f>A184-'Mastercurve bestimmen'!$B$2</f>
        <v>49</v>
      </c>
      <c r="F184" s="11">
        <f t="shared" si="15"/>
        <v>17.744040727960208</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18.153048340934493</v>
      </c>
      <c r="E185" s="11">
        <f>A185-'Mastercurve bestimmen'!$B$2</f>
        <v>50</v>
      </c>
      <c r="F185" s="11">
        <f t="shared" si="15"/>
        <v>18.153048340934493</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18.56269679192966</v>
      </c>
      <c r="E186" s="11">
        <f>A186-'Mastercurve bestimmen'!$B$2</f>
        <v>51</v>
      </c>
      <c r="F186" s="11">
        <f t="shared" si="15"/>
        <v>18.56269679192966</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18.972964719678348</v>
      </c>
      <c r="E187" s="11">
        <f>A187-'Mastercurve bestimmen'!$B$2</f>
        <v>52</v>
      </c>
      <c r="F187" s="11">
        <f t="shared" si="15"/>
        <v>18.972964719678348</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19.383830762913192</v>
      </c>
      <c r="E188" s="11">
        <f>A188-'Mastercurve bestimmen'!$B$2</f>
        <v>53</v>
      </c>
      <c r="F188" s="11">
        <f t="shared" si="15"/>
        <v>19.383830762913192</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19.795273560366823</v>
      </c>
      <c r="E189" s="11">
        <f>A189-'Mastercurve bestimmen'!$B$2</f>
        <v>54</v>
      </c>
      <c r="F189" s="11">
        <f t="shared" si="15"/>
        <v>19.795273560366823</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20.207271750771888</v>
      </c>
      <c r="E190" s="11">
        <f>A190-'Mastercurve bestimmen'!$B$2</f>
        <v>55</v>
      </c>
      <c r="F190" s="11">
        <f t="shared" si="15"/>
        <v>20.207271750771888</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20.619803972861025</v>
      </c>
      <c r="E191" s="11">
        <f>A191-'Mastercurve bestimmen'!$B$2</f>
        <v>56</v>
      </c>
      <c r="F191" s="11">
        <f t="shared" si="15"/>
        <v>20.619803972861025</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21.032848865366866</v>
      </c>
      <c r="E192" s="11">
        <f>A192-'Mastercurve bestimmen'!$B$2</f>
        <v>57</v>
      </c>
      <c r="F192" s="11">
        <f t="shared" si="15"/>
        <v>21.032848865366866</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21.446385067022046</v>
      </c>
      <c r="E193" s="11">
        <f>A193-'Mastercurve bestimmen'!$B$2</f>
        <v>58</v>
      </c>
      <c r="F193" s="11">
        <f t="shared" si="15"/>
        <v>21.446385067022046</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21.860391216559208</v>
      </c>
      <c r="E194" s="11">
        <f>A194-'Mastercurve bestimmen'!$B$2</f>
        <v>59</v>
      </c>
      <c r="F194" s="11">
        <f t="shared" si="15"/>
        <v>21.860391216559208</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22.274845952710983</v>
      </c>
      <c r="E195" s="11">
        <f>A195-'Mastercurve bestimmen'!$B$2</f>
        <v>60</v>
      </c>
      <c r="F195" s="11">
        <f t="shared" si="15"/>
        <v>22.274845952710983</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22.689727914210017</v>
      </c>
      <c r="E196" s="11">
        <f>A196-'Mastercurve bestimmen'!$B$2</f>
        <v>61</v>
      </c>
      <c r="F196" s="11">
        <f t="shared" si="15"/>
        <v>22.689727914210017</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23.105015739788939</v>
      </c>
      <c r="E197" s="11">
        <f>A197-'Mastercurve bestimmen'!$B$2</f>
        <v>62</v>
      </c>
      <c r="F197" s="11">
        <f t="shared" si="15"/>
        <v>23.105015739788939</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23.520688068180391</v>
      </c>
      <c r="E198" s="11">
        <f>A198-'Mastercurve bestimmen'!$B$2</f>
        <v>63</v>
      </c>
      <c r="F198" s="11">
        <f t="shared" si="15"/>
        <v>23.520688068180391</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23.936723538117011</v>
      </c>
      <c r="E199" s="11">
        <f>A199-'Mastercurve bestimmen'!$B$2</f>
        <v>64</v>
      </c>
      <c r="F199" s="11">
        <f t="shared" si="15"/>
        <v>23.936723538117011</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24.353100788331432</v>
      </c>
      <c r="E200" s="11">
        <f>A200-'Mastercurve bestimmen'!$B$2</f>
        <v>65</v>
      </c>
      <c r="F200" s="11">
        <f t="shared" si="15"/>
        <v>24.353100788331432</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24.769798457556298</v>
      </c>
      <c r="E201" s="11">
        <f>A201-'Mastercurve bestimmen'!$B$2</f>
        <v>66</v>
      </c>
      <c r="F201" s="11">
        <f t="shared" si="15"/>
        <v>24.769798457556298</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25.186795184524236</v>
      </c>
      <c r="E202" s="11">
        <f>A202-'Mastercurve bestimmen'!$B$2</f>
        <v>67</v>
      </c>
      <c r="F202" s="11">
        <f t="shared" si="15"/>
        <v>25.186795184524236</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25.604069607967894</v>
      </c>
      <c r="E203" s="11">
        <f>A203-'Mastercurve bestimmen'!$B$2</f>
        <v>68</v>
      </c>
      <c r="F203" s="11">
        <f t="shared" si="15"/>
        <v>25.604069607967894</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26.021600366619904</v>
      </c>
      <c r="E204" s="11">
        <f>A204-'Mastercurve bestimmen'!$B$2</f>
        <v>69</v>
      </c>
      <c r="F204" s="11">
        <f t="shared" si="15"/>
        <v>26.021600366619904</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26.439366099212901</v>
      </c>
      <c r="E205" s="11">
        <f>A205-'Mastercurve bestimmen'!$B$2</f>
        <v>70</v>
      </c>
      <c r="F205" s="11">
        <f t="shared" si="15"/>
        <v>26.439366099212901</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26.857345444479527</v>
      </c>
      <c r="E206" s="11">
        <f>A206-'Mastercurve bestimmen'!$B$2</f>
        <v>71</v>
      </c>
      <c r="F206" s="11">
        <f t="shared" si="15"/>
        <v>26.857345444479527</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27.275517041152415</v>
      </c>
      <c r="E207" s="11">
        <f>A207-'Mastercurve bestimmen'!$B$2</f>
        <v>72</v>
      </c>
      <c r="F207" s="11">
        <f t="shared" si="15"/>
        <v>27.275517041152415</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27.693859527964211</v>
      </c>
      <c r="E208" s="11">
        <f>A208-'Mastercurve bestimmen'!$B$2</f>
        <v>73</v>
      </c>
      <c r="F208" s="11">
        <f t="shared" ref="F208:F215" si="21">B208</f>
        <v>27.693859527964211</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28.112351543647542</v>
      </c>
      <c r="E209" s="11">
        <f>A209-'Mastercurve bestimmen'!$B$2</f>
        <v>74</v>
      </c>
      <c r="F209" s="11">
        <f t="shared" si="21"/>
        <v>28.112351543647542</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28.530971726935043</v>
      </c>
      <c r="E210" s="11">
        <f>A210-'Mastercurve bestimmen'!$B$2</f>
        <v>75</v>
      </c>
      <c r="F210" s="11">
        <f t="shared" si="21"/>
        <v>28.530971726935043</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28.949698716559364</v>
      </c>
      <c r="E211" s="11">
        <f>A211-'Mastercurve bestimmen'!$B$2</f>
        <v>76</v>
      </c>
      <c r="F211" s="11">
        <f t="shared" si="21"/>
        <v>28.949698716559364</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29.368511151253138</v>
      </c>
      <c r="E212" s="11">
        <f>A212-'Mastercurve bestimmen'!$B$2</f>
        <v>77</v>
      </c>
      <c r="F212" s="11">
        <f t="shared" si="21"/>
        <v>29.368511151253138</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29.787387669748998</v>
      </c>
      <c r="E213" s="11">
        <f>A213-'Mastercurve bestimmen'!$B$2</f>
        <v>78</v>
      </c>
      <c r="F213" s="11">
        <f t="shared" si="21"/>
        <v>29.787387669748998</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30.206306910779585</v>
      </c>
      <c r="E214" s="11">
        <f>A214-'Mastercurve bestimmen'!$B$2</f>
        <v>79</v>
      </c>
      <c r="F214" s="11">
        <f t="shared" si="21"/>
        <v>30.206306910779585</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30.625247513077529</v>
      </c>
      <c r="E215" s="11">
        <f>A215-'Mastercurve bestimmen'!$B$2</f>
        <v>80</v>
      </c>
      <c r="F215" s="11">
        <f t="shared" si="21"/>
        <v>30.625247513077529</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0.27879166591256677</v>
      </c>
      <c r="J217" s="99">
        <v>2.1083785691094286E-3</v>
      </c>
      <c r="K217" s="99">
        <v>3.7413044690267028E-6</v>
      </c>
      <c r="L217" s="99">
        <v>-3.0020233413972978E-7</v>
      </c>
      <c r="M217" s="99">
        <v>2.9051712475681144E-10</v>
      </c>
      <c r="N217" s="99">
        <v>1.9595441295160367E-11</v>
      </c>
      <c r="O217" s="99">
        <v>-1.0998492658773505E-14</v>
      </c>
      <c r="P217" s="99">
        <v>-3.6192482202815763E-16</v>
      </c>
    </row>
    <row r="218" spans="1:16" x14ac:dyDescent="0.25">
      <c r="G218" s="11"/>
      <c r="H218" s="11">
        <v>0</v>
      </c>
      <c r="I218" s="11">
        <v>1.1440201986546179E-3</v>
      </c>
      <c r="J218" s="11">
        <v>2.1309143662093136E-5</v>
      </c>
      <c r="K218" s="3">
        <v>1.0827089336361318E-6</v>
      </c>
      <c r="L218" s="3">
        <v>9.8583868917944086E-9</v>
      </c>
      <c r="M218" s="3">
        <v>3.0955519435827655E-10</v>
      </c>
      <c r="N218" s="3">
        <v>1.7010383215767605E-12</v>
      </c>
      <c r="O218" s="11">
        <v>2.7353686855147856E-14</v>
      </c>
      <c r="P218" s="11">
        <v>1.6633740252023025E-16</v>
      </c>
    </row>
    <row r="219" spans="1:16" x14ac:dyDescent="0.25">
      <c r="G219" s="11"/>
      <c r="H219" s="11">
        <v>0.9999558526350194</v>
      </c>
      <c r="I219" s="11">
        <v>0.11835430709632591</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-32.147746290116025</v>
      </c>
      <c r="G222">
        <f>F15</f>
        <v>-32.327390242825459</v>
      </c>
    </row>
    <row r="223" spans="1:16" x14ac:dyDescent="0.25">
      <c r="E223" s="11">
        <f t="shared" ref="E223:E286" si="25">E16</f>
        <v>-119</v>
      </c>
      <c r="F223" s="11">
        <f t="shared" ref="F223:F286" si="26">$H$217*0+E223*$I$217+E223^2*$J$217+E223^3*$K$217+E223^4*$L$217+E223^5*$M$217+E223^6*$N$217+E223^7*$O$217+E223^8*$P$217</f>
        <v>-31.948956469236208</v>
      </c>
      <c r="G223" s="11">
        <f t="shared" ref="G223:G286" si="27">F16</f>
        <v>-32.054107179288593</v>
      </c>
    </row>
    <row r="224" spans="1:16" x14ac:dyDescent="0.25">
      <c r="E224" s="11">
        <f t="shared" si="25"/>
        <v>-118</v>
      </c>
      <c r="F224" s="11">
        <f t="shared" si="26"/>
        <v>-31.738073715088014</v>
      </c>
      <c r="G224" s="11">
        <f t="shared" si="27"/>
        <v>-31.7805576363825</v>
      </c>
    </row>
    <row r="225" spans="5:7" x14ac:dyDescent="0.25">
      <c r="E225" s="11">
        <f t="shared" si="25"/>
        <v>-117</v>
      </c>
      <c r="F225" s="11">
        <f t="shared" si="26"/>
        <v>-31.515503537300003</v>
      </c>
      <c r="G225" s="11">
        <f t="shared" si="27"/>
        <v>-31.506475134737947</v>
      </c>
    </row>
    <row r="226" spans="5:7" x14ac:dyDescent="0.25">
      <c r="E226" s="11">
        <f t="shared" si="25"/>
        <v>-116</v>
      </c>
      <c r="F226" s="11">
        <f t="shared" si="26"/>
        <v>-31.281667257363871</v>
      </c>
      <c r="G226" s="11">
        <f t="shared" si="27"/>
        <v>-31.231593194985713</v>
      </c>
    </row>
    <row r="227" spans="5:7" x14ac:dyDescent="0.25">
      <c r="E227" s="11">
        <f t="shared" si="25"/>
        <v>-115</v>
      </c>
      <c r="F227" s="11">
        <f t="shared" si="26"/>
        <v>-31.037000068365067</v>
      </c>
      <c r="G227" s="11">
        <f t="shared" si="27"/>
        <v>-30.955645337756572</v>
      </c>
    </row>
    <row r="228" spans="5:7" x14ac:dyDescent="0.25">
      <c r="E228" s="11">
        <f t="shared" si="25"/>
        <v>-114</v>
      </c>
      <c r="F228" s="11">
        <f t="shared" si="26"/>
        <v>-30.781949174003508</v>
      </c>
      <c r="G228" s="11">
        <f t="shared" si="27"/>
        <v>-30.678365083681289</v>
      </c>
    </row>
    <row r="229" spans="5:7" x14ac:dyDescent="0.25">
      <c r="E229" s="11">
        <f t="shared" si="25"/>
        <v>-113</v>
      </c>
      <c r="F229" s="11">
        <f t="shared" si="26"/>
        <v>-30.516972005259138</v>
      </c>
      <c r="G229" s="11">
        <f t="shared" si="27"/>
        <v>-30.399485953390638</v>
      </c>
    </row>
    <row r="230" spans="5:7" x14ac:dyDescent="0.25">
      <c r="E230" s="11">
        <f t="shared" si="25"/>
        <v>-112</v>
      </c>
      <c r="F230" s="11">
        <f t="shared" si="26"/>
        <v>-30.242534513072911</v>
      </c>
      <c r="G230" s="11">
        <f t="shared" si="27"/>
        <v>-30.118741467515392</v>
      </c>
    </row>
    <row r="231" spans="5:7" x14ac:dyDescent="0.25">
      <c r="E231" s="11">
        <f t="shared" si="25"/>
        <v>-111</v>
      </c>
      <c r="F231" s="11">
        <f t="shared" si="26"/>
        <v>-29.959109535427434</v>
      </c>
      <c r="G231" s="11">
        <f t="shared" si="27"/>
        <v>-29.835865146686324</v>
      </c>
    </row>
    <row r="232" spans="5:7" x14ac:dyDescent="0.25">
      <c r="E232" s="11">
        <f t="shared" si="25"/>
        <v>-110</v>
      </c>
      <c r="F232" s="11">
        <f t="shared" si="26"/>
        <v>-29.667175237226328</v>
      </c>
      <c r="G232" s="11">
        <f t="shared" si="27"/>
        <v>-29.55059051153421</v>
      </c>
    </row>
    <row r="233" spans="5:7" x14ac:dyDescent="0.25">
      <c r="E233" s="11">
        <f t="shared" si="25"/>
        <v>-109</v>
      </c>
      <c r="F233" s="11">
        <f t="shared" si="26"/>
        <v>-29.367213621386338</v>
      </c>
      <c r="G233" s="11">
        <f t="shared" si="27"/>
        <v>-29.262651082689814</v>
      </c>
    </row>
    <row r="234" spans="5:7" x14ac:dyDescent="0.25">
      <c r="E234" s="11">
        <f t="shared" si="25"/>
        <v>-108</v>
      </c>
      <c r="F234" s="11">
        <f t="shared" si="26"/>
        <v>-29.059709109570324</v>
      </c>
      <c r="G234" s="11">
        <f t="shared" si="27"/>
        <v>-28.971780380783915</v>
      </c>
    </row>
    <row r="235" spans="5:7" x14ac:dyDescent="0.25">
      <c r="E235" s="11">
        <f t="shared" si="25"/>
        <v>-107</v>
      </c>
      <c r="F235" s="11">
        <f t="shared" si="26"/>
        <v>-28.745147191004058</v>
      </c>
      <c r="G235" s="11">
        <f t="shared" si="27"/>
        <v>-28.67771192644728</v>
      </c>
    </row>
    <row r="236" spans="5:7" x14ac:dyDescent="0.25">
      <c r="E236" s="11">
        <f t="shared" si="25"/>
        <v>-106</v>
      </c>
      <c r="F236" s="11">
        <f t="shared" si="26"/>
        <v>-28.424013137834528</v>
      </c>
      <c r="G236" s="11">
        <f t="shared" si="27"/>
        <v>-28.380179240310682</v>
      </c>
    </row>
    <row r="237" spans="5:7" x14ac:dyDescent="0.25">
      <c r="E237" s="11">
        <f t="shared" si="25"/>
        <v>-105</v>
      </c>
      <c r="F237" s="11">
        <f t="shared" si="26"/>
        <v>-28.096790785501589</v>
      </c>
      <c r="G237" s="11">
        <f t="shared" si="27"/>
        <v>-28.0789158430049</v>
      </c>
    </row>
    <row r="238" spans="5:7" x14ac:dyDescent="0.25">
      <c r="E238" s="11">
        <f t="shared" si="25"/>
        <v>-104</v>
      </c>
      <c r="F238" s="11">
        <f t="shared" si="26"/>
        <v>-27.763961376609917</v>
      </c>
      <c r="G238" s="11">
        <f t="shared" si="27"/>
        <v>-27.773655255160698</v>
      </c>
    </row>
    <row r="239" spans="5:7" x14ac:dyDescent="0.25">
      <c r="E239" s="11">
        <f t="shared" si="25"/>
        <v>-103</v>
      </c>
      <c r="F239" s="11">
        <f t="shared" si="26"/>
        <v>-27.426002466802409</v>
      </c>
      <c r="G239" s="11">
        <f t="shared" si="27"/>
        <v>-27.464130997408855</v>
      </c>
    </row>
    <row r="240" spans="5:7" x14ac:dyDescent="0.25">
      <c r="E240" s="11">
        <f t="shared" si="25"/>
        <v>-102</v>
      </c>
      <c r="F240" s="11">
        <f t="shared" si="26"/>
        <v>-27.083386891150973</v>
      </c>
      <c r="G240" s="11">
        <f t="shared" si="27"/>
        <v>-27.150076590380134</v>
      </c>
    </row>
    <row r="241" spans="5:7" x14ac:dyDescent="0.25">
      <c r="E241" s="11">
        <f t="shared" si="25"/>
        <v>-101</v>
      </c>
      <c r="F241" s="11">
        <f t="shared" si="26"/>
        <v>-26.73658178959522</v>
      </c>
      <c r="G241" s="11">
        <f t="shared" si="27"/>
        <v>-26.831225554705313</v>
      </c>
    </row>
    <row r="242" spans="5:7" x14ac:dyDescent="0.25">
      <c r="E242" s="11">
        <f t="shared" si="25"/>
        <v>-100</v>
      </c>
      <c r="F242" s="11">
        <f t="shared" si="26"/>
        <v>-26.386047689974049</v>
      </c>
      <c r="G242" s="11">
        <f t="shared" si="27"/>
        <v>-26.507311411015166</v>
      </c>
    </row>
    <row r="243" spans="5:7" x14ac:dyDescent="0.25">
      <c r="E243" s="11">
        <f t="shared" si="25"/>
        <v>-99</v>
      </c>
      <c r="F243" s="11">
        <f t="shared" si="26"/>
        <v>-26.032237647209893</v>
      </c>
      <c r="G243" s="11">
        <f t="shared" si="27"/>
        <v>-26.178067679940465</v>
      </c>
    </row>
    <row r="244" spans="5:7" x14ac:dyDescent="0.25">
      <c r="E244" s="11">
        <f t="shared" si="25"/>
        <v>-98</v>
      </c>
      <c r="F244" s="11">
        <f t="shared" si="26"/>
        <v>-25.67559643721987</v>
      </c>
      <c r="G244" s="11">
        <f t="shared" si="27"/>
        <v>-25.843227882111975</v>
      </c>
    </row>
    <row r="245" spans="5:7" x14ac:dyDescent="0.25">
      <c r="E245" s="11">
        <f t="shared" si="25"/>
        <v>-97</v>
      </c>
      <c r="F245" s="11">
        <f t="shared" si="26"/>
        <v>-25.316559804142575</v>
      </c>
      <c r="G245" s="11">
        <f t="shared" si="27"/>
        <v>-25.50252553816048</v>
      </c>
    </row>
    <row r="246" spans="5:7" x14ac:dyDescent="0.25">
      <c r="E246" s="11">
        <f t="shared" si="25"/>
        <v>-96</v>
      </c>
      <c r="F246" s="11">
        <f t="shared" si="26"/>
        <v>-24.955553759484111</v>
      </c>
      <c r="G246" s="11">
        <f t="shared" si="27"/>
        <v>-25.155694168716742</v>
      </c>
    </row>
    <row r="247" spans="5:7" x14ac:dyDescent="0.25">
      <c r="E247" s="11">
        <f t="shared" si="25"/>
        <v>-95</v>
      </c>
      <c r="F247" s="11">
        <f t="shared" si="26"/>
        <v>-24.592993931801399</v>
      </c>
      <c r="G247" s="11">
        <f t="shared" si="27"/>
        <v>-24.802467294411539</v>
      </c>
    </row>
    <row r="248" spans="5:7" x14ac:dyDescent="0.25">
      <c r="E248" s="11">
        <f t="shared" si="25"/>
        <v>-94</v>
      </c>
      <c r="F248" s="11">
        <f t="shared" si="26"/>
        <v>-24.229284965555234</v>
      </c>
      <c r="G248" s="11">
        <f t="shared" si="27"/>
        <v>-24.442578435875639</v>
      </c>
    </row>
    <row r="249" spans="5:7" x14ac:dyDescent="0.25">
      <c r="E249" s="11">
        <f t="shared" si="25"/>
        <v>-93</v>
      </c>
      <c r="F249" s="11">
        <f t="shared" si="26"/>
        <v>-23.864819967780466</v>
      </c>
      <c r="G249" s="11">
        <f t="shared" si="27"/>
        <v>-24.075761113739816</v>
      </c>
    </row>
    <row r="250" spans="5:7" x14ac:dyDescent="0.25">
      <c r="E250" s="11">
        <f t="shared" si="25"/>
        <v>-92</v>
      </c>
      <c r="F250" s="11">
        <f t="shared" si="26"/>
        <v>-23.499980001235127</v>
      </c>
      <c r="G250" s="11">
        <f t="shared" si="27"/>
        <v>-23.701748848634843</v>
      </c>
    </row>
    <row r="251" spans="5:7" x14ac:dyDescent="0.25">
      <c r="E251" s="11">
        <f t="shared" si="25"/>
        <v>-91</v>
      </c>
      <c r="F251" s="11">
        <f t="shared" si="26"/>
        <v>-23.135133622704867</v>
      </c>
      <c r="G251" s="11">
        <f t="shared" si="27"/>
        <v>-23.320275161191493</v>
      </c>
    </row>
    <row r="252" spans="5:7" x14ac:dyDescent="0.25">
      <c r="E252" s="11">
        <f t="shared" si="25"/>
        <v>-90</v>
      </c>
      <c r="F252" s="11">
        <f t="shared" si="26"/>
        <v>-22.770636465153611</v>
      </c>
      <c r="G252" s="11">
        <f t="shared" si="27"/>
        <v>-22.931073572040535</v>
      </c>
    </row>
    <row r="253" spans="5:7" x14ac:dyDescent="0.25">
      <c r="E253" s="11">
        <f t="shared" si="25"/>
        <v>-89</v>
      </c>
      <c r="F253" s="11">
        <f t="shared" si="26"/>
        <v>-22.406830862426226</v>
      </c>
      <c r="G253" s="11">
        <f t="shared" si="27"/>
        <v>-22.533877601812748</v>
      </c>
    </row>
    <row r="254" spans="5:7" x14ac:dyDescent="0.25">
      <c r="E254" s="11">
        <f t="shared" si="25"/>
        <v>-88</v>
      </c>
      <c r="F254" s="11">
        <f t="shared" si="26"/>
        <v>-22.044045515223296</v>
      </c>
      <c r="G254" s="11">
        <f t="shared" si="27"/>
        <v>-22.128420771138892</v>
      </c>
    </row>
    <row r="255" spans="5:7" x14ac:dyDescent="0.25">
      <c r="E255" s="11">
        <f t="shared" si="25"/>
        <v>-87</v>
      </c>
      <c r="F255" s="11">
        <f t="shared" si="26"/>
        <v>-21.682595197082726</v>
      </c>
      <c r="G255" s="11">
        <f t="shared" si="27"/>
        <v>-21.714436600649751</v>
      </c>
    </row>
    <row r="256" spans="5:7" x14ac:dyDescent="0.25">
      <c r="E256" s="11">
        <f t="shared" si="25"/>
        <v>-86</v>
      </c>
      <c r="F256" s="11">
        <f t="shared" si="26"/>
        <v>-21.322780499117673</v>
      </c>
      <c r="G256" s="11">
        <f t="shared" si="27"/>
        <v>-21.291658610976093</v>
      </c>
    </row>
    <row r="257" spans="5:7" x14ac:dyDescent="0.25">
      <c r="E257" s="11">
        <f t="shared" si="25"/>
        <v>-85</v>
      </c>
      <c r="F257" s="11">
        <f t="shared" si="26"/>
        <v>-20.964887612274666</v>
      </c>
      <c r="G257" s="11">
        <f t="shared" si="27"/>
        <v>-20.859820322748689</v>
      </c>
    </row>
    <row r="258" spans="5:7" x14ac:dyDescent="0.25">
      <c r="E258" s="11">
        <f t="shared" si="25"/>
        <v>-84</v>
      </c>
      <c r="F258" s="11">
        <f t="shared" si="26"/>
        <v>-20.60918814589057</v>
      </c>
      <c r="G258" s="11">
        <f t="shared" si="27"/>
        <v>-20.418655256598313</v>
      </c>
    </row>
    <row r="259" spans="5:7" x14ac:dyDescent="0.25">
      <c r="E259" s="11">
        <f t="shared" si="25"/>
        <v>-83</v>
      </c>
      <c r="F259" s="11">
        <f t="shared" si="26"/>
        <v>-20.255938981341455</v>
      </c>
      <c r="G259" s="11">
        <f t="shared" si="27"/>
        <v>-19.967896933155735</v>
      </c>
    </row>
    <row r="260" spans="5:7" x14ac:dyDescent="0.25">
      <c r="E260" s="11">
        <f t="shared" si="25"/>
        <v>-82</v>
      </c>
      <c r="F260" s="11">
        <f t="shared" si="26"/>
        <v>-19.905382159591149</v>
      </c>
      <c r="G260" s="11">
        <f t="shared" si="27"/>
        <v>-19.507278873051732</v>
      </c>
    </row>
    <row r="261" spans="5:7" x14ac:dyDescent="0.25">
      <c r="E261" s="11">
        <f t="shared" si="25"/>
        <v>-81</v>
      </c>
      <c r="F261" s="11">
        <f t="shared" si="26"/>
        <v>-19.557744801461933</v>
      </c>
      <c r="G261" s="11">
        <f t="shared" si="27"/>
        <v>-19.036534596917068</v>
      </c>
    </row>
    <row r="262" spans="5:7" x14ac:dyDescent="0.25">
      <c r="E262" s="11">
        <f t="shared" si="25"/>
        <v>-80</v>
      </c>
      <c r="F262" s="11">
        <f t="shared" si="26"/>
        <v>-19.213239059464076</v>
      </c>
      <c r="G262" s="11">
        <f t="shared" si="27"/>
        <v>-18.555397625382522</v>
      </c>
    </row>
    <row r="263" spans="5:7" x14ac:dyDescent="0.25">
      <c r="E263" s="11">
        <f t="shared" si="25"/>
        <v>-79</v>
      </c>
      <c r="F263" s="11">
        <f t="shared" si="26"/>
        <v>-18.872062100035951</v>
      </c>
      <c r="G263" s="11">
        <f t="shared" si="27"/>
        <v>-18.350603417862114</v>
      </c>
    </row>
    <row r="264" spans="5:7" x14ac:dyDescent="0.25">
      <c r="E264" s="11">
        <f t="shared" si="25"/>
        <v>-78</v>
      </c>
      <c r="F264" s="11">
        <f t="shared" si="26"/>
        <v>-18.534396115060733</v>
      </c>
      <c r="G264" s="11">
        <f t="shared" si="27"/>
        <v>-18.135822827424555</v>
      </c>
    </row>
    <row r="265" spans="5:7" x14ac:dyDescent="0.25">
      <c r="E265" s="11">
        <f t="shared" si="25"/>
        <v>-77</v>
      </c>
      <c r="F265" s="11">
        <f t="shared" si="26"/>
        <v>-18.200408361540447</v>
      </c>
      <c r="G265" s="11">
        <f t="shared" si="27"/>
        <v>-17.911728645921794</v>
      </c>
    </row>
    <row r="266" spans="5:7" x14ac:dyDescent="0.25">
      <c r="E266" s="11">
        <f t="shared" si="25"/>
        <v>-76</v>
      </c>
      <c r="F266" s="11">
        <f t="shared" si="26"/>
        <v>-17.870251228322612</v>
      </c>
      <c r="G266" s="11">
        <f t="shared" si="27"/>
        <v>-17.678993665205788</v>
      </c>
    </row>
    <row r="267" spans="5:7" x14ac:dyDescent="0.25">
      <c r="E267" s="11">
        <f t="shared" si="25"/>
        <v>-75</v>
      </c>
      <c r="F267" s="11">
        <f t="shared" si="26"/>
        <v>-17.544062328789423</v>
      </c>
      <c r="G267" s="11">
        <f t="shared" si="27"/>
        <v>-17.438290677128496</v>
      </c>
    </row>
    <row r="268" spans="5:7" x14ac:dyDescent="0.25">
      <c r="E268" s="11">
        <f t="shared" si="25"/>
        <v>-74</v>
      </c>
      <c r="F268" s="11">
        <f t="shared" si="26"/>
        <v>-17.221964618434004</v>
      </c>
      <c r="G268" s="11">
        <f t="shared" si="27"/>
        <v>-17.190292473541867</v>
      </c>
    </row>
    <row r="269" spans="5:7" x14ac:dyDescent="0.25">
      <c r="E269" s="11">
        <f t="shared" si="25"/>
        <v>-73</v>
      </c>
      <c r="F269" s="11">
        <f t="shared" si="26"/>
        <v>-16.904066536262675</v>
      </c>
      <c r="G269" s="11">
        <f t="shared" si="27"/>
        <v>-16.935671846297858</v>
      </c>
    </row>
    <row r="270" spans="5:7" x14ac:dyDescent="0.25">
      <c r="E270" s="11">
        <f t="shared" si="25"/>
        <v>-72</v>
      </c>
      <c r="F270" s="11">
        <f t="shared" si="26"/>
        <v>-16.590462168977048</v>
      </c>
      <c r="G270" s="11">
        <f t="shared" si="27"/>
        <v>-16.675101587248427</v>
      </c>
    </row>
    <row r="271" spans="5:7" x14ac:dyDescent="0.25">
      <c r="E271" s="11">
        <f t="shared" si="25"/>
        <v>-71</v>
      </c>
      <c r="F271" s="11">
        <f t="shared" si="26"/>
        <v>-16.28123143690414</v>
      </c>
      <c r="G271" s="11">
        <f t="shared" si="27"/>
        <v>-16.409254488245537</v>
      </c>
    </row>
    <row r="272" spans="5:7" x14ac:dyDescent="0.25">
      <c r="E272" s="11">
        <f t="shared" si="25"/>
        <v>-70</v>
      </c>
      <c r="F272" s="11">
        <f t="shared" si="26"/>
        <v>-15.976440300657424</v>
      </c>
      <c r="G272" s="11">
        <f t="shared" si="27"/>
        <v>-16.138803341141131</v>
      </c>
    </row>
    <row r="273" spans="5:7" x14ac:dyDescent="0.25">
      <c r="E273" s="11">
        <f t="shared" si="25"/>
        <v>-69</v>
      </c>
      <c r="F273" s="11">
        <f t="shared" si="26"/>
        <v>-15.676140987526223</v>
      </c>
      <c r="G273" s="11">
        <f t="shared" si="27"/>
        <v>-15.86442093778717</v>
      </c>
    </row>
    <row r="274" spans="5:7" x14ac:dyDescent="0.25">
      <c r="E274" s="11">
        <f t="shared" si="25"/>
        <v>-68</v>
      </c>
      <c r="F274" s="11">
        <f t="shared" si="26"/>
        <v>-15.380372236605462</v>
      </c>
      <c r="G274" s="11">
        <f t="shared" si="27"/>
        <v>-15.58678007003561</v>
      </c>
    </row>
    <row r="275" spans="5:7" x14ac:dyDescent="0.25">
      <c r="E275" s="11">
        <f t="shared" si="25"/>
        <v>-67</v>
      </c>
      <c r="F275" s="11">
        <f t="shared" si="26"/>
        <v>-15.08915956169254</v>
      </c>
      <c r="G275" s="11">
        <f t="shared" si="27"/>
        <v>-15.306553529738405</v>
      </c>
    </row>
    <row r="276" spans="5:7" x14ac:dyDescent="0.25">
      <c r="E276" s="11">
        <f t="shared" si="25"/>
        <v>-66</v>
      </c>
      <c r="F276" s="11">
        <f t="shared" si="26"/>
        <v>-14.802515530992434</v>
      </c>
      <c r="G276" s="11">
        <f t="shared" si="27"/>
        <v>-15.024414108747514</v>
      </c>
    </row>
    <row r="277" spans="5:7" x14ac:dyDescent="0.25">
      <c r="E277" s="11">
        <f t="shared" si="25"/>
        <v>-65</v>
      </c>
      <c r="F277" s="11">
        <f t="shared" si="26"/>
        <v>-14.520440062686916</v>
      </c>
      <c r="G277" s="11">
        <f t="shared" si="27"/>
        <v>-14.74103459891489</v>
      </c>
    </row>
    <row r="278" spans="5:7" x14ac:dyDescent="0.25">
      <c r="E278" s="11">
        <f t="shared" si="25"/>
        <v>-64</v>
      </c>
      <c r="F278" s="11">
        <f t="shared" si="26"/>
        <v>-14.242920735438261</v>
      </c>
      <c r="G278" s="11">
        <f t="shared" si="27"/>
        <v>-14.457087792092489</v>
      </c>
    </row>
    <row r="279" spans="5:7" x14ac:dyDescent="0.25">
      <c r="E279" s="11">
        <f t="shared" si="25"/>
        <v>-63</v>
      </c>
      <c r="F279" s="11">
        <f t="shared" si="26"/>
        <v>-13.969933112912546</v>
      </c>
      <c r="G279" s="11">
        <f t="shared" si="27"/>
        <v>-14.173246480132267</v>
      </c>
    </row>
    <row r="280" spans="5:7" x14ac:dyDescent="0.25">
      <c r="E280" s="11">
        <f t="shared" si="25"/>
        <v>-62</v>
      </c>
      <c r="F280" s="11">
        <f t="shared" si="26"/>
        <v>-13.701441081422031</v>
      </c>
      <c r="G280" s="11">
        <f t="shared" si="27"/>
        <v>-13.890183454886177</v>
      </c>
    </row>
    <row r="281" spans="5:7" x14ac:dyDescent="0.25">
      <c r="E281" s="11">
        <f t="shared" si="25"/>
        <v>-61</v>
      </c>
      <c r="F281" s="11">
        <f t="shared" si="26"/>
        <v>-13.437397199800854</v>
      </c>
      <c r="G281" s="11">
        <f t="shared" si="27"/>
        <v>-13.608571508206182</v>
      </c>
    </row>
    <row r="282" spans="5:7" x14ac:dyDescent="0.25">
      <c r="E282" s="11">
        <f t="shared" si="25"/>
        <v>-60</v>
      </c>
      <c r="F282" s="11">
        <f t="shared" si="26"/>
        <v>-13.177743060642925</v>
      </c>
      <c r="G282" s="11">
        <f t="shared" si="27"/>
        <v>-13.32908343194423</v>
      </c>
    </row>
    <row r="283" spans="5:7" x14ac:dyDescent="0.25">
      <c r="E283" s="11">
        <f t="shared" si="25"/>
        <v>-59</v>
      </c>
      <c r="F283" s="11">
        <f t="shared" si="26"/>
        <v>-12.922409662045224</v>
      </c>
      <c r="G283" s="11">
        <f t="shared" si="27"/>
        <v>-13.052392017952279</v>
      </c>
    </row>
    <row r="284" spans="5:7" x14ac:dyDescent="0.25">
      <c r="E284" s="11">
        <f t="shared" si="25"/>
        <v>-58</v>
      </c>
      <c r="F284" s="11">
        <f t="shared" si="26"/>
        <v>-12.671317789014644</v>
      </c>
      <c r="G284" s="11">
        <f t="shared" si="27"/>
        <v>-12.779170058082288</v>
      </c>
    </row>
    <row r="285" spans="5:7" x14ac:dyDescent="0.25">
      <c r="E285" s="11">
        <f t="shared" si="25"/>
        <v>-57</v>
      </c>
      <c r="F285" s="11">
        <f t="shared" si="26"/>
        <v>-12.424378403710836</v>
      </c>
      <c r="G285" s="11">
        <f t="shared" si="27"/>
        <v>-12.510090344186208</v>
      </c>
    </row>
    <row r="286" spans="5:7" x14ac:dyDescent="0.25">
      <c r="E286" s="11">
        <f t="shared" si="25"/>
        <v>-56</v>
      </c>
      <c r="F286" s="11">
        <f t="shared" si="26"/>
        <v>-12.181493043712278</v>
      </c>
      <c r="G286" s="11">
        <f t="shared" si="27"/>
        <v>-12.245825668115996</v>
      </c>
    </row>
    <row r="287" spans="5:7" x14ac:dyDescent="0.25">
      <c r="E287" s="11">
        <f t="shared" ref="E287:E350" si="28">E80</f>
        <v>-55</v>
      </c>
      <c r="F287" s="11">
        <f t="shared" ref="F287:F350" si="29">$H$217*0+E287*$I$217+E287^2*$J$217+E287^3*$K$217+E287^4*$L$217+E287^5*$M$217+E287^6*$N$217+E287^7*$O$217+E287^8*$P$217</f>
        <v>-11.942554227507292</v>
      </c>
      <c r="G287" s="11">
        <f t="shared" ref="G287:G350" si="30">F80</f>
        <v>-11.98704882172361</v>
      </c>
    </row>
    <row r="288" spans="5:7" x14ac:dyDescent="0.25">
      <c r="E288" s="11">
        <f t="shared" si="28"/>
        <v>-54</v>
      </c>
      <c r="F288" s="11">
        <f t="shared" si="29"/>
        <v>-11.70744586642636</v>
      </c>
      <c r="G288" s="11">
        <f t="shared" si="30"/>
        <v>-11.734272715938122</v>
      </c>
    </row>
    <row r="289" spans="5:7" x14ac:dyDescent="0.25">
      <c r="E289" s="11">
        <f t="shared" si="28"/>
        <v>-53</v>
      </c>
      <c r="F289" s="11">
        <f t="shared" si="29"/>
        <v>-11.476043682246678</v>
      </c>
      <c r="G289" s="11">
        <f t="shared" si="30"/>
        <v>-11.487370737997093</v>
      </c>
    </row>
    <row r="290" spans="5:7" x14ac:dyDescent="0.25">
      <c r="E290" s="11">
        <f t="shared" si="28"/>
        <v>-52</v>
      </c>
      <c r="F290" s="11">
        <f t="shared" si="29"/>
        <v>-11.248215629714498</v>
      </c>
      <c r="G290" s="11">
        <f t="shared" si="30"/>
        <v>-11.246056394215193</v>
      </c>
    </row>
    <row r="291" spans="5:7" x14ac:dyDescent="0.25">
      <c r="E291" s="11">
        <f t="shared" si="28"/>
        <v>-51</v>
      </c>
      <c r="F291" s="11">
        <f t="shared" si="29"/>
        <v>-11.023822323245339</v>
      </c>
      <c r="G291" s="11">
        <f t="shared" si="30"/>
        <v>-11.010043190907099</v>
      </c>
    </row>
    <row r="292" spans="5:7" x14ac:dyDescent="0.25">
      <c r="E292" s="11">
        <f t="shared" si="28"/>
        <v>-50</v>
      </c>
      <c r="F292" s="11">
        <f t="shared" si="29"/>
        <v>-10.802717467076846</v>
      </c>
      <c r="G292" s="11">
        <f t="shared" si="30"/>
        <v>-10.779044634387491</v>
      </c>
    </row>
    <row r="293" spans="5:7" x14ac:dyDescent="0.25">
      <c r="E293" s="11">
        <f t="shared" si="28"/>
        <v>-49</v>
      </c>
      <c r="F293" s="11">
        <f t="shared" si="29"/>
        <v>-10.584748288163532</v>
      </c>
      <c r="G293" s="11">
        <f t="shared" si="30"/>
        <v>-10.552774230971043</v>
      </c>
    </row>
    <row r="294" spans="5:7" x14ac:dyDescent="0.25">
      <c r="E294" s="11">
        <f t="shared" si="28"/>
        <v>-48</v>
      </c>
      <c r="F294" s="11">
        <f t="shared" si="29"/>
        <v>-10.369755971117387</v>
      </c>
      <c r="G294" s="11">
        <f t="shared" si="30"/>
        <v>-10.330945486972428</v>
      </c>
    </row>
    <row r="295" spans="5:7" x14ac:dyDescent="0.25">
      <c r="E295" s="11">
        <f t="shared" si="28"/>
        <v>-47</v>
      </c>
      <c r="F295" s="11">
        <f t="shared" si="29"/>
        <v>-10.157576094512759</v>
      </c>
      <c r="G295" s="11">
        <f t="shared" si="30"/>
        <v>-10.113271908706325</v>
      </c>
    </row>
    <row r="296" spans="5:7" x14ac:dyDescent="0.25">
      <c r="E296" s="11">
        <f t="shared" si="28"/>
        <v>-46</v>
      </c>
      <c r="F296" s="11">
        <f t="shared" si="29"/>
        <v>-9.9480390678887076</v>
      </c>
      <c r="G296" s="11">
        <f t="shared" si="30"/>
        <v>-9.899467002487409</v>
      </c>
    </row>
    <row r="297" spans="5:7" x14ac:dyDescent="0.25">
      <c r="E297" s="11">
        <f t="shared" si="28"/>
        <v>-45</v>
      </c>
      <c r="F297" s="11">
        <f t="shared" si="29"/>
        <v>-9.740970568796385</v>
      </c>
      <c r="G297" s="11">
        <f t="shared" si="30"/>
        <v>-9.689244274630358</v>
      </c>
    </row>
    <row r="298" spans="5:7" x14ac:dyDescent="0.25">
      <c r="E298" s="11">
        <f t="shared" si="28"/>
        <v>-44</v>
      </c>
      <c r="F298" s="11">
        <f t="shared" si="29"/>
        <v>-9.5361919792538323</v>
      </c>
      <c r="G298" s="11">
        <f t="shared" si="30"/>
        <v>-9.4823172314498443</v>
      </c>
    </row>
    <row r="299" spans="5:7" x14ac:dyDescent="0.25">
      <c r="E299" s="11">
        <f t="shared" si="28"/>
        <v>-43</v>
      </c>
      <c r="F299" s="11">
        <f t="shared" si="29"/>
        <v>-9.3335208209849689</v>
      </c>
      <c r="G299" s="11">
        <f t="shared" si="30"/>
        <v>-9.278399379260545</v>
      </c>
    </row>
    <row r="300" spans="5:7" x14ac:dyDescent="0.25">
      <c r="E300" s="11">
        <f t="shared" si="28"/>
        <v>-42</v>
      </c>
      <c r="F300" s="11">
        <f t="shared" si="29"/>
        <v>-9.1327711888343011</v>
      </c>
      <c r="G300" s="11">
        <f t="shared" si="30"/>
        <v>-9.0772042243771374</v>
      </c>
    </row>
    <row r="301" spans="5:7" x14ac:dyDescent="0.25">
      <c r="E301" s="11">
        <f t="shared" si="28"/>
        <v>-41</v>
      </c>
      <c r="F301" s="11">
        <f t="shared" si="29"/>
        <v>-8.9337541817633657</v>
      </c>
      <c r="G301" s="11">
        <f t="shared" si="30"/>
        <v>-8.8784452731142949</v>
      </c>
    </row>
    <row r="302" spans="5:7" x14ac:dyDescent="0.25">
      <c r="E302" s="11">
        <f t="shared" si="28"/>
        <v>-40</v>
      </c>
      <c r="F302" s="11">
        <f t="shared" si="29"/>
        <v>-8.7362783308495526</v>
      </c>
      <c r="G302" s="11">
        <f t="shared" si="30"/>
        <v>-8.6818360317866947</v>
      </c>
    </row>
    <row r="303" spans="5:7" x14ac:dyDescent="0.25">
      <c r="E303" s="11">
        <f t="shared" si="28"/>
        <v>-39</v>
      </c>
      <c r="F303" s="11">
        <f t="shared" si="29"/>
        <v>-8.5401500237225658</v>
      </c>
      <c r="G303" s="11">
        <f t="shared" si="30"/>
        <v>-8.487090006709014</v>
      </c>
    </row>
    <row r="304" spans="5:7" x14ac:dyDescent="0.25">
      <c r="E304" s="11">
        <f t="shared" si="28"/>
        <v>-38</v>
      </c>
      <c r="F304" s="11">
        <f t="shared" si="29"/>
        <v>-8.3451739248883356</v>
      </c>
      <c r="G304" s="11">
        <f t="shared" si="30"/>
        <v>-8.29392070419593</v>
      </c>
    </row>
    <row r="305" spans="5:7" x14ac:dyDescent="0.25">
      <c r="E305" s="11">
        <f t="shared" si="28"/>
        <v>-37</v>
      </c>
      <c r="F305" s="11">
        <f t="shared" si="29"/>
        <v>-8.1511533914048258</v>
      </c>
      <c r="G305" s="11">
        <f t="shared" si="30"/>
        <v>-8.1020416305621126</v>
      </c>
    </row>
    <row r="306" spans="5:7" x14ac:dyDescent="0.25">
      <c r="E306" s="11">
        <f t="shared" si="28"/>
        <v>-36</v>
      </c>
      <c r="F306" s="11">
        <f t="shared" si="29"/>
        <v>-7.9578908833887168</v>
      </c>
      <c r="G306" s="11">
        <f t="shared" si="30"/>
        <v>-7.9111662921222425</v>
      </c>
    </row>
    <row r="307" spans="5:7" x14ac:dyDescent="0.25">
      <c r="E307" s="11">
        <f t="shared" si="28"/>
        <v>-35</v>
      </c>
      <c r="F307" s="11">
        <f t="shared" si="29"/>
        <v>-7.7651883688466068</v>
      </c>
      <c r="G307" s="11">
        <f t="shared" si="30"/>
        <v>-7.7210081951909935</v>
      </c>
    </row>
    <row r="308" spans="5:7" x14ac:dyDescent="0.25">
      <c r="E308" s="11">
        <f t="shared" si="28"/>
        <v>-34</v>
      </c>
      <c r="F308" s="11">
        <f t="shared" si="29"/>
        <v>-7.5728477223389348</v>
      </c>
      <c r="G308" s="11">
        <f t="shared" si="30"/>
        <v>-7.5312808460830434</v>
      </c>
    </row>
    <row r="309" spans="5:7" x14ac:dyDescent="0.25">
      <c r="E309" s="11">
        <f t="shared" si="28"/>
        <v>-33</v>
      </c>
      <c r="F309" s="11">
        <f t="shared" si="29"/>
        <v>-7.3806711169993831</v>
      </c>
      <c r="G309" s="11">
        <f t="shared" si="30"/>
        <v>-7.3416977511130668</v>
      </c>
    </row>
    <row r="310" spans="5:7" x14ac:dyDescent="0.25">
      <c r="E310" s="11">
        <f t="shared" si="28"/>
        <v>-32</v>
      </c>
      <c r="F310" s="11">
        <f t="shared" si="29"/>
        <v>-7.1884614094471901</v>
      </c>
      <c r="G310" s="11">
        <f t="shared" si="30"/>
        <v>-7.1519724165957399</v>
      </c>
    </row>
    <row r="311" spans="5:7" x14ac:dyDescent="0.25">
      <c r="E311" s="11">
        <f t="shared" si="28"/>
        <v>-31</v>
      </c>
      <c r="F311" s="11">
        <f t="shared" si="29"/>
        <v>-6.9960225171443282</v>
      </c>
      <c r="G311" s="11">
        <f t="shared" si="30"/>
        <v>-6.961818348845739</v>
      </c>
    </row>
    <row r="312" spans="5:7" x14ac:dyDescent="0.25">
      <c r="E312" s="11">
        <f t="shared" si="28"/>
        <v>-30</v>
      </c>
      <c r="F312" s="11">
        <f t="shared" si="29"/>
        <v>-6.8031597877641223</v>
      </c>
      <c r="G312" s="11">
        <f t="shared" si="30"/>
        <v>-6.7709490541777377</v>
      </c>
    </row>
    <row r="313" spans="5:7" x14ac:dyDescent="0.25">
      <c r="E313" s="11">
        <f t="shared" si="28"/>
        <v>-29</v>
      </c>
      <c r="F313" s="11">
        <f t="shared" si="29"/>
        <v>-6.6096803601525052</v>
      </c>
      <c r="G313" s="11">
        <f t="shared" si="30"/>
        <v>-6.5791042877575974</v>
      </c>
    </row>
    <row r="314" spans="5:7" x14ac:dyDescent="0.25">
      <c r="E314" s="11">
        <f t="shared" si="28"/>
        <v>-28</v>
      </c>
      <c r="F314" s="11">
        <f t="shared" si="29"/>
        <v>-6.4153935164775939</v>
      </c>
      <c r="G314" s="11">
        <f t="shared" si="30"/>
        <v>-6.3861288001559098</v>
      </c>
    </row>
    <row r="315" spans="5:7" x14ac:dyDescent="0.25">
      <c r="E315" s="11">
        <f t="shared" si="28"/>
        <v>-27</v>
      </c>
      <c r="F315" s="11">
        <f t="shared" si="29"/>
        <v>-6.2201110251780509</v>
      </c>
      <c r="G315" s="11">
        <f t="shared" si="30"/>
        <v>-6.1918935907944439</v>
      </c>
    </row>
    <row r="316" spans="5:7" x14ac:dyDescent="0.25">
      <c r="E316" s="11">
        <f t="shared" si="28"/>
        <v>-26</v>
      </c>
      <c r="F316" s="11">
        <f t="shared" si="29"/>
        <v>-6.0236474743350543</v>
      </c>
      <c r="G316" s="11">
        <f t="shared" si="30"/>
        <v>-5.9962696590949776</v>
      </c>
    </row>
    <row r="317" spans="5:7" x14ac:dyDescent="0.25">
      <c r="E317" s="11">
        <f t="shared" si="28"/>
        <v>-25</v>
      </c>
      <c r="F317" s="11">
        <f t="shared" si="29"/>
        <v>-5.8258205951075173</v>
      </c>
      <c r="G317" s="11">
        <f t="shared" si="30"/>
        <v>-5.7991280044792823</v>
      </c>
    </row>
    <row r="318" spans="5:7" x14ac:dyDescent="0.25">
      <c r="E318" s="11">
        <f t="shared" si="28"/>
        <v>-24</v>
      </c>
      <c r="F318" s="11">
        <f t="shared" si="29"/>
        <v>-5.6264515748846078</v>
      </c>
      <c r="G318" s="11">
        <f t="shared" si="30"/>
        <v>-5.6003396263691316</v>
      </c>
    </row>
    <row r="319" spans="5:7" x14ac:dyDescent="0.25">
      <c r="E319" s="11">
        <f t="shared" si="28"/>
        <v>-23</v>
      </c>
      <c r="F319" s="11">
        <f t="shared" si="29"/>
        <v>-5.4253653598243501</v>
      </c>
      <c r="G319" s="11">
        <f t="shared" si="30"/>
        <v>-5.3997755241862979</v>
      </c>
    </row>
    <row r="320" spans="5:7" x14ac:dyDescent="0.25">
      <c r="E320" s="11">
        <f t="shared" si="28"/>
        <v>-22</v>
      </c>
      <c r="F320" s="11">
        <f t="shared" si="29"/>
        <v>-5.2223909464615934</v>
      </c>
      <c r="G320" s="11">
        <f t="shared" si="30"/>
        <v>-5.1973066973525581</v>
      </c>
    </row>
    <row r="321" spans="5:7" x14ac:dyDescent="0.25">
      <c r="E321" s="11">
        <f t="shared" si="28"/>
        <v>-21</v>
      </c>
      <c r="F321" s="11">
        <f t="shared" si="29"/>
        <v>-5.0173616620832426</v>
      </c>
      <c r="G321" s="11">
        <f t="shared" si="30"/>
        <v>-4.9928041452896821</v>
      </c>
    </row>
    <row r="322" spans="5:7" x14ac:dyDescent="0.25">
      <c r="E322" s="11">
        <f t="shared" si="28"/>
        <v>-20</v>
      </c>
      <c r="F322" s="11">
        <f t="shared" si="29"/>
        <v>-4.8101154335833067</v>
      </c>
      <c r="G322" s="11">
        <f t="shared" si="30"/>
        <v>-4.7861388674194449</v>
      </c>
    </row>
    <row r="323" spans="5:7" x14ac:dyDescent="0.25">
      <c r="E323" s="11">
        <f t="shared" si="28"/>
        <v>-19</v>
      </c>
      <c r="F323" s="11">
        <f t="shared" si="29"/>
        <v>-4.6004950445247932</v>
      </c>
      <c r="G323" s="11">
        <f t="shared" si="30"/>
        <v>-4.5771818631636201</v>
      </c>
    </row>
    <row r="324" spans="5:7" x14ac:dyDescent="0.25">
      <c r="E324" s="11">
        <f t="shared" si="28"/>
        <v>-18</v>
      </c>
      <c r="F324" s="11">
        <f t="shared" si="29"/>
        <v>-4.3883483801501892</v>
      </c>
      <c r="G324" s="11">
        <f t="shared" si="30"/>
        <v>-4.3658041319439818</v>
      </c>
    </row>
    <row r="325" spans="5:7" x14ac:dyDescent="0.25">
      <c r="E325" s="11">
        <f t="shared" si="28"/>
        <v>-17</v>
      </c>
      <c r="F325" s="11">
        <f t="shared" si="29"/>
        <v>-4.1735286600967685</v>
      </c>
      <c r="G325" s="11">
        <f t="shared" si="30"/>
        <v>-4.1518766731823007</v>
      </c>
    </row>
    <row r="326" spans="5:7" x14ac:dyDescent="0.25">
      <c r="E326" s="11">
        <f t="shared" si="28"/>
        <v>-16</v>
      </c>
      <c r="F326" s="11">
        <f t="shared" si="29"/>
        <v>-3.9558946585876367</v>
      </c>
      <c r="G326" s="11">
        <f t="shared" si="30"/>
        <v>-3.9352704863003538</v>
      </c>
    </row>
    <row r="327" spans="5:7" x14ac:dyDescent="0.25">
      <c r="E327" s="11">
        <f t="shared" si="28"/>
        <v>-15</v>
      </c>
      <c r="F327" s="11">
        <f t="shared" si="29"/>
        <v>-3.7353109118839298</v>
      </c>
      <c r="G327" s="11">
        <f t="shared" si="30"/>
        <v>-3.7158565707199127</v>
      </c>
    </row>
    <row r="328" spans="5:7" x14ac:dyDescent="0.25">
      <c r="E328" s="11">
        <f t="shared" si="28"/>
        <v>-14</v>
      </c>
      <c r="F328" s="11">
        <f t="shared" si="29"/>
        <v>-3.5116479127982863</v>
      </c>
      <c r="G328" s="11">
        <f t="shared" si="30"/>
        <v>-3.4935059258627508</v>
      </c>
    </row>
    <row r="329" spans="5:7" x14ac:dyDescent="0.25">
      <c r="E329" s="11">
        <f t="shared" si="28"/>
        <v>-13</v>
      </c>
      <c r="F329" s="11">
        <f t="shared" si="29"/>
        <v>-3.2847822920841834</v>
      </c>
      <c r="G329" s="11">
        <f t="shared" si="30"/>
        <v>-3.2680895511506427</v>
      </c>
    </row>
    <row r="330" spans="5:7" x14ac:dyDescent="0.25">
      <c r="E330" s="11">
        <f t="shared" si="28"/>
        <v>-12</v>
      </c>
      <c r="F330" s="11">
        <f t="shared" si="29"/>
        <v>-3.0545969865304214</v>
      </c>
      <c r="G330" s="11">
        <f t="shared" si="30"/>
        <v>-3.0394784460053605</v>
      </c>
    </row>
    <row r="331" spans="5:7" x14ac:dyDescent="0.25">
      <c r="E331" s="11">
        <f t="shared" si="28"/>
        <v>-11</v>
      </c>
      <c r="F331" s="11">
        <f t="shared" si="29"/>
        <v>-2.8209813936045833</v>
      </c>
      <c r="G331" s="11">
        <f t="shared" si="30"/>
        <v>-2.807543609848679</v>
      </c>
    </row>
    <row r="332" spans="5:7" x14ac:dyDescent="0.25">
      <c r="E332" s="11">
        <f t="shared" si="28"/>
        <v>-10</v>
      </c>
      <c r="F332" s="11">
        <f t="shared" si="29"/>
        <v>-2.5838315125038851</v>
      </c>
      <c r="G332" s="11">
        <f t="shared" si="30"/>
        <v>-2.572156042102371</v>
      </c>
    </row>
    <row r="333" spans="5:7" x14ac:dyDescent="0.25">
      <c r="E333" s="11">
        <f t="shared" si="28"/>
        <v>-9</v>
      </c>
      <c r="F333" s="11">
        <f t="shared" si="29"/>
        <v>-2.3430500714864584</v>
      </c>
      <c r="G333" s="11">
        <f t="shared" si="30"/>
        <v>-2.3331867421882095</v>
      </c>
    </row>
    <row r="334" spans="5:7" x14ac:dyDescent="0.25">
      <c r="E334" s="11">
        <f t="shared" si="28"/>
        <v>-8</v>
      </c>
      <c r="F334" s="11">
        <f t="shared" si="29"/>
        <v>-2.0985466413706702</v>
      </c>
      <c r="G334" s="11">
        <f t="shared" si="30"/>
        <v>-2.0905067095279688</v>
      </c>
    </row>
    <row r="335" spans="5:7" x14ac:dyDescent="0.25">
      <c r="E335" s="11">
        <f t="shared" si="28"/>
        <v>-7</v>
      </c>
      <c r="F335" s="11">
        <f t="shared" si="29"/>
        <v>-1.8502377351046866</v>
      </c>
      <c r="G335" s="11">
        <f t="shared" si="30"/>
        <v>-1.843986943543422</v>
      </c>
    </row>
    <row r="336" spans="5:7" x14ac:dyDescent="0.25">
      <c r="E336" s="11">
        <f t="shared" si="28"/>
        <v>-6</v>
      </c>
      <c r="F336" s="11">
        <f t="shared" si="29"/>
        <v>-1.5980468933230896</v>
      </c>
      <c r="G336" s="11">
        <f t="shared" si="30"/>
        <v>-1.5934984436563426</v>
      </c>
    </row>
    <row r="337" spans="5:7" x14ac:dyDescent="0.25">
      <c r="E337" s="11">
        <f t="shared" si="28"/>
        <v>-5</v>
      </c>
      <c r="F337" s="11">
        <f t="shared" si="29"/>
        <v>-1.3419047558219281</v>
      </c>
      <c r="G337" s="11">
        <f t="shared" si="30"/>
        <v>-1.3389122092885044</v>
      </c>
    </row>
    <row r="338" spans="5:7" x14ac:dyDescent="0.25">
      <c r="E338" s="11">
        <f t="shared" si="28"/>
        <v>-4</v>
      </c>
      <c r="F338" s="11">
        <f t="shared" si="29"/>
        <v>-1.0817491188982014</v>
      </c>
      <c r="G338" s="11">
        <f t="shared" si="30"/>
        <v>-1.0800992398616809</v>
      </c>
    </row>
    <row r="339" spans="5:7" x14ac:dyDescent="0.25">
      <c r="E339" s="11">
        <f t="shared" si="28"/>
        <v>-3</v>
      </c>
      <c r="F339" s="11">
        <f t="shared" si="29"/>
        <v>-0.81752497851435002</v>
      </c>
      <c r="G339" s="11">
        <f t="shared" si="30"/>
        <v>-0.81693053479764499</v>
      </c>
    </row>
    <row r="340" spans="5:7" x14ac:dyDescent="0.25">
      <c r="E340" s="11">
        <f t="shared" si="28"/>
        <v>-2</v>
      </c>
      <c r="F340" s="11">
        <f t="shared" si="29"/>
        <v>-0.54918455926291887</v>
      </c>
      <c r="G340" s="11">
        <f t="shared" si="30"/>
        <v>-0.54927709351817056</v>
      </c>
    </row>
    <row r="341" spans="5:7" x14ac:dyDescent="0.25">
      <c r="E341" s="11">
        <f t="shared" si="28"/>
        <v>-1</v>
      </c>
      <c r="F341" s="11">
        <f t="shared" si="29"/>
        <v>-0.27668732912117155</v>
      </c>
      <c r="G341" s="11">
        <f t="shared" si="30"/>
        <v>-0.27700991544503106</v>
      </c>
    </row>
    <row r="342" spans="5:7" x14ac:dyDescent="0.25">
      <c r="E342" s="11">
        <f t="shared" si="28"/>
        <v>0</v>
      </c>
      <c r="F342" s="11">
        <f t="shared" si="29"/>
        <v>0</v>
      </c>
      <c r="G342" s="11">
        <f t="shared" si="30"/>
        <v>0</v>
      </c>
    </row>
    <row r="343" spans="5:7" x14ac:dyDescent="0.25">
      <c r="E343" s="11">
        <f t="shared" si="28"/>
        <v>1</v>
      </c>
      <c r="F343" s="11">
        <f t="shared" si="29"/>
        <v>0.28090348589391223</v>
      </c>
      <c r="G343" s="11">
        <f t="shared" si="30"/>
        <v>0.28184487887806531</v>
      </c>
    </row>
    <row r="344" spans="5:7" x14ac:dyDescent="0.25">
      <c r="E344" s="11">
        <f t="shared" si="28"/>
        <v>2</v>
      </c>
      <c r="F344" s="11">
        <f t="shared" si="29"/>
        <v>0.56604198384913296</v>
      </c>
      <c r="G344" s="11">
        <f t="shared" si="30"/>
        <v>0.56846984918197285</v>
      </c>
    </row>
    <row r="345" spans="5:7" x14ac:dyDescent="0.25">
      <c r="E345" s="11">
        <f t="shared" si="28"/>
        <v>3</v>
      </c>
      <c r="F345" s="11">
        <f t="shared" si="29"/>
        <v>0.85542718854559341</v>
      </c>
      <c r="G345" s="11">
        <f t="shared" si="30"/>
        <v>0.85978326438744634</v>
      </c>
    </row>
    <row r="346" spans="5:7" x14ac:dyDescent="0.25">
      <c r="E346" s="11">
        <f t="shared" si="28"/>
        <v>4</v>
      </c>
      <c r="F346" s="11">
        <f t="shared" si="29"/>
        <v>1.1490636899930409</v>
      </c>
      <c r="G346" s="11">
        <f t="shared" si="30"/>
        <v>1.1556934779702097</v>
      </c>
    </row>
    <row r="347" spans="5:7" x14ac:dyDescent="0.25">
      <c r="E347" s="11">
        <f t="shared" si="28"/>
        <v>5</v>
      </c>
      <c r="F347" s="11">
        <f t="shared" si="29"/>
        <v>1.4469490434345116</v>
      </c>
      <c r="G347" s="11">
        <f t="shared" si="30"/>
        <v>1.4561088434059868</v>
      </c>
    </row>
    <row r="348" spans="5:7" x14ac:dyDescent="0.25">
      <c r="E348" s="11">
        <f t="shared" si="28"/>
        <v>6</v>
      </c>
      <c r="F348" s="11">
        <f t="shared" si="29"/>
        <v>1.7490738531229073</v>
      </c>
      <c r="G348" s="11">
        <f t="shared" si="30"/>
        <v>1.7609377141705023</v>
      </c>
    </row>
    <row r="349" spans="5:7" x14ac:dyDescent="0.25">
      <c r="E349" s="11">
        <f t="shared" si="28"/>
        <v>7</v>
      </c>
      <c r="F349" s="11">
        <f t="shared" si="29"/>
        <v>2.0554218698641686</v>
      </c>
      <c r="G349" s="11">
        <f t="shared" si="30"/>
        <v>2.0700884437394786</v>
      </c>
    </row>
    <row r="350" spans="5:7" x14ac:dyDescent="0.25">
      <c r="E350" s="11">
        <f t="shared" si="28"/>
        <v>8</v>
      </c>
      <c r="F350" s="11">
        <f t="shared" si="29"/>
        <v>2.3659701022059485</v>
      </c>
      <c r="G350" s="11">
        <f t="shared" si="30"/>
        <v>2.3834693855886409</v>
      </c>
    </row>
    <row r="351" spans="5:7" x14ac:dyDescent="0.25">
      <c r="E351" s="11">
        <f t="shared" ref="E351:E414" si="31">E144</f>
        <v>9</v>
      </c>
      <c r="F351" s="11">
        <f t="shared" ref="F351:F414" si="32">$H$217*0+E351*$I$217+E351^2*$J$217+E351^3*$K$217+E351^4*$L$217+E351^5*$M$217+E351^6*$N$217+E351^7*$O$217+E351^8*$P$217</f>
        <v>2.6806889411360855</v>
      </c>
      <c r="G351" s="11">
        <f t="shared" ref="G351:G414" si="33">F144</f>
        <v>2.7009888931937125</v>
      </c>
    </row>
    <row r="352" spans="5:7" x14ac:dyDescent="0.25">
      <c r="E352" s="11">
        <f t="shared" si="31"/>
        <v>10</v>
      </c>
      <c r="F352" s="11">
        <f t="shared" si="32"/>
        <v>2.9995422981406024</v>
      </c>
      <c r="G352" s="11">
        <f t="shared" si="33"/>
        <v>3.0225553200304178</v>
      </c>
    </row>
    <row r="353" spans="5:7" x14ac:dyDescent="0.25">
      <c r="E353" s="11">
        <f t="shared" si="31"/>
        <v>11</v>
      </c>
      <c r="F353" s="11">
        <f t="shared" si="32"/>
        <v>3.3224877564563382</v>
      </c>
      <c r="G353" s="11">
        <f t="shared" si="33"/>
        <v>3.3480770195744807</v>
      </c>
    </row>
    <row r="354" spans="5:7" x14ac:dyDescent="0.25">
      <c r="E354" s="11">
        <f t="shared" si="31"/>
        <v>12</v>
      </c>
      <c r="F354" s="11">
        <f t="shared" si="32"/>
        <v>3.6494767353387574</v>
      </c>
      <c r="G354" s="11">
        <f t="shared" si="33"/>
        <v>3.6774623453016253</v>
      </c>
    </row>
    <row r="355" spans="5:7" x14ac:dyDescent="0.25">
      <c r="E355" s="11">
        <f t="shared" si="31"/>
        <v>13</v>
      </c>
      <c r="F355" s="11">
        <f t="shared" si="32"/>
        <v>3.9804546671508536</v>
      </c>
      <c r="G355" s="11">
        <f t="shared" si="33"/>
        <v>4.0106196506875742</v>
      </c>
    </row>
    <row r="356" spans="5:7" x14ac:dyDescent="0.25">
      <c r="E356" s="11">
        <f t="shared" si="31"/>
        <v>14</v>
      </c>
      <c r="F356" s="11">
        <f t="shared" si="32"/>
        <v>4.3153611870645125</v>
      </c>
      <c r="G356" s="11">
        <f t="shared" si="33"/>
        <v>4.3474572892080534</v>
      </c>
    </row>
    <row r="357" spans="5:7" x14ac:dyDescent="0.25">
      <c r="E357" s="11">
        <f t="shared" si="31"/>
        <v>15</v>
      </c>
      <c r="F357" s="11">
        <f t="shared" si="32"/>
        <v>4.6541303351510646</v>
      </c>
      <c r="G357" s="11">
        <f t="shared" si="33"/>
        <v>4.6878836143387845</v>
      </c>
    </row>
    <row r="358" spans="5:7" x14ac:dyDescent="0.25">
      <c r="E358" s="11">
        <f t="shared" si="31"/>
        <v>16</v>
      </c>
      <c r="F358" s="11">
        <f t="shared" si="32"/>
        <v>4.9966907706232009</v>
      </c>
      <c r="G358" s="11">
        <f t="shared" si="33"/>
        <v>5.0318069795554932</v>
      </c>
    </row>
    <row r="359" spans="5:7" x14ac:dyDescent="0.25">
      <c r="E359" s="11">
        <f t="shared" si="31"/>
        <v>17</v>
      </c>
      <c r="F359" s="11">
        <f t="shared" si="32"/>
        <v>5.3429659979758037</v>
      </c>
      <c r="G359" s="11">
        <f t="shared" si="33"/>
        <v>5.3791357383339031</v>
      </c>
    </row>
    <row r="360" spans="5:7" x14ac:dyDescent="0.25">
      <c r="E360" s="11">
        <f t="shared" si="31"/>
        <v>18</v>
      </c>
      <c r="F360" s="11">
        <f t="shared" si="32"/>
        <v>5.6928746047586731</v>
      </c>
      <c r="G360" s="11">
        <f t="shared" si="33"/>
        <v>5.7297782441497374</v>
      </c>
    </row>
    <row r="361" spans="5:7" x14ac:dyDescent="0.25">
      <c r="E361" s="11">
        <f t="shared" si="31"/>
        <v>19</v>
      </c>
      <c r="F361" s="11">
        <f t="shared" si="32"/>
        <v>6.0463305106995211</v>
      </c>
      <c r="G361" s="11">
        <f t="shared" si="33"/>
        <v>6.0836428504787206</v>
      </c>
    </row>
    <row r="362" spans="5:7" x14ac:dyDescent="0.25">
      <c r="E362" s="11">
        <f t="shared" si="31"/>
        <v>20</v>
      </c>
      <c r="F362" s="11">
        <f t="shared" si="32"/>
        <v>6.4032432278810285</v>
      </c>
      <c r="G362" s="11">
        <f t="shared" si="33"/>
        <v>6.4406379107965765</v>
      </c>
    </row>
    <row r="363" spans="5:7" x14ac:dyDescent="0.25">
      <c r="E363" s="11">
        <f t="shared" si="31"/>
        <v>21</v>
      </c>
      <c r="F363" s="11">
        <f t="shared" si="32"/>
        <v>6.7635181316611543</v>
      </c>
      <c r="G363" s="11">
        <f t="shared" si="33"/>
        <v>6.8006717785790309</v>
      </c>
    </row>
    <row r="364" spans="5:7" x14ac:dyDescent="0.25">
      <c r="E364" s="11">
        <f t="shared" si="31"/>
        <v>22</v>
      </c>
      <c r="F364" s="11">
        <f t="shared" si="32"/>
        <v>7.1270567420112867</v>
      </c>
      <c r="G364" s="11">
        <f t="shared" si="33"/>
        <v>7.163652807301804</v>
      </c>
    </row>
    <row r="365" spans="5:7" x14ac:dyDescent="0.25">
      <c r="E365" s="11">
        <f t="shared" si="31"/>
        <v>23</v>
      </c>
      <c r="F365" s="11">
        <f t="shared" si="32"/>
        <v>7.4937570149322665</v>
      </c>
      <c r="G365" s="11">
        <f t="shared" si="33"/>
        <v>7.5294893504406222</v>
      </c>
    </row>
    <row r="366" spans="5:7" x14ac:dyDescent="0.25">
      <c r="E366" s="11">
        <f t="shared" si="31"/>
        <v>24</v>
      </c>
      <c r="F366" s="11">
        <f t="shared" si="32"/>
        <v>7.8635136435936746</v>
      </c>
      <c r="G366" s="11">
        <f t="shared" si="33"/>
        <v>7.8980897614712102</v>
      </c>
    </row>
    <row r="367" spans="5:7" x14ac:dyDescent="0.25">
      <c r="E367" s="11">
        <f t="shared" si="31"/>
        <v>25</v>
      </c>
      <c r="F367" s="11">
        <f t="shared" si="32"/>
        <v>8.2362183688272239</v>
      </c>
      <c r="G367" s="11">
        <f t="shared" si="33"/>
        <v>8.2693623938692884</v>
      </c>
    </row>
    <row r="368" spans="5:7" x14ac:dyDescent="0.25">
      <c r="E368" s="11">
        <f t="shared" si="31"/>
        <v>26</v>
      </c>
      <c r="F368" s="11">
        <f t="shared" si="32"/>
        <v>8.6117602985904771</v>
      </c>
      <c r="G368" s="11">
        <f t="shared" si="33"/>
        <v>8.643215601110585</v>
      </c>
    </row>
    <row r="369" spans="5:7" x14ac:dyDescent="0.25">
      <c r="E369" s="11">
        <f t="shared" si="31"/>
        <v>27</v>
      </c>
      <c r="F369" s="11">
        <f t="shared" si="32"/>
        <v>8.9900262360025245</v>
      </c>
      <c r="G369" s="11">
        <f t="shared" si="33"/>
        <v>9.0195577366708193</v>
      </c>
    </row>
    <row r="370" spans="5:7" x14ac:dyDescent="0.25">
      <c r="E370" s="11">
        <f t="shared" si="31"/>
        <v>28</v>
      </c>
      <c r="F370" s="11">
        <f t="shared" si="32"/>
        <v>9.3709010155386565</v>
      </c>
      <c r="G370" s="11">
        <f t="shared" si="33"/>
        <v>9.3982971540257196</v>
      </c>
    </row>
    <row r="371" spans="5:7" x14ac:dyDescent="0.25">
      <c r="E371" s="11">
        <f t="shared" si="31"/>
        <v>29</v>
      </c>
      <c r="F371" s="11">
        <f t="shared" si="32"/>
        <v>9.754267846956532</v>
      </c>
      <c r="G371" s="11">
        <f t="shared" si="33"/>
        <v>9.7793422066510072</v>
      </c>
    </row>
    <row r="372" spans="5:7" x14ac:dyDescent="0.25">
      <c r="E372" s="11">
        <f t="shared" si="31"/>
        <v>30</v>
      </c>
      <c r="F372" s="11">
        <f t="shared" si="32"/>
        <v>10.140008666511612</v>
      </c>
      <c r="G372" s="11">
        <f t="shared" si="33"/>
        <v>10.162601248022408</v>
      </c>
    </row>
    <row r="373" spans="5:7" x14ac:dyDescent="0.25">
      <c r="E373" s="11">
        <f t="shared" si="31"/>
        <v>31</v>
      </c>
      <c r="F373" s="11">
        <f t="shared" si="32"/>
        <v>10.528004495005213</v>
      </c>
      <c r="G373" s="11">
        <f t="shared" si="33"/>
        <v>10.547982631615643</v>
      </c>
    </row>
    <row r="374" spans="5:7" x14ac:dyDescent="0.25">
      <c r="E374" s="11">
        <f t="shared" si="31"/>
        <v>32</v>
      </c>
      <c r="F374" s="11">
        <f t="shared" si="32"/>
        <v>10.918135802193795</v>
      </c>
      <c r="G374" s="11">
        <f t="shared" si="33"/>
        <v>10.93539471090644</v>
      </c>
    </row>
    <row r="375" spans="5:7" x14ac:dyDescent="0.25">
      <c r="E375" s="11">
        <f t="shared" si="31"/>
        <v>33</v>
      </c>
      <c r="F375" s="11">
        <f t="shared" si="32"/>
        <v>11.310282877073602</v>
      </c>
      <c r="G375" s="11">
        <f t="shared" si="33"/>
        <v>11.324745839370522</v>
      </c>
    </row>
    <row r="376" spans="5:7" x14ac:dyDescent="0.25">
      <c r="E376" s="11">
        <f t="shared" si="31"/>
        <v>34</v>
      </c>
      <c r="F376" s="11">
        <f t="shared" si="32"/>
        <v>11.704326203540083</v>
      </c>
      <c r="G376" s="11">
        <f t="shared" si="33"/>
        <v>11.715944370483609</v>
      </c>
    </row>
    <row r="377" spans="5:7" x14ac:dyDescent="0.25">
      <c r="E377" s="11">
        <f t="shared" si="31"/>
        <v>35</v>
      </c>
      <c r="F377" s="11">
        <f t="shared" si="32"/>
        <v>12.100146840907076</v>
      </c>
      <c r="G377" s="11">
        <f t="shared" si="33"/>
        <v>12.108898657721427</v>
      </c>
    </row>
    <row r="378" spans="5:7" x14ac:dyDescent="0.25">
      <c r="E378" s="11">
        <f t="shared" si="31"/>
        <v>36</v>
      </c>
      <c r="F378" s="11">
        <f t="shared" si="32"/>
        <v>12.497626808755989</v>
      </c>
      <c r="G378" s="11">
        <f t="shared" si="33"/>
        <v>12.503517054559703</v>
      </c>
    </row>
    <row r="379" spans="5:7" x14ac:dyDescent="0.25">
      <c r="E379" s="11">
        <f t="shared" si="31"/>
        <v>37</v>
      </c>
      <c r="F379" s="11">
        <f t="shared" si="32"/>
        <v>12.896649475570669</v>
      </c>
      <c r="G379" s="11">
        <f t="shared" si="33"/>
        <v>12.899707914474158</v>
      </c>
    </row>
    <row r="380" spans="5:7" x14ac:dyDescent="0.25">
      <c r="E380" s="11">
        <f t="shared" si="31"/>
        <v>38</v>
      </c>
      <c r="F380" s="11">
        <f t="shared" si="32"/>
        <v>13.297099950599195</v>
      </c>
      <c r="G380" s="11">
        <f t="shared" si="33"/>
        <v>13.297379590940515</v>
      </c>
    </row>
    <row r="381" spans="5:7" x14ac:dyDescent="0.25">
      <c r="E381" s="11">
        <f t="shared" si="31"/>
        <v>39</v>
      </c>
      <c r="F381" s="11">
        <f t="shared" si="32"/>
        <v>13.698865478368937</v>
      </c>
      <c r="G381" s="11">
        <f t="shared" si="33"/>
        <v>13.696440437434502</v>
      </c>
    </row>
    <row r="382" spans="5:7" x14ac:dyDescent="0.25">
      <c r="E382" s="11">
        <f t="shared" si="31"/>
        <v>40</v>
      </c>
      <c r="F382" s="11">
        <f t="shared" si="32"/>
        <v>14.101835835266975</v>
      </c>
      <c r="G382" s="11">
        <f t="shared" si="33"/>
        <v>14.096798807431838</v>
      </c>
    </row>
    <row r="383" spans="5:7" x14ac:dyDescent="0.25">
      <c r="E383" s="11">
        <f t="shared" si="31"/>
        <v>41</v>
      </c>
      <c r="F383" s="11">
        <f t="shared" si="32"/>
        <v>14.505903727583132</v>
      </c>
      <c r="G383" s="11">
        <f t="shared" si="33"/>
        <v>14.498363054408252</v>
      </c>
    </row>
    <row r="384" spans="5:7" x14ac:dyDescent="0.25">
      <c r="E384" s="11">
        <f t="shared" si="31"/>
        <v>42</v>
      </c>
      <c r="F384" s="11">
        <f t="shared" si="32"/>
        <v>14.910965190398365</v>
      </c>
      <c r="G384" s="11">
        <f t="shared" si="33"/>
        <v>14.901041531839464</v>
      </c>
    </row>
    <row r="385" spans="5:7" x14ac:dyDescent="0.25">
      <c r="E385" s="11">
        <f t="shared" si="31"/>
        <v>43</v>
      </c>
      <c r="F385" s="11">
        <f t="shared" si="32"/>
        <v>15.316919986686701</v>
      </c>
      <c r="G385" s="11">
        <f t="shared" si="33"/>
        <v>15.304742593201198</v>
      </c>
    </row>
    <row r="386" spans="5:7" x14ac:dyDescent="0.25">
      <c r="E386" s="11">
        <f t="shared" si="31"/>
        <v>44</v>
      </c>
      <c r="F386" s="11">
        <f t="shared" si="32"/>
        <v>15.723672005984247</v>
      </c>
      <c r="G386" s="11">
        <f t="shared" si="33"/>
        <v>15.70937459196918</v>
      </c>
    </row>
    <row r="387" spans="5:7" x14ac:dyDescent="0.25">
      <c r="E387" s="11">
        <f t="shared" si="31"/>
        <v>45</v>
      </c>
      <c r="F387" s="11">
        <f t="shared" si="32"/>
        <v>16.131129661964263</v>
      </c>
      <c r="G387" s="11">
        <f t="shared" si="33"/>
        <v>16.114845881619132</v>
      </c>
    </row>
    <row r="388" spans="5:7" x14ac:dyDescent="0.25">
      <c r="E388" s="11">
        <f t="shared" si="31"/>
        <v>46</v>
      </c>
      <c r="F388" s="11">
        <f t="shared" si="32"/>
        <v>16.539206288242639</v>
      </c>
      <c r="G388" s="11">
        <f t="shared" si="33"/>
        <v>16.521076529836265</v>
      </c>
    </row>
    <row r="389" spans="5:7" x14ac:dyDescent="0.25">
      <c r="E389" s="11">
        <f t="shared" si="31"/>
        <v>47</v>
      </c>
      <c r="F389" s="11">
        <f t="shared" si="32"/>
        <v>16.947820531723622</v>
      </c>
      <c r="G389" s="11">
        <f t="shared" si="33"/>
        <v>16.92803346114373</v>
      </c>
    </row>
    <row r="390" spans="5:7" x14ac:dyDescent="0.25">
      <c r="E390" s="11">
        <f t="shared" si="31"/>
        <v>48</v>
      </c>
      <c r="F390" s="11">
        <f t="shared" si="32"/>
        <v>17.35689674278084</v>
      </c>
      <c r="G390" s="11">
        <f t="shared" si="33"/>
        <v>17.335695314274165</v>
      </c>
    </row>
    <row r="391" spans="5:7" x14ac:dyDescent="0.25">
      <c r="E391" s="11">
        <f t="shared" si="31"/>
        <v>49</v>
      </c>
      <c r="F391" s="11">
        <f t="shared" si="32"/>
        <v>17.76636536155446</v>
      </c>
      <c r="G391" s="11">
        <f t="shared" si="33"/>
        <v>17.744040727960208</v>
      </c>
    </row>
    <row r="392" spans="5:7" x14ac:dyDescent="0.25">
      <c r="E392" s="11">
        <f t="shared" si="31"/>
        <v>50</v>
      </c>
      <c r="F392" s="11">
        <f t="shared" si="32"/>
        <v>18.176163299630179</v>
      </c>
      <c r="G392" s="11">
        <f t="shared" si="33"/>
        <v>18.153048340934493</v>
      </c>
    </row>
    <row r="393" spans="5:7" x14ac:dyDescent="0.25">
      <c r="E393" s="11">
        <f t="shared" si="31"/>
        <v>51</v>
      </c>
      <c r="F393" s="11">
        <f t="shared" si="32"/>
        <v>18.586234316351728</v>
      </c>
      <c r="G393" s="11">
        <f t="shared" si="33"/>
        <v>18.56269679192966</v>
      </c>
    </row>
    <row r="394" spans="5:7" x14ac:dyDescent="0.25">
      <c r="E394" s="11">
        <f t="shared" si="31"/>
        <v>52</v>
      </c>
      <c r="F394" s="11">
        <f t="shared" si="32"/>
        <v>18.996529389003541</v>
      </c>
      <c r="G394" s="11">
        <f t="shared" si="33"/>
        <v>18.972964719678348</v>
      </c>
    </row>
    <row r="395" spans="5:7" x14ac:dyDescent="0.25">
      <c r="E395" s="11">
        <f t="shared" si="31"/>
        <v>53</v>
      </c>
      <c r="F395" s="11">
        <f t="shared" si="32"/>
        <v>19.407007076085854</v>
      </c>
      <c r="G395" s="11">
        <f t="shared" si="33"/>
        <v>19.383830762913192</v>
      </c>
    </row>
    <row r="396" spans="5:7" x14ac:dyDescent="0.25">
      <c r="E396" s="11">
        <f t="shared" si="31"/>
        <v>54</v>
      </c>
      <c r="F396" s="11">
        <f t="shared" si="32"/>
        <v>19.817633872889925</v>
      </c>
      <c r="G396" s="11">
        <f t="shared" si="33"/>
        <v>19.795273560366823</v>
      </c>
    </row>
    <row r="397" spans="5:7" x14ac:dyDescent="0.25">
      <c r="E397" s="11">
        <f t="shared" si="31"/>
        <v>55</v>
      </c>
      <c r="F397" s="11">
        <f t="shared" si="32"/>
        <v>20.22838455856628</v>
      </c>
      <c r="G397" s="11">
        <f t="shared" si="33"/>
        <v>20.207271750771888</v>
      </c>
    </row>
    <row r="398" spans="5:7" x14ac:dyDescent="0.25">
      <c r="E398" s="11">
        <f t="shared" si="31"/>
        <v>56</v>
      </c>
      <c r="F398" s="11">
        <f t="shared" si="32"/>
        <v>20.639242533864593</v>
      </c>
      <c r="G398" s="11">
        <f t="shared" si="33"/>
        <v>20.619803972861025</v>
      </c>
    </row>
    <row r="399" spans="5:7" x14ac:dyDescent="0.25">
      <c r="E399" s="11">
        <f t="shared" si="31"/>
        <v>57</v>
      </c>
      <c r="F399" s="11">
        <f t="shared" si="32"/>
        <v>21.050200148708928</v>
      </c>
      <c r="G399" s="11">
        <f t="shared" si="33"/>
        <v>21.032848865366866</v>
      </c>
    </row>
    <row r="400" spans="5:7" x14ac:dyDescent="0.25">
      <c r="E400" s="11">
        <f t="shared" si="31"/>
        <v>58</v>
      </c>
      <c r="F400" s="11">
        <f t="shared" si="32"/>
        <v>21.46125901875763</v>
      </c>
      <c r="G400" s="11">
        <f t="shared" si="33"/>
        <v>21.446385067022046</v>
      </c>
    </row>
    <row r="401" spans="5:7" x14ac:dyDescent="0.25">
      <c r="E401" s="11">
        <f t="shared" si="31"/>
        <v>59</v>
      </c>
      <c r="F401" s="11">
        <f t="shared" si="32"/>
        <v>21.872430330082587</v>
      </c>
      <c r="G401" s="11">
        <f t="shared" si="33"/>
        <v>21.860391216559208</v>
      </c>
    </row>
    <row r="402" spans="5:7" x14ac:dyDescent="0.25">
      <c r="E402" s="11">
        <f t="shared" si="31"/>
        <v>60</v>
      </c>
      <c r="F402" s="11">
        <f t="shared" si="32"/>
        <v>22.283735131087884</v>
      </c>
      <c r="G402" s="11">
        <f t="shared" si="33"/>
        <v>22.274845952710983</v>
      </c>
    </row>
    <row r="403" spans="5:7" x14ac:dyDescent="0.25">
      <c r="E403" s="11">
        <f t="shared" si="31"/>
        <v>61</v>
      </c>
      <c r="F403" s="11">
        <f t="shared" si="32"/>
        <v>22.695204610773331</v>
      </c>
      <c r="G403" s="11">
        <f t="shared" si="33"/>
        <v>22.689727914210017</v>
      </c>
    </row>
    <row r="404" spans="5:7" x14ac:dyDescent="0.25">
      <c r="E404" s="11">
        <f t="shared" si="31"/>
        <v>62</v>
      </c>
      <c r="F404" s="11">
        <f t="shared" si="32"/>
        <v>23.106880362433735</v>
      </c>
      <c r="G404" s="11">
        <f t="shared" si="33"/>
        <v>23.105015739788939</v>
      </c>
    </row>
    <row r="405" spans="5:7" x14ac:dyDescent="0.25">
      <c r="E405" s="11">
        <f t="shared" si="31"/>
        <v>63</v>
      </c>
      <c r="F405" s="11">
        <f t="shared" si="32"/>
        <v>23.518814631870342</v>
      </c>
      <c r="G405" s="11">
        <f t="shared" si="33"/>
        <v>23.520688068180391</v>
      </c>
    </row>
    <row r="406" spans="5:7" x14ac:dyDescent="0.25">
      <c r="E406" s="11">
        <f t="shared" si="31"/>
        <v>64</v>
      </c>
      <c r="F406" s="11">
        <f t="shared" si="32"/>
        <v>23.931070549175946</v>
      </c>
      <c r="G406" s="11">
        <f t="shared" si="33"/>
        <v>23.936723538117011</v>
      </c>
    </row>
    <row r="407" spans="5:7" x14ac:dyDescent="0.25">
      <c r="E407" s="11">
        <f t="shared" si="31"/>
        <v>65</v>
      </c>
      <c r="F407" s="11">
        <f t="shared" si="32"/>
        <v>24.343722343140904</v>
      </c>
      <c r="G407" s="11">
        <f t="shared" si="33"/>
        <v>24.353100788331432</v>
      </c>
    </row>
    <row r="408" spans="5:7" x14ac:dyDescent="0.25">
      <c r="E408" s="11">
        <f t="shared" si="31"/>
        <v>66</v>
      </c>
      <c r="F408" s="11">
        <f t="shared" si="32"/>
        <v>24.75685553731261</v>
      </c>
      <c r="G408" s="11">
        <f t="shared" si="33"/>
        <v>24.769798457556298</v>
      </c>
    </row>
    <row r="409" spans="5:7" x14ac:dyDescent="0.25">
      <c r="E409" s="11">
        <f t="shared" si="31"/>
        <v>67</v>
      </c>
      <c r="F409" s="11">
        <f t="shared" si="32"/>
        <v>25.170567126726233</v>
      </c>
      <c r="G409" s="11">
        <f t="shared" si="33"/>
        <v>25.186795184524236</v>
      </c>
    </row>
    <row r="410" spans="5:7" x14ac:dyDescent="0.25">
      <c r="E410" s="11">
        <f t="shared" si="31"/>
        <v>68</v>
      </c>
      <c r="F410" s="11">
        <f t="shared" si="32"/>
        <v>25.584965734310096</v>
      </c>
      <c r="G410" s="11">
        <f t="shared" si="33"/>
        <v>25.604069607967894</v>
      </c>
    </row>
    <row r="411" spans="5:7" x14ac:dyDescent="0.25">
      <c r="E411" s="11">
        <f t="shared" si="31"/>
        <v>69</v>
      </c>
      <c r="F411" s="11">
        <f t="shared" si="32"/>
        <v>26.000171745954503</v>
      </c>
      <c r="G411" s="11">
        <f t="shared" si="33"/>
        <v>26.021600366619904</v>
      </c>
    </row>
    <row r="412" spans="5:7" x14ac:dyDescent="0.25">
      <c r="E412" s="11">
        <f t="shared" si="31"/>
        <v>70</v>
      </c>
      <c r="F412" s="11">
        <f t="shared" si="32"/>
        <v>26.416317423218096</v>
      </c>
      <c r="G412" s="11">
        <f t="shared" si="33"/>
        <v>26.439366099212901</v>
      </c>
    </row>
    <row r="413" spans="5:7" x14ac:dyDescent="0.25">
      <c r="E413" s="11">
        <f t="shared" si="31"/>
        <v>71</v>
      </c>
      <c r="F413" s="11">
        <f t="shared" si="32"/>
        <v>26.833546992631259</v>
      </c>
      <c r="G413" s="11">
        <f t="shared" si="33"/>
        <v>26.857345444479527</v>
      </c>
    </row>
    <row r="414" spans="5:7" x14ac:dyDescent="0.25">
      <c r="E414" s="11">
        <f t="shared" si="31"/>
        <v>72</v>
      </c>
      <c r="F414" s="11">
        <f t="shared" si="32"/>
        <v>27.252016710541604</v>
      </c>
      <c r="G414" s="11">
        <f t="shared" si="33"/>
        <v>27.275517041152415</v>
      </c>
    </row>
    <row r="415" spans="5:7" x14ac:dyDescent="0.25">
      <c r="E415" s="11">
        <f t="shared" ref="E415:E422" si="34">E208</f>
        <v>73</v>
      </c>
      <c r="F415" s="11">
        <f t="shared" ref="F415:F422" si="35">$H$217*0+E415*$I$217+E415^2*$J$217+E415^3*$K$217+E415^4*$L$217+E415^5*$M$217+E415^6*$N$217+E415^7*$O$217+E415^8*$P$217</f>
        <v>27.671894902431887</v>
      </c>
      <c r="G415" s="11">
        <f t="shared" ref="G415:G422" si="36">F208</f>
        <v>27.693859527964211</v>
      </c>
    </row>
    <row r="416" spans="5:7" x14ac:dyDescent="0.25">
      <c r="E416" s="11">
        <f t="shared" si="34"/>
        <v>74</v>
      </c>
      <c r="F416" s="11">
        <f t="shared" si="35"/>
        <v>28.09336197562612</v>
      </c>
      <c r="G416" s="11">
        <f t="shared" si="36"/>
        <v>28.112351543647542</v>
      </c>
    </row>
    <row r="417" spans="5:7" x14ac:dyDescent="0.25">
      <c r="E417" s="11">
        <f t="shared" si="34"/>
        <v>75</v>
      </c>
      <c r="F417" s="11">
        <f t="shared" si="35"/>
        <v>28.516610404285004</v>
      </c>
      <c r="G417" s="11">
        <f t="shared" si="36"/>
        <v>28.530971726935043</v>
      </c>
    </row>
    <row r="418" spans="5:7" x14ac:dyDescent="0.25">
      <c r="E418" s="11">
        <f t="shared" si="34"/>
        <v>76</v>
      </c>
      <c r="F418" s="11">
        <f t="shared" si="35"/>
        <v>28.941844685577397</v>
      </c>
      <c r="G418" s="11">
        <f t="shared" si="36"/>
        <v>28.949698716559364</v>
      </c>
    </row>
    <row r="419" spans="5:7" x14ac:dyDescent="0.25">
      <c r="E419" s="11">
        <f t="shared" si="34"/>
        <v>77</v>
      </c>
      <c r="F419" s="11">
        <f t="shared" si="35"/>
        <v>29.369281265899751</v>
      </c>
      <c r="G419" s="11">
        <f t="shared" si="36"/>
        <v>29.368511151253138</v>
      </c>
    </row>
    <row r="420" spans="5:7" x14ac:dyDescent="0.25">
      <c r="E420" s="11">
        <f t="shared" si="34"/>
        <v>78</v>
      </c>
      <c r="F420" s="11">
        <f t="shared" si="35"/>
        <v>29.799148436000792</v>
      </c>
      <c r="G420" s="11">
        <f t="shared" si="36"/>
        <v>29.787387669748998</v>
      </c>
    </row>
    <row r="421" spans="5:7" x14ac:dyDescent="0.25">
      <c r="E421" s="11">
        <f t="shared" si="34"/>
        <v>79</v>
      </c>
      <c r="F421" s="11">
        <f t="shared" si="35"/>
        <v>30.231686193854518</v>
      </c>
      <c r="G421" s="11">
        <f t="shared" si="36"/>
        <v>30.206306910779585</v>
      </c>
    </row>
    <row r="422" spans="5:7" x14ac:dyDescent="0.25">
      <c r="E422" s="11">
        <f t="shared" si="34"/>
        <v>80</v>
      </c>
      <c r="F422" s="11">
        <f t="shared" si="35"/>
        <v>30.667146074109557</v>
      </c>
      <c r="G422" s="11">
        <f t="shared" si="36"/>
        <v>30.625247513077529</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9.2579999999999998E-5</v>
      </c>
      <c r="C3" s="2">
        <v>1.818E-4</v>
      </c>
      <c r="D3" s="2">
        <v>-5.6130000000000004E-4</v>
      </c>
      <c r="E3" s="2">
        <v>0</v>
      </c>
      <c r="F3" s="2">
        <v>0</v>
      </c>
      <c r="G3" s="2">
        <v>0</v>
      </c>
      <c r="H3" s="2">
        <v>8.1911684999999996E-5</v>
      </c>
      <c r="I3" s="2">
        <v>1.9397290000000001E-5</v>
      </c>
      <c r="J3" s="2">
        <v>-2.2904438E-4</v>
      </c>
      <c r="K3" s="3"/>
      <c r="L3" s="3">
        <f>-B3/D3</f>
        <v>0.16493853554249063</v>
      </c>
      <c r="M3" s="3"/>
      <c r="N3" s="2">
        <f>IF('Modell einstellen'!$B$1="Voll",H3/0.35,H3/0.35*2)</f>
        <v>2.3403338571428571E-4</v>
      </c>
      <c r="O3" s="2">
        <f>IF('Modell einstellen'!$B$1="Voll",J3/0.35,J3/0.35*2)</f>
        <v>-6.5441251428571432E-4</v>
      </c>
      <c r="P3" s="3">
        <f>-N3/O3</f>
        <v>0.35762364044906925</v>
      </c>
      <c r="Q3" s="3"/>
      <c r="R3" s="3"/>
      <c r="S3" s="3"/>
      <c r="T3" s="3"/>
      <c r="U3" s="3"/>
      <c r="V3" s="3"/>
      <c r="W3" s="3"/>
    </row>
    <row r="4" spans="1:23" x14ac:dyDescent="0.25">
      <c r="A4" s="2">
        <v>1E-14</v>
      </c>
      <c r="B4" s="2">
        <v>9.2579999999999998E-5</v>
      </c>
      <c r="C4" s="2">
        <v>1.818E-4</v>
      </c>
      <c r="D4" s="2">
        <v>-5.6130000000000004E-4</v>
      </c>
      <c r="E4" s="2">
        <v>0</v>
      </c>
      <c r="F4" s="2">
        <v>0</v>
      </c>
      <c r="G4" s="2">
        <v>0</v>
      </c>
      <c r="H4" s="2">
        <v>8.1913908000000004E-5</v>
      </c>
      <c r="I4" s="2">
        <v>1.9397893E-5</v>
      </c>
      <c r="J4" s="2">
        <v>-2.2904034000000001E-4</v>
      </c>
      <c r="K4" s="3"/>
      <c r="L4" s="3">
        <f t="shared" ref="L4:L33" si="0">-B4/D4</f>
        <v>0.16493853554249063</v>
      </c>
      <c r="M4" s="3"/>
      <c r="N4" s="2">
        <f>IF('Modell einstellen'!$B$1="Voll",H4/0.35,H4/0.35*2)</f>
        <v>2.3403973714285716E-4</v>
      </c>
      <c r="O4" s="2">
        <f>IF('Modell einstellen'!$B$1="Voll",J4/0.35,J4/0.35*2)</f>
        <v>-6.5440097142857156E-4</v>
      </c>
      <c r="P4" s="3">
        <f t="shared" ref="P4:P33" si="1">-N4/O4</f>
        <v>0.3576396542198636</v>
      </c>
      <c r="Q4" s="3"/>
      <c r="R4" s="3"/>
      <c r="S4" s="3"/>
      <c r="T4" s="3"/>
      <c r="U4" s="3"/>
      <c r="V4" s="3"/>
      <c r="W4" s="3"/>
    </row>
    <row r="5" spans="1:23" x14ac:dyDescent="0.25">
      <c r="A5" s="2">
        <v>1E-13</v>
      </c>
      <c r="B5" s="2">
        <v>9.2579999999999998E-5</v>
      </c>
      <c r="C5" s="2">
        <v>1.818E-4</v>
      </c>
      <c r="D5" s="2">
        <v>-5.6130000000000004E-4</v>
      </c>
      <c r="E5" s="2">
        <v>0</v>
      </c>
      <c r="F5" s="2">
        <v>0</v>
      </c>
      <c r="G5" s="2">
        <v>0</v>
      </c>
      <c r="H5" s="2">
        <v>8.1914210999999999E-5</v>
      </c>
      <c r="I5" s="2">
        <v>1.9398029999999998E-5</v>
      </c>
      <c r="J5" s="2">
        <v>-2.2904115999999999E-4</v>
      </c>
      <c r="K5" s="3"/>
      <c r="L5" s="3">
        <f t="shared" si="0"/>
        <v>0.16493853554249063</v>
      </c>
      <c r="M5" s="3"/>
      <c r="N5" s="2">
        <f>IF('Modell einstellen'!$B$1="Voll",H5/0.35,H5/0.35*2)</f>
        <v>2.3404060285714287E-4</v>
      </c>
      <c r="O5" s="2">
        <f>IF('Modell einstellen'!$B$1="Voll",J5/0.35,J5/0.35*2)</f>
        <v>-6.5440331428571433E-4</v>
      </c>
      <c r="P5" s="3">
        <f t="shared" si="1"/>
        <v>0.35763969672525237</v>
      </c>
      <c r="Q5" s="3"/>
      <c r="R5" s="3"/>
      <c r="S5" s="3"/>
      <c r="T5" s="3"/>
      <c r="U5" s="3"/>
      <c r="V5" s="3"/>
      <c r="W5" s="3"/>
    </row>
    <row r="6" spans="1:23" x14ac:dyDescent="0.25">
      <c r="A6" s="2">
        <v>9.9999999999999998E-13</v>
      </c>
      <c r="B6" s="2">
        <v>9.2579999999999998E-5</v>
      </c>
      <c r="C6" s="2">
        <v>1.818E-4</v>
      </c>
      <c r="D6" s="2">
        <v>-5.6130000000000004E-4</v>
      </c>
      <c r="E6" s="2">
        <v>0</v>
      </c>
      <c r="F6" s="2">
        <v>0</v>
      </c>
      <c r="G6" s="2">
        <v>0</v>
      </c>
      <c r="H6" s="2">
        <v>8.1914309999999997E-5</v>
      </c>
      <c r="I6" s="2">
        <v>1.9398066E-5</v>
      </c>
      <c r="J6" s="2">
        <v>-2.2904140999999999E-4</v>
      </c>
      <c r="K6" s="3"/>
      <c r="L6" s="3">
        <f t="shared" si="0"/>
        <v>0.16493853554249063</v>
      </c>
      <c r="M6" s="3"/>
      <c r="N6" s="2">
        <f>IF('Modell einstellen'!$B$1="Voll",H6/0.35,H6/0.35*2)</f>
        <v>2.3404088571428572E-4</v>
      </c>
      <c r="O6" s="2">
        <f>IF('Modell einstellen'!$B$1="Voll",J6/0.35,J6/0.35*2)</f>
        <v>-6.5440402857142857E-4</v>
      </c>
      <c r="P6" s="3">
        <f t="shared" si="1"/>
        <v>0.35763973859574127</v>
      </c>
      <c r="Q6" s="3"/>
      <c r="R6" s="3"/>
      <c r="S6" s="3"/>
      <c r="T6" s="3"/>
      <c r="U6" s="3"/>
      <c r="V6" s="3"/>
      <c r="W6" s="3"/>
    </row>
    <row r="7" spans="1:23" x14ac:dyDescent="0.25">
      <c r="A7" s="2">
        <v>9.9999999999999994E-12</v>
      </c>
      <c r="B7" s="2">
        <v>9.2579999999999998E-5</v>
      </c>
      <c r="C7" s="2">
        <v>1.818E-4</v>
      </c>
      <c r="D7" s="2">
        <v>-5.6130000000000004E-4</v>
      </c>
      <c r="E7" s="2">
        <v>0</v>
      </c>
      <c r="F7" s="2">
        <v>0</v>
      </c>
      <c r="G7" s="2">
        <v>0</v>
      </c>
      <c r="H7" s="2">
        <v>8.1914343E-5</v>
      </c>
      <c r="I7" s="2">
        <v>1.9398076000000001E-5</v>
      </c>
      <c r="J7" s="2">
        <v>-2.2904148000000001E-4</v>
      </c>
      <c r="K7" s="3"/>
      <c r="L7" s="3">
        <f t="shared" si="0"/>
        <v>0.16493853554249063</v>
      </c>
      <c r="M7" s="3"/>
      <c r="N7" s="2">
        <f>IF('Modell einstellen'!$B$1="Voll",H7/0.35,H7/0.35*2)</f>
        <v>2.3404098000000002E-4</v>
      </c>
      <c r="O7" s="2">
        <f>IF('Modell einstellen'!$B$1="Voll",J7/0.35,J7/0.35*2)</f>
        <v>-6.5440422857142863E-4</v>
      </c>
      <c r="P7" s="3">
        <f t="shared" si="1"/>
        <v>0.35763977337205471</v>
      </c>
      <c r="Q7" s="3"/>
      <c r="R7" s="3"/>
      <c r="S7" s="3"/>
      <c r="T7" s="3"/>
      <c r="U7" s="3"/>
      <c r="V7" s="3"/>
      <c r="W7" s="3"/>
    </row>
    <row r="8" spans="1:23" x14ac:dyDescent="0.25">
      <c r="A8" s="2">
        <v>1E-10</v>
      </c>
      <c r="B8" s="2">
        <v>9.2579999999999998E-5</v>
      </c>
      <c r="C8" s="2">
        <v>1.818E-4</v>
      </c>
      <c r="D8" s="2">
        <v>-5.6130000000000004E-4</v>
      </c>
      <c r="E8" s="2">
        <v>0</v>
      </c>
      <c r="F8" s="2">
        <v>0</v>
      </c>
      <c r="G8" s="2">
        <v>0</v>
      </c>
      <c r="H8" s="2">
        <v>8.1914353999999997E-5</v>
      </c>
      <c r="I8" s="2">
        <v>1.9398078999999999E-5</v>
      </c>
      <c r="J8" s="2">
        <v>-2.2904151E-4</v>
      </c>
      <c r="K8" s="3"/>
      <c r="L8" s="3">
        <f t="shared" si="0"/>
        <v>0.16493853554249063</v>
      </c>
      <c r="M8" s="3"/>
      <c r="N8" s="2">
        <f>IF('Modell einstellen'!$B$1="Voll",H8/0.35,H8/0.35*2)</f>
        <v>2.3404101142857143E-4</v>
      </c>
      <c r="O8" s="2">
        <f>IF('Modell einstellen'!$B$1="Voll",J8/0.35,J8/0.35*2)</f>
        <v>-6.5440431428571435E-4</v>
      </c>
      <c r="P8" s="3">
        <f t="shared" si="1"/>
        <v>0.35763977455440282</v>
      </c>
      <c r="Q8" s="3"/>
      <c r="R8" s="3"/>
      <c r="S8" s="3"/>
      <c r="T8" s="3"/>
      <c r="U8" s="3"/>
      <c r="V8" s="3"/>
      <c r="W8" s="3"/>
    </row>
    <row r="9" spans="1:23" x14ac:dyDescent="0.25">
      <c r="A9" s="2">
        <v>1.0000000000000001E-9</v>
      </c>
      <c r="B9" s="2">
        <v>9.2579999999999998E-5</v>
      </c>
      <c r="C9" s="2">
        <v>1.818E-4</v>
      </c>
      <c r="D9" s="2">
        <v>-5.6130000000000004E-4</v>
      </c>
      <c r="E9" s="2">
        <v>0</v>
      </c>
      <c r="F9" s="2">
        <v>0</v>
      </c>
      <c r="G9" s="2">
        <v>0</v>
      </c>
      <c r="H9" s="2">
        <v>8.1914357999999995E-5</v>
      </c>
      <c r="I9" s="2">
        <v>1.9398079999999998E-5</v>
      </c>
      <c r="J9" s="2">
        <v>-2.2904151E-4</v>
      </c>
      <c r="K9" s="3"/>
      <c r="L9" s="3">
        <f t="shared" si="0"/>
        <v>0.16493853554249063</v>
      </c>
      <c r="M9" s="3"/>
      <c r="N9" s="2">
        <f>IF('Modell einstellen'!$B$1="Voll",H9/0.35,H9/0.35*2)</f>
        <v>2.3404102285714285E-4</v>
      </c>
      <c r="O9" s="2">
        <f>IF('Modell einstellen'!$B$1="Voll",J9/0.35,J9/0.35*2)</f>
        <v>-6.5440431428571435E-4</v>
      </c>
      <c r="P9" s="3">
        <f t="shared" si="1"/>
        <v>0.35763979201848606</v>
      </c>
      <c r="Q9" s="3"/>
      <c r="R9" s="3"/>
      <c r="S9" s="3"/>
      <c r="T9" s="3"/>
      <c r="U9" s="3"/>
      <c r="V9" s="3"/>
      <c r="W9" s="3"/>
    </row>
    <row r="10" spans="1:23" x14ac:dyDescent="0.25">
      <c r="A10" s="2">
        <v>1E-8</v>
      </c>
      <c r="B10" s="2">
        <v>9.2579999999999998E-5</v>
      </c>
      <c r="C10" s="2">
        <v>1.818E-4</v>
      </c>
      <c r="D10" s="2">
        <v>-5.6130000000000004E-4</v>
      </c>
      <c r="E10" s="2">
        <v>0</v>
      </c>
      <c r="F10" s="2">
        <v>0</v>
      </c>
      <c r="G10" s="2">
        <v>0</v>
      </c>
      <c r="H10" s="2">
        <v>8.1914359000000004E-5</v>
      </c>
      <c r="I10" s="2">
        <v>1.9398079999999998E-5</v>
      </c>
      <c r="J10" s="2">
        <v>-2.2904151999999999E-4</v>
      </c>
      <c r="K10" s="3"/>
      <c r="L10" s="3">
        <f t="shared" si="0"/>
        <v>0.16493853554249063</v>
      </c>
      <c r="M10" s="3"/>
      <c r="N10" s="2">
        <f>IF('Modell einstellen'!$B$1="Voll",H10/0.35,H10/0.35*2)</f>
        <v>2.3404102571428575E-4</v>
      </c>
      <c r="O10" s="2">
        <f>IF('Modell einstellen'!$B$1="Voll",J10/0.35,J10/0.35*2)</f>
        <v>-6.5440434285714288E-4</v>
      </c>
      <c r="P10" s="3">
        <f t="shared" si="1"/>
        <v>0.35763978076987968</v>
      </c>
      <c r="Q10" s="3"/>
      <c r="R10" s="3"/>
      <c r="S10" s="3"/>
      <c r="T10" s="3"/>
      <c r="U10" s="3"/>
      <c r="V10" s="3"/>
      <c r="W10" s="3"/>
    </row>
    <row r="11" spans="1:23" x14ac:dyDescent="0.25">
      <c r="A11" s="2">
        <v>9.9999999999999995E-8</v>
      </c>
      <c r="B11" s="2">
        <v>9.2579999999999998E-5</v>
      </c>
      <c r="C11" s="2">
        <v>1.818E-4</v>
      </c>
      <c r="D11" s="2">
        <v>-5.6130000000000004E-4</v>
      </c>
      <c r="E11" s="2">
        <v>0</v>
      </c>
      <c r="F11" s="2">
        <v>0</v>
      </c>
      <c r="G11" s="2">
        <v>0</v>
      </c>
      <c r="H11" s="2">
        <v>8.1914363000000002E-5</v>
      </c>
      <c r="I11" s="2">
        <v>1.9398081000000001E-5</v>
      </c>
      <c r="J11" s="2">
        <v>-2.2904151999999999E-4</v>
      </c>
      <c r="K11" s="3"/>
      <c r="L11" s="3">
        <f t="shared" si="0"/>
        <v>0.16493853554249063</v>
      </c>
      <c r="M11" s="3"/>
      <c r="N11" s="2">
        <f>IF('Modell einstellen'!$B$1="Voll",H11/0.35,H11/0.35*2)</f>
        <v>2.3404103714285717E-4</v>
      </c>
      <c r="O11" s="2">
        <f>IF('Modell einstellen'!$B$1="Voll",J11/0.35,J11/0.35*2)</f>
        <v>-6.5440434285714288E-4</v>
      </c>
      <c r="P11" s="3">
        <f t="shared" si="1"/>
        <v>0.35763979823396214</v>
      </c>
      <c r="Q11" s="3"/>
      <c r="R11" s="3"/>
      <c r="S11" s="3"/>
      <c r="T11" s="3"/>
      <c r="U11" s="3"/>
      <c r="V11" s="3"/>
      <c r="W11" s="3"/>
    </row>
    <row r="12" spans="1:23" x14ac:dyDescent="0.25">
      <c r="A12" s="2">
        <v>9.9999999999999995E-7</v>
      </c>
      <c r="B12" s="2">
        <v>9.2579999999999998E-5</v>
      </c>
      <c r="C12" s="2">
        <v>1.818E-4</v>
      </c>
      <c r="D12" s="2">
        <v>-5.6130000000000004E-4</v>
      </c>
      <c r="E12" s="2">
        <v>0</v>
      </c>
      <c r="F12" s="2">
        <v>0</v>
      </c>
      <c r="G12" s="2">
        <v>0</v>
      </c>
      <c r="H12" s="2">
        <v>8.1914389000000006E-5</v>
      </c>
      <c r="I12" s="2">
        <v>1.9398086000000002E-5</v>
      </c>
      <c r="J12" s="2">
        <v>-2.2904157E-4</v>
      </c>
      <c r="K12" s="3"/>
      <c r="L12" s="3">
        <f t="shared" si="0"/>
        <v>0.16493853554249063</v>
      </c>
      <c r="M12" s="3"/>
      <c r="N12" s="2">
        <f>IF('Modell einstellen'!$B$1="Voll",H12/0.35,H12/0.35*2)</f>
        <v>2.3404111142857147E-4</v>
      </c>
      <c r="O12" s="2">
        <f>IF('Modell einstellen'!$B$1="Voll",J12/0.35,J12/0.35*2)</f>
        <v>-6.5440448571428577E-4</v>
      </c>
      <c r="P12" s="3">
        <f t="shared" si="1"/>
        <v>0.35763983367735386</v>
      </c>
      <c r="Q12" s="3"/>
      <c r="R12" s="3"/>
      <c r="S12" s="3"/>
      <c r="T12" s="3"/>
      <c r="U12" s="3"/>
      <c r="V12" s="3"/>
      <c r="W12" s="3"/>
    </row>
    <row r="13" spans="1:23" x14ac:dyDescent="0.25">
      <c r="A13" s="2">
        <v>1.0000000000000001E-5</v>
      </c>
      <c r="B13" s="2">
        <v>9.2579999999999998E-5</v>
      </c>
      <c r="C13" s="2">
        <v>1.818E-4</v>
      </c>
      <c r="D13" s="2">
        <v>-5.6130000000000004E-4</v>
      </c>
      <c r="E13" s="2">
        <v>0</v>
      </c>
      <c r="F13" s="2">
        <v>0</v>
      </c>
      <c r="G13" s="2">
        <v>0</v>
      </c>
      <c r="H13" s="2">
        <v>8.1914655E-5</v>
      </c>
      <c r="I13" s="2">
        <v>1.9398133E-5</v>
      </c>
      <c r="J13" s="2">
        <v>-2.2904204E-4</v>
      </c>
      <c r="K13" s="3"/>
      <c r="L13" s="3">
        <f t="shared" si="0"/>
        <v>0.16493853554249063</v>
      </c>
      <c r="M13" s="3"/>
      <c r="N13" s="2">
        <f>IF('Modell einstellen'!$B$1="Voll",H13/0.35,H13/0.35*2)</f>
        <v>2.3404187142857144E-4</v>
      </c>
      <c r="O13" s="2">
        <f>IF('Modell einstellen'!$B$1="Voll",J13/0.35,J13/0.35*2)</f>
        <v>-6.5440582857142864E-4</v>
      </c>
      <c r="P13" s="3">
        <f t="shared" si="1"/>
        <v>0.35764026115031106</v>
      </c>
      <c r="Q13" s="3"/>
      <c r="R13" s="3"/>
      <c r="S13" s="3"/>
      <c r="T13" s="3"/>
      <c r="U13" s="3"/>
      <c r="V13" s="3"/>
      <c r="W13" s="3"/>
    </row>
    <row r="14" spans="1:23" x14ac:dyDescent="0.25">
      <c r="A14" s="2">
        <v>1E-4</v>
      </c>
      <c r="B14" s="2">
        <v>9.2579999999999998E-5</v>
      </c>
      <c r="C14" s="2">
        <v>1.818E-4</v>
      </c>
      <c r="D14" s="2">
        <v>-5.6130000000000004E-4</v>
      </c>
      <c r="E14" s="2">
        <v>0</v>
      </c>
      <c r="F14" s="2">
        <v>0</v>
      </c>
      <c r="G14" s="2">
        <v>0</v>
      </c>
      <c r="H14" s="2">
        <v>8.1917310000000003E-5</v>
      </c>
      <c r="I14" s="2">
        <v>1.9398602E-5</v>
      </c>
      <c r="J14" s="2">
        <v>-2.2904669000000001E-4</v>
      </c>
      <c r="K14" s="3"/>
      <c r="L14" s="3">
        <f t="shared" si="0"/>
        <v>0.16493853554249063</v>
      </c>
      <c r="M14" s="3"/>
      <c r="N14" s="2">
        <f>IF('Modell einstellen'!$B$1="Voll",H14/0.35,H14/0.35*2)</f>
        <v>2.3404945714285716E-4</v>
      </c>
      <c r="O14" s="2">
        <f>IF('Modell einstellen'!$B$1="Voll",J14/0.35,J14/0.35*2)</f>
        <v>-6.5441911428571441E-4</v>
      </c>
      <c r="P14" s="3">
        <f t="shared" si="1"/>
        <v>0.35764459202619342</v>
      </c>
      <c r="Q14" s="3"/>
      <c r="R14" s="3"/>
      <c r="S14" s="3"/>
      <c r="T14" s="3"/>
      <c r="U14" s="3"/>
      <c r="V14" s="3"/>
      <c r="W14" s="3"/>
    </row>
    <row r="15" spans="1:23" x14ac:dyDescent="0.25">
      <c r="A15" s="2">
        <v>1E-3</v>
      </c>
      <c r="B15" s="2">
        <v>9.2570000000000003E-5</v>
      </c>
      <c r="C15" s="2">
        <v>1.819E-4</v>
      </c>
      <c r="D15" s="2">
        <v>-5.6130000000000004E-4</v>
      </c>
      <c r="E15" s="2">
        <v>0</v>
      </c>
      <c r="F15" s="2">
        <v>0</v>
      </c>
      <c r="G15" s="2">
        <v>0</v>
      </c>
      <c r="H15" s="2">
        <v>8.1943639000000006E-5</v>
      </c>
      <c r="I15" s="2">
        <v>1.9403253999999999E-5</v>
      </c>
      <c r="J15" s="2">
        <v>-2.2909286E-4</v>
      </c>
      <c r="K15" s="3"/>
      <c r="L15" s="3">
        <f t="shared" si="0"/>
        <v>0.16492071975770531</v>
      </c>
      <c r="M15" s="3"/>
      <c r="N15" s="2">
        <f>IF('Modell einstellen'!$B$1="Voll",H15/0.35,H15/0.35*2)</f>
        <v>2.341246828571429E-4</v>
      </c>
      <c r="O15" s="2">
        <f>IF('Modell einstellen'!$B$1="Voll",J15/0.35,J15/0.35*2)</f>
        <v>-6.545510285714286E-4</v>
      </c>
      <c r="P15" s="3">
        <f t="shared" si="1"/>
        <v>0.35768744167758004</v>
      </c>
      <c r="Q15" s="3"/>
      <c r="R15" s="3"/>
      <c r="S15" s="3"/>
      <c r="T15" s="3"/>
      <c r="U15" s="3"/>
      <c r="V15" s="3"/>
      <c r="W15" s="3"/>
    </row>
    <row r="16" spans="1:23" x14ac:dyDescent="0.25">
      <c r="A16" s="2">
        <v>0.01</v>
      </c>
      <c r="B16" s="2">
        <v>9.2499999999999999E-5</v>
      </c>
      <c r="C16" s="2">
        <v>1.8220000000000001E-4</v>
      </c>
      <c r="D16" s="2">
        <v>-5.6179999999999999E-4</v>
      </c>
      <c r="E16" s="2">
        <v>0</v>
      </c>
      <c r="F16" s="2">
        <v>0</v>
      </c>
      <c r="G16" s="2">
        <v>0</v>
      </c>
      <c r="H16" s="2">
        <v>8.2195656999999999E-5</v>
      </c>
      <c r="I16" s="2">
        <v>1.9447761E-5</v>
      </c>
      <c r="J16" s="2">
        <v>-2.2953473E-4</v>
      </c>
      <c r="K16" s="3"/>
      <c r="L16" s="3">
        <f t="shared" si="0"/>
        <v>0.16464934140263437</v>
      </c>
      <c r="M16" s="3"/>
      <c r="N16" s="2">
        <f>IF('Modell einstellen'!$B$1="Voll",H16/0.35,H16/0.35*2)</f>
        <v>2.3484473428571429E-4</v>
      </c>
      <c r="O16" s="2">
        <f>IF('Modell einstellen'!$B$1="Voll",J16/0.35,J16/0.35*2)</f>
        <v>-6.5581351428571437E-4</v>
      </c>
      <c r="P16" s="3">
        <f t="shared" si="1"/>
        <v>0.35809682046808339</v>
      </c>
      <c r="Q16" s="3"/>
      <c r="R16" s="3"/>
      <c r="S16" s="3"/>
      <c r="T16" s="3"/>
      <c r="U16" s="3"/>
      <c r="V16" s="3"/>
      <c r="W16" s="3"/>
    </row>
    <row r="17" spans="1:23" x14ac:dyDescent="0.25">
      <c r="A17" s="2">
        <v>0.1</v>
      </c>
      <c r="B17" s="2">
        <v>9.2509999999999993E-5</v>
      </c>
      <c r="C17" s="2">
        <v>1.853E-4</v>
      </c>
      <c r="D17" s="2">
        <v>-5.6599999999999999E-4</v>
      </c>
      <c r="E17" s="2">
        <v>0</v>
      </c>
      <c r="F17" s="2">
        <v>0</v>
      </c>
      <c r="G17" s="2">
        <v>0</v>
      </c>
      <c r="H17" s="2">
        <v>8.4157211999999994E-5</v>
      </c>
      <c r="I17" s="2">
        <v>1.9808870000000001E-5</v>
      </c>
      <c r="J17" s="2">
        <v>-2.3302018E-4</v>
      </c>
      <c r="K17" s="3"/>
      <c r="L17" s="3">
        <f t="shared" si="0"/>
        <v>0.1634452296819788</v>
      </c>
      <c r="M17" s="3"/>
      <c r="N17" s="2">
        <f>IF('Modell einstellen'!$B$1="Voll",H17/0.35,H17/0.35*2)</f>
        <v>2.4044917714285713E-4</v>
      </c>
      <c r="O17" s="2">
        <f>IF('Modell einstellen'!$B$1="Voll",J17/0.35,J17/0.35*2)</f>
        <v>-6.6577194285714295E-4</v>
      </c>
      <c r="P17" s="3">
        <f t="shared" si="1"/>
        <v>0.36115847133926332</v>
      </c>
      <c r="Q17" s="3"/>
      <c r="R17" s="3"/>
      <c r="S17" s="3"/>
      <c r="T17" s="3"/>
      <c r="U17" s="3"/>
      <c r="V17" s="3"/>
      <c r="W17" s="3"/>
    </row>
    <row r="18" spans="1:23" x14ac:dyDescent="0.25">
      <c r="A18" s="2">
        <v>1</v>
      </c>
      <c r="B18" s="2">
        <v>9.2150000000000004E-5</v>
      </c>
      <c r="C18" s="2">
        <v>1.9029999999999999E-4</v>
      </c>
      <c r="D18" s="2">
        <v>-5.7269999999999999E-4</v>
      </c>
      <c r="E18" s="2">
        <v>0</v>
      </c>
      <c r="F18" s="2">
        <v>0</v>
      </c>
      <c r="G18" s="2">
        <v>0</v>
      </c>
      <c r="H18" s="2">
        <v>8.7515288000000006E-5</v>
      </c>
      <c r="I18" s="2">
        <v>2.0412704E-5</v>
      </c>
      <c r="J18" s="2">
        <v>-2.3892124999999999E-4</v>
      </c>
      <c r="K18" s="3"/>
      <c r="L18" s="3">
        <f t="shared" si="0"/>
        <v>0.16090448751527853</v>
      </c>
      <c r="M18" s="3"/>
      <c r="N18" s="2">
        <f>IF('Modell einstellen'!$B$1="Voll",H18/0.35,H18/0.35*2)</f>
        <v>2.5004368000000003E-4</v>
      </c>
      <c r="O18" s="2">
        <f>IF('Modell einstellen'!$B$1="Voll",J18/0.35,J18/0.35*2)</f>
        <v>-6.8263214285714286E-4</v>
      </c>
      <c r="P18" s="3">
        <f t="shared" si="1"/>
        <v>0.36629344606224856</v>
      </c>
      <c r="Q18" s="3"/>
      <c r="R18" s="3"/>
      <c r="S18" s="3"/>
      <c r="T18" s="3"/>
      <c r="U18" s="3"/>
      <c r="V18" s="3"/>
      <c r="W18" s="3"/>
    </row>
    <row r="19" spans="1:23" x14ac:dyDescent="0.25">
      <c r="A19" s="2">
        <v>10</v>
      </c>
      <c r="B19" s="2">
        <v>9.1700000000000006E-5</v>
      </c>
      <c r="C19" s="2">
        <v>1.939E-4</v>
      </c>
      <c r="D19" s="2">
        <v>-5.7729999999999999E-4</v>
      </c>
      <c r="E19" s="2">
        <v>0</v>
      </c>
      <c r="F19" s="2">
        <v>0</v>
      </c>
      <c r="G19" s="2">
        <v>0</v>
      </c>
      <c r="H19" s="2">
        <v>9.0025809999999995E-5</v>
      </c>
      <c r="I19" s="2">
        <v>2.0855420000000002E-5</v>
      </c>
      <c r="J19" s="2">
        <v>-2.4329135000000001E-4</v>
      </c>
      <c r="K19" s="3"/>
      <c r="L19" s="3">
        <f t="shared" si="0"/>
        <v>0.15884288931231597</v>
      </c>
      <c r="M19" s="3"/>
      <c r="N19" s="2">
        <f>IF('Modell einstellen'!$B$1="Voll",H19/0.35,H19/0.35*2)</f>
        <v>2.5721659999999999E-4</v>
      </c>
      <c r="O19" s="2">
        <f>IF('Modell einstellen'!$B$1="Voll",J19/0.35,J19/0.35*2)</f>
        <v>-6.9511814285714288E-4</v>
      </c>
      <c r="P19" s="3">
        <f t="shared" si="1"/>
        <v>0.37003292554379758</v>
      </c>
      <c r="Q19" s="3"/>
      <c r="R19" s="3"/>
      <c r="S19" s="3"/>
      <c r="T19" s="3"/>
      <c r="U19" s="3"/>
      <c r="V19" s="3"/>
      <c r="W19" s="3"/>
    </row>
    <row r="20" spans="1:23" x14ac:dyDescent="0.25">
      <c r="A20" s="2">
        <v>100</v>
      </c>
      <c r="B20" s="2">
        <v>9.1089999999999997E-5</v>
      </c>
      <c r="C20" s="2">
        <v>1.9770000000000001E-4</v>
      </c>
      <c r="D20" s="2">
        <v>-5.8200000000000005E-4</v>
      </c>
      <c r="E20" s="2">
        <v>0</v>
      </c>
      <c r="F20" s="2">
        <v>0</v>
      </c>
      <c r="G20" s="2">
        <v>0</v>
      </c>
      <c r="H20" s="2">
        <v>9.2675169000000005E-5</v>
      </c>
      <c r="I20" s="2">
        <v>2.1316124E-5</v>
      </c>
      <c r="J20" s="2">
        <v>-2.4787277999999997E-4</v>
      </c>
      <c r="K20" s="3"/>
      <c r="L20" s="3">
        <f t="shared" si="0"/>
        <v>0.15651202749140891</v>
      </c>
      <c r="M20" s="3"/>
      <c r="N20" s="2">
        <f>IF('Modell einstellen'!$B$1="Voll",H20/0.35,H20/0.35*2)</f>
        <v>2.647861971428572E-4</v>
      </c>
      <c r="O20" s="2">
        <f>IF('Modell einstellen'!$B$1="Voll",J20/0.35,J20/0.35*2)</f>
        <v>-7.0820794285714282E-4</v>
      </c>
      <c r="P20" s="3">
        <f t="shared" si="1"/>
        <v>0.37388199301270603</v>
      </c>
      <c r="Q20" s="3"/>
      <c r="R20" s="3"/>
      <c r="S20" s="3"/>
      <c r="T20" s="3"/>
      <c r="U20" s="3"/>
      <c r="V20" s="3"/>
      <c r="W20" s="3"/>
    </row>
    <row r="21" spans="1:23" x14ac:dyDescent="0.25">
      <c r="A21" s="2">
        <v>1000</v>
      </c>
      <c r="B21" s="2">
        <v>9.0240000000000003E-5</v>
      </c>
      <c r="C21" s="2">
        <v>2.02E-4</v>
      </c>
      <c r="D21" s="2">
        <v>-5.8710000000000001E-4</v>
      </c>
      <c r="E21" s="2">
        <v>0</v>
      </c>
      <c r="F21" s="2">
        <v>0</v>
      </c>
      <c r="G21" s="2">
        <v>0</v>
      </c>
      <c r="H21" s="2">
        <v>9.5744999999999999E-5</v>
      </c>
      <c r="I21" s="2">
        <v>2.1847111999999999E-5</v>
      </c>
      <c r="J21" s="2">
        <v>-2.5315632000000001E-4</v>
      </c>
      <c r="K21" s="3"/>
      <c r="L21" s="3">
        <f t="shared" si="0"/>
        <v>0.15370464997445069</v>
      </c>
      <c r="M21" s="3"/>
      <c r="N21" s="2">
        <f>IF('Modell einstellen'!$B$1="Voll",H21/0.35,H21/0.35*2)</f>
        <v>2.7355714285714285E-4</v>
      </c>
      <c r="O21" s="2">
        <f>IF('Modell einstellen'!$B$1="Voll",J21/0.35,J21/0.35*2)</f>
        <v>-7.2330377142857153E-4</v>
      </c>
      <c r="P21" s="3">
        <f t="shared" si="1"/>
        <v>0.37820505527967851</v>
      </c>
      <c r="Q21" s="3"/>
      <c r="R21" s="3"/>
      <c r="S21" s="3"/>
      <c r="T21" s="3"/>
      <c r="U21" s="3"/>
      <c r="V21" s="3"/>
      <c r="W21" s="3"/>
    </row>
    <row r="22" spans="1:23" x14ac:dyDescent="0.25">
      <c r="A22" s="2">
        <v>10000</v>
      </c>
      <c r="B22" s="2">
        <v>8.9439999999999997E-5</v>
      </c>
      <c r="C22" s="2">
        <v>2.074E-4</v>
      </c>
      <c r="D22" s="2">
        <v>-5.9329999999999995E-4</v>
      </c>
      <c r="E22" s="2">
        <v>0</v>
      </c>
      <c r="F22" s="2">
        <v>0</v>
      </c>
      <c r="G22" s="2">
        <v>0</v>
      </c>
      <c r="H22" s="2">
        <v>9.9220661000000004E-5</v>
      </c>
      <c r="I22" s="2">
        <v>2.2509622999999998E-5</v>
      </c>
      <c r="J22" s="2">
        <v>-2.5928518999999999E-4</v>
      </c>
      <c r="K22" s="3"/>
      <c r="L22" s="3">
        <f t="shared" si="0"/>
        <v>0.15075004213719873</v>
      </c>
      <c r="M22" s="3"/>
      <c r="N22" s="2">
        <f>IF('Modell einstellen'!$B$1="Voll",H22/0.35,H22/0.35*2)</f>
        <v>2.8348760285714286E-4</v>
      </c>
      <c r="O22" s="2">
        <f>IF('Modell einstellen'!$B$1="Voll",J22/0.35,J22/0.35*2)</f>
        <v>-7.408148285714286E-4</v>
      </c>
      <c r="P22" s="3">
        <f t="shared" si="1"/>
        <v>0.38266998975143934</v>
      </c>
      <c r="Q22" s="3"/>
      <c r="R22" s="3"/>
      <c r="S22" s="3"/>
      <c r="T22" s="3"/>
      <c r="U22" s="3"/>
      <c r="V22" s="3"/>
      <c r="W22" s="3"/>
    </row>
    <row r="23" spans="1:23" x14ac:dyDescent="0.25">
      <c r="A23" s="2">
        <v>100000</v>
      </c>
      <c r="B23" s="2">
        <v>9.0779999999999995E-5</v>
      </c>
      <c r="C23" s="2">
        <v>2.1800000000000001E-4</v>
      </c>
      <c r="D23" s="2">
        <v>-6.0579999999999998E-4</v>
      </c>
      <c r="E23" s="2">
        <v>0</v>
      </c>
      <c r="F23" s="2">
        <v>0</v>
      </c>
      <c r="G23" s="2">
        <v>0</v>
      </c>
      <c r="H23" s="2">
        <v>1.0332945E-4</v>
      </c>
      <c r="I23" s="2">
        <v>2.3768475999999999E-5</v>
      </c>
      <c r="J23" s="2">
        <v>-2.6781461000000001E-4</v>
      </c>
      <c r="K23" s="3"/>
      <c r="L23" s="3">
        <f t="shared" si="0"/>
        <v>0.14985143611753055</v>
      </c>
      <c r="M23" s="3"/>
      <c r="N23" s="2">
        <f>IF('Modell einstellen'!$B$1="Voll",H23/0.35,H23/0.35*2)</f>
        <v>2.9522700000000001E-4</v>
      </c>
      <c r="O23" s="2">
        <f>IF('Modell einstellen'!$B$1="Voll",J23/0.35,J23/0.35*2)</f>
        <v>-7.6518460000000012E-4</v>
      </c>
      <c r="P23" s="3">
        <f t="shared" si="1"/>
        <v>0.38582454482225592</v>
      </c>
      <c r="Q23" s="3"/>
      <c r="R23" s="3"/>
      <c r="S23" s="3"/>
      <c r="T23" s="3"/>
      <c r="U23" s="3"/>
      <c r="V23" s="3"/>
      <c r="W23" s="3"/>
    </row>
    <row r="24" spans="1:23" x14ac:dyDescent="0.25">
      <c r="A24" s="2">
        <v>1000000</v>
      </c>
      <c r="B24" s="2">
        <v>9.8510000000000004E-5</v>
      </c>
      <c r="C24" s="2">
        <v>2.3949999999999999E-4</v>
      </c>
      <c r="D24" s="2">
        <v>-6.3270000000000004E-4</v>
      </c>
      <c r="E24" s="2">
        <v>0</v>
      </c>
      <c r="F24" s="2">
        <v>0</v>
      </c>
      <c r="G24" s="2">
        <v>0</v>
      </c>
      <c r="H24" s="2">
        <v>1.0807431E-4</v>
      </c>
      <c r="I24" s="2">
        <v>2.6286774999999999E-5</v>
      </c>
      <c r="J24" s="2">
        <v>-2.8058488999999998E-4</v>
      </c>
      <c r="K24" s="3"/>
      <c r="L24" s="3">
        <f t="shared" si="0"/>
        <v>0.15569780306622411</v>
      </c>
      <c r="M24" s="3"/>
      <c r="N24" s="2">
        <f>IF('Modell einstellen'!$B$1="Voll",H24/0.35,H24/0.35*2)</f>
        <v>3.0878374285714291E-4</v>
      </c>
      <c r="O24" s="2">
        <f>IF('Modell einstellen'!$B$1="Voll",J24/0.35,J24/0.35*2)</f>
        <v>-8.0167111428571425E-4</v>
      </c>
      <c r="P24" s="3">
        <f t="shared" si="1"/>
        <v>0.38517508907910197</v>
      </c>
      <c r="Q24" s="3"/>
      <c r="R24" s="3"/>
      <c r="S24" s="3"/>
      <c r="T24" s="3"/>
      <c r="U24" s="3"/>
      <c r="V24" s="3"/>
      <c r="W24" s="3"/>
    </row>
    <row r="25" spans="1:23" x14ac:dyDescent="0.25">
      <c r="A25" s="2">
        <v>10000000</v>
      </c>
      <c r="B25" s="2">
        <v>1.1120000000000001E-4</v>
      </c>
      <c r="C25" s="2">
        <v>2.675E-4</v>
      </c>
      <c r="D25" s="2">
        <v>-6.6969999999999996E-4</v>
      </c>
      <c r="E25" s="2">
        <v>0</v>
      </c>
      <c r="F25" s="2">
        <v>0</v>
      </c>
      <c r="G25" s="2">
        <v>0</v>
      </c>
      <c r="H25" s="2">
        <v>1.1333369E-4</v>
      </c>
      <c r="I25" s="2">
        <v>2.957988E-5</v>
      </c>
      <c r="J25" s="2">
        <v>-2.9617479E-4</v>
      </c>
      <c r="K25" s="3"/>
      <c r="L25" s="3">
        <f t="shared" si="0"/>
        <v>0.16604449753621026</v>
      </c>
      <c r="M25" s="3"/>
      <c r="N25" s="2">
        <f>IF('Modell einstellen'!$B$1="Voll",H25/0.35,H25/0.35*2)</f>
        <v>3.2381054285714287E-4</v>
      </c>
      <c r="O25" s="2">
        <f>IF('Modell einstellen'!$B$1="Voll",J25/0.35,J25/0.35*2)</f>
        <v>-8.4621368571428577E-4</v>
      </c>
      <c r="P25" s="3">
        <f t="shared" si="1"/>
        <v>0.38265812562912593</v>
      </c>
      <c r="Q25" s="3"/>
      <c r="R25" s="3"/>
      <c r="S25" s="3"/>
      <c r="T25" s="3"/>
      <c r="U25" s="3"/>
      <c r="V25" s="3"/>
      <c r="W25" s="3"/>
    </row>
    <row r="26" spans="1:23" x14ac:dyDescent="0.25">
      <c r="A26" s="2">
        <v>100000000</v>
      </c>
      <c r="B26" s="2">
        <v>1.2540000000000001E-4</v>
      </c>
      <c r="C26" s="2">
        <v>2.9460000000000001E-4</v>
      </c>
      <c r="D26" s="2">
        <v>-7.0790000000000002E-4</v>
      </c>
      <c r="E26" s="2">
        <v>0</v>
      </c>
      <c r="F26" s="2">
        <v>0</v>
      </c>
      <c r="G26" s="2">
        <v>0</v>
      </c>
      <c r="H26" s="2">
        <v>1.1901256E-4</v>
      </c>
      <c r="I26" s="2">
        <v>3.2821955999999998E-5</v>
      </c>
      <c r="J26" s="2">
        <v>-3.1218685999999997E-4</v>
      </c>
      <c r="K26" s="3"/>
      <c r="L26" s="3">
        <f t="shared" si="0"/>
        <v>0.17714366435937282</v>
      </c>
      <c r="M26" s="3"/>
      <c r="N26" s="2">
        <f>IF('Modell einstellen'!$B$1="Voll",H26/0.35,H26/0.35*2)</f>
        <v>3.4003588571428575E-4</v>
      </c>
      <c r="O26" s="2">
        <f>IF('Modell einstellen'!$B$1="Voll",J26/0.35,J26/0.35*2)</f>
        <v>-8.9196245714285715E-4</v>
      </c>
      <c r="P26" s="3">
        <f t="shared" si="1"/>
        <v>0.38122219493799325</v>
      </c>
      <c r="Q26" s="3"/>
      <c r="R26" s="3"/>
      <c r="S26" s="3"/>
      <c r="T26" s="3"/>
      <c r="U26" s="3"/>
      <c r="V26" s="3"/>
      <c r="W26" s="3"/>
    </row>
    <row r="27" spans="1:23" x14ac:dyDescent="0.25">
      <c r="A27" s="2">
        <v>1000000000</v>
      </c>
      <c r="B27" s="2">
        <v>1.3669999999999999E-4</v>
      </c>
      <c r="C27" s="2">
        <v>3.1960000000000002E-4</v>
      </c>
      <c r="D27" s="2">
        <v>-7.427E-4</v>
      </c>
      <c r="E27" s="2">
        <v>0</v>
      </c>
      <c r="F27" s="2">
        <v>0</v>
      </c>
      <c r="G27" s="2">
        <v>0</v>
      </c>
      <c r="H27" s="2">
        <v>1.2569493E-4</v>
      </c>
      <c r="I27" s="2">
        <v>3.5890207000000003E-5</v>
      </c>
      <c r="J27" s="2">
        <v>-3.2901679E-4</v>
      </c>
      <c r="K27" s="3"/>
      <c r="L27" s="3">
        <f t="shared" si="0"/>
        <v>0.18405816615053183</v>
      </c>
      <c r="M27" s="3"/>
      <c r="N27" s="2">
        <f>IF('Modell einstellen'!$B$1="Voll",H27/0.35,H27/0.35*2)</f>
        <v>3.5912837142857145E-4</v>
      </c>
      <c r="O27" s="2">
        <f>IF('Modell einstellen'!$B$1="Voll",J27/0.35,J27/0.35*2)</f>
        <v>-9.4004797142857143E-4</v>
      </c>
      <c r="P27" s="3">
        <f t="shared" si="1"/>
        <v>0.38203196256336952</v>
      </c>
      <c r="Q27" s="3"/>
      <c r="R27" s="3"/>
      <c r="S27" s="3"/>
      <c r="T27" s="3"/>
      <c r="U27" s="3"/>
      <c r="V27" s="3"/>
      <c r="W27" s="3"/>
    </row>
    <row r="28" spans="1:23" x14ac:dyDescent="0.25">
      <c r="A28" s="2">
        <v>10000000000</v>
      </c>
      <c r="B28" s="2">
        <v>1.44E-4</v>
      </c>
      <c r="C28" s="2">
        <v>3.4459999999999997E-4</v>
      </c>
      <c r="D28" s="2">
        <v>-7.7539999999999998E-4</v>
      </c>
      <c r="E28" s="2">
        <v>0</v>
      </c>
      <c r="F28" s="2">
        <v>0</v>
      </c>
      <c r="G28" s="2">
        <v>0</v>
      </c>
      <c r="H28" s="2">
        <v>1.3429652000000001E-4</v>
      </c>
      <c r="I28" s="2">
        <v>3.9065656000000001E-5</v>
      </c>
      <c r="J28" s="2">
        <v>-3.4860113E-4</v>
      </c>
      <c r="K28" s="3"/>
      <c r="L28" s="3">
        <f t="shared" si="0"/>
        <v>0.18571060098013928</v>
      </c>
      <c r="M28" s="3"/>
      <c r="N28" s="2">
        <f>IF('Modell einstellen'!$B$1="Voll",H28/0.35,H28/0.35*2)</f>
        <v>3.8370434285714292E-4</v>
      </c>
      <c r="O28" s="2">
        <f>IF('Modell einstellen'!$B$1="Voll",J28/0.35,J28/0.35*2)</f>
        <v>-9.9600322857142857E-4</v>
      </c>
      <c r="P28" s="3">
        <f t="shared" si="1"/>
        <v>0.38524407537061056</v>
      </c>
      <c r="Q28" s="3"/>
      <c r="R28" s="3"/>
      <c r="S28" s="3"/>
      <c r="T28" s="3"/>
      <c r="U28" s="3"/>
      <c r="V28" s="3"/>
      <c r="W28" s="3"/>
    </row>
    <row r="29" spans="1:23" x14ac:dyDescent="0.25">
      <c r="A29" s="2">
        <v>100000000000</v>
      </c>
      <c r="B29" s="2">
        <v>1.47E-4</v>
      </c>
      <c r="C29" s="2">
        <v>3.6949999999999998E-4</v>
      </c>
      <c r="D29" s="2">
        <v>-8.0480000000000005E-4</v>
      </c>
      <c r="E29" s="2">
        <v>0</v>
      </c>
      <c r="F29" s="2">
        <v>0</v>
      </c>
      <c r="G29" s="2">
        <v>0</v>
      </c>
      <c r="H29" s="2">
        <v>1.4406649000000001E-4</v>
      </c>
      <c r="I29" s="2">
        <v>4.2331096999999997E-5</v>
      </c>
      <c r="J29" s="2">
        <v>-3.6995224999999997E-4</v>
      </c>
      <c r="K29" s="3"/>
      <c r="L29" s="3">
        <f t="shared" si="0"/>
        <v>0.18265407554671967</v>
      </c>
      <c r="M29" s="3"/>
      <c r="N29" s="2">
        <f>IF('Modell einstellen'!$B$1="Voll",H29/0.35,H29/0.35*2)</f>
        <v>4.1161854285714291E-4</v>
      </c>
      <c r="O29" s="2">
        <f>IF('Modell einstellen'!$B$1="Voll",J29/0.35,J29/0.35*2)</f>
        <v>-1.0570064285714287E-3</v>
      </c>
      <c r="P29" s="3">
        <f t="shared" si="1"/>
        <v>0.3894191480116691</v>
      </c>
      <c r="Q29" s="3"/>
      <c r="R29" s="3"/>
      <c r="S29" s="3"/>
      <c r="T29" s="3"/>
      <c r="U29" s="3"/>
      <c r="V29" s="3"/>
      <c r="W29" s="3"/>
    </row>
    <row r="30" spans="1:23" x14ac:dyDescent="0.25">
      <c r="A30" s="2">
        <v>1000000000000</v>
      </c>
      <c r="B30" s="2">
        <v>1.45E-4</v>
      </c>
      <c r="C30" s="2">
        <v>3.9179999999999998E-4</v>
      </c>
      <c r="D30" s="2">
        <v>-8.2660000000000003E-4</v>
      </c>
      <c r="E30" s="2">
        <v>0</v>
      </c>
      <c r="F30" s="2">
        <v>0</v>
      </c>
      <c r="G30" s="2">
        <v>0</v>
      </c>
      <c r="H30" s="2">
        <v>1.5305127E-4</v>
      </c>
      <c r="I30" s="2">
        <v>4.5313260000000003E-5</v>
      </c>
      <c r="J30" s="2">
        <v>-3.8960635999999999E-4</v>
      </c>
      <c r="K30" s="3"/>
      <c r="L30" s="3">
        <f t="shared" si="0"/>
        <v>0.17541737236873942</v>
      </c>
      <c r="M30" s="3"/>
      <c r="N30" s="2">
        <f>IF('Modell einstellen'!$B$1="Voll",H30/0.35,H30/0.35*2)</f>
        <v>4.372893428571429E-4</v>
      </c>
      <c r="O30" s="2">
        <f>IF('Modell einstellen'!$B$1="Voll",J30/0.35,J30/0.35*2)</f>
        <v>-1.1131610285714285E-3</v>
      </c>
      <c r="P30" s="3">
        <f t="shared" si="1"/>
        <v>0.39283565596824449</v>
      </c>
      <c r="Q30" s="3"/>
      <c r="R30" s="3"/>
      <c r="S30" s="3"/>
      <c r="T30" s="3"/>
      <c r="U30" s="3"/>
      <c r="V30" s="3"/>
      <c r="W30" s="3"/>
    </row>
    <row r="31" spans="1:23" x14ac:dyDescent="0.25">
      <c r="A31" s="2">
        <v>10000000000000</v>
      </c>
      <c r="B31" s="2">
        <v>1.4109999999999999E-4</v>
      </c>
      <c r="C31" s="2">
        <v>4.126E-4</v>
      </c>
      <c r="D31" s="2">
        <v>-8.451E-4</v>
      </c>
      <c r="E31" s="2">
        <v>0</v>
      </c>
      <c r="F31" s="2">
        <v>0</v>
      </c>
      <c r="G31" s="2">
        <v>0</v>
      </c>
      <c r="H31" s="2">
        <v>1.6180456E-4</v>
      </c>
      <c r="I31" s="2">
        <v>4.8146841999999999E-5</v>
      </c>
      <c r="J31" s="2">
        <v>-4.0856607000000001E-4</v>
      </c>
      <c r="K31" s="3"/>
      <c r="L31" s="3">
        <f t="shared" si="0"/>
        <v>0.1669624896461957</v>
      </c>
      <c r="M31" s="3"/>
      <c r="N31" s="2">
        <f>IF('Modell einstellen'!$B$1="Voll",H31/0.35,H31/0.35*2)</f>
        <v>4.6229874285714286E-4</v>
      </c>
      <c r="O31" s="2">
        <f>IF('Modell einstellen'!$B$1="Voll",J31/0.35,J31/0.35*2)</f>
        <v>-1.1673316285714286E-3</v>
      </c>
      <c r="P31" s="3">
        <f t="shared" si="1"/>
        <v>0.39603034094338768</v>
      </c>
      <c r="Q31" s="3"/>
      <c r="R31" s="3"/>
      <c r="S31" s="3"/>
      <c r="T31" s="3"/>
      <c r="U31" s="3"/>
      <c r="V31" s="3"/>
      <c r="W31" s="3"/>
    </row>
    <row r="32" spans="1:23" x14ac:dyDescent="0.25">
      <c r="A32" s="2">
        <v>100000000000000</v>
      </c>
      <c r="B32" s="2">
        <v>1.338E-4</v>
      </c>
      <c r="C32" s="2">
        <v>4.3399999999999998E-4</v>
      </c>
      <c r="D32" s="2">
        <v>-8.6109999999999995E-4</v>
      </c>
      <c r="E32" s="2">
        <v>0</v>
      </c>
      <c r="F32" s="2">
        <v>0</v>
      </c>
      <c r="G32" s="2">
        <v>0</v>
      </c>
      <c r="H32" s="2">
        <v>1.7129524000000001E-4</v>
      </c>
      <c r="I32" s="2">
        <v>5.1122758999999999E-5</v>
      </c>
      <c r="J32" s="2">
        <v>-4.2885854999999998E-4</v>
      </c>
      <c r="K32" s="3"/>
      <c r="L32" s="3">
        <f t="shared" si="0"/>
        <v>0.15538265009871097</v>
      </c>
      <c r="M32" s="3"/>
      <c r="N32" s="2">
        <f>IF('Modell einstellen'!$B$1="Voll",H32/0.35,H32/0.35*2)</f>
        <v>4.8941497142857145E-4</v>
      </c>
      <c r="O32" s="2">
        <f>IF('Modell einstellen'!$B$1="Voll",J32/0.35,J32/0.35*2)</f>
        <v>-1.2253101428571429E-3</v>
      </c>
      <c r="P32" s="3">
        <f t="shared" si="1"/>
        <v>0.39942130103270651</v>
      </c>
      <c r="Q32" s="3"/>
      <c r="R32" s="3"/>
      <c r="S32" s="3"/>
      <c r="T32" s="3"/>
      <c r="U32" s="3"/>
      <c r="V32" s="3"/>
      <c r="W32" s="3"/>
    </row>
    <row r="33" spans="1:23" x14ac:dyDescent="0.25">
      <c r="A33" s="2">
        <v>1000000000000000</v>
      </c>
      <c r="B33" s="2">
        <v>1.2449999999999999E-4</v>
      </c>
      <c r="C33" s="2">
        <v>4.5590000000000002E-4</v>
      </c>
      <c r="D33" s="2">
        <v>-8.7569999999999998E-4</v>
      </c>
      <c r="E33" s="2">
        <v>0</v>
      </c>
      <c r="F33" s="2">
        <v>0</v>
      </c>
      <c r="G33" s="2">
        <v>0</v>
      </c>
      <c r="H33" s="2">
        <v>1.8134993E-4</v>
      </c>
      <c r="I33" s="2">
        <v>5.4219718000000001E-5</v>
      </c>
      <c r="J33" s="2">
        <v>-4.5018834999999998E-4</v>
      </c>
      <c r="K33" s="3"/>
      <c r="L33" s="3">
        <f t="shared" si="0"/>
        <v>0.14217197670435081</v>
      </c>
      <c r="M33" s="3"/>
      <c r="N33" s="2">
        <f>IF('Modell einstellen'!$B$1="Voll",H33/0.35,H33/0.35*2)</f>
        <v>5.1814265714285714E-4</v>
      </c>
      <c r="O33" s="2">
        <f>IF('Modell einstellen'!$B$1="Voll",J33/0.35,J33/0.35*2)</f>
        <v>-1.2862524285714287E-3</v>
      </c>
      <c r="P33" s="3">
        <f t="shared" si="1"/>
        <v>0.40283123719216629</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9.3599999999999998E-5</v>
      </c>
      <c r="C3" s="3">
        <v>1.8310000000000001E-4</v>
      </c>
      <c r="D3" s="3">
        <v>-5.6309999999999997E-4</v>
      </c>
      <c r="E3" s="3">
        <v>0</v>
      </c>
      <c r="F3" s="3">
        <v>0</v>
      </c>
      <c r="G3" s="3">
        <v>0</v>
      </c>
      <c r="H3" s="3">
        <v>8.1955227999999994E-5</v>
      </c>
      <c r="I3" s="3">
        <v>1.9533068E-5</v>
      </c>
      <c r="J3" s="3">
        <v>-2.2945855000000001E-4</v>
      </c>
      <c r="L3" s="3">
        <f>-B3/D3</f>
        <v>0.16622269579115612</v>
      </c>
      <c r="M3" s="3"/>
      <c r="N3" s="2">
        <f>IF('Modell einstellen'!$B$1="Voll",H3/0.35,H3/0.35*2)</f>
        <v>2.341577942857143E-4</v>
      </c>
      <c r="O3" s="2">
        <f>IF('Modell einstellen'!$B$1="Voll",J3/0.35,J3/0.35*2)</f>
        <v>-6.5559585714285726E-4</v>
      </c>
      <c r="P3" s="3">
        <f>-N3/O3</f>
        <v>0.35716789808006716</v>
      </c>
    </row>
    <row r="4" spans="1:16" x14ac:dyDescent="0.25">
      <c r="A4" s="3">
        <v>1E-14</v>
      </c>
      <c r="B4" s="3">
        <v>9.3599999999999998E-5</v>
      </c>
      <c r="C4" s="3">
        <v>1.8310000000000001E-4</v>
      </c>
      <c r="D4" s="3">
        <v>-5.6309999999999997E-4</v>
      </c>
      <c r="E4" s="3">
        <v>0</v>
      </c>
      <c r="F4" s="3">
        <v>0</v>
      </c>
      <c r="G4" s="3">
        <v>0</v>
      </c>
      <c r="H4" s="3">
        <v>8.1957495999999998E-5</v>
      </c>
      <c r="I4" s="3">
        <v>1.9533641000000001E-5</v>
      </c>
      <c r="J4" s="3">
        <v>-2.2945446000000001E-4</v>
      </c>
      <c r="L4" s="3">
        <f t="shared" ref="L4:L33" si="0">-B4/D4</f>
        <v>0.16622269579115612</v>
      </c>
      <c r="M4" s="3"/>
      <c r="N4" s="2">
        <f>IF('Modell einstellen'!$B$1="Voll",H4/0.35,H4/0.35*2)</f>
        <v>2.3416427428571429E-4</v>
      </c>
      <c r="O4" s="2">
        <f>IF('Modell einstellen'!$B$1="Voll",J4/0.35,J4/0.35*2)</f>
        <v>-6.555841714285715E-4</v>
      </c>
      <c r="P4" s="3">
        <f t="shared" ref="P4:P33" si="1">-N4/O4</f>
        <v>0.35718414887206806</v>
      </c>
    </row>
    <row r="5" spans="1:16" x14ac:dyDescent="0.25">
      <c r="A5" s="3">
        <v>1E-13</v>
      </c>
      <c r="B5" s="3">
        <v>9.3599999999999998E-5</v>
      </c>
      <c r="C5" s="3">
        <v>1.8310000000000001E-4</v>
      </c>
      <c r="D5" s="3">
        <v>-5.6309999999999997E-4</v>
      </c>
      <c r="E5" s="3">
        <v>0</v>
      </c>
      <c r="F5" s="3">
        <v>0</v>
      </c>
      <c r="G5" s="3">
        <v>0</v>
      </c>
      <c r="H5" s="3">
        <v>8.1957801999999995E-5</v>
      </c>
      <c r="I5" s="3">
        <v>1.9533777E-5</v>
      </c>
      <c r="J5" s="3">
        <v>-2.2945529E-4</v>
      </c>
      <c r="L5" s="3">
        <f t="shared" si="0"/>
        <v>0.16622269579115612</v>
      </c>
      <c r="M5" s="3"/>
      <c r="N5" s="2">
        <f>IF('Modell einstellen'!$B$1="Voll",H5/0.35,H5/0.35*2)</f>
        <v>2.3416514857142856E-4</v>
      </c>
      <c r="O5" s="2">
        <f>IF('Modell einstellen'!$B$1="Voll",J5/0.35,J5/0.35*2)</f>
        <v>-6.5558654285714291E-4</v>
      </c>
      <c r="P5" s="3">
        <f t="shared" si="1"/>
        <v>0.35718419043640259</v>
      </c>
    </row>
    <row r="6" spans="1:16" x14ac:dyDescent="0.25">
      <c r="A6" s="3">
        <v>9.9999999999999998E-13</v>
      </c>
      <c r="B6" s="3">
        <v>9.3599999999999998E-5</v>
      </c>
      <c r="C6" s="3">
        <v>1.8310000000000001E-4</v>
      </c>
      <c r="D6" s="3">
        <v>-5.6309999999999997E-4</v>
      </c>
      <c r="E6" s="3">
        <v>0</v>
      </c>
      <c r="F6" s="3">
        <v>0</v>
      </c>
      <c r="G6" s="3">
        <v>0</v>
      </c>
      <c r="H6" s="3">
        <v>8.1957919999999998E-5</v>
      </c>
      <c r="I6" s="3">
        <v>1.9533816E-5</v>
      </c>
      <c r="J6" s="3">
        <v>-2.2945556999999999E-4</v>
      </c>
      <c r="L6" s="3">
        <f t="shared" si="0"/>
        <v>0.16622269579115612</v>
      </c>
      <c r="M6" s="3"/>
      <c r="N6" s="2">
        <f>IF('Modell einstellen'!$B$1="Voll",H6/0.35,H6/0.35*2)</f>
        <v>2.3416548571428573E-4</v>
      </c>
      <c r="O6" s="2">
        <f>IF('Modell einstellen'!$B$1="Voll",J6/0.35,J6/0.35*2)</f>
        <v>-6.5558734285714286E-4</v>
      </c>
      <c r="P6" s="3">
        <f t="shared" si="1"/>
        <v>0.35718426883252391</v>
      </c>
    </row>
    <row r="7" spans="1:16" x14ac:dyDescent="0.25">
      <c r="A7" s="3">
        <v>9.9999999999999994E-12</v>
      </c>
      <c r="B7" s="3">
        <v>9.3599999999999998E-5</v>
      </c>
      <c r="C7" s="3">
        <v>1.8310000000000001E-4</v>
      </c>
      <c r="D7" s="3">
        <v>-5.6309999999999997E-4</v>
      </c>
      <c r="E7" s="3">
        <v>0</v>
      </c>
      <c r="F7" s="3">
        <v>0</v>
      </c>
      <c r="G7" s="3">
        <v>0</v>
      </c>
      <c r="H7" s="3">
        <v>8.1958139000000004E-5</v>
      </c>
      <c r="I7" s="3">
        <v>1.953386E-5</v>
      </c>
      <c r="J7" s="3">
        <v>-2.2945596999999999E-4</v>
      </c>
      <c r="L7" s="3">
        <f t="shared" si="0"/>
        <v>0.16622269579115612</v>
      </c>
      <c r="M7" s="3"/>
      <c r="N7" s="2">
        <f>IF('Modell einstellen'!$B$1="Voll",H7/0.35,H7/0.35*2)</f>
        <v>2.3416611142857146E-4</v>
      </c>
      <c r="O7" s="2">
        <f>IF('Modell einstellen'!$B$1="Voll",J7/0.35,J7/0.35*2)</f>
        <v>-6.5558848571428577E-4</v>
      </c>
      <c r="P7" s="3">
        <f t="shared" si="1"/>
        <v>0.35718460060115237</v>
      </c>
    </row>
    <row r="8" spans="1:16" x14ac:dyDescent="0.25">
      <c r="A8" s="3">
        <v>1E-10</v>
      </c>
      <c r="B8" s="3">
        <v>9.3599999999999998E-5</v>
      </c>
      <c r="C8" s="3">
        <v>1.8310000000000001E-4</v>
      </c>
      <c r="D8" s="3">
        <v>-5.6309999999999997E-4</v>
      </c>
      <c r="E8" s="3">
        <v>0</v>
      </c>
      <c r="F8" s="3">
        <v>0</v>
      </c>
      <c r="G8" s="3">
        <v>0</v>
      </c>
      <c r="H8" s="3">
        <v>8.1960015000000002E-5</v>
      </c>
      <c r="I8" s="3">
        <v>1.9534198000000001E-5</v>
      </c>
      <c r="J8" s="3">
        <v>-2.2945927999999999E-4</v>
      </c>
      <c r="L8" s="3">
        <f t="shared" si="0"/>
        <v>0.16622269579115612</v>
      </c>
      <c r="M8" s="3"/>
      <c r="N8" s="2">
        <f>IF('Modell einstellen'!$B$1="Voll",H8/0.35,H8/0.35*2)</f>
        <v>2.3417147142857145E-4</v>
      </c>
      <c r="O8" s="2">
        <f>IF('Modell einstellen'!$B$1="Voll",J8/0.35,J8/0.35*2)</f>
        <v>-6.555979428571429E-4</v>
      </c>
      <c r="P8" s="3">
        <f t="shared" si="1"/>
        <v>0.35718762387818875</v>
      </c>
    </row>
    <row r="9" spans="1:16" x14ac:dyDescent="0.25">
      <c r="A9" s="3">
        <v>1.0000000000000001E-9</v>
      </c>
      <c r="B9" s="3">
        <v>9.3599999999999998E-5</v>
      </c>
      <c r="C9" s="3">
        <v>1.8310000000000001E-4</v>
      </c>
      <c r="D9" s="3">
        <v>-5.6309999999999997E-4</v>
      </c>
      <c r="E9" s="3">
        <v>0</v>
      </c>
      <c r="F9" s="3">
        <v>0</v>
      </c>
      <c r="G9" s="3">
        <v>0</v>
      </c>
      <c r="H9" s="3">
        <v>8.1978550000000005E-5</v>
      </c>
      <c r="I9" s="3">
        <v>1.9537529999999999E-5</v>
      </c>
      <c r="J9" s="3">
        <v>-2.2949194999999999E-4</v>
      </c>
      <c r="L9" s="3">
        <f t="shared" si="0"/>
        <v>0.16622269579115612</v>
      </c>
      <c r="M9" s="3"/>
      <c r="N9" s="2">
        <f>IF('Modell einstellen'!$B$1="Voll",H9/0.35,H9/0.35*2)</f>
        <v>2.3422442857142859E-4</v>
      </c>
      <c r="O9" s="2">
        <f>IF('Modell einstellen'!$B$1="Voll",J9/0.35,J9/0.35*2)</f>
        <v>-6.5569128571428569E-4</v>
      </c>
      <c r="P9" s="3">
        <f t="shared" si="1"/>
        <v>0.35721754074598261</v>
      </c>
    </row>
    <row r="10" spans="1:16" x14ac:dyDescent="0.25">
      <c r="A10" s="3">
        <v>1E-8</v>
      </c>
      <c r="B10" s="3">
        <v>9.3540000000000002E-5</v>
      </c>
      <c r="C10" s="3">
        <v>1.8340000000000001E-4</v>
      </c>
      <c r="D10" s="3">
        <v>-5.6349999999999998E-4</v>
      </c>
      <c r="E10" s="3">
        <v>0</v>
      </c>
      <c r="F10" s="3">
        <v>0</v>
      </c>
      <c r="G10" s="3">
        <v>0</v>
      </c>
      <c r="H10" s="3">
        <v>8.2157547000000003E-5</v>
      </c>
      <c r="I10" s="3">
        <v>1.9569695999999999E-5</v>
      </c>
      <c r="J10" s="3">
        <v>-2.2980738999999999E-4</v>
      </c>
      <c r="L10" s="3">
        <f t="shared" si="0"/>
        <v>0.16599822537710737</v>
      </c>
      <c r="M10" s="3"/>
      <c r="N10" s="2">
        <f>IF('Modell einstellen'!$B$1="Voll",H10/0.35,H10/0.35*2)</f>
        <v>2.3473584857142859E-4</v>
      </c>
      <c r="O10" s="2">
        <f>IF('Modell einstellen'!$B$1="Voll",J10/0.35,J10/0.35*2)</f>
        <v>-6.5659254285714292E-4</v>
      </c>
      <c r="P10" s="3">
        <f t="shared" si="1"/>
        <v>0.35750611414193423</v>
      </c>
    </row>
    <row r="11" spans="1:16" x14ac:dyDescent="0.25">
      <c r="A11" s="3">
        <v>9.9999999999999995E-8</v>
      </c>
      <c r="B11" s="3">
        <v>9.3560000000000005E-5</v>
      </c>
      <c r="C11" s="3">
        <v>1.8569999999999999E-4</v>
      </c>
      <c r="D11" s="3">
        <v>-5.6680000000000001E-4</v>
      </c>
      <c r="E11" s="3">
        <v>0</v>
      </c>
      <c r="F11" s="3">
        <v>0</v>
      </c>
      <c r="G11" s="3">
        <v>0</v>
      </c>
      <c r="H11" s="3">
        <v>8.3673480000000003E-5</v>
      </c>
      <c r="I11" s="3">
        <v>1.9853087999999999E-5</v>
      </c>
      <c r="J11" s="3">
        <v>-2.3251451000000001E-4</v>
      </c>
      <c r="L11" s="3">
        <f t="shared" si="0"/>
        <v>0.16506704304869443</v>
      </c>
      <c r="M11" s="3"/>
      <c r="N11" s="2">
        <f>IF('Modell einstellen'!$B$1="Voll",H11/0.35,H11/0.35*2)</f>
        <v>2.3906708571428575E-4</v>
      </c>
      <c r="O11" s="2">
        <f>IF('Modell einstellen'!$B$1="Voll",J11/0.35,J11/0.35*2)</f>
        <v>-6.6432717142857146E-4</v>
      </c>
      <c r="P11" s="3">
        <f t="shared" si="1"/>
        <v>0.35986347690731219</v>
      </c>
    </row>
    <row r="12" spans="1:16" x14ac:dyDescent="0.25">
      <c r="A12" s="3">
        <v>9.9999999999999995E-7</v>
      </c>
      <c r="B12" s="3">
        <v>9.3239999999999995E-5</v>
      </c>
      <c r="C12" s="3">
        <v>1.9110000000000001E-4</v>
      </c>
      <c r="D12" s="3">
        <v>-5.7390000000000002E-4</v>
      </c>
      <c r="E12" s="3">
        <v>0</v>
      </c>
      <c r="F12" s="3">
        <v>0</v>
      </c>
      <c r="G12" s="3">
        <v>0</v>
      </c>
      <c r="H12" s="3">
        <v>8.7166915999999998E-5</v>
      </c>
      <c r="I12" s="3">
        <v>2.0493314000000001E-5</v>
      </c>
      <c r="J12" s="3">
        <v>-2.3869339000000001E-4</v>
      </c>
      <c r="L12" s="3">
        <f t="shared" si="0"/>
        <v>0.16246732880292733</v>
      </c>
      <c r="M12" s="3"/>
      <c r="N12" s="2">
        <f>IF('Modell einstellen'!$B$1="Voll",H12/0.35,H12/0.35*2)</f>
        <v>2.4904833142857141E-4</v>
      </c>
      <c r="O12" s="2">
        <f>IF('Modell einstellen'!$B$1="Voll",J12/0.35,J12/0.35*2)</f>
        <v>-6.8198111428571437E-4</v>
      </c>
      <c r="P12" s="3">
        <f t="shared" si="1"/>
        <v>0.36518361903528196</v>
      </c>
    </row>
    <row r="13" spans="1:16" x14ac:dyDescent="0.25">
      <c r="A13" s="3">
        <v>1.0000000000000001E-5</v>
      </c>
      <c r="B13" s="3">
        <v>9.2800000000000006E-5</v>
      </c>
      <c r="C13" s="3">
        <v>1.9479999999999999E-4</v>
      </c>
      <c r="D13" s="3">
        <v>-5.7870000000000003E-4</v>
      </c>
      <c r="E13" s="3">
        <v>0</v>
      </c>
      <c r="F13" s="3">
        <v>0</v>
      </c>
      <c r="G13" s="3">
        <v>0</v>
      </c>
      <c r="H13" s="3">
        <v>8.9703693999999997E-5</v>
      </c>
      <c r="I13" s="3">
        <v>2.0948508999999999E-5</v>
      </c>
      <c r="J13" s="3">
        <v>-2.4313414999999999E-4</v>
      </c>
      <c r="L13" s="3">
        <f t="shared" si="0"/>
        <v>0.16035942630032832</v>
      </c>
      <c r="M13" s="3"/>
      <c r="N13" s="2">
        <f>IF('Modell einstellen'!$B$1="Voll",H13/0.35,H13/0.35*2)</f>
        <v>2.5629626857142859E-4</v>
      </c>
      <c r="O13" s="2">
        <f>IF('Modell einstellen'!$B$1="Voll",J13/0.35,J13/0.35*2)</f>
        <v>-6.9466899999999997E-4</v>
      </c>
      <c r="P13" s="3">
        <f t="shared" si="1"/>
        <v>0.36894732393618918</v>
      </c>
    </row>
    <row r="14" spans="1:16" x14ac:dyDescent="0.25">
      <c r="A14" s="3">
        <v>1E-4</v>
      </c>
      <c r="B14" s="3">
        <v>9.2219999999999995E-5</v>
      </c>
      <c r="C14" s="3">
        <v>1.986E-4</v>
      </c>
      <c r="D14" s="3">
        <v>-5.8330000000000003E-4</v>
      </c>
      <c r="E14" s="3">
        <v>0</v>
      </c>
      <c r="F14" s="3">
        <v>0</v>
      </c>
      <c r="G14" s="3">
        <v>0</v>
      </c>
      <c r="H14" s="3">
        <v>9.2273075000000001E-5</v>
      </c>
      <c r="I14" s="3">
        <v>2.1402851000000001E-5</v>
      </c>
      <c r="J14" s="3">
        <v>-2.4760188000000002E-4</v>
      </c>
      <c r="L14" s="3">
        <f t="shared" si="0"/>
        <v>0.15810046288359333</v>
      </c>
      <c r="M14" s="3"/>
      <c r="N14" s="2">
        <f>IF('Modell einstellen'!$B$1="Voll",H14/0.35,H14/0.35*2)</f>
        <v>2.6363735714285717E-4</v>
      </c>
      <c r="O14" s="2">
        <f>IF('Modell einstellen'!$B$1="Voll",J14/0.35,J14/0.35*2)</f>
        <v>-7.0743394285714299E-4</v>
      </c>
      <c r="P14" s="3">
        <f t="shared" si="1"/>
        <v>0.37266710171990614</v>
      </c>
    </row>
    <row r="15" spans="1:16" x14ac:dyDescent="0.25">
      <c r="A15" s="3">
        <v>1E-3</v>
      </c>
      <c r="B15" s="3">
        <v>9.1370000000000001E-5</v>
      </c>
      <c r="C15" s="3">
        <v>2.028E-4</v>
      </c>
      <c r="D15" s="3">
        <v>-5.8830000000000004E-4</v>
      </c>
      <c r="E15" s="3">
        <v>0</v>
      </c>
      <c r="F15" s="3">
        <v>0</v>
      </c>
      <c r="G15" s="3">
        <v>0</v>
      </c>
      <c r="H15" s="3">
        <v>9.5300729999999996E-5</v>
      </c>
      <c r="I15" s="3">
        <v>2.1928888999999999E-5</v>
      </c>
      <c r="J15" s="3">
        <v>-2.5282488999999998E-4</v>
      </c>
      <c r="L15" s="3">
        <f t="shared" si="0"/>
        <v>0.15531191568927416</v>
      </c>
      <c r="M15" s="3"/>
      <c r="N15" s="2">
        <f>IF('Modell einstellen'!$B$1="Voll",H15/0.35,H15/0.35*2)</f>
        <v>2.7228780000000002E-4</v>
      </c>
      <c r="O15" s="2">
        <f>IF('Modell einstellen'!$B$1="Voll",J15/0.35,J15/0.35*2)</f>
        <v>-7.2235682857142854E-4</v>
      </c>
      <c r="P15" s="3">
        <f t="shared" si="1"/>
        <v>0.37694362291624062</v>
      </c>
    </row>
    <row r="16" spans="1:16" x14ac:dyDescent="0.25">
      <c r="A16" s="3">
        <v>0.01</v>
      </c>
      <c r="B16" s="3">
        <v>9.0190000000000002E-5</v>
      </c>
      <c r="C16" s="3">
        <v>2.075E-4</v>
      </c>
      <c r="D16" s="3">
        <v>-5.9360000000000001E-4</v>
      </c>
      <c r="E16" s="3">
        <v>0</v>
      </c>
      <c r="F16" s="3">
        <v>0</v>
      </c>
      <c r="G16" s="3">
        <v>0</v>
      </c>
      <c r="H16" s="3">
        <v>9.8677099000000002E-5</v>
      </c>
      <c r="I16" s="3">
        <v>2.2503769000000001E-5</v>
      </c>
      <c r="J16" s="3">
        <v>-2.5859754999999998E-4</v>
      </c>
      <c r="L16" s="3">
        <f t="shared" si="0"/>
        <v>0.15193733153638814</v>
      </c>
      <c r="M16" s="3"/>
      <c r="N16" s="2">
        <f>IF('Modell einstellen'!$B$1="Voll",H16/0.35,H16/0.35*2)</f>
        <v>2.8193456857142861E-4</v>
      </c>
      <c r="O16" s="2">
        <f>IF('Modell einstellen'!$B$1="Voll",J16/0.35,J16/0.35*2)</f>
        <v>-7.3885014285714288E-4</v>
      </c>
      <c r="P16" s="3">
        <f t="shared" si="1"/>
        <v>0.38158559120146346</v>
      </c>
    </row>
    <row r="17" spans="1:16" x14ac:dyDescent="0.25">
      <c r="A17" s="3">
        <v>0.1</v>
      </c>
      <c r="B17" s="3">
        <v>8.8490000000000001E-5</v>
      </c>
      <c r="C17" s="3">
        <v>2.129E-4</v>
      </c>
      <c r="D17" s="3">
        <v>-5.9929999999999998E-4</v>
      </c>
      <c r="E17" s="3">
        <v>0</v>
      </c>
      <c r="F17" s="3">
        <v>0</v>
      </c>
      <c r="G17" s="3">
        <v>0</v>
      </c>
      <c r="H17" s="3">
        <v>1.0272073E-4</v>
      </c>
      <c r="I17" s="3">
        <v>2.3176527000000001E-5</v>
      </c>
      <c r="J17" s="3">
        <v>-2.6544246000000002E-4</v>
      </c>
      <c r="L17" s="3">
        <f t="shared" si="0"/>
        <v>0.14765559819789756</v>
      </c>
      <c r="M17" s="3"/>
      <c r="N17" s="2">
        <f>IF('Modell einstellen'!$B$1="Voll",H17/0.35,H17/0.35*2)</f>
        <v>2.9348780000000005E-4</v>
      </c>
      <c r="O17" s="2">
        <f>IF('Modell einstellen'!$B$1="Voll",J17/0.35,J17/0.35*2)</f>
        <v>-7.5840702857142865E-4</v>
      </c>
      <c r="P17" s="3">
        <f t="shared" si="1"/>
        <v>0.38697927226864914</v>
      </c>
    </row>
    <row r="18" spans="1:16" x14ac:dyDescent="0.25">
      <c r="A18" s="3">
        <v>1</v>
      </c>
      <c r="B18" s="3">
        <v>8.6139999999999999E-5</v>
      </c>
      <c r="C18" s="3">
        <v>2.1880000000000001E-4</v>
      </c>
      <c r="D18" s="3">
        <v>-6.0530000000000002E-4</v>
      </c>
      <c r="E18" s="3">
        <v>0</v>
      </c>
      <c r="F18" s="3">
        <v>0</v>
      </c>
      <c r="G18" s="3">
        <v>0</v>
      </c>
      <c r="H18" s="3">
        <v>1.0739275E-4</v>
      </c>
      <c r="I18" s="3">
        <v>2.3933487000000002E-5</v>
      </c>
      <c r="J18" s="3">
        <v>-2.7326219999999999E-4</v>
      </c>
      <c r="L18" s="3">
        <f t="shared" si="0"/>
        <v>0.14230959854617545</v>
      </c>
      <c r="M18" s="3"/>
      <c r="N18" s="2">
        <f>IF('Modell einstellen'!$B$1="Voll",H18/0.35,H18/0.35*2)</f>
        <v>3.0683642857142862E-4</v>
      </c>
      <c r="O18" s="2">
        <f>IF('Modell einstellen'!$B$1="Voll",J18/0.35,J18/0.35*2)</f>
        <v>-7.8074914285714285E-4</v>
      </c>
      <c r="P18" s="3">
        <f t="shared" si="1"/>
        <v>0.39300258140350192</v>
      </c>
    </row>
    <row r="19" spans="1:16" x14ac:dyDescent="0.25">
      <c r="A19" s="3">
        <v>10</v>
      </c>
      <c r="B19" s="3">
        <v>8.3109999999999995E-5</v>
      </c>
      <c r="C19" s="3">
        <v>2.252E-4</v>
      </c>
      <c r="D19" s="3">
        <v>-6.11E-4</v>
      </c>
      <c r="E19" s="3">
        <v>0</v>
      </c>
      <c r="F19" s="3">
        <v>0</v>
      </c>
      <c r="G19" s="3">
        <v>0</v>
      </c>
      <c r="H19" s="3">
        <v>1.1255491E-4</v>
      </c>
      <c r="I19" s="3">
        <v>2.4751402E-5</v>
      </c>
      <c r="J19" s="3">
        <v>-2.8181301000000002E-4</v>
      </c>
      <c r="L19" s="3">
        <f t="shared" si="0"/>
        <v>0.13602291325695581</v>
      </c>
      <c r="M19" s="3"/>
      <c r="N19" s="2">
        <f>IF('Modell einstellen'!$B$1="Voll",H19/0.35,H19/0.35*2)</f>
        <v>3.215854571428572E-4</v>
      </c>
      <c r="O19" s="2">
        <f>IF('Modell einstellen'!$B$1="Voll",J19/0.35,J19/0.35*2)</f>
        <v>-8.0518002857142871E-4</v>
      </c>
      <c r="P19" s="3">
        <f t="shared" si="1"/>
        <v>0.39939571987822703</v>
      </c>
    </row>
    <row r="20" spans="1:16" x14ac:dyDescent="0.25">
      <c r="A20" s="3">
        <v>100</v>
      </c>
      <c r="B20" s="3">
        <v>7.9820000000000005E-5</v>
      </c>
      <c r="C20" s="3">
        <v>2.3220000000000001E-4</v>
      </c>
      <c r="D20" s="3">
        <v>-6.1689999999999998E-4</v>
      </c>
      <c r="E20" s="3">
        <v>0</v>
      </c>
      <c r="F20" s="3">
        <v>0</v>
      </c>
      <c r="G20" s="3">
        <v>0</v>
      </c>
      <c r="H20" s="3">
        <v>1.1787978E-4</v>
      </c>
      <c r="I20" s="3">
        <v>2.5645718999999999E-5</v>
      </c>
      <c r="J20" s="3">
        <v>-2.9074116999999998E-4</v>
      </c>
      <c r="L20" s="3">
        <f t="shared" si="0"/>
        <v>0.12938887988328743</v>
      </c>
      <c r="M20" s="3"/>
      <c r="N20" s="2">
        <f>IF('Modell einstellen'!$B$1="Voll",H20/0.35,H20/0.35*2)</f>
        <v>3.3679937142857148E-4</v>
      </c>
      <c r="O20" s="2">
        <f>IF('Modell einstellen'!$B$1="Voll",J20/0.35,J20/0.35*2)</f>
        <v>-8.3068905714285719E-4</v>
      </c>
      <c r="P20" s="3">
        <f t="shared" si="1"/>
        <v>0.40544577845648766</v>
      </c>
    </row>
    <row r="21" spans="1:16" x14ac:dyDescent="0.25">
      <c r="A21" s="3">
        <v>1000</v>
      </c>
      <c r="B21" s="3">
        <v>7.7789999999999999E-5</v>
      </c>
      <c r="C21" s="3">
        <v>2.4469999999999998E-4</v>
      </c>
      <c r="D21" s="3">
        <v>-6.2859999999999999E-4</v>
      </c>
      <c r="E21" s="3">
        <v>0</v>
      </c>
      <c r="F21" s="3">
        <v>0</v>
      </c>
      <c r="G21" s="3">
        <v>0</v>
      </c>
      <c r="H21" s="3">
        <v>1.2393308000000001E-4</v>
      </c>
      <c r="I21" s="3">
        <v>2.7201287000000001E-5</v>
      </c>
      <c r="J21" s="3">
        <v>-3.0241048000000001E-4</v>
      </c>
      <c r="L21" s="3">
        <f t="shared" si="0"/>
        <v>0.1237511931275851</v>
      </c>
      <c r="M21" s="3"/>
      <c r="N21" s="2">
        <f>IF('Modell einstellen'!$B$1="Voll",H21/0.35,H21/0.35*2)</f>
        <v>3.5409451428571433E-4</v>
      </c>
      <c r="O21" s="2">
        <f>IF('Modell einstellen'!$B$1="Voll",J21/0.35,J21/0.35*2)</f>
        <v>-8.6402994285714294E-4</v>
      </c>
      <c r="P21" s="3">
        <f t="shared" si="1"/>
        <v>0.40981741108972153</v>
      </c>
    </row>
    <row r="22" spans="1:16" x14ac:dyDescent="0.25">
      <c r="A22" s="3">
        <v>10000</v>
      </c>
      <c r="B22" s="3">
        <v>8.0320000000000003E-5</v>
      </c>
      <c r="C22" s="3">
        <v>2.721E-4</v>
      </c>
      <c r="D22" s="3">
        <v>-6.5720000000000004E-4</v>
      </c>
      <c r="E22" s="3">
        <v>0</v>
      </c>
      <c r="F22" s="3">
        <v>0</v>
      </c>
      <c r="G22" s="3">
        <v>0</v>
      </c>
      <c r="H22" s="3">
        <v>1.3165635E-4</v>
      </c>
      <c r="I22" s="3">
        <v>3.055943E-5</v>
      </c>
      <c r="J22" s="3">
        <v>-3.2128613999999998E-4</v>
      </c>
      <c r="L22" s="3">
        <f t="shared" si="0"/>
        <v>0.12221545952525867</v>
      </c>
      <c r="M22" s="3"/>
      <c r="N22" s="2">
        <f>IF('Modell einstellen'!$B$1="Voll",H22/0.35,H22/0.35*2)</f>
        <v>3.7616100000000002E-4</v>
      </c>
      <c r="O22" s="2">
        <f>IF('Modell einstellen'!$B$1="Voll",J22/0.35,J22/0.35*2)</f>
        <v>-9.1796040000000003E-4</v>
      </c>
      <c r="P22" s="3">
        <f t="shared" si="1"/>
        <v>0.40977911465461908</v>
      </c>
    </row>
    <row r="23" spans="1:16" x14ac:dyDescent="0.25">
      <c r="A23" s="3">
        <v>100000</v>
      </c>
      <c r="B23" s="3">
        <v>8.7390000000000002E-5</v>
      </c>
      <c r="C23" s="3">
        <v>3.1129999999999998E-4</v>
      </c>
      <c r="D23" s="3">
        <v>-7.0029999999999995E-4</v>
      </c>
      <c r="E23" s="3">
        <v>0</v>
      </c>
      <c r="F23" s="3">
        <v>0</v>
      </c>
      <c r="G23" s="3">
        <v>0</v>
      </c>
      <c r="H23" s="3">
        <v>1.4079831000000001E-4</v>
      </c>
      <c r="I23" s="3">
        <v>3.5380185000000003E-5</v>
      </c>
      <c r="J23" s="3">
        <v>-3.4624234000000002E-4</v>
      </c>
      <c r="L23" s="3">
        <f t="shared" si="0"/>
        <v>0.12478937598172213</v>
      </c>
      <c r="M23" s="3"/>
      <c r="N23" s="2">
        <f>IF('Modell einstellen'!$B$1="Voll",H23/0.35,H23/0.35*2)</f>
        <v>4.0228088571428575E-4</v>
      </c>
      <c r="O23" s="2">
        <f>IF('Modell einstellen'!$B$1="Voll",J23/0.35,J23/0.35*2)</f>
        <v>-9.8926382857142869E-4</v>
      </c>
      <c r="P23" s="3">
        <f t="shared" si="1"/>
        <v>0.40664671455258761</v>
      </c>
    </row>
    <row r="24" spans="1:16" x14ac:dyDescent="0.25">
      <c r="A24" s="3">
        <v>1000000</v>
      </c>
      <c r="B24" s="3">
        <v>9.4430000000000002E-5</v>
      </c>
      <c r="C24" s="3">
        <v>3.501E-4</v>
      </c>
      <c r="D24" s="3">
        <v>-7.4330000000000002E-4</v>
      </c>
      <c r="E24" s="3">
        <v>0</v>
      </c>
      <c r="F24" s="3">
        <v>0</v>
      </c>
      <c r="G24" s="3">
        <v>0</v>
      </c>
      <c r="H24" s="3">
        <v>1.4962828999999999E-4</v>
      </c>
      <c r="I24" s="3">
        <v>4.0248442000000001E-5</v>
      </c>
      <c r="J24" s="3">
        <v>-3.7113248000000002E-4</v>
      </c>
      <c r="L24" s="3">
        <f t="shared" si="0"/>
        <v>0.12704157137091349</v>
      </c>
      <c r="M24" s="3"/>
      <c r="N24" s="2">
        <f>IF('Modell einstellen'!$B$1="Voll",H24/0.35,H24/0.35*2)</f>
        <v>4.2750939999999999E-4</v>
      </c>
      <c r="O24" s="2">
        <f>IF('Modell einstellen'!$B$1="Voll",J24/0.35,J24/0.35*2)</f>
        <v>-1.0603785142857143E-3</v>
      </c>
      <c r="P24" s="3">
        <f t="shared" si="1"/>
        <v>0.40316678831235681</v>
      </c>
    </row>
    <row r="25" spans="1:16" x14ac:dyDescent="0.25">
      <c r="A25" s="3">
        <v>10000000</v>
      </c>
      <c r="B25" s="3">
        <v>1.002E-4</v>
      </c>
      <c r="C25" s="3">
        <v>3.836E-4</v>
      </c>
      <c r="D25" s="3">
        <v>-7.8080000000000001E-4</v>
      </c>
      <c r="E25" s="3">
        <v>0</v>
      </c>
      <c r="F25" s="3">
        <v>0</v>
      </c>
      <c r="G25" s="3">
        <v>0</v>
      </c>
      <c r="H25" s="3">
        <v>1.5814051E-4</v>
      </c>
      <c r="I25" s="3">
        <v>4.4549606000000001E-5</v>
      </c>
      <c r="J25" s="3">
        <v>-3.9404224000000001E-4</v>
      </c>
      <c r="L25" s="3">
        <f t="shared" si="0"/>
        <v>0.12832991803278687</v>
      </c>
      <c r="M25" s="3"/>
      <c r="N25" s="2">
        <f>IF('Modell einstellen'!$B$1="Voll",H25/0.35,H25/0.35*2)</f>
        <v>4.518300285714286E-4</v>
      </c>
      <c r="O25" s="2">
        <f>IF('Modell einstellen'!$B$1="Voll",J25/0.35,J25/0.35*2)</f>
        <v>-1.1258349714285715E-3</v>
      </c>
      <c r="P25" s="3">
        <f t="shared" si="1"/>
        <v>0.4013288270820915</v>
      </c>
    </row>
    <row r="26" spans="1:16" x14ac:dyDescent="0.25">
      <c r="A26" s="3">
        <v>100000000</v>
      </c>
      <c r="B26" s="3">
        <v>1.02E-4</v>
      </c>
      <c r="C26" s="3">
        <v>4.1389999999999998E-4</v>
      </c>
      <c r="D26" s="3">
        <v>-8.1269999999999997E-4</v>
      </c>
      <c r="E26" s="3">
        <v>0</v>
      </c>
      <c r="F26" s="3">
        <v>0</v>
      </c>
      <c r="G26" s="3">
        <v>0</v>
      </c>
      <c r="H26" s="3">
        <v>1.6787633E-4</v>
      </c>
      <c r="I26" s="3">
        <v>4.8578407000000001E-5</v>
      </c>
      <c r="J26" s="3">
        <v>-4.1763719E-4</v>
      </c>
      <c r="L26" s="3">
        <f t="shared" si="0"/>
        <v>0.12550756736803248</v>
      </c>
      <c r="M26" s="3"/>
      <c r="N26" s="2">
        <f>IF('Modell einstellen'!$B$1="Voll",H26/0.35,H26/0.35*2)</f>
        <v>4.7964665714285719E-4</v>
      </c>
      <c r="O26" s="2">
        <f>IF('Modell einstellen'!$B$1="Voll",J26/0.35,J26/0.35*2)</f>
        <v>-1.1932491142857143E-3</v>
      </c>
      <c r="P26" s="3">
        <f t="shared" si="1"/>
        <v>0.40196690816734976</v>
      </c>
    </row>
    <row r="27" spans="1:16" x14ac:dyDescent="0.25">
      <c r="A27" s="3">
        <v>1000000000</v>
      </c>
      <c r="B27" s="3">
        <v>1.002E-4</v>
      </c>
      <c r="C27" s="3">
        <v>4.4109999999999999E-4</v>
      </c>
      <c r="D27" s="3">
        <v>-8.3869999999999995E-4</v>
      </c>
      <c r="E27" s="3">
        <v>0</v>
      </c>
      <c r="F27" s="3">
        <v>0</v>
      </c>
      <c r="G27" s="3">
        <v>0</v>
      </c>
      <c r="H27" s="3">
        <v>1.7806184999999999E-4</v>
      </c>
      <c r="I27" s="3">
        <v>5.2298288999999997E-5</v>
      </c>
      <c r="J27" s="3">
        <v>-4.4086806E-4</v>
      </c>
      <c r="L27" s="3">
        <f t="shared" si="0"/>
        <v>0.11947060927626088</v>
      </c>
      <c r="M27" s="3"/>
      <c r="N27" s="2">
        <f>IF('Modell einstellen'!$B$1="Voll",H27/0.35,H27/0.35*2)</f>
        <v>5.0874814285714284E-4</v>
      </c>
      <c r="O27" s="2">
        <f>IF('Modell einstellen'!$B$1="Voll",J27/0.35,J27/0.35*2)</f>
        <v>-1.2596230285714287E-3</v>
      </c>
      <c r="P27" s="3">
        <f t="shared" si="1"/>
        <v>0.40388920440278658</v>
      </c>
    </row>
    <row r="28" spans="1:16" x14ac:dyDescent="0.25">
      <c r="A28" s="3">
        <v>10000000000</v>
      </c>
      <c r="B28" s="3">
        <v>9.2930000000000006E-5</v>
      </c>
      <c r="C28" s="3">
        <v>4.6779999999999999E-4</v>
      </c>
      <c r="D28" s="3">
        <v>-8.5959999999999997E-4</v>
      </c>
      <c r="E28" s="3">
        <v>0</v>
      </c>
      <c r="F28" s="3">
        <v>0</v>
      </c>
      <c r="G28" s="3">
        <v>0</v>
      </c>
      <c r="H28" s="3">
        <v>1.895449E-4</v>
      </c>
      <c r="I28" s="3">
        <v>5.6077069999999997E-5</v>
      </c>
      <c r="J28" s="3">
        <v>-4.6584391000000001E-4</v>
      </c>
      <c r="L28" s="3">
        <f t="shared" si="0"/>
        <v>0.10810842252210331</v>
      </c>
      <c r="M28" s="3"/>
      <c r="N28" s="2">
        <f>IF('Modell einstellen'!$B$1="Voll",H28/0.35,H28/0.35*2)</f>
        <v>5.4155685714285713E-4</v>
      </c>
      <c r="O28" s="2">
        <f>IF('Modell einstellen'!$B$1="Voll",J28/0.35,J28/0.35*2)</f>
        <v>-1.3309826000000001E-3</v>
      </c>
      <c r="P28" s="3">
        <f t="shared" si="1"/>
        <v>0.40688500145896506</v>
      </c>
    </row>
    <row r="29" spans="1:16" x14ac:dyDescent="0.25">
      <c r="A29" s="3">
        <v>100000000000</v>
      </c>
      <c r="B29" s="3">
        <v>7.627E-5</v>
      </c>
      <c r="C29" s="3">
        <v>4.9540000000000001E-4</v>
      </c>
      <c r="D29" s="3">
        <v>-8.7259999999999996E-4</v>
      </c>
      <c r="E29" s="3">
        <v>0</v>
      </c>
      <c r="F29" s="3">
        <v>0</v>
      </c>
      <c r="G29" s="3">
        <v>0</v>
      </c>
      <c r="H29" s="3">
        <v>2.0242649000000001E-4</v>
      </c>
      <c r="I29" s="3">
        <v>6.0094855000000003E-5</v>
      </c>
      <c r="J29" s="3">
        <v>-4.9324331000000004E-4</v>
      </c>
      <c r="L29" s="3">
        <f t="shared" si="0"/>
        <v>8.7405454962181994E-2</v>
      </c>
      <c r="M29" s="3"/>
      <c r="N29" s="2">
        <f>IF('Modell einstellen'!$B$1="Voll",H29/0.35,H29/0.35*2)</f>
        <v>5.7836140000000003E-4</v>
      </c>
      <c r="O29" s="2">
        <f>IF('Modell einstellen'!$B$1="Voll",J29/0.35,J29/0.35*2)</f>
        <v>-1.4092666000000002E-3</v>
      </c>
      <c r="P29" s="3">
        <f t="shared" si="1"/>
        <v>0.41039885568848361</v>
      </c>
    </row>
    <row r="30" spans="1:16" x14ac:dyDescent="0.25">
      <c r="A30" s="3">
        <v>1000000000000</v>
      </c>
      <c r="B30" s="3">
        <v>5.257E-5</v>
      </c>
      <c r="C30" s="3">
        <v>5.3050000000000005E-4</v>
      </c>
      <c r="D30" s="3">
        <v>-8.8670000000000003E-4</v>
      </c>
      <c r="E30" s="3">
        <v>0</v>
      </c>
      <c r="F30" s="3">
        <v>0</v>
      </c>
      <c r="G30" s="3">
        <v>0</v>
      </c>
      <c r="H30" s="3">
        <v>2.1961901000000001E-4</v>
      </c>
      <c r="I30" s="3">
        <v>6.5283808999999998E-5</v>
      </c>
      <c r="J30" s="3">
        <v>-5.2929726999999998E-4</v>
      </c>
      <c r="L30" s="3">
        <f t="shared" si="0"/>
        <v>5.9287244840419528E-2</v>
      </c>
      <c r="M30" s="3"/>
      <c r="N30" s="2">
        <f>IF('Modell einstellen'!$B$1="Voll",H30/0.35,H30/0.35*2)</f>
        <v>6.2748288571428583E-4</v>
      </c>
      <c r="O30" s="2">
        <f>IF('Modell einstellen'!$B$1="Voll",J30/0.35,J30/0.35*2)</f>
        <v>-1.5122779142857142E-3</v>
      </c>
      <c r="P30" s="3">
        <f t="shared" si="1"/>
        <v>0.41492564282449457</v>
      </c>
    </row>
    <row r="31" spans="1:16" x14ac:dyDescent="0.25">
      <c r="A31" s="3">
        <v>10000000000000</v>
      </c>
      <c r="B31" s="3">
        <v>1.1430000000000001E-5</v>
      </c>
      <c r="C31" s="3">
        <v>5.7070000000000005E-4</v>
      </c>
      <c r="D31" s="3">
        <v>-8.8909999999999998E-4</v>
      </c>
      <c r="E31" s="3">
        <v>0</v>
      </c>
      <c r="F31" s="3">
        <v>0</v>
      </c>
      <c r="G31" s="3">
        <v>0</v>
      </c>
      <c r="H31" s="3">
        <v>2.4078372E-4</v>
      </c>
      <c r="I31" s="3">
        <v>7.1471758999999997E-5</v>
      </c>
      <c r="J31" s="3">
        <v>-5.7303024E-4</v>
      </c>
      <c r="L31" s="3">
        <f t="shared" si="0"/>
        <v>1.2855696772016647E-2</v>
      </c>
      <c r="M31" s="3"/>
      <c r="N31" s="2">
        <f>IF('Modell einstellen'!$B$1="Voll",H31/0.35,H31/0.35*2)</f>
        <v>6.8795348571428579E-4</v>
      </c>
      <c r="O31" s="2">
        <f>IF('Modell einstellen'!$B$1="Voll",J31/0.35,J31/0.35*2)</f>
        <v>-1.6372292571428572E-3</v>
      </c>
      <c r="P31" s="3">
        <f t="shared" si="1"/>
        <v>0.42019374056070763</v>
      </c>
    </row>
    <row r="32" spans="1:16" x14ac:dyDescent="0.25">
      <c r="A32" s="3">
        <v>100000000000000</v>
      </c>
      <c r="B32" s="3">
        <v>-5.2630000000000003E-5</v>
      </c>
      <c r="C32" s="3">
        <v>6.2339999999999997E-4</v>
      </c>
      <c r="D32" s="3">
        <v>-8.8190000000000002E-4</v>
      </c>
      <c r="E32" s="3">
        <v>0</v>
      </c>
      <c r="F32" s="3">
        <v>0</v>
      </c>
      <c r="G32" s="3">
        <v>0</v>
      </c>
      <c r="H32" s="3">
        <v>2.6960605E-4</v>
      </c>
      <c r="I32" s="3">
        <v>7.9784727999999999E-5</v>
      </c>
      <c r="J32" s="3">
        <v>-6.3221532000000001E-4</v>
      </c>
      <c r="L32" s="3">
        <f t="shared" si="0"/>
        <v>-5.9677968023585444E-2</v>
      </c>
      <c r="M32" s="3"/>
      <c r="N32" s="2">
        <f>IF('Modell einstellen'!$B$1="Voll",H32/0.35,H32/0.35*2)</f>
        <v>7.7030300000000007E-4</v>
      </c>
      <c r="O32" s="2">
        <f>IF('Modell einstellen'!$B$1="Voll",J32/0.35,J32/0.35*2)</f>
        <v>-1.8063294857142858E-3</v>
      </c>
      <c r="P32" s="3">
        <f t="shared" si="1"/>
        <v>0.4264465625413823</v>
      </c>
    </row>
    <row r="33" spans="1:16" x14ac:dyDescent="0.25">
      <c r="A33" s="3">
        <v>1000000000000000</v>
      </c>
      <c r="B33" s="3">
        <v>-1.5200000000000001E-4</v>
      </c>
      <c r="C33" s="3">
        <v>6.9640000000000001E-4</v>
      </c>
      <c r="D33" s="3">
        <v>-8.6039999999999999E-4</v>
      </c>
      <c r="E33" s="3">
        <v>0</v>
      </c>
      <c r="F33" s="3">
        <v>0</v>
      </c>
      <c r="G33" s="3">
        <v>0</v>
      </c>
      <c r="H33" s="3">
        <v>3.1094318999999999E-4</v>
      </c>
      <c r="I33" s="3">
        <v>9.1547810999999995E-5</v>
      </c>
      <c r="J33" s="3">
        <v>-7.1653291000000003E-4</v>
      </c>
      <c r="L33" s="3">
        <f t="shared" si="0"/>
        <v>-0.17666201766620176</v>
      </c>
      <c r="M33" s="3"/>
      <c r="N33" s="2">
        <f>IF('Modell einstellen'!$B$1="Voll",H33/0.35,H33/0.35*2)</f>
        <v>8.884091142857143E-4</v>
      </c>
      <c r="O33" s="2">
        <f>IF('Modell einstellen'!$B$1="Voll",J33/0.35,J33/0.35*2)</f>
        <v>-2.0472368857142858E-3</v>
      </c>
      <c r="P33" s="3">
        <f t="shared" si="1"/>
        <v>0.433955210794156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9.4270000000000004E-5</v>
      </c>
      <c r="C3" s="3">
        <v>1.839E-4</v>
      </c>
      <c r="D3" s="3">
        <v>-5.643E-4</v>
      </c>
      <c r="E3" s="3">
        <v>0</v>
      </c>
      <c r="F3" s="3">
        <v>0</v>
      </c>
      <c r="G3" s="3">
        <v>0</v>
      </c>
      <c r="H3" s="3">
        <v>8.1984952999999993E-5</v>
      </c>
      <c r="I3" s="3">
        <v>1.9620347000000001E-5</v>
      </c>
      <c r="J3" s="3">
        <v>-2.2972688000000001E-4</v>
      </c>
      <c r="K3" s="3"/>
      <c r="L3" s="3">
        <f>-B3/D3</f>
        <v>0.16705653021442496</v>
      </c>
      <c r="M3" s="3"/>
      <c r="N3" s="2">
        <f>IF('Modell einstellen'!$B$1="Voll",H3/0.35,H3/0.35*2)</f>
        <v>2.3424272285714286E-4</v>
      </c>
      <c r="O3" s="2">
        <f>IF('Modell einstellen'!$B$1="Voll",J3/0.35,J3/0.35*2)</f>
        <v>-6.5636251428571434E-4</v>
      </c>
      <c r="P3" s="3">
        <f>-N3/O3</f>
        <v>0.35688010475744064</v>
      </c>
      <c r="Q3" s="3"/>
      <c r="R3" s="3"/>
      <c r="S3" s="3"/>
      <c r="T3" s="3"/>
      <c r="U3" s="3"/>
    </row>
    <row r="4" spans="1:21" x14ac:dyDescent="0.25">
      <c r="A4" s="3">
        <v>1E-14</v>
      </c>
      <c r="B4" s="3">
        <v>9.4270000000000004E-5</v>
      </c>
      <c r="C4" s="3">
        <v>1.839E-4</v>
      </c>
      <c r="D4" s="3">
        <v>-5.643E-4</v>
      </c>
      <c r="E4" s="3">
        <v>0</v>
      </c>
      <c r="F4" s="3">
        <v>0</v>
      </c>
      <c r="G4" s="3">
        <v>0</v>
      </c>
      <c r="H4" s="3">
        <v>8.1987362000000003E-5</v>
      </c>
      <c r="I4" s="3">
        <v>1.9620921000000001E-5</v>
      </c>
      <c r="J4" s="3">
        <v>-2.2972296000000001E-4</v>
      </c>
      <c r="K4" s="3"/>
      <c r="L4" s="3">
        <f t="shared" ref="L4:L33" si="0">-B4/D4</f>
        <v>0.16705653021442496</v>
      </c>
      <c r="M4" s="3"/>
      <c r="N4" s="2">
        <f>IF('Modell einstellen'!$B$1="Voll",H4/0.35,H4/0.35*2)</f>
        <v>2.3424960571428574E-4</v>
      </c>
      <c r="O4" s="2">
        <f>IF('Modell einstellen'!$B$1="Voll",J4/0.35,J4/0.35*2)</f>
        <v>-6.5635131428571432E-4</v>
      </c>
      <c r="P4" s="3">
        <f t="shared" ref="P4:P33" si="1">-N4/O4</f>
        <v>0.35689668111537481</v>
      </c>
      <c r="Q4" s="3"/>
      <c r="R4" s="3"/>
      <c r="S4" s="3"/>
      <c r="T4" s="3"/>
      <c r="U4" s="3"/>
    </row>
    <row r="5" spans="1:21" x14ac:dyDescent="0.25">
      <c r="A5" s="3">
        <v>1E-13</v>
      </c>
      <c r="B5" s="3">
        <v>9.4270000000000004E-5</v>
      </c>
      <c r="C5" s="3">
        <v>1.839E-4</v>
      </c>
      <c r="D5" s="3">
        <v>-5.643E-4</v>
      </c>
      <c r="E5" s="3">
        <v>0</v>
      </c>
      <c r="F5" s="3">
        <v>0</v>
      </c>
      <c r="G5" s="3">
        <v>0</v>
      </c>
      <c r="H5" s="3">
        <v>8.1988794999999996E-5</v>
      </c>
      <c r="I5" s="3">
        <v>1.9621262000000001E-5</v>
      </c>
      <c r="J5" s="3">
        <v>-2.2972579E-4</v>
      </c>
      <c r="K5" s="3"/>
      <c r="L5" s="3">
        <f t="shared" si="0"/>
        <v>0.16705653021442496</v>
      </c>
      <c r="M5" s="3"/>
      <c r="N5" s="2">
        <f>IF('Modell einstellen'!$B$1="Voll",H5/0.35,H5/0.35*2)</f>
        <v>2.3425370000000002E-4</v>
      </c>
      <c r="O5" s="2">
        <f>IF('Modell einstellen'!$B$1="Voll",J5/0.35,J5/0.35*2)</f>
        <v>-6.5635940000000005E-4</v>
      </c>
      <c r="P5" s="3">
        <f t="shared" si="1"/>
        <v>0.3568985223644241</v>
      </c>
      <c r="Q5" s="3"/>
      <c r="R5" s="3"/>
      <c r="S5" s="3"/>
      <c r="T5" s="3"/>
      <c r="U5" s="3"/>
    </row>
    <row r="6" spans="1:21" x14ac:dyDescent="0.25">
      <c r="A6" s="3">
        <v>9.9999999999999998E-13</v>
      </c>
      <c r="B6" s="3">
        <v>9.4270000000000004E-5</v>
      </c>
      <c r="C6" s="3">
        <v>1.839E-4</v>
      </c>
      <c r="D6" s="3">
        <v>-5.643E-4</v>
      </c>
      <c r="E6" s="3">
        <v>0</v>
      </c>
      <c r="F6" s="3">
        <v>0</v>
      </c>
      <c r="G6" s="3">
        <v>0</v>
      </c>
      <c r="H6" s="3">
        <v>8.2000125999999999E-5</v>
      </c>
      <c r="I6" s="3">
        <v>1.9623338999999999E-5</v>
      </c>
      <c r="J6" s="3">
        <v>-2.2974589E-4</v>
      </c>
      <c r="K6" s="3"/>
      <c r="L6" s="3">
        <f t="shared" si="0"/>
        <v>0.16705653021442496</v>
      </c>
      <c r="M6" s="3"/>
      <c r="N6" s="2">
        <f>IF('Modell einstellen'!$B$1="Voll",H6/0.35,H6/0.35*2)</f>
        <v>2.342860742857143E-4</v>
      </c>
      <c r="O6" s="2">
        <f>IF('Modell einstellen'!$B$1="Voll",J6/0.35,J6/0.35*2)</f>
        <v>-6.5641682857142864E-4</v>
      </c>
      <c r="P6" s="3">
        <f t="shared" si="1"/>
        <v>0.35691661774667655</v>
      </c>
      <c r="Q6" s="3"/>
      <c r="R6" s="3"/>
      <c r="S6" s="3"/>
      <c r="T6" s="3"/>
      <c r="U6" s="3"/>
    </row>
    <row r="7" spans="1:21" x14ac:dyDescent="0.25">
      <c r="A7" s="3">
        <v>9.9999999999999994E-12</v>
      </c>
      <c r="B7" s="3">
        <v>9.4240000000000006E-5</v>
      </c>
      <c r="C7" s="3">
        <v>1.841E-4</v>
      </c>
      <c r="D7" s="3">
        <v>-5.6450000000000001E-4</v>
      </c>
      <c r="E7" s="3">
        <v>0</v>
      </c>
      <c r="F7" s="3">
        <v>0</v>
      </c>
      <c r="G7" s="3">
        <v>0</v>
      </c>
      <c r="H7" s="3">
        <v>8.2109698999999995E-5</v>
      </c>
      <c r="I7" s="3">
        <v>1.9643254E-5</v>
      </c>
      <c r="J7" s="3">
        <v>-2.2993964000000001E-4</v>
      </c>
      <c r="K7" s="3"/>
      <c r="L7" s="3">
        <f t="shared" si="0"/>
        <v>0.16694419840566874</v>
      </c>
      <c r="M7" s="3"/>
      <c r="N7" s="2">
        <f>IF('Modell einstellen'!$B$1="Voll",H7/0.35,H7/0.35*2)</f>
        <v>2.3459914E-4</v>
      </c>
      <c r="O7" s="2">
        <f>IF('Modell einstellen'!$B$1="Voll",J7/0.35,J7/0.35*2)</f>
        <v>-6.5697040000000013E-4</v>
      </c>
      <c r="P7" s="3">
        <f t="shared" si="1"/>
        <v>0.3570924047719653</v>
      </c>
      <c r="Q7" s="3"/>
      <c r="R7" s="3"/>
      <c r="S7" s="3"/>
      <c r="T7" s="3"/>
      <c r="U7" s="3"/>
    </row>
    <row r="8" spans="1:21" x14ac:dyDescent="0.25">
      <c r="A8" s="3">
        <v>1E-10</v>
      </c>
      <c r="B8" s="3">
        <v>9.3960000000000002E-5</v>
      </c>
      <c r="C8" s="3">
        <v>1.8540000000000001E-4</v>
      </c>
      <c r="D8" s="3">
        <v>-5.6630000000000005E-4</v>
      </c>
      <c r="E8" s="3">
        <v>0</v>
      </c>
      <c r="F8" s="3">
        <v>0</v>
      </c>
      <c r="G8" s="3">
        <v>0</v>
      </c>
      <c r="H8" s="3">
        <v>8.3063505000000002E-5</v>
      </c>
      <c r="I8" s="3">
        <v>1.9816264E-5</v>
      </c>
      <c r="J8" s="3">
        <v>-2.316246E-4</v>
      </c>
      <c r="K8" s="3"/>
      <c r="L8" s="3">
        <f t="shared" si="0"/>
        <v>0.16591912413914886</v>
      </c>
      <c r="M8" s="3"/>
      <c r="N8" s="2">
        <f>IF('Modell einstellen'!$B$1="Voll",H8/0.35,H8/0.35*2)</f>
        <v>2.3732430000000001E-4</v>
      </c>
      <c r="O8" s="2">
        <f>IF('Modell einstellen'!$B$1="Voll",J8/0.35,J8/0.35*2)</f>
        <v>-6.6178457142857146E-4</v>
      </c>
      <c r="P8" s="3">
        <f t="shared" si="1"/>
        <v>0.35861262145730638</v>
      </c>
      <c r="Q8" s="3"/>
      <c r="R8" s="3"/>
      <c r="S8" s="3"/>
      <c r="T8" s="3"/>
      <c r="U8" s="3"/>
    </row>
    <row r="9" spans="1:21" x14ac:dyDescent="0.25">
      <c r="A9" s="3">
        <v>1.0000000000000001E-9</v>
      </c>
      <c r="B9" s="3">
        <v>9.3999999999999994E-5</v>
      </c>
      <c r="C9" s="3">
        <v>1.9110000000000001E-4</v>
      </c>
      <c r="D9" s="3">
        <v>-5.7399999999999997E-4</v>
      </c>
      <c r="E9" s="3">
        <v>0</v>
      </c>
      <c r="F9" s="3">
        <v>0</v>
      </c>
      <c r="G9" s="3">
        <v>0</v>
      </c>
      <c r="H9" s="3">
        <v>8.6612844000000006E-5</v>
      </c>
      <c r="I9" s="3">
        <v>2.0483329E-5</v>
      </c>
      <c r="J9" s="3">
        <v>-2.3796004000000001E-4</v>
      </c>
      <c r="K9" s="3"/>
      <c r="L9" s="3">
        <f t="shared" si="0"/>
        <v>0.16376306620209058</v>
      </c>
      <c r="M9" s="3"/>
      <c r="N9" s="2">
        <f>IF('Modell einstellen'!$B$1="Voll",H9/0.35,H9/0.35*2)</f>
        <v>2.474652685714286E-4</v>
      </c>
      <c r="O9" s="2">
        <f>IF('Modell einstellen'!$B$1="Voll",J9/0.35,J9/0.35*2)</f>
        <v>-6.7988582857142867E-4</v>
      </c>
      <c r="P9" s="3">
        <f t="shared" si="1"/>
        <v>0.36398062464605402</v>
      </c>
      <c r="Q9" s="3"/>
      <c r="R9" s="3"/>
      <c r="S9" s="3"/>
      <c r="T9" s="3"/>
      <c r="U9" s="3"/>
    </row>
    <row r="10" spans="1:21" x14ac:dyDescent="0.25">
      <c r="A10" s="3">
        <v>1E-8</v>
      </c>
      <c r="B10" s="3">
        <v>9.357E-5</v>
      </c>
      <c r="C10" s="3">
        <v>1.95E-4</v>
      </c>
      <c r="D10" s="3">
        <v>-5.7899999999999998E-4</v>
      </c>
      <c r="E10" s="3">
        <v>0</v>
      </c>
      <c r="F10" s="3">
        <v>0</v>
      </c>
      <c r="G10" s="3">
        <v>0</v>
      </c>
      <c r="H10" s="3">
        <v>8.9243918000000004E-5</v>
      </c>
      <c r="I10" s="3">
        <v>2.0961572999999999E-5</v>
      </c>
      <c r="J10" s="3">
        <v>-2.4258634000000001E-4</v>
      </c>
      <c r="K10" s="3"/>
      <c r="L10" s="3">
        <f t="shared" si="0"/>
        <v>0.16160621761658031</v>
      </c>
      <c r="M10" s="3"/>
      <c r="N10" s="2">
        <f>IF('Modell einstellen'!$B$1="Voll",H10/0.35,H10/0.35*2)</f>
        <v>2.5498262285714288E-4</v>
      </c>
      <c r="O10" s="2">
        <f>IF('Modell einstellen'!$B$1="Voll",J10/0.35,J10/0.35*2)</f>
        <v>-6.9310382857142863E-4</v>
      </c>
      <c r="P10" s="3">
        <f t="shared" si="1"/>
        <v>0.36788517440841889</v>
      </c>
      <c r="Q10" s="3"/>
      <c r="R10" s="3"/>
      <c r="S10" s="3"/>
      <c r="T10" s="3"/>
      <c r="U10" s="3"/>
    </row>
    <row r="11" spans="1:21" x14ac:dyDescent="0.25">
      <c r="A11" s="3">
        <v>9.9999999999999995E-8</v>
      </c>
      <c r="B11" s="3">
        <v>9.3029999999999995E-5</v>
      </c>
      <c r="C11" s="3">
        <v>1.9870000000000001E-4</v>
      </c>
      <c r="D11" s="3">
        <v>-5.8359999999999998E-4</v>
      </c>
      <c r="E11" s="3">
        <v>0</v>
      </c>
      <c r="F11" s="3">
        <v>0</v>
      </c>
      <c r="G11" s="3">
        <v>0</v>
      </c>
      <c r="H11" s="3">
        <v>9.1737235999999998E-5</v>
      </c>
      <c r="I11" s="3">
        <v>2.140831E-5</v>
      </c>
      <c r="J11" s="3">
        <v>-2.4694141000000002E-4</v>
      </c>
      <c r="K11" s="3"/>
      <c r="L11" s="3">
        <f t="shared" si="0"/>
        <v>0.15940712816997943</v>
      </c>
      <c r="M11" s="3"/>
      <c r="N11" s="2">
        <f>IF('Modell einstellen'!$B$1="Voll",H11/0.35,H11/0.35*2)</f>
        <v>2.6210638857142857E-4</v>
      </c>
      <c r="O11" s="2">
        <f>IF('Modell einstellen'!$B$1="Voll",J11/0.35,J11/0.35*2)</f>
        <v>-7.0554688571428581E-4</v>
      </c>
      <c r="P11" s="3">
        <f t="shared" si="1"/>
        <v>0.37149393453289181</v>
      </c>
      <c r="Q11" s="3"/>
      <c r="R11" s="3"/>
      <c r="S11" s="3"/>
      <c r="T11" s="3"/>
      <c r="U11" s="3"/>
    </row>
    <row r="12" spans="1:21" x14ac:dyDescent="0.25">
      <c r="A12" s="3">
        <v>9.9999999999999995E-7</v>
      </c>
      <c r="B12" s="3">
        <v>9.2239999999999998E-5</v>
      </c>
      <c r="C12" s="3">
        <v>2.03E-4</v>
      </c>
      <c r="D12" s="3">
        <v>-5.8870000000000005E-4</v>
      </c>
      <c r="E12" s="3">
        <v>0</v>
      </c>
      <c r="F12" s="3">
        <v>0</v>
      </c>
      <c r="G12" s="3">
        <v>0</v>
      </c>
      <c r="H12" s="3">
        <v>9.4699802999999999E-5</v>
      </c>
      <c r="I12" s="3">
        <v>2.1930477999999999E-5</v>
      </c>
      <c r="J12" s="3">
        <v>-2.5207767E-4</v>
      </c>
      <c r="K12" s="3"/>
      <c r="L12" s="3">
        <f t="shared" si="0"/>
        <v>0.15668421946662134</v>
      </c>
      <c r="M12" s="3"/>
      <c r="N12" s="2">
        <f>IF('Modell einstellen'!$B$1="Voll",H12/0.35,H12/0.35*2)</f>
        <v>2.7057086571428572E-4</v>
      </c>
      <c r="O12" s="2">
        <f>IF('Modell einstellen'!$B$1="Voll",J12/0.35,J12/0.35*2)</f>
        <v>-7.2022191428571436E-4</v>
      </c>
      <c r="P12" s="3">
        <f t="shared" si="1"/>
        <v>0.37567708000474614</v>
      </c>
      <c r="Q12" s="3"/>
      <c r="R12" s="3"/>
      <c r="S12" s="3"/>
      <c r="T12" s="3"/>
      <c r="U12" s="3"/>
    </row>
    <row r="13" spans="1:21" x14ac:dyDescent="0.25">
      <c r="A13" s="3">
        <v>1.0000000000000001E-5</v>
      </c>
      <c r="B13" s="3">
        <v>9.1139999999999998E-5</v>
      </c>
      <c r="C13" s="3">
        <v>2.075E-4</v>
      </c>
      <c r="D13" s="3">
        <v>-5.9389999999999996E-4</v>
      </c>
      <c r="E13" s="3">
        <v>0</v>
      </c>
      <c r="F13" s="3">
        <v>0</v>
      </c>
      <c r="G13" s="3">
        <v>0</v>
      </c>
      <c r="H13" s="3">
        <v>9.7961513000000003E-5</v>
      </c>
      <c r="I13" s="3">
        <v>2.2494116999999998E-5</v>
      </c>
      <c r="J13" s="3">
        <v>-2.5768277999999999E-4</v>
      </c>
      <c r="K13" s="3"/>
      <c r="L13" s="3">
        <f t="shared" si="0"/>
        <v>0.15346017848122581</v>
      </c>
      <c r="M13" s="3"/>
      <c r="N13" s="2">
        <f>IF('Modell einstellen'!$B$1="Voll",H13/0.35,H13/0.35*2)</f>
        <v>2.7989003714285718E-4</v>
      </c>
      <c r="O13" s="2">
        <f>IF('Modell einstellen'!$B$1="Voll",J13/0.35,J13/0.35*2)</f>
        <v>-7.3623651428571431E-4</v>
      </c>
      <c r="P13" s="3">
        <f t="shared" si="1"/>
        <v>0.38016321075083098</v>
      </c>
      <c r="Q13" s="3"/>
      <c r="R13" s="3"/>
      <c r="S13" s="3"/>
      <c r="T13" s="3"/>
      <c r="U13" s="3"/>
    </row>
    <row r="14" spans="1:21" x14ac:dyDescent="0.25">
      <c r="A14" s="3">
        <v>1E-4</v>
      </c>
      <c r="B14" s="3">
        <v>8.9549999999999995E-5</v>
      </c>
      <c r="C14" s="3">
        <v>2.128E-4</v>
      </c>
      <c r="D14" s="3">
        <v>-5.9960000000000005E-4</v>
      </c>
      <c r="E14" s="3">
        <v>0</v>
      </c>
      <c r="F14" s="3">
        <v>0</v>
      </c>
      <c r="G14" s="3">
        <v>0</v>
      </c>
      <c r="H14" s="3">
        <v>1.0187331E-4</v>
      </c>
      <c r="I14" s="3">
        <v>2.3155398E-5</v>
      </c>
      <c r="J14" s="3">
        <v>-2.6434111000000002E-4</v>
      </c>
      <c r="K14" s="3"/>
      <c r="L14" s="3">
        <f t="shared" si="0"/>
        <v>0.14934956637758504</v>
      </c>
      <c r="M14" s="3"/>
      <c r="N14" s="2">
        <f>IF('Modell einstellen'!$B$1="Voll",H14/0.35,H14/0.35*2)</f>
        <v>2.9106660000000002E-4</v>
      </c>
      <c r="O14" s="2">
        <f>IF('Modell einstellen'!$B$1="Voll",J14/0.35,J14/0.35*2)</f>
        <v>-7.5526031428571443E-4</v>
      </c>
      <c r="P14" s="3">
        <f t="shared" si="1"/>
        <v>0.38538579943165097</v>
      </c>
      <c r="Q14" s="3"/>
      <c r="R14" s="3"/>
      <c r="S14" s="3"/>
      <c r="T14" s="3"/>
      <c r="U14" s="3"/>
    </row>
    <row r="15" spans="1:21" x14ac:dyDescent="0.25">
      <c r="A15" s="3">
        <v>1E-3</v>
      </c>
      <c r="B15" s="3">
        <v>8.7340000000000001E-5</v>
      </c>
      <c r="C15" s="3">
        <v>2.187E-4</v>
      </c>
      <c r="D15" s="3">
        <v>-6.0559999999999998E-4</v>
      </c>
      <c r="E15" s="3">
        <v>0</v>
      </c>
      <c r="F15" s="3">
        <v>0</v>
      </c>
      <c r="G15" s="3">
        <v>0</v>
      </c>
      <c r="H15" s="3">
        <v>1.06412E-4</v>
      </c>
      <c r="I15" s="3">
        <v>2.3902752E-5</v>
      </c>
      <c r="J15" s="3">
        <v>-2.7198047999999999E-4</v>
      </c>
      <c r="K15" s="3"/>
      <c r="L15" s="3">
        <f t="shared" si="0"/>
        <v>0.14422060766182299</v>
      </c>
      <c r="M15" s="3"/>
      <c r="N15" s="2">
        <f>IF('Modell einstellen'!$B$1="Voll",H15/0.35,H15/0.35*2)</f>
        <v>3.0403428571428574E-4</v>
      </c>
      <c r="O15" s="2">
        <f>IF('Modell einstellen'!$B$1="Voll",J15/0.35,J15/0.35*2)</f>
        <v>-7.7708708571428569E-4</v>
      </c>
      <c r="P15" s="3">
        <f t="shared" si="1"/>
        <v>0.39124866608074232</v>
      </c>
      <c r="Q15" s="3"/>
      <c r="R15" s="3"/>
      <c r="S15" s="3"/>
      <c r="T15" s="3"/>
      <c r="U15" s="3"/>
    </row>
    <row r="16" spans="1:21" x14ac:dyDescent="0.25">
      <c r="A16" s="3">
        <v>0.01</v>
      </c>
      <c r="B16" s="3">
        <v>8.4389999999999997E-5</v>
      </c>
      <c r="C16" s="3">
        <v>2.251E-4</v>
      </c>
      <c r="D16" s="3">
        <v>-6.1140000000000001E-4</v>
      </c>
      <c r="E16" s="3">
        <v>0</v>
      </c>
      <c r="F16" s="3">
        <v>0</v>
      </c>
      <c r="G16" s="3">
        <v>0</v>
      </c>
      <c r="H16" s="3">
        <v>1.1151769E-4</v>
      </c>
      <c r="I16" s="3">
        <v>2.4718829000000001E-5</v>
      </c>
      <c r="J16" s="3">
        <v>-2.8046849000000002E-4</v>
      </c>
      <c r="K16" s="3"/>
      <c r="L16" s="3">
        <f t="shared" si="0"/>
        <v>0.13802747791952893</v>
      </c>
      <c r="M16" s="3"/>
      <c r="N16" s="2">
        <f>IF('Modell einstellen'!$B$1="Voll",H16/0.35,H16/0.35*2)</f>
        <v>3.1862197142857148E-4</v>
      </c>
      <c r="O16" s="2">
        <f>IF('Modell einstellen'!$B$1="Voll",J16/0.35,J16/0.35*2)</f>
        <v>-8.0133854285714299E-4</v>
      </c>
      <c r="P16" s="3">
        <f t="shared" si="1"/>
        <v>0.39761218809285848</v>
      </c>
      <c r="Q16" s="3"/>
      <c r="R16" s="3"/>
      <c r="S16" s="3"/>
      <c r="T16" s="3"/>
      <c r="U16" s="3"/>
    </row>
    <row r="17" spans="1:25" x14ac:dyDescent="0.25">
      <c r="A17" s="3">
        <v>0.1</v>
      </c>
      <c r="B17" s="3">
        <v>8.0870000000000003E-5</v>
      </c>
      <c r="C17" s="3">
        <v>2.3139999999999999E-4</v>
      </c>
      <c r="D17" s="3">
        <v>-6.1660000000000003E-4</v>
      </c>
      <c r="E17" s="3">
        <v>0</v>
      </c>
      <c r="F17" s="3">
        <v>0</v>
      </c>
      <c r="G17" s="3">
        <v>0</v>
      </c>
      <c r="H17" s="3">
        <v>1.1678687E-4</v>
      </c>
      <c r="I17" s="3">
        <v>2.5535082E-5</v>
      </c>
      <c r="J17" s="3">
        <v>-2.8911687000000001E-4</v>
      </c>
      <c r="K17" s="3"/>
      <c r="L17" s="3">
        <f t="shared" si="0"/>
        <v>0.13115471942912749</v>
      </c>
      <c r="M17" s="3"/>
      <c r="N17" s="2">
        <f>IF('Modell einstellen'!$B$1="Voll",H17/0.35,H17/0.35*2)</f>
        <v>3.3367677142857145E-4</v>
      </c>
      <c r="O17" s="2">
        <f>IF('Modell einstellen'!$B$1="Voll",J17/0.35,J17/0.35*2)</f>
        <v>-8.2604820000000008E-4</v>
      </c>
      <c r="P17" s="3">
        <f t="shared" si="1"/>
        <v>0.40394346410847626</v>
      </c>
      <c r="Q17" s="3"/>
      <c r="R17" s="3"/>
      <c r="S17" s="3"/>
      <c r="T17" s="3"/>
      <c r="U17" s="3"/>
      <c r="V17" s="3"/>
      <c r="W17" s="3"/>
      <c r="X17" s="3"/>
      <c r="Y17" s="3"/>
    </row>
    <row r="18" spans="1:25" x14ac:dyDescent="0.25">
      <c r="A18" s="3">
        <v>1</v>
      </c>
      <c r="B18" s="3">
        <v>7.6440000000000007E-5</v>
      </c>
      <c r="C18" s="3">
        <v>2.3819999999999999E-4</v>
      </c>
      <c r="D18" s="3">
        <v>-6.2149999999999998E-4</v>
      </c>
      <c r="E18" s="3">
        <v>0</v>
      </c>
      <c r="F18" s="3">
        <v>0</v>
      </c>
      <c r="G18" s="3">
        <v>0</v>
      </c>
      <c r="H18" s="3">
        <v>1.2269808999999999E-4</v>
      </c>
      <c r="I18" s="3">
        <v>2.6428377999999999E-5</v>
      </c>
      <c r="J18" s="3">
        <v>-2.9871558999999999E-4</v>
      </c>
      <c r="K18" s="3"/>
      <c r="L18" s="3">
        <f t="shared" si="0"/>
        <v>0.12299275945293646</v>
      </c>
      <c r="M18" s="3"/>
      <c r="N18" s="2">
        <f>IF('Modell einstellen'!$B$1="Voll",H18/0.35,H18/0.35*2)</f>
        <v>3.5056597142857143E-4</v>
      </c>
      <c r="O18" s="2">
        <f>IF('Modell einstellen'!$B$1="Voll",J18/0.35,J18/0.35*2)</f>
        <v>-8.5347311428571435E-4</v>
      </c>
      <c r="P18" s="3">
        <f t="shared" si="1"/>
        <v>0.41075221417134605</v>
      </c>
      <c r="Q18" s="3"/>
      <c r="R18" s="3"/>
      <c r="S18" s="3"/>
      <c r="T18" s="3"/>
      <c r="U18" s="3"/>
      <c r="V18" s="3"/>
      <c r="W18" s="3"/>
      <c r="X18" s="3"/>
      <c r="Y18" s="3"/>
    </row>
    <row r="19" spans="1:25" x14ac:dyDescent="0.25">
      <c r="A19" s="3">
        <v>10</v>
      </c>
      <c r="B19" s="3">
        <v>7.0010000000000002E-5</v>
      </c>
      <c r="C19" s="3">
        <v>2.475E-4</v>
      </c>
      <c r="D19" s="3">
        <v>-6.2739999999999996E-4</v>
      </c>
      <c r="E19" s="3">
        <v>0</v>
      </c>
      <c r="F19" s="3">
        <v>0</v>
      </c>
      <c r="G19" s="3">
        <v>0</v>
      </c>
      <c r="H19" s="3">
        <v>1.3058692000000001E-4</v>
      </c>
      <c r="I19" s="3">
        <v>2.7651624E-5</v>
      </c>
      <c r="J19" s="3">
        <v>-3.1155963999999998E-4</v>
      </c>
      <c r="K19" s="3"/>
      <c r="L19" s="3">
        <f t="shared" si="0"/>
        <v>0.11158750398469877</v>
      </c>
      <c r="M19" s="3"/>
      <c r="N19" s="2">
        <f>IF('Modell einstellen'!$B$1="Voll",H19/0.35,H19/0.35*2)</f>
        <v>3.7310548571428578E-4</v>
      </c>
      <c r="O19" s="2">
        <f>IF('Modell einstellen'!$B$1="Voll",J19/0.35,J19/0.35*2)</f>
        <v>-8.9017040000000005E-4</v>
      </c>
      <c r="P19" s="3">
        <f t="shared" si="1"/>
        <v>0.41913939815824675</v>
      </c>
      <c r="Q19" s="3"/>
      <c r="R19" s="3"/>
      <c r="S19" s="3"/>
      <c r="T19" s="3"/>
      <c r="U19" s="3"/>
      <c r="V19" s="3"/>
      <c r="W19" s="3"/>
      <c r="X19" s="3"/>
      <c r="Y19" s="3"/>
    </row>
    <row r="20" spans="1:25" x14ac:dyDescent="0.25">
      <c r="A20" s="3">
        <v>100</v>
      </c>
      <c r="B20" s="3">
        <v>6.2929999999999995E-5</v>
      </c>
      <c r="C20" s="3">
        <v>2.6340000000000001E-4</v>
      </c>
      <c r="D20" s="3">
        <v>-6.3860000000000002E-4</v>
      </c>
      <c r="E20" s="3">
        <v>0</v>
      </c>
      <c r="F20" s="3">
        <v>0</v>
      </c>
      <c r="G20" s="3">
        <v>0</v>
      </c>
      <c r="H20" s="3">
        <v>1.4023618E-4</v>
      </c>
      <c r="I20" s="3">
        <v>2.9711359999999999E-5</v>
      </c>
      <c r="J20" s="3">
        <v>-3.2885854000000003E-4</v>
      </c>
      <c r="K20" s="3"/>
      <c r="L20" s="3">
        <f t="shared" si="0"/>
        <v>9.8543689320388345E-2</v>
      </c>
      <c r="M20" s="3"/>
      <c r="N20" s="2">
        <f>IF('Modell einstellen'!$B$1="Voll",H20/0.35,H20/0.35*2)</f>
        <v>4.0067480000000001E-4</v>
      </c>
      <c r="O20" s="2">
        <f>IF('Modell einstellen'!$B$1="Voll",J20/0.35,J20/0.35*2)</f>
        <v>-9.3959582857142869E-4</v>
      </c>
      <c r="P20" s="3">
        <f t="shared" si="1"/>
        <v>0.42643314052297376</v>
      </c>
      <c r="Q20" s="3"/>
      <c r="R20" s="3"/>
      <c r="S20" s="3"/>
      <c r="T20" s="3"/>
      <c r="U20" s="3"/>
      <c r="V20" s="3"/>
      <c r="W20" s="3"/>
      <c r="X20" s="3"/>
      <c r="Y20" s="3"/>
    </row>
    <row r="21" spans="1:25" x14ac:dyDescent="0.25">
      <c r="A21" s="3">
        <v>1000</v>
      </c>
      <c r="B21" s="3">
        <v>6.1199999999999997E-5</v>
      </c>
      <c r="C21" s="3">
        <v>2.9379999999999999E-4</v>
      </c>
      <c r="D21" s="3">
        <v>-6.6600000000000003E-4</v>
      </c>
      <c r="E21" s="3">
        <v>0</v>
      </c>
      <c r="F21" s="3">
        <v>0</v>
      </c>
      <c r="G21" s="3">
        <v>0</v>
      </c>
      <c r="H21" s="3">
        <v>1.4930832000000001E-4</v>
      </c>
      <c r="I21" s="3">
        <v>3.3516833000000001E-5</v>
      </c>
      <c r="J21" s="3">
        <v>-3.5068163999999998E-4</v>
      </c>
      <c r="K21" s="3"/>
      <c r="L21" s="3">
        <f t="shared" si="0"/>
        <v>9.1891891891891883E-2</v>
      </c>
      <c r="M21" s="3"/>
      <c r="N21" s="2">
        <f>IF('Modell einstellen'!$B$1="Voll",H21/0.35,H21/0.35*2)</f>
        <v>4.2659520000000006E-4</v>
      </c>
      <c r="O21" s="2">
        <f>IF('Modell einstellen'!$B$1="Voll",J21/0.35,J21/0.35*2)</f>
        <v>-1.0019475428571429E-3</v>
      </c>
      <c r="P21" s="3">
        <f t="shared" si="1"/>
        <v>0.42576600246308877</v>
      </c>
      <c r="Q21" s="3"/>
      <c r="R21" s="3"/>
      <c r="S21" s="3"/>
      <c r="T21" s="3"/>
      <c r="U21" s="3"/>
      <c r="V21" s="3"/>
      <c r="W21" s="3"/>
      <c r="X21" s="3"/>
      <c r="Y21" s="3"/>
    </row>
    <row r="22" spans="1:25" x14ac:dyDescent="0.25">
      <c r="A22" s="3">
        <v>10000</v>
      </c>
      <c r="B22" s="3">
        <v>6.6740000000000001E-5</v>
      </c>
      <c r="C22" s="3">
        <v>3.3429999999999999E-4</v>
      </c>
      <c r="D22" s="3">
        <v>-7.0799999999999997E-4</v>
      </c>
      <c r="E22" s="3">
        <v>0</v>
      </c>
      <c r="F22" s="3">
        <v>0</v>
      </c>
      <c r="G22" s="3">
        <v>0</v>
      </c>
      <c r="H22" s="3">
        <v>1.5710033999999999E-4</v>
      </c>
      <c r="I22" s="3">
        <v>3.8570752999999998E-5</v>
      </c>
      <c r="J22" s="3">
        <v>-3.7491693000000001E-4</v>
      </c>
      <c r="K22" s="3"/>
      <c r="L22" s="3">
        <f t="shared" si="0"/>
        <v>9.4265536723163845E-2</v>
      </c>
      <c r="M22" s="3"/>
      <c r="N22" s="2">
        <f>IF('Modell einstellen'!$B$1="Voll",H22/0.35,H22/0.35*2)</f>
        <v>4.4885811428571431E-4</v>
      </c>
      <c r="O22" s="2">
        <f>IF('Modell einstellen'!$B$1="Voll",J22/0.35,J22/0.35*2)</f>
        <v>-1.0711912285714287E-3</v>
      </c>
      <c r="P22" s="3">
        <f t="shared" si="1"/>
        <v>0.41902706287496805</v>
      </c>
      <c r="Q22" s="3"/>
      <c r="R22" s="3"/>
      <c r="S22" s="3"/>
      <c r="T22" s="3"/>
      <c r="U22" s="3"/>
      <c r="V22" s="3"/>
      <c r="W22" s="3"/>
      <c r="X22" s="3"/>
      <c r="Y22" s="3"/>
    </row>
    <row r="23" spans="1:25" x14ac:dyDescent="0.25">
      <c r="A23" s="3">
        <v>100000</v>
      </c>
      <c r="B23" s="3">
        <v>7.0959999999999998E-5</v>
      </c>
      <c r="C23" s="3">
        <v>3.7619999999999998E-4</v>
      </c>
      <c r="D23" s="3">
        <v>-7.5089999999999998E-4</v>
      </c>
      <c r="E23" s="3">
        <v>0</v>
      </c>
      <c r="F23" s="3">
        <v>0</v>
      </c>
      <c r="G23" s="3">
        <v>0</v>
      </c>
      <c r="H23" s="3">
        <v>1.6588013999999999E-4</v>
      </c>
      <c r="I23" s="3">
        <v>4.3913876000000001E-5</v>
      </c>
      <c r="J23" s="3">
        <v>-4.0133238000000001E-4</v>
      </c>
      <c r="K23" s="3"/>
      <c r="L23" s="3">
        <f t="shared" si="0"/>
        <v>9.4499933413237452E-2</v>
      </c>
      <c r="M23" s="3"/>
      <c r="N23" s="2">
        <f>IF('Modell einstellen'!$B$1="Voll",H23/0.35,H23/0.35*2)</f>
        <v>4.7394325714285714E-4</v>
      </c>
      <c r="O23" s="2">
        <f>IF('Modell einstellen'!$B$1="Voll",J23/0.35,J23/0.35*2)</f>
        <v>-1.1466639428571429E-3</v>
      </c>
      <c r="P23" s="3">
        <f t="shared" si="1"/>
        <v>0.41332358978859368</v>
      </c>
      <c r="Q23" s="3"/>
      <c r="R23" s="3"/>
      <c r="S23" s="3"/>
      <c r="T23" s="3"/>
      <c r="U23" s="3"/>
      <c r="V23" s="3"/>
      <c r="W23" s="3"/>
      <c r="X23" s="3"/>
      <c r="Y23" s="3"/>
    </row>
    <row r="24" spans="1:25" x14ac:dyDescent="0.25">
      <c r="A24" s="3">
        <v>1000000</v>
      </c>
      <c r="B24" s="3">
        <v>7.3129999999999999E-5</v>
      </c>
      <c r="C24" s="3">
        <v>4.1370000000000003E-4</v>
      </c>
      <c r="D24" s="3">
        <v>-7.8859999999999998E-4</v>
      </c>
      <c r="E24" s="3">
        <v>0</v>
      </c>
      <c r="F24" s="3">
        <v>0</v>
      </c>
      <c r="G24" s="3">
        <v>0</v>
      </c>
      <c r="H24" s="3">
        <v>1.7517971999999999E-4</v>
      </c>
      <c r="I24" s="3">
        <v>4.8829377999999997E-5</v>
      </c>
      <c r="J24" s="3">
        <v>-4.2715244000000001E-4</v>
      </c>
      <c r="K24" s="3"/>
      <c r="L24" s="3">
        <f t="shared" si="0"/>
        <v>9.273395891453208E-2</v>
      </c>
      <c r="M24" s="3"/>
      <c r="N24" s="2">
        <f>IF('Modell einstellen'!$B$1="Voll",H24/0.35,H24/0.35*2)</f>
        <v>5.005134857142857E-4</v>
      </c>
      <c r="O24" s="2">
        <f>IF('Modell einstellen'!$B$1="Voll",J24/0.35,J24/0.35*2)</f>
        <v>-1.2204355428571429E-3</v>
      </c>
      <c r="P24" s="3">
        <f t="shared" si="1"/>
        <v>0.41011054507847361</v>
      </c>
      <c r="Q24" s="3"/>
      <c r="R24" s="3"/>
      <c r="S24" s="3"/>
      <c r="T24" s="3"/>
      <c r="U24" s="3"/>
      <c r="V24" s="3"/>
      <c r="W24" s="3"/>
      <c r="X24" s="3"/>
      <c r="Y24" s="3"/>
    </row>
    <row r="25" spans="1:25" x14ac:dyDescent="0.25">
      <c r="A25" s="3">
        <v>10000000</v>
      </c>
      <c r="B25" s="3">
        <v>7.0829999999999998E-5</v>
      </c>
      <c r="C25" s="3">
        <v>4.4799999999999999E-4</v>
      </c>
      <c r="D25" s="3">
        <v>-8.2030000000000004E-4</v>
      </c>
      <c r="E25" s="3">
        <v>0</v>
      </c>
      <c r="F25" s="3">
        <v>0</v>
      </c>
      <c r="G25" s="3">
        <v>0</v>
      </c>
      <c r="H25" s="3">
        <v>1.8614921000000001E-4</v>
      </c>
      <c r="I25" s="3">
        <v>5.3490316999999998E-5</v>
      </c>
      <c r="J25" s="3">
        <v>-4.5419010000000002E-4</v>
      </c>
      <c r="K25" s="3"/>
      <c r="L25" s="3">
        <f t="shared" si="0"/>
        <v>8.6346458612702667E-2</v>
      </c>
      <c r="M25" s="3"/>
      <c r="N25" s="2">
        <f>IF('Modell einstellen'!$B$1="Voll",H25/0.35,H25/0.35*2)</f>
        <v>5.3185488571428578E-4</v>
      </c>
      <c r="O25" s="2">
        <f>IF('Modell einstellen'!$B$1="Voll",J25/0.35,J25/0.35*2)</f>
        <v>-1.2976860000000002E-3</v>
      </c>
      <c r="P25" s="3">
        <f t="shared" si="1"/>
        <v>0.40984867349596565</v>
      </c>
      <c r="Q25" s="3"/>
      <c r="R25" s="3"/>
      <c r="S25" s="3"/>
      <c r="T25" s="3"/>
      <c r="U25" s="3"/>
      <c r="V25" s="3"/>
      <c r="W25" s="3"/>
      <c r="X25" s="3"/>
      <c r="Y25" s="3"/>
    </row>
    <row r="26" spans="1:25" x14ac:dyDescent="0.25">
      <c r="A26" s="3">
        <v>100000000</v>
      </c>
      <c r="B26" s="3">
        <v>6.3070000000000004E-5</v>
      </c>
      <c r="C26" s="3">
        <v>4.8030000000000002E-4</v>
      </c>
      <c r="D26" s="3">
        <v>-8.4559999999999995E-4</v>
      </c>
      <c r="E26" s="3">
        <v>0</v>
      </c>
      <c r="F26" s="3">
        <v>0</v>
      </c>
      <c r="G26" s="3">
        <v>0</v>
      </c>
      <c r="H26" s="3">
        <v>1.9868250999999999E-4</v>
      </c>
      <c r="I26" s="3">
        <v>5.8036805E-5</v>
      </c>
      <c r="J26" s="3">
        <v>-4.8273099000000001E-4</v>
      </c>
      <c r="K26" s="3"/>
      <c r="L26" s="3">
        <f t="shared" si="0"/>
        <v>7.4586092715231797E-2</v>
      </c>
      <c r="M26" s="3"/>
      <c r="N26" s="2">
        <f>IF('Modell einstellen'!$B$1="Voll",H26/0.35,H26/0.35*2)</f>
        <v>5.6766431428571427E-4</v>
      </c>
      <c r="O26" s="2">
        <f>IF('Modell einstellen'!$B$1="Voll",J26/0.35,J26/0.35*2)</f>
        <v>-1.3792314000000002E-3</v>
      </c>
      <c r="P26" s="3">
        <f t="shared" si="1"/>
        <v>0.41158018464901114</v>
      </c>
      <c r="Q26" s="3"/>
      <c r="R26" s="3"/>
      <c r="S26" s="3"/>
      <c r="T26" s="3"/>
      <c r="U26" s="3"/>
      <c r="V26" s="3"/>
      <c r="W26" s="3"/>
      <c r="X26" s="3"/>
      <c r="Y26" s="3"/>
    </row>
    <row r="27" spans="1:25" x14ac:dyDescent="0.25">
      <c r="A27" s="3">
        <v>1000000000</v>
      </c>
      <c r="B27" s="3">
        <v>4.4110000000000003E-5</v>
      </c>
      <c r="C27" s="3">
        <v>5.1630000000000003E-4</v>
      </c>
      <c r="D27" s="3">
        <v>-8.6470000000000004E-4</v>
      </c>
      <c r="E27" s="3">
        <v>0</v>
      </c>
      <c r="F27" s="3">
        <v>0</v>
      </c>
      <c r="G27" s="3">
        <v>0</v>
      </c>
      <c r="H27" s="3">
        <v>2.1524683000000001E-4</v>
      </c>
      <c r="I27" s="3">
        <v>6.3289738999999998E-5</v>
      </c>
      <c r="J27" s="3">
        <v>-5.1816372000000003E-4</v>
      </c>
      <c r="K27" s="3"/>
      <c r="L27" s="3">
        <f t="shared" si="0"/>
        <v>5.1011911645657451E-2</v>
      </c>
      <c r="M27" s="3"/>
      <c r="N27" s="2">
        <f>IF('Modell einstellen'!$B$1="Voll",H27/0.35,H27/0.35*2)</f>
        <v>6.1499094285714288E-4</v>
      </c>
      <c r="O27" s="2">
        <f>IF('Modell einstellen'!$B$1="Voll",J27/0.35,J27/0.35*2)</f>
        <v>-1.4804677714285717E-3</v>
      </c>
      <c r="P27" s="3">
        <f t="shared" si="1"/>
        <v>0.41540312779906702</v>
      </c>
      <c r="Q27" s="3"/>
      <c r="R27" s="3"/>
      <c r="S27" s="3"/>
      <c r="T27" s="3"/>
      <c r="U27" s="3"/>
      <c r="V27" s="3"/>
      <c r="W27" s="3"/>
      <c r="X27" s="3"/>
      <c r="Y27" s="3"/>
    </row>
    <row r="28" spans="1:25" x14ac:dyDescent="0.25">
      <c r="A28" s="3">
        <v>10000000000</v>
      </c>
      <c r="B28" s="3">
        <v>1.181E-5</v>
      </c>
      <c r="C28" s="3">
        <v>5.5719999999999999E-4</v>
      </c>
      <c r="D28" s="3">
        <v>-8.7620000000000005E-4</v>
      </c>
      <c r="E28" s="3">
        <v>0</v>
      </c>
      <c r="F28" s="3">
        <v>0</v>
      </c>
      <c r="G28" s="3">
        <v>0</v>
      </c>
      <c r="H28" s="3">
        <v>2.3568708999999999E-4</v>
      </c>
      <c r="I28" s="3">
        <v>6.9454998999999995E-5</v>
      </c>
      <c r="J28" s="3">
        <v>-5.6093775999999996E-4</v>
      </c>
      <c r="K28" s="3"/>
      <c r="L28" s="3">
        <f t="shared" si="0"/>
        <v>1.3478657840675645E-2</v>
      </c>
      <c r="M28" s="3"/>
      <c r="N28" s="2">
        <f>IF('Modell einstellen'!$B$1="Voll",H28/0.35,H28/0.35*2)</f>
        <v>6.7339168571428577E-4</v>
      </c>
      <c r="O28" s="2">
        <f>IF('Modell einstellen'!$B$1="Voll",J28/0.35,J28/0.35*2)</f>
        <v>-1.6026793142857143E-3</v>
      </c>
      <c r="P28" s="3">
        <f t="shared" si="1"/>
        <v>0.42016620524886755</v>
      </c>
      <c r="Q28" s="3"/>
      <c r="R28" s="3"/>
      <c r="S28" s="3"/>
      <c r="T28" s="3"/>
      <c r="U28" s="3"/>
      <c r="V28" s="3"/>
      <c r="W28" s="3"/>
      <c r="X28" s="3"/>
      <c r="Y28" s="3"/>
    </row>
    <row r="29" spans="1:25" x14ac:dyDescent="0.25">
      <c r="A29" s="3">
        <v>100000000000</v>
      </c>
      <c r="B29" s="3">
        <v>-4.2679999999999998E-5</v>
      </c>
      <c r="C29" s="3">
        <v>6.0860000000000005E-4</v>
      </c>
      <c r="D29" s="3">
        <v>-8.7679999999999995E-4</v>
      </c>
      <c r="E29" s="3">
        <v>0</v>
      </c>
      <c r="F29" s="3">
        <v>0</v>
      </c>
      <c r="G29" s="3">
        <v>0</v>
      </c>
      <c r="H29" s="3">
        <v>2.6310112000000002E-4</v>
      </c>
      <c r="I29" s="3">
        <v>7.7446601999999997E-5</v>
      </c>
      <c r="J29" s="3">
        <v>-6.1744428000000005E-4</v>
      </c>
      <c r="K29" s="3"/>
      <c r="L29" s="3">
        <f t="shared" si="0"/>
        <v>-4.8677007299270075E-2</v>
      </c>
      <c r="M29" s="3"/>
      <c r="N29" s="2">
        <f>IF('Modell einstellen'!$B$1="Voll",H29/0.35,H29/0.35*2)</f>
        <v>7.5171748571428579E-4</v>
      </c>
      <c r="O29" s="2">
        <f>IF('Modell einstellen'!$B$1="Voll",J29/0.35,J29/0.35*2)</f>
        <v>-1.7641265142857145E-3</v>
      </c>
      <c r="P29" s="3">
        <f t="shared" si="1"/>
        <v>0.42611313850052995</v>
      </c>
      <c r="Q29" s="3"/>
      <c r="R29" s="3"/>
      <c r="S29" s="3"/>
      <c r="T29" s="3"/>
      <c r="U29" s="3"/>
      <c r="V29" s="3"/>
      <c r="W29" s="3"/>
      <c r="X29" s="3"/>
      <c r="Y29" s="3"/>
    </row>
    <row r="30" spans="1:25" x14ac:dyDescent="0.25">
      <c r="A30" s="3">
        <v>1000000000000</v>
      </c>
      <c r="B30" s="3">
        <v>-1.3200000000000001E-4</v>
      </c>
      <c r="C30" s="3">
        <v>6.7599999999999995E-4</v>
      </c>
      <c r="D30" s="3">
        <v>-8.5939999999999996E-4</v>
      </c>
      <c r="E30" s="3">
        <v>0</v>
      </c>
      <c r="F30" s="3">
        <v>0</v>
      </c>
      <c r="G30" s="3">
        <v>0</v>
      </c>
      <c r="H30" s="3">
        <v>3.0123935999999999E-4</v>
      </c>
      <c r="I30" s="3">
        <v>8.8281110999999994E-5</v>
      </c>
      <c r="J30" s="3">
        <v>-6.9509784999999995E-4</v>
      </c>
      <c r="K30" s="3"/>
      <c r="L30" s="3">
        <f t="shared" si="0"/>
        <v>-0.15359553176634863</v>
      </c>
      <c r="M30" s="3"/>
      <c r="N30" s="2">
        <f>IF('Modell einstellen'!$B$1="Voll",H30/0.35,H30/0.35*2)</f>
        <v>8.6068388571428577E-4</v>
      </c>
      <c r="O30" s="2">
        <f>IF('Modell einstellen'!$B$1="Voll",J30/0.35,J30/0.35*2)</f>
        <v>-1.9859938571428573E-3</v>
      </c>
      <c r="P30" s="3">
        <f t="shared" si="1"/>
        <v>0.43337691232968134</v>
      </c>
      <c r="Q30" s="3"/>
      <c r="R30" s="3"/>
      <c r="S30" s="3"/>
      <c r="T30" s="3"/>
      <c r="U30" s="3"/>
      <c r="V30" s="3"/>
      <c r="W30" s="3"/>
      <c r="X30" s="3"/>
      <c r="Y30" s="3"/>
    </row>
    <row r="31" spans="1:25" x14ac:dyDescent="0.25">
      <c r="A31" s="3">
        <v>10000000000000</v>
      </c>
      <c r="B31" s="3">
        <v>-2.9169999999999999E-4</v>
      </c>
      <c r="C31" s="3">
        <v>7.7430000000000001E-4</v>
      </c>
      <c r="D31" s="3">
        <v>-8.0409999999999998E-4</v>
      </c>
      <c r="E31" s="3">
        <v>0</v>
      </c>
      <c r="F31" s="3">
        <v>0</v>
      </c>
      <c r="G31" s="3">
        <v>0</v>
      </c>
      <c r="H31" s="3">
        <v>3.6096305999999998E-4</v>
      </c>
      <c r="I31" s="3">
        <v>1.0470401999999999E-4</v>
      </c>
      <c r="J31" s="3">
        <v>-8.1475912999999999E-4</v>
      </c>
      <c r="K31" s="3"/>
      <c r="L31" s="3">
        <f t="shared" si="0"/>
        <v>-0.3627658251461261</v>
      </c>
      <c r="M31" s="3"/>
      <c r="N31" s="2">
        <f>IF('Modell einstellen'!$B$1="Voll",H31/0.35,H31/0.35*2)</f>
        <v>1.0313230285714286E-3</v>
      </c>
      <c r="O31" s="2">
        <f>IF('Modell einstellen'!$B$1="Voll",J31/0.35,J31/0.35*2)</f>
        <v>-2.3278832285714285E-3</v>
      </c>
      <c r="P31" s="3">
        <f t="shared" si="1"/>
        <v>0.44303039598954852</v>
      </c>
      <c r="Q31" s="3"/>
      <c r="R31" s="3"/>
      <c r="S31" s="3"/>
      <c r="T31" s="3"/>
      <c r="U31" s="3"/>
      <c r="V31" s="3"/>
      <c r="W31" s="3"/>
      <c r="X31" s="3"/>
      <c r="Y31" s="3"/>
    </row>
    <row r="32" spans="1:25" x14ac:dyDescent="0.25">
      <c r="A32" s="3">
        <v>100000000000000</v>
      </c>
      <c r="B32" s="3">
        <v>-5.9349999999999995E-4</v>
      </c>
      <c r="C32" s="3">
        <v>9.2750000000000005E-4</v>
      </c>
      <c r="D32" s="3">
        <v>-6.6310000000000002E-4</v>
      </c>
      <c r="E32" s="3">
        <v>0</v>
      </c>
      <c r="F32" s="3">
        <v>0</v>
      </c>
      <c r="G32" s="3">
        <v>0</v>
      </c>
      <c r="H32" s="3">
        <v>4.6227926E-4</v>
      </c>
      <c r="I32" s="3">
        <v>1.3146562999999999E-4</v>
      </c>
      <c r="J32" s="3">
        <v>-1.0136737999999999E-3</v>
      </c>
      <c r="K32" s="3"/>
      <c r="L32" s="3">
        <f t="shared" si="0"/>
        <v>-0.89503845573819929</v>
      </c>
      <c r="M32" s="3"/>
      <c r="N32" s="2">
        <f>IF('Modell einstellen'!$B$1="Voll",H32/0.35,H32/0.35*2)</f>
        <v>1.3207978857142858E-3</v>
      </c>
      <c r="O32" s="2">
        <f>IF('Modell einstellen'!$B$1="Voll",J32/0.35,J32/0.35*2)</f>
        <v>-2.8962108571428573E-3</v>
      </c>
      <c r="P32" s="3">
        <f t="shared" si="1"/>
        <v>0.45604341357150596</v>
      </c>
      <c r="Q32" s="3"/>
      <c r="R32" s="3"/>
      <c r="S32" s="3"/>
      <c r="T32" s="3"/>
      <c r="U32" s="3"/>
      <c r="V32" s="3"/>
      <c r="W32" s="3"/>
      <c r="X32" s="3"/>
      <c r="Y32" s="3"/>
    </row>
    <row r="33" spans="1:25" x14ac:dyDescent="0.25">
      <c r="A33" s="2">
        <v>1000000000000000</v>
      </c>
      <c r="B33" s="3">
        <v>-1.17E-3</v>
      </c>
      <c r="C33" s="3">
        <v>1.1720000000000001E-3</v>
      </c>
      <c r="D33" s="3">
        <v>-3.3950000000000001E-4</v>
      </c>
      <c r="E33" s="3">
        <v>0</v>
      </c>
      <c r="F33" s="3">
        <v>0</v>
      </c>
      <c r="G33" s="3">
        <v>0</v>
      </c>
      <c r="H33" s="3">
        <v>6.4009863000000005E-4</v>
      </c>
      <c r="I33" s="3">
        <v>1.7619924E-4</v>
      </c>
      <c r="J33" s="3">
        <v>-1.3542878999999999E-3</v>
      </c>
      <c r="K33" s="3"/>
      <c r="L33" s="3">
        <f t="shared" si="0"/>
        <v>-3.4462444771723124</v>
      </c>
      <c r="M33" s="3"/>
      <c r="N33" s="2">
        <f>IF('Modell einstellen'!$B$1="Voll",H33/0.35,H33/0.35*2)</f>
        <v>1.8288532285714288E-3</v>
      </c>
      <c r="O33" s="2">
        <f>IF('Modell einstellen'!$B$1="Voll",J33/0.35,J33/0.35*2)</f>
        <v>-3.869394E-3</v>
      </c>
      <c r="P33" s="3">
        <f t="shared" si="1"/>
        <v>0.47264590490692571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9.4969999999999994E-5</v>
      </c>
      <c r="C3" s="3">
        <v>1.8469999999999999E-4</v>
      </c>
      <c r="D3" s="3">
        <v>-5.6550000000000003E-4</v>
      </c>
      <c r="E3" s="3">
        <v>0</v>
      </c>
      <c r="F3" s="3">
        <v>0</v>
      </c>
      <c r="G3" s="3">
        <v>0</v>
      </c>
      <c r="H3" s="3">
        <v>8.2017986000000001E-5</v>
      </c>
      <c r="I3" s="3">
        <v>1.9709792E-5</v>
      </c>
      <c r="J3" s="3">
        <v>-2.3000509E-4</v>
      </c>
      <c r="K3" s="3"/>
      <c r="L3" s="3">
        <f>-B3/D3</f>
        <v>0.16793987621573828</v>
      </c>
      <c r="M3" s="3"/>
      <c r="N3" s="2">
        <f>IF('Modell einstellen'!$B$1="Voll",H3/0.35,H3/0.35*2)</f>
        <v>2.3433710285714288E-4</v>
      </c>
      <c r="O3" s="2">
        <f>IF('Modell einstellen'!$B$1="Voll",J3/0.35,J3/0.35*2)</f>
        <v>-6.5715740000000004E-4</v>
      </c>
      <c r="P3" s="3">
        <f>-N3/O3</f>
        <v>0.35659204759338153</v>
      </c>
      <c r="Q3" s="3"/>
      <c r="R3" s="3"/>
      <c r="S3" s="3"/>
      <c r="T3" s="3"/>
      <c r="U3" s="3"/>
    </row>
    <row r="4" spans="1:21" x14ac:dyDescent="0.25">
      <c r="A4" s="3">
        <v>1E-14</v>
      </c>
      <c r="B4" s="3">
        <v>9.4959999999999999E-5</v>
      </c>
      <c r="C4" s="3">
        <v>1.8469999999999999E-4</v>
      </c>
      <c r="D4" s="3">
        <v>-5.6550000000000003E-4</v>
      </c>
      <c r="E4" s="3">
        <v>0</v>
      </c>
      <c r="F4" s="3">
        <v>0</v>
      </c>
      <c r="G4" s="3">
        <v>0</v>
      </c>
      <c r="H4" s="3">
        <v>8.2041076000000004E-5</v>
      </c>
      <c r="I4" s="3">
        <v>1.9714132999999998E-5</v>
      </c>
      <c r="J4" s="3">
        <v>-2.3003773999999999E-4</v>
      </c>
      <c r="K4" s="3"/>
      <c r="L4" s="3">
        <f t="shared" ref="L4:L33" si="0">-B4/D4</f>
        <v>0.16792219274977896</v>
      </c>
      <c r="M4" s="3"/>
      <c r="N4" s="2">
        <f>IF('Modell einstellen'!$B$1="Voll",H4/0.35,H4/0.35*2)</f>
        <v>2.3440307428571432E-4</v>
      </c>
      <c r="O4" s="2">
        <f>IF('Modell einstellen'!$B$1="Voll",J4/0.35,J4/0.35*2)</f>
        <v>-6.5725068571428577E-4</v>
      </c>
      <c r="P4" s="3">
        <f t="shared" ref="P4:P33" si="1">-N4/O4</f>
        <v>0.35664181016558416</v>
      </c>
      <c r="Q4" s="3"/>
      <c r="R4" s="3"/>
      <c r="S4" s="3"/>
      <c r="T4" s="3"/>
      <c r="U4" s="3"/>
    </row>
    <row r="5" spans="1:21" x14ac:dyDescent="0.25">
      <c r="A5" s="3">
        <v>1E-13</v>
      </c>
      <c r="B5" s="3">
        <v>9.4900000000000003E-5</v>
      </c>
      <c r="C5" s="3">
        <v>1.85E-4</v>
      </c>
      <c r="D5" s="3">
        <v>-5.6590000000000004E-4</v>
      </c>
      <c r="E5" s="3">
        <v>0</v>
      </c>
      <c r="F5" s="3">
        <v>0</v>
      </c>
      <c r="G5" s="3">
        <v>0</v>
      </c>
      <c r="H5" s="3">
        <v>8.2241825999999994E-5</v>
      </c>
      <c r="I5" s="3">
        <v>1.9751095000000001E-5</v>
      </c>
      <c r="J5" s="3">
        <v>-2.3039411E-4</v>
      </c>
      <c r="K5" s="3"/>
      <c r="L5" s="3">
        <f t="shared" si="0"/>
        <v>0.16769747305177593</v>
      </c>
      <c r="M5" s="3"/>
      <c r="N5" s="2">
        <f>IF('Modell einstellen'!$B$1="Voll",H5/0.35,H5/0.35*2)</f>
        <v>2.3497664571428572E-4</v>
      </c>
      <c r="O5" s="2">
        <f>IF('Modell einstellen'!$B$1="Voll",J5/0.35,J5/0.35*2)</f>
        <v>-6.5826888571428571E-4</v>
      </c>
      <c r="P5" s="3">
        <f t="shared" si="1"/>
        <v>0.35696149523961357</v>
      </c>
      <c r="Q5" s="3"/>
      <c r="R5" s="3"/>
      <c r="S5" s="3"/>
      <c r="T5" s="3"/>
      <c r="U5" s="3"/>
    </row>
    <row r="6" spans="1:21" x14ac:dyDescent="0.25">
      <c r="A6" s="3">
        <v>9.9999999999999998E-13</v>
      </c>
      <c r="B6" s="3">
        <v>9.4920000000000006E-5</v>
      </c>
      <c r="C6" s="3">
        <v>1.8770000000000001E-4</v>
      </c>
      <c r="D6" s="3">
        <v>-5.6959999999999997E-4</v>
      </c>
      <c r="E6" s="3">
        <v>0</v>
      </c>
      <c r="F6" s="3">
        <v>0</v>
      </c>
      <c r="G6" s="3">
        <v>0</v>
      </c>
      <c r="H6" s="3">
        <v>8.3897759999999999E-5</v>
      </c>
      <c r="I6" s="3">
        <v>2.0066598999999999E-5</v>
      </c>
      <c r="J6" s="3">
        <v>-2.3336826000000001E-4</v>
      </c>
      <c r="K6" s="3"/>
      <c r="L6" s="3">
        <f t="shared" si="0"/>
        <v>0.16664325842696631</v>
      </c>
      <c r="M6" s="3"/>
      <c r="N6" s="2">
        <f>IF('Modell einstellen'!$B$1="Voll",H6/0.35,H6/0.35*2)</f>
        <v>2.3970788571428571E-4</v>
      </c>
      <c r="O6" s="2">
        <f>IF('Modell einstellen'!$B$1="Voll",J6/0.35,J6/0.35*2)</f>
        <v>-6.6676645714285727E-4</v>
      </c>
      <c r="P6" s="3">
        <f t="shared" si="1"/>
        <v>0.35950801535735832</v>
      </c>
      <c r="Q6" s="3"/>
      <c r="R6" s="3"/>
      <c r="S6" s="3"/>
      <c r="T6" s="3"/>
      <c r="U6" s="3"/>
    </row>
    <row r="7" spans="1:21" x14ac:dyDescent="0.25">
      <c r="A7" s="3">
        <v>9.9999999999999994E-12</v>
      </c>
      <c r="B7" s="3">
        <v>9.4590000000000001E-5</v>
      </c>
      <c r="C7" s="3">
        <v>1.93E-4</v>
      </c>
      <c r="D7" s="3">
        <v>-5.7669999999999998E-4</v>
      </c>
      <c r="E7" s="3">
        <v>0</v>
      </c>
      <c r="F7" s="3">
        <v>0</v>
      </c>
      <c r="G7" s="3">
        <v>0</v>
      </c>
      <c r="H7" s="3">
        <v>8.7340699999999995E-5</v>
      </c>
      <c r="I7" s="3">
        <v>2.0709449999999999E-5</v>
      </c>
      <c r="J7" s="3">
        <v>-2.3949149000000001E-4</v>
      </c>
      <c r="K7" s="3"/>
      <c r="L7" s="3">
        <f t="shared" si="0"/>
        <v>0.16401942084272586</v>
      </c>
      <c r="M7" s="3"/>
      <c r="N7" s="2">
        <f>IF('Modell einstellen'!$B$1="Voll",H7/0.35,H7/0.35*2)</f>
        <v>2.4954485714285716E-4</v>
      </c>
      <c r="O7" s="2">
        <f>IF('Modell einstellen'!$B$1="Voll",J7/0.35,J7/0.35*2)</f>
        <v>-6.8426140000000006E-4</v>
      </c>
      <c r="P7" s="3">
        <f t="shared" si="1"/>
        <v>0.36469229031895872</v>
      </c>
      <c r="Q7" s="3"/>
      <c r="R7" s="3"/>
      <c r="S7" s="3"/>
      <c r="T7" s="3"/>
      <c r="U7" s="3"/>
    </row>
    <row r="8" spans="1:21" x14ac:dyDescent="0.25">
      <c r="A8" s="3">
        <v>1E-10</v>
      </c>
      <c r="B8" s="3">
        <v>9.4149999999999998E-5</v>
      </c>
      <c r="C8" s="3">
        <v>1.9680000000000001E-4</v>
      </c>
      <c r="D8" s="3">
        <v>-5.8149999999999999E-4</v>
      </c>
      <c r="E8" s="3">
        <v>0</v>
      </c>
      <c r="F8" s="3">
        <v>0</v>
      </c>
      <c r="G8" s="3">
        <v>0</v>
      </c>
      <c r="H8" s="3">
        <v>8.9856363000000001E-5</v>
      </c>
      <c r="I8" s="3">
        <v>2.1169881999999999E-5</v>
      </c>
      <c r="J8" s="3">
        <v>-2.4392186999999999E-4</v>
      </c>
      <c r="K8" s="3"/>
      <c r="L8" s="3">
        <f t="shared" si="0"/>
        <v>0.16190885640584696</v>
      </c>
      <c r="M8" s="3"/>
      <c r="N8" s="2">
        <f>IF('Modell einstellen'!$B$1="Voll",H8/0.35,H8/0.35*2)</f>
        <v>2.5673246571428573E-4</v>
      </c>
      <c r="O8" s="2">
        <f>IF('Modell einstellen'!$B$1="Voll",J8/0.35,J8/0.35*2)</f>
        <v>-6.9691962857142858E-4</v>
      </c>
      <c r="P8" s="3">
        <f t="shared" si="1"/>
        <v>0.36838174043188504</v>
      </c>
      <c r="Q8" s="3"/>
      <c r="R8" s="3"/>
      <c r="S8" s="3"/>
      <c r="T8" s="3"/>
      <c r="U8" s="3"/>
    </row>
    <row r="9" spans="1:21" x14ac:dyDescent="0.25">
      <c r="A9" s="3">
        <v>1.0000000000000001E-9</v>
      </c>
      <c r="B9" s="3">
        <v>9.3560000000000005E-5</v>
      </c>
      <c r="C9" s="3">
        <v>2.007E-4</v>
      </c>
      <c r="D9" s="3">
        <v>-5.8609999999999999E-4</v>
      </c>
      <c r="E9" s="3">
        <v>0</v>
      </c>
      <c r="F9" s="3">
        <v>0</v>
      </c>
      <c r="G9" s="3">
        <v>0</v>
      </c>
      <c r="H9" s="3">
        <v>9.2440649999999994E-5</v>
      </c>
      <c r="I9" s="3">
        <v>2.1636097E-5</v>
      </c>
      <c r="J9" s="3">
        <v>-2.4844291999999999E-4</v>
      </c>
      <c r="K9" s="3"/>
      <c r="L9" s="3">
        <f t="shared" si="0"/>
        <v>0.15963146220781438</v>
      </c>
      <c r="M9" s="3"/>
      <c r="N9" s="2">
        <f>IF('Modell einstellen'!$B$1="Voll",H9/0.35,H9/0.35*2)</f>
        <v>2.6411614285714284E-4</v>
      </c>
      <c r="O9" s="2">
        <f>IF('Modell einstellen'!$B$1="Voll",J9/0.35,J9/0.35*2)</f>
        <v>-7.0983691428571434E-4</v>
      </c>
      <c r="P9" s="3">
        <f t="shared" si="1"/>
        <v>0.37208003351433799</v>
      </c>
      <c r="Q9" s="3"/>
      <c r="R9" s="3"/>
      <c r="S9" s="3"/>
      <c r="T9" s="3"/>
      <c r="U9" s="3"/>
    </row>
    <row r="10" spans="1:21" x14ac:dyDescent="0.25">
      <c r="A10" s="3">
        <v>1E-8</v>
      </c>
      <c r="B10" s="3">
        <v>9.2700000000000004E-5</v>
      </c>
      <c r="C10" s="3">
        <v>2.05E-4</v>
      </c>
      <c r="D10" s="3">
        <v>-5.9130000000000001E-4</v>
      </c>
      <c r="E10" s="3">
        <v>0</v>
      </c>
      <c r="F10" s="3">
        <v>0</v>
      </c>
      <c r="G10" s="3">
        <v>0</v>
      </c>
      <c r="H10" s="3">
        <v>9.5469906999999998E-5</v>
      </c>
      <c r="I10" s="3">
        <v>2.2173170000000001E-5</v>
      </c>
      <c r="J10" s="3">
        <v>-2.5370075000000003E-4</v>
      </c>
      <c r="K10" s="3"/>
      <c r="L10" s="3">
        <f t="shared" si="0"/>
        <v>0.15677321156773211</v>
      </c>
      <c r="M10" s="3"/>
      <c r="N10" s="2">
        <f>IF('Modell einstellen'!$B$1="Voll",H10/0.35,H10/0.35*2)</f>
        <v>2.7277116285714286E-4</v>
      </c>
      <c r="O10" s="2">
        <f>IF('Modell einstellen'!$B$1="Voll",J10/0.35,J10/0.35*2)</f>
        <v>-7.2485928571428579E-4</v>
      </c>
      <c r="P10" s="3">
        <f t="shared" si="1"/>
        <v>0.37630912403688199</v>
      </c>
      <c r="Q10" s="3"/>
      <c r="R10" s="3"/>
      <c r="S10" s="3"/>
      <c r="T10" s="3"/>
      <c r="U10" s="3"/>
    </row>
    <row r="11" spans="1:21" x14ac:dyDescent="0.25">
      <c r="A11" s="3">
        <v>9.9999999999999995E-8</v>
      </c>
      <c r="B11" s="3">
        <v>9.1500000000000001E-5</v>
      </c>
      <c r="C11" s="3">
        <v>2.098E-4</v>
      </c>
      <c r="D11" s="3">
        <v>-5.9670000000000003E-4</v>
      </c>
      <c r="E11" s="3">
        <v>0</v>
      </c>
      <c r="F11" s="3">
        <v>0</v>
      </c>
      <c r="G11" s="3">
        <v>0</v>
      </c>
      <c r="H11" s="3">
        <v>9.8864937000000004E-5</v>
      </c>
      <c r="I11" s="3">
        <v>2.2763292000000001E-5</v>
      </c>
      <c r="J11" s="3">
        <v>-2.5954162999999999E-4</v>
      </c>
      <c r="K11" s="3"/>
      <c r="L11" s="3">
        <f t="shared" si="0"/>
        <v>0.15334338863750627</v>
      </c>
      <c r="M11" s="3"/>
      <c r="N11" s="2">
        <f>IF('Modell einstellen'!$B$1="Voll",H11/0.35,H11/0.35*2)</f>
        <v>2.8247124857142859E-4</v>
      </c>
      <c r="O11" s="2">
        <f>IF('Modell einstellen'!$B$1="Voll",J11/0.35,J11/0.35*2)</f>
        <v>-7.4154751428571434E-4</v>
      </c>
      <c r="P11" s="3">
        <f t="shared" si="1"/>
        <v>0.38092130730626911</v>
      </c>
      <c r="Q11" s="3"/>
      <c r="R11" s="3"/>
      <c r="S11" s="3"/>
      <c r="T11" s="3"/>
      <c r="U11" s="3"/>
    </row>
    <row r="12" spans="1:21" x14ac:dyDescent="0.25">
      <c r="A12" s="3">
        <v>9.9999999999999995E-7</v>
      </c>
      <c r="B12" s="3">
        <v>8.9759999999999994E-5</v>
      </c>
      <c r="C12" s="3">
        <v>2.153E-4</v>
      </c>
      <c r="D12" s="3">
        <v>-6.0249999999999995E-4</v>
      </c>
      <c r="E12" s="3">
        <v>0</v>
      </c>
      <c r="F12" s="3">
        <v>0</v>
      </c>
      <c r="G12" s="3">
        <v>0</v>
      </c>
      <c r="H12" s="3">
        <v>1.0292363999999999E-4</v>
      </c>
      <c r="I12" s="3">
        <v>2.3452822E-5</v>
      </c>
      <c r="J12" s="3">
        <v>-2.6645526999999997E-4</v>
      </c>
      <c r="K12" s="3"/>
      <c r="L12" s="3">
        <f t="shared" si="0"/>
        <v>0.14897925311203319</v>
      </c>
      <c r="M12" s="3"/>
      <c r="N12" s="2">
        <f>IF('Modell einstellen'!$B$1="Voll",H12/0.35,H12/0.35*2)</f>
        <v>2.9406754285714288E-4</v>
      </c>
      <c r="O12" s="2">
        <f>IF('Modell einstellen'!$B$1="Voll",J12/0.35,J12/0.35*2)</f>
        <v>-7.6130077142857143E-4</v>
      </c>
      <c r="P12" s="3">
        <f t="shared" si="1"/>
        <v>0.38626986060362029</v>
      </c>
      <c r="Q12" s="3"/>
      <c r="R12" s="3"/>
      <c r="S12" s="3"/>
      <c r="T12" s="3"/>
      <c r="U12" s="3"/>
    </row>
    <row r="13" spans="1:21" x14ac:dyDescent="0.25">
      <c r="A13" s="3">
        <v>1.0000000000000001E-5</v>
      </c>
      <c r="B13" s="3">
        <v>8.7369999999999999E-5</v>
      </c>
      <c r="C13" s="3">
        <v>2.2139999999999999E-4</v>
      </c>
      <c r="D13" s="3">
        <v>-6.0849999999999999E-4</v>
      </c>
      <c r="E13" s="3">
        <v>0</v>
      </c>
      <c r="F13" s="3">
        <v>0</v>
      </c>
      <c r="G13" s="3">
        <v>0</v>
      </c>
      <c r="H13" s="3">
        <v>1.0760868E-4</v>
      </c>
      <c r="I13" s="3">
        <v>2.4227701000000001E-5</v>
      </c>
      <c r="J13" s="3">
        <v>-2.7434525999999999E-4</v>
      </c>
      <c r="K13" s="3"/>
      <c r="L13" s="3">
        <f t="shared" si="0"/>
        <v>0.14358258011503697</v>
      </c>
      <c r="M13" s="3"/>
      <c r="N13" s="2">
        <f>IF('Modell einstellen'!$B$1="Voll",H13/0.35,H13/0.35*2)</f>
        <v>3.0745337142857145E-4</v>
      </c>
      <c r="O13" s="2">
        <f>IF('Modell einstellen'!$B$1="Voll",J13/0.35,J13/0.35*2)</f>
        <v>-7.8384359999999998E-4</v>
      </c>
      <c r="P13" s="3">
        <f t="shared" si="1"/>
        <v>0.39223816004694234</v>
      </c>
      <c r="Q13" s="3"/>
      <c r="R13" s="3"/>
      <c r="S13" s="3"/>
      <c r="T13" s="3"/>
      <c r="U13" s="3"/>
    </row>
    <row r="14" spans="1:21" x14ac:dyDescent="0.25">
      <c r="A14" s="3">
        <v>1E-4</v>
      </c>
      <c r="B14" s="3">
        <v>8.4270000000000005E-5</v>
      </c>
      <c r="C14" s="3">
        <v>2.2790000000000001E-4</v>
      </c>
      <c r="D14" s="3">
        <v>-6.1430000000000002E-4</v>
      </c>
      <c r="E14" s="3">
        <v>0</v>
      </c>
      <c r="F14" s="3">
        <v>0</v>
      </c>
      <c r="G14" s="3">
        <v>0</v>
      </c>
      <c r="H14" s="3">
        <v>1.1275991000000001E-4</v>
      </c>
      <c r="I14" s="3">
        <v>2.5054308E-5</v>
      </c>
      <c r="J14" s="3">
        <v>-2.8291201999999999E-4</v>
      </c>
      <c r="K14" s="3"/>
      <c r="L14" s="3">
        <f t="shared" si="0"/>
        <v>0.1371805306853329</v>
      </c>
      <c r="M14" s="3"/>
      <c r="N14" s="2">
        <f>IF('Modell einstellen'!$B$1="Voll",H14/0.35,H14/0.35*2)</f>
        <v>3.2217117142857148E-4</v>
      </c>
      <c r="O14" s="2">
        <f>IF('Modell einstellen'!$B$1="Voll",J14/0.35,J14/0.35*2)</f>
        <v>-8.0832005714285714E-4</v>
      </c>
      <c r="P14" s="3">
        <f t="shared" si="1"/>
        <v>0.39856882008760186</v>
      </c>
      <c r="Q14" s="3"/>
      <c r="R14" s="3"/>
      <c r="S14" s="3"/>
      <c r="T14" s="3"/>
      <c r="U14" s="3"/>
    </row>
    <row r="15" spans="1:21" x14ac:dyDescent="0.25">
      <c r="A15" s="3">
        <v>1E-3</v>
      </c>
      <c r="B15" s="3">
        <v>8.0569999999999996E-5</v>
      </c>
      <c r="C15" s="3">
        <v>2.343E-4</v>
      </c>
      <c r="D15" s="3">
        <v>-6.1939999999999999E-4</v>
      </c>
      <c r="E15" s="3">
        <v>0</v>
      </c>
      <c r="F15" s="3">
        <v>0</v>
      </c>
      <c r="G15" s="3">
        <v>0</v>
      </c>
      <c r="H15" s="3">
        <v>1.1810532E-4</v>
      </c>
      <c r="I15" s="3">
        <v>2.5885597999999999E-5</v>
      </c>
      <c r="J15" s="3">
        <v>-2.9168930999999999E-4</v>
      </c>
      <c r="K15" s="3"/>
      <c r="L15" s="3">
        <f t="shared" si="0"/>
        <v>0.13007749434937035</v>
      </c>
      <c r="M15" s="3"/>
      <c r="N15" s="2">
        <f>IF('Modell einstellen'!$B$1="Voll",H15/0.35,H15/0.35*2)</f>
        <v>3.3744377142857145E-4</v>
      </c>
      <c r="O15" s="2">
        <f>IF('Modell einstellen'!$B$1="Voll",J15/0.35,J15/0.35*2)</f>
        <v>-8.3339802857142859E-4</v>
      </c>
      <c r="P15" s="3">
        <f t="shared" si="1"/>
        <v>0.40490109150726161</v>
      </c>
      <c r="Q15" s="3"/>
      <c r="R15" s="3"/>
      <c r="S15" s="3"/>
      <c r="T15" s="3"/>
      <c r="U15" s="3"/>
    </row>
    <row r="16" spans="1:21" x14ac:dyDescent="0.25">
      <c r="A16" s="3">
        <v>0.01</v>
      </c>
      <c r="B16" s="3">
        <v>7.5660000000000004E-5</v>
      </c>
      <c r="C16" s="3">
        <v>2.4149999999999999E-4</v>
      </c>
      <c r="D16" s="3">
        <v>-6.244E-4</v>
      </c>
      <c r="E16" s="3">
        <v>0</v>
      </c>
      <c r="F16" s="3">
        <v>0</v>
      </c>
      <c r="G16" s="3">
        <v>0</v>
      </c>
      <c r="H16" s="3">
        <v>1.2440891E-4</v>
      </c>
      <c r="I16" s="3">
        <v>2.6834821999999999E-5</v>
      </c>
      <c r="J16" s="3">
        <v>-3.0190867000000002E-4</v>
      </c>
      <c r="K16" s="3"/>
      <c r="L16" s="3">
        <f t="shared" si="0"/>
        <v>0.12117232543241513</v>
      </c>
      <c r="M16" s="3"/>
      <c r="N16" s="2">
        <f>IF('Modell einstellen'!$B$1="Voll",H16/0.35,H16/0.35*2)</f>
        <v>3.5545402857142859E-4</v>
      </c>
      <c r="O16" s="2">
        <f>IF('Modell einstellen'!$B$1="Voll",J16/0.35,J16/0.35*2)</f>
        <v>-8.6259620000000016E-4</v>
      </c>
      <c r="P16" s="3">
        <f t="shared" si="1"/>
        <v>0.41207465158254641</v>
      </c>
      <c r="Q16" s="3"/>
      <c r="R16" s="3"/>
      <c r="S16" s="3"/>
      <c r="T16" s="3"/>
      <c r="U16" s="3"/>
    </row>
    <row r="17" spans="1:21" x14ac:dyDescent="0.25">
      <c r="A17" s="3">
        <v>0.1</v>
      </c>
      <c r="B17" s="3">
        <v>6.8200000000000004E-5</v>
      </c>
      <c r="C17" s="3">
        <v>2.5060000000000002E-4</v>
      </c>
      <c r="D17" s="3">
        <v>-6.2949999999999996E-4</v>
      </c>
      <c r="E17" s="3">
        <v>0</v>
      </c>
      <c r="F17" s="3">
        <v>0</v>
      </c>
      <c r="G17" s="3">
        <v>0</v>
      </c>
      <c r="H17" s="3">
        <v>1.3284877000000001E-4</v>
      </c>
      <c r="I17" s="3">
        <v>2.8058549999999999E-5</v>
      </c>
      <c r="J17" s="3">
        <v>-3.1538794999999998E-4</v>
      </c>
      <c r="K17" s="3"/>
      <c r="L17" s="3">
        <f t="shared" si="0"/>
        <v>0.10833995234312949</v>
      </c>
      <c r="M17" s="3"/>
      <c r="N17" s="2">
        <f>IF('Modell einstellen'!$B$1="Voll",H17/0.35,H17/0.35*2)</f>
        <v>3.7956791428571434E-4</v>
      </c>
      <c r="O17" s="2">
        <f>IF('Modell einstellen'!$B$1="Voll",J17/0.35,J17/0.35*2)</f>
        <v>-9.0110842857142853E-4</v>
      </c>
      <c r="P17" s="3">
        <f t="shared" si="1"/>
        <v>0.4212233536506389</v>
      </c>
      <c r="Q17" s="3"/>
      <c r="R17" s="3"/>
      <c r="S17" s="3"/>
      <c r="T17" s="3"/>
      <c r="U17" s="3"/>
    </row>
    <row r="18" spans="1:21" x14ac:dyDescent="0.25">
      <c r="A18" s="3">
        <v>1</v>
      </c>
      <c r="B18" s="3">
        <v>5.8119999999999999E-5</v>
      </c>
      <c r="C18" s="3">
        <v>2.6120000000000001E-4</v>
      </c>
      <c r="D18" s="3">
        <v>-6.3369999999999995E-4</v>
      </c>
      <c r="E18" s="3">
        <v>0</v>
      </c>
      <c r="F18" s="3">
        <v>0</v>
      </c>
      <c r="G18" s="3">
        <v>0</v>
      </c>
      <c r="H18" s="3">
        <v>1.4295955000000001E-4</v>
      </c>
      <c r="I18" s="3">
        <v>2.950307E-5</v>
      </c>
      <c r="J18" s="3">
        <v>-3.3137964000000002E-4</v>
      </c>
      <c r="K18" s="3"/>
      <c r="L18" s="3">
        <f t="shared" si="0"/>
        <v>9.1715322707905958E-2</v>
      </c>
      <c r="M18" s="3"/>
      <c r="N18" s="2">
        <f>IF('Modell einstellen'!$B$1="Voll",H18/0.35,H18/0.35*2)</f>
        <v>4.0845585714285718E-4</v>
      </c>
      <c r="O18" s="2">
        <f>IF('Modell einstellen'!$B$1="Voll",J18/0.35,J18/0.35*2)</f>
        <v>-9.4679897142857159E-4</v>
      </c>
      <c r="P18" s="3">
        <f t="shared" si="1"/>
        <v>0.43140716188840084</v>
      </c>
      <c r="Q18" s="3"/>
      <c r="R18" s="3"/>
      <c r="S18" s="3"/>
      <c r="T18" s="3"/>
      <c r="U18" s="3"/>
    </row>
    <row r="19" spans="1:21" x14ac:dyDescent="0.25">
      <c r="A19" s="3">
        <v>10</v>
      </c>
      <c r="B19" s="3">
        <v>4.8560000000000003E-5</v>
      </c>
      <c r="C19" s="3">
        <v>2.7500000000000002E-4</v>
      </c>
      <c r="D19" s="3">
        <v>-6.4030000000000001E-4</v>
      </c>
      <c r="E19" s="3">
        <v>0</v>
      </c>
      <c r="F19" s="3">
        <v>0</v>
      </c>
      <c r="G19" s="3">
        <v>0</v>
      </c>
      <c r="H19" s="3">
        <v>1.5264192E-4</v>
      </c>
      <c r="I19" s="3">
        <v>3.1330846999999997E-5</v>
      </c>
      <c r="J19" s="3">
        <v>-3.4795003999999998E-4</v>
      </c>
      <c r="K19" s="3"/>
      <c r="L19" s="3">
        <f t="shared" si="0"/>
        <v>7.5839450257691704E-2</v>
      </c>
      <c r="M19" s="3"/>
      <c r="N19" s="2">
        <f>IF('Modell einstellen'!$B$1="Voll",H19/0.35,H19/0.35*2)</f>
        <v>4.3611977142857147E-4</v>
      </c>
      <c r="O19" s="2">
        <f>IF('Modell einstellen'!$B$1="Voll",J19/0.35,J19/0.35*2)</f>
        <v>-9.9414297142857142E-4</v>
      </c>
      <c r="P19" s="3">
        <f t="shared" si="1"/>
        <v>0.43868918652804295</v>
      </c>
      <c r="Q19" s="3"/>
      <c r="R19" s="3"/>
      <c r="S19" s="3"/>
      <c r="T19" s="3"/>
      <c r="U19" s="3"/>
    </row>
    <row r="20" spans="1:21" x14ac:dyDescent="0.25">
      <c r="A20" s="3">
        <v>100</v>
      </c>
      <c r="B20" s="3">
        <v>4.4459999999999998E-5</v>
      </c>
      <c r="C20" s="3">
        <v>3.0219999999999997E-4</v>
      </c>
      <c r="D20" s="3">
        <v>-6.623E-4</v>
      </c>
      <c r="E20" s="3">
        <v>0</v>
      </c>
      <c r="F20" s="3">
        <v>0</v>
      </c>
      <c r="G20" s="3">
        <v>0</v>
      </c>
      <c r="H20" s="3">
        <v>1.6104035E-4</v>
      </c>
      <c r="I20" s="3">
        <v>3.4795139999999998E-5</v>
      </c>
      <c r="J20" s="3">
        <v>-3.6799711E-4</v>
      </c>
      <c r="K20" s="3"/>
      <c r="L20" s="3">
        <f t="shared" si="0"/>
        <v>6.7129699531934164E-2</v>
      </c>
      <c r="M20" s="3"/>
      <c r="N20" s="2">
        <f>IF('Modell einstellen'!$B$1="Voll",H20/0.35,H20/0.35*2)</f>
        <v>4.6011528571428576E-4</v>
      </c>
      <c r="O20" s="2">
        <f>IF('Modell einstellen'!$B$1="Voll",J20/0.35,J20/0.35*2)</f>
        <v>-1.0514203142857144E-3</v>
      </c>
      <c r="P20" s="3">
        <f t="shared" si="1"/>
        <v>0.43761308342883454</v>
      </c>
      <c r="Q20" s="3"/>
      <c r="R20" s="3"/>
      <c r="S20" s="3"/>
      <c r="T20" s="3"/>
      <c r="U20" s="3"/>
    </row>
    <row r="21" spans="1:21" x14ac:dyDescent="0.25">
      <c r="A21" s="3">
        <v>1000</v>
      </c>
      <c r="B21" s="3">
        <v>4.5000000000000003E-5</v>
      </c>
      <c r="C21" s="3">
        <v>3.4440000000000002E-4</v>
      </c>
      <c r="D21" s="3">
        <v>-7.0140000000000003E-4</v>
      </c>
      <c r="E21" s="3">
        <v>0</v>
      </c>
      <c r="F21" s="3">
        <v>0</v>
      </c>
      <c r="G21" s="3">
        <v>0</v>
      </c>
      <c r="H21" s="3">
        <v>1.6965118E-4</v>
      </c>
      <c r="I21" s="3">
        <v>4.0152728999999999E-5</v>
      </c>
      <c r="J21" s="3">
        <v>-3.9417560999999997E-4</v>
      </c>
      <c r="K21" s="3"/>
      <c r="L21" s="3">
        <f t="shared" si="0"/>
        <v>6.4157399486740804E-2</v>
      </c>
      <c r="M21" s="3"/>
      <c r="N21" s="2">
        <f>IF('Modell einstellen'!$B$1="Voll",H21/0.35,H21/0.35*2)</f>
        <v>4.8471765714285718E-4</v>
      </c>
      <c r="O21" s="2">
        <f>IF('Modell einstellen'!$B$1="Voll",J21/0.35,J21/0.35*2)</f>
        <v>-1.1262160285714286E-3</v>
      </c>
      <c r="P21" s="3">
        <f t="shared" si="1"/>
        <v>0.43039491966537452</v>
      </c>
      <c r="Q21" s="3"/>
      <c r="R21" s="3"/>
      <c r="S21" s="3"/>
      <c r="T21" s="3"/>
      <c r="U21" s="3"/>
    </row>
    <row r="22" spans="1:21" x14ac:dyDescent="0.25">
      <c r="A22" s="3">
        <v>10000</v>
      </c>
      <c r="B22" s="3">
        <v>4.7469999999999998E-5</v>
      </c>
      <c r="C22" s="3">
        <v>3.902E-4</v>
      </c>
      <c r="D22" s="3">
        <v>-7.4580000000000002E-4</v>
      </c>
      <c r="E22" s="3">
        <v>0</v>
      </c>
      <c r="F22" s="3">
        <v>0</v>
      </c>
      <c r="G22" s="3">
        <v>0</v>
      </c>
      <c r="H22" s="3">
        <v>1.7855147000000001E-4</v>
      </c>
      <c r="I22" s="3">
        <v>4.6030628999999999E-5</v>
      </c>
      <c r="J22" s="3">
        <v>-4.2249025000000001E-4</v>
      </c>
      <c r="K22" s="3"/>
      <c r="L22" s="3">
        <f t="shared" si="0"/>
        <v>6.3649772056851697E-2</v>
      </c>
      <c r="M22" s="3"/>
      <c r="N22" s="2">
        <f>IF('Modell einstellen'!$B$1="Voll",H22/0.35,H22/0.35*2)</f>
        <v>5.1014705714285725E-4</v>
      </c>
      <c r="O22" s="2">
        <f>IF('Modell einstellen'!$B$1="Voll",J22/0.35,J22/0.35*2)</f>
        <v>-1.2071150000000001E-3</v>
      </c>
      <c r="P22" s="3">
        <f t="shared" si="1"/>
        <v>0.42261678228077459</v>
      </c>
      <c r="Q22" s="3"/>
      <c r="R22" s="3"/>
      <c r="S22" s="3"/>
      <c r="T22" s="3"/>
      <c r="U22" s="3"/>
    </row>
    <row r="23" spans="1:21" x14ac:dyDescent="0.25">
      <c r="A23" s="3">
        <v>100000</v>
      </c>
      <c r="B23" s="3">
        <v>4.566E-5</v>
      </c>
      <c r="C23" s="3">
        <v>4.3310000000000001E-4</v>
      </c>
      <c r="D23" s="3">
        <v>-7.8470000000000005E-4</v>
      </c>
      <c r="E23" s="3">
        <v>0</v>
      </c>
      <c r="F23" s="3">
        <v>0</v>
      </c>
      <c r="G23" s="3">
        <v>0</v>
      </c>
      <c r="H23" s="3">
        <v>1.8903211E-4</v>
      </c>
      <c r="I23" s="3">
        <v>5.1729147999999997E-5</v>
      </c>
      <c r="J23" s="3">
        <v>-4.5217682999999998E-4</v>
      </c>
      <c r="K23" s="3"/>
      <c r="L23" s="3">
        <f t="shared" si="0"/>
        <v>5.8187842487574866E-2</v>
      </c>
      <c r="M23" s="3"/>
      <c r="N23" s="2">
        <f>IF('Modell einstellen'!$B$1="Voll",H23/0.35,H23/0.35*2)</f>
        <v>5.4009174285714291E-4</v>
      </c>
      <c r="O23" s="2">
        <f>IF('Modell einstellen'!$B$1="Voll",J23/0.35,J23/0.35*2)</f>
        <v>-1.2919337999999999E-3</v>
      </c>
      <c r="P23" s="3">
        <f t="shared" si="1"/>
        <v>0.41804908491220133</v>
      </c>
      <c r="Q23" s="3"/>
      <c r="R23" s="3"/>
      <c r="S23" s="3"/>
      <c r="T23" s="3"/>
      <c r="U23" s="3"/>
    </row>
    <row r="24" spans="1:21" x14ac:dyDescent="0.25">
      <c r="A24" s="3">
        <v>1000000</v>
      </c>
      <c r="B24" s="3">
        <v>3.8099999999999998E-5</v>
      </c>
      <c r="C24" s="3">
        <v>4.7330000000000001E-4</v>
      </c>
      <c r="D24" s="3">
        <v>-8.1680000000000001E-4</v>
      </c>
      <c r="E24" s="3">
        <v>0</v>
      </c>
      <c r="F24" s="3">
        <v>0</v>
      </c>
      <c r="G24" s="3">
        <v>0</v>
      </c>
      <c r="H24" s="3">
        <v>2.0189469E-4</v>
      </c>
      <c r="I24" s="3">
        <v>5.7271485000000001E-5</v>
      </c>
      <c r="J24" s="3">
        <v>-4.8418442999999999E-4</v>
      </c>
      <c r="K24" s="3"/>
      <c r="L24" s="3">
        <f t="shared" si="0"/>
        <v>4.6645445641527908E-2</v>
      </c>
      <c r="M24" s="3"/>
      <c r="N24" s="2">
        <f>IF('Modell einstellen'!$B$1="Voll",H24/0.35,H24/0.35*2)</f>
        <v>5.768419714285714E-4</v>
      </c>
      <c r="O24" s="2">
        <f>IF('Modell einstellen'!$B$1="Voll",J24/0.35,J24/0.35*2)</f>
        <v>-1.3833840857142858E-3</v>
      </c>
      <c r="P24" s="3">
        <f t="shared" si="1"/>
        <v>0.41697889789640691</v>
      </c>
      <c r="Q24" s="3"/>
      <c r="R24" s="3"/>
      <c r="S24" s="3"/>
      <c r="T24" s="3"/>
      <c r="U24" s="3"/>
    </row>
    <row r="25" spans="1:21" x14ac:dyDescent="0.25">
      <c r="A25" s="3">
        <v>10000000</v>
      </c>
      <c r="B25" s="3">
        <v>1.9369999999999999E-5</v>
      </c>
      <c r="C25" s="3">
        <v>5.1519999999999995E-4</v>
      </c>
      <c r="D25" s="3">
        <v>-8.4130000000000001E-4</v>
      </c>
      <c r="E25" s="3">
        <v>0</v>
      </c>
      <c r="F25" s="3">
        <v>0</v>
      </c>
      <c r="G25" s="3">
        <v>0</v>
      </c>
      <c r="H25" s="3">
        <v>2.1919826E-4</v>
      </c>
      <c r="I25" s="3">
        <v>6.3318279999999998E-5</v>
      </c>
      <c r="J25" s="3">
        <v>-5.2291084999999998E-4</v>
      </c>
      <c r="K25" s="3"/>
      <c r="L25" s="3">
        <f t="shared" si="0"/>
        <v>2.3023891596338997E-2</v>
      </c>
      <c r="M25" s="3"/>
      <c r="N25" s="2">
        <f>IF('Modell einstellen'!$B$1="Voll",H25/0.35,H25/0.35*2)</f>
        <v>6.2628074285714288E-4</v>
      </c>
      <c r="O25" s="2">
        <f>IF('Modell einstellen'!$B$1="Voll",J25/0.35,J25/0.35*2)</f>
        <v>-1.494031E-3</v>
      </c>
      <c r="P25" s="3">
        <f t="shared" si="1"/>
        <v>0.41918858635272149</v>
      </c>
      <c r="Q25" s="3"/>
      <c r="R25" s="3"/>
      <c r="S25" s="3"/>
      <c r="T25" s="3"/>
      <c r="U25" s="3"/>
    </row>
    <row r="26" spans="1:21" x14ac:dyDescent="0.25">
      <c r="A26" s="3">
        <v>100000000</v>
      </c>
      <c r="B26" s="3">
        <v>-1.3900000000000001E-5</v>
      </c>
      <c r="C26" s="3">
        <v>5.6110000000000003E-4</v>
      </c>
      <c r="D26" s="3">
        <v>-8.564E-4</v>
      </c>
      <c r="E26" s="3">
        <v>0</v>
      </c>
      <c r="F26" s="3">
        <v>0</v>
      </c>
      <c r="G26" s="3">
        <v>0</v>
      </c>
      <c r="H26" s="3">
        <v>2.4117598000000001E-4</v>
      </c>
      <c r="I26" s="3">
        <v>7.0211686000000006E-5</v>
      </c>
      <c r="J26" s="3">
        <v>-5.6967010000000002E-4</v>
      </c>
      <c r="K26" s="3"/>
      <c r="L26" s="3">
        <f t="shared" si="0"/>
        <v>-1.6230733302195238E-2</v>
      </c>
      <c r="M26" s="3"/>
      <c r="N26" s="2">
        <f>IF('Modell einstellen'!$B$1="Voll",H26/0.35,H26/0.35*2)</f>
        <v>6.8907422857142863E-4</v>
      </c>
      <c r="O26" s="2">
        <f>IF('Modell einstellen'!$B$1="Voll",J26/0.35,J26/0.35*2)</f>
        <v>-1.6276288571428572E-3</v>
      </c>
      <c r="P26" s="3">
        <f t="shared" si="1"/>
        <v>0.42336078372377278</v>
      </c>
      <c r="Q26" s="3"/>
      <c r="R26" s="3"/>
      <c r="S26" s="3"/>
      <c r="T26" s="3"/>
      <c r="U26" s="3"/>
    </row>
    <row r="27" spans="1:21" x14ac:dyDescent="0.25">
      <c r="A27" s="3">
        <v>1000000000</v>
      </c>
      <c r="B27" s="3">
        <v>-7.2139999999999997E-5</v>
      </c>
      <c r="C27" s="3">
        <v>6.1740000000000005E-4</v>
      </c>
      <c r="D27" s="3">
        <v>-8.5800000000000004E-4</v>
      </c>
      <c r="E27" s="3">
        <v>0</v>
      </c>
      <c r="F27" s="3">
        <v>0</v>
      </c>
      <c r="G27" s="3">
        <v>0</v>
      </c>
      <c r="H27" s="3">
        <v>2.7102809E-4</v>
      </c>
      <c r="I27" s="3">
        <v>7.8973218000000001E-5</v>
      </c>
      <c r="J27" s="3">
        <v>-6.3129752000000005E-4</v>
      </c>
      <c r="K27" s="3"/>
      <c r="L27" s="3">
        <f t="shared" si="0"/>
        <v>-8.4079254079254068E-2</v>
      </c>
      <c r="M27" s="3"/>
      <c r="N27" s="2">
        <f>IF('Modell einstellen'!$B$1="Voll",H27/0.35,H27/0.35*2)</f>
        <v>7.7436597142857143E-4</v>
      </c>
      <c r="O27" s="2">
        <f>IF('Modell einstellen'!$B$1="Voll",J27/0.35,J27/0.35*2)</f>
        <v>-1.8037072000000002E-3</v>
      </c>
      <c r="P27" s="3">
        <f t="shared" si="1"/>
        <v>0.4293191109003564</v>
      </c>
      <c r="Q27" s="3"/>
      <c r="R27" s="3"/>
      <c r="S27" s="3"/>
      <c r="T27" s="3"/>
      <c r="U27" s="3"/>
    </row>
    <row r="28" spans="1:21" x14ac:dyDescent="0.25">
      <c r="A28" s="3">
        <v>10000000000</v>
      </c>
      <c r="B28" s="3">
        <v>-1.7220000000000001E-4</v>
      </c>
      <c r="C28" s="3">
        <v>6.9169999999999995E-4</v>
      </c>
      <c r="D28" s="3">
        <v>-8.3690000000000001E-4</v>
      </c>
      <c r="E28" s="3">
        <v>0</v>
      </c>
      <c r="F28" s="3">
        <v>0</v>
      </c>
      <c r="G28" s="3">
        <v>0</v>
      </c>
      <c r="H28" s="3">
        <v>3.1356375999999999E-4</v>
      </c>
      <c r="I28" s="3">
        <v>9.0981848999999998E-5</v>
      </c>
      <c r="J28" s="3">
        <v>-7.1754955000000002E-4</v>
      </c>
      <c r="K28" s="3"/>
      <c r="L28" s="3">
        <f t="shared" si="0"/>
        <v>-0.20575934998207673</v>
      </c>
      <c r="M28" s="3"/>
      <c r="N28" s="2">
        <f>IF('Modell einstellen'!$B$1="Voll",H28/0.35,H28/0.35*2)</f>
        <v>8.9589645714285718E-4</v>
      </c>
      <c r="O28" s="2">
        <f>IF('Modell einstellen'!$B$1="Voll",J28/0.35,J28/0.35*2)</f>
        <v>-2.0501415714285717E-3</v>
      </c>
      <c r="P28" s="3">
        <f t="shared" si="1"/>
        <v>0.43699248365496152</v>
      </c>
      <c r="Q28" s="3"/>
      <c r="R28" s="3"/>
      <c r="S28" s="3"/>
      <c r="T28" s="3"/>
      <c r="U28" s="3"/>
    </row>
    <row r="29" spans="1:21" x14ac:dyDescent="0.25">
      <c r="A29" s="3">
        <v>100000000000</v>
      </c>
      <c r="B29" s="3">
        <v>-3.5710000000000001E-4</v>
      </c>
      <c r="C29" s="3">
        <v>8.0139999999999996E-4</v>
      </c>
      <c r="D29" s="3">
        <v>-7.6809999999999997E-4</v>
      </c>
      <c r="E29" s="3">
        <v>0</v>
      </c>
      <c r="F29" s="3">
        <v>0</v>
      </c>
      <c r="G29" s="3">
        <v>0</v>
      </c>
      <c r="H29" s="3">
        <v>3.8160762999999998E-4</v>
      </c>
      <c r="I29" s="3">
        <v>1.0947605E-4</v>
      </c>
      <c r="J29" s="3">
        <v>-8.5301631000000001E-4</v>
      </c>
      <c r="K29" s="3"/>
      <c r="L29" s="3">
        <f t="shared" si="0"/>
        <v>-0.46491342273141523</v>
      </c>
      <c r="M29" s="3"/>
      <c r="N29" s="2">
        <f>IF('Modell einstellen'!$B$1="Voll",H29/0.35,H29/0.35*2)</f>
        <v>1.0903075142857143E-3</v>
      </c>
      <c r="O29" s="2">
        <f>IF('Modell einstellen'!$B$1="Voll",J29/0.35,J29/0.35*2)</f>
        <v>-2.4371894571428572E-3</v>
      </c>
      <c r="P29" s="3">
        <f t="shared" si="1"/>
        <v>0.44736264187023572</v>
      </c>
      <c r="Q29" s="3"/>
      <c r="R29" s="3"/>
      <c r="S29" s="3"/>
      <c r="T29" s="3"/>
      <c r="U29" s="3"/>
    </row>
    <row r="30" spans="1:21" x14ac:dyDescent="0.25">
      <c r="A30" s="3">
        <v>1000000000000</v>
      </c>
      <c r="B30" s="3">
        <v>-7.1230000000000002E-4</v>
      </c>
      <c r="C30" s="3">
        <v>9.7380000000000003E-4</v>
      </c>
      <c r="D30" s="3">
        <v>-5.9310000000000005E-4</v>
      </c>
      <c r="E30" s="3">
        <v>0</v>
      </c>
      <c r="F30" s="3">
        <v>0</v>
      </c>
      <c r="G30" s="3">
        <v>0</v>
      </c>
      <c r="H30" s="3">
        <v>4.9857579999999996E-4</v>
      </c>
      <c r="I30" s="3">
        <v>1.3992025000000001E-4</v>
      </c>
      <c r="J30" s="3">
        <v>-1.0809119E-3</v>
      </c>
      <c r="K30" s="3"/>
      <c r="L30" s="3">
        <f t="shared" si="0"/>
        <v>-1.2009779126622828</v>
      </c>
      <c r="M30" s="3"/>
      <c r="N30" s="2">
        <f>IF('Modell einstellen'!$B$1="Voll",H30/0.35,H30/0.35*2)</f>
        <v>1.4245022857142858E-3</v>
      </c>
      <c r="O30" s="2">
        <f>IF('Modell einstellen'!$B$1="Voll",J30/0.35,J30/0.35*2)</f>
        <v>-3.0883197142857147E-3</v>
      </c>
      <c r="P30" s="3">
        <f t="shared" si="1"/>
        <v>0.4612547979164629</v>
      </c>
      <c r="Q30" s="3"/>
      <c r="R30" s="3"/>
      <c r="S30" s="3"/>
      <c r="T30" s="3"/>
      <c r="U30" s="3"/>
    </row>
    <row r="31" spans="1:21" x14ac:dyDescent="0.25">
      <c r="A31" s="3">
        <v>10000000000000</v>
      </c>
      <c r="B31" s="3">
        <v>-1.3849999999999999E-3</v>
      </c>
      <c r="C31" s="3">
        <v>1.2470000000000001E-3</v>
      </c>
      <c r="D31" s="3">
        <v>-2.0239999999999999E-4</v>
      </c>
      <c r="E31" s="3">
        <v>0</v>
      </c>
      <c r="F31" s="3">
        <v>0</v>
      </c>
      <c r="G31" s="3">
        <v>0</v>
      </c>
      <c r="H31" s="3">
        <v>7.0263004000000004E-4</v>
      </c>
      <c r="I31" s="3">
        <v>1.9046495E-4</v>
      </c>
      <c r="J31" s="3">
        <v>-1.4687115999999999E-3</v>
      </c>
      <c r="K31" s="3"/>
      <c r="L31" s="3">
        <f t="shared" si="0"/>
        <v>-6.8428853754940713</v>
      </c>
      <c r="M31" s="3"/>
      <c r="N31" s="2">
        <f>IF('Modell einstellen'!$B$1="Voll",H31/0.35,H31/0.35*2)</f>
        <v>2.0075144000000003E-3</v>
      </c>
      <c r="O31" s="2">
        <f>IF('Modell einstellen'!$B$1="Voll",J31/0.35,J31/0.35*2)</f>
        <v>-4.1963188571428568E-3</v>
      </c>
      <c r="P31" s="3">
        <f t="shared" si="1"/>
        <v>0.47839891779979143</v>
      </c>
      <c r="Q31" s="3"/>
      <c r="R31" s="3"/>
      <c r="S31" s="3"/>
      <c r="T31" s="3"/>
      <c r="U31" s="3"/>
    </row>
    <row r="32" spans="1:21" x14ac:dyDescent="0.25">
      <c r="A32" s="3">
        <v>100000000000000</v>
      </c>
      <c r="B32" s="3">
        <v>-2.5019999999999999E-3</v>
      </c>
      <c r="C32" s="3">
        <v>1.6459999999999999E-3</v>
      </c>
      <c r="D32" s="3">
        <v>5.0889999999999996E-4</v>
      </c>
      <c r="E32" s="3">
        <v>0</v>
      </c>
      <c r="F32" s="3">
        <v>0</v>
      </c>
      <c r="G32" s="3">
        <v>0</v>
      </c>
      <c r="H32" s="3">
        <v>1.0251046E-3</v>
      </c>
      <c r="I32" s="3">
        <v>2.6691369999999999E-4</v>
      </c>
      <c r="J32" s="3">
        <v>-2.0678850999999998E-3</v>
      </c>
      <c r="K32" s="3"/>
      <c r="L32" s="3">
        <f t="shared" si="0"/>
        <v>4.9164865395952058</v>
      </c>
      <c r="M32" s="3"/>
      <c r="N32" s="2">
        <f>IF('Modell einstellen'!$B$1="Voll",H32/0.35,H32/0.35*2)</f>
        <v>2.9288702857142856E-3</v>
      </c>
      <c r="O32" s="2">
        <f>IF('Modell einstellen'!$B$1="Voll",J32/0.35,J32/0.35*2)</f>
        <v>-5.9082431428571424E-3</v>
      </c>
      <c r="P32" s="3">
        <f t="shared" si="1"/>
        <v>0.49572609232495563</v>
      </c>
      <c r="Q32" s="3"/>
      <c r="R32" s="3"/>
      <c r="S32" s="3"/>
      <c r="T32" s="3"/>
      <c r="U32" s="3"/>
    </row>
    <row r="33" spans="1:21" x14ac:dyDescent="0.25">
      <c r="A33" s="2">
        <v>1000000000000000</v>
      </c>
      <c r="B33" s="3">
        <v>-3.9969999999999997E-3</v>
      </c>
      <c r="C33" s="3">
        <v>2.1419999999999998E-3</v>
      </c>
      <c r="D33" s="3">
        <v>1.5039999999999999E-3</v>
      </c>
      <c r="E33" s="3">
        <v>0</v>
      </c>
      <c r="F33" s="3">
        <v>0</v>
      </c>
      <c r="G33" s="3">
        <v>0</v>
      </c>
      <c r="H33" s="3">
        <v>1.4458186E-3</v>
      </c>
      <c r="I33" s="3">
        <v>3.6366722000000001E-4</v>
      </c>
      <c r="J33" s="3">
        <v>-2.8365334000000002E-3</v>
      </c>
      <c r="K33" s="3"/>
      <c r="L33" s="3">
        <f t="shared" si="0"/>
        <v>2.6575797872340425</v>
      </c>
      <c r="M33" s="3"/>
      <c r="N33" s="2">
        <f>IF('Modell einstellen'!$B$1="Voll",H33/0.35,H33/0.35*2)</f>
        <v>4.1309102857142862E-3</v>
      </c>
      <c r="O33" s="2">
        <f>IF('Modell einstellen'!$B$1="Voll",J33/0.35,J33/0.35*2)</f>
        <v>-8.1043811428571436E-3</v>
      </c>
      <c r="P33" s="3">
        <f t="shared" si="1"/>
        <v>0.5097132295357425</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9.5799999999999998E-5</v>
      </c>
      <c r="C3" s="3">
        <v>1.8760000000000001E-4</v>
      </c>
      <c r="D3" s="3">
        <v>-5.6970000000000002E-4</v>
      </c>
      <c r="E3" s="3">
        <v>0</v>
      </c>
      <c r="F3" s="3">
        <v>0</v>
      </c>
      <c r="G3" s="3">
        <v>0</v>
      </c>
      <c r="H3" s="3">
        <v>8.3276429999999996E-5</v>
      </c>
      <c r="I3" s="3">
        <v>2.0052932E-5</v>
      </c>
      <c r="J3" s="3">
        <v>-2.3253198E-4</v>
      </c>
      <c r="K3" s="2"/>
      <c r="L3" s="3"/>
      <c r="M3" s="3"/>
      <c r="N3" s="2">
        <f>IF('Modell einstellen'!$B$1="Voll",H3/0.35,H3/0.35*2)</f>
        <v>2.3793265714285714E-4</v>
      </c>
      <c r="O3" s="2">
        <f>IF('Modell einstellen'!$B$1="Voll",J3/0.35,J3/0.35*2)</f>
        <v>-6.6437708571428578E-4</v>
      </c>
      <c r="P3" s="3">
        <f>-N3/O3</f>
        <v>0.35812893349121266</v>
      </c>
      <c r="Q3" s="3"/>
      <c r="R3" s="3"/>
      <c r="S3" s="3"/>
      <c r="T3" s="3"/>
      <c r="U3" s="3"/>
    </row>
    <row r="4" spans="1:21" x14ac:dyDescent="0.25">
      <c r="A4" s="3">
        <v>1E-14</v>
      </c>
      <c r="B4" s="3">
        <v>9.5450000000000003E-5</v>
      </c>
      <c r="C4" s="3">
        <v>1.9430000000000001E-4</v>
      </c>
      <c r="D4" s="3">
        <v>-5.7850000000000002E-4</v>
      </c>
      <c r="E4" s="3">
        <v>0</v>
      </c>
      <c r="F4" s="3">
        <v>0</v>
      </c>
      <c r="G4" s="3">
        <v>0</v>
      </c>
      <c r="H4" s="3">
        <v>8.7480931999999999E-5</v>
      </c>
      <c r="I4" s="3">
        <v>2.0849078999999999E-5</v>
      </c>
      <c r="J4" s="3">
        <v>-2.400387E-4</v>
      </c>
      <c r="K4" s="2"/>
      <c r="L4" s="3"/>
      <c r="M4" s="3"/>
      <c r="N4" s="2">
        <f>IF('Modell einstellen'!$B$1="Voll",H4/0.35,H4/0.35*2)</f>
        <v>2.4994551999999999E-4</v>
      </c>
      <c r="O4" s="2">
        <f>IF('Modell einstellen'!$B$1="Voll",J4/0.35,J4/0.35*2)</f>
        <v>-6.8582485714285715E-4</v>
      </c>
      <c r="P4" s="3">
        <f t="shared" ref="P4:P33" si="0">-N4/O4</f>
        <v>0.36444511655828826</v>
      </c>
      <c r="Q4" s="3"/>
      <c r="R4" s="3"/>
      <c r="S4" s="3"/>
      <c r="T4" s="3"/>
      <c r="U4" s="3"/>
    </row>
    <row r="5" spans="1:21" x14ac:dyDescent="0.25">
      <c r="A5" s="3">
        <v>1E-13</v>
      </c>
      <c r="B5" s="3">
        <v>9.4989999999999997E-5</v>
      </c>
      <c r="C5" s="3">
        <v>1.9819999999999999E-4</v>
      </c>
      <c r="D5" s="3">
        <v>-5.8330000000000003E-4</v>
      </c>
      <c r="E5" s="3">
        <v>0</v>
      </c>
      <c r="F5" s="3">
        <v>0</v>
      </c>
      <c r="G5" s="3">
        <v>0</v>
      </c>
      <c r="H5" s="3">
        <v>9.0030895000000005E-5</v>
      </c>
      <c r="I5" s="3">
        <v>2.1321331E-5</v>
      </c>
      <c r="J5" s="3">
        <v>-2.4454612000000001E-4</v>
      </c>
      <c r="K5" s="2"/>
      <c r="L5" s="3"/>
      <c r="M5" s="3"/>
      <c r="N5" s="2">
        <f>IF('Modell einstellen'!$B$1="Voll",H5/0.35,H5/0.35*2)</f>
        <v>2.5723112857142859E-4</v>
      </c>
      <c r="O5" s="2">
        <f>IF('Modell einstellen'!$B$1="Voll",J5/0.35,J5/0.35*2)</f>
        <v>-6.9870320000000002E-4</v>
      </c>
      <c r="P5" s="3">
        <f t="shared" si="0"/>
        <v>0.3681550743884221</v>
      </c>
      <c r="Q5" s="3"/>
      <c r="R5" s="3"/>
      <c r="S5" s="3"/>
      <c r="T5" s="3"/>
      <c r="U5" s="3"/>
    </row>
    <row r="6" spans="1:21" x14ac:dyDescent="0.25">
      <c r="A6" s="3">
        <v>9.9999999999999998E-13</v>
      </c>
      <c r="B6" s="3">
        <v>9.4389999999999996E-5</v>
      </c>
      <c r="C6" s="3">
        <v>2.0210000000000001E-4</v>
      </c>
      <c r="D6" s="3">
        <v>-5.8810000000000004E-4</v>
      </c>
      <c r="E6" s="3">
        <v>0</v>
      </c>
      <c r="F6" s="3">
        <v>0</v>
      </c>
      <c r="G6" s="3">
        <v>0</v>
      </c>
      <c r="H6" s="3">
        <v>9.2647101999999995E-5</v>
      </c>
      <c r="I6" s="3">
        <v>2.1798972999999999E-5</v>
      </c>
      <c r="J6" s="3">
        <v>-2.4914012000000003E-4</v>
      </c>
      <c r="K6" s="2"/>
      <c r="L6" s="3"/>
      <c r="M6" s="3"/>
      <c r="N6" s="2">
        <f>IF('Modell einstellen'!$B$1="Voll",H6/0.35,H6/0.35*2)</f>
        <v>2.6470600571428573E-4</v>
      </c>
      <c r="O6" s="2">
        <f>IF('Modell einstellen'!$B$1="Voll",J6/0.35,J6/0.35*2)</f>
        <v>-7.1182891428571437E-4</v>
      </c>
      <c r="P6" s="3">
        <f t="shared" si="0"/>
        <v>0.37186745354381301</v>
      </c>
      <c r="Q6" s="3"/>
      <c r="R6" s="3"/>
      <c r="S6" s="3"/>
      <c r="T6" s="3"/>
      <c r="U6" s="3"/>
    </row>
    <row r="7" spans="1:21" x14ac:dyDescent="0.25">
      <c r="A7" s="3">
        <v>9.9999999999999994E-12</v>
      </c>
      <c r="B7" s="3">
        <v>9.3510000000000004E-5</v>
      </c>
      <c r="C7" s="3">
        <v>2.065E-4</v>
      </c>
      <c r="D7" s="3">
        <v>-5.9329999999999995E-4</v>
      </c>
      <c r="E7" s="3">
        <v>0</v>
      </c>
      <c r="F7" s="3">
        <v>0</v>
      </c>
      <c r="G7" s="3">
        <v>0</v>
      </c>
      <c r="H7" s="3">
        <v>9.5685301000000006E-5</v>
      </c>
      <c r="I7" s="3">
        <v>2.2344175E-5</v>
      </c>
      <c r="J7" s="3">
        <v>-2.5443303999999998E-4</v>
      </c>
      <c r="K7" s="2"/>
      <c r="L7" s="3"/>
      <c r="M7" s="3"/>
      <c r="N7" s="2">
        <f>IF('Modell einstellen'!$B$1="Voll",H7/0.35,H7/0.35*2)</f>
        <v>2.7338657428571433E-4</v>
      </c>
      <c r="O7" s="2">
        <f>IF('Modell einstellen'!$B$1="Voll",J7/0.35,J7/0.35*2)</f>
        <v>-7.269515428571429E-4</v>
      </c>
      <c r="P7" s="3">
        <f t="shared" si="0"/>
        <v>0.37607262405857356</v>
      </c>
      <c r="Q7" s="3"/>
      <c r="R7" s="3"/>
      <c r="S7" s="3"/>
      <c r="T7" s="3"/>
      <c r="U7" s="3"/>
    </row>
    <row r="8" spans="1:21" x14ac:dyDescent="0.25">
      <c r="A8" s="3">
        <v>1E-10</v>
      </c>
      <c r="B8" s="3">
        <v>9.2280000000000004E-5</v>
      </c>
      <c r="C8" s="3">
        <v>2.1139999999999999E-4</v>
      </c>
      <c r="D8" s="3">
        <v>-5.9880000000000003E-4</v>
      </c>
      <c r="E8" s="3">
        <v>0</v>
      </c>
      <c r="F8" s="3">
        <v>0</v>
      </c>
      <c r="G8" s="3">
        <v>0</v>
      </c>
      <c r="H8" s="3">
        <v>9.9114396999999999E-5</v>
      </c>
      <c r="I8" s="3">
        <v>2.2947628E-5</v>
      </c>
      <c r="J8" s="3">
        <v>-2.6035473999999999E-4</v>
      </c>
      <c r="K8" s="2"/>
      <c r="L8" s="3"/>
      <c r="M8" s="3"/>
      <c r="N8" s="2">
        <f>IF('Modell einstellen'!$B$1="Voll",H8/0.35,H8/0.35*2)</f>
        <v>2.8318399142857146E-4</v>
      </c>
      <c r="O8" s="2">
        <f>IF('Modell einstellen'!$B$1="Voll",J8/0.35,J8/0.35*2)</f>
        <v>-7.4387068571428569E-4</v>
      </c>
      <c r="P8" s="3">
        <f t="shared" si="0"/>
        <v>0.38068981190816814</v>
      </c>
      <c r="Q8" s="3"/>
      <c r="R8" s="3"/>
      <c r="S8" s="3"/>
      <c r="T8" s="3"/>
      <c r="U8" s="3"/>
    </row>
    <row r="9" spans="1:21" x14ac:dyDescent="0.25">
      <c r="A9" s="3">
        <v>1.0000000000000001E-9</v>
      </c>
      <c r="B9" s="3">
        <v>9.0509999999999999E-5</v>
      </c>
      <c r="C9" s="3">
        <v>2.1699999999999999E-4</v>
      </c>
      <c r="D9" s="3">
        <v>-6.0470000000000001E-4</v>
      </c>
      <c r="E9" s="3">
        <v>0</v>
      </c>
      <c r="F9" s="3">
        <v>0</v>
      </c>
      <c r="G9" s="3">
        <v>0</v>
      </c>
      <c r="H9" s="3">
        <v>1.0320271E-4</v>
      </c>
      <c r="I9" s="3">
        <v>2.3650868E-5</v>
      </c>
      <c r="J9" s="3">
        <v>-2.6734471000000002E-4</v>
      </c>
      <c r="K9" s="2"/>
      <c r="L9" s="3"/>
      <c r="M9" s="3"/>
      <c r="N9" s="2">
        <f>IF('Modell einstellen'!$B$1="Voll",H9/0.35,H9/0.35*2)</f>
        <v>2.9486488571428576E-4</v>
      </c>
      <c r="O9" s="2">
        <f>IF('Modell einstellen'!$B$1="Voll",J9/0.35,J9/0.35*2)</f>
        <v>-7.6384202857142868E-4</v>
      </c>
      <c r="P9" s="3">
        <f t="shared" si="0"/>
        <v>0.38602862199891669</v>
      </c>
      <c r="Q9" s="3"/>
      <c r="R9" s="3"/>
      <c r="S9" s="3"/>
      <c r="T9" s="3"/>
      <c r="U9" s="3"/>
    </row>
    <row r="10" spans="1:21" x14ac:dyDescent="0.25">
      <c r="A10" s="3">
        <v>1E-8</v>
      </c>
      <c r="B10" s="3">
        <v>8.8059999999999994E-5</v>
      </c>
      <c r="C10" s="3">
        <v>2.2330000000000001E-4</v>
      </c>
      <c r="D10" s="3">
        <v>-6.1079999999999999E-4</v>
      </c>
      <c r="E10" s="3">
        <v>0</v>
      </c>
      <c r="F10" s="3">
        <v>0</v>
      </c>
      <c r="G10" s="3">
        <v>0</v>
      </c>
      <c r="H10" s="3">
        <v>1.0791631E-4</v>
      </c>
      <c r="I10" s="3">
        <v>2.4440346999999999E-5</v>
      </c>
      <c r="J10" s="3">
        <v>-2.7531231E-4</v>
      </c>
      <c r="K10" s="2"/>
      <c r="L10" s="3"/>
      <c r="M10" s="3"/>
      <c r="N10" s="2">
        <f>IF('Modell einstellen'!$B$1="Voll",H10/0.35,H10/0.35*2)</f>
        <v>3.0833231428571429E-4</v>
      </c>
      <c r="O10" s="2">
        <f>IF('Modell einstellen'!$B$1="Voll",J10/0.35,J10/0.35*2)</f>
        <v>-7.8660660000000001E-4</v>
      </c>
      <c r="P10" s="3">
        <f t="shared" si="0"/>
        <v>0.39197778697218444</v>
      </c>
      <c r="Q10" s="3"/>
      <c r="R10" s="3"/>
      <c r="S10" s="3"/>
      <c r="T10" s="3"/>
      <c r="U10" s="3"/>
    </row>
    <row r="11" spans="1:21" x14ac:dyDescent="0.25">
      <c r="A11" s="3">
        <v>9.9999999999999995E-8</v>
      </c>
      <c r="B11" s="3">
        <v>8.4919999999999993E-5</v>
      </c>
      <c r="C11" s="3">
        <v>2.298E-4</v>
      </c>
      <c r="D11" s="3">
        <v>-6.1660000000000003E-4</v>
      </c>
      <c r="E11" s="3">
        <v>0</v>
      </c>
      <c r="F11" s="3">
        <v>0</v>
      </c>
      <c r="G11" s="3">
        <v>0</v>
      </c>
      <c r="H11" s="3">
        <v>1.1306292000000001E-4</v>
      </c>
      <c r="I11" s="3">
        <v>2.5276864999999999E-5</v>
      </c>
      <c r="J11" s="3">
        <v>-2.8390336999999999E-4</v>
      </c>
      <c r="K11" s="2"/>
      <c r="L11" s="3"/>
      <c r="M11" s="3"/>
      <c r="N11" s="2">
        <f>IF('Modell einstellen'!$B$1="Voll",H11/0.35,H11/0.35*2)</f>
        <v>3.2303691428571432E-4</v>
      </c>
      <c r="O11" s="2">
        <f>IF('Modell einstellen'!$B$1="Voll",J11/0.35,J11/0.35*2)</f>
        <v>-8.1115248571428573E-4</v>
      </c>
      <c r="P11" s="3">
        <f t="shared" si="0"/>
        <v>0.39824437448558647</v>
      </c>
      <c r="Q11" s="3"/>
      <c r="R11" s="3"/>
      <c r="S11" s="3"/>
      <c r="T11" s="3"/>
      <c r="U11" s="3"/>
    </row>
    <row r="12" spans="1:21" x14ac:dyDescent="0.25">
      <c r="A12" s="3">
        <v>9.9999999999999995E-7</v>
      </c>
      <c r="B12" s="3">
        <v>8.1169999999999997E-5</v>
      </c>
      <c r="C12" s="3">
        <v>2.363E-4</v>
      </c>
      <c r="D12" s="3">
        <v>-6.2169999999999999E-4</v>
      </c>
      <c r="E12" s="3">
        <v>0</v>
      </c>
      <c r="F12" s="3">
        <v>0</v>
      </c>
      <c r="G12" s="3">
        <v>0</v>
      </c>
      <c r="H12" s="3">
        <v>1.1842427E-4</v>
      </c>
      <c r="I12" s="3">
        <v>2.6121741999999999E-5</v>
      </c>
      <c r="J12" s="3">
        <v>-2.9274059999999998E-4</v>
      </c>
      <c r="K12" s="2"/>
      <c r="L12" s="3"/>
      <c r="M12" s="3"/>
      <c r="N12" s="2">
        <f>IF('Modell einstellen'!$B$1="Voll",H12/0.35,H12/0.35*2)</f>
        <v>3.3835505714285716E-4</v>
      </c>
      <c r="O12" s="2">
        <f>IF('Modell einstellen'!$B$1="Voll",J12/0.35,J12/0.35*2)</f>
        <v>-8.3640171428571431E-4</v>
      </c>
      <c r="P12" s="3">
        <f t="shared" si="0"/>
        <v>0.4045365419077504</v>
      </c>
      <c r="Q12" s="3"/>
      <c r="R12" s="3"/>
      <c r="S12" s="3"/>
      <c r="T12" s="3"/>
      <c r="U12" s="3"/>
    </row>
    <row r="13" spans="1:21" x14ac:dyDescent="0.25">
      <c r="A13" s="3">
        <v>1.0000000000000001E-5</v>
      </c>
      <c r="B13" s="3">
        <v>7.6110000000000001E-5</v>
      </c>
      <c r="C13" s="3">
        <v>2.4369999999999999E-4</v>
      </c>
      <c r="D13" s="3">
        <v>-6.2679999999999995E-4</v>
      </c>
      <c r="E13" s="3">
        <v>0</v>
      </c>
      <c r="F13" s="3">
        <v>0</v>
      </c>
      <c r="G13" s="3">
        <v>0</v>
      </c>
      <c r="H13" s="3">
        <v>1.2483604E-4</v>
      </c>
      <c r="I13" s="3">
        <v>2.7099898999999998E-5</v>
      </c>
      <c r="J13" s="3">
        <v>-3.0317393999999999E-4</v>
      </c>
      <c r="K13" s="2"/>
      <c r="L13" s="3"/>
      <c r="M13" s="3"/>
      <c r="N13" s="2">
        <f>IF('Modell einstellen'!$B$1="Voll",H13/0.35,H13/0.35*2)</f>
        <v>3.5667439999999999E-4</v>
      </c>
      <c r="O13" s="2">
        <f>IF('Modell einstellen'!$B$1="Voll",J13/0.35,J13/0.35*2)</f>
        <v>-8.6621125714285722E-4</v>
      </c>
      <c r="P13" s="3">
        <f t="shared" si="0"/>
        <v>0.41176375515652824</v>
      </c>
      <c r="Q13" s="3"/>
      <c r="R13" s="3"/>
      <c r="S13" s="3"/>
      <c r="T13" s="3"/>
      <c r="U13" s="3"/>
    </row>
    <row r="14" spans="1:21" x14ac:dyDescent="0.25">
      <c r="A14" s="3">
        <v>1E-4</v>
      </c>
      <c r="B14" s="3">
        <v>6.8429999999999994E-5</v>
      </c>
      <c r="C14" s="3">
        <v>2.5310000000000003E-4</v>
      </c>
      <c r="D14" s="3">
        <v>-6.3190000000000002E-4</v>
      </c>
      <c r="E14" s="3">
        <v>0</v>
      </c>
      <c r="F14" s="3">
        <v>0</v>
      </c>
      <c r="G14" s="3">
        <v>0</v>
      </c>
      <c r="H14" s="3">
        <v>1.3339427000000001E-4</v>
      </c>
      <c r="I14" s="3">
        <v>2.8352222E-5</v>
      </c>
      <c r="J14" s="3">
        <v>-3.1687707999999997E-4</v>
      </c>
      <c r="K14" s="2"/>
      <c r="L14" s="3"/>
      <c r="M14" s="3"/>
      <c r="N14" s="2">
        <f>IF('Modell einstellen'!$B$1="Voll",H14/0.35,H14/0.35*2)</f>
        <v>3.8112648571428576E-4</v>
      </c>
      <c r="O14" s="2">
        <f>IF('Modell einstellen'!$B$1="Voll",J14/0.35,J14/0.35*2)</f>
        <v>-9.0536308571428567E-4</v>
      </c>
      <c r="P14" s="3">
        <f t="shared" si="0"/>
        <v>0.42096534719393408</v>
      </c>
      <c r="Q14" s="3"/>
      <c r="R14" s="3"/>
      <c r="S14" s="3"/>
      <c r="T14" s="3"/>
      <c r="U14" s="3"/>
    </row>
    <row r="15" spans="1:21" x14ac:dyDescent="0.25">
      <c r="A15" s="3">
        <v>1E-3</v>
      </c>
      <c r="B15" s="3">
        <v>5.8010000000000002E-5</v>
      </c>
      <c r="C15" s="3">
        <v>2.633E-4</v>
      </c>
      <c r="D15" s="3">
        <v>-6.3560000000000005E-4</v>
      </c>
      <c r="E15" s="3">
        <v>0</v>
      </c>
      <c r="F15" s="3">
        <v>0</v>
      </c>
      <c r="G15" s="3">
        <v>0</v>
      </c>
      <c r="H15" s="3">
        <v>1.4353033000000001E-4</v>
      </c>
      <c r="I15" s="3">
        <v>2.9758108000000001E-5</v>
      </c>
      <c r="J15" s="3">
        <v>-3.3278357999999997E-4</v>
      </c>
      <c r="K15" s="2"/>
      <c r="L15" s="3"/>
      <c r="M15" s="3"/>
      <c r="N15" s="2">
        <f>IF('Modell einstellen'!$B$1="Voll",H15/0.35,H15/0.35*2)</f>
        <v>4.1008665714285721E-4</v>
      </c>
      <c r="O15" s="2">
        <f>IF('Modell einstellen'!$B$1="Voll",J15/0.35,J15/0.35*2)</f>
        <v>-9.5081022857142856E-4</v>
      </c>
      <c r="P15" s="3">
        <f t="shared" si="0"/>
        <v>0.43130231966372867</v>
      </c>
      <c r="Q15" s="3"/>
      <c r="R15" s="3"/>
      <c r="S15" s="3"/>
      <c r="T15" s="3"/>
      <c r="U15" s="3"/>
    </row>
    <row r="16" spans="1:21" x14ac:dyDescent="0.25">
      <c r="A16" s="3">
        <v>0.01</v>
      </c>
      <c r="B16" s="3">
        <v>4.6629999999999999E-5</v>
      </c>
      <c r="C16" s="3">
        <v>2.7260000000000001E-4</v>
      </c>
      <c r="D16" s="3">
        <v>-6.3679999999999997E-4</v>
      </c>
      <c r="E16" s="3">
        <v>0</v>
      </c>
      <c r="F16" s="3">
        <v>0</v>
      </c>
      <c r="G16" s="3">
        <v>0</v>
      </c>
      <c r="H16" s="3">
        <v>1.5339718000000001E-4</v>
      </c>
      <c r="I16" s="3">
        <v>3.1054708000000001E-5</v>
      </c>
      <c r="J16" s="3">
        <v>-3.4796415999999999E-4</v>
      </c>
      <c r="K16" s="2"/>
      <c r="L16" s="3"/>
      <c r="M16" s="3"/>
      <c r="N16" s="2">
        <f>IF('Modell einstellen'!$B$1="Voll",H16/0.35,H16/0.35*2)</f>
        <v>4.3827765714285721E-4</v>
      </c>
      <c r="O16" s="2">
        <f>IF('Modell einstellen'!$B$1="Voll",J16/0.35,J16/0.35*2)</f>
        <v>-9.9418331428571425E-4</v>
      </c>
      <c r="P16" s="3">
        <f t="shared" si="0"/>
        <v>0.4408418959010032</v>
      </c>
      <c r="Q16" s="3"/>
      <c r="R16" s="3"/>
      <c r="S16" s="3"/>
      <c r="T16" s="3"/>
      <c r="U16" s="3"/>
    </row>
    <row r="17" spans="1:21" x14ac:dyDescent="0.25">
      <c r="A17" s="3">
        <v>0.1</v>
      </c>
      <c r="B17" s="3">
        <v>3.4629999999999999E-5</v>
      </c>
      <c r="C17" s="3">
        <v>2.8140000000000001E-4</v>
      </c>
      <c r="D17" s="3">
        <v>-6.3659999999999997E-4</v>
      </c>
      <c r="E17" s="3">
        <v>0</v>
      </c>
      <c r="F17" s="3">
        <v>0</v>
      </c>
      <c r="G17" s="3">
        <v>0</v>
      </c>
      <c r="H17" s="3">
        <v>1.6304517999999999E-4</v>
      </c>
      <c r="I17" s="3">
        <v>3.2306986000000003E-5</v>
      </c>
      <c r="J17" s="3">
        <v>-3.6269386000000001E-4</v>
      </c>
      <c r="K17" s="2"/>
      <c r="L17" s="3"/>
      <c r="M17" s="3"/>
      <c r="N17" s="2">
        <f>IF('Modell einstellen'!$B$1="Voll",H17/0.35,H17/0.35*2)</f>
        <v>4.6584337142857146E-4</v>
      </c>
      <c r="O17" s="2">
        <f>IF('Modell einstellen'!$B$1="Voll",J17/0.35,J17/0.35*2)</f>
        <v>-1.0362681714285716E-3</v>
      </c>
      <c r="P17" s="3">
        <f t="shared" si="0"/>
        <v>0.44953939942628196</v>
      </c>
      <c r="Q17" s="3"/>
      <c r="R17" s="3"/>
      <c r="S17" s="3"/>
      <c r="T17" s="3"/>
      <c r="U17" s="3"/>
    </row>
    <row r="18" spans="1:21" x14ac:dyDescent="0.25">
      <c r="A18" s="3">
        <v>1</v>
      </c>
      <c r="B18" s="3">
        <v>2.1339999999999999E-5</v>
      </c>
      <c r="C18" s="3">
        <v>2.9399999999999999E-4</v>
      </c>
      <c r="D18" s="3">
        <v>-6.3829999999999996E-4</v>
      </c>
      <c r="E18" s="3">
        <v>0</v>
      </c>
      <c r="F18" s="3">
        <v>0</v>
      </c>
      <c r="G18" s="3">
        <v>0</v>
      </c>
      <c r="H18" s="3">
        <v>1.7353234999999999E-4</v>
      </c>
      <c r="I18" s="3">
        <v>3.4046133000000003E-5</v>
      </c>
      <c r="J18" s="3">
        <v>-3.7980023000000002E-4</v>
      </c>
      <c r="K18" s="2"/>
      <c r="L18" s="3"/>
      <c r="M18" s="3"/>
      <c r="N18" s="2">
        <f>IF('Modell einstellen'!$B$1="Voll",H18/0.35,H18/0.35*2)</f>
        <v>4.9580671428571424E-4</v>
      </c>
      <c r="O18" s="2">
        <f>IF('Modell einstellen'!$B$1="Voll",J18/0.35,J18/0.35*2)</f>
        <v>-1.0851435142857145E-3</v>
      </c>
      <c r="P18" s="3">
        <f t="shared" si="0"/>
        <v>0.45690427833600827</v>
      </c>
      <c r="Q18" s="3"/>
      <c r="R18" s="3"/>
      <c r="S18" s="3"/>
      <c r="T18" s="3"/>
      <c r="U18" s="3"/>
    </row>
    <row r="19" spans="1:21" x14ac:dyDescent="0.25">
      <c r="A19" s="3">
        <v>10</v>
      </c>
      <c r="B19" s="3">
        <v>1.1219999999999999E-5</v>
      </c>
      <c r="C19" s="3">
        <v>3.211E-4</v>
      </c>
      <c r="D19" s="3">
        <v>-6.5479999999999998E-4</v>
      </c>
      <c r="E19" s="3">
        <v>0</v>
      </c>
      <c r="F19" s="3">
        <v>0</v>
      </c>
      <c r="G19" s="3">
        <v>0</v>
      </c>
      <c r="H19" s="3">
        <v>1.8350733E-4</v>
      </c>
      <c r="I19" s="3">
        <v>3.7613110999999997E-5</v>
      </c>
      <c r="J19" s="3">
        <v>-4.0196113000000002E-4</v>
      </c>
      <c r="K19" s="2"/>
      <c r="L19" s="3"/>
      <c r="M19" s="3"/>
      <c r="N19" s="2">
        <f>IF('Modell einstellen'!$B$1="Voll",H19/0.35,H19/0.35*2)</f>
        <v>5.2430665714285716E-4</v>
      </c>
      <c r="O19" s="2">
        <f>IF('Modell einstellen'!$B$1="Voll",J19/0.35,J19/0.35*2)</f>
        <v>-1.1484603714285715E-3</v>
      </c>
      <c r="P19" s="3">
        <f t="shared" si="0"/>
        <v>0.4565300381158745</v>
      </c>
      <c r="Q19" s="3"/>
      <c r="R19" s="3"/>
      <c r="S19" s="3"/>
      <c r="T19" s="3"/>
      <c r="U19" s="3"/>
    </row>
    <row r="20" spans="1:21" x14ac:dyDescent="0.25">
      <c r="A20" s="3">
        <v>100</v>
      </c>
      <c r="B20" s="3">
        <v>4.9370000000000003E-6</v>
      </c>
      <c r="C20" s="3">
        <v>3.6729999999999998E-4</v>
      </c>
      <c r="D20" s="3">
        <v>-6.9110000000000005E-4</v>
      </c>
      <c r="E20" s="3">
        <v>0</v>
      </c>
      <c r="F20" s="3">
        <v>0</v>
      </c>
      <c r="G20" s="3">
        <v>0</v>
      </c>
      <c r="H20" s="3">
        <v>1.9353099E-4</v>
      </c>
      <c r="I20" s="3">
        <v>4.3616135E-5</v>
      </c>
      <c r="J20" s="3">
        <v>-4.3187435999999998E-4</v>
      </c>
      <c r="K20" s="2"/>
      <c r="L20" s="3"/>
      <c r="M20" s="3"/>
      <c r="N20" s="2">
        <f>IF('Modell einstellen'!$B$1="Voll",H20/0.35,H20/0.35*2)</f>
        <v>5.529456857142857E-4</v>
      </c>
      <c r="O20" s="2">
        <f>IF('Modell einstellen'!$B$1="Voll",J20/0.35,J20/0.35*2)</f>
        <v>-1.233926742857143E-3</v>
      </c>
      <c r="P20" s="3">
        <f t="shared" si="0"/>
        <v>0.44811873064193941</v>
      </c>
      <c r="Q20" s="3"/>
      <c r="R20" s="3"/>
      <c r="S20" s="3"/>
      <c r="T20" s="3"/>
      <c r="U20" s="3"/>
    </row>
    <row r="21" spans="1:21" x14ac:dyDescent="0.25">
      <c r="A21" s="3">
        <v>1000</v>
      </c>
      <c r="B21" s="3">
        <v>-2.3709999999999998E-6</v>
      </c>
      <c r="C21" s="3">
        <v>4.2220000000000002E-4</v>
      </c>
      <c r="D21" s="3">
        <v>-7.3499999999999998E-4</v>
      </c>
      <c r="E21" s="3">
        <v>0</v>
      </c>
      <c r="F21" s="3">
        <v>0</v>
      </c>
      <c r="G21" s="3">
        <v>0</v>
      </c>
      <c r="H21" s="3">
        <v>2.0529730999999999E-4</v>
      </c>
      <c r="I21" s="3">
        <v>5.0865207000000001E-5</v>
      </c>
      <c r="J21" s="3">
        <v>-4.6790828000000003E-4</v>
      </c>
      <c r="K21" s="2"/>
      <c r="L21" s="3"/>
      <c r="M21" s="3"/>
      <c r="N21" s="2">
        <f>IF('Modell einstellen'!$B$1="Voll",H21/0.35,H21/0.35*2)</f>
        <v>5.8656374285714289E-4</v>
      </c>
      <c r="O21" s="2">
        <f>IF('Modell einstellen'!$B$1="Voll",J21/0.35,J21/0.35*2)</f>
        <v>-1.3368808000000002E-3</v>
      </c>
      <c r="P21" s="3">
        <f t="shared" si="0"/>
        <v>0.43875545438093122</v>
      </c>
      <c r="Q21" s="3"/>
      <c r="R21" s="3"/>
      <c r="S21" s="3"/>
      <c r="T21" s="3"/>
      <c r="U21" s="3"/>
    </row>
    <row r="22" spans="1:21" x14ac:dyDescent="0.25">
      <c r="A22" s="3">
        <v>10000</v>
      </c>
      <c r="B22" s="3">
        <v>-2.016E-5</v>
      </c>
      <c r="C22" s="3">
        <v>4.7869999999999998E-4</v>
      </c>
      <c r="D22" s="3">
        <v>-7.7189999999999995E-4</v>
      </c>
      <c r="E22" s="3">
        <v>0</v>
      </c>
      <c r="F22" s="3">
        <v>0</v>
      </c>
      <c r="G22" s="3">
        <v>0</v>
      </c>
      <c r="H22" s="3">
        <v>2.2144972E-4</v>
      </c>
      <c r="I22" s="3">
        <v>5.8652481999999999E-5</v>
      </c>
      <c r="J22" s="3">
        <v>-5.1074701000000005E-4</v>
      </c>
      <c r="K22" s="2"/>
      <c r="L22" s="3"/>
      <c r="M22" s="3"/>
      <c r="N22" s="2">
        <f>IF('Modell einstellen'!$B$1="Voll",H22/0.35,H22/0.35*2)</f>
        <v>6.3271348571428577E-4</v>
      </c>
      <c r="O22" s="2">
        <f>IF('Modell einstellen'!$B$1="Voll",J22/0.35,J22/0.35*2)</f>
        <v>-1.4592771714285716E-3</v>
      </c>
      <c r="P22" s="3">
        <f t="shared" si="0"/>
        <v>0.43358006148680145</v>
      </c>
      <c r="Q22" s="3"/>
      <c r="R22" s="3"/>
      <c r="S22" s="3"/>
      <c r="T22" s="3"/>
      <c r="U22" s="3"/>
    </row>
    <row r="23" spans="1:21" x14ac:dyDescent="0.25">
      <c r="A23" s="3">
        <v>100000</v>
      </c>
      <c r="B23" s="3">
        <v>-5.151E-5</v>
      </c>
      <c r="C23" s="3">
        <v>5.3629999999999997E-4</v>
      </c>
      <c r="D23" s="3">
        <v>-7.984E-4</v>
      </c>
      <c r="E23" s="3">
        <v>0</v>
      </c>
      <c r="F23" s="3">
        <v>0</v>
      </c>
      <c r="G23" s="3">
        <v>0</v>
      </c>
      <c r="H23" s="3">
        <v>2.4296281000000001E-4</v>
      </c>
      <c r="I23" s="3">
        <v>6.6990754000000003E-5</v>
      </c>
      <c r="J23" s="3">
        <v>-5.6148682000000001E-4</v>
      </c>
      <c r="K23" s="2"/>
      <c r="L23" s="3"/>
      <c r="M23" s="3"/>
      <c r="N23" s="2">
        <f>IF('Modell einstellen'!$B$1="Voll",H23/0.35,H23/0.35*2)</f>
        <v>6.9417945714285727E-4</v>
      </c>
      <c r="O23" s="2">
        <f>IF('Modell einstellen'!$B$1="Voll",J23/0.35,J23/0.35*2)</f>
        <v>-1.6042480571428572E-3</v>
      </c>
      <c r="P23" s="3">
        <f t="shared" si="0"/>
        <v>0.4327132914713831</v>
      </c>
      <c r="Q23" s="3"/>
      <c r="R23" s="3"/>
      <c r="S23" s="3"/>
      <c r="T23" s="3"/>
      <c r="U23" s="3"/>
    </row>
    <row r="24" spans="1:21" x14ac:dyDescent="0.25">
      <c r="A24" s="3">
        <v>1000000</v>
      </c>
      <c r="B24" s="3">
        <v>-1.07E-4</v>
      </c>
      <c r="C24" s="3">
        <v>6.0070000000000002E-4</v>
      </c>
      <c r="D24" s="3">
        <v>-8.095E-4</v>
      </c>
      <c r="E24" s="3">
        <v>0</v>
      </c>
      <c r="F24" s="3">
        <v>0</v>
      </c>
      <c r="G24" s="3">
        <v>0</v>
      </c>
      <c r="H24" s="3">
        <v>2.7315725999999999E-4</v>
      </c>
      <c r="I24" s="3">
        <v>7.6793605000000003E-5</v>
      </c>
      <c r="J24" s="3">
        <v>-6.2670415999999997E-4</v>
      </c>
      <c r="K24" s="2"/>
      <c r="L24" s="3"/>
      <c r="M24" s="3"/>
      <c r="N24" s="2">
        <f>IF('Modell einstellen'!$B$1="Voll",H24/0.35,H24/0.35*2)</f>
        <v>7.8044931428571432E-4</v>
      </c>
      <c r="O24" s="2">
        <f>IF('Modell einstellen'!$B$1="Voll",J24/0.35,J24/0.35*2)</f>
        <v>-1.7905833142857143E-3</v>
      </c>
      <c r="P24" s="3">
        <f t="shared" si="0"/>
        <v>0.43586316708030148</v>
      </c>
      <c r="Q24" s="3"/>
      <c r="R24" s="3"/>
      <c r="S24" s="3"/>
      <c r="T24" s="3"/>
      <c r="U24" s="3"/>
    </row>
    <row r="25" spans="1:21" x14ac:dyDescent="0.25">
      <c r="A25" s="3">
        <v>10000000</v>
      </c>
      <c r="B25" s="3">
        <v>-2.0550000000000001E-4</v>
      </c>
      <c r="C25" s="3">
        <v>6.8059999999999996E-4</v>
      </c>
      <c r="D25" s="3">
        <v>-7.9500000000000003E-4</v>
      </c>
      <c r="E25" s="3">
        <v>0</v>
      </c>
      <c r="F25" s="3">
        <v>0</v>
      </c>
      <c r="G25" s="3">
        <v>0</v>
      </c>
      <c r="H25" s="3">
        <v>3.1716181000000001E-4</v>
      </c>
      <c r="I25" s="3">
        <v>8.9581983999999993E-5</v>
      </c>
      <c r="J25" s="3">
        <v>-7.1692920000000001E-4</v>
      </c>
      <c r="K25" s="2"/>
      <c r="L25" s="3"/>
      <c r="M25" s="3"/>
      <c r="N25" s="2">
        <f>IF('Modell einstellen'!$B$1="Voll",H25/0.35,H25/0.35*2)</f>
        <v>9.0617660000000006E-4</v>
      </c>
      <c r="O25" s="2">
        <f>IF('Modell einstellen'!$B$1="Voll",J25/0.35,J25/0.35*2)</f>
        <v>-2.0483691428571432E-3</v>
      </c>
      <c r="P25" s="3">
        <f t="shared" si="0"/>
        <v>0.44238930427160728</v>
      </c>
      <c r="Q25" s="3"/>
      <c r="R25" s="3"/>
      <c r="S25" s="3"/>
      <c r="T25" s="3"/>
      <c r="U25" s="3"/>
    </row>
    <row r="26" spans="1:21" x14ac:dyDescent="0.25">
      <c r="A26" s="3">
        <v>100000000</v>
      </c>
      <c r="B26" s="3">
        <v>-3.9320000000000002E-4</v>
      </c>
      <c r="C26" s="3">
        <v>7.9500000000000003E-4</v>
      </c>
      <c r="D26" s="3">
        <v>-7.2760000000000001E-4</v>
      </c>
      <c r="E26" s="3">
        <v>0</v>
      </c>
      <c r="F26" s="3">
        <v>0</v>
      </c>
      <c r="G26" s="3">
        <v>0</v>
      </c>
      <c r="H26" s="3">
        <v>3.8806608000000001E-4</v>
      </c>
      <c r="I26" s="3">
        <v>1.0878164E-4</v>
      </c>
      <c r="J26" s="3">
        <v>-8.5761142000000004E-4</v>
      </c>
      <c r="K26" s="2"/>
      <c r="L26" s="3"/>
      <c r="M26" s="3"/>
      <c r="N26" s="2">
        <f>IF('Modell einstellen'!$B$1="Voll",H26/0.35,H26/0.35*2)</f>
        <v>1.1087602285714286E-3</v>
      </c>
      <c r="O26" s="2">
        <f>IF('Modell einstellen'!$B$1="Voll",J26/0.35,J26/0.35*2)</f>
        <v>-2.4503183428571432E-3</v>
      </c>
      <c r="P26" s="3">
        <f t="shared" si="0"/>
        <v>0.45249639982639217</v>
      </c>
      <c r="Q26" s="3"/>
      <c r="R26" s="3"/>
      <c r="S26" s="3"/>
      <c r="T26" s="3"/>
      <c r="U26" s="3"/>
    </row>
    <row r="27" spans="1:21" x14ac:dyDescent="0.25">
      <c r="A27" s="3">
        <v>1000000000</v>
      </c>
      <c r="B27" s="3">
        <v>-7.6040000000000005E-4</v>
      </c>
      <c r="C27" s="3">
        <v>9.7280000000000001E-4</v>
      </c>
      <c r="D27" s="3">
        <v>-5.4580000000000004E-4</v>
      </c>
      <c r="E27" s="3">
        <v>0</v>
      </c>
      <c r="F27" s="3">
        <v>0</v>
      </c>
      <c r="G27" s="3">
        <v>0</v>
      </c>
      <c r="H27" s="3">
        <v>5.0989274000000004E-4</v>
      </c>
      <c r="I27" s="3">
        <v>1.4013065000000001E-4</v>
      </c>
      <c r="J27" s="3">
        <v>-1.0934899000000001E-3</v>
      </c>
      <c r="K27" s="2"/>
      <c r="L27" s="3"/>
      <c r="M27" s="3"/>
      <c r="N27" s="2">
        <f>IF('Modell einstellen'!$B$1="Voll",H27/0.35,H27/0.35*2)</f>
        <v>1.4568364000000001E-3</v>
      </c>
      <c r="O27" s="2">
        <f>IF('Modell einstellen'!$B$1="Voll",J27/0.35,J27/0.35*2)</f>
        <v>-3.1242568571428577E-3</v>
      </c>
      <c r="P27" s="3">
        <f t="shared" si="0"/>
        <v>0.46629853645653235</v>
      </c>
      <c r="Q27" s="3"/>
      <c r="R27" s="3"/>
      <c r="S27" s="3"/>
      <c r="T27" s="3"/>
      <c r="U27" s="3"/>
    </row>
    <row r="28" spans="1:21" x14ac:dyDescent="0.25">
      <c r="A28" s="3">
        <v>10000000000</v>
      </c>
      <c r="B28" s="3">
        <v>-1.456E-3</v>
      </c>
      <c r="C28" s="3">
        <v>1.2520000000000001E-3</v>
      </c>
      <c r="D28" s="3">
        <v>-1.383E-4</v>
      </c>
      <c r="E28" s="3">
        <v>0</v>
      </c>
      <c r="F28" s="3">
        <v>0</v>
      </c>
      <c r="G28" s="3">
        <v>0</v>
      </c>
      <c r="H28" s="3">
        <v>7.2106826999999995E-4</v>
      </c>
      <c r="I28" s="3">
        <v>1.9186776E-4</v>
      </c>
      <c r="J28" s="3">
        <v>-1.4925668999999999E-3</v>
      </c>
      <c r="K28" s="2"/>
      <c r="L28" s="3"/>
      <c r="M28" s="3"/>
      <c r="N28" s="2">
        <f>IF('Modell einstellen'!$B$1="Voll",H28/0.35,H28/0.35*2)</f>
        <v>2.0601950571428572E-3</v>
      </c>
      <c r="O28" s="2">
        <f>IF('Modell einstellen'!$B$1="Voll",J28/0.35,J28/0.35*2)</f>
        <v>-4.2644768571428572E-3</v>
      </c>
      <c r="P28" s="3">
        <f t="shared" si="0"/>
        <v>0.48310616428650532</v>
      </c>
      <c r="Q28" s="3"/>
      <c r="R28" s="3"/>
      <c r="S28" s="3"/>
      <c r="T28" s="3"/>
      <c r="U28" s="3"/>
    </row>
    <row r="29" spans="1:21" x14ac:dyDescent="0.25">
      <c r="A29" s="3">
        <v>100000000000</v>
      </c>
      <c r="B29" s="3">
        <v>-2.6020000000000001E-3</v>
      </c>
      <c r="C29" s="3">
        <v>1.6590000000000001E-3</v>
      </c>
      <c r="D29" s="3">
        <v>5.9520000000000005E-4</v>
      </c>
      <c r="E29" s="3">
        <v>0</v>
      </c>
      <c r="F29" s="3">
        <v>0</v>
      </c>
      <c r="G29" s="3">
        <v>0</v>
      </c>
      <c r="H29" s="3">
        <v>1.0517363E-3</v>
      </c>
      <c r="I29" s="3">
        <v>2.6966231E-4</v>
      </c>
      <c r="J29" s="3">
        <v>-2.1045885999999999E-3</v>
      </c>
      <c r="K29" s="2"/>
      <c r="L29" s="3"/>
      <c r="M29" s="3"/>
      <c r="N29" s="2">
        <f>IF('Modell einstellen'!$B$1="Voll",H29/0.35,H29/0.35*2)</f>
        <v>3.0049608571428577E-3</v>
      </c>
      <c r="O29" s="2">
        <f>IF('Modell einstellen'!$B$1="Voll",J29/0.35,J29/0.35*2)</f>
        <v>-6.0131102857142859E-3</v>
      </c>
      <c r="P29" s="3">
        <f t="shared" si="0"/>
        <v>0.49973486504678405</v>
      </c>
      <c r="Q29" s="3"/>
      <c r="R29" s="3"/>
      <c r="S29" s="3"/>
      <c r="T29" s="3"/>
      <c r="U29" s="3"/>
    </row>
    <row r="30" spans="1:21" x14ac:dyDescent="0.25">
      <c r="A30" s="3">
        <v>1000000000000</v>
      </c>
      <c r="B30" s="3">
        <v>-4.104E-3</v>
      </c>
      <c r="C30" s="3">
        <v>2.1549999999999998E-3</v>
      </c>
      <c r="D30" s="3">
        <v>1.596E-3</v>
      </c>
      <c r="E30" s="3">
        <v>0</v>
      </c>
      <c r="F30" s="3">
        <v>0</v>
      </c>
      <c r="G30" s="3">
        <v>0</v>
      </c>
      <c r="H30" s="3">
        <v>1.4743038E-3</v>
      </c>
      <c r="I30" s="3">
        <v>3.6663861999999998E-4</v>
      </c>
      <c r="J30" s="3">
        <v>-2.8756528000000001E-3</v>
      </c>
      <c r="K30" s="2"/>
      <c r="L30" s="3"/>
      <c r="M30" s="3"/>
      <c r="N30" s="2">
        <f>IF('Modell einstellen'!$B$1="Voll",H30/0.35,H30/0.35*2)</f>
        <v>4.2122965714285719E-3</v>
      </c>
      <c r="O30" s="2">
        <f>IF('Modell einstellen'!$B$1="Voll",J30/0.35,J30/0.35*2)</f>
        <v>-8.2161508571428586E-3</v>
      </c>
      <c r="P30" s="3">
        <f t="shared" si="0"/>
        <v>0.51268491105741276</v>
      </c>
      <c r="Q30" s="3"/>
      <c r="R30" s="3"/>
      <c r="S30" s="3"/>
      <c r="T30" s="3"/>
      <c r="U30" s="3"/>
    </row>
    <row r="31" spans="1:21" x14ac:dyDescent="0.25">
      <c r="A31" s="3">
        <v>10000000000000</v>
      </c>
      <c r="B31" s="3">
        <v>-5.4539999999999996E-3</v>
      </c>
      <c r="C31" s="3">
        <v>2.5899999999999999E-3</v>
      </c>
      <c r="D31" s="3">
        <v>2.5100000000000001E-3</v>
      </c>
      <c r="E31" s="3">
        <v>0</v>
      </c>
      <c r="F31" s="3">
        <v>0</v>
      </c>
      <c r="G31" s="3">
        <v>0</v>
      </c>
      <c r="H31" s="3">
        <v>1.850771E-3</v>
      </c>
      <c r="I31" s="3">
        <v>4.5246441000000001E-4</v>
      </c>
      <c r="J31" s="3">
        <v>-3.5584189000000001E-3</v>
      </c>
      <c r="K31" s="2"/>
      <c r="L31" s="3"/>
      <c r="M31" s="3"/>
      <c r="N31" s="2">
        <f>IF('Modell einstellen'!$B$1="Voll",H31/0.35,H31/0.35*2)</f>
        <v>5.2879171428571433E-3</v>
      </c>
      <c r="O31" s="2">
        <f>IF('Modell einstellen'!$B$1="Voll",J31/0.35,J31/0.35*2)</f>
        <v>-1.0166911142857143E-2</v>
      </c>
      <c r="P31" s="3">
        <f t="shared" si="0"/>
        <v>0.52011049064515702</v>
      </c>
      <c r="Q31" s="3"/>
      <c r="R31" s="3"/>
      <c r="S31" s="3"/>
      <c r="T31" s="3"/>
      <c r="U31" s="3"/>
    </row>
    <row r="32" spans="1:21" x14ac:dyDescent="0.25">
      <c r="A32" s="3">
        <v>100000000000000</v>
      </c>
      <c r="B32" s="3">
        <v>-6.4070000000000004E-3</v>
      </c>
      <c r="C32" s="3">
        <v>2.895E-3</v>
      </c>
      <c r="D32" s="3">
        <v>3.156E-3</v>
      </c>
      <c r="E32" s="3">
        <v>0</v>
      </c>
      <c r="F32" s="3">
        <v>0</v>
      </c>
      <c r="G32" s="3">
        <v>0</v>
      </c>
      <c r="H32" s="3">
        <v>2.1157562E-3</v>
      </c>
      <c r="I32" s="3">
        <v>5.1309623000000005E-4</v>
      </c>
      <c r="J32" s="3">
        <v>-4.0386012999999998E-3</v>
      </c>
      <c r="K32" s="2"/>
      <c r="L32" s="3"/>
      <c r="M32" s="3"/>
      <c r="N32" s="2">
        <f>IF('Modell einstellen'!$B$1="Voll",H32/0.35,H32/0.35*2)</f>
        <v>6.0450177142857145E-3</v>
      </c>
      <c r="O32" s="2">
        <f>IF('Modell einstellen'!$B$1="Voll",J32/0.35,J32/0.35*2)</f>
        <v>-1.1538860857142858E-2</v>
      </c>
      <c r="P32" s="3">
        <f t="shared" si="0"/>
        <v>0.52388340488079377</v>
      </c>
      <c r="Q32" s="3"/>
      <c r="R32" s="3"/>
      <c r="S32" s="3"/>
      <c r="T32" s="3"/>
      <c r="U32" s="3"/>
    </row>
    <row r="33" spans="1:21" x14ac:dyDescent="0.25">
      <c r="A33" s="2">
        <v>1000000000000000</v>
      </c>
      <c r="B33" s="3">
        <v>-6.9820000000000004E-3</v>
      </c>
      <c r="C33" s="3">
        <v>3.0799999999999998E-3</v>
      </c>
      <c r="D33" s="3">
        <v>3.5460000000000001E-3</v>
      </c>
      <c r="E33" s="3">
        <v>0</v>
      </c>
      <c r="F33" s="3">
        <v>0</v>
      </c>
      <c r="G33" s="3">
        <v>0</v>
      </c>
      <c r="H33" s="3">
        <v>2.2760048000000001E-3</v>
      </c>
      <c r="I33" s="3">
        <v>5.5006200000000003E-4</v>
      </c>
      <c r="J33" s="3">
        <v>-4.3295809999999999E-3</v>
      </c>
      <c r="K33" s="2"/>
      <c r="L33" s="3"/>
      <c r="M33" s="3"/>
      <c r="N33" s="2">
        <f>IF('Modell einstellen'!$B$1="Voll",H33/0.35,H33/0.35*2)</f>
        <v>6.5028708571428576E-3</v>
      </c>
      <c r="O33" s="2">
        <f>IF('Modell einstellen'!$B$1="Voll",J33/0.35,J33/0.35*2)</f>
        <v>-1.2370231428571429E-2</v>
      </c>
      <c r="P33" s="3">
        <f t="shared" si="0"/>
        <v>0.52568708149818655</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8.9480000000000004E-5</v>
      </c>
      <c r="C3" s="3">
        <v>2.2489999999999999E-4</v>
      </c>
      <c r="D3" s="3">
        <v>-6.1309999999999999E-4</v>
      </c>
      <c r="E3" s="3">
        <v>0</v>
      </c>
      <c r="F3" s="3">
        <v>0</v>
      </c>
      <c r="G3" s="3">
        <v>0</v>
      </c>
      <c r="H3" s="3">
        <v>1.0767679E-4</v>
      </c>
      <c r="I3" s="3">
        <v>2.4639439E-5</v>
      </c>
      <c r="J3" s="3">
        <v>-2.7554017999999999E-4</v>
      </c>
      <c r="L3" s="3">
        <f>-B3/D3</f>
        <v>0.14594682759745556</v>
      </c>
      <c r="M3" s="3"/>
      <c r="N3" s="2">
        <f>IF('Modell einstellen'!$B$1="Voll",H3/0.35,H3/0.35*2)</f>
        <v>3.0764797142857146E-4</v>
      </c>
      <c r="O3" s="2">
        <f>IF('Modell einstellen'!$B$1="Voll",J3/0.35,J3/0.35*2)</f>
        <v>-7.8725765714285714E-4</v>
      </c>
      <c r="P3" s="3">
        <f>-N3/O3</f>
        <v>0.39078434949124302</v>
      </c>
    </row>
    <row r="4" spans="1:16" x14ac:dyDescent="0.25">
      <c r="A4" s="3">
        <v>1E-14</v>
      </c>
      <c r="B4" s="3">
        <v>8.5550000000000006E-5</v>
      </c>
      <c r="C4" s="3">
        <v>2.3340000000000001E-4</v>
      </c>
      <c r="D4" s="3">
        <v>-6.2069999999999996E-4</v>
      </c>
      <c r="E4" s="3">
        <v>0</v>
      </c>
      <c r="F4" s="3">
        <v>0</v>
      </c>
      <c r="G4" s="3">
        <v>0</v>
      </c>
      <c r="H4" s="3">
        <v>1.141744E-4</v>
      </c>
      <c r="I4" s="3">
        <v>2.5720950999999999E-5</v>
      </c>
      <c r="J4" s="3">
        <v>-2.8647404E-4</v>
      </c>
      <c r="L4" s="3">
        <f t="shared" ref="L4:L33" si="0">-B4/D4</f>
        <v>0.13782825841791527</v>
      </c>
      <c r="M4" s="3"/>
      <c r="N4" s="2">
        <f>IF('Modell einstellen'!$B$1="Voll",H4/0.35,H4/0.35*2)</f>
        <v>3.2621257142857144E-4</v>
      </c>
      <c r="O4" s="2">
        <f>IF('Modell einstellen'!$B$1="Voll",J4/0.35,J4/0.35*2)</f>
        <v>-8.184972571428572E-4</v>
      </c>
      <c r="P4" s="3">
        <f t="shared" ref="P4:P33" si="1">-N4/O4</f>
        <v>0.3985505981624024</v>
      </c>
    </row>
    <row r="5" spans="1:16" x14ac:dyDescent="0.25">
      <c r="A5" s="3">
        <v>1E-13</v>
      </c>
      <c r="B5" s="3">
        <v>8.1500000000000002E-5</v>
      </c>
      <c r="C5" s="3">
        <v>2.4030000000000001E-4</v>
      </c>
      <c r="D5" s="3">
        <v>-6.2600000000000004E-4</v>
      </c>
      <c r="E5" s="3">
        <v>0</v>
      </c>
      <c r="F5" s="3">
        <v>0</v>
      </c>
      <c r="G5" s="3">
        <v>0</v>
      </c>
      <c r="H5" s="3">
        <v>1.1976431E-4</v>
      </c>
      <c r="I5" s="3">
        <v>2.6618034000000001E-5</v>
      </c>
      <c r="J5" s="3">
        <v>-2.9574023999999997E-4</v>
      </c>
      <c r="L5" s="3">
        <f t="shared" si="0"/>
        <v>0.13019169329073482</v>
      </c>
      <c r="M5" s="3"/>
      <c r="N5" s="2">
        <f>IF('Modell einstellen'!$B$1="Voll",H5/0.35,H5/0.35*2)</f>
        <v>3.4218374285714285E-4</v>
      </c>
      <c r="O5" s="2">
        <f>IF('Modell einstellen'!$B$1="Voll",J5/0.35,J5/0.35*2)</f>
        <v>-8.4497211428571429E-4</v>
      </c>
      <c r="P5" s="3">
        <f t="shared" si="1"/>
        <v>0.40496453915097924</v>
      </c>
    </row>
    <row r="6" spans="1:16" x14ac:dyDescent="0.25">
      <c r="A6" s="3">
        <v>9.9999999999999998E-13</v>
      </c>
      <c r="B6" s="3">
        <v>7.5859999999999995E-5</v>
      </c>
      <c r="C6" s="3">
        <v>2.4850000000000002E-4</v>
      </c>
      <c r="D6" s="3">
        <v>-6.3139999999999995E-4</v>
      </c>
      <c r="E6" s="3">
        <v>0</v>
      </c>
      <c r="F6" s="3">
        <v>0</v>
      </c>
      <c r="G6" s="3">
        <v>0</v>
      </c>
      <c r="H6" s="3">
        <v>1.2666563000000001E-4</v>
      </c>
      <c r="I6" s="3">
        <v>2.7689583E-5</v>
      </c>
      <c r="J6" s="3">
        <v>-3.0702692999999998E-4</v>
      </c>
      <c r="L6" s="3">
        <f t="shared" si="0"/>
        <v>0.120145707950586</v>
      </c>
      <c r="M6" s="3"/>
      <c r="N6" s="2">
        <f>IF('Modell einstellen'!$B$1="Voll",H6/0.35,H6/0.35*2)</f>
        <v>3.6190180000000003E-4</v>
      </c>
      <c r="O6" s="2">
        <f>IF('Modell einstellen'!$B$1="Voll",J6/0.35,J6/0.35*2)</f>
        <v>-8.7721979999999999E-4</v>
      </c>
      <c r="P6" s="3">
        <f t="shared" si="1"/>
        <v>0.41255543935510808</v>
      </c>
    </row>
    <row r="7" spans="1:16" x14ac:dyDescent="0.25">
      <c r="A7" s="3">
        <v>9.9999999999999994E-12</v>
      </c>
      <c r="B7" s="3">
        <v>6.7420000000000002E-5</v>
      </c>
      <c r="C7" s="3">
        <v>2.5849999999999999E-4</v>
      </c>
      <c r="D7" s="3">
        <v>-6.3659999999999997E-4</v>
      </c>
      <c r="E7" s="3">
        <v>0</v>
      </c>
      <c r="F7" s="3">
        <v>0</v>
      </c>
      <c r="G7" s="3">
        <v>0</v>
      </c>
      <c r="H7" s="3">
        <v>1.3571237E-4</v>
      </c>
      <c r="I7" s="3">
        <v>2.9033547000000001E-5</v>
      </c>
      <c r="J7" s="3">
        <v>-3.2156691000000001E-4</v>
      </c>
      <c r="L7" s="3">
        <f t="shared" si="0"/>
        <v>0.10590637763116557</v>
      </c>
      <c r="M7" s="3"/>
      <c r="N7" s="2">
        <f>IF('Modell einstellen'!$B$1="Voll",H7/0.35,H7/0.35*2)</f>
        <v>3.8774962857142858E-4</v>
      </c>
      <c r="O7" s="2">
        <f>IF('Modell einstellen'!$B$1="Voll",J7/0.35,J7/0.35*2)</f>
        <v>-9.1876260000000015E-4</v>
      </c>
      <c r="P7" s="3">
        <f t="shared" si="1"/>
        <v>0.42203462414711757</v>
      </c>
    </row>
    <row r="8" spans="1:16" x14ac:dyDescent="0.25">
      <c r="A8" s="3">
        <v>1E-10</v>
      </c>
      <c r="B8" s="3">
        <v>5.6570000000000002E-5</v>
      </c>
      <c r="C8" s="3">
        <v>2.6889999999999998E-4</v>
      </c>
      <c r="D8" s="3">
        <v>-6.3980000000000005E-4</v>
      </c>
      <c r="E8" s="3">
        <v>0</v>
      </c>
      <c r="F8" s="3">
        <v>0</v>
      </c>
      <c r="G8" s="3">
        <v>0</v>
      </c>
      <c r="H8" s="3">
        <v>1.4586214999999999E-4</v>
      </c>
      <c r="I8" s="3">
        <v>3.0460372000000001E-5</v>
      </c>
      <c r="J8" s="3">
        <v>-3.3754200999999999E-4</v>
      </c>
      <c r="L8" s="3">
        <f t="shared" si="0"/>
        <v>8.8418255704907786E-2</v>
      </c>
      <c r="M8" s="3"/>
      <c r="N8" s="2">
        <f>IF('Modell einstellen'!$B$1="Voll",H8/0.35,H8/0.35*2)</f>
        <v>4.16749E-4</v>
      </c>
      <c r="O8" s="2">
        <f>IF('Modell einstellen'!$B$1="Voll",J8/0.35,J8/0.35*2)</f>
        <v>-9.6440574285714287E-4</v>
      </c>
      <c r="P8" s="3">
        <f t="shared" si="1"/>
        <v>0.43213035912181719</v>
      </c>
    </row>
    <row r="9" spans="1:16" x14ac:dyDescent="0.25">
      <c r="A9" s="3">
        <v>1.0000000000000001E-9</v>
      </c>
      <c r="B9" s="3">
        <v>4.5170000000000003E-5</v>
      </c>
      <c r="C9" s="3">
        <v>2.7799999999999998E-4</v>
      </c>
      <c r="D9" s="3">
        <v>-6.4070000000000002E-4</v>
      </c>
      <c r="E9" s="3">
        <v>0</v>
      </c>
      <c r="F9" s="3">
        <v>0</v>
      </c>
      <c r="G9" s="3">
        <v>0</v>
      </c>
      <c r="H9" s="3">
        <v>1.5543455E-4</v>
      </c>
      <c r="I9" s="3">
        <v>3.1733707999999999E-5</v>
      </c>
      <c r="J9" s="3">
        <v>-3.5230879E-4</v>
      </c>
      <c r="L9" s="3">
        <f t="shared" si="0"/>
        <v>7.0501014515373814E-2</v>
      </c>
      <c r="M9" s="3"/>
      <c r="N9" s="2">
        <f>IF('Modell einstellen'!$B$1="Voll",H9/0.35,H9/0.35*2)</f>
        <v>4.4409871428571432E-4</v>
      </c>
      <c r="O9" s="2">
        <f>IF('Modell einstellen'!$B$1="Voll",J9/0.35,J9/0.35*2)</f>
        <v>-1.0065965428571429E-3</v>
      </c>
      <c r="P9" s="3">
        <f t="shared" si="1"/>
        <v>0.44118839612261734</v>
      </c>
    </row>
    <row r="10" spans="1:16" x14ac:dyDescent="0.25">
      <c r="A10" s="3">
        <v>1E-8</v>
      </c>
      <c r="B10" s="3">
        <v>3.2280000000000003E-5</v>
      </c>
      <c r="C10" s="3">
        <v>2.8689999999999998E-4</v>
      </c>
      <c r="D10" s="3">
        <v>-6.399E-4</v>
      </c>
      <c r="E10" s="3">
        <v>0</v>
      </c>
      <c r="F10" s="3">
        <v>0</v>
      </c>
      <c r="G10" s="3">
        <v>0</v>
      </c>
      <c r="H10" s="3">
        <v>1.6545302999999999E-4</v>
      </c>
      <c r="I10" s="3">
        <v>3.3004379999999997E-5</v>
      </c>
      <c r="J10" s="3">
        <v>-3.6750850999999997E-4</v>
      </c>
      <c r="L10" s="3">
        <f t="shared" si="0"/>
        <v>5.0445382090951715E-2</v>
      </c>
      <c r="M10" s="3"/>
      <c r="N10" s="2">
        <f>IF('Modell einstellen'!$B$1="Voll",H10/0.35,H10/0.35*2)</f>
        <v>4.7272294285714286E-4</v>
      </c>
      <c r="O10" s="2">
        <f>IF('Modell einstellen'!$B$1="Voll",J10/0.35,J10/0.35*2)</f>
        <v>-1.0500243142857143E-3</v>
      </c>
      <c r="P10" s="3">
        <f t="shared" si="1"/>
        <v>0.45020190144712569</v>
      </c>
    </row>
    <row r="11" spans="1:16" x14ac:dyDescent="0.25">
      <c r="A11" s="3">
        <v>9.9999999999999995E-8</v>
      </c>
      <c r="B11" s="3">
        <v>1.732E-5</v>
      </c>
      <c r="C11" s="3">
        <v>2.9569999999999998E-4</v>
      </c>
      <c r="D11" s="3">
        <v>-6.3690000000000003E-4</v>
      </c>
      <c r="E11" s="3">
        <v>0</v>
      </c>
      <c r="F11" s="3">
        <v>0</v>
      </c>
      <c r="G11" s="3">
        <v>0</v>
      </c>
      <c r="H11" s="3">
        <v>1.76229E-4</v>
      </c>
      <c r="I11" s="3">
        <v>3.4299867999999999E-5</v>
      </c>
      <c r="J11" s="3">
        <v>-3.8356472000000003E-4</v>
      </c>
      <c r="L11" s="3">
        <f t="shared" si="0"/>
        <v>2.7194222012874861E-2</v>
      </c>
      <c r="M11" s="3"/>
      <c r="N11" s="2">
        <f>IF('Modell einstellen'!$B$1="Voll",H11/0.35,H11/0.35*2)</f>
        <v>5.0351142857142856E-4</v>
      </c>
      <c r="O11" s="2">
        <f>IF('Modell einstellen'!$B$1="Voll",J11/0.35,J11/0.35*2)</f>
        <v>-1.0958992000000001E-3</v>
      </c>
      <c r="P11" s="3">
        <f t="shared" si="1"/>
        <v>0.45945049377846842</v>
      </c>
    </row>
    <row r="12" spans="1:16" x14ac:dyDescent="0.25">
      <c r="A12" s="3">
        <v>9.9999999999999995E-7</v>
      </c>
      <c r="B12" s="3">
        <v>-2.3949999999999999E-7</v>
      </c>
      <c r="C12" s="3">
        <v>3.0479999999999998E-4</v>
      </c>
      <c r="D12" s="3">
        <v>-6.3159999999999996E-4</v>
      </c>
      <c r="E12" s="3">
        <v>0</v>
      </c>
      <c r="F12" s="3">
        <v>0</v>
      </c>
      <c r="G12" s="3">
        <v>0</v>
      </c>
      <c r="H12" s="3">
        <v>1.8809841E-4</v>
      </c>
      <c r="I12" s="3">
        <v>3.5652151000000003E-5</v>
      </c>
      <c r="J12" s="3">
        <v>-4.0094391000000001E-4</v>
      </c>
      <c r="L12" s="3">
        <f t="shared" si="0"/>
        <v>-3.7919569347688413E-4</v>
      </c>
      <c r="M12" s="3"/>
      <c r="N12" s="2">
        <f>IF('Modell einstellen'!$B$1="Voll",H12/0.35,H12/0.35*2)</f>
        <v>5.3742402857142864E-4</v>
      </c>
      <c r="O12" s="2">
        <f>IF('Modell einstellen'!$B$1="Voll",J12/0.35,J12/0.35*2)</f>
        <v>-1.1455540285714287E-3</v>
      </c>
      <c r="P12" s="3">
        <f t="shared" si="1"/>
        <v>0.46913896260451993</v>
      </c>
    </row>
    <row r="13" spans="1:16" x14ac:dyDescent="0.25">
      <c r="A13" s="3">
        <v>1.0000000000000001E-5</v>
      </c>
      <c r="B13" s="3">
        <v>-2.1310000000000001E-5</v>
      </c>
      <c r="C13" s="3">
        <v>3.1409999999999999E-4</v>
      </c>
      <c r="D13" s="3">
        <v>-6.2330000000000003E-4</v>
      </c>
      <c r="E13" s="3">
        <v>0</v>
      </c>
      <c r="F13" s="3">
        <v>0</v>
      </c>
      <c r="G13" s="3">
        <v>0</v>
      </c>
      <c r="H13" s="3">
        <v>2.0149052000000001E-4</v>
      </c>
      <c r="I13" s="3">
        <v>3.7089258000000003E-5</v>
      </c>
      <c r="J13" s="3">
        <v>-4.2018946000000002E-4</v>
      </c>
      <c r="L13" s="3">
        <f t="shared" si="0"/>
        <v>-3.418899406385368E-2</v>
      </c>
      <c r="M13" s="3"/>
      <c r="N13" s="2">
        <f>IF('Modell einstellen'!$B$1="Voll",H13/0.35,H13/0.35*2)</f>
        <v>5.7568720000000003E-4</v>
      </c>
      <c r="O13" s="2">
        <f>IF('Modell einstellen'!$B$1="Voll",J13/0.35,J13/0.35*2)</f>
        <v>-1.2005413142857145E-3</v>
      </c>
      <c r="P13" s="3">
        <f t="shared" si="1"/>
        <v>0.47952302278119963</v>
      </c>
    </row>
    <row r="14" spans="1:16" x14ac:dyDescent="0.25">
      <c r="A14" s="3">
        <v>1E-4</v>
      </c>
      <c r="B14" s="3">
        <v>-4.9539999999999997E-5</v>
      </c>
      <c r="C14" s="3">
        <v>3.2499999999999999E-4</v>
      </c>
      <c r="D14" s="3">
        <v>-6.0979999999999997E-4</v>
      </c>
      <c r="E14" s="3">
        <v>0</v>
      </c>
      <c r="F14" s="3">
        <v>0</v>
      </c>
      <c r="G14" s="3">
        <v>0</v>
      </c>
      <c r="H14" s="3">
        <v>2.1843448E-4</v>
      </c>
      <c r="I14" s="3">
        <v>3.8793720000000002E-5</v>
      </c>
      <c r="J14" s="3">
        <v>-4.4407285999999998E-4</v>
      </c>
      <c r="L14" s="3">
        <f t="shared" si="0"/>
        <v>-8.123975073794687E-2</v>
      </c>
      <c r="M14" s="3"/>
      <c r="N14" s="2">
        <f>IF('Modell einstellen'!$B$1="Voll",H14/0.35,H14/0.35*2)</f>
        <v>6.2409851428571429E-4</v>
      </c>
      <c r="O14" s="2">
        <f>IF('Modell einstellen'!$B$1="Voll",J14/0.35,J14/0.35*2)</f>
        <v>-1.2687796E-3</v>
      </c>
      <c r="P14" s="3">
        <f t="shared" si="1"/>
        <v>0.49188883103551972</v>
      </c>
    </row>
    <row r="15" spans="1:16" x14ac:dyDescent="0.25">
      <c r="A15" s="3">
        <v>1E-3</v>
      </c>
      <c r="B15" s="3">
        <v>-8.8300000000000005E-5</v>
      </c>
      <c r="C15" s="3">
        <v>3.3750000000000002E-4</v>
      </c>
      <c r="D15" s="3">
        <v>-5.8810000000000004E-4</v>
      </c>
      <c r="E15" s="3">
        <v>0</v>
      </c>
      <c r="F15" s="3">
        <v>0</v>
      </c>
      <c r="G15" s="3">
        <v>0</v>
      </c>
      <c r="H15" s="3">
        <v>2.4030760999999999E-4</v>
      </c>
      <c r="I15" s="3">
        <v>4.0828523E-5</v>
      </c>
      <c r="J15" s="3">
        <v>-4.7421623000000002E-4</v>
      </c>
      <c r="L15" s="3">
        <f t="shared" si="0"/>
        <v>-0.15014453324264582</v>
      </c>
      <c r="M15" s="3"/>
      <c r="N15" s="2">
        <f>IF('Modell einstellen'!$B$1="Voll",H15/0.35,H15/0.35*2)</f>
        <v>6.8659317142857142E-4</v>
      </c>
      <c r="O15" s="2">
        <f>IF('Modell einstellen'!$B$1="Voll",J15/0.35,J15/0.35*2)</f>
        <v>-1.3549035142857145E-3</v>
      </c>
      <c r="P15" s="3">
        <f t="shared" si="1"/>
        <v>0.50674691163564767</v>
      </c>
    </row>
    <row r="16" spans="1:16" x14ac:dyDescent="0.25">
      <c r="A16" s="3">
        <v>0.01</v>
      </c>
      <c r="B16" s="3">
        <v>-1.427E-4</v>
      </c>
      <c r="C16" s="3">
        <v>3.5320000000000002E-4</v>
      </c>
      <c r="D16" s="3">
        <v>-5.5440000000000003E-4</v>
      </c>
      <c r="E16" s="3">
        <v>0</v>
      </c>
      <c r="F16" s="3">
        <v>0</v>
      </c>
      <c r="G16" s="3">
        <v>0</v>
      </c>
      <c r="H16" s="3">
        <v>2.6918846999999998E-4</v>
      </c>
      <c r="I16" s="3">
        <v>4.3429354999999998E-5</v>
      </c>
      <c r="J16" s="3">
        <v>-5.1352045999999995E-4</v>
      </c>
      <c r="L16" s="3">
        <f t="shared" si="0"/>
        <v>-0.2573953823953824</v>
      </c>
      <c r="M16" s="3"/>
      <c r="N16" s="2">
        <f>IF('Modell einstellen'!$B$1="Voll",H16/0.35,H16/0.35*2)</f>
        <v>7.6910991428571422E-4</v>
      </c>
      <c r="O16" s="2">
        <f>IF('Modell einstellen'!$B$1="Voll",J16/0.35,J16/0.35*2)</f>
        <v>-1.4672013142857142E-3</v>
      </c>
      <c r="P16" s="3">
        <f t="shared" si="1"/>
        <v>0.52420203471542304</v>
      </c>
    </row>
    <row r="17" spans="1:16" x14ac:dyDescent="0.25">
      <c r="A17" s="3">
        <v>0.1</v>
      </c>
      <c r="B17" s="3">
        <v>-2.2169999999999999E-4</v>
      </c>
      <c r="C17" s="3">
        <v>3.8299999999999999E-4</v>
      </c>
      <c r="D17" s="3">
        <v>-5.0949999999999997E-4</v>
      </c>
      <c r="E17" s="3">
        <v>0</v>
      </c>
      <c r="F17" s="3">
        <v>0</v>
      </c>
      <c r="G17" s="3">
        <v>0</v>
      </c>
      <c r="H17" s="3">
        <v>3.0793632E-4</v>
      </c>
      <c r="I17" s="3">
        <v>4.8153816999999999E-5</v>
      </c>
      <c r="J17" s="3">
        <v>-5.6998905000000004E-4</v>
      </c>
      <c r="L17" s="3">
        <f t="shared" si="0"/>
        <v>-0.43513248282630029</v>
      </c>
      <c r="M17" s="3"/>
      <c r="N17" s="2">
        <f>IF('Modell einstellen'!$B$1="Voll",H17/0.35,H17/0.35*2)</f>
        <v>8.7981805714285716E-4</v>
      </c>
      <c r="O17" s="2">
        <f>IF('Modell einstellen'!$B$1="Voll",J17/0.35,J17/0.35*2)</f>
        <v>-1.6285401428571432E-3</v>
      </c>
      <c r="P17" s="3">
        <f t="shared" si="1"/>
        <v>0.54024953637267237</v>
      </c>
    </row>
    <row r="18" spans="1:16" x14ac:dyDescent="0.25">
      <c r="A18" s="3">
        <v>1</v>
      </c>
      <c r="B18" s="3">
        <v>-3.4509999999999999E-4</v>
      </c>
      <c r="C18" s="3">
        <v>4.5839999999999998E-4</v>
      </c>
      <c r="D18" s="3">
        <v>-4.6270000000000003E-4</v>
      </c>
      <c r="E18" s="3">
        <v>0</v>
      </c>
      <c r="F18" s="3">
        <v>0</v>
      </c>
      <c r="G18" s="3">
        <v>0</v>
      </c>
      <c r="H18" s="3">
        <v>3.6106364E-4</v>
      </c>
      <c r="I18" s="3">
        <v>5.9566929E-5</v>
      </c>
      <c r="J18" s="3">
        <v>-6.6358048000000002E-4</v>
      </c>
      <c r="L18" s="3">
        <f t="shared" si="0"/>
        <v>-0.74583963691376698</v>
      </c>
      <c r="M18" s="3"/>
      <c r="N18" s="2">
        <f>IF('Modell einstellen'!$B$1="Voll",H18/0.35,H18/0.35*2)</f>
        <v>1.0316104E-3</v>
      </c>
      <c r="O18" s="2">
        <f>IF('Modell einstellen'!$B$1="Voll",J18/0.35,J18/0.35*2)</f>
        <v>-1.8959442285714288E-3</v>
      </c>
      <c r="P18" s="3">
        <f t="shared" si="1"/>
        <v>0.54411431752784523</v>
      </c>
    </row>
    <row r="19" spans="1:16" x14ac:dyDescent="0.25">
      <c r="A19" s="3">
        <v>10</v>
      </c>
      <c r="B19" s="3">
        <v>-5.6829999999999999E-4</v>
      </c>
      <c r="C19" s="3">
        <v>5.9290000000000005E-4</v>
      </c>
      <c r="D19" s="3">
        <v>-3.7389999999999998E-4</v>
      </c>
      <c r="E19" s="3">
        <v>0</v>
      </c>
      <c r="F19" s="3">
        <v>0</v>
      </c>
      <c r="G19" s="3">
        <v>0</v>
      </c>
      <c r="H19" s="3">
        <v>4.4424420000000001E-4</v>
      </c>
      <c r="I19" s="3">
        <v>8.0591481000000004E-5</v>
      </c>
      <c r="J19" s="3">
        <v>-8.2112997000000001E-4</v>
      </c>
      <c r="L19" s="3">
        <f t="shared" si="0"/>
        <v>-1.519925113666756</v>
      </c>
      <c r="M19" s="3"/>
      <c r="N19" s="2">
        <f>IF('Modell einstellen'!$B$1="Voll",H19/0.35,H19/0.35*2)</f>
        <v>1.269269142857143E-3</v>
      </c>
      <c r="O19" s="2">
        <f>IF('Modell einstellen'!$B$1="Voll",J19/0.35,J19/0.35*2)</f>
        <v>-2.3460856285714288E-3</v>
      </c>
      <c r="P19" s="3">
        <f t="shared" si="1"/>
        <v>0.54101569328909038</v>
      </c>
    </row>
    <row r="20" spans="1:16" x14ac:dyDescent="0.25">
      <c r="A20" s="3">
        <v>100</v>
      </c>
      <c r="B20" s="3">
        <v>-9.9820000000000009E-4</v>
      </c>
      <c r="C20" s="3">
        <v>7.9370000000000005E-4</v>
      </c>
      <c r="D20" s="3">
        <v>-1.47E-4</v>
      </c>
      <c r="E20" s="3">
        <v>0</v>
      </c>
      <c r="F20" s="3">
        <v>0</v>
      </c>
      <c r="G20" s="3">
        <v>0</v>
      </c>
      <c r="H20" s="3">
        <v>5.8840111E-4</v>
      </c>
      <c r="I20" s="3">
        <v>1.1424421E-4</v>
      </c>
      <c r="J20" s="3">
        <v>-1.0856239000000001E-3</v>
      </c>
      <c r="L20" s="3">
        <f t="shared" si="0"/>
        <v>-6.7904761904761912</v>
      </c>
      <c r="M20" s="3"/>
      <c r="N20" s="2">
        <f>IF('Modell einstellen'!$B$1="Voll",H20/0.35,H20/0.35*2)</f>
        <v>1.6811460285714288E-3</v>
      </c>
      <c r="O20" s="2">
        <f>IF('Modell einstellen'!$B$1="Voll",J20/0.35,J20/0.35*2)</f>
        <v>-3.101782571428572E-3</v>
      </c>
      <c r="P20" s="3">
        <f t="shared" si="1"/>
        <v>0.54199351174932675</v>
      </c>
    </row>
    <row r="21" spans="1:16" x14ac:dyDescent="0.25">
      <c r="A21" s="3">
        <v>1000</v>
      </c>
      <c r="B21" s="3">
        <v>-1.7880000000000001E-3</v>
      </c>
      <c r="C21" s="3">
        <v>1.09E-3</v>
      </c>
      <c r="D21" s="3">
        <v>3.4230000000000003E-4</v>
      </c>
      <c r="E21" s="3">
        <v>0</v>
      </c>
      <c r="F21" s="3">
        <v>0</v>
      </c>
      <c r="G21" s="3">
        <v>0</v>
      </c>
      <c r="H21" s="3">
        <v>8.3254507999999997E-4</v>
      </c>
      <c r="I21" s="3">
        <v>1.6750239E-4</v>
      </c>
      <c r="J21" s="3">
        <v>-1.5211718E-3</v>
      </c>
      <c r="L21" s="3">
        <f t="shared" si="0"/>
        <v>5.2234881682734446</v>
      </c>
      <c r="M21" s="3"/>
      <c r="N21" s="2">
        <f>IF('Modell einstellen'!$B$1="Voll",H21/0.35,H21/0.35*2)</f>
        <v>2.3787002285714288E-3</v>
      </c>
      <c r="O21" s="2">
        <f>IF('Modell einstellen'!$B$1="Voll",J21/0.35,J21/0.35*2)</f>
        <v>-4.3462051428571433E-3</v>
      </c>
      <c r="P21" s="3">
        <f t="shared" si="1"/>
        <v>0.54730509729407284</v>
      </c>
    </row>
    <row r="22" spans="1:16" x14ac:dyDescent="0.25">
      <c r="A22" s="3">
        <v>10000</v>
      </c>
      <c r="B22" s="3">
        <v>-3.0490000000000001E-3</v>
      </c>
      <c r="C22" s="3">
        <v>1.5120000000000001E-3</v>
      </c>
      <c r="D22" s="3">
        <v>1.178E-3</v>
      </c>
      <c r="E22" s="3">
        <v>0</v>
      </c>
      <c r="F22" s="3">
        <v>0</v>
      </c>
      <c r="G22" s="3">
        <v>0</v>
      </c>
      <c r="H22" s="3">
        <v>1.1980509000000001E-3</v>
      </c>
      <c r="I22" s="3">
        <v>2.4658031E-4</v>
      </c>
      <c r="J22" s="3">
        <v>-2.1705987E-3</v>
      </c>
      <c r="L22" s="3">
        <f t="shared" si="0"/>
        <v>2.5882852292020373</v>
      </c>
      <c r="M22" s="3"/>
      <c r="N22" s="2">
        <f>IF('Modell einstellen'!$B$1="Voll",H22/0.35,H22/0.35*2)</f>
        <v>3.4230025714285721E-3</v>
      </c>
      <c r="O22" s="2">
        <f>IF('Modell einstellen'!$B$1="Voll",J22/0.35,J22/0.35*2)</f>
        <v>-6.201710571428572E-3</v>
      </c>
      <c r="P22" s="3">
        <f t="shared" si="1"/>
        <v>0.55194490810300412</v>
      </c>
    </row>
    <row r="23" spans="1:16" x14ac:dyDescent="0.25">
      <c r="A23" s="3">
        <v>100000</v>
      </c>
      <c r="B23" s="3">
        <v>-4.5659999999999997E-3</v>
      </c>
      <c r="C23" s="3">
        <v>2.0209999999999998E-3</v>
      </c>
      <c r="D23" s="3">
        <v>2.1849999999999999E-3</v>
      </c>
      <c r="E23" s="3">
        <v>0</v>
      </c>
      <c r="F23" s="3">
        <v>0</v>
      </c>
      <c r="G23" s="3">
        <v>0</v>
      </c>
      <c r="H23" s="3">
        <v>1.6204476999999999E-3</v>
      </c>
      <c r="I23" s="3">
        <v>3.4435748999999999E-4</v>
      </c>
      <c r="J23" s="3">
        <v>-2.9425991000000002E-3</v>
      </c>
      <c r="L23" s="3">
        <f t="shared" si="0"/>
        <v>2.0897025171624715</v>
      </c>
      <c r="M23" s="3"/>
      <c r="N23" s="2">
        <f>IF('Modell einstellen'!$B$1="Voll",H23/0.35,H23/0.35*2)</f>
        <v>4.6298505714285716E-3</v>
      </c>
      <c r="O23" s="2">
        <f>IF('Modell einstellen'!$B$1="Voll",J23/0.35,J23/0.35*2)</f>
        <v>-8.4074260000000008E-3</v>
      </c>
      <c r="P23" s="3">
        <f t="shared" si="1"/>
        <v>0.55068585455626617</v>
      </c>
    </row>
    <row r="24" spans="1:16" x14ac:dyDescent="0.25">
      <c r="A24" s="3">
        <v>1000000</v>
      </c>
      <c r="B24" s="3">
        <v>-5.8529999999999997E-3</v>
      </c>
      <c r="C24" s="3">
        <v>2.4789999999999999E-3</v>
      </c>
      <c r="D24" s="3">
        <v>3.0140000000000002E-3</v>
      </c>
      <c r="E24" s="3">
        <v>0</v>
      </c>
      <c r="F24" s="3">
        <v>0</v>
      </c>
      <c r="G24" s="3">
        <v>0</v>
      </c>
      <c r="H24" s="3">
        <v>1.9667139E-3</v>
      </c>
      <c r="I24" s="3">
        <v>4.3308908000000001E-4</v>
      </c>
      <c r="J24" s="3">
        <v>-3.6046941999999999E-3</v>
      </c>
      <c r="L24" s="3">
        <f t="shared" si="0"/>
        <v>1.941937624419376</v>
      </c>
      <c r="M24" s="3"/>
      <c r="N24" s="2">
        <f>IF('Modell einstellen'!$B$1="Voll",H24/0.35,H24/0.35*2)</f>
        <v>5.6191825714285715E-3</v>
      </c>
      <c r="O24" s="2">
        <f>IF('Modell einstellen'!$B$1="Voll",J24/0.35,J24/0.35*2)</f>
        <v>-1.0299126285714286E-2</v>
      </c>
      <c r="P24" s="3">
        <f t="shared" si="1"/>
        <v>0.54559798720235408</v>
      </c>
    </row>
    <row r="25" spans="1:16" x14ac:dyDescent="0.25">
      <c r="A25" s="3">
        <v>10000000</v>
      </c>
      <c r="B25" s="3">
        <v>-6.698E-3</v>
      </c>
      <c r="C25" s="3">
        <v>2.8019999999999998E-3</v>
      </c>
      <c r="D25" s="3">
        <v>3.5370000000000002E-3</v>
      </c>
      <c r="E25" s="3">
        <v>0</v>
      </c>
      <c r="F25" s="3">
        <v>0</v>
      </c>
      <c r="G25" s="3">
        <v>0</v>
      </c>
      <c r="H25" s="3">
        <v>2.1862658E-3</v>
      </c>
      <c r="I25" s="3">
        <v>4.9624211000000003E-4</v>
      </c>
      <c r="J25" s="3">
        <v>-4.0483489000000001E-3</v>
      </c>
      <c r="L25" s="3">
        <f t="shared" si="0"/>
        <v>1.8936952219394967</v>
      </c>
      <c r="M25" s="3"/>
      <c r="N25" s="2">
        <f>IF('Modell einstellen'!$B$1="Voll",H25/0.35,H25/0.35*2)</f>
        <v>6.2464737142857146E-3</v>
      </c>
      <c r="O25" s="2">
        <f>IF('Modell einstellen'!$B$1="Voll",J25/0.35,J25/0.35*2)</f>
        <v>-1.1566711142857143E-2</v>
      </c>
      <c r="P25" s="3">
        <f t="shared" si="1"/>
        <v>0.54003887856602484</v>
      </c>
    </row>
    <row r="26" spans="1:16" x14ac:dyDescent="0.25">
      <c r="A26" s="3">
        <v>100000000</v>
      </c>
      <c r="B26" s="3">
        <v>-7.2269999999999999E-3</v>
      </c>
      <c r="C26" s="3">
        <v>3.0300000000000001E-3</v>
      </c>
      <c r="D26" s="3">
        <v>3.839E-3</v>
      </c>
      <c r="E26" s="3">
        <v>0</v>
      </c>
      <c r="F26" s="3">
        <v>0</v>
      </c>
      <c r="G26" s="3">
        <v>0</v>
      </c>
      <c r="H26" s="3">
        <v>2.3267410999999998E-3</v>
      </c>
      <c r="I26" s="3">
        <v>5.4075792999999997E-4</v>
      </c>
      <c r="J26" s="3">
        <v>-4.3465617999999999E-3</v>
      </c>
      <c r="L26" s="3">
        <f t="shared" si="0"/>
        <v>1.8825214899713467</v>
      </c>
      <c r="M26" s="3"/>
      <c r="N26" s="2">
        <f>IF('Modell einstellen'!$B$1="Voll",H26/0.35,H26/0.35*2)</f>
        <v>6.6478317142857138E-3</v>
      </c>
      <c r="O26" s="2">
        <f>IF('Modell einstellen'!$B$1="Voll",J26/0.35,J26/0.35*2)</f>
        <v>-1.2418748E-2</v>
      </c>
      <c r="P26" s="3">
        <f t="shared" si="1"/>
        <v>0.53530611252323612</v>
      </c>
    </row>
    <row r="27" spans="1:16" x14ac:dyDescent="0.25">
      <c r="A27" s="3">
        <v>1000000000</v>
      </c>
      <c r="B27" s="3">
        <v>-7.6080000000000002E-3</v>
      </c>
      <c r="C27" s="3">
        <v>3.186E-3</v>
      </c>
      <c r="D27" s="3">
        <v>4.0639999999999999E-3</v>
      </c>
      <c r="E27" s="3">
        <v>0</v>
      </c>
      <c r="F27" s="3">
        <v>0</v>
      </c>
      <c r="G27" s="3">
        <v>0</v>
      </c>
      <c r="H27" s="3">
        <v>2.4280933999999998E-3</v>
      </c>
      <c r="I27" s="3">
        <v>5.7156882999999999E-4</v>
      </c>
      <c r="J27" s="3">
        <v>-4.5568596999999997E-3</v>
      </c>
      <c r="L27" s="3">
        <f t="shared" si="0"/>
        <v>1.8720472440944882</v>
      </c>
      <c r="M27" s="3"/>
      <c r="N27" s="2">
        <f>IF('Modell einstellen'!$B$1="Voll",H27/0.35,H27/0.35*2)</f>
        <v>6.9374097142857142E-3</v>
      </c>
      <c r="O27" s="2">
        <f>IF('Modell einstellen'!$B$1="Voll",J27/0.35,J27/0.35*2)</f>
        <v>-1.3019599142857143E-2</v>
      </c>
      <c r="P27" s="3">
        <f t="shared" si="1"/>
        <v>0.53284357207662114</v>
      </c>
    </row>
    <row r="28" spans="1:16" x14ac:dyDescent="0.25">
      <c r="A28" s="3">
        <v>10000000000</v>
      </c>
      <c r="B28" s="3">
        <v>-7.7929999999999996E-3</v>
      </c>
      <c r="C28" s="3">
        <v>3.2490000000000002E-3</v>
      </c>
      <c r="D28" s="3">
        <v>4.1859999999999996E-3</v>
      </c>
      <c r="E28" s="3">
        <v>0</v>
      </c>
      <c r="F28" s="3">
        <v>0</v>
      </c>
      <c r="G28" s="3">
        <v>0</v>
      </c>
      <c r="H28" s="3">
        <v>2.4800806000000002E-3</v>
      </c>
      <c r="I28" s="3">
        <v>5.8418499999999998E-4</v>
      </c>
      <c r="J28" s="3">
        <v>-4.6532771000000004E-3</v>
      </c>
      <c r="L28" s="3">
        <f t="shared" si="0"/>
        <v>1.8616817964644052</v>
      </c>
      <c r="M28" s="3"/>
      <c r="N28" s="2">
        <f>IF('Modell einstellen'!$B$1="Voll",H28/0.35,H28/0.35*2)</f>
        <v>7.0859445714285723E-3</v>
      </c>
      <c r="O28" s="2">
        <f>IF('Modell einstellen'!$B$1="Voll",J28/0.35,J28/0.35*2)</f>
        <v>-1.3295077428571431E-2</v>
      </c>
      <c r="P28" s="3">
        <f t="shared" si="1"/>
        <v>0.53297505106669874</v>
      </c>
    </row>
    <row r="29" spans="1:16" x14ac:dyDescent="0.25">
      <c r="A29" s="3">
        <v>100000000000</v>
      </c>
      <c r="B29" s="3">
        <v>-8.1810000000000008E-3</v>
      </c>
      <c r="C29" s="3">
        <v>3.4139999999999999E-3</v>
      </c>
      <c r="D29" s="3">
        <v>4.4099999999999999E-3</v>
      </c>
      <c r="E29" s="3">
        <v>0</v>
      </c>
      <c r="F29" s="3">
        <v>0</v>
      </c>
      <c r="G29" s="3">
        <v>0</v>
      </c>
      <c r="H29" s="3">
        <v>2.5941059000000001E-3</v>
      </c>
      <c r="I29" s="3">
        <v>6.1679126000000004E-4</v>
      </c>
      <c r="J29" s="3">
        <v>-4.8822923000000004E-3</v>
      </c>
      <c r="L29" s="3">
        <f t="shared" si="0"/>
        <v>1.8551020408163268</v>
      </c>
      <c r="M29" s="3"/>
      <c r="N29" s="2">
        <f>IF('Modell einstellen'!$B$1="Voll",H29/0.35,H29/0.35*2)</f>
        <v>7.4117311428571432E-3</v>
      </c>
      <c r="O29" s="2">
        <f>IF('Modell einstellen'!$B$1="Voll",J29/0.35,J29/0.35*2)</f>
        <v>-1.3949406571428574E-2</v>
      </c>
      <c r="P29" s="3">
        <f t="shared" si="1"/>
        <v>0.53132949454910749</v>
      </c>
    </row>
    <row r="30" spans="1:16" x14ac:dyDescent="0.25">
      <c r="A30" s="3">
        <v>1000000000000</v>
      </c>
      <c r="B30" s="3">
        <v>-8.4939999999999998E-3</v>
      </c>
      <c r="C30" s="3">
        <v>3.5249999999999999E-3</v>
      </c>
      <c r="D30" s="3">
        <v>4.6119999999999998E-3</v>
      </c>
      <c r="E30" s="3">
        <v>0</v>
      </c>
      <c r="F30" s="3">
        <v>0</v>
      </c>
      <c r="G30" s="3">
        <v>0</v>
      </c>
      <c r="H30" s="3">
        <v>2.6851302000000001E-3</v>
      </c>
      <c r="I30" s="3">
        <v>6.3918161000000001E-4</v>
      </c>
      <c r="J30" s="3">
        <v>-5.0519794999999996E-3</v>
      </c>
      <c r="L30" s="3">
        <f t="shared" si="0"/>
        <v>1.8417172593235041</v>
      </c>
      <c r="M30" s="3"/>
      <c r="N30" s="2">
        <f>IF('Modell einstellen'!$B$1="Voll",H30/0.35,H30/0.35*2)</f>
        <v>7.6718005714285723E-3</v>
      </c>
      <c r="O30" s="2">
        <f>IF('Modell einstellen'!$B$1="Voll",J30/0.35,J30/0.35*2)</f>
        <v>-1.4434227142857142E-2</v>
      </c>
      <c r="P30" s="3">
        <f t="shared" si="1"/>
        <v>0.53150061277960459</v>
      </c>
    </row>
    <row r="31" spans="1:16" x14ac:dyDescent="0.25">
      <c r="A31" s="3">
        <v>10000000000000</v>
      </c>
      <c r="B31" s="3">
        <v>-8.5339999999999999E-3</v>
      </c>
      <c r="C31" s="3">
        <v>3.5300000000000002E-3</v>
      </c>
      <c r="D31" s="3">
        <v>4.646E-3</v>
      </c>
      <c r="E31" s="3">
        <v>0</v>
      </c>
      <c r="F31" s="3">
        <v>0</v>
      </c>
      <c r="G31" s="3">
        <v>0</v>
      </c>
      <c r="H31" s="3">
        <v>2.699636E-3</v>
      </c>
      <c r="I31" s="3">
        <v>6.4019725999999995E-4</v>
      </c>
      <c r="J31" s="3">
        <v>-5.0699122000000003E-3</v>
      </c>
      <c r="L31" s="3">
        <f t="shared" si="0"/>
        <v>1.8368489022815324</v>
      </c>
      <c r="M31" s="3"/>
      <c r="N31" s="2">
        <f>IF('Modell einstellen'!$B$1="Voll",H31/0.35,H31/0.35*2)</f>
        <v>7.7132457142857153E-3</v>
      </c>
      <c r="O31" s="2">
        <f>IF('Modell einstellen'!$B$1="Voll",J31/0.35,J31/0.35*2)</f>
        <v>-1.4485463428571431E-2</v>
      </c>
      <c r="P31" s="3">
        <f t="shared" si="1"/>
        <v>0.53248180510897214</v>
      </c>
    </row>
    <row r="32" spans="1:16" x14ac:dyDescent="0.25">
      <c r="A32" s="3">
        <v>100000000000000</v>
      </c>
      <c r="B32" s="3">
        <v>-8.5380000000000005E-3</v>
      </c>
      <c r="C32" s="3">
        <v>3.5330000000000001E-3</v>
      </c>
      <c r="D32" s="3">
        <v>4.6480000000000002E-3</v>
      </c>
      <c r="E32" s="3">
        <v>0</v>
      </c>
      <c r="F32" s="3">
        <v>0</v>
      </c>
      <c r="G32" s="3">
        <v>0</v>
      </c>
      <c r="H32" s="3">
        <v>2.700376E-3</v>
      </c>
      <c r="I32" s="3">
        <v>6.4076960999999997E-4</v>
      </c>
      <c r="J32" s="3">
        <v>-5.0726842999999997E-3</v>
      </c>
      <c r="L32" s="3">
        <f t="shared" si="0"/>
        <v>1.8369191049913942</v>
      </c>
      <c r="M32" s="3"/>
      <c r="N32" s="2">
        <f>IF('Modell einstellen'!$B$1="Voll",H32/0.35,H32/0.35*2)</f>
        <v>7.7153600000000001E-3</v>
      </c>
      <c r="O32" s="2">
        <f>IF('Modell einstellen'!$B$1="Voll",J32/0.35,J32/0.35*2)</f>
        <v>-1.4493383714285714E-2</v>
      </c>
      <c r="P32" s="3">
        <f t="shared" si="1"/>
        <v>0.5323366959777095</v>
      </c>
    </row>
    <row r="33" spans="1:16" x14ac:dyDescent="0.25">
      <c r="A33" s="3">
        <v>1000000000000000</v>
      </c>
      <c r="B33" s="3">
        <v>-8.5419999999999992E-3</v>
      </c>
      <c r="C33" s="3">
        <v>3.5339999999999998E-3</v>
      </c>
      <c r="D33" s="3">
        <v>4.6499999999999996E-3</v>
      </c>
      <c r="E33" s="3">
        <v>0</v>
      </c>
      <c r="F33" s="3">
        <v>0</v>
      </c>
      <c r="G33" s="3">
        <v>0</v>
      </c>
      <c r="H33" s="3">
        <v>2.7015829E-3</v>
      </c>
      <c r="I33" s="3">
        <v>6.4103567999999997E-4</v>
      </c>
      <c r="J33" s="3">
        <v>-5.0748275999999998E-3</v>
      </c>
      <c r="L33" s="3">
        <f t="shared" si="0"/>
        <v>1.8369892473118279</v>
      </c>
      <c r="M33" s="3"/>
      <c r="N33" s="2">
        <f>IF('Modell einstellen'!$B$1="Voll",H33/0.35,H33/0.35*2)</f>
        <v>7.7188082857142862E-3</v>
      </c>
      <c r="O33" s="2">
        <f>IF('Modell einstellen'!$B$1="Voll",J33/0.35,J33/0.35*2)</f>
        <v>-1.4499507428571428E-2</v>
      </c>
      <c r="P33" s="3">
        <f t="shared" si="1"/>
        <v>0.53234969006631871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4.6369999999999998E-5</v>
      </c>
      <c r="C3" s="3">
        <v>2.7999999999999998E-4</v>
      </c>
      <c r="D3" s="3">
        <v>-6.4320000000000002E-4</v>
      </c>
      <c r="E3" s="3">
        <v>0</v>
      </c>
      <c r="F3" s="3">
        <v>0</v>
      </c>
      <c r="G3" s="3">
        <v>0</v>
      </c>
      <c r="H3" s="3">
        <v>1.5497827000000001E-4</v>
      </c>
      <c r="I3" s="3">
        <v>3.1996623000000001E-5</v>
      </c>
      <c r="J3" s="3">
        <v>-3.5252025000000002E-4</v>
      </c>
      <c r="L3" s="3">
        <f>-B3/D3</f>
        <v>7.2092661691542284E-2</v>
      </c>
      <c r="M3" s="3"/>
      <c r="N3" s="2">
        <f>IF('Modell einstellen'!$B$1="Voll",H3/0.35,H3/0.35*2)</f>
        <v>4.4279505714285718E-4</v>
      </c>
      <c r="O3" s="2">
        <f>IF('Modell einstellen'!$B$1="Voll",J3/0.35,J3/0.35*2)</f>
        <v>-1.0072007142857143E-3</v>
      </c>
      <c r="P3" s="3">
        <f>-N3/O3</f>
        <v>0.43962941136005662</v>
      </c>
    </row>
    <row r="4" spans="1:16" x14ac:dyDescent="0.25">
      <c r="A4" s="3">
        <v>1E-14</v>
      </c>
      <c r="B4" s="3">
        <v>2.972E-5</v>
      </c>
      <c r="C4" s="3">
        <v>2.9189999999999999E-4</v>
      </c>
      <c r="D4" s="3">
        <v>-6.4249999999999995E-4</v>
      </c>
      <c r="E4" s="3">
        <v>0</v>
      </c>
      <c r="F4" s="3">
        <v>0</v>
      </c>
      <c r="G4" s="3">
        <v>0</v>
      </c>
      <c r="H4" s="3">
        <v>1.6790775999999999E-4</v>
      </c>
      <c r="I4" s="3">
        <v>3.3677051999999999E-5</v>
      </c>
      <c r="J4" s="3">
        <v>-3.7228366000000002E-4</v>
      </c>
      <c r="L4" s="3">
        <f t="shared" ref="L4:L33" si="0">-B4/D4</f>
        <v>4.6256809338521401E-2</v>
      </c>
      <c r="M4" s="3"/>
      <c r="N4" s="2">
        <f>IF('Modell einstellen'!$B$1="Voll",H4/0.35,H4/0.35*2)</f>
        <v>4.7973645714285713E-4</v>
      </c>
      <c r="O4" s="2">
        <f>IF('Modell einstellen'!$B$1="Voll",J4/0.35,J4/0.35*2)</f>
        <v>-1.0636676000000001E-3</v>
      </c>
      <c r="P4" s="3">
        <f t="shared" ref="P4:P33" si="1">-N4/O4</f>
        <v>0.45102103057652321</v>
      </c>
    </row>
    <row r="5" spans="1:16" x14ac:dyDescent="0.25">
      <c r="A5" s="3">
        <v>1E-13</v>
      </c>
      <c r="B5" s="3">
        <v>1.398E-5</v>
      </c>
      <c r="C5" s="3">
        <v>3.011E-4</v>
      </c>
      <c r="D5" s="3">
        <v>-6.3920000000000003E-4</v>
      </c>
      <c r="E5" s="3">
        <v>0</v>
      </c>
      <c r="F5" s="3">
        <v>0</v>
      </c>
      <c r="G5" s="3">
        <v>0</v>
      </c>
      <c r="H5" s="3">
        <v>1.7898491999999999E-4</v>
      </c>
      <c r="I5" s="3">
        <v>3.5024266999999999E-5</v>
      </c>
      <c r="J5" s="3">
        <v>-3.8883390999999999E-4</v>
      </c>
      <c r="L5" s="3">
        <f t="shared" si="0"/>
        <v>2.1871088861076346E-2</v>
      </c>
      <c r="M5" s="3"/>
      <c r="N5" s="2">
        <f>IF('Modell einstellen'!$B$1="Voll",H5/0.35,H5/0.35*2)</f>
        <v>5.1138548571428568E-4</v>
      </c>
      <c r="O5" s="2">
        <f>IF('Modell einstellen'!$B$1="Voll",J5/0.35,J5/0.35*2)</f>
        <v>-1.1109540285714286E-3</v>
      </c>
      <c r="P5" s="3">
        <f t="shared" si="1"/>
        <v>0.46031201342496075</v>
      </c>
    </row>
    <row r="6" spans="1:16" x14ac:dyDescent="0.25">
      <c r="A6" s="3">
        <v>9.9999999999999998E-13</v>
      </c>
      <c r="B6" s="3">
        <v>-4.685E-6</v>
      </c>
      <c r="C6" s="3">
        <v>3.1070000000000002E-4</v>
      </c>
      <c r="D6" s="3">
        <v>-6.334E-4</v>
      </c>
      <c r="E6" s="3">
        <v>0</v>
      </c>
      <c r="F6" s="3">
        <v>0</v>
      </c>
      <c r="G6" s="3">
        <v>0</v>
      </c>
      <c r="H6" s="3">
        <v>1.9132201E-4</v>
      </c>
      <c r="I6" s="3">
        <v>3.6446158999999998E-5</v>
      </c>
      <c r="J6" s="3">
        <v>-4.0694252999999998E-4</v>
      </c>
      <c r="L6" s="3">
        <f t="shared" si="0"/>
        <v>-7.3965898326491947E-3</v>
      </c>
      <c r="M6" s="3"/>
      <c r="N6" s="2">
        <f>IF('Modell einstellen'!$B$1="Voll",H6/0.35,H6/0.35*2)</f>
        <v>5.4663431428571426E-4</v>
      </c>
      <c r="O6" s="2">
        <f>IF('Modell einstellen'!$B$1="Voll",J6/0.35,J6/0.35*2)</f>
        <v>-1.1626929428571429E-3</v>
      </c>
      <c r="P6" s="3">
        <f t="shared" si="1"/>
        <v>0.47014503497582316</v>
      </c>
    </row>
    <row r="7" spans="1:16" x14ac:dyDescent="0.25">
      <c r="A7" s="3">
        <v>9.9999999999999994E-12</v>
      </c>
      <c r="B7" s="3">
        <v>-2.6959999999999999E-5</v>
      </c>
      <c r="C7" s="3">
        <v>3.2049999999999998E-4</v>
      </c>
      <c r="D7" s="3">
        <v>-6.2430000000000005E-4</v>
      </c>
      <c r="E7" s="3">
        <v>0</v>
      </c>
      <c r="F7" s="3">
        <v>0</v>
      </c>
      <c r="G7" s="3">
        <v>0</v>
      </c>
      <c r="H7" s="3">
        <v>2.0517781000000001E-4</v>
      </c>
      <c r="I7" s="3">
        <v>3.7948609000000003E-5</v>
      </c>
      <c r="J7" s="3">
        <v>-4.2689291E-4</v>
      </c>
      <c r="L7" s="3">
        <f t="shared" si="0"/>
        <v>-4.318436649046932E-2</v>
      </c>
      <c r="M7" s="3"/>
      <c r="N7" s="2">
        <f>IF('Modell einstellen'!$B$1="Voll",H7/0.35,H7/0.35*2)</f>
        <v>5.8622231428571438E-4</v>
      </c>
      <c r="O7" s="2">
        <f>IF('Modell einstellen'!$B$1="Voll",J7/0.35,J7/0.35*2)</f>
        <v>-1.2196940285714285E-3</v>
      </c>
      <c r="P7" s="3">
        <f t="shared" si="1"/>
        <v>0.48063063403887413</v>
      </c>
    </row>
    <row r="8" spans="1:16" x14ac:dyDescent="0.25">
      <c r="A8" s="3">
        <v>1E-10</v>
      </c>
      <c r="B8" s="3">
        <v>-5.8140000000000002E-5</v>
      </c>
      <c r="C8" s="3">
        <v>3.323E-4</v>
      </c>
      <c r="D8" s="3">
        <v>-6.0899999999999995E-4</v>
      </c>
      <c r="E8" s="3">
        <v>0</v>
      </c>
      <c r="F8" s="3">
        <v>0</v>
      </c>
      <c r="G8" s="3">
        <v>0</v>
      </c>
      <c r="H8" s="3">
        <v>2.2349602999999999E-4</v>
      </c>
      <c r="I8" s="3">
        <v>3.9804337000000002E-5</v>
      </c>
      <c r="J8" s="3">
        <v>-4.5273536999999999E-4</v>
      </c>
      <c r="L8" s="3">
        <f t="shared" si="0"/>
        <v>-9.546798029556651E-2</v>
      </c>
      <c r="M8" s="3"/>
      <c r="N8" s="2">
        <f>IF('Modell einstellen'!$B$1="Voll",H8/0.35,H8/0.35*2)</f>
        <v>6.3856008571428575E-4</v>
      </c>
      <c r="O8" s="2">
        <f>IF('Modell einstellen'!$B$1="Voll",J8/0.35,J8/0.35*2)</f>
        <v>-1.2935296285714287E-3</v>
      </c>
      <c r="P8" s="3">
        <f t="shared" si="1"/>
        <v>0.49365710039398952</v>
      </c>
    </row>
    <row r="9" spans="1:16" x14ac:dyDescent="0.25">
      <c r="A9" s="3">
        <v>1.0000000000000001E-9</v>
      </c>
      <c r="B9" s="3">
        <v>-1.002E-4</v>
      </c>
      <c r="C9" s="3">
        <v>3.455E-4</v>
      </c>
      <c r="D9" s="3">
        <v>-5.8469999999999996E-4</v>
      </c>
      <c r="E9" s="3">
        <v>0</v>
      </c>
      <c r="F9" s="3">
        <v>0</v>
      </c>
      <c r="G9" s="3">
        <v>0</v>
      </c>
      <c r="H9" s="3">
        <v>2.4674483000000001E-4</v>
      </c>
      <c r="I9" s="3">
        <v>4.1959261999999999E-5</v>
      </c>
      <c r="J9" s="3">
        <v>-4.8471712000000002E-4</v>
      </c>
      <c r="L9" s="3">
        <f t="shared" si="0"/>
        <v>-0.17136993329912775</v>
      </c>
      <c r="M9" s="3"/>
      <c r="N9" s="2">
        <f>IF('Modell einstellen'!$B$1="Voll",H9/0.35,H9/0.35*2)</f>
        <v>7.049852285714287E-4</v>
      </c>
      <c r="O9" s="2">
        <f>IF('Modell einstellen'!$B$1="Voll",J9/0.35,J9/0.35*2)</f>
        <v>-1.3849060571428573E-3</v>
      </c>
      <c r="P9" s="3">
        <f t="shared" si="1"/>
        <v>0.50904913364727045</v>
      </c>
    </row>
    <row r="10" spans="1:16" x14ac:dyDescent="0.25">
      <c r="A10" s="3">
        <v>1E-8</v>
      </c>
      <c r="B10" s="3">
        <v>-1.6100000000000001E-4</v>
      </c>
      <c r="C10" s="3">
        <v>3.6089999999999999E-4</v>
      </c>
      <c r="D10" s="3">
        <v>-5.4489999999999996E-4</v>
      </c>
      <c r="E10" s="3">
        <v>0</v>
      </c>
      <c r="F10" s="3">
        <v>0</v>
      </c>
      <c r="G10" s="3">
        <v>0</v>
      </c>
      <c r="H10" s="3">
        <v>2.7838146999999998E-4</v>
      </c>
      <c r="I10" s="3">
        <v>4.4597052000000002E-5</v>
      </c>
      <c r="J10" s="3">
        <v>-5.2703747000000002E-4</v>
      </c>
      <c r="L10" s="3">
        <f t="shared" si="0"/>
        <v>-0.29546705817581209</v>
      </c>
      <c r="M10" s="3"/>
      <c r="N10" s="2">
        <f>IF('Modell einstellen'!$B$1="Voll",H10/0.35,H10/0.35*2)</f>
        <v>7.953756285714286E-4</v>
      </c>
      <c r="O10" s="2">
        <f>IF('Modell einstellen'!$B$1="Voll",J10/0.35,J10/0.35*2)</f>
        <v>-1.5058213428571429E-3</v>
      </c>
      <c r="P10" s="3">
        <f t="shared" si="1"/>
        <v>0.52820052813322738</v>
      </c>
    </row>
    <row r="11" spans="1:16" x14ac:dyDescent="0.25">
      <c r="A11" s="3">
        <v>9.9999999999999995E-8</v>
      </c>
      <c r="B11" s="3">
        <v>-2.52E-4</v>
      </c>
      <c r="C11" s="3">
        <v>3.7889999999999999E-4</v>
      </c>
      <c r="D11" s="3">
        <v>-4.7839999999999997E-4</v>
      </c>
      <c r="E11" s="3">
        <v>0</v>
      </c>
      <c r="F11" s="3">
        <v>0</v>
      </c>
      <c r="G11" s="3">
        <v>0</v>
      </c>
      <c r="H11" s="3">
        <v>3.2296163E-4</v>
      </c>
      <c r="I11" s="3">
        <v>4.7837825E-5</v>
      </c>
      <c r="J11" s="3">
        <v>-5.8473148000000004E-4</v>
      </c>
      <c r="L11" s="3">
        <f t="shared" si="0"/>
        <v>-0.52675585284280935</v>
      </c>
      <c r="M11" s="3"/>
      <c r="N11" s="2">
        <f>IF('Modell einstellen'!$B$1="Voll",H11/0.35,H11/0.35*2)</f>
        <v>9.227475142857144E-4</v>
      </c>
      <c r="O11" s="2">
        <f>IF('Modell einstellen'!$B$1="Voll",J11/0.35,J11/0.35*2)</f>
        <v>-1.6706613714285716E-3</v>
      </c>
      <c r="P11" s="3">
        <f t="shared" si="1"/>
        <v>0.55232468414390823</v>
      </c>
    </row>
    <row r="12" spans="1:16" x14ac:dyDescent="0.25">
      <c r="A12" s="3">
        <v>9.9999999999999995E-7</v>
      </c>
      <c r="B12" s="3">
        <v>-4.0289999999999998E-4</v>
      </c>
      <c r="C12" s="3">
        <v>4.0099999999999999E-4</v>
      </c>
      <c r="D12" s="3">
        <v>-3.5740000000000001E-4</v>
      </c>
      <c r="E12" s="3">
        <v>0</v>
      </c>
      <c r="F12" s="3">
        <v>0</v>
      </c>
      <c r="G12" s="3">
        <v>0</v>
      </c>
      <c r="H12" s="3">
        <v>3.9288067E-4</v>
      </c>
      <c r="I12" s="3">
        <v>5.2081976000000001E-5</v>
      </c>
      <c r="J12" s="3">
        <v>-6.7179242E-4</v>
      </c>
      <c r="L12" s="3">
        <f t="shared" si="0"/>
        <v>-1.1273083379966424</v>
      </c>
      <c r="M12" s="3"/>
      <c r="N12" s="2">
        <f>IF('Modell einstellen'!$B$1="Voll",H12/0.35,H12/0.35*2)</f>
        <v>1.1225162000000001E-3</v>
      </c>
      <c r="O12" s="2">
        <f>IF('Modell einstellen'!$B$1="Voll",J12/0.35,J12/0.35*2)</f>
        <v>-1.9194069142857144E-3</v>
      </c>
      <c r="P12" s="3">
        <f t="shared" si="1"/>
        <v>0.58482450576027634</v>
      </c>
    </row>
    <row r="13" spans="1:16" x14ac:dyDescent="0.25">
      <c r="A13" s="3">
        <v>1.0000000000000001E-5</v>
      </c>
      <c r="B13" s="3">
        <v>-6.7520000000000004E-4</v>
      </c>
      <c r="C13" s="3">
        <v>4.2739999999999998E-4</v>
      </c>
      <c r="D13" s="3">
        <v>-1.2129999999999999E-4</v>
      </c>
      <c r="E13" s="3">
        <v>0</v>
      </c>
      <c r="F13" s="3">
        <v>0</v>
      </c>
      <c r="G13" s="3">
        <v>0</v>
      </c>
      <c r="H13" s="3">
        <v>5.1233287999999995E-4</v>
      </c>
      <c r="I13" s="3">
        <v>5.7682383000000002E-5</v>
      </c>
      <c r="J13" s="3">
        <v>-8.1375513999999997E-4</v>
      </c>
      <c r="L13" s="3">
        <f t="shared" si="0"/>
        <v>-5.5663643858202807</v>
      </c>
      <c r="M13" s="3"/>
      <c r="N13" s="2">
        <f>IF('Modell einstellen'!$B$1="Voll",H13/0.35,H13/0.35*2)</f>
        <v>1.4638082285714285E-3</v>
      </c>
      <c r="O13" s="2">
        <f>IF('Modell einstellen'!$B$1="Voll",J13/0.35,J13/0.35*2)</f>
        <v>-2.3250146857142859E-3</v>
      </c>
      <c r="P13" s="3">
        <f t="shared" si="1"/>
        <v>0.62959096024880401</v>
      </c>
    </row>
    <row r="14" spans="1:16" x14ac:dyDescent="0.25">
      <c r="A14" s="3">
        <v>1E-4</v>
      </c>
      <c r="B14" s="3">
        <v>-1.183E-3</v>
      </c>
      <c r="C14" s="3">
        <v>4.5689999999999999E-4</v>
      </c>
      <c r="D14" s="3">
        <v>3.4640000000000002E-4</v>
      </c>
      <c r="E14" s="3">
        <v>0</v>
      </c>
      <c r="F14" s="3">
        <v>0</v>
      </c>
      <c r="G14" s="3">
        <v>0</v>
      </c>
      <c r="H14" s="3">
        <v>7.2510173000000003E-4</v>
      </c>
      <c r="I14" s="3">
        <v>6.4640133999999998E-5</v>
      </c>
      <c r="J14" s="3">
        <v>-1.0540489E-3</v>
      </c>
      <c r="L14" s="3">
        <f t="shared" si="0"/>
        <v>3.4151270207852193</v>
      </c>
      <c r="M14" s="3"/>
      <c r="N14" s="2">
        <f>IF('Modell einstellen'!$B$1="Voll",H14/0.35,H14/0.35*2)</f>
        <v>2.0717192285714288E-3</v>
      </c>
      <c r="O14" s="2">
        <f>IF('Modell einstellen'!$B$1="Voll",J14/0.35,J14/0.35*2)</f>
        <v>-3.0115682857142861E-3</v>
      </c>
      <c r="P14" s="3">
        <f t="shared" si="1"/>
        <v>0.6879203896517514</v>
      </c>
    </row>
    <row r="15" spans="1:16" x14ac:dyDescent="0.25">
      <c r="A15" s="3">
        <v>1E-3</v>
      </c>
      <c r="B15" s="3">
        <v>-2.0630000000000002E-3</v>
      </c>
      <c r="C15" s="3">
        <v>4.9560000000000001E-4</v>
      </c>
      <c r="D15" s="3">
        <v>1.1800000000000001E-3</v>
      </c>
      <c r="E15" s="3">
        <v>0</v>
      </c>
      <c r="F15" s="3">
        <v>0</v>
      </c>
      <c r="G15" s="3">
        <v>0</v>
      </c>
      <c r="H15" s="3">
        <v>1.0803163000000001E-3</v>
      </c>
      <c r="I15" s="3">
        <v>7.3577618999999997E-5</v>
      </c>
      <c r="J15" s="3">
        <v>-1.4425296999999999E-3</v>
      </c>
      <c r="L15" s="3">
        <f t="shared" si="0"/>
        <v>1.7483050847457628</v>
      </c>
      <c r="M15" s="3"/>
      <c r="N15" s="2">
        <f>IF('Modell einstellen'!$B$1="Voll",H15/0.35,H15/0.35*2)</f>
        <v>3.0866180000000006E-3</v>
      </c>
      <c r="O15" s="2">
        <f>IF('Modell einstellen'!$B$1="Voll",J15/0.35,J15/0.35*2)</f>
        <v>-4.1215134285714286E-3</v>
      </c>
      <c r="P15" s="3">
        <f t="shared" si="1"/>
        <v>0.74890402603149187</v>
      </c>
    </row>
    <row r="16" spans="1:16" x14ac:dyDescent="0.25">
      <c r="A16" s="3">
        <v>0.01</v>
      </c>
      <c r="B16" s="3">
        <v>-3.3860000000000001E-3</v>
      </c>
      <c r="C16" s="3">
        <v>6.1589999999999995E-4</v>
      </c>
      <c r="D16" s="3">
        <v>2.379E-3</v>
      </c>
      <c r="E16" s="3">
        <v>0</v>
      </c>
      <c r="F16" s="3">
        <v>0</v>
      </c>
      <c r="G16" s="3">
        <v>0</v>
      </c>
      <c r="H16" s="3">
        <v>1.5808338000000001E-3</v>
      </c>
      <c r="I16" s="3">
        <v>9.5828895000000006E-5</v>
      </c>
      <c r="J16" s="3">
        <v>-2.0204339000000002E-3</v>
      </c>
      <c r="L16" s="3">
        <f t="shared" si="0"/>
        <v>1.4232870954182431</v>
      </c>
      <c r="M16" s="3"/>
      <c r="N16" s="2">
        <f>IF('Modell einstellen'!$B$1="Voll",H16/0.35,H16/0.35*2)</f>
        <v>4.5166680000000006E-3</v>
      </c>
      <c r="O16" s="2">
        <f>IF('Modell einstellen'!$B$1="Voll",J16/0.35,J16/0.35*2)</f>
        <v>-5.7726682857142863E-3</v>
      </c>
      <c r="P16" s="3">
        <f t="shared" si="1"/>
        <v>0.78242292410555969</v>
      </c>
    </row>
    <row r="17" spans="1:16" x14ac:dyDescent="0.25">
      <c r="A17" s="3">
        <v>0.1</v>
      </c>
      <c r="B17" s="3">
        <v>-4.8560000000000001E-3</v>
      </c>
      <c r="C17" s="3">
        <v>9.0189999999999997E-4</v>
      </c>
      <c r="D17" s="3">
        <v>3.565E-3</v>
      </c>
      <c r="E17" s="3">
        <v>0</v>
      </c>
      <c r="F17" s="3">
        <v>0</v>
      </c>
      <c r="G17" s="3">
        <v>0</v>
      </c>
      <c r="H17" s="3">
        <v>2.0729638E-3</v>
      </c>
      <c r="I17" s="3">
        <v>1.4694721999999999E-4</v>
      </c>
      <c r="J17" s="3">
        <v>-2.6904975999999998E-3</v>
      </c>
      <c r="L17" s="3">
        <f t="shared" si="0"/>
        <v>1.3621318373071529</v>
      </c>
      <c r="M17" s="3"/>
      <c r="N17" s="2">
        <f>IF('Modell einstellen'!$B$1="Voll",H17/0.35,H17/0.35*2)</f>
        <v>5.922753714285715E-3</v>
      </c>
      <c r="O17" s="2">
        <f>IF('Modell einstellen'!$B$1="Voll",J17/0.35,J17/0.35*2)</f>
        <v>-7.6871359999999998E-3</v>
      </c>
      <c r="P17" s="3">
        <f t="shared" si="1"/>
        <v>0.77047598927425187</v>
      </c>
    </row>
    <row r="18" spans="1:16" x14ac:dyDescent="0.25">
      <c r="A18" s="3">
        <v>1</v>
      </c>
      <c r="B18" s="3">
        <v>-6.0870000000000004E-3</v>
      </c>
      <c r="C18" s="3">
        <v>1.3320000000000001E-3</v>
      </c>
      <c r="D18" s="3">
        <v>4.3709999999999999E-3</v>
      </c>
      <c r="E18" s="3">
        <v>0</v>
      </c>
      <c r="F18" s="3">
        <v>0</v>
      </c>
      <c r="G18" s="3">
        <v>0</v>
      </c>
      <c r="H18" s="3">
        <v>2.4025538999999999E-3</v>
      </c>
      <c r="I18" s="3">
        <v>2.2492629E-4</v>
      </c>
      <c r="J18" s="3">
        <v>-3.2945839000000001E-3</v>
      </c>
      <c r="L18" s="3">
        <f t="shared" si="0"/>
        <v>1.3925875085792727</v>
      </c>
      <c r="M18" s="3"/>
      <c r="N18" s="2">
        <f>IF('Modell einstellen'!$B$1="Voll",H18/0.35,H18/0.35*2)</f>
        <v>6.8644397142857147E-3</v>
      </c>
      <c r="O18" s="2">
        <f>IF('Modell einstellen'!$B$1="Voll",J18/0.35,J18/0.35*2)</f>
        <v>-9.4130968571428577E-3</v>
      </c>
      <c r="P18" s="3">
        <f t="shared" si="1"/>
        <v>0.72924350173628905</v>
      </c>
    </row>
    <row r="19" spans="1:16" x14ac:dyDescent="0.25">
      <c r="A19" s="3">
        <v>10</v>
      </c>
      <c r="B19" s="3">
        <v>-6.8910000000000004E-3</v>
      </c>
      <c r="C19" s="3">
        <v>1.817E-3</v>
      </c>
      <c r="D19" s="3">
        <v>4.6959999999999997E-3</v>
      </c>
      <c r="E19" s="3">
        <v>0</v>
      </c>
      <c r="F19" s="3">
        <v>0</v>
      </c>
      <c r="G19" s="3">
        <v>0</v>
      </c>
      <c r="H19" s="3">
        <v>2.5308065000000002E-3</v>
      </c>
      <c r="I19" s="3">
        <v>3.1424863999999998E-4</v>
      </c>
      <c r="J19" s="3">
        <v>-3.7400570000000002E-3</v>
      </c>
      <c r="L19" s="3">
        <f t="shared" si="0"/>
        <v>1.4674190800681433</v>
      </c>
      <c r="M19" s="3"/>
      <c r="N19" s="2">
        <f>IF('Modell einstellen'!$B$1="Voll",H19/0.35,H19/0.35*2)</f>
        <v>7.2308757142857151E-3</v>
      </c>
      <c r="O19" s="2">
        <f>IF('Modell einstellen'!$B$1="Voll",J19/0.35,J19/0.35*2)</f>
        <v>-1.0685877142857144E-2</v>
      </c>
      <c r="P19" s="3">
        <f t="shared" si="1"/>
        <v>0.6766759169713189</v>
      </c>
    </row>
    <row r="20" spans="1:16" x14ac:dyDescent="0.25">
      <c r="A20" s="3">
        <v>100</v>
      </c>
      <c r="B20" s="3">
        <v>-7.4910000000000003E-3</v>
      </c>
      <c r="C20" s="3">
        <v>2.2680000000000001E-3</v>
      </c>
      <c r="D20" s="3">
        <v>4.8510000000000003E-3</v>
      </c>
      <c r="E20" s="3">
        <v>0</v>
      </c>
      <c r="F20" s="3">
        <v>0</v>
      </c>
      <c r="G20" s="3">
        <v>0</v>
      </c>
      <c r="H20" s="3">
        <v>2.5887545000000001E-3</v>
      </c>
      <c r="I20" s="3">
        <v>3.9879359000000002E-4</v>
      </c>
      <c r="J20" s="3">
        <v>-4.0990152000000002E-3</v>
      </c>
      <c r="L20" s="3">
        <f t="shared" si="0"/>
        <v>1.5442176870748299</v>
      </c>
      <c r="M20" s="3"/>
      <c r="N20" s="2">
        <f>IF('Modell einstellen'!$B$1="Voll",H20/0.35,H20/0.35*2)</f>
        <v>7.3964414285714293E-3</v>
      </c>
      <c r="O20" s="2">
        <f>IF('Modell einstellen'!$B$1="Voll",J20/0.35,J20/0.35*2)</f>
        <v>-1.1711472000000001E-2</v>
      </c>
      <c r="P20" s="3">
        <f t="shared" si="1"/>
        <v>0.63155523307159245</v>
      </c>
    </row>
    <row r="21" spans="1:16" x14ac:dyDescent="0.25">
      <c r="A21" s="3">
        <v>1000</v>
      </c>
      <c r="B21" s="3">
        <v>-7.8770000000000003E-3</v>
      </c>
      <c r="C21" s="3">
        <v>2.6459999999999999E-3</v>
      </c>
      <c r="D21" s="3">
        <v>4.8630000000000001E-3</v>
      </c>
      <c r="E21" s="3">
        <v>0</v>
      </c>
      <c r="F21" s="3">
        <v>0</v>
      </c>
      <c r="G21" s="3">
        <v>0</v>
      </c>
      <c r="H21" s="3">
        <v>2.5985517E-3</v>
      </c>
      <c r="I21" s="3">
        <v>4.7030976000000003E-4</v>
      </c>
      <c r="J21" s="3">
        <v>-4.3639413999999998E-3</v>
      </c>
      <c r="L21" s="3">
        <f t="shared" si="0"/>
        <v>1.6197820275550072</v>
      </c>
      <c r="M21" s="3"/>
      <c r="N21" s="2">
        <f>IF('Modell einstellen'!$B$1="Voll",H21/0.35,H21/0.35*2)</f>
        <v>7.4244334285714286E-3</v>
      </c>
      <c r="O21" s="2">
        <f>IF('Modell einstellen'!$B$1="Voll",J21/0.35,J21/0.35*2)</f>
        <v>-1.2468404000000001E-2</v>
      </c>
      <c r="P21" s="3">
        <f t="shared" si="1"/>
        <v>0.59545980612846905</v>
      </c>
    </row>
    <row r="22" spans="1:16" x14ac:dyDescent="0.25">
      <c r="A22" s="3">
        <v>10000</v>
      </c>
      <c r="B22" s="3">
        <v>-8.0590000000000002E-3</v>
      </c>
      <c r="C22" s="3">
        <v>2.9160000000000002E-3</v>
      </c>
      <c r="D22" s="3">
        <v>4.7790000000000003E-3</v>
      </c>
      <c r="E22" s="3">
        <v>0</v>
      </c>
      <c r="F22" s="3">
        <v>0</v>
      </c>
      <c r="G22" s="3">
        <v>0</v>
      </c>
      <c r="H22" s="3">
        <v>2.5808713999999999E-3</v>
      </c>
      <c r="I22" s="3">
        <v>5.2152087000000003E-4</v>
      </c>
      <c r="J22" s="3">
        <v>-4.5292114999999997E-3</v>
      </c>
      <c r="L22" s="3">
        <f t="shared" si="0"/>
        <v>1.6863360535676919</v>
      </c>
      <c r="M22" s="3"/>
      <c r="N22" s="2">
        <f>IF('Modell einstellen'!$B$1="Voll",H22/0.35,H22/0.35*2)</f>
        <v>7.3739182857142857E-3</v>
      </c>
      <c r="O22" s="2">
        <f>IF('Modell einstellen'!$B$1="Voll",J22/0.35,J22/0.35*2)</f>
        <v>-1.2940604285714285E-2</v>
      </c>
      <c r="P22" s="3">
        <f t="shared" si="1"/>
        <v>0.56982797116010153</v>
      </c>
    </row>
    <row r="23" spans="1:16" x14ac:dyDescent="0.25">
      <c r="A23" s="3">
        <v>100000</v>
      </c>
      <c r="B23" s="3">
        <v>-8.5699999999999995E-3</v>
      </c>
      <c r="C23" s="3">
        <v>3.1970000000000002E-3</v>
      </c>
      <c r="D23" s="3">
        <v>5.0109999999999998E-3</v>
      </c>
      <c r="E23" s="3">
        <v>0</v>
      </c>
      <c r="F23" s="3">
        <v>0</v>
      </c>
      <c r="G23" s="3">
        <v>0</v>
      </c>
      <c r="H23" s="3">
        <v>2.6960301999999999E-3</v>
      </c>
      <c r="I23" s="3">
        <v>5.7597154999999996E-4</v>
      </c>
      <c r="J23" s="3">
        <v>-4.8371845999999998E-3</v>
      </c>
      <c r="L23" s="3">
        <f t="shared" si="0"/>
        <v>1.7102374775493914</v>
      </c>
      <c r="M23" s="3"/>
      <c r="N23" s="2">
        <f>IF('Modell einstellen'!$B$1="Voll",H23/0.35,H23/0.35*2)</f>
        <v>7.7029434285714286E-3</v>
      </c>
      <c r="O23" s="2">
        <f>IF('Modell einstellen'!$B$1="Voll",J23/0.35,J23/0.35*2)</f>
        <v>-1.3820527428571429E-2</v>
      </c>
      <c r="P23" s="3">
        <f t="shared" si="1"/>
        <v>0.55735524337855535</v>
      </c>
    </row>
    <row r="24" spans="1:16" x14ac:dyDescent="0.25">
      <c r="A24" s="3">
        <v>1000000</v>
      </c>
      <c r="B24" s="3">
        <v>-8.7480000000000006E-3</v>
      </c>
      <c r="C24" s="3">
        <v>3.3709999999999999E-3</v>
      </c>
      <c r="D24" s="3">
        <v>5.0159999999999996E-3</v>
      </c>
      <c r="E24" s="3">
        <v>0</v>
      </c>
      <c r="F24" s="3">
        <v>0</v>
      </c>
      <c r="G24" s="3">
        <v>0</v>
      </c>
      <c r="H24" s="3">
        <v>2.7200343000000002E-3</v>
      </c>
      <c r="I24" s="3">
        <v>6.0966600999999999E-4</v>
      </c>
      <c r="J24" s="3">
        <v>-4.9810462999999999E-3</v>
      </c>
      <c r="L24" s="3">
        <f t="shared" si="0"/>
        <v>1.7440191387559811</v>
      </c>
      <c r="M24" s="3"/>
      <c r="N24" s="2">
        <f>IF('Modell einstellen'!$B$1="Voll",H24/0.35,H24/0.35*2)</f>
        <v>7.7715265714285728E-3</v>
      </c>
      <c r="O24" s="2">
        <f>IF('Modell einstellen'!$B$1="Voll",J24/0.35,J24/0.35*2)</f>
        <v>-1.4231560857142857E-2</v>
      </c>
      <c r="P24" s="3">
        <f t="shared" si="1"/>
        <v>0.54607689553096517</v>
      </c>
    </row>
    <row r="25" spans="1:16" x14ac:dyDescent="0.25">
      <c r="A25" s="3">
        <v>10000000</v>
      </c>
      <c r="B25" s="3">
        <v>-8.7340000000000004E-3</v>
      </c>
      <c r="C25" s="3">
        <v>3.4619999999999998E-3</v>
      </c>
      <c r="D25" s="3">
        <v>4.9129999999999998E-3</v>
      </c>
      <c r="E25" s="3">
        <v>0</v>
      </c>
      <c r="F25" s="3">
        <v>0</v>
      </c>
      <c r="G25" s="3">
        <v>0</v>
      </c>
      <c r="H25" s="3">
        <v>2.7030680999999999E-3</v>
      </c>
      <c r="I25" s="3">
        <v>6.2704215000000002E-4</v>
      </c>
      <c r="J25" s="3">
        <v>-5.0262761999999997E-3</v>
      </c>
      <c r="L25" s="3">
        <f t="shared" si="0"/>
        <v>1.7777325463057196</v>
      </c>
      <c r="M25" s="3"/>
      <c r="N25" s="2">
        <f>IF('Modell einstellen'!$B$1="Voll",H25/0.35,H25/0.35*2)</f>
        <v>7.7230517142857147E-3</v>
      </c>
      <c r="O25" s="2">
        <f>IF('Modell einstellen'!$B$1="Voll",J25/0.35,J25/0.35*2)</f>
        <v>-1.4360789142857143E-2</v>
      </c>
      <c r="P25" s="3">
        <f t="shared" si="1"/>
        <v>0.5377874180491713</v>
      </c>
    </row>
    <row r="26" spans="1:16" x14ac:dyDescent="0.25">
      <c r="A26" s="3">
        <v>100000000</v>
      </c>
      <c r="B26" s="3">
        <v>-8.737E-3</v>
      </c>
      <c r="C26" s="3">
        <v>3.4650000000000002E-3</v>
      </c>
      <c r="D26" s="3">
        <v>4.9129999999999998E-3</v>
      </c>
      <c r="E26" s="3">
        <v>0</v>
      </c>
      <c r="F26" s="3">
        <v>0</v>
      </c>
      <c r="G26" s="3">
        <v>0</v>
      </c>
      <c r="H26" s="3">
        <v>2.7041368000000001E-3</v>
      </c>
      <c r="I26" s="3">
        <v>6.2747862000000001E-4</v>
      </c>
      <c r="J26" s="3">
        <v>-5.0288891000000004E-3</v>
      </c>
      <c r="L26" s="3">
        <f t="shared" si="0"/>
        <v>1.778343171178506</v>
      </c>
      <c r="M26" s="3"/>
      <c r="N26" s="2">
        <f>IF('Modell einstellen'!$B$1="Voll",H26/0.35,H26/0.35*2)</f>
        <v>7.7261051428571433E-3</v>
      </c>
      <c r="O26" s="2">
        <f>IF('Modell einstellen'!$B$1="Voll",J26/0.35,J26/0.35*2)</f>
        <v>-1.4368254571428573E-2</v>
      </c>
      <c r="P26" s="3">
        <f t="shared" si="1"/>
        <v>0.53772050769622259</v>
      </c>
    </row>
    <row r="27" spans="1:16" x14ac:dyDescent="0.25">
      <c r="A27" s="3">
        <v>1000000000</v>
      </c>
      <c r="B27" s="3">
        <v>-8.7150000000000005E-3</v>
      </c>
      <c r="C27" s="3">
        <v>3.5079999999999998E-3</v>
      </c>
      <c r="D27" s="3">
        <v>4.849E-3</v>
      </c>
      <c r="E27" s="3">
        <v>0</v>
      </c>
      <c r="F27" s="3">
        <v>0</v>
      </c>
      <c r="G27" s="3">
        <v>0</v>
      </c>
      <c r="H27" s="3">
        <v>2.6948638999999999E-3</v>
      </c>
      <c r="I27" s="3">
        <v>6.3582470999999998E-4</v>
      </c>
      <c r="J27" s="3">
        <v>-5.0494804000000004E-3</v>
      </c>
      <c r="L27" s="3">
        <f t="shared" si="0"/>
        <v>1.7972777892348939</v>
      </c>
      <c r="M27" s="3"/>
      <c r="N27" s="2">
        <f>IF('Modell einstellen'!$B$1="Voll",H27/0.35,H27/0.35*2)</f>
        <v>7.6996111428571431E-3</v>
      </c>
      <c r="O27" s="2">
        <f>IF('Modell einstellen'!$B$1="Voll",J27/0.35,J27/0.35*2)</f>
        <v>-1.4427086857142859E-2</v>
      </c>
      <c r="P27" s="3">
        <f t="shared" si="1"/>
        <v>0.53369132792356211</v>
      </c>
    </row>
    <row r="28" spans="1:16" x14ac:dyDescent="0.25">
      <c r="A28" s="3">
        <v>10000000000</v>
      </c>
      <c r="B28" s="3">
        <v>-8.6820000000000005E-3</v>
      </c>
      <c r="C28" s="3">
        <v>3.5400000000000002E-3</v>
      </c>
      <c r="D28" s="3">
        <v>4.7850000000000002E-3</v>
      </c>
      <c r="E28" s="3">
        <v>0</v>
      </c>
      <c r="F28" s="3">
        <v>0</v>
      </c>
      <c r="G28" s="3">
        <v>0</v>
      </c>
      <c r="H28" s="3">
        <v>2.6904361000000001E-3</v>
      </c>
      <c r="I28" s="3">
        <v>6.4180674000000005E-4</v>
      </c>
      <c r="J28" s="3">
        <v>-5.0664411000000001E-3</v>
      </c>
      <c r="L28" s="3">
        <f t="shared" si="0"/>
        <v>1.8144200626959248</v>
      </c>
      <c r="M28" s="3"/>
      <c r="N28" s="2">
        <f>IF('Modell einstellen'!$B$1="Voll",H28/0.35,H28/0.35*2)</f>
        <v>7.6869602857142861E-3</v>
      </c>
      <c r="O28" s="2">
        <f>IF('Modell einstellen'!$B$1="Voll",J28/0.35,J28/0.35*2)</f>
        <v>-1.4475546000000001E-2</v>
      </c>
      <c r="P28" s="3">
        <f t="shared" si="1"/>
        <v>0.53103076634997293</v>
      </c>
    </row>
    <row r="29" spans="1:16" x14ac:dyDescent="0.25">
      <c r="A29" s="3">
        <v>100000000000</v>
      </c>
      <c r="B29" s="3">
        <v>-8.6829999999999997E-3</v>
      </c>
      <c r="C29" s="3">
        <v>3.5409999999999999E-3</v>
      </c>
      <c r="D29" s="3">
        <v>4.7840000000000001E-3</v>
      </c>
      <c r="E29" s="3">
        <v>0</v>
      </c>
      <c r="F29" s="3">
        <v>0</v>
      </c>
      <c r="G29" s="3">
        <v>0</v>
      </c>
      <c r="H29" s="3">
        <v>2.6919496000000001E-3</v>
      </c>
      <c r="I29" s="3">
        <v>6.4207190999999997E-4</v>
      </c>
      <c r="J29" s="3">
        <v>-5.0688816000000001E-3</v>
      </c>
      <c r="L29" s="3">
        <f t="shared" si="0"/>
        <v>1.8150083612040133</v>
      </c>
      <c r="M29" s="3"/>
      <c r="N29" s="2">
        <f>IF('Modell einstellen'!$B$1="Voll",H29/0.35,H29/0.35*2)</f>
        <v>7.6912845714285725E-3</v>
      </c>
      <c r="O29" s="2">
        <f>IF('Modell einstellen'!$B$1="Voll",J29/0.35,J29/0.35*2)</f>
        <v>-1.4482518857142858E-2</v>
      </c>
      <c r="P29" s="3">
        <f t="shared" si="1"/>
        <v>0.53107367905377789</v>
      </c>
    </row>
    <row r="30" spans="1:16" x14ac:dyDescent="0.25">
      <c r="A30" s="3">
        <v>1000000000000</v>
      </c>
      <c r="B30" s="3">
        <v>-8.6840000000000007E-3</v>
      </c>
      <c r="C30" s="3">
        <v>3.542E-3</v>
      </c>
      <c r="D30" s="3">
        <v>4.7850000000000002E-3</v>
      </c>
      <c r="E30" s="3">
        <v>0</v>
      </c>
      <c r="F30" s="3">
        <v>0</v>
      </c>
      <c r="G30" s="3">
        <v>0</v>
      </c>
      <c r="H30" s="3">
        <v>2.6935068999999999E-3</v>
      </c>
      <c r="I30" s="3">
        <v>6.4226617999999999E-4</v>
      </c>
      <c r="J30" s="3">
        <v>-5.0711113000000002E-3</v>
      </c>
      <c r="L30" s="3">
        <f t="shared" si="0"/>
        <v>1.8148380355276907</v>
      </c>
      <c r="M30" s="3"/>
      <c r="N30" s="2">
        <f>IF('Modell einstellen'!$B$1="Voll",H30/0.35,H30/0.35*2)</f>
        <v>7.6957340000000001E-3</v>
      </c>
      <c r="O30" s="2">
        <f>IF('Modell einstellen'!$B$1="Voll",J30/0.35,J30/0.35*2)</f>
        <v>-1.448888942857143E-2</v>
      </c>
      <c r="P30" s="3">
        <f t="shared" si="1"/>
        <v>0.53114726549188529</v>
      </c>
    </row>
    <row r="31" spans="1:16" x14ac:dyDescent="0.25">
      <c r="A31" s="3">
        <v>10000000000000</v>
      </c>
      <c r="B31" s="3">
        <v>-8.685E-3</v>
      </c>
      <c r="C31" s="3">
        <v>3.5430000000000001E-3</v>
      </c>
      <c r="D31" s="3">
        <v>4.7850000000000002E-3</v>
      </c>
      <c r="E31" s="3">
        <v>0</v>
      </c>
      <c r="F31" s="3">
        <v>0</v>
      </c>
      <c r="G31" s="3">
        <v>0</v>
      </c>
      <c r="H31" s="3">
        <v>2.6948101999999998E-3</v>
      </c>
      <c r="I31" s="3">
        <v>6.4243749000000004E-4</v>
      </c>
      <c r="J31" s="3">
        <v>-5.0730087999999998E-3</v>
      </c>
      <c r="L31" s="3">
        <f t="shared" si="0"/>
        <v>1.8150470219435737</v>
      </c>
      <c r="M31" s="3"/>
      <c r="N31" s="2">
        <f>IF('Modell einstellen'!$B$1="Voll",H31/0.35,H31/0.35*2)</f>
        <v>7.6994577142857146E-3</v>
      </c>
      <c r="O31" s="2">
        <f>IF('Modell einstellen'!$B$1="Voll",J31/0.35,J31/0.35*2)</f>
        <v>-1.4494310857142858E-2</v>
      </c>
      <c r="P31" s="3">
        <f t="shared" si="1"/>
        <v>0.53120550470955219</v>
      </c>
    </row>
    <row r="32" spans="1:16" x14ac:dyDescent="0.25">
      <c r="A32" s="3">
        <v>100000000000000</v>
      </c>
      <c r="B32" s="3">
        <v>-8.6829999999999997E-3</v>
      </c>
      <c r="C32" s="3">
        <v>3.5439999999999998E-3</v>
      </c>
      <c r="D32" s="3">
        <v>4.7819999999999998E-3</v>
      </c>
      <c r="E32" s="3">
        <v>0</v>
      </c>
      <c r="F32" s="3">
        <v>0</v>
      </c>
      <c r="G32" s="3">
        <v>0</v>
      </c>
      <c r="H32" s="3">
        <v>2.6950012999999999E-3</v>
      </c>
      <c r="I32" s="3">
        <v>6.4259283999999999E-4</v>
      </c>
      <c r="J32" s="3">
        <v>-5.0737515000000002E-3</v>
      </c>
      <c r="L32" s="3">
        <f t="shared" si="0"/>
        <v>1.8157674613132582</v>
      </c>
      <c r="M32" s="3"/>
      <c r="N32" s="2">
        <f>IF('Modell einstellen'!$B$1="Voll",H32/0.35,H32/0.35*2)</f>
        <v>7.7000037142857143E-3</v>
      </c>
      <c r="O32" s="2">
        <f>IF('Modell einstellen'!$B$1="Voll",J32/0.35,J32/0.35*2)</f>
        <v>-1.4496432857142858E-2</v>
      </c>
      <c r="P32" s="3">
        <f t="shared" si="1"/>
        <v>0.53116541084047963</v>
      </c>
    </row>
    <row r="33" spans="1:16" x14ac:dyDescent="0.25">
      <c r="A33" s="3">
        <v>1000000000000000</v>
      </c>
      <c r="B33" s="3">
        <v>-8.6800000000000002E-3</v>
      </c>
      <c r="C33" s="3">
        <v>3.5439999999999998E-3</v>
      </c>
      <c r="D33" s="3">
        <v>4.7790000000000003E-3</v>
      </c>
      <c r="E33" s="3">
        <v>0</v>
      </c>
      <c r="F33" s="3">
        <v>0</v>
      </c>
      <c r="G33" s="3">
        <v>0</v>
      </c>
      <c r="H33" s="3">
        <v>2.6949926E-3</v>
      </c>
      <c r="I33" s="3">
        <v>6.4273631000000004E-4</v>
      </c>
      <c r="J33" s="3">
        <v>-5.0742547000000001E-3</v>
      </c>
      <c r="L33" s="3">
        <f t="shared" si="0"/>
        <v>1.8162795563925507</v>
      </c>
      <c r="M33" s="3"/>
      <c r="N33" s="2">
        <f>IF('Modell einstellen'!$B$1="Voll",H33/0.35,H33/0.35*2)</f>
        <v>7.6999788571428572E-3</v>
      </c>
      <c r="O33" s="2">
        <f>IF('Modell einstellen'!$B$1="Voll",J33/0.35,J33/0.35*2)</f>
        <v>-1.4497870571428572E-2</v>
      </c>
      <c r="P33" s="3">
        <f t="shared" si="1"/>
        <v>0.53111102207778416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2022-01-05T19:14:15Z</dcterms:modified>
</cp:coreProperties>
</file>