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N122" i="43" l="1"/>
  <c r="O33" i="11"/>
  <c r="N33" i="11"/>
  <c r="P33" i="11" s="1"/>
  <c r="O32" i="11"/>
  <c r="N32" i="11"/>
  <c r="P32" i="11" s="1"/>
  <c r="O31" i="11"/>
  <c r="N31" i="11"/>
  <c r="P31" i="11" s="1"/>
  <c r="O30" i="11"/>
  <c r="N30" i="11"/>
  <c r="P29" i="11"/>
  <c r="O29" i="11"/>
  <c r="N29" i="11"/>
  <c r="O28" i="11"/>
  <c r="N28" i="11"/>
  <c r="P28" i="11" s="1"/>
  <c r="O27" i="11"/>
  <c r="N27" i="11"/>
  <c r="P27" i="11" s="1"/>
  <c r="O26" i="11"/>
  <c r="N26" i="11"/>
  <c r="P26" i="11" s="1"/>
  <c r="P25" i="11"/>
  <c r="O25" i="11"/>
  <c r="N25" i="11"/>
  <c r="O24" i="11"/>
  <c r="N24" i="11"/>
  <c r="O23" i="11"/>
  <c r="P23" i="11" s="1"/>
  <c r="N23" i="11"/>
  <c r="O22" i="11"/>
  <c r="N22" i="11"/>
  <c r="O21" i="11"/>
  <c r="N21" i="11"/>
  <c r="P21" i="11" s="1"/>
  <c r="O20" i="11"/>
  <c r="N20" i="11"/>
  <c r="P20" i="11" s="1"/>
  <c r="O19" i="11"/>
  <c r="N19" i="11"/>
  <c r="P19" i="11" s="1"/>
  <c r="O18" i="11"/>
  <c r="N18" i="11"/>
  <c r="P17" i="11"/>
  <c r="O17" i="11"/>
  <c r="N17" i="11"/>
  <c r="O16" i="11"/>
  <c r="N16" i="11"/>
  <c r="P16" i="11" s="1"/>
  <c r="O15" i="11"/>
  <c r="N15" i="11"/>
  <c r="P15" i="11" s="1"/>
  <c r="O14" i="11"/>
  <c r="N14" i="11"/>
  <c r="P14" i="11" s="1"/>
  <c r="P13" i="11"/>
  <c r="O13" i="11"/>
  <c r="N13" i="11"/>
  <c r="O12" i="11"/>
  <c r="N12" i="11"/>
  <c r="O11" i="11"/>
  <c r="P11" i="11" s="1"/>
  <c r="N11" i="11"/>
  <c r="O10" i="11"/>
  <c r="N10" i="11"/>
  <c r="O9" i="11"/>
  <c r="N9" i="11"/>
  <c r="P9" i="11" s="1"/>
  <c r="O8" i="11"/>
  <c r="N8" i="11"/>
  <c r="P8" i="11" s="1"/>
  <c r="O7" i="11"/>
  <c r="N7" i="11"/>
  <c r="P7" i="11" s="1"/>
  <c r="O6" i="11"/>
  <c r="N6" i="11"/>
  <c r="P5" i="11"/>
  <c r="O5" i="11"/>
  <c r="N5" i="11"/>
  <c r="O4" i="11"/>
  <c r="N4" i="11"/>
  <c r="P4" i="11" s="1"/>
  <c r="O3" i="11"/>
  <c r="N3" i="11"/>
  <c r="P3" i="11" s="1"/>
  <c r="P6" i="11" l="1"/>
  <c r="P18" i="11"/>
  <c r="P30" i="11"/>
  <c r="P12" i="11"/>
  <c r="P24" i="11"/>
  <c r="P10" i="11"/>
  <c r="P2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R8" i="37"/>
  <c r="R9" i="37"/>
  <c r="P7" i="37" s="1"/>
  <c r="R10" i="37"/>
  <c r="R11" i="37"/>
  <c r="R12" i="37"/>
  <c r="R13" i="37"/>
  <c r="R14" i="37"/>
  <c r="R3" i="37"/>
  <c r="L4" i="37"/>
  <c r="L5" i="37"/>
  <c r="L6" i="37"/>
  <c r="L7" i="37"/>
  <c r="L8" i="37"/>
  <c r="L9" i="37"/>
  <c r="L10" i="37"/>
  <c r="L11" i="37"/>
  <c r="L12" i="37"/>
  <c r="L13" i="37"/>
  <c r="L14" i="37"/>
  <c r="L3" i="37"/>
  <c r="P6" i="37" l="1"/>
  <c r="B31" i="39" s="1"/>
  <c r="P9" i="37"/>
  <c r="B33"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BE31" i="8"/>
  <c r="BE30" i="8"/>
  <c r="AS29" i="8"/>
  <c r="BE28" i="8"/>
  <c r="BE27" i="8"/>
  <c r="AS26" i="8"/>
  <c r="BE25" i="8"/>
  <c r="BE24" i="8"/>
  <c r="BE23" i="8"/>
  <c r="BE22" i="8"/>
  <c r="BE21" i="8"/>
  <c r="AS20" i="8"/>
  <c r="BE19" i="8"/>
  <c r="BE18" i="8"/>
  <c r="AS17" i="8"/>
  <c r="BE16" i="8"/>
  <c r="BE15" i="8"/>
  <c r="AS14" i="8"/>
  <c r="BE13" i="8"/>
  <c r="BE12" i="8"/>
  <c r="AS11" i="8"/>
  <c r="BE10" i="8"/>
  <c r="BE9" i="8"/>
  <c r="AS8" i="8"/>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S32" i="8"/>
  <c r="AQ32" i="8" s="1"/>
  <c r="S31" i="8"/>
  <c r="AQ31" i="8" s="1"/>
  <c r="S30" i="8"/>
  <c r="AQ30" i="8" s="1"/>
  <c r="S29" i="8"/>
  <c r="AQ29" i="8" s="1"/>
  <c r="S28" i="8"/>
  <c r="AQ28" i="8" s="1"/>
  <c r="S27" i="8"/>
  <c r="AQ27" i="8" s="1"/>
  <c r="S26" i="8"/>
  <c r="AQ26" i="8" s="1"/>
  <c r="S25" i="8"/>
  <c r="AQ25" i="8" s="1"/>
  <c r="S24" i="8"/>
  <c r="AQ24" i="8" s="1"/>
  <c r="S23" i="8"/>
  <c r="AQ23" i="8" s="1"/>
  <c r="S22" i="8"/>
  <c r="AQ22" i="8" s="1"/>
  <c r="S21" i="8"/>
  <c r="AQ21" i="8" s="1"/>
  <c r="S20" i="8"/>
  <c r="AQ20" i="8" s="1"/>
  <c r="S19" i="8"/>
  <c r="AQ19" i="8" s="1"/>
  <c r="S18" i="8"/>
  <c r="AQ18" i="8" s="1"/>
  <c r="S17" i="8"/>
  <c r="AQ17" i="8" s="1"/>
  <c r="S16" i="8"/>
  <c r="AQ16" i="8" s="1"/>
  <c r="S15" i="8"/>
  <c r="AQ15" i="8" s="1"/>
  <c r="S14" i="8"/>
  <c r="AQ14" i="8" s="1"/>
  <c r="S13" i="8"/>
  <c r="AQ13" i="8" s="1"/>
  <c r="S12" i="8"/>
  <c r="AQ12" i="8" s="1"/>
  <c r="S11" i="8"/>
  <c r="AQ11" i="8" s="1"/>
  <c r="S10" i="8"/>
  <c r="AQ10" i="8" s="1"/>
  <c r="S9" i="8"/>
  <c r="AQ9" i="8" s="1"/>
  <c r="S8" i="8"/>
  <c r="AQ8" i="8" s="1"/>
  <c r="S7" i="8"/>
  <c r="AQ7" i="8" s="1"/>
  <c r="S6" i="8"/>
  <c r="AQ6" i="8" s="1"/>
  <c r="S5" i="8"/>
  <c r="AQ5" i="8" s="1"/>
  <c r="S4" i="8"/>
  <c r="AQ4" i="8"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AS22" i="8"/>
  <c r="AS23" i="8"/>
  <c r="AO4" i="8"/>
  <c r="AO6" i="8"/>
  <c r="AO10" i="8"/>
  <c r="AO30" i="8"/>
  <c r="BA13" i="8"/>
  <c r="BA15" i="8"/>
  <c r="BA19" i="8"/>
  <c r="AS28" i="8"/>
  <c r="AS9" i="8"/>
  <c r="AS5" i="8"/>
  <c r="BE32" i="8"/>
  <c r="AS18" i="8"/>
  <c r="AS7" i="8"/>
  <c r="BA12" i="8"/>
  <c r="BA16" i="8"/>
  <c r="BA18" i="8"/>
  <c r="BA22" i="8"/>
  <c r="BA24" i="8"/>
  <c r="BA28" i="8"/>
  <c r="AO7" i="8"/>
  <c r="AO9" i="8"/>
  <c r="AO21" i="8"/>
  <c r="AO25" i="8"/>
  <c r="AO27" i="8"/>
  <c r="AO31" i="8"/>
  <c r="AO33" i="8"/>
  <c r="AS15" i="8"/>
  <c r="BE11" i="8"/>
  <c r="BE29" i="8"/>
  <c r="AS24" i="8"/>
  <c r="AS13" i="8"/>
  <c r="AS21" i="8"/>
  <c r="AS30" i="8"/>
  <c r="BE8" i="8"/>
  <c r="AS19" i="8"/>
  <c r="AS27" i="8"/>
  <c r="AS4" i="8"/>
  <c r="BE20" i="8"/>
  <c r="BE17" i="8"/>
  <c r="AS31" i="8"/>
  <c r="AS25" i="8"/>
  <c r="AS33" i="8"/>
  <c r="AS10" i="8"/>
  <c r="AS6" i="8"/>
  <c r="BE26" i="8"/>
  <c r="BE14" i="8"/>
  <c r="AS16" i="8"/>
  <c r="AS12" i="8"/>
  <c r="AR3" i="8"/>
  <c r="BD3" i="8"/>
  <c r="T5" i="8"/>
  <c r="AR7" i="8"/>
  <c r="BD7" i="8"/>
  <c r="AR9" i="8"/>
  <c r="BD9" i="8"/>
  <c r="T11" i="8"/>
  <c r="AR13" i="8"/>
  <c r="BD13" i="8"/>
  <c r="AR15" i="8"/>
  <c r="BD15" i="8"/>
  <c r="T17" i="8"/>
  <c r="AR19" i="8"/>
  <c r="BD19" i="8"/>
  <c r="AR21" i="8"/>
  <c r="BD21" i="8"/>
  <c r="T23" i="8"/>
  <c r="AR25" i="8"/>
  <c r="BD25" i="8"/>
  <c r="AR27" i="8"/>
  <c r="BD27" i="8"/>
  <c r="T29" i="8"/>
  <c r="AR31" i="8"/>
  <c r="BD31" i="8"/>
  <c r="AR33" i="8"/>
  <c r="BD33" i="8"/>
  <c r="AR4" i="8"/>
  <c r="BD4" i="8"/>
  <c r="AR6" i="8"/>
  <c r="BD6" i="8"/>
  <c r="T8" i="8"/>
  <c r="AR10" i="8"/>
  <c r="BD10" i="8"/>
  <c r="AR12" i="8"/>
  <c r="BD12" i="8"/>
  <c r="T14" i="8"/>
  <c r="AR16" i="8"/>
  <c r="BD16" i="8"/>
  <c r="AR18" i="8"/>
  <c r="BD18" i="8"/>
  <c r="T20" i="8"/>
  <c r="AR22" i="8"/>
  <c r="BD22" i="8"/>
  <c r="AR24" i="8"/>
  <c r="BD24" i="8"/>
  <c r="T26" i="8"/>
  <c r="AR28" i="8"/>
  <c r="BD28" i="8"/>
  <c r="AR30" i="8"/>
  <c r="BD30" i="8"/>
  <c r="T32" i="8"/>
  <c r="BC6" i="8"/>
  <c r="BC12" i="8"/>
  <c r="BC18" i="8"/>
  <c r="BC24" i="8"/>
  <c r="BC30" i="8"/>
  <c r="BC5" i="8"/>
  <c r="BC7" i="8"/>
  <c r="BC11" i="8"/>
  <c r="BC13" i="8"/>
  <c r="BC17" i="8"/>
  <c r="BC19" i="8"/>
  <c r="BC23" i="8"/>
  <c r="BC25" i="8"/>
  <c r="BC29" i="8"/>
  <c r="BC31" i="8"/>
  <c r="AQ3" i="8"/>
  <c r="BC3" i="8"/>
  <c r="BC9" i="8"/>
  <c r="BC15" i="8"/>
  <c r="BC21" i="8"/>
  <c r="BC27" i="8"/>
  <c r="BC33" i="8"/>
  <c r="BC4" i="8"/>
  <c r="BC8" i="8"/>
  <c r="BC10" i="8"/>
  <c r="BC14" i="8"/>
  <c r="BC16" i="8"/>
  <c r="BC20" i="8"/>
  <c r="BC22" i="8"/>
  <c r="BC26" i="8"/>
  <c r="BC28" i="8"/>
  <c r="BC32" i="8"/>
  <c r="AP21" i="8"/>
  <c r="BB21" i="8"/>
  <c r="AP4" i="8"/>
  <c r="BB4" i="8"/>
  <c r="AP6" i="8"/>
  <c r="BB6" i="8"/>
  <c r="AP8" i="8"/>
  <c r="BB8" i="8"/>
  <c r="AP29" i="8"/>
  <c r="BB29" i="8"/>
  <c r="AP31" i="8"/>
  <c r="BB31" i="8"/>
  <c r="AP33" i="8"/>
  <c r="AF286" i="43" s="1"/>
  <c r="BB33" i="8"/>
  <c r="AP23" i="8"/>
  <c r="BB23" i="8"/>
  <c r="AP10" i="8"/>
  <c r="BB10" i="8"/>
  <c r="AP12" i="8"/>
  <c r="BB12" i="8"/>
  <c r="AP14" i="8"/>
  <c r="BB14" i="8"/>
  <c r="AP16" i="8"/>
  <c r="BB16" i="8"/>
  <c r="AP18" i="8"/>
  <c r="BB18" i="8"/>
  <c r="AP25" i="8"/>
  <c r="BB25" i="8"/>
  <c r="AP20" i="8"/>
  <c r="BB20" i="8"/>
  <c r="AP22" i="8"/>
  <c r="BB22" i="8"/>
  <c r="AP24" i="8"/>
  <c r="BB24" i="8"/>
  <c r="AP26" i="8"/>
  <c r="Y286" i="43" s="1"/>
  <c r="BB26" i="8"/>
  <c r="AP27" i="8"/>
  <c r="BB27" i="8"/>
  <c r="AP3" i="8"/>
  <c r="BB3" i="8"/>
  <c r="AP5" i="8"/>
  <c r="BB5" i="8"/>
  <c r="AP7" i="8"/>
  <c r="BB7" i="8"/>
  <c r="AP9" i="8"/>
  <c r="BB9" i="8"/>
  <c r="AP28" i="8"/>
  <c r="BB28" i="8"/>
  <c r="AP30" i="8"/>
  <c r="BB30" i="8"/>
  <c r="AP32" i="8"/>
  <c r="BB32" i="8"/>
  <c r="AP19" i="8"/>
  <c r="R286" i="43" s="1"/>
  <c r="BB19" i="8"/>
  <c r="AP11" i="8"/>
  <c r="BB11" i="8"/>
  <c r="AP13" i="8"/>
  <c r="BB13" i="8"/>
  <c r="AP15" i="8"/>
  <c r="BB15" i="8"/>
  <c r="AP17" i="8"/>
  <c r="BB17" i="8"/>
  <c r="AO8" i="8"/>
  <c r="BA8" i="8"/>
  <c r="BA7" i="8"/>
  <c r="BA9" i="8"/>
  <c r="AO12" i="8"/>
  <c r="Q14" i="8"/>
  <c r="AO16" i="8"/>
  <c r="AO18" i="8"/>
  <c r="AO20" i="8"/>
  <c r="BA20" i="8"/>
  <c r="BA30" i="8"/>
  <c r="Q23" i="8"/>
  <c r="AO22" i="8"/>
  <c r="AO24" i="8"/>
  <c r="AO26" i="8"/>
  <c r="Y247" i="43" s="1"/>
  <c r="BA26" i="8"/>
  <c r="AO28" i="8"/>
  <c r="AO3" i="8"/>
  <c r="BA3" i="8"/>
  <c r="AO11" i="8"/>
  <c r="BA11" i="8"/>
  <c r="BA21" i="8"/>
  <c r="BA25" i="8"/>
  <c r="BA27" i="8"/>
  <c r="Q32" i="8"/>
  <c r="AO29" i="8"/>
  <c r="BA29" i="8"/>
  <c r="Q5" i="8"/>
  <c r="BA4" i="8"/>
  <c r="BA6" i="8"/>
  <c r="BA10" i="8"/>
  <c r="AO13" i="8"/>
  <c r="AO15" i="8"/>
  <c r="N247" i="43" s="1"/>
  <c r="AO17" i="8"/>
  <c r="BA17" i="8"/>
  <c r="AO19" i="8"/>
  <c r="BA31" i="8"/>
  <c r="BA33" i="8"/>
  <c r="AN3" i="8"/>
  <c r="AZ3" i="8"/>
  <c r="AN7" i="8"/>
  <c r="F169" i="43" s="1"/>
  <c r="AZ7" i="8"/>
  <c r="AN9" i="8"/>
  <c r="H169" i="43" s="1"/>
  <c r="AZ9" i="8"/>
  <c r="AN11" i="8"/>
  <c r="AZ11" i="8"/>
  <c r="AN13" i="8"/>
  <c r="L169" i="43" s="1"/>
  <c r="AZ13" i="8"/>
  <c r="AN15" i="8"/>
  <c r="N169" i="43" s="1"/>
  <c r="AZ15" i="8"/>
  <c r="AN17" i="8"/>
  <c r="AZ17" i="8"/>
  <c r="AN19" i="8"/>
  <c r="R169" i="43" s="1"/>
  <c r="AZ19" i="8"/>
  <c r="AN21" i="8"/>
  <c r="AZ21" i="8"/>
  <c r="AN23" i="8"/>
  <c r="AZ23" i="8"/>
  <c r="AN25" i="8"/>
  <c r="AZ25" i="8"/>
  <c r="AN27" i="8"/>
  <c r="Z169" i="43" s="1"/>
  <c r="AZ27" i="8"/>
  <c r="AN29" i="8"/>
  <c r="AZ29" i="8"/>
  <c r="AN31" i="8"/>
  <c r="AD169" i="43" s="1"/>
  <c r="AZ31" i="8"/>
  <c r="AN33" i="8"/>
  <c r="AZ33" i="8"/>
  <c r="AN5" i="8"/>
  <c r="D169" i="43" s="1"/>
  <c r="AZ5" i="8"/>
  <c r="AN4" i="8"/>
  <c r="AZ4" i="8"/>
  <c r="AN8" i="8"/>
  <c r="G208" i="43" s="1"/>
  <c r="AZ8" i="8"/>
  <c r="AN10" i="8"/>
  <c r="AZ10" i="8"/>
  <c r="AN12" i="8"/>
  <c r="K208" i="43" s="1"/>
  <c r="AZ12" i="8"/>
  <c r="AN14" i="8"/>
  <c r="AZ14" i="8"/>
  <c r="AN16" i="8"/>
  <c r="AZ16" i="8"/>
  <c r="AN18" i="8"/>
  <c r="AZ18" i="8"/>
  <c r="AN20" i="8"/>
  <c r="AZ20" i="8"/>
  <c r="AN22" i="8"/>
  <c r="AZ22" i="8"/>
  <c r="AN24" i="8"/>
  <c r="AZ24" i="8"/>
  <c r="AN26" i="8"/>
  <c r="Y169" i="43" s="1"/>
  <c r="AZ26" i="8"/>
  <c r="AN28" i="8"/>
  <c r="AZ28" i="8"/>
  <c r="AN30" i="8"/>
  <c r="AZ30" i="8"/>
  <c r="AN32" i="8"/>
  <c r="AZ32" i="8"/>
  <c r="AN6" i="8"/>
  <c r="AZ6" i="8"/>
  <c r="C169" i="43"/>
  <c r="B286" i="43" l="1"/>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F130" i="43" s="1"/>
  <c r="AY33" i="8"/>
  <c r="AY5" i="8"/>
  <c r="AM25" i="8"/>
  <c r="X130" i="43" s="1"/>
  <c r="AY26" i="8"/>
  <c r="AM26" i="8"/>
  <c r="Y130" i="43" s="1"/>
  <c r="AY29" i="8"/>
  <c r="AM29" i="8"/>
  <c r="AB130" i="43" s="1"/>
  <c r="AM30" i="8"/>
  <c r="AC130" i="43" s="1"/>
  <c r="AY18" i="8"/>
  <c r="AY30" i="8"/>
  <c r="S364" i="43"/>
  <c r="AY6" i="8"/>
  <c r="AM6" i="8"/>
  <c r="E130" i="43" s="1"/>
  <c r="AM32" i="8"/>
  <c r="AE130" i="43" s="1"/>
  <c r="AY32" i="8"/>
  <c r="AY13" i="8"/>
  <c r="AM13" i="8"/>
  <c r="L130" i="43" s="1"/>
  <c r="AY27" i="8"/>
  <c r="AM27" i="8"/>
  <c r="Z130" i="43" s="1"/>
  <c r="AM14" i="8"/>
  <c r="M130" i="43" s="1"/>
  <c r="AY14" i="8"/>
  <c r="AM22" i="8"/>
  <c r="U130" i="43" s="1"/>
  <c r="AY22" i="8"/>
  <c r="AY15" i="8"/>
  <c r="AM15" i="8"/>
  <c r="N130" i="43" s="1"/>
  <c r="AY10" i="8"/>
  <c r="AM10" i="8"/>
  <c r="I130" i="43" s="1"/>
  <c r="AY25" i="8"/>
  <c r="AM18" i="8"/>
  <c r="Q130" i="43" s="1"/>
  <c r="AM5" i="8"/>
  <c r="D130" i="43" s="1"/>
  <c r="AY31" i="8"/>
  <c r="AM31" i="8"/>
  <c r="AD130" i="43" s="1"/>
  <c r="AM3" i="8"/>
  <c r="AY3" i="8"/>
  <c r="AY24" i="8"/>
  <c r="AM24" i="8"/>
  <c r="W130" i="43" s="1"/>
  <c r="AM19" i="8"/>
  <c r="R130" i="43" s="1"/>
  <c r="AY19" i="8"/>
  <c r="AM21" i="8"/>
  <c r="T130" i="43" s="1"/>
  <c r="AY21" i="8"/>
  <c r="AM12" i="8"/>
  <c r="K130" i="43" s="1"/>
  <c r="AY12" i="8"/>
  <c r="AM7" i="8"/>
  <c r="F130" i="43" s="1"/>
  <c r="AY7" i="8"/>
  <c r="AY9" i="8"/>
  <c r="AM9" i="8"/>
  <c r="H130" i="43" s="1"/>
  <c r="AM23" i="8"/>
  <c r="V130" i="43" s="1"/>
  <c r="AY23" i="8"/>
  <c r="AY11" i="8"/>
  <c r="AM11" i="8"/>
  <c r="J130" i="43" s="1"/>
  <c r="AY28" i="8"/>
  <c r="AM28" i="8"/>
  <c r="AA130" i="43" s="1"/>
  <c r="AY20" i="8"/>
  <c r="AM20" i="8"/>
  <c r="S130" i="43" s="1"/>
  <c r="AM16" i="8"/>
  <c r="O130" i="43" s="1"/>
  <c r="AY16" i="8"/>
  <c r="AM8" i="8"/>
  <c r="G130" i="43" s="1"/>
  <c r="AY8" i="8"/>
  <c r="AM4" i="8"/>
  <c r="C130" i="43" s="1"/>
  <c r="AY4" i="8"/>
  <c r="AM17" i="8"/>
  <c r="P130" i="43" s="1"/>
  <c r="AY17" i="8"/>
  <c r="AD325" i="43"/>
  <c r="AC325" i="43"/>
  <c r="I325" i="43"/>
  <c r="Q325" i="43"/>
  <c r="B325" i="43"/>
  <c r="O325" i="43"/>
  <c r="W325" i="43"/>
  <c r="E325" i="43"/>
  <c r="H325" i="43"/>
  <c r="U325" i="43"/>
  <c r="C364" i="43"/>
  <c r="X325" i="43"/>
  <c r="R325" i="43"/>
  <c r="L325" i="43"/>
  <c r="F325" i="43"/>
  <c r="AF325" i="43"/>
  <c r="Z325" i="43"/>
  <c r="T325" i="43"/>
  <c r="AR29" i="8"/>
  <c r="BD29" i="8"/>
  <c r="AR23" i="8"/>
  <c r="BD23" i="8"/>
  <c r="AR17" i="8"/>
  <c r="BD17" i="8"/>
  <c r="AR11" i="8"/>
  <c r="BD11" i="8"/>
  <c r="AR5" i="8"/>
  <c r="BD5" i="8"/>
  <c r="AR32" i="8"/>
  <c r="BD32" i="8"/>
  <c r="AR26" i="8"/>
  <c r="BD26" i="8"/>
  <c r="AR20" i="8"/>
  <c r="W16" i="43" s="1"/>
  <c r="BD20" i="8"/>
  <c r="AR14" i="8"/>
  <c r="BD14" i="8"/>
  <c r="AR8" i="8"/>
  <c r="BD8" i="8"/>
  <c r="AO5" i="8"/>
  <c r="D247" i="43" s="1"/>
  <c r="BA5" i="8"/>
  <c r="AO23" i="8"/>
  <c r="V247" i="43" s="1"/>
  <c r="BA23" i="8"/>
  <c r="AO32" i="8"/>
  <c r="AE247" i="43" s="1"/>
  <c r="BA32" i="8"/>
  <c r="AO14" i="8"/>
  <c r="M247" i="43" s="1"/>
  <c r="BA14" i="8"/>
  <c r="A103" i="39" l="1"/>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<sst xmlns="http://schemas.openxmlformats.org/spreadsheetml/2006/main" count="309" uniqueCount="163">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</sst>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3">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7" tint="0.39997558519241921"/>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1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1" borderId="0" xfId="0" applyFill="1"/>
    <xf numFmtId="11" fontId="0" fillId="10" borderId="0" xfId="0" applyNumberFormat="1"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2"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7" fillId="0" borderId="0" xfId="0"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-6.5441251428571432E-4</c:v>
                </c:pt>
                <c:pt idx="1">
                  <c:v>-6.5440097142857156E-4</c:v>
                </c:pt>
                <c:pt idx="2">
                  <c:v>-6.5440331428571433E-4</c:v>
                </c:pt>
                <c:pt idx="3">
                  <c:v>-6.5440402857142857E-4</c:v>
                </c:pt>
                <c:pt idx="4">
                  <c:v>-6.5440422857142863E-4</c:v>
                </c:pt>
                <c:pt idx="5">
                  <c:v>-6.5440431428571435E-4</c:v>
                </c:pt>
                <c:pt idx="6">
                  <c:v>-6.5440431428571435E-4</c:v>
                </c:pt>
                <c:pt idx="7">
                  <c:v>-6.5440434285714288E-4</c:v>
                </c:pt>
                <c:pt idx="8">
                  <c:v>-6.5440434285714288E-4</c:v>
                </c:pt>
                <c:pt idx="9">
                  <c:v>-6.5440448571428577E-4</c:v>
                </c:pt>
                <c:pt idx="10">
                  <c:v>-6.5440582857142864E-4</c:v>
                </c:pt>
                <c:pt idx="11">
                  <c:v>-6.5441911428571441E-4</c:v>
                </c:pt>
                <c:pt idx="12">
                  <c:v>-6.545510285714286E-4</c:v>
                </c:pt>
                <c:pt idx="13">
                  <c:v>-6.5581351428571437E-4</c:v>
                </c:pt>
                <c:pt idx="14">
                  <c:v>-6.6577194285714295E-4</c:v>
                </c:pt>
                <c:pt idx="15">
                  <c:v>-6.8263214285714286E-4</c:v>
                </c:pt>
                <c:pt idx="16">
                  <c:v>-6.9511814285714288E-4</c:v>
                </c:pt>
                <c:pt idx="17">
                  <c:v>-7.0820794285714282E-4</c:v>
                </c:pt>
                <c:pt idx="18">
                  <c:v>-7.2330377142857153E-4</c:v>
                </c:pt>
                <c:pt idx="19">
                  <c:v>-7.408148285714286E-4</c:v>
                </c:pt>
                <c:pt idx="20">
                  <c:v>-7.6518460000000012E-4</c:v>
                </c:pt>
                <c:pt idx="21">
                  <c:v>-8.0167111428571425E-4</c:v>
                </c:pt>
                <c:pt idx="22">
                  <c:v>-8.4621368571428577E-4</c:v>
                </c:pt>
                <c:pt idx="23">
                  <c:v>-8.9196245714285715E-4</c:v>
                </c:pt>
                <c:pt idx="24">
                  <c:v>-9.4004797142857143E-4</c:v>
                </c:pt>
                <c:pt idx="25">
                  <c:v>-9.9600322857142857E-4</c:v>
                </c:pt>
                <c:pt idx="26">
                  <c:v>-1.0570064285714287E-3</c:v>
                </c:pt>
                <c:pt idx="27">
                  <c:v>-1.1131610285714285E-3</c:v>
                </c:pt>
                <c:pt idx="28">
                  <c:v>-1.1673316285714286E-3</c:v>
                </c:pt>
                <c:pt idx="29">
                  <c:v>-1.2253101428571429E-3</c:v>
                </c:pt>
                <c:pt idx="30">
                  <c:v>-1.2862524285714287E-3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-6.5559585714285726E-4</c:v>
                </c:pt>
                <c:pt idx="1">
                  <c:v>-6.555841714285715E-4</c:v>
                </c:pt>
                <c:pt idx="2">
                  <c:v>-6.5558654285714291E-4</c:v>
                </c:pt>
                <c:pt idx="3">
                  <c:v>-6.5558734285714286E-4</c:v>
                </c:pt>
                <c:pt idx="4">
                  <c:v>-6.5558848571428577E-4</c:v>
                </c:pt>
                <c:pt idx="5">
                  <c:v>-6.555979428571429E-4</c:v>
                </c:pt>
                <c:pt idx="6">
                  <c:v>-6.5569128571428569E-4</c:v>
                </c:pt>
                <c:pt idx="7">
                  <c:v>-6.5659254285714292E-4</c:v>
                </c:pt>
                <c:pt idx="8">
                  <c:v>-6.6432717142857146E-4</c:v>
                </c:pt>
                <c:pt idx="9">
                  <c:v>-6.8198111428571437E-4</c:v>
                </c:pt>
                <c:pt idx="10">
                  <c:v>-6.9466899999999997E-4</c:v>
                </c:pt>
                <c:pt idx="11">
                  <c:v>-7.0743394285714299E-4</c:v>
                </c:pt>
                <c:pt idx="12">
                  <c:v>-7.2235682857142854E-4</c:v>
                </c:pt>
                <c:pt idx="13">
                  <c:v>-7.3885014285714288E-4</c:v>
                </c:pt>
                <c:pt idx="14">
                  <c:v>-7.5840702857142865E-4</c:v>
                </c:pt>
                <c:pt idx="15">
                  <c:v>-7.8074914285714285E-4</c:v>
                </c:pt>
                <c:pt idx="16">
                  <c:v>-8.0518002857142871E-4</c:v>
                </c:pt>
                <c:pt idx="17">
                  <c:v>-8.3068905714285719E-4</c:v>
                </c:pt>
                <c:pt idx="18">
                  <c:v>-8.6402994285714294E-4</c:v>
                </c:pt>
                <c:pt idx="19">
                  <c:v>-9.1796040000000003E-4</c:v>
                </c:pt>
                <c:pt idx="20">
                  <c:v>-9.8926382857142869E-4</c:v>
                </c:pt>
                <c:pt idx="21">
                  <c:v>-1.0603785142857143E-3</c:v>
                </c:pt>
                <c:pt idx="22">
                  <c:v>-1.1258349714285715E-3</c:v>
                </c:pt>
                <c:pt idx="23">
                  <c:v>-1.1932491142857143E-3</c:v>
                </c:pt>
                <c:pt idx="24">
                  <c:v>-1.2596230285714287E-3</c:v>
                </c:pt>
                <c:pt idx="25">
                  <c:v>-1.3309826000000001E-3</c:v>
                </c:pt>
                <c:pt idx="26">
                  <c:v>-1.4092666000000002E-3</c:v>
                </c:pt>
                <c:pt idx="27">
                  <c:v>-1.5122779142857142E-3</c:v>
                </c:pt>
                <c:pt idx="28">
                  <c:v>-1.6372292571428572E-3</c:v>
                </c:pt>
                <c:pt idx="29">
                  <c:v>-1.8063294857142858E-3</c:v>
                </c:pt>
                <c:pt idx="30">
                  <c:v>-2.0472368857142858E-3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-6.5636251428571434E-4</c:v>
                </c:pt>
                <c:pt idx="1">
                  <c:v>-6.5635131428571432E-4</c:v>
                </c:pt>
                <c:pt idx="2">
                  <c:v>-6.5635940000000005E-4</c:v>
                </c:pt>
                <c:pt idx="3">
                  <c:v>-6.5641682857142864E-4</c:v>
                </c:pt>
                <c:pt idx="4">
                  <c:v>-6.5697040000000013E-4</c:v>
                </c:pt>
                <c:pt idx="5">
                  <c:v>-6.6178457142857146E-4</c:v>
                </c:pt>
                <c:pt idx="6">
                  <c:v>-6.7988582857142867E-4</c:v>
                </c:pt>
                <c:pt idx="7">
                  <c:v>-6.9310382857142863E-4</c:v>
                </c:pt>
                <c:pt idx="8">
                  <c:v>-7.0554688571428581E-4</c:v>
                </c:pt>
                <c:pt idx="9">
                  <c:v>-7.2022191428571436E-4</c:v>
                </c:pt>
                <c:pt idx="10">
                  <c:v>-7.3623651428571431E-4</c:v>
                </c:pt>
                <c:pt idx="11">
                  <c:v>-7.5526031428571443E-4</c:v>
                </c:pt>
                <c:pt idx="12">
                  <c:v>-7.7708708571428569E-4</c:v>
                </c:pt>
                <c:pt idx="13">
                  <c:v>-8.0133854285714299E-4</c:v>
                </c:pt>
                <c:pt idx="14">
                  <c:v>-8.2604820000000008E-4</c:v>
                </c:pt>
                <c:pt idx="15">
                  <c:v>-8.5347311428571435E-4</c:v>
                </c:pt>
                <c:pt idx="16">
                  <c:v>-8.9017040000000005E-4</c:v>
                </c:pt>
                <c:pt idx="17">
                  <c:v>-9.3959582857142869E-4</c:v>
                </c:pt>
                <c:pt idx="18">
                  <c:v>-1.0019475428571429E-3</c:v>
                </c:pt>
                <c:pt idx="19">
                  <c:v>-1.0711912285714287E-3</c:v>
                </c:pt>
                <c:pt idx="20">
                  <c:v>-1.1466639428571429E-3</c:v>
                </c:pt>
                <c:pt idx="21">
                  <c:v>-1.2204355428571429E-3</c:v>
                </c:pt>
                <c:pt idx="22">
                  <c:v>-1.2976860000000002E-3</c:v>
                </c:pt>
                <c:pt idx="23">
                  <c:v>-1.3792314000000002E-3</c:v>
                </c:pt>
                <c:pt idx="24">
                  <c:v>-1.4804677714285717E-3</c:v>
                </c:pt>
                <c:pt idx="25">
                  <c:v>-1.6026793142857143E-3</c:v>
                </c:pt>
                <c:pt idx="26">
                  <c:v>-1.7641265142857145E-3</c:v>
                </c:pt>
                <c:pt idx="27">
                  <c:v>-1.9859938571428573E-3</c:v>
                </c:pt>
                <c:pt idx="28">
                  <c:v>-2.3278832285714285E-3</c:v>
                </c:pt>
                <c:pt idx="29">
                  <c:v>-2.8962108571428573E-3</c:v>
                </c:pt>
                <c:pt idx="30">
                  <c:v>-3.869394E-3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-6.5715740000000004E-4</c:v>
                </c:pt>
                <c:pt idx="1">
                  <c:v>-6.5725068571428577E-4</c:v>
                </c:pt>
                <c:pt idx="2">
                  <c:v>-6.5826888571428571E-4</c:v>
                </c:pt>
                <c:pt idx="3">
                  <c:v>-6.6676645714285727E-4</c:v>
                </c:pt>
                <c:pt idx="4">
                  <c:v>-6.8426140000000006E-4</c:v>
                </c:pt>
                <c:pt idx="5">
                  <c:v>-6.9691962857142858E-4</c:v>
                </c:pt>
                <c:pt idx="6">
                  <c:v>-7.0983691428571434E-4</c:v>
                </c:pt>
                <c:pt idx="7">
                  <c:v>-7.2485928571428579E-4</c:v>
                </c:pt>
                <c:pt idx="8">
                  <c:v>-7.4154751428571434E-4</c:v>
                </c:pt>
                <c:pt idx="9">
                  <c:v>-7.6130077142857143E-4</c:v>
                </c:pt>
                <c:pt idx="10">
                  <c:v>-7.8384359999999998E-4</c:v>
                </c:pt>
                <c:pt idx="11">
                  <c:v>-8.0832005714285714E-4</c:v>
                </c:pt>
                <c:pt idx="12">
                  <c:v>-8.3339802857142859E-4</c:v>
                </c:pt>
                <c:pt idx="13">
                  <c:v>-8.6259620000000016E-4</c:v>
                </c:pt>
                <c:pt idx="14">
                  <c:v>-9.0110842857142853E-4</c:v>
                </c:pt>
                <c:pt idx="15">
                  <c:v>-9.4679897142857159E-4</c:v>
                </c:pt>
                <c:pt idx="16">
                  <c:v>-9.9414297142857142E-4</c:v>
                </c:pt>
                <c:pt idx="17">
                  <c:v>-1.0514203142857144E-3</c:v>
                </c:pt>
                <c:pt idx="18">
                  <c:v>-1.1262160285714286E-3</c:v>
                </c:pt>
                <c:pt idx="19">
                  <c:v>-1.2071150000000001E-3</c:v>
                </c:pt>
                <c:pt idx="20">
                  <c:v>-1.2919337999999999E-3</c:v>
                </c:pt>
                <c:pt idx="21">
                  <c:v>-1.3833840857142858E-3</c:v>
                </c:pt>
                <c:pt idx="22">
                  <c:v>-1.494031E-3</c:v>
                </c:pt>
                <c:pt idx="23">
                  <c:v>-1.6276288571428572E-3</c:v>
                </c:pt>
                <c:pt idx="24">
                  <c:v>-1.8037072000000002E-3</c:v>
                </c:pt>
                <c:pt idx="25">
                  <c:v>-2.0501415714285717E-3</c:v>
                </c:pt>
                <c:pt idx="26">
                  <c:v>-2.4371894571428572E-3</c:v>
                </c:pt>
                <c:pt idx="27">
                  <c:v>-3.0883197142857147E-3</c:v>
                </c:pt>
                <c:pt idx="28">
                  <c:v>-4.1963188571428568E-3</c:v>
                </c:pt>
                <c:pt idx="29">
                  <c:v>-5.9082431428571424E-3</c:v>
                </c:pt>
                <c:pt idx="30">
                  <c:v>-8.1043811428571436E-3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-6.6437708571428578E-4</c:v>
                </c:pt>
                <c:pt idx="1">
                  <c:v>-6.8582485714285715E-4</c:v>
                </c:pt>
                <c:pt idx="2">
                  <c:v>-6.9870320000000002E-4</c:v>
                </c:pt>
                <c:pt idx="3">
                  <c:v>-7.1182891428571437E-4</c:v>
                </c:pt>
                <c:pt idx="4">
                  <c:v>-7.269515428571429E-4</c:v>
                </c:pt>
                <c:pt idx="5">
                  <c:v>-7.4387068571428569E-4</c:v>
                </c:pt>
                <c:pt idx="6">
                  <c:v>-7.6384202857142868E-4</c:v>
                </c:pt>
                <c:pt idx="7">
                  <c:v>-7.8660660000000001E-4</c:v>
                </c:pt>
                <c:pt idx="8">
                  <c:v>-8.1115248571428573E-4</c:v>
                </c:pt>
                <c:pt idx="9">
                  <c:v>-8.3640171428571431E-4</c:v>
                </c:pt>
                <c:pt idx="10">
                  <c:v>-8.6621125714285722E-4</c:v>
                </c:pt>
                <c:pt idx="11">
                  <c:v>-9.0536308571428567E-4</c:v>
                </c:pt>
                <c:pt idx="12">
                  <c:v>-9.5081022857142856E-4</c:v>
                </c:pt>
                <c:pt idx="13">
                  <c:v>-9.9418331428571425E-4</c:v>
                </c:pt>
                <c:pt idx="14">
                  <c:v>-1.0362681714285716E-3</c:v>
                </c:pt>
                <c:pt idx="15">
                  <c:v>-1.0851435142857145E-3</c:v>
                </c:pt>
                <c:pt idx="16">
                  <c:v>-1.1484603714285715E-3</c:v>
                </c:pt>
                <c:pt idx="17">
                  <c:v>-1.233926742857143E-3</c:v>
                </c:pt>
                <c:pt idx="18">
                  <c:v>-1.3368808000000002E-3</c:v>
                </c:pt>
                <c:pt idx="19">
                  <c:v>-1.4592771714285716E-3</c:v>
                </c:pt>
                <c:pt idx="20">
                  <c:v>-1.6042480571428572E-3</c:v>
                </c:pt>
                <c:pt idx="21">
                  <c:v>-1.7905833142857143E-3</c:v>
                </c:pt>
                <c:pt idx="22">
                  <c:v>-2.0483691428571432E-3</c:v>
                </c:pt>
                <c:pt idx="23">
                  <c:v>-2.4503183428571432E-3</c:v>
                </c:pt>
                <c:pt idx="24">
                  <c:v>-3.1242568571428577E-3</c:v>
                </c:pt>
                <c:pt idx="25">
                  <c:v>-4.2644768571428572E-3</c:v>
                </c:pt>
                <c:pt idx="26">
                  <c:v>-6.0131102857142859E-3</c:v>
                </c:pt>
                <c:pt idx="27">
                  <c:v>-8.2161508571428586E-3</c:v>
                </c:pt>
                <c:pt idx="28">
                  <c:v>-1.0166911142857143E-2</c:v>
                </c:pt>
                <c:pt idx="29">
                  <c:v>-1.1538860857142858E-2</c:v>
                </c:pt>
                <c:pt idx="30">
                  <c:v>-1.2370231428571429E-2</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-7.8725765714285714E-4</c:v>
                </c:pt>
                <c:pt idx="1">
                  <c:v>-8.184972571428572E-4</c:v>
                </c:pt>
                <c:pt idx="2">
                  <c:v>-8.4497211428571429E-4</c:v>
                </c:pt>
                <c:pt idx="3">
                  <c:v>-8.7721979999999999E-4</c:v>
                </c:pt>
                <c:pt idx="4">
                  <c:v>-9.1876260000000015E-4</c:v>
                </c:pt>
                <c:pt idx="5">
                  <c:v>-9.6440574285714287E-4</c:v>
                </c:pt>
                <c:pt idx="6">
                  <c:v>-1.0065965428571429E-3</c:v>
                </c:pt>
                <c:pt idx="7">
                  <c:v>-1.0500243142857143E-3</c:v>
                </c:pt>
                <c:pt idx="8">
                  <c:v>-1.0958992000000001E-3</c:v>
                </c:pt>
                <c:pt idx="9">
                  <c:v>-1.1455540285714287E-3</c:v>
                </c:pt>
                <c:pt idx="10">
                  <c:v>-1.2005413142857145E-3</c:v>
                </c:pt>
                <c:pt idx="11">
                  <c:v>-1.2687796E-3</c:v>
                </c:pt>
                <c:pt idx="12">
                  <c:v>-1.3549035142857145E-3</c:v>
                </c:pt>
                <c:pt idx="13">
                  <c:v>-1.4672013142857142E-3</c:v>
                </c:pt>
                <c:pt idx="14">
                  <c:v>-1.6285401428571432E-3</c:v>
                </c:pt>
                <c:pt idx="15">
                  <c:v>-1.8959442285714288E-3</c:v>
                </c:pt>
                <c:pt idx="16">
                  <c:v>-2.3460856285714288E-3</c:v>
                </c:pt>
                <c:pt idx="17">
                  <c:v>-3.101782571428572E-3</c:v>
                </c:pt>
                <c:pt idx="18">
                  <c:v>-4.3462051428571433E-3</c:v>
                </c:pt>
                <c:pt idx="19">
                  <c:v>-6.201710571428572E-3</c:v>
                </c:pt>
                <c:pt idx="20">
                  <c:v>-8.4074260000000008E-3</c:v>
                </c:pt>
                <c:pt idx="21">
                  <c:v>-1.0299126285714286E-2</c:v>
                </c:pt>
                <c:pt idx="22">
                  <c:v>-1.1566711142857143E-2</c:v>
                </c:pt>
                <c:pt idx="23">
                  <c:v>-1.2418748E-2</c:v>
                </c:pt>
                <c:pt idx="24">
                  <c:v>-1.3019599142857143E-2</c:v>
                </c:pt>
                <c:pt idx="25">
                  <c:v>-1.3295077428571431E-2</c:v>
                </c:pt>
                <c:pt idx="26">
                  <c:v>-1.3949406571428574E-2</c:v>
                </c:pt>
                <c:pt idx="27">
                  <c:v>-1.4434227142857142E-2</c:v>
                </c:pt>
                <c:pt idx="28">
                  <c:v>-1.4485463428571431E-2</c:v>
                </c:pt>
                <c:pt idx="29">
                  <c:v>-1.4493383714285714E-2</c:v>
                </c:pt>
                <c:pt idx="30">
                  <c:v>-1.4499507428571428E-2</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-1.0072007142857143E-3</c:v>
                </c:pt>
                <c:pt idx="1">
                  <c:v>-1.0636676000000001E-3</c:v>
                </c:pt>
                <c:pt idx="2">
                  <c:v>-1.1109540285714286E-3</c:v>
                </c:pt>
                <c:pt idx="3">
                  <c:v>-1.1626929428571429E-3</c:v>
                </c:pt>
                <c:pt idx="4">
                  <c:v>-1.2196940285714285E-3</c:v>
                </c:pt>
                <c:pt idx="5">
                  <c:v>-1.2935296285714287E-3</c:v>
                </c:pt>
                <c:pt idx="6">
                  <c:v>-1.3849060571428573E-3</c:v>
                </c:pt>
                <c:pt idx="7">
                  <c:v>-1.5058213428571429E-3</c:v>
                </c:pt>
                <c:pt idx="8">
                  <c:v>-1.6706613714285716E-3</c:v>
                </c:pt>
                <c:pt idx="9">
                  <c:v>-1.9194069142857144E-3</c:v>
                </c:pt>
                <c:pt idx="10">
                  <c:v>-2.3250146857142859E-3</c:v>
                </c:pt>
                <c:pt idx="11">
                  <c:v>-3.0115682857142861E-3</c:v>
                </c:pt>
                <c:pt idx="12">
                  <c:v>-4.1215134285714286E-3</c:v>
                </c:pt>
                <c:pt idx="13">
                  <c:v>-5.7726682857142863E-3</c:v>
                </c:pt>
                <c:pt idx="14">
                  <c:v>-7.6871359999999998E-3</c:v>
                </c:pt>
                <c:pt idx="15">
                  <c:v>-9.4130968571428577E-3</c:v>
                </c:pt>
                <c:pt idx="16">
                  <c:v>-1.0685877142857144E-2</c:v>
                </c:pt>
                <c:pt idx="17">
                  <c:v>-1.1711472000000001E-2</c:v>
                </c:pt>
                <c:pt idx="18">
                  <c:v>-1.2468404000000001E-2</c:v>
                </c:pt>
                <c:pt idx="19">
                  <c:v>-1.2940604285714285E-2</c:v>
                </c:pt>
                <c:pt idx="20">
                  <c:v>-1.3820527428571429E-2</c:v>
                </c:pt>
                <c:pt idx="21">
                  <c:v>-1.4231560857142857E-2</c:v>
                </c:pt>
                <c:pt idx="22">
                  <c:v>-1.4360789142857143E-2</c:v>
                </c:pt>
                <c:pt idx="23">
                  <c:v>-1.4368254571428573E-2</c:v>
                </c:pt>
                <c:pt idx="24">
                  <c:v>-1.4427086857142859E-2</c:v>
                </c:pt>
                <c:pt idx="25">
                  <c:v>-1.4475546000000001E-2</c:v>
                </c:pt>
                <c:pt idx="26">
                  <c:v>-1.4482518857142858E-2</c:v>
                </c:pt>
                <c:pt idx="27">
                  <c:v>-1.448888942857143E-2</c:v>
                </c:pt>
                <c:pt idx="28">
                  <c:v>-1.4494310857142858E-2</c:v>
                </c:pt>
                <c:pt idx="29">
                  <c:v>-1.4496432857142858E-2</c:v>
                </c:pt>
                <c:pt idx="30">
                  <c:v>-1.4497870571428572E-2</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46581464"/>
        <c:axId val="12416887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5="http://schemas.microsoft.com/office/drawing/2012/chart" xmlns:c16r2="http://schemas.microsoft.com/office/drawing/2015/06/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658146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168872"/>
        <c:crossesAt val="-8.0000000000000019E-3"/>
        <c:crossBetween val="midCat"/>
      </c:valAx>
      <c:valAx>
        <c:axId val="12416887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58146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15280.881373295428</c:v>
                </c:pt>
                <c:pt idx="1">
                  <c:v>15281.150909922677</c:v>
                </c:pt>
                <c:pt idx="2">
                  <c:v>15281.096201224267</c:v>
                </c:pt>
                <c:pt idx="3">
                  <c:v>15281.079521820968</c:v>
                </c:pt>
                <c:pt idx="4">
                  <c:v>15281.074851594565</c:v>
                </c:pt>
                <c:pt idx="5">
                  <c:v>15281.072850069839</c:v>
                </c:pt>
                <c:pt idx="6">
                  <c:v>15281.072850069839</c:v>
                </c:pt>
                <c:pt idx="7">
                  <c:v>15281.072182895048</c:v>
                </c:pt>
                <c:pt idx="8">
                  <c:v>15281.072182895048</c:v>
                </c:pt>
                <c:pt idx="9">
                  <c:v>15281.068847021961</c:v>
                </c:pt>
                <c:pt idx="10">
                  <c:v>15281.037489886136</c:v>
                </c:pt>
                <c:pt idx="11">
                  <c:v>15280.727261328244</c:v>
                </c:pt>
                <c:pt idx="12">
                  <c:v>15277.647675270193</c:v>
                </c:pt>
                <c:pt idx="13">
                  <c:v>15248.237162193274</c:v>
                </c:pt>
                <c:pt idx="14">
                  <c:v>15020.158339934333</c:v>
                </c:pt>
                <c:pt idx="15">
                  <c:v>14649.178338050717</c:v>
                </c:pt>
                <c:pt idx="16">
                  <c:v>14386.043729051607</c:v>
                </c:pt>
                <c:pt idx="17">
                  <c:v>14120.146633285027</c:v>
                </c:pt>
                <c:pt idx="18">
                  <c:v>13825.449824835499</c:v>
                </c:pt>
                <c:pt idx="19">
                  <c:v>13498.649884322354</c:v>
                </c:pt>
                <c:pt idx="20">
                  <c:v>13068.741843471495</c:v>
                </c:pt>
                <c:pt idx="21">
                  <c:v>12473.943269004971</c:v>
                </c:pt>
                <c:pt idx="22">
                  <c:v>11817.346101604393</c:v>
                </c:pt>
                <c:pt idx="23">
                  <c:v>11211.234194802433</c:v>
                </c:pt>
                <c:pt idx="24">
                  <c:v>10637.754991166255</c:v>
                </c:pt>
                <c:pt idx="25">
                  <c:v>10040.128097117757</c:v>
                </c:pt>
                <c:pt idx="26">
                  <c:v>9460.6803986190098</c:v>
                </c:pt>
                <c:pt idx="27">
                  <c:v>8983.4262459165202</c:v>
                </c:pt>
                <c:pt idx="28">
                  <c:v>8566.5459199781326</c:v>
                </c:pt>
                <c:pt idx="29">
                  <c:v>8161.1990713488167</c:v>
                </c:pt>
                <c:pt idx="30">
                  <c:v>7774.5237076881258</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15253.299561075408</c:v>
                </c:pt>
                <c:pt idx="1">
                  <c:v>15253.571449428351</c:v>
                </c:pt>
                <c:pt idx="2">
                  <c:v>15253.516273257417</c:v>
                </c:pt>
                <c:pt idx="3">
                  <c:v>15253.497659699435</c:v>
                </c:pt>
                <c:pt idx="4">
                  <c:v>15253.47106898112</c:v>
                </c:pt>
                <c:pt idx="5">
                  <c:v>15253.251034344743</c:v>
                </c:pt>
                <c:pt idx="6">
                  <c:v>15251.07961303218</c:v>
                </c:pt>
                <c:pt idx="7">
                  <c:v>15230.145557982272</c:v>
                </c:pt>
                <c:pt idx="8">
                  <c:v>15052.824015155011</c:v>
                </c:pt>
                <c:pt idx="9">
                  <c:v>14663.162645601538</c:v>
                </c:pt>
                <c:pt idx="10">
                  <c:v>14395.345121201608</c:v>
                </c:pt>
                <c:pt idx="11">
                  <c:v>14135.595416319131</c:v>
                </c:pt>
                <c:pt idx="12">
                  <c:v>13843.573708268992</c:v>
                </c:pt>
                <c:pt idx="13">
                  <c:v>13534.544314128265</c:v>
                </c:pt>
                <c:pt idx="14">
                  <c:v>13185.531809794105</c:v>
                </c:pt>
                <c:pt idx="15">
                  <c:v>12808.211307674461</c:v>
                </c:pt>
                <c:pt idx="16">
                  <c:v>12419.582758084871</c:v>
                </c:pt>
                <c:pt idx="17">
                  <c:v>12038.198786914147</c:v>
                </c:pt>
                <c:pt idx="18">
                  <c:v>11573.672975883639</c:v>
                </c:pt>
                <c:pt idx="19">
                  <c:v>10893.716112372604</c:v>
                </c:pt>
                <c:pt idx="20">
                  <c:v>10108.526877446588</c:v>
                </c:pt>
                <c:pt idx="21">
                  <c:v>9430.5947030020106</c:v>
                </c:pt>
                <c:pt idx="22">
                  <c:v>8882.2964766416917</c:v>
                </c:pt>
                <c:pt idx="23">
                  <c:v>8380.4797173355182</c:v>
                </c:pt>
                <c:pt idx="24">
                  <c:v>7938.8831207232379</c:v>
                </c:pt>
                <c:pt idx="25">
                  <c:v>7513.2462287636217</c:v>
                </c:pt>
                <c:pt idx="26">
                  <c:v>7095.8894505837288</c:v>
                </c:pt>
                <c:pt idx="27">
                  <c:v>6612.5411906998879</c:v>
                </c:pt>
                <c:pt idx="28">
                  <c:v>6107.8801007081229</c:v>
                </c:pt>
                <c:pt idx="29">
                  <c:v>5536.0885591953065</c:v>
                </c:pt>
                <c:pt idx="30">
                  <c:v>4884.632584426583</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15235.483109334004</c:v>
                </c:pt>
                <c:pt idx="1">
                  <c:v>15235.743088109259</c:v>
                </c:pt>
                <c:pt idx="2">
                  <c:v>15235.55539846005</c:v>
                </c:pt>
                <c:pt idx="3">
                  <c:v>15234.222470748005</c:v>
                </c:pt>
                <c:pt idx="4">
                  <c:v>15221.385925454173</c:v>
                </c:pt>
                <c:pt idx="5">
                  <c:v>15110.657503563956</c:v>
                </c:pt>
                <c:pt idx="6">
                  <c:v>14708.351872860669</c:v>
                </c:pt>
                <c:pt idx="7">
                  <c:v>14427.852780168907</c:v>
                </c:pt>
                <c:pt idx="8">
                  <c:v>14173.402508716539</c:v>
                </c:pt>
                <c:pt idx="9">
                  <c:v>13884.609453903631</c:v>
                </c:pt>
                <c:pt idx="10">
                  <c:v>13582.591743227855</c:v>
                </c:pt>
                <c:pt idx="11">
                  <c:v>13240.467969586718</c:v>
                </c:pt>
                <c:pt idx="12">
                  <c:v>12868.570568005469</c:v>
                </c:pt>
                <c:pt idx="13">
                  <c:v>12479.120203485245</c:v>
                </c:pt>
                <c:pt idx="14">
                  <c:v>12105.831112518614</c:v>
                </c:pt>
                <c:pt idx="15">
                  <c:v>11716.830715129398</c:v>
                </c:pt>
                <c:pt idx="16">
                  <c:v>11233.80422444961</c:v>
                </c:pt>
                <c:pt idx="17">
                  <c:v>10642.873984662219</c:v>
                </c:pt>
                <c:pt idx="18">
                  <c:v>9980.5624269351538</c:v>
                </c:pt>
                <c:pt idx="19">
                  <c:v>9335.4013114318404</c:v>
                </c:pt>
                <c:pt idx="20">
                  <c:v>8720.9509484382997</c:v>
                </c:pt>
                <c:pt idx="21">
                  <c:v>8193.7961070759648</c:v>
                </c:pt>
                <c:pt idx="22">
                  <c:v>7706.024415767758</c:v>
                </c:pt>
                <c:pt idx="23">
                  <c:v>7250.4149775012365</c:v>
                </c:pt>
                <c:pt idx="24">
                  <c:v>6754.6218789690629</c:v>
                </c:pt>
                <c:pt idx="25">
                  <c:v>6239.5514254558293</c:v>
                </c:pt>
                <c:pt idx="26">
                  <c:v>5668.5276928956237</c:v>
                </c:pt>
                <c:pt idx="27">
                  <c:v>5035.2623015594136</c:v>
                </c:pt>
                <c:pt idx="28">
                  <c:v>4295.7481188335996</c:v>
                </c:pt>
                <c:pt idx="29">
                  <c:v>3452.787277327282</c:v>
                </c:pt>
                <c:pt idx="30">
                  <c:v>2584.3840146544912</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15217.054544314649</c:v>
                </c:pt>
                <c:pt idx="1">
                  <c:v>15214.894738576373</c:v>
                </c:pt>
                <c:pt idx="2">
                  <c:v>15191.360577750882</c:v>
                </c:pt>
                <c:pt idx="3">
                  <c:v>14997.755050322607</c:v>
                </c:pt>
                <c:pt idx="4">
                  <c:v>14614.297986120508</c:v>
                </c:pt>
                <c:pt idx="5">
                  <c:v>14348.856869619767</c:v>
                </c:pt>
                <c:pt idx="6">
                  <c:v>14087.742971303025</c:v>
                </c:pt>
                <c:pt idx="7">
                  <c:v>13795.781053071383</c:v>
                </c:pt>
                <c:pt idx="8">
                  <c:v>13485.312548896298</c:v>
                </c:pt>
                <c:pt idx="9">
                  <c:v>13135.412934411093</c:v>
                </c:pt>
                <c:pt idx="10">
                  <c:v>12757.647061224969</c:v>
                </c:pt>
                <c:pt idx="11">
                  <c:v>12371.337209355757</c:v>
                </c:pt>
                <c:pt idx="12">
                  <c:v>11999.068460890801</c:v>
                </c:pt>
                <c:pt idx="13">
                  <c:v>11592.909869067355</c:v>
                </c:pt>
                <c:pt idx="14">
                  <c:v>11097.44364044346</c:v>
                </c:pt>
                <c:pt idx="15">
                  <c:v>10561.904165264948</c:v>
                </c:pt>
                <c:pt idx="16">
                  <c:v>10058.915354629647</c:v>
                </c:pt>
                <c:pt idx="17">
                  <c:v>9510.9442571437576</c:v>
                </c:pt>
                <c:pt idx="18">
                  <c:v>8879.2911362526975</c:v>
                </c:pt>
                <c:pt idx="19">
                  <c:v>8284.2148428277324</c:v>
                </c:pt>
                <c:pt idx="20">
                  <c:v>7740.334682783282</c:v>
                </c:pt>
                <c:pt idx="21">
                  <c:v>7228.6504545385724</c:v>
                </c:pt>
                <c:pt idx="22">
                  <c:v>6693.3015446131976</c:v>
                </c:pt>
                <c:pt idx="23">
                  <c:v>6143.9067979871152</c:v>
                </c:pt>
                <c:pt idx="24">
                  <c:v>5544.1370971962624</c:v>
                </c:pt>
                <c:pt idx="25">
                  <c:v>4877.7119294409695</c:v>
                </c:pt>
                <c:pt idx="26">
                  <c:v>4103.0868448459096</c:v>
                </c:pt>
                <c:pt idx="27">
                  <c:v>3238.0067237672188</c:v>
                </c:pt>
                <c:pt idx="28">
                  <c:v>2383.0410272513682</c:v>
                </c:pt>
                <c:pt idx="29">
                  <c:v>1692.5505193687986</c:v>
                </c:pt>
                <c:pt idx="30">
                  <c:v>1233.9005068651754</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15051.693104750579</c:v>
                </c:pt>
                <c:pt idx="1">
                  <c:v>14580.982149961652</c:v>
                </c:pt>
                <c:pt idx="2">
                  <c:v>14312.228711704769</c:v>
                </c:pt>
                <c:pt idx="3">
                  <c:v>14048.319475803413</c:v>
                </c:pt>
                <c:pt idx="4">
                  <c:v>13756.075075784182</c:v>
                </c:pt>
                <c:pt idx="5">
                  <c:v>13443.196770682955</c:v>
                </c:pt>
                <c:pt idx="6">
                  <c:v>13091.71219434265</c:v>
                </c:pt>
                <c:pt idx="7">
                  <c:v>12712.835107155215</c:v>
                </c:pt>
                <c:pt idx="8">
                  <c:v>12328.138267608447</c:v>
                </c:pt>
                <c:pt idx="9">
                  <c:v>11955.97740798509</c:v>
                </c:pt>
                <c:pt idx="10">
                  <c:v>11544.527870700231</c:v>
                </c:pt>
                <c:pt idx="11">
                  <c:v>11045.292389086646</c:v>
                </c:pt>
                <c:pt idx="12">
                  <c:v>10517.345837796443</c:v>
                </c:pt>
                <c:pt idx="13">
                  <c:v>10058.507174991815</c:v>
                </c:pt>
                <c:pt idx="14">
                  <c:v>9650.0117206285195</c:v>
                </c:pt>
                <c:pt idx="15">
                  <c:v>9215.3709332930084</c:v>
                </c:pt>
                <c:pt idx="16">
                  <c:v>8707.3095848844878</c:v>
                </c:pt>
                <c:pt idx="17">
                  <c:v>8104.2088259187221</c:v>
                </c:pt>
                <c:pt idx="18">
                  <c:v>7480.0984500637596</c:v>
                </c:pt>
                <c:pt idx="19">
                  <c:v>6852.7077623029054</c:v>
                </c:pt>
                <c:pt idx="20">
                  <c:v>6233.4499677125095</c:v>
                </c:pt>
                <c:pt idx="21">
                  <c:v>5584.7722472434198</c:v>
                </c:pt>
                <c:pt idx="22">
                  <c:v>4881.932553451581</c:v>
                </c:pt>
                <c:pt idx="23">
                  <c:v>4081.1023715145952</c:v>
                </c:pt>
                <c:pt idx="24">
                  <c:v>3200.7611592937433</c:v>
                </c:pt>
                <c:pt idx="25">
                  <c:v>2344.9535159864527</c:v>
                </c:pt>
                <c:pt idx="26">
                  <c:v>1663.0328606740529</c:v>
                </c:pt>
                <c:pt idx="27">
                  <c:v>1217.1149451700148</c:v>
                </c:pt>
                <c:pt idx="28">
                  <c:v>983.58290531786452</c:v>
                </c:pt>
                <c:pt idx="29">
                  <c:v>866.63667443478505</c:v>
                </c:pt>
                <c:pt idx="30">
                  <c:v>808.39231325155947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12702.321672287504</c:v>
                </c:pt>
                <c:pt idx="1">
                  <c:v>12217.511925338853</c:v>
                </c:pt>
                <c:pt idx="2">
                  <c:v>11834.710082063908</c:v>
                </c:pt>
                <c:pt idx="3">
                  <c:v>11399.651489854652</c:v>
                </c:pt>
                <c:pt idx="4">
                  <c:v>10884.204472406689</c:v>
                </c:pt>
                <c:pt idx="5">
                  <c:v>10369.07968877711</c:v>
                </c:pt>
                <c:pt idx="6">
                  <c:v>9934.4668635715843</c:v>
                </c:pt>
                <c:pt idx="7">
                  <c:v>9523.5889911773738</c:v>
                </c:pt>
                <c:pt idx="8">
                  <c:v>9124.9268180869185</c:v>
                </c:pt>
                <c:pt idx="9">
                  <c:v>8729.4005787492806</c:v>
                </c:pt>
                <c:pt idx="10">
                  <c:v>8329.5759013088991</c:v>
                </c:pt>
                <c:pt idx="11">
                  <c:v>7881.5895211429943</c:v>
                </c:pt>
                <c:pt idx="12">
                  <c:v>7380.5993523249927</c:v>
                </c:pt>
                <c:pt idx="13">
                  <c:v>6815.6972752361226</c:v>
                </c:pt>
                <c:pt idx="14">
                  <c:v>6140.4688388312006</c:v>
                </c:pt>
                <c:pt idx="15">
                  <c:v>5274.4167519816128</c:v>
                </c:pt>
                <c:pt idx="16">
                  <c:v>4262.419017539939</c:v>
                </c:pt>
                <c:pt idx="17">
                  <c:v>3223.9526045806465</c:v>
                </c:pt>
                <c:pt idx="18">
                  <c:v>2300.8577992308296</c:v>
                </c:pt>
                <c:pt idx="19">
                  <c:v>1612.4583507766772</c:v>
                </c:pt>
                <c:pt idx="20">
                  <c:v>1189.4246824176626</c:v>
                </c:pt>
                <c:pt idx="21">
                  <c:v>970.95614934548394</c:v>
                </c:pt>
                <c:pt idx="22">
                  <c:v>864.54998975014234</c:v>
                </c:pt>
                <c:pt idx="23">
                  <c:v>805.23415081777966</c:v>
                </c:pt>
                <c:pt idx="24">
                  <c:v>768.07280241698027</c:v>
                </c:pt>
                <c:pt idx="25">
                  <c:v>752.15808660954224</c:v>
                </c:pt>
                <c:pt idx="26">
                  <c:v>716.87637382956348</c:v>
                </c:pt>
                <c:pt idx="27">
                  <c:v>692.79774393383821</c:v>
                </c:pt>
                <c:pt idx="28">
                  <c:v>690.34726084605563</c:v>
                </c:pt>
                <c:pt idx="29">
                  <c:v>689.9700026670298</c:v>
                </c:pt>
                <c:pt idx="30">
                  <c:v>689.67860110164133</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9928.5076531064533</c:v>
                </c:pt>
                <c:pt idx="1">
                  <c:v>9401.4333049159341</c:v>
                </c:pt>
                <c:pt idx="2">
                  <c:v>9001.2725484770599</c:v>
                </c:pt>
                <c:pt idx="3">
                  <c:v>8600.7230554152193</c:v>
                </c:pt>
                <c:pt idx="4">
                  <c:v>8198.7775341595625</c:v>
                </c:pt>
                <c:pt idx="5">
                  <c:v>7730.7854254903914</c:v>
                </c:pt>
                <c:pt idx="6">
                  <c:v>7220.7063781861052</c:v>
                </c:pt>
                <c:pt idx="7">
                  <c:v>6640.8940525613862</c:v>
                </c:pt>
                <c:pt idx="8">
                  <c:v>5985.6534489985033</c:v>
                </c:pt>
                <c:pt idx="9">
                  <c:v>5209.9426784243851</c:v>
                </c:pt>
                <c:pt idx="10">
                  <c:v>4301.0481015210544</c:v>
                </c:pt>
                <c:pt idx="11">
                  <c:v>3320.5290570484913</c:v>
                </c:pt>
                <c:pt idx="12">
                  <c:v>2426.293198677296</c:v>
                </c:pt>
                <c:pt idx="13">
                  <c:v>1732.301165606061</c:v>
                </c:pt>
                <c:pt idx="14">
                  <c:v>1300.8746040137705</c:v>
                </c:pt>
                <c:pt idx="15">
                  <c:v>1062.3496338945868</c:v>
                </c:pt>
                <c:pt idx="16">
                  <c:v>935.81461459009836</c:v>
                </c:pt>
                <c:pt idx="17">
                  <c:v>853.86363046421491</c:v>
                </c:pt>
                <c:pt idx="18">
                  <c:v>802.02726828549987</c:v>
                </c:pt>
                <c:pt idx="19">
                  <c:v>772.76143982236204</c:v>
                </c:pt>
                <c:pt idx="20">
                  <c:v>723.56138734089245</c:v>
                </c:pt>
                <c:pt idx="21">
                  <c:v>702.66361507219881</c:v>
                </c:pt>
                <c:pt idx="22">
                  <c:v>696.34056321855132</c:v>
                </c:pt>
                <c:pt idx="23">
                  <c:v>695.97876000089161</c:v>
                </c:pt>
                <c:pt idx="24">
                  <c:v>693.14062492449705</c:v>
                </c:pt>
                <c:pt idx="25">
                  <c:v>690.82022881900275</c:v>
                </c:pt>
                <c:pt idx="26">
                  <c:v>690.48762156922339</c:v>
                </c:pt>
                <c:pt idx="27">
                  <c:v>690.18402337176065</c:v>
                </c:pt>
                <c:pt idx="28">
                  <c:v>689.92586805684232</c:v>
                </c:pt>
                <c:pt idx="29">
                  <c:v>689.82487612962518</c:v>
                </c:pt>
                <c:pt idx="30">
                  <c:v>689.75646807796227</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51673072"/>
        <c:axId val="4516675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167307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667584"/>
        <c:crosses val="autoZero"/>
        <c:crossBetween val="midCat"/>
      </c:valAx>
      <c:valAx>
        <c:axId val="451667584"/>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673072"/>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17887.896349146788</c:v>
                </c:pt>
                <c:pt idx="1">
                  <c:v>17890.224072091831</c:v>
                </c:pt>
                <c:pt idx="2">
                  <c:v>17890.165364114393</c:v>
                </c:pt>
                <c:pt idx="3">
                  <c:v>17890.151098682742</c:v>
                </c:pt>
                <c:pt idx="4">
                  <c:v>17890.150001342783</c:v>
                </c:pt>
                <c:pt idx="5">
                  <c:v>17890.147806663277</c:v>
                </c:pt>
                <c:pt idx="6">
                  <c:v>17890.150001342779</c:v>
                </c:pt>
                <c:pt idx="7">
                  <c:v>17890.147806663284</c:v>
                </c:pt>
                <c:pt idx="8">
                  <c:v>17890.150001342783</c:v>
                </c:pt>
                <c:pt idx="9">
                  <c:v>17890.150550012742</c:v>
                </c:pt>
                <c:pt idx="10">
                  <c:v>17890.167558798203</c:v>
                </c:pt>
                <c:pt idx="11">
                  <c:v>17890.348622067453</c:v>
                </c:pt>
                <c:pt idx="12">
                  <c:v>17892.128723989717</c:v>
                </c:pt>
                <c:pt idx="13">
                  <c:v>17909.203083035532</c:v>
                </c:pt>
                <c:pt idx="14">
                  <c:v>18030.338238636232</c:v>
                </c:pt>
                <c:pt idx="15">
                  <c:v>18260.359354898443</c:v>
                </c:pt>
                <c:pt idx="16">
                  <c:v>18448.318275025311</c:v>
                </c:pt>
                <c:pt idx="17">
                  <c:v>18659.966395213218</c:v>
                </c:pt>
                <c:pt idx="18">
                  <c:v>18919.025274520449</c:v>
                </c:pt>
                <c:pt idx="19">
                  <c:v>19174.761648399253</c:v>
                </c:pt>
                <c:pt idx="20">
                  <c:v>19076.986706011034</c:v>
                </c:pt>
                <c:pt idx="21">
                  <c:v>18105.744895951731</c:v>
                </c:pt>
                <c:pt idx="22">
                  <c:v>16784.781171772425</c:v>
                </c:pt>
                <c:pt idx="23">
                  <c:v>15731.382066637958</c:v>
                </c:pt>
                <c:pt idx="24">
                  <c:v>15029.148604313825</c:v>
                </c:pt>
                <c:pt idx="25">
                  <c:v>14581.858742867964</c:v>
                </c:pt>
                <c:pt idx="26">
                  <c:v>14259.069613633399</c:v>
                </c:pt>
                <c:pt idx="27">
                  <c:v>13971.416716824058</c:v>
                </c:pt>
                <c:pt idx="28">
                  <c:v>13732.445275715132</c:v>
                </c:pt>
                <c:pt idx="29">
                  <c:v>13523.736727466689</c:v>
                </c:pt>
                <c:pt idx="30">
                  <c:v>13335.087468839225</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17798.636016276327</c:v>
                </c:pt>
                <c:pt idx="1">
                  <c:v>17800.978589979797</c:v>
                </c:pt>
                <c:pt idx="2">
                  <c:v>17800.919379849729</c:v>
                </c:pt>
                <c:pt idx="3">
                  <c:v>17800.907429229064</c:v>
                </c:pt>
                <c:pt idx="4">
                  <c:v>17800.917750218701</c:v>
                </c:pt>
                <c:pt idx="5">
                  <c:v>17801.037800503767</c:v>
                </c:pt>
                <c:pt idx="6">
                  <c:v>17802.232959511875</c:v>
                </c:pt>
                <c:pt idx="7">
                  <c:v>17813.800063852799</c:v>
                </c:pt>
                <c:pt idx="8">
                  <c:v>17902.570630116781</c:v>
                </c:pt>
                <c:pt idx="9">
                  <c:v>18127.325651718518</c:v>
                </c:pt>
                <c:pt idx="10">
                  <c:v>18307.326938510811</c:v>
                </c:pt>
                <c:pt idx="11">
                  <c:v>18502.151456603013</c:v>
                </c:pt>
                <c:pt idx="12">
                  <c:v>18749.636056171559</c:v>
                </c:pt>
                <c:pt idx="13">
                  <c:v>19049.686677284855</c:v>
                </c:pt>
                <c:pt idx="14">
                  <c:v>19444.120375771519</c:v>
                </c:pt>
                <c:pt idx="15">
                  <c:v>19950.966225294305</c:v>
                </c:pt>
                <c:pt idx="16">
                  <c:v>20574.974118152189</c:v>
                </c:pt>
                <c:pt idx="17">
                  <c:v>21219.216146392715</c:v>
                </c:pt>
                <c:pt idx="18">
                  <c:v>21389.333787031665</c:v>
                </c:pt>
                <c:pt idx="19">
                  <c:v>20124.158005229059</c:v>
                </c:pt>
                <c:pt idx="20">
                  <c:v>18047.082879835914</c:v>
                </c:pt>
                <c:pt idx="21">
                  <c:v>16231.68080909827</c:v>
                </c:pt>
                <c:pt idx="22">
                  <c:v>15003.193965663946</c:v>
                </c:pt>
                <c:pt idx="23">
                  <c:v>14247.705478271253</c:v>
                </c:pt>
                <c:pt idx="24">
                  <c:v>13766.894536305024</c:v>
                </c:pt>
                <c:pt idx="25">
                  <c:v>13447.969977061217</c:v>
                </c:pt>
                <c:pt idx="26">
                  <c:v>13199.030557603601</c:v>
                </c:pt>
                <c:pt idx="27">
                  <c:v>12954.434626833649</c:v>
                </c:pt>
                <c:pt idx="28">
                  <c:v>12755.64127346492</c:v>
                </c:pt>
                <c:pt idx="29">
                  <c:v>12544.368535483687</c:v>
                </c:pt>
                <c:pt idx="30">
                  <c:v>12326.565661378891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17742.097844506447</c:v>
                </c:pt>
                <c:pt idx="1">
                  <c:v>17744.455785348626</c:v>
                </c:pt>
                <c:pt idx="2">
                  <c:v>17744.465501210168</c:v>
                </c:pt>
                <c:pt idx="3">
                  <c:v>17745.156974013491</c:v>
                </c:pt>
                <c:pt idx="4">
                  <c:v>17752.014161278741</c:v>
                </c:pt>
                <c:pt idx="5">
                  <c:v>17812.36022068395</c:v>
                </c:pt>
                <c:pt idx="6">
                  <c:v>18022.373448129467</c:v>
                </c:pt>
                <c:pt idx="7">
                  <c:v>18201.152817336686</c:v>
                </c:pt>
                <c:pt idx="8">
                  <c:v>18382.274353091783</c:v>
                </c:pt>
                <c:pt idx="9">
                  <c:v>18613.635971057858</c:v>
                </c:pt>
                <c:pt idx="10">
                  <c:v>18890.403395497124</c:v>
                </c:pt>
                <c:pt idx="11">
                  <c:v>19253.675815518305</c:v>
                </c:pt>
                <c:pt idx="12">
                  <c:v>19721.705325716935</c:v>
                </c:pt>
                <c:pt idx="13">
                  <c:v>20313.485838859611</c:v>
                </c:pt>
                <c:pt idx="14">
                  <c:v>21004.697910734707</c:v>
                </c:pt>
                <c:pt idx="15">
                  <c:v>21880.71223343744</c:v>
                </c:pt>
                <c:pt idx="16">
                  <c:v>23154.671885068165</c:v>
                </c:pt>
                <c:pt idx="17">
                  <c:v>24111.567944951763</c:v>
                </c:pt>
                <c:pt idx="18">
                  <c:v>22407.887576426907</c:v>
                </c:pt>
                <c:pt idx="19">
                  <c:v>19215.064610654747</c:v>
                </c:pt>
                <c:pt idx="20">
                  <c:v>16769.174233157639</c:v>
                </c:pt>
                <c:pt idx="21">
                  <c:v>15192.356942256018</c:v>
                </c:pt>
                <c:pt idx="22">
                  <c:v>14246.46150459566</c:v>
                </c:pt>
                <c:pt idx="23">
                  <c:v>13666.648040977747</c:v>
                </c:pt>
                <c:pt idx="24">
                  <c:v>13307.46969565968</c:v>
                </c:pt>
                <c:pt idx="25">
                  <c:v>13026.128105494072</c:v>
                </c:pt>
                <c:pt idx="26">
                  <c:v>12786.503531340009</c:v>
                </c:pt>
                <c:pt idx="27">
                  <c:v>12596.389824290796</c:v>
                </c:pt>
                <c:pt idx="28">
                  <c:v>12567.368726562543</c:v>
                </c:pt>
                <c:pt idx="29">
                  <c:v>13091.656859145447</c:v>
                </c:pt>
                <c:pt idx="30">
                  <c:v>15746.4784575578</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17685.042669005619</c:v>
                </c:pt>
                <c:pt idx="1">
                  <c:v>17688.670543982822</c:v>
                </c:pt>
                <c:pt idx="2">
                  <c:v>17700.78227444068</c:v>
                </c:pt>
                <c:pt idx="3">
                  <c:v>17791.946267102245</c:v>
                </c:pt>
                <c:pt idx="4">
                  <c:v>18001.312244230281</c:v>
                </c:pt>
                <c:pt idx="5">
                  <c:v>18169.790063961402</c:v>
                </c:pt>
                <c:pt idx="6">
                  <c:v>18354.891940555735</c:v>
                </c:pt>
                <c:pt idx="7">
                  <c:v>18589.057796503643</c:v>
                </c:pt>
                <c:pt idx="8">
                  <c:v>18874.510969509851</c:v>
                </c:pt>
                <c:pt idx="9">
                  <c:v>19249.387195758627</c:v>
                </c:pt>
                <c:pt idx="10">
                  <c:v>19731.237988608878</c:v>
                </c:pt>
                <c:pt idx="11">
                  <c:v>20327.965588819865</c:v>
                </c:pt>
                <c:pt idx="12">
                  <c:v>21029.103016829111</c:v>
                </c:pt>
                <c:pt idx="13">
                  <c:v>21974.910303125034</c:v>
                </c:pt>
                <c:pt idx="14">
                  <c:v>23478.708802496651</c:v>
                </c:pt>
                <c:pt idx="15">
                  <c:v>25663.282193011033</c:v>
                </c:pt>
                <c:pt idx="16">
                  <c:v>27344.049075536772</c:v>
                </c:pt>
                <c:pt idx="17">
                  <c:v>25408.490486661882</c:v>
                </c:pt>
                <c:pt idx="18">
                  <c:v>21261.118425948283</c:v>
                </c:pt>
                <c:pt idx="19">
                  <c:v>17842.401938031515</c:v>
                </c:pt>
                <c:pt idx="20">
                  <c:v>15741.810559183754</c:v>
                </c:pt>
                <c:pt idx="21">
                  <c:v>14511.672878699197</c:v>
                </c:pt>
                <c:pt idx="22">
                  <c:v>13804.365090117459</c:v>
                </c:pt>
                <c:pt idx="23">
                  <c:v>13361.103049912273</c:v>
                </c:pt>
                <c:pt idx="24">
                  <c:v>13073.163924551845</c:v>
                </c:pt>
                <c:pt idx="25">
                  <c:v>12902.460458658872</c:v>
                </c:pt>
                <c:pt idx="26">
                  <c:v>12991.681797336068</c:v>
                </c:pt>
                <c:pt idx="27">
                  <c:v>13928.63524446146</c:v>
                </c:pt>
                <c:pt idx="28">
                  <c:v>18386.741037356907</c:v>
                </c:pt>
                <c:pt idx="29">
                  <c:v>66003.239816172267</c:v>
                </c:pt>
                <c:pt idx="30">
                  <c:v>-21172.163565247098</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17682.361733025027</c:v>
                </c:pt>
                <c:pt idx="1">
                  <c:v>17927.525958186816</c:v>
                </c:pt>
                <c:pt idx="2">
                  <c:v>18092.250732335538</c:v>
                </c:pt>
                <c:pt idx="3">
                  <c:v>18273.160442504519</c:v>
                </c:pt>
                <c:pt idx="4">
                  <c:v>18500.183368531787</c:v>
                </c:pt>
                <c:pt idx="5">
                  <c:v>18779.056767468257</c:v>
                </c:pt>
                <c:pt idx="6">
                  <c:v>19144.73678092847</c:v>
                </c:pt>
                <c:pt idx="7">
                  <c:v>19614.538452817538</c:v>
                </c:pt>
                <c:pt idx="8">
                  <c:v>20192.39428661397</c:v>
                </c:pt>
                <c:pt idx="9">
                  <c:v>20873.567133984088</c:v>
                </c:pt>
                <c:pt idx="10">
                  <c:v>21806.095464095375</c:v>
                </c:pt>
                <c:pt idx="11">
                  <c:v>23292.087704426362</c:v>
                </c:pt>
                <c:pt idx="12">
                  <c:v>25516.013996189828</c:v>
                </c:pt>
                <c:pt idx="13">
                  <c:v>28337.924077033844</c:v>
                </c:pt>
                <c:pt idx="14">
                  <c:v>31873.090460384003</c:v>
                </c:pt>
                <c:pt idx="15">
                  <c:v>35639.156191045739</c:v>
                </c:pt>
                <c:pt idx="16">
                  <c:v>33384.392376874275</c:v>
                </c:pt>
                <c:pt idx="17">
                  <c:v>26034.472319182001</c:v>
                </c:pt>
                <c:pt idx="18">
                  <c:v>20355.82209662873</c:v>
                </c:pt>
                <c:pt idx="19">
                  <c:v>17195.408275737307</c:v>
                </c:pt>
                <c:pt idx="20">
                  <c:v>15440.023010045727</c:v>
                </c:pt>
                <c:pt idx="21">
                  <c:v>14512.649474069873</c:v>
                </c:pt>
                <c:pt idx="22">
                  <c:v>14123.339690450282</c:v>
                </c:pt>
                <c:pt idx="23">
                  <c:v>14318.572194527354</c:v>
                </c:pt>
                <c:pt idx="24">
                  <c:v>15828.991893113925</c:v>
                </c:pt>
                <c:pt idx="25">
                  <c:v>23134.21253916619</c:v>
                </c:pt>
                <c:pt idx="26">
                  <c:v>1045400.2389489568</c:v>
                </c:pt>
                <c:pt idx="27">
                  <c:v>-15991.636830841391</c:v>
                </c:pt>
                <c:pt idx="28">
                  <c:v>-8151.4910358053148</c:v>
                </c:pt>
                <c:pt idx="29">
                  <c:v>-6047.6907065828036</c:v>
                </c:pt>
                <c:pt idx="30">
                  <c:v>-5245.1288488380833</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19384.159707753337</c:v>
                </c:pt>
                <c:pt idx="1">
                  <c:v>20071.601711522675</c:v>
                </c:pt>
                <c:pt idx="2">
                  <c:v>20754.902041013345</c:v>
                </c:pt>
                <c:pt idx="3">
                  <c:v>21727.388198464927</c:v>
                </c:pt>
                <c:pt idx="4">
                  <c:v>23267.175446668254</c:v>
                </c:pt>
                <c:pt idx="5">
                  <c:v>25463.225173555536</c:v>
                </c:pt>
                <c:pt idx="6">
                  <c:v>28153.363759880132</c:v>
                </c:pt>
                <c:pt idx="7">
                  <c:v>31874.00479111827</c:v>
                </c:pt>
                <c:pt idx="8">
                  <c:v>37505.293604297243</c:v>
                </c:pt>
                <c:pt idx="9">
                  <c:v>47143.590081365801</c:v>
                </c:pt>
                <c:pt idx="10">
                  <c:v>67796.268725813425</c:v>
                </c:pt>
                <c:pt idx="11">
                  <c:v>161949.31449168763</c:v>
                </c:pt>
                <c:pt idx="12">
                  <c:v>-182320.43911096553</c:v>
                </c:pt>
                <c:pt idx="13">
                  <c:v>-46936.117530183925</c:v>
                </c:pt>
                <c:pt idx="14">
                  <c:v>-25426.6648853472</c:v>
                </c:pt>
                <c:pt idx="15">
                  <c:v>-19927.078280395661</c:v>
                </c:pt>
                <c:pt idx="16">
                  <c:v>-17320.277011602957</c:v>
                </c:pt>
                <c:pt idx="17">
                  <c:v>-12795.439383689765</c:v>
                </c:pt>
                <c:pt idx="18">
                  <c:v>-8106.4477573720824</c:v>
                </c:pt>
                <c:pt idx="19">
                  <c:v>-5173.61697762321</c:v>
                </c:pt>
                <c:pt idx="20">
                  <c:v>-3911.1000259361867</c:v>
                </c:pt>
                <c:pt idx="21">
                  <c:v>-3548.9729880567934</c:v>
                </c:pt>
                <c:pt idx="22">
                  <c:v>-3598.7937254722879</c:v>
                </c:pt>
                <c:pt idx="23">
                  <c:v>-3801.2027439905219</c:v>
                </c:pt>
                <c:pt idx="24">
                  <c:v>-3897.6312758405943</c:v>
                </c:pt>
                <c:pt idx="25">
                  <c:v>-3801.6523719106594</c:v>
                </c:pt>
                <c:pt idx="26">
                  <c:v>-3813.639426929863</c:v>
                </c:pt>
                <c:pt idx="27">
                  <c:v>-3665.525222112492</c:v>
                </c:pt>
                <c:pt idx="28">
                  <c:v>-3542.225452731831</c:v>
                </c:pt>
                <c:pt idx="29">
                  <c:v>-3556.1765655889499</c:v>
                </c:pt>
                <c:pt idx="30">
                  <c:v>-3553.2468249709182</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27409.891352672657</c:v>
                </c:pt>
                <c:pt idx="1">
                  <c:v>31991.394863205656</c:v>
                </c:pt>
                <c:pt idx="2">
                  <c:v>37800.156190245332</c:v>
                </c:pt>
                <c:pt idx="3">
                  <c:v>48013.918000184509</c:v>
                </c:pt>
                <c:pt idx="4">
                  <c:v>70547.633056363571</c:v>
                </c:pt>
                <c:pt idx="5">
                  <c:v>203134.8937575481</c:v>
                </c:pt>
                <c:pt idx="6">
                  <c:v>-132990.74916348737</c:v>
                </c:pt>
                <c:pt idx="7">
                  <c:v>-39248.047774069455</c:v>
                </c:pt>
                <c:pt idx="8">
                  <c:v>-19065.74161867275</c:v>
                </c:pt>
                <c:pt idx="9">
                  <c:v>-10236.708978787085</c:v>
                </c:pt>
                <c:pt idx="10">
                  <c:v>-5531.5690915263876</c:v>
                </c:pt>
                <c:pt idx="11">
                  <c:v>-2944.9785120905003</c:v>
                </c:pt>
                <c:pt idx="12">
                  <c:v>-1624.6511003738688</c:v>
                </c:pt>
                <c:pt idx="13">
                  <c:v>-1022.2855026684425</c:v>
                </c:pt>
                <c:pt idx="14">
                  <c:v>-801.59586284923773</c:v>
                </c:pt>
                <c:pt idx="15">
                  <c:v>-772.35895881334068</c:v>
                </c:pt>
                <c:pt idx="16">
                  <c:v>-882.79775254825859</c:v>
                </c:pt>
                <c:pt idx="17">
                  <c:v>-1081.7555619389434</c:v>
                </c:pt>
                <c:pt idx="18">
                  <c:v>-1400.2878991920745</c:v>
                </c:pt>
                <c:pt idx="19">
                  <c:v>-1844.4410050011215</c:v>
                </c:pt>
                <c:pt idx="20">
                  <c:v>-2102.5726237595277</c:v>
                </c:pt>
                <c:pt idx="21">
                  <c:v>-2541.633961283937</c:v>
                </c:pt>
                <c:pt idx="22">
                  <c:v>-3071.3069727443426</c:v>
                </c:pt>
                <c:pt idx="23">
                  <c:v>-3075.1563826847623</c:v>
                </c:pt>
                <c:pt idx="24">
                  <c:v>-3428.8775363652135</c:v>
                </c:pt>
                <c:pt idx="25">
                  <c:v>-3710.4048125858671</c:v>
                </c:pt>
                <c:pt idx="26">
                  <c:v>-3703.4967781694272</c:v>
                </c:pt>
                <c:pt idx="27">
                  <c:v>-3693.1226143087497</c:v>
                </c:pt>
                <c:pt idx="28">
                  <c:v>-3684.8513025633579</c:v>
                </c:pt>
                <c:pt idx="29">
                  <c:v>-3689.0517271455119</c:v>
                </c:pt>
                <c:pt idx="30">
                  <c:v>-3695.1345108143387</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51666016"/>
        <c:axId val="451670328"/>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5166601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670328"/>
        <c:crosses val="autoZero"/>
        <c:crossBetween val="midCat"/>
        <c:majorUnit val="10000"/>
      </c:valAx>
      <c:valAx>
        <c:axId val="451670328"/>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666016"/>
        <c:crosses val="max"/>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0.35762364044906925</c:v>
                </c:pt>
                <c:pt idx="1">
                  <c:v>0.3576396542198636</c:v>
                </c:pt>
                <c:pt idx="2">
                  <c:v>0.35763969672525237</c:v>
                </c:pt>
                <c:pt idx="3">
                  <c:v>0.35763973859574127</c:v>
                </c:pt>
                <c:pt idx="4">
                  <c:v>0.35763977337205471</c:v>
                </c:pt>
                <c:pt idx="5">
                  <c:v>0.35763977455440282</c:v>
                </c:pt>
                <c:pt idx="6">
                  <c:v>0.35763979201848606</c:v>
                </c:pt>
                <c:pt idx="7">
                  <c:v>0.35763978076987968</c:v>
                </c:pt>
                <c:pt idx="8">
                  <c:v>0.35763979823396214</c:v>
                </c:pt>
                <c:pt idx="9">
                  <c:v>0.35763983367735386</c:v>
                </c:pt>
                <c:pt idx="10">
                  <c:v>0.35764026115031106</c:v>
                </c:pt>
                <c:pt idx="11">
                  <c:v>0.35764459202619342</c:v>
                </c:pt>
                <c:pt idx="12">
                  <c:v>0.35768744167758004</c:v>
                </c:pt>
                <c:pt idx="13">
                  <c:v>0.35809682046808339</c:v>
                </c:pt>
                <c:pt idx="14">
                  <c:v>0.36115847133926332</c:v>
                </c:pt>
                <c:pt idx="15">
                  <c:v>0.36629344606224856</c:v>
                </c:pt>
                <c:pt idx="16">
                  <c:v>0.37003292554379758</c:v>
                </c:pt>
                <c:pt idx="17">
                  <c:v>0.37388199301270603</c:v>
                </c:pt>
                <c:pt idx="18">
                  <c:v>0.37820505527967851</c:v>
                </c:pt>
                <c:pt idx="19">
                  <c:v>0.38266998975143934</c:v>
                </c:pt>
                <c:pt idx="20">
                  <c:v>0.38582454482225592</c:v>
                </c:pt>
                <c:pt idx="21">
                  <c:v>0.38517508907910197</c:v>
                </c:pt>
                <c:pt idx="22">
                  <c:v>0.38265812562912593</c:v>
                </c:pt>
                <c:pt idx="23">
                  <c:v>0.38122219493799325</c:v>
                </c:pt>
                <c:pt idx="24">
                  <c:v>0.38203196256336952</c:v>
                </c:pt>
                <c:pt idx="25">
                  <c:v>0.38524407537061056</c:v>
                </c:pt>
                <c:pt idx="26">
                  <c:v>0.3894191480116691</c:v>
                </c:pt>
                <c:pt idx="27">
                  <c:v>0.39283565596824449</c:v>
                </c:pt>
                <c:pt idx="28">
                  <c:v>0.39603034094338768</c:v>
                </c:pt>
                <c:pt idx="29">
                  <c:v>0.39942130103270651</c:v>
                </c:pt>
                <c:pt idx="30">
                  <c:v>0.40283123719216629</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0.35716789808006716</c:v>
                </c:pt>
                <c:pt idx="1">
                  <c:v>0.35718414887206806</c:v>
                </c:pt>
                <c:pt idx="2">
                  <c:v>0.35718419043640259</c:v>
                </c:pt>
                <c:pt idx="3">
                  <c:v>0.35718426883252391</c:v>
                </c:pt>
                <c:pt idx="4">
                  <c:v>0.35718460060115237</c:v>
                </c:pt>
                <c:pt idx="5">
                  <c:v>0.35718762387818875</c:v>
                </c:pt>
                <c:pt idx="6">
                  <c:v>0.35721754074598261</c:v>
                </c:pt>
                <c:pt idx="7">
                  <c:v>0.35750611414193423</c:v>
                </c:pt>
                <c:pt idx="8">
                  <c:v>0.35986347690731219</c:v>
                </c:pt>
                <c:pt idx="9">
                  <c:v>0.36518361903528196</c:v>
                </c:pt>
                <c:pt idx="10">
                  <c:v>0.36894732393618918</c:v>
                </c:pt>
                <c:pt idx="11">
                  <c:v>0.37266710171990614</c:v>
                </c:pt>
                <c:pt idx="12">
                  <c:v>0.37694362291624062</c:v>
                </c:pt>
                <c:pt idx="13">
                  <c:v>0.38158559120146346</c:v>
                </c:pt>
                <c:pt idx="14">
                  <c:v>0.38697927226864914</c:v>
                </c:pt>
                <c:pt idx="15">
                  <c:v>0.39300258140350192</c:v>
                </c:pt>
                <c:pt idx="16">
                  <c:v>0.39939571987822703</c:v>
                </c:pt>
                <c:pt idx="17">
                  <c:v>0.40544577845648766</c:v>
                </c:pt>
                <c:pt idx="18">
                  <c:v>0.40981741108972153</c:v>
                </c:pt>
                <c:pt idx="19">
                  <c:v>0.40977911465461908</c:v>
                </c:pt>
                <c:pt idx="20">
                  <c:v>0.40664671455258761</c:v>
                </c:pt>
                <c:pt idx="21">
                  <c:v>0.40316678831235681</c:v>
                </c:pt>
                <c:pt idx="22">
                  <c:v>0.4013288270820915</c:v>
                </c:pt>
                <c:pt idx="23">
                  <c:v>0.40196690816734976</c:v>
                </c:pt>
                <c:pt idx="24">
                  <c:v>0.40388920440278658</c:v>
                </c:pt>
                <c:pt idx="25">
                  <c:v>0.40688500145896506</c:v>
                </c:pt>
                <c:pt idx="26">
                  <c:v>0.41039885568848361</c:v>
                </c:pt>
                <c:pt idx="27">
                  <c:v>0.41492564282449457</c:v>
                </c:pt>
                <c:pt idx="28">
                  <c:v>0.42019374056070763</c:v>
                </c:pt>
                <c:pt idx="29">
                  <c:v>0.4264465625413823</c:v>
                </c:pt>
                <c:pt idx="30">
                  <c:v>0.433955210794156</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0.35688010475744064</c:v>
                </c:pt>
                <c:pt idx="1">
                  <c:v>0.35689668111537481</c:v>
                </c:pt>
                <c:pt idx="2">
                  <c:v>0.3568985223644241</c:v>
                </c:pt>
                <c:pt idx="3">
                  <c:v>0.35691661774667655</c:v>
                </c:pt>
                <c:pt idx="4">
                  <c:v>0.3570924047719653</c:v>
                </c:pt>
                <c:pt idx="5">
                  <c:v>0.35861262145730638</c:v>
                </c:pt>
                <c:pt idx="6">
                  <c:v>0.36398062464605402</c:v>
                </c:pt>
                <c:pt idx="7">
                  <c:v>0.36788517440841889</c:v>
                </c:pt>
                <c:pt idx="8">
                  <c:v>0.37149393453289181</c:v>
                </c:pt>
                <c:pt idx="9">
                  <c:v>0.37567708000474614</c:v>
                </c:pt>
                <c:pt idx="10">
                  <c:v>0.38016321075083098</c:v>
                </c:pt>
                <c:pt idx="11">
                  <c:v>0.38538579943165097</c:v>
                </c:pt>
                <c:pt idx="12">
                  <c:v>0.39124866608074232</c:v>
                </c:pt>
                <c:pt idx="13">
                  <c:v>0.39761218809285848</c:v>
                </c:pt>
                <c:pt idx="14">
                  <c:v>0.40394346410847626</c:v>
                </c:pt>
                <c:pt idx="15">
                  <c:v>0.41075221417134605</c:v>
                </c:pt>
                <c:pt idx="16">
                  <c:v>0.41913939815824675</c:v>
                </c:pt>
                <c:pt idx="17">
                  <c:v>0.42643314052297376</c:v>
                </c:pt>
                <c:pt idx="18">
                  <c:v>0.42576600246308877</c:v>
                </c:pt>
                <c:pt idx="19">
                  <c:v>0.41902706287496805</c:v>
                </c:pt>
                <c:pt idx="20">
                  <c:v>0.41332358978859368</c:v>
                </c:pt>
                <c:pt idx="21">
                  <c:v>0.41011054507847361</c:v>
                </c:pt>
                <c:pt idx="22">
                  <c:v>0.40984867349596565</c:v>
                </c:pt>
                <c:pt idx="23">
                  <c:v>0.41158018464901114</c:v>
                </c:pt>
                <c:pt idx="24">
                  <c:v>0.41540312779906702</c:v>
                </c:pt>
                <c:pt idx="25">
                  <c:v>0.42016620524886755</c:v>
                </c:pt>
                <c:pt idx="26">
                  <c:v>0.42611313850052995</c:v>
                </c:pt>
                <c:pt idx="27">
                  <c:v>0.43337691232968134</c:v>
                </c:pt>
                <c:pt idx="28">
                  <c:v>0.44303039598954852</c:v>
                </c:pt>
                <c:pt idx="29">
                  <c:v>0.45604341357150596</c:v>
                </c:pt>
                <c:pt idx="30">
                  <c:v>0.47264590490692571</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0.35659204759338153</c:v>
                </c:pt>
                <c:pt idx="1">
                  <c:v>0.35664181016558416</c:v>
                </c:pt>
                <c:pt idx="2">
                  <c:v>0.35696149523961357</c:v>
                </c:pt>
                <c:pt idx="3">
                  <c:v>0.35950801535735832</c:v>
                </c:pt>
                <c:pt idx="4">
                  <c:v>0.36469229031895872</c:v>
                </c:pt>
                <c:pt idx="5">
                  <c:v>0.36838174043188504</c:v>
                </c:pt>
                <c:pt idx="6">
                  <c:v>0.37208003351433799</c:v>
                </c:pt>
                <c:pt idx="7">
                  <c:v>0.37630912403688199</c:v>
                </c:pt>
                <c:pt idx="8">
                  <c:v>0.38092130730626911</c:v>
                </c:pt>
                <c:pt idx="9">
                  <c:v>0.38626986060362029</c:v>
                </c:pt>
                <c:pt idx="10">
                  <c:v>0.39223816004694234</c:v>
                </c:pt>
                <c:pt idx="11">
                  <c:v>0.39856882008760186</c:v>
                </c:pt>
                <c:pt idx="12">
                  <c:v>0.40490109150726161</c:v>
                </c:pt>
                <c:pt idx="13">
                  <c:v>0.41207465158254641</c:v>
                </c:pt>
                <c:pt idx="14">
                  <c:v>0.4212233536506389</c:v>
                </c:pt>
                <c:pt idx="15">
                  <c:v>0.43140716188840084</c:v>
                </c:pt>
                <c:pt idx="16">
                  <c:v>0.43868918652804295</c:v>
                </c:pt>
                <c:pt idx="17">
                  <c:v>0.43761308342883454</c:v>
                </c:pt>
                <c:pt idx="18">
                  <c:v>0.43039491966537452</c:v>
                </c:pt>
                <c:pt idx="19">
                  <c:v>0.42261678228077459</c:v>
                </c:pt>
                <c:pt idx="20">
                  <c:v>0.41804908491220133</c:v>
                </c:pt>
                <c:pt idx="21">
                  <c:v>0.41697889789640691</c:v>
                </c:pt>
                <c:pt idx="22">
                  <c:v>0.41918858635272149</c:v>
                </c:pt>
                <c:pt idx="23">
                  <c:v>0.42336078372377278</c:v>
                </c:pt>
                <c:pt idx="24">
                  <c:v>0.4293191109003564</c:v>
                </c:pt>
                <c:pt idx="25">
                  <c:v>0.43699248365496152</c:v>
                </c:pt>
                <c:pt idx="26">
                  <c:v>0.44736264187023572</c:v>
                </c:pt>
                <c:pt idx="27">
                  <c:v>0.4612547979164629</c:v>
                </c:pt>
                <c:pt idx="28">
                  <c:v>0.47839891779979143</c:v>
                </c:pt>
                <c:pt idx="29">
                  <c:v>0.49572609232495563</c:v>
                </c:pt>
                <c:pt idx="30">
                  <c:v>0.5097132295357425</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0.35812893349121266</c:v>
                </c:pt>
                <c:pt idx="1">
                  <c:v>0.36444511655828826</c:v>
                </c:pt>
                <c:pt idx="2">
                  <c:v>0.3681550743884221</c:v>
                </c:pt>
                <c:pt idx="3">
                  <c:v>0.37186745354381301</c:v>
                </c:pt>
                <c:pt idx="4">
                  <c:v>0.37607262405857356</c:v>
                </c:pt>
                <c:pt idx="5">
                  <c:v>0.38068981190816814</c:v>
                </c:pt>
                <c:pt idx="6">
                  <c:v>0.38602862199891669</c:v>
                </c:pt>
                <c:pt idx="7">
                  <c:v>0.39197778697218444</c:v>
                </c:pt>
                <c:pt idx="8">
                  <c:v>0.39824437448558647</c:v>
                </c:pt>
                <c:pt idx="9">
                  <c:v>0.4045365419077504</c:v>
                </c:pt>
                <c:pt idx="10">
                  <c:v>0.41176375515652824</c:v>
                </c:pt>
                <c:pt idx="11">
                  <c:v>0.42096534719393408</c:v>
                </c:pt>
                <c:pt idx="12">
                  <c:v>0.43130231966372867</c:v>
                </c:pt>
                <c:pt idx="13">
                  <c:v>0.4408418959010032</c:v>
                </c:pt>
                <c:pt idx="14">
                  <c:v>0.44953939942628196</c:v>
                </c:pt>
                <c:pt idx="15">
                  <c:v>0.45690427833600827</c:v>
                </c:pt>
                <c:pt idx="16">
                  <c:v>0.4565300381158745</c:v>
                </c:pt>
                <c:pt idx="17">
                  <c:v>0.44811873064193941</c:v>
                </c:pt>
                <c:pt idx="18">
                  <c:v>0.43875545438093122</c:v>
                </c:pt>
                <c:pt idx="19">
                  <c:v>0.43358006148680145</c:v>
                </c:pt>
                <c:pt idx="20">
                  <c:v>0.4327132914713831</c:v>
                </c:pt>
                <c:pt idx="21">
                  <c:v>0.43586316708030148</c:v>
                </c:pt>
                <c:pt idx="22">
                  <c:v>0.44238930427160728</c:v>
                </c:pt>
                <c:pt idx="23">
                  <c:v>0.45249639982639217</c:v>
                </c:pt>
                <c:pt idx="24">
                  <c:v>0.46629853645653235</c:v>
                </c:pt>
                <c:pt idx="25">
                  <c:v>0.48310616428650532</c:v>
                </c:pt>
                <c:pt idx="26">
                  <c:v>0.49973486504678405</c:v>
                </c:pt>
                <c:pt idx="27">
                  <c:v>0.51268491105741276</c:v>
                </c:pt>
                <c:pt idx="28">
                  <c:v>0.52011049064515702</c:v>
                </c:pt>
                <c:pt idx="29">
                  <c:v>0.52388340488079377</c:v>
                </c:pt>
                <c:pt idx="30">
                  <c:v>0.52568708149818655</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0.39078434949124302</c:v>
                </c:pt>
                <c:pt idx="1">
                  <c:v>0.3985505981624024</c:v>
                </c:pt>
                <c:pt idx="2">
                  <c:v>0.40496453915097924</c:v>
                </c:pt>
                <c:pt idx="3">
                  <c:v>0.41255543935510808</c:v>
                </c:pt>
                <c:pt idx="4">
                  <c:v>0.42203462414711757</c:v>
                </c:pt>
                <c:pt idx="5">
                  <c:v>0.43213035912181719</c:v>
                </c:pt>
                <c:pt idx="6">
                  <c:v>0.44118839612261734</c:v>
                </c:pt>
                <c:pt idx="7">
                  <c:v>0.45020190144712569</c:v>
                </c:pt>
                <c:pt idx="8">
                  <c:v>0.45945049377846842</c:v>
                </c:pt>
                <c:pt idx="9">
                  <c:v>0.46913896260451993</c:v>
                </c:pt>
                <c:pt idx="10">
                  <c:v>0.47952302278119963</c:v>
                </c:pt>
                <c:pt idx="11">
                  <c:v>0.49188883103551972</c:v>
                </c:pt>
                <c:pt idx="12">
                  <c:v>0.50674691163564767</c:v>
                </c:pt>
                <c:pt idx="13">
                  <c:v>0.52420203471542304</c:v>
                </c:pt>
                <c:pt idx="14">
                  <c:v>0.54024953637267237</c:v>
                </c:pt>
                <c:pt idx="15">
                  <c:v>0.54411431752784523</c:v>
                </c:pt>
                <c:pt idx="16">
                  <c:v>0.54101569328909038</c:v>
                </c:pt>
                <c:pt idx="17">
                  <c:v>0.54199351174932675</c:v>
                </c:pt>
                <c:pt idx="18">
                  <c:v>0.54730509729407284</c:v>
                </c:pt>
                <c:pt idx="19">
                  <c:v>0.55194490810300412</c:v>
                </c:pt>
                <c:pt idx="20">
                  <c:v>0.55068585455626617</c:v>
                </c:pt>
                <c:pt idx="21">
                  <c:v>0.54559798720235408</c:v>
                </c:pt>
                <c:pt idx="22">
                  <c:v>0.54003887856602484</c:v>
                </c:pt>
                <c:pt idx="23">
                  <c:v>0.53530611252323612</c:v>
                </c:pt>
                <c:pt idx="24">
                  <c:v>0.53284357207662114</c:v>
                </c:pt>
                <c:pt idx="25">
                  <c:v>0.53297505106669874</c:v>
                </c:pt>
                <c:pt idx="26">
                  <c:v>0.53132949454910749</c:v>
                </c:pt>
                <c:pt idx="27">
                  <c:v>0.53150061277960459</c:v>
                </c:pt>
                <c:pt idx="28">
                  <c:v>0.53248180510897214</c:v>
                </c:pt>
                <c:pt idx="29">
                  <c:v>0.5323366959777095</c:v>
                </c:pt>
                <c:pt idx="30">
                  <c:v>0.53234969006631871</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0.43962941136005662</c:v>
                </c:pt>
                <c:pt idx="1">
                  <c:v>0.45102103057652321</c:v>
                </c:pt>
                <c:pt idx="2">
                  <c:v>0.46031201342496075</c:v>
                </c:pt>
                <c:pt idx="3">
                  <c:v>0.47014503497582316</c:v>
                </c:pt>
                <c:pt idx="4">
                  <c:v>0.48063063403887413</c:v>
                </c:pt>
                <c:pt idx="5">
                  <c:v>0.49365710039398952</c:v>
                </c:pt>
                <c:pt idx="6">
                  <c:v>0.50904913364727045</c:v>
                </c:pt>
                <c:pt idx="7">
                  <c:v>0.52820052813322738</c:v>
                </c:pt>
                <c:pt idx="8">
                  <c:v>0.55232468414390823</c:v>
                </c:pt>
                <c:pt idx="9">
                  <c:v>0.58482450576027634</c:v>
                </c:pt>
                <c:pt idx="10">
                  <c:v>0.62959096024880401</c:v>
                </c:pt>
                <c:pt idx="11">
                  <c:v>0.6879203896517514</c:v>
                </c:pt>
                <c:pt idx="12">
                  <c:v>0.74890402603149187</c:v>
                </c:pt>
                <c:pt idx="13">
                  <c:v>0.78242292410555969</c:v>
                </c:pt>
                <c:pt idx="14">
                  <c:v>0.77047598927425187</c:v>
                </c:pt>
                <c:pt idx="15">
                  <c:v>0.72924350173628905</c:v>
                </c:pt>
                <c:pt idx="16">
                  <c:v>0.6766759169713189</c:v>
                </c:pt>
                <c:pt idx="17">
                  <c:v>0.63155523307159245</c:v>
                </c:pt>
                <c:pt idx="18">
                  <c:v>0.59545980612846905</c:v>
                </c:pt>
                <c:pt idx="19">
                  <c:v>0.56982797116010153</c:v>
                </c:pt>
                <c:pt idx="20">
                  <c:v>0.55735524337855535</c:v>
                </c:pt>
                <c:pt idx="21">
                  <c:v>0.54607689553096517</c:v>
                </c:pt>
                <c:pt idx="22">
                  <c:v>0.5377874180491713</c:v>
                </c:pt>
                <c:pt idx="23">
                  <c:v>0.53772050769622259</c:v>
                </c:pt>
                <c:pt idx="24">
                  <c:v>0.53369132792356211</c:v>
                </c:pt>
                <c:pt idx="25">
                  <c:v>0.53103076634997293</c:v>
                </c:pt>
                <c:pt idx="26">
                  <c:v>0.53107367905377789</c:v>
                </c:pt>
                <c:pt idx="27">
                  <c:v>0.53114726549188529</c:v>
                </c:pt>
                <c:pt idx="28">
                  <c:v>0.53120550470955219</c:v>
                </c:pt>
                <c:pt idx="29">
                  <c:v>0.53116541084047963</c:v>
                </c:pt>
                <c:pt idx="30">
                  <c:v>0.53111102207778416</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51666408"/>
        <c:axId val="45166954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166640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1669544"/>
        <c:crosses val="autoZero"/>
        <c:crossBetween val="midCat"/>
        <c:majorUnit val="10000"/>
      </c:valAx>
      <c:valAx>
        <c:axId val="451669544"/>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layout/>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1666408"/>
        <c:crosses val="max"/>
        <c:crossBetween val="midCat"/>
        <c:majorUnit val="0.1"/>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5619.5329931741162</c:v>
                </c:pt>
                <c:pt idx="1">
                  <c:v>5619.5658717740425</c:v>
                </c:pt>
                <c:pt idx="2">
                  <c:v>5619.5453722286029</c:v>
                </c:pt>
                <c:pt idx="3">
                  <c:v>5619.5381902049257</c:v>
                </c:pt>
                <c:pt idx="4">
                  <c:v>5619.5270202096081</c:v>
                </c:pt>
                <c:pt idx="5">
                  <c:v>5619.4334394084344</c:v>
                </c:pt>
                <c:pt idx="6">
                  <c:v>5618.5096180858227</c:v>
                </c:pt>
                <c:pt idx="7">
                  <c:v>5609.604774269872</c:v>
                </c:pt>
                <c:pt idx="8">
                  <c:v>5534.6820731552771</c:v>
                </c:pt>
                <c:pt idx="9">
                  <c:v>5370.399425083704</c:v>
                </c:pt>
                <c:pt idx="10">
                  <c:v>5257.8155746015464</c:v>
                </c:pt>
                <c:pt idx="11">
                  <c:v>5148.9525022518937</c:v>
                </c:pt>
                <c:pt idx="12">
                  <c:v>5026.92102925375</c:v>
                </c:pt>
                <c:pt idx="13">
                  <c:v>4898.1924827249632</c:v>
                </c:pt>
                <c:pt idx="14">
                  <c:v>4753.3269146217463</c:v>
                </c:pt>
                <c:pt idx="15">
                  <c:v>4597.3394014710702</c:v>
                </c:pt>
                <c:pt idx="16">
                  <c:v>4437.480614548972</c:v>
                </c:pt>
                <c:pt idx="17">
                  <c:v>4282.6976933023134</c:v>
                </c:pt>
                <c:pt idx="18">
                  <c:v>4104.6708903026465</c:v>
                </c:pt>
                <c:pt idx="19">
                  <c:v>3863.6251591234022</c:v>
                </c:pt>
                <c:pt idx="20">
                  <c:v>3593.12923880173</c:v>
                </c:pt>
                <c:pt idx="21">
                  <c:v>3360.468185804395</c:v>
                </c:pt>
                <c:pt idx="22">
                  <c:v>3169.2406182554596</c:v>
                </c:pt>
                <c:pt idx="23">
                  <c:v>2988.8293612758935</c:v>
                </c:pt>
                <c:pt idx="24">
                  <c:v>2827.4607055264137</c:v>
                </c:pt>
                <c:pt idx="25">
                  <c:v>2670.1707037079254</c:v>
                </c:pt>
                <c:pt idx="26">
                  <c:v>2515.5612619665249</c:v>
                </c:pt>
                <c:pt idx="27">
                  <c:v>2336.7097855049965</c:v>
                </c:pt>
                <c:pt idx="28">
                  <c:v>2150.3686174171794</c:v>
                </c:pt>
                <c:pt idx="29">
                  <c:v>1940.5173332718871</c:v>
                </c:pt>
                <c:pt idx="30">
                  <c:v>1703.202634105066</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5614.15966521874</c:v>
                </c:pt>
                <c:pt idx="1">
                  <c:v>5614.1868795733999</c:v>
                </c:pt>
                <c:pt idx="2">
                  <c:v>5614.1101001096886</c:v>
                </c:pt>
                <c:pt idx="3">
                  <c:v>5613.5440717227957</c:v>
                </c:pt>
                <c:pt idx="4">
                  <c:v>5608.0875082385601</c:v>
                </c:pt>
                <c:pt idx="5">
                  <c:v>5561.0618011761198</c:v>
                </c:pt>
                <c:pt idx="6">
                  <c:v>5391.7011748892737</c:v>
                </c:pt>
                <c:pt idx="7">
                  <c:v>5273.7806689105482</c:v>
                </c:pt>
                <c:pt idx="8">
                  <c:v>5167.1400623232676</c:v>
                </c:pt>
                <c:pt idx="9">
                  <c:v>5046.4639033804824</c:v>
                </c:pt>
                <c:pt idx="10">
                  <c:v>4920.6469341545144</c:v>
                </c:pt>
                <c:pt idx="11">
                  <c:v>4778.6212241451321</c:v>
                </c:pt>
                <c:pt idx="12">
                  <c:v>4624.8276392807802</c:v>
                </c:pt>
                <c:pt idx="13">
                  <c:v>4464.4431086830655</c:v>
                </c:pt>
                <c:pt idx="14">
                  <c:v>4311.3670250981177</c:v>
                </c:pt>
                <c:pt idx="15">
                  <c:v>4152.6891106145395</c:v>
                </c:pt>
                <c:pt idx="16">
                  <c:v>3957.9636218361616</c:v>
                </c:pt>
                <c:pt idx="17">
                  <c:v>3730.5898476111606</c:v>
                </c:pt>
                <c:pt idx="18">
                  <c:v>3500.0702814112506</c:v>
                </c:pt>
                <c:pt idx="19">
                  <c:v>3289.3669034465734</c:v>
                </c:pt>
                <c:pt idx="20">
                  <c:v>3085.2633506749817</c:v>
                </c:pt>
                <c:pt idx="21">
                  <c:v>2905.3736728917142</c:v>
                </c:pt>
                <c:pt idx="22">
                  <c:v>2732.9260794562178</c:v>
                </c:pt>
                <c:pt idx="23">
                  <c:v>2568.1909736158736</c:v>
                </c:pt>
                <c:pt idx="24">
                  <c:v>2386.1123895749793</c:v>
                </c:pt>
                <c:pt idx="25">
                  <c:v>2196.768027007945</c:v>
                </c:pt>
                <c:pt idx="26">
                  <c:v>1987.4046244520723</c:v>
                </c:pt>
                <c:pt idx="27">
                  <c:v>1756.4334468648422</c:v>
                </c:pt>
                <c:pt idx="28">
                  <c:v>1488.4468583518017</c:v>
                </c:pt>
                <c:pt idx="29">
                  <c:v>1185.6745633902476</c:v>
                </c:pt>
                <c:pt idx="30">
                  <c:v>877.46280556758461</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5608.5595412821331</c:v>
                </c:pt>
                <c:pt idx="1">
                  <c:v>5607.5578036030483</c:v>
                </c:pt>
                <c:pt idx="2">
                  <c:v>5597.5650860558781</c:v>
                </c:pt>
                <c:pt idx="3">
                  <c:v>5515.87592015054</c:v>
                </c:pt>
                <c:pt idx="4">
                  <c:v>5354.4297457358771</c:v>
                </c:pt>
                <c:pt idx="5">
                  <c:v>5243.0021702463746</c:v>
                </c:pt>
                <c:pt idx="6">
                  <c:v>5133.7176502815901</c:v>
                </c:pt>
                <c:pt idx="7">
                  <c:v>5011.8758976932013</c:v>
                </c:pt>
                <c:pt idx="8">
                  <c:v>4882.7230333645084</c:v>
                </c:pt>
                <c:pt idx="9">
                  <c:v>4737.6825060207148</c:v>
                </c:pt>
                <c:pt idx="10">
                  <c:v>4581.7042756516666</c:v>
                </c:pt>
                <c:pt idx="11">
                  <c:v>4422.8560767502513</c:v>
                </c:pt>
                <c:pt idx="12">
                  <c:v>4270.4317526073974</c:v>
                </c:pt>
                <c:pt idx="13">
                  <c:v>4104.9210309366072</c:v>
                </c:pt>
                <c:pt idx="14">
                  <c:v>3904.1870554469519</c:v>
                </c:pt>
                <c:pt idx="15">
                  <c:v>3689.3430627142566</c:v>
                </c:pt>
                <c:pt idx="16">
                  <c:v>3495.8611800317371</c:v>
                </c:pt>
                <c:pt idx="17">
                  <c:v>3307.8943029856523</c:v>
                </c:pt>
                <c:pt idx="18">
                  <c:v>3103.7900841852515</c:v>
                </c:pt>
                <c:pt idx="19">
                  <c:v>2911.6115267339505</c:v>
                </c:pt>
                <c:pt idx="20">
                  <c:v>2729.2195894835777</c:v>
                </c:pt>
                <c:pt idx="21">
                  <c:v>2550.726219448276</c:v>
                </c:pt>
                <c:pt idx="22">
                  <c:v>2358.1438044871866</c:v>
                </c:pt>
                <c:pt idx="23">
                  <c:v>2158.239452794789</c:v>
                </c:pt>
                <c:pt idx="24">
                  <c:v>1939.4329282086981</c:v>
                </c:pt>
                <c:pt idx="25">
                  <c:v>1697.1946565213088</c:v>
                </c:pt>
                <c:pt idx="26">
                  <c:v>1417.4356606109552</c:v>
                </c:pt>
                <c:pt idx="27">
                  <c:v>1107.9541803332813</c:v>
                </c:pt>
                <c:pt idx="28">
                  <c:v>805.95331833639966</c:v>
                </c:pt>
                <c:pt idx="29">
                  <c:v>565.79561192848462</c:v>
                </c:pt>
                <c:pt idx="30">
                  <c:v>408.65393596789795</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5541.3343805505365</c:v>
                </c:pt>
                <c:pt idx="1">
                  <c:v>5343.1911525840997</c:v>
                </c:pt>
                <c:pt idx="2">
                  <c:v>5230.4848257433341</c:v>
                </c:pt>
                <c:pt idx="3">
                  <c:v>5120.1446027142574</c:v>
                </c:pt>
                <c:pt idx="4">
                  <c:v>4998.3099857085181</c:v>
                </c:pt>
                <c:pt idx="5">
                  <c:v>4868.289986185935</c:v>
                </c:pt>
                <c:pt idx="6">
                  <c:v>4722.7423685745798</c:v>
                </c:pt>
                <c:pt idx="7">
                  <c:v>4566.4647906515956</c:v>
                </c:pt>
                <c:pt idx="8">
                  <c:v>4408.434781704007</c:v>
                </c:pt>
                <c:pt idx="9">
                  <c:v>4256.2001953133786</c:v>
                </c:pt>
                <c:pt idx="10">
                  <c:v>4088.6897076558816</c:v>
                </c:pt>
                <c:pt idx="11">
                  <c:v>3886.5453020717396</c:v>
                </c:pt>
                <c:pt idx="12">
                  <c:v>3674.0476464355193</c:v>
                </c:pt>
                <c:pt idx="13">
                  <c:v>3490.4964950029853</c:v>
                </c:pt>
                <c:pt idx="14">
                  <c:v>3328.6476119407066</c:v>
                </c:pt>
                <c:pt idx="15">
                  <c:v>3162.6549081928265</c:v>
                </c:pt>
                <c:pt idx="16">
                  <c:v>2989.0593935666489</c:v>
                </c:pt>
                <c:pt idx="17">
                  <c:v>2798.1852090008501</c:v>
                </c:pt>
                <c:pt idx="18">
                  <c:v>2599.5030730508342</c:v>
                </c:pt>
                <c:pt idx="19">
                  <c:v>2390.0680354035449</c:v>
                </c:pt>
                <c:pt idx="20">
                  <c:v>2175.40034172183</c:v>
                </c:pt>
                <c:pt idx="21">
                  <c:v>1944.7438917872487</c:v>
                </c:pt>
                <c:pt idx="22">
                  <c:v>1692.3075271682321</c:v>
                </c:pt>
                <c:pt idx="23">
                  <c:v>1404.857998960405</c:v>
                </c:pt>
                <c:pt idx="24">
                  <c:v>1091.4425267820036</c:v>
                </c:pt>
                <c:pt idx="25">
                  <c:v>790.55484106714846</c:v>
                </c:pt>
                <c:pt idx="26">
                  <c:v>554.44228824478739</c:v>
                </c:pt>
                <c:pt idx="27">
                  <c:v>402.30286435501444</c:v>
                </c:pt>
                <c:pt idx="28">
                  <c:v>323.52349101295181</c:v>
                </c:pt>
                <c:pt idx="29">
                  <c:v>284.35137217816799</c:v>
                </c:pt>
                <c:pt idx="30">
                  <c:v>264.92729834801332</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4566.6036136134571</c:v>
                </c:pt>
                <c:pt idx="1">
                  <c:v>4367.9191662396088</c:v>
                </c:pt>
                <c:pt idx="2">
                  <c:v>4211.7468990411771</c:v>
                </c:pt>
                <c:pt idx="3">
                  <c:v>4035.1164889708966</c:v>
                </c:pt>
                <c:pt idx="4">
                  <c:v>3826.9829326183326</c:v>
                </c:pt>
                <c:pt idx="5">
                  <c:v>3620.1591645384274</c:v>
                </c:pt>
                <c:pt idx="6">
                  <c:v>3446.6232486673289</c:v>
                </c:pt>
                <c:pt idx="7">
                  <c:v>3283.5389960784037</c:v>
                </c:pt>
                <c:pt idx="8">
                  <c:v>3126.1515402495047</c:v>
                </c:pt>
                <c:pt idx="9">
                  <c:v>2970.9240585633979</c:v>
                </c:pt>
                <c:pt idx="10">
                  <c:v>2814.9531210575578</c:v>
                </c:pt>
                <c:pt idx="11">
                  <c:v>2641.4801683555684</c:v>
                </c:pt>
                <c:pt idx="12">
                  <c:v>2449.1835010011705</c:v>
                </c:pt>
                <c:pt idx="13">
                  <c:v>2235.8247528873858</c:v>
                </c:pt>
                <c:pt idx="14">
                  <c:v>1993.335720552192</c:v>
                </c:pt>
                <c:pt idx="15">
                  <c:v>1707.9100595434049</c:v>
                </c:pt>
                <c:pt idx="16">
                  <c:v>1382.9901395885138</c:v>
                </c:pt>
                <c:pt idx="17">
                  <c:v>1045.3846206276212</c:v>
                </c:pt>
                <c:pt idx="18">
                  <c:v>743.50488577028852</c:v>
                </c:pt>
                <c:pt idx="19">
                  <c:v>519.49600219625086</c:v>
                </c:pt>
                <c:pt idx="20">
                  <c:v>383.51568079468302</c:v>
                </c:pt>
                <c:pt idx="21">
                  <c:v>314.10371823238006</c:v>
                </c:pt>
                <c:pt idx="22">
                  <c:v>280.6909623460773</c:v>
                </c:pt>
                <c:pt idx="23">
                  <c:v>262.23895816268134</c:v>
                </c:pt>
                <c:pt idx="24">
                  <c:v>250.5385469230996</c:v>
                </c:pt>
                <c:pt idx="25">
                  <c:v>245.32626479673095</c:v>
                </c:pt>
                <c:pt idx="26">
                  <c:v>234.06992955511652</c:v>
                </c:pt>
                <c:pt idx="27">
                  <c:v>226.1826531941249</c:v>
                </c:pt>
                <c:pt idx="28">
                  <c:v>225.23832209445587</c:v>
                </c:pt>
                <c:pt idx="29">
                  <c:v>225.13655271656646</c:v>
                </c:pt>
                <c:pt idx="30">
                  <c:v>225.03956034728361</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3448.2859181540075</c:v>
                </c:pt>
                <c:pt idx="1">
                  <c:v>3239.5923652397146</c:v>
                </c:pt>
                <c:pt idx="2">
                  <c:v>3081.9689442141253</c:v>
                </c:pt>
                <c:pt idx="3">
                  <c:v>2925.1274026703973</c:v>
                </c:pt>
                <c:pt idx="4">
                  <c:v>2768.6775302611704</c:v>
                </c:pt>
                <c:pt idx="5">
                  <c:v>2587.8715481120807</c:v>
                </c:pt>
                <c:pt idx="6">
                  <c:v>2392.4689452404186</c:v>
                </c:pt>
                <c:pt idx="7">
                  <c:v>2172.7822789963197</c:v>
                </c:pt>
                <c:pt idx="8">
                  <c:v>1927.9643975704516</c:v>
                </c:pt>
                <c:pt idx="9">
                  <c:v>1643.6970338003</c:v>
                </c:pt>
                <c:pt idx="10">
                  <c:v>1319.6710728146086</c:v>
                </c:pt>
                <c:pt idx="11">
                  <c:v>983.6154232764427</c:v>
                </c:pt>
                <c:pt idx="12">
                  <c:v>693.66104788005293</c:v>
                </c:pt>
                <c:pt idx="13">
                  <c:v>485.93999274200024</c:v>
                </c:pt>
                <c:pt idx="14">
                  <c:v>367.37990571310178</c:v>
                </c:pt>
                <c:pt idx="15">
                  <c:v>307.17178720865763</c:v>
                </c:pt>
                <c:pt idx="16">
                  <c:v>279.06842494658031</c:v>
                </c:pt>
                <c:pt idx="17">
                  <c:v>261.67169004040318</c:v>
                </c:pt>
                <c:pt idx="18">
                  <c:v>251.34674819282765</c:v>
                </c:pt>
                <c:pt idx="19">
                  <c:v>246.12933837944422</c:v>
                </c:pt>
                <c:pt idx="20">
                  <c:v>232.30454015462297</c:v>
                </c:pt>
                <c:pt idx="21">
                  <c:v>227.24083682489959</c:v>
                </c:pt>
                <c:pt idx="22">
                  <c:v>226.40989093990805</c:v>
                </c:pt>
                <c:pt idx="23">
                  <c:v>226.30209993218824</c:v>
                </c:pt>
                <c:pt idx="24">
                  <c:v>225.971358220734</c:v>
                </c:pt>
                <c:pt idx="25">
                  <c:v>225.60625299057205</c:v>
                </c:pt>
                <c:pt idx="26">
                  <c:v>225.49131077609314</c:v>
                </c:pt>
                <c:pt idx="27">
                  <c:v>225.3813329804162</c:v>
                </c:pt>
                <c:pt idx="28">
                  <c:v>225.28846256587596</c:v>
                </c:pt>
                <c:pt idx="29">
                  <c:v>225.26138301118297</c:v>
                </c:pt>
                <c:pt idx="30">
                  <c:v>225.24704548920718</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51667192"/>
        <c:axId val="4516715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1667192"/>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671504"/>
        <c:crosses val="autoZero"/>
        <c:crossBetween val="midCat"/>
        <c:majorUnit val="10000"/>
      </c:valAx>
      <c:valAx>
        <c:axId val="451671504"/>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667192"/>
        <c:crosses val="autoZero"/>
        <c:crossBetween val="midCat"/>
        <c:majorUnit val="10"/>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3.113532382323774E-4</c:v>
                </c:pt>
                <c:pt idx="1">
                  <c:v>2.0173275090235271E-4</c:v>
                </c:pt>
                <c:pt idx="2">
                  <c:v>6.6233437839462617E-4</c:v>
                </c:pt>
                <c:pt idx="3">
                  <c:v>1.7294793784405359E-4</c:v>
                </c:pt>
                <c:pt idx="4">
                  <c:v>2.6154111522193953E-5</c:v>
                </c:pt>
                <c:pt idx="5">
                  <c:v>3.6408551476884144E-6</c:v>
                </c:pt>
                <c:pt idx="6">
                  <c:v>1.2398382941000996E-6</c:v>
                </c:pt>
                <c:pt idx="7">
                  <c:v>1.5348566708916503E-6</c:v>
                </c:pt>
                <c:pt idx="8">
                  <c:v>2.393692012790634E-6</c:v>
                </c:pt>
                <c:pt idx="9">
                  <c:v>5.4937652890644859E-6</c:v>
                </c:pt>
                <c:pt idx="10">
                  <c:v>1.2648846154626409E-5</c:v>
                </c:pt>
                <c:pt idx="11">
                  <c:v>2.1885638441359141E-5</c:v>
                </c:pt>
                <c:pt idx="12">
                  <c:v>2.853168000293632E-5</c:v>
                </c:pt>
                <c:pt idx="13">
                  <c:v>3.0671815278313133E-5</c:v>
                </c:pt>
                <c:pt idx="14">
                  <c:v>2.911894346843639E-5</c:v>
                </c:pt>
                <c:pt idx="15">
                  <c:v>2.4536631552415498E-5</c:v>
                </c:pt>
                <c:pt idx="16">
                  <c:v>1.7343645548531382E-5</c:v>
                </c:pt>
                <c:pt idx="17">
                  <c:v>9.9121137046566463E-6</c:v>
                </c:pt>
                <c:pt idx="18">
                  <c:v>4.4875199398450647E-6</c:v>
                </c:pt>
                <c:pt idx="19">
                  <c:v>1.4769763665244856E-6</c:v>
                </c:pt>
                <c:pt idx="20">
                  <c:v>5.7433660892225082E-7</c:v>
                </c:pt>
                <c:pt idx="21">
                  <c:v>2.4286069931391313E-6</c:v>
                </c:pt>
                <c:pt idx="22">
                  <c:v>4.6638408886609189E-6</c:v>
                </c:pt>
                <c:pt idx="23">
                  <c:v>6.6169881764410592E-6</c:v>
                </c:pt>
                <c:pt idx="24">
                  <c:v>6.856166516580053E-6</c:v>
                </c:pt>
                <c:pt idx="25">
                  <c:v>6.4272347845834753E-6</c:v>
                </c:pt>
                <c:pt idx="26">
                  <c:v>5.2636563204782374E-6</c:v>
                </c:pt>
                <c:pt idx="27">
                  <c:v>5.3555020664500941E-6</c:v>
                </c:pt>
                <c:pt idx="28">
                  <c:v>7.4806067252121908E-6</c:v>
                </c:pt>
                <c:pt idx="29">
                  <c:v>1.0608938750539172E-5</c:v>
                </c:pt>
                <c:pt idx="30">
                  <c:v>6.951735399878834E-6</c:v>
                </c:pt>
              </c:numCache>
            </c:numRef>
          </c:yVal>
          <c:smooth val="1"/>
        </c:ser>
        <c:dLbls>
          <c:showLegendKey val="0"/>
          <c:showVal val="0"/>
          <c:showCatName val="0"/>
          <c:showSerName val="0"/>
          <c:showPercent val="0"/>
          <c:showBubbleSize val="0"/>
        </c:dLbls>
        <c:axId val="451668760"/>
        <c:axId val="451669152"/>
      </c:scatterChart>
      <c:valAx>
        <c:axId val="45166876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669152"/>
        <c:crossesAt val="-1.5000000000000005E-3"/>
        <c:crossBetween val="midCat"/>
      </c:valAx>
      <c:valAx>
        <c:axId val="451669152"/>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668760"/>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5608.5595412821331</c:v>
                </c:pt>
                <c:pt idx="1">
                  <c:v>5607.5578036030483</c:v>
                </c:pt>
                <c:pt idx="2">
                  <c:v>5597.5650860558781</c:v>
                </c:pt>
                <c:pt idx="3">
                  <c:v>5515.87592015054</c:v>
                </c:pt>
                <c:pt idx="4">
                  <c:v>5354.4297457358771</c:v>
                </c:pt>
                <c:pt idx="5">
                  <c:v>5243.0021702463746</c:v>
                </c:pt>
                <c:pt idx="6">
                  <c:v>5133.7176502815901</c:v>
                </c:pt>
                <c:pt idx="7">
                  <c:v>5011.8758976932013</c:v>
                </c:pt>
                <c:pt idx="8">
                  <c:v>4882.7230333645084</c:v>
                </c:pt>
                <c:pt idx="9">
                  <c:v>4737.6825060207148</c:v>
                </c:pt>
                <c:pt idx="10">
                  <c:v>4581.7042756516666</c:v>
                </c:pt>
                <c:pt idx="11">
                  <c:v>4422.8560767502513</c:v>
                </c:pt>
                <c:pt idx="12">
                  <c:v>4270.4317526073974</c:v>
                </c:pt>
                <c:pt idx="13">
                  <c:v>4104.9210309366072</c:v>
                </c:pt>
                <c:pt idx="14">
                  <c:v>3904.1870554469519</c:v>
                </c:pt>
                <c:pt idx="15">
                  <c:v>3689.3430627142566</c:v>
                </c:pt>
                <c:pt idx="16">
                  <c:v>3495.8611800317371</c:v>
                </c:pt>
                <c:pt idx="17">
                  <c:v>3307.8943029856523</c:v>
                </c:pt>
                <c:pt idx="18">
                  <c:v>3103.7900841852515</c:v>
                </c:pt>
                <c:pt idx="19">
                  <c:v>2911.6115267339505</c:v>
                </c:pt>
                <c:pt idx="20">
                  <c:v>2729.2195894835777</c:v>
                </c:pt>
                <c:pt idx="21">
                  <c:v>2550.726219448276</c:v>
                </c:pt>
                <c:pt idx="22">
                  <c:v>2358.1438044871866</c:v>
                </c:pt>
                <c:pt idx="23">
                  <c:v>2158.239452794789</c:v>
                </c:pt>
                <c:pt idx="24">
                  <c:v>1939.4329282086981</c:v>
                </c:pt>
                <c:pt idx="25">
                  <c:v>1697.1946565213088</c:v>
                </c:pt>
                <c:pt idx="26">
                  <c:v>1417.4356606109552</c:v>
                </c:pt>
                <c:pt idx="27">
                  <c:v>1107.9541803332813</c:v>
                </c:pt>
                <c:pt idx="28">
                  <c:v>805.95331833639966</c:v>
                </c:pt>
                <c:pt idx="29">
                  <c:v>565.79561192848462</c:v>
                </c:pt>
                <c:pt idx="30">
                  <c:v>408.65393596789795</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5610.3057844571304</c:v>
                </c:pt>
                <c:pt idx="1">
                  <c:v>5608.6890316646131</c:v>
                </c:pt>
                <c:pt idx="2">
                  <c:v>5593.8576262640818</c:v>
                </c:pt>
                <c:pt idx="3">
                  <c:v>5516.8298795163337</c:v>
                </c:pt>
                <c:pt idx="4">
                  <c:v>5354.2897053831693</c:v>
                </c:pt>
                <c:pt idx="5">
                  <c:v>5243.0212592578155</c:v>
                </c:pt>
                <c:pt idx="6">
                  <c:v>5133.7112853018562</c:v>
                </c:pt>
                <c:pt idx="7">
                  <c:v>5011.8835902043566</c:v>
                </c:pt>
                <c:pt idx="8">
                  <c:v>4882.7113456293828</c:v>
                </c:pt>
                <c:pt idx="9">
                  <c:v>4737.7085337364169</c:v>
                </c:pt>
                <c:pt idx="10">
                  <c:v>4581.6463223791579</c:v>
                </c:pt>
                <c:pt idx="11">
                  <c:v>4422.9528737792252</c:v>
                </c:pt>
                <c:pt idx="12">
                  <c:v>4270.3099100151576</c:v>
                </c:pt>
                <c:pt idx="13">
                  <c:v>4105.0469363162001</c:v>
                </c:pt>
                <c:pt idx="14">
                  <c:v>3904.0733696447942</c:v>
                </c:pt>
                <c:pt idx="15">
                  <c:v>3689.4335867656569</c:v>
                </c:pt>
                <c:pt idx="16">
                  <c:v>3495.8005490545438</c:v>
                </c:pt>
                <c:pt idx="17">
                  <c:v>3307.9270912101065</c:v>
                </c:pt>
                <c:pt idx="18">
                  <c:v>3103.7761558653597</c:v>
                </c:pt>
                <c:pt idx="19">
                  <c:v>2911.615827115364</c:v>
                </c:pt>
                <c:pt idx="20">
                  <c:v>2729.2211569743017</c:v>
                </c:pt>
                <c:pt idx="21">
                  <c:v>2550.7200247367418</c:v>
                </c:pt>
                <c:pt idx="22">
                  <c:v>2358.1548024946833</c:v>
                </c:pt>
                <c:pt idx="23">
                  <c:v>2158.225171749848</c:v>
                </c:pt>
                <c:pt idx="24">
                  <c:v>1939.4462252838016</c:v>
                </c:pt>
                <c:pt idx="25">
                  <c:v>1697.1837482527762</c:v>
                </c:pt>
                <c:pt idx="26">
                  <c:v>1417.4431215051291</c:v>
                </c:pt>
                <c:pt idx="27">
                  <c:v>1107.948246682379</c:v>
                </c:pt>
                <c:pt idx="28">
                  <c:v>805.95934735621302</c:v>
                </c:pt>
                <c:pt idx="29">
                  <c:v>565.78960943749235</c:v>
                </c:pt>
                <c:pt idx="30">
                  <c:v>408.65677682193092</c:v>
                </c:pt>
              </c:numCache>
            </c:numRef>
          </c:yVal>
          <c:smooth val="1"/>
        </c:ser>
        <c:dLbls>
          <c:showLegendKey val="0"/>
          <c:showVal val="0"/>
          <c:showCatName val="0"/>
          <c:showSerName val="0"/>
          <c:showPercent val="0"/>
          <c:showBubbleSize val="0"/>
        </c:dLbls>
        <c:axId val="451671112"/>
        <c:axId val="451672288"/>
      </c:scatterChart>
      <c:valAx>
        <c:axId val="45167111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672288"/>
        <c:crosses val="autoZero"/>
        <c:crossBetween val="midCat"/>
      </c:valAx>
      <c:valAx>
        <c:axId val="451672288"/>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1671112"/>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2.4243926884152992E-3</c:v>
                </c:pt>
                <c:pt idx="1">
                  <c:v>2.4302565267870853E-3</c:v>
                </c:pt>
                <c:pt idx="2">
                  <c:v>2.4270010948337314E-3</c:v>
                </c:pt>
                <c:pt idx="3">
                  <c:v>2.4293438808604866E-3</c:v>
                </c:pt>
                <c:pt idx="4">
                  <c:v>2.4626427927856537E-3</c:v>
                </c:pt>
                <c:pt idx="5">
                  <c:v>2.7164156671865398E-3</c:v>
                </c:pt>
                <c:pt idx="6">
                  <c:v>3.0760266855574848E-3</c:v>
                </c:pt>
                <c:pt idx="7">
                  <c:v>3.0777741849632909E-3</c:v>
                </c:pt>
                <c:pt idx="8">
                  <c:v>3.0779329007136732E-3</c:v>
                </c:pt>
                <c:pt idx="9">
                  <c:v>3.0794045528544619E-3</c:v>
                </c:pt>
                <c:pt idx="10">
                  <c:v>3.094189057595482E-3</c:v>
                </c:pt>
                <c:pt idx="11">
                  <c:v>3.2413183126220528E-3</c:v>
                </c:pt>
                <c:pt idx="12">
                  <c:v>4.6289900800922639E-3</c:v>
                </c:pt>
                <c:pt idx="13">
                  <c:v>1.2873017362133827E-2</c:v>
                </c:pt>
                <c:pt idx="14">
                  <c:v>2.2056931990407889E-2</c:v>
                </c:pt>
                <c:pt idx="15">
                  <c:v>1.7214374489201524E-2</c:v>
                </c:pt>
                <c:pt idx="16">
                  <c:v>1.6667575150018817E-2</c:v>
                </c:pt>
                <c:pt idx="17">
                  <c:v>1.8442328916365498E-2</c:v>
                </c:pt>
                <c:pt idx="18">
                  <c:v>1.9834972233535034E-2</c:v>
                </c:pt>
                <c:pt idx="19">
                  <c:v>2.16557135983915E-2</c:v>
                </c:pt>
                <c:pt idx="20">
                  <c:v>2.0101341394469854E-2</c:v>
                </c:pt>
                <c:pt idx="21">
                  <c:v>9.3581709170660783E-3</c:v>
                </c:pt>
                <c:pt idx="22">
                  <c:v>7.2681827963339473E-3</c:v>
                </c:pt>
                <c:pt idx="23">
                  <c:v>2.1428708917974475E-2</c:v>
                </c:pt>
                <c:pt idx="24">
                  <c:v>2.6690846558072256E-2</c:v>
                </c:pt>
                <c:pt idx="25">
                  <c:v>2.9832287134981997E-2</c:v>
                </c:pt>
                <c:pt idx="26">
                  <c:v>3.7531740725907613E-2</c:v>
                </c:pt>
                <c:pt idx="27">
                  <c:v>3.8322409445814908E-2</c:v>
                </c:pt>
                <c:pt idx="28">
                  <c:v>2.4463836859795772E-2</c:v>
                </c:pt>
                <c:pt idx="29">
                  <c:v>1.1227923378725305E-2</c:v>
                </c:pt>
                <c:pt idx="30">
                  <c:v>1.6070936887496541E-3</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3.1135752476472544E-4</c:v>
                </c:pt>
                <c:pt idx="1">
                  <c:v>2.0177493879636776E-4</c:v>
                </c:pt>
                <c:pt idx="2">
                  <c:v>6.6197325064791957E-4</c:v>
                </c:pt>
                <c:pt idx="3">
                  <c:v>1.7415061125819475E-4</c:v>
                </c:pt>
                <c:pt idx="4">
                  <c:v>2.4408961552181276E-5</c:v>
                </c:pt>
                <c:pt idx="5">
                  <c:v>4.8429803013463895E-6</c:v>
                </c:pt>
                <c:pt idx="6">
                  <c:v>1.7534315404196986E-7</c:v>
                </c:pt>
                <c:pt idx="7">
                  <c:v>3.1590584063827577E-6</c:v>
                </c:pt>
                <c:pt idx="8">
                  <c:v>6.0768860785084543E-7</c:v>
                </c:pt>
                <c:pt idx="9">
                  <c:v>7.6004572832284309E-6</c:v>
                </c:pt>
                <c:pt idx="10">
                  <c:v>1.0394058683705281E-5</c:v>
                </c:pt>
                <c:pt idx="11">
                  <c:v>2.4177094149864716E-5</c:v>
                </c:pt>
                <c:pt idx="12">
                  <c:v>2.6331928419342964E-5</c:v>
                </c:pt>
                <c:pt idx="13">
                  <c:v>3.3403875824703301E-5</c:v>
                </c:pt>
                <c:pt idx="14">
                  <c:v>2.5771345693200175E-5</c:v>
                </c:pt>
                <c:pt idx="15">
                  <c:v>2.7675504249711012E-5</c:v>
                </c:pt>
                <c:pt idx="16">
                  <c:v>1.4549085167680905E-5</c:v>
                </c:pt>
                <c:pt idx="17">
                  <c:v>1.3206125840904398E-5</c:v>
                </c:pt>
                <c:pt idx="18">
                  <c:v>1.2370490042657634E-6</c:v>
                </c:pt>
                <c:pt idx="19">
                  <c:v>4.6238232882249663E-6</c:v>
                </c:pt>
                <c:pt idx="20">
                  <c:v>3.9192009509920102E-6</c:v>
                </c:pt>
                <c:pt idx="21">
                  <c:v>7.6102344948242395E-7</c:v>
                </c:pt>
                <c:pt idx="22">
                  <c:v>1.0026048245260263E-5</c:v>
                </c:pt>
                <c:pt idx="23">
                  <c:v>4.5270915080573667E-7</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4.1187861892230289E-3</c:v>
                </c:pt>
                <c:pt idx="1">
                  <c:v>2.5263897892269225E-3</c:v>
                </c:pt>
                <c:pt idx="2">
                  <c:v>2.7043278897604353E-3</c:v>
                </c:pt>
                <c:pt idx="3">
                  <c:v>3.011459822784961E-3</c:v>
                </c:pt>
                <c:pt idx="4">
                  <c:v>3.1306158529120004E-3</c:v>
                </c:pt>
                <c:pt idx="5">
                  <c:v>3.4179177122942808E-3</c:v>
                </c:pt>
                <c:pt idx="6">
                  <c:v>3.7060933323697274E-3</c:v>
                </c:pt>
                <c:pt idx="7">
                  <c:v>3.8989501021742001E-3</c:v>
                </c:pt>
                <c:pt idx="8">
                  <c:v>3.8763914102155086E-3</c:v>
                </c:pt>
                <c:pt idx="9">
                  <c:v>3.8739293289971949E-3</c:v>
                </c:pt>
                <c:pt idx="10">
                  <c:v>4.6944679915053786E-3</c:v>
                </c:pt>
                <c:pt idx="11">
                  <c:v>5.360505145586252E-3</c:v>
                </c:pt>
                <c:pt idx="12">
                  <c:v>4.9849943477633498E-3</c:v>
                </c:pt>
                <c:pt idx="13">
                  <c:v>2.2274544677834888E-3</c:v>
                </c:pt>
                <c:pt idx="14">
                  <c:v>5.3970688612349424E-3</c:v>
                </c:pt>
                <c:pt idx="15">
                  <c:v>1.7808480811434314E-2</c:v>
                </c:pt>
                <c:pt idx="16">
                  <c:v>2.5130804386791192E-2</c:v>
                </c:pt>
                <c:pt idx="17">
                  <c:v>2.3816782653870373E-2</c:v>
                </c:pt>
                <c:pt idx="18">
                  <c:v>1.796816079171722E-2</c:v>
                </c:pt>
                <c:pt idx="19">
                  <c:v>1.2004426761683515E-2</c:v>
                </c:pt>
                <c:pt idx="20">
                  <c:v>6.3449679303308696E-3</c:v>
                </c:pt>
                <c:pt idx="21">
                  <c:v>8.8930311012836057E-4</c:v>
                </c:pt>
                <c:pt idx="22">
                  <c:v>5.3055461050507688E-3</c:v>
                </c:pt>
                <c:pt idx="23">
                  <c:v>1.232387028028782E-2</c:v>
                </c:pt>
                <c:pt idx="24">
                  <c:v>1.9715526477824548E-2</c:v>
                </c:pt>
                <c:pt idx="25">
                  <c:v>2.5155286623138342E-2</c:v>
                </c:pt>
                <c:pt idx="26">
                  <c:v>2.6084091917566478E-2</c:v>
                </c:pt>
                <c:pt idx="27">
                  <c:v>2.0669737551610674E-2</c:v>
                </c:pt>
                <c:pt idx="28">
                  <c:v>0.14203265977599833</c:v>
                </c:pt>
                <c:pt idx="29">
                  <c:v>0.2483691374589059</c:v>
                </c:pt>
                <c:pt idx="30">
                  <c:v>0.19330078708430137</c:v>
                </c:pt>
              </c:numCache>
            </c:numRef>
          </c:yVal>
          <c:smooth val="1"/>
        </c:ser>
        <c:ser>
          <c:idx val="8"/>
          <c:order val="4"/>
          <c:tx>
            <c:v>100°C</c:v>
          </c:tx>
          <c:spPr>
            <a:ln w="19050" cap="rnd">
              <a:solidFill>
                <a:schemeClr val="accent3">
                  <a:lumMod val="60000"/>
                </a:schemeClr>
              </a:solidFill>
              <a:round/>
            </a:ln>
            <a:effectLst/>
          </c:spPr>
          <c:marker>
            <c:symbol val="none"/>
          </c:marker>
          <c:xVal>
            <c:numRef>
              <c:f>'Mastercurve bestimmen'!$B$402:$AF$402</c:f>
              <c:numCache>
                <c:formatCode>0.00E+00</c:formatCode>
                <c:ptCount val="31"/>
              </c:numCache>
            </c:num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4.5075448184207232E-3</c:v>
                </c:pt>
                <c:pt idx="1">
                  <c:v>1.0056256009639036E-2</c:v>
                </c:pt>
                <c:pt idx="2">
                  <c:v>3.541673813365725E-3</c:v>
                </c:pt>
                <c:pt idx="3">
                  <c:v>1.4655695387505727E-2</c:v>
                </c:pt>
                <c:pt idx="4">
                  <c:v>2.4692506745401858E-2</c:v>
                </c:pt>
                <c:pt idx="5">
                  <c:v>2.4052040456422813E-2</c:v>
                </c:pt>
                <c:pt idx="6">
                  <c:v>3.0084803419927697E-2</c:v>
                </c:pt>
                <c:pt idx="7">
                  <c:v>2.580682155612634E-2</c:v>
                </c:pt>
                <c:pt idx="8">
                  <c:v>1.6932346813943518E-2</c:v>
                </c:pt>
                <c:pt idx="9">
                  <c:v>1.6522042174786952E-3</c:v>
                </c:pt>
                <c:pt idx="10">
                  <c:v>2.9917423726068842E-2</c:v>
                </c:pt>
                <c:pt idx="11">
                  <c:v>6.4066750554301694E-2</c:v>
                </c:pt>
                <c:pt idx="12">
                  <c:v>8.3691537756078252E-2</c:v>
                </c:pt>
                <c:pt idx="13">
                  <c:v>8.7238954973150692E-2</c:v>
                </c:pt>
                <c:pt idx="14">
                  <c:v>4.6157389450598808E-2</c:v>
                </c:pt>
                <c:pt idx="15">
                  <c:v>0.18221280766945769</c:v>
                </c:pt>
                <c:pt idx="16">
                  <c:v>0.23417815980112069</c:v>
                </c:pt>
                <c:pt idx="17">
                  <c:v>0.1832641772435295</c:v>
                </c:pt>
                <c:pt idx="18">
                  <c:v>0.1497139127765196</c:v>
                </c:pt>
                <c:pt idx="19">
                  <c:v>0.13168968614481266</c:v>
                </c:pt>
                <c:pt idx="20">
                  <c:v>8.0015212294283891E-2</c:v>
                </c:pt>
                <c:pt idx="21">
                  <c:v>5.9514803574217783E-2</c:v>
                </c:pt>
                <c:pt idx="22">
                  <c:v>5.6063133240288436E-2</c:v>
                </c:pt>
                <c:pt idx="23">
                  <c:v>5.5613522272814429E-2</c:v>
                </c:pt>
                <c:pt idx="24">
                  <c:v>5.4231276299797702E-2</c:v>
                </c:pt>
                <c:pt idx="25">
                  <c:v>5.2700710976499796E-2</c:v>
                </c:pt>
                <c:pt idx="26">
                  <c:v>5.221783348698638E-2</c:v>
                </c:pt>
                <c:pt idx="27">
                  <c:v>5.1755350671410551E-2</c:v>
                </c:pt>
                <c:pt idx="28">
                  <c:v>5.1364456825069162E-2</c:v>
                </c:pt>
                <c:pt idx="29">
                  <c:v>5.1250417624333883E-2</c:v>
                </c:pt>
                <c:pt idx="30">
                  <c:v>5.1190027407195679E-2</c:v>
                </c:pt>
              </c:numCache>
            </c:numRef>
          </c:yVal>
          <c:smooth val="1"/>
        </c:ser>
        <c:dLbls>
          <c:showLegendKey val="0"/>
          <c:showVal val="0"/>
          <c:showCatName val="0"/>
          <c:showSerName val="0"/>
          <c:showPercent val="0"/>
          <c:showBubbleSize val="0"/>
        </c:dLbls>
        <c:axId val="446580680"/>
        <c:axId val="446941240"/>
      </c:scatterChart>
      <c:valAx>
        <c:axId val="446580680"/>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941240"/>
        <c:crossesAt val="1.0000000000000005E-9"/>
        <c:crossBetween val="midCat"/>
      </c:valAx>
      <c:valAx>
        <c:axId val="44694124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580680"/>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-23.551328837701199</c:v>
                </c:pt>
                <c:pt idx="1">
                  <c:v>-11.169577522833219</c:v>
                </c:pt>
                <c:pt idx="2">
                  <c:v>-5.0373219774019731</c:v>
                </c:pt>
                <c:pt idx="3">
                  <c:v>0</c:v>
                </c:pt>
                <c:pt idx="4">
                  <c:v>6.8739854636296629</c:v>
                </c:pt>
                <c:pt idx="5">
                  <c:v>23.131017450678211</c:v>
                </c:pt>
                <c:pt idx="6">
                  <c:v>37.246413849119072</c:v>
                </c:pt>
              </c:numCache>
            </c:numRef>
          </c:yVal>
          <c:smooth val="0"/>
        </c:ser>
        <c:dLbls>
          <c:showLegendKey val="0"/>
          <c:showVal val="0"/>
          <c:showCatName val="0"/>
          <c:showSerName val="0"/>
          <c:showPercent val="0"/>
          <c:showBubbleSize val="0"/>
        </c:dLbls>
        <c:axId val="446942416"/>
        <c:axId val="446941632"/>
      </c:scatterChart>
      <c:valAx>
        <c:axId val="44694241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941632"/>
        <c:crossesAt val="-100"/>
        <c:crossBetween val="midCat"/>
      </c:valAx>
      <c:valAx>
        <c:axId val="4469416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942416"/>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5627.8046868132324</c:v>
                </c:pt>
                <c:pt idx="1">
                  <c:v>5627.8375717832278</c:v>
                </c:pt>
                <c:pt idx="2">
                  <c:v>5627.8172471251501</c:v>
                </c:pt>
                <c:pt idx="3">
                  <c:v>5627.8109307653194</c:v>
                </c:pt>
                <c:pt idx="4">
                  <c:v>5627.8090666274475</c:v>
                </c:pt>
                <c:pt idx="5">
                  <c:v>5627.8083245923272</c:v>
                </c:pt>
                <c:pt idx="6">
                  <c:v>5627.808252198668</c:v>
                </c:pt>
                <c:pt idx="7">
                  <c:v>5627.808053116114</c:v>
                </c:pt>
                <c:pt idx="8">
                  <c:v>5627.8079807224613</c:v>
                </c:pt>
                <c:pt idx="9">
                  <c:v>5627.8066052434133</c:v>
                </c:pt>
                <c:pt idx="10">
                  <c:v>5627.7932848495184</c:v>
                </c:pt>
                <c:pt idx="11">
                  <c:v>5627.6610797391322</c:v>
                </c:pt>
                <c:pt idx="12">
                  <c:v>5626.3493372203875</c:v>
                </c:pt>
                <c:pt idx="13">
                  <c:v>5613.8255139047442</c:v>
                </c:pt>
                <c:pt idx="14">
                  <c:v>5517.4172060787987</c:v>
                </c:pt>
                <c:pt idx="15">
                  <c:v>5360.9194936383001</c:v>
                </c:pt>
                <c:pt idx="16">
                  <c:v>5250.254742360099</c:v>
                </c:pt>
                <c:pt idx="17">
                  <c:v>5138.7770947931922</c:v>
                </c:pt>
                <c:pt idx="18">
                  <c:v>5015.7448530146003</c:v>
                </c:pt>
                <c:pt idx="19">
                  <c:v>4881.370820360753</c:v>
                </c:pt>
                <c:pt idx="20">
                  <c:v>4715.1502303445186</c:v>
                </c:pt>
                <c:pt idx="21">
                  <c:v>4502.659399288631</c:v>
                </c:pt>
                <c:pt idx="22">
                  <c:v>4273.4157788380835</c:v>
                </c:pt>
                <c:pt idx="23">
                  <c:v>4058.4470173916279</c:v>
                </c:pt>
                <c:pt idx="24">
                  <c:v>3848.5922465336935</c:v>
                </c:pt>
                <c:pt idx="25">
                  <c:v>3623.9563394023553</c:v>
                </c:pt>
                <c:pt idx="26">
                  <c:v>3404.5451338992034</c:v>
                </c:pt>
                <c:pt idx="27">
                  <c:v>3224.8694264190117</c:v>
                </c:pt>
                <c:pt idx="28">
                  <c:v>3068.1804215620291</c:v>
                </c:pt>
                <c:pt idx="29">
                  <c:v>2915.919267959634</c:v>
                </c:pt>
                <c:pt idx="30">
                  <c:v>2771.0117587804812</c:v>
                </c:pt>
              </c:numCache>
            </c:numRef>
          </c:yVal>
          <c:smooth val="0"/>
        </c:ser>
        <c:dLbls>
          <c:showLegendKey val="0"/>
          <c:showVal val="0"/>
          <c:showCatName val="0"/>
          <c:showSerName val="0"/>
          <c:showPercent val="0"/>
          <c:showBubbleSize val="0"/>
        </c:dLbls>
        <c:axId val="446940064"/>
        <c:axId val="446942024"/>
      </c:scatterChart>
      <c:valAx>
        <c:axId val="44694006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942024"/>
        <c:crosses val="autoZero"/>
        <c:crossBetween val="midCat"/>
      </c:valAx>
      <c:valAx>
        <c:axId val="446942024"/>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940064"/>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-23.551328837701199</c:v>
                </c:pt>
                <c:pt idx="1">
                  <c:v>-23.306988035278767</c:v>
                </c:pt>
                <c:pt idx="2">
                  <c:v>-23.062402568764593</c:v>
                </c:pt>
                <c:pt idx="3">
                  <c:v>-22.817327774066928</c:v>
                </c:pt>
                <c:pt idx="4">
                  <c:v>-22.571518987094045</c:v>
                </c:pt>
                <c:pt idx="5">
                  <c:v>-22.32473154375419</c:v>
                </c:pt>
                <c:pt idx="6">
                  <c:v>-22.076720779955625</c:v>
                </c:pt>
                <c:pt idx="7">
                  <c:v>-21.827242031606612</c:v>
                </c:pt>
                <c:pt idx="8">
                  <c:v>-21.576050634615395</c:v>
                </c:pt>
                <c:pt idx="9">
                  <c:v>-21.322901924890246</c:v>
                </c:pt>
                <c:pt idx="10">
                  <c:v>-21.067551238339423</c:v>
                </c:pt>
                <c:pt idx="11">
                  <c:v>-20.809753910871173</c:v>
                </c:pt>
                <c:pt idx="12">
                  <c:v>-20.549265278393761</c:v>
                </c:pt>
                <c:pt idx="13">
                  <c:v>-20.285840676815447</c:v>
                </c:pt>
                <c:pt idx="14">
                  <c:v>-20.019235442044483</c:v>
                </c:pt>
                <c:pt idx="15">
                  <c:v>-19.749204909989132</c:v>
                </c:pt>
                <c:pt idx="16">
                  <c:v>-19.475504416557648</c:v>
                </c:pt>
                <c:pt idx="17">
                  <c:v>-19.197889297658289</c:v>
                </c:pt>
                <c:pt idx="18">
                  <c:v>-18.916114889199317</c:v>
                </c:pt>
                <c:pt idx="19">
                  <c:v>-18.629936527088987</c:v>
                </c:pt>
                <c:pt idx="20">
                  <c:v>-18.339109547235555</c:v>
                </c:pt>
                <c:pt idx="21">
                  <c:v>-18.043389285547285</c:v>
                </c:pt>
                <c:pt idx="22">
                  <c:v>-17.74253107793243</c:v>
                </c:pt>
                <c:pt idx="23">
                  <c:v>-17.436290260299245</c:v>
                </c:pt>
                <c:pt idx="24">
                  <c:v>-17.124422168555999</c:v>
                </c:pt>
                <c:pt idx="25">
                  <c:v>-16.806682138610938</c:v>
                </c:pt>
                <c:pt idx="26">
                  <c:v>-16.482825506372329</c:v>
                </c:pt>
                <c:pt idx="27">
                  <c:v>-16.152607607748422</c:v>
                </c:pt>
                <c:pt idx="28">
                  <c:v>-15.815783778647479</c:v>
                </c:pt>
                <c:pt idx="29">
                  <c:v>-15.472109354977759</c:v>
                </c:pt>
                <c:pt idx="30">
                  <c:v>-15.121339672647515</c:v>
                </c:pt>
                <c:pt idx="31">
                  <c:v>-14.763230067565013</c:v>
                </c:pt>
                <c:pt idx="32">
                  <c:v>-14.397535875638503</c:v>
                </c:pt>
                <c:pt idx="33">
                  <c:v>-14.024012432776249</c:v>
                </c:pt>
                <c:pt idx="34">
                  <c:v>-13.642415074886507</c:v>
                </c:pt>
                <c:pt idx="35">
                  <c:v>-13.25249913787753</c:v>
                </c:pt>
                <c:pt idx="36">
                  <c:v>-12.854019957657583</c:v>
                </c:pt>
                <c:pt idx="37">
                  <c:v>-12.44673287013492</c:v>
                </c:pt>
                <c:pt idx="38">
                  <c:v>-12.030393211217797</c:v>
                </c:pt>
                <c:pt idx="39">
                  <c:v>-11.604756316814479</c:v>
                </c:pt>
                <c:pt idx="40">
                  <c:v>-11.169577522833219</c:v>
                </c:pt>
                <c:pt idx="41">
                  <c:v>-10.978459403690659</c:v>
                </c:pt>
                <c:pt idx="42">
                  <c:v>-10.778163054160741</c:v>
                </c:pt>
                <c:pt idx="43">
                  <c:v>-10.569296807525783</c:v>
                </c:pt>
                <c:pt idx="44">
                  <c:v>-10.352468997068108</c:v>
                </c:pt>
                <c:pt idx="45">
                  <c:v>-10.128287956070038</c:v>
                </c:pt>
                <c:pt idx="46">
                  <c:v>-9.8973620178138972</c:v>
                </c:pt>
                <c:pt idx="47">
                  <c:v>-9.6602995155820022</c:v>
                </c:pt>
                <c:pt idx="48">
                  <c:v>-9.4177087826566837</c:v>
                </c:pt>
                <c:pt idx="49">
                  <c:v>-9.1701981523202569</c:v>
                </c:pt>
                <c:pt idx="50">
                  <c:v>-8.9183759578550479</c:v>
                </c:pt>
                <c:pt idx="51">
                  <c:v>-8.6628505325433771</c:v>
                </c:pt>
                <c:pt idx="52">
                  <c:v>-8.4042302096675652</c:v>
                </c:pt>
                <c:pt idx="53">
                  <c:v>-8.1431233225099398</c:v>
                </c:pt>
                <c:pt idx="54">
                  <c:v>-7.880138204352817</c:v>
                </c:pt>
                <c:pt idx="55">
                  <c:v>-7.6158831884785219</c:v>
                </c:pt>
                <c:pt idx="56">
                  <c:v>-7.3509666081693776</c:v>
                </c:pt>
                <c:pt idx="57">
                  <c:v>-7.0859967967077049</c:v>
                </c:pt>
                <c:pt idx="58">
                  <c:v>-6.8215820873758259</c:v>
                </c:pt>
                <c:pt idx="59">
                  <c:v>-6.5583308134560632</c:v>
                </c:pt>
                <c:pt idx="60">
                  <c:v>-6.2968513082307389</c:v>
                </c:pt>
                <c:pt idx="61">
                  <c:v>-6.0377519049821755</c:v>
                </c:pt>
                <c:pt idx="62">
                  <c:v>-5.7816409369926944</c:v>
                </c:pt>
                <c:pt idx="63">
                  <c:v>-5.5291267375446189</c:v>
                </c:pt>
                <c:pt idx="64">
                  <c:v>-5.2808176399202713</c:v>
                </c:pt>
                <c:pt idx="65">
                  <c:v>-5.0373219774019731</c:v>
                </c:pt>
                <c:pt idx="66">
                  <c:v>-4.7991012882848647</c:v>
                </c:pt>
                <c:pt idx="67">
                  <c:v>-4.5660299309153656</c:v>
                </c:pt>
                <c:pt idx="68">
                  <c:v>-4.3378354686527096</c:v>
                </c:pt>
                <c:pt idx="69">
                  <c:v>-4.1142454648561344</c:v>
                </c:pt>
                <c:pt idx="70">
                  <c:v>-3.8949874828848761</c:v>
                </c:pt>
                <c:pt idx="71">
                  <c:v>-3.6797890860981703</c:v>
                </c:pt>
                <c:pt idx="72">
                  <c:v>-3.4683778378552543</c:v>
                </c:pt>
                <c:pt idx="73">
                  <c:v>-3.2604813015153629</c:v>
                </c:pt>
                <c:pt idx="74">
                  <c:v>-3.055827040437733</c:v>
                </c:pt>
                <c:pt idx="75">
                  <c:v>-2.8541426179816014</c:v>
                </c:pt>
                <c:pt idx="76">
                  <c:v>-2.6551555975062038</c:v>
                </c:pt>
                <c:pt idx="77">
                  <c:v>-2.4585935423707763</c:v>
                </c:pt>
                <c:pt idx="78">
                  <c:v>-2.2641840159345556</c:v>
                </c:pt>
                <c:pt idx="79">
                  <c:v>-2.0716545815567775</c:v>
                </c:pt>
                <c:pt idx="80">
                  <c:v>-1.8807328025966783</c:v>
                </c:pt>
                <c:pt idx="81">
                  <c:v>-1.6911462424134944</c:v>
                </c:pt>
                <c:pt idx="82">
                  <c:v>-1.5026224643664616</c:v>
                </c:pt>
                <c:pt idx="83">
                  <c:v>-1.3148890318148168</c:v>
                </c:pt>
                <c:pt idx="84">
                  <c:v>-1.1276735081177958</c:v>
                </c:pt>
                <c:pt idx="85">
                  <c:v>-0.94070345663463484</c:v>
                </c:pt>
                <c:pt idx="86">
                  <c:v>-0.75370644072457027</c:v>
                </c:pt>
                <c:pt idx="87">
                  <c:v>-0.56641002374683824</c:v>
                </c:pt>
                <c:pt idx="88">
                  <c:v>-0.37854176906067505</c:v>
                </c:pt>
                <c:pt idx="89">
                  <c:v>-0.1898292400253169</c:v>
                </c:pt>
                <c:pt idx="90">
                  <c:v>0</c:v>
                </c:pt>
                <c:pt idx="91">
                  <c:v>0.19119277846768198</c:v>
                </c:pt>
                <c:pt idx="92">
                  <c:v>0.38389348607670604</c:v>
                </c:pt>
                <c:pt idx="93">
                  <c:v>0.57822090433769169</c:v>
                </c:pt>
                <c:pt idx="94">
                  <c:v>0.77429381476125858</c:v>
                </c:pt>
                <c:pt idx="95">
                  <c:v>0.972230998858026</c:v>
                </c:pt>
                <c:pt idx="96">
                  <c:v>1.1721512381386139</c:v>
                </c:pt>
                <c:pt idx="97">
                  <c:v>1.3741733141136416</c:v>
                </c:pt>
                <c:pt idx="98">
                  <c:v>1.5784160082937289</c:v>
                </c:pt>
                <c:pt idx="99">
                  <c:v>1.784998102189495</c:v>
                </c:pt>
                <c:pt idx="100">
                  <c:v>1.9940383773115595</c:v>
                </c:pt>
                <c:pt idx="101">
                  <c:v>2.2056556151705426</c:v>
                </c:pt>
                <c:pt idx="102">
                  <c:v>2.4199685972770628</c:v>
                </c:pt>
                <c:pt idx="103">
                  <c:v>2.6370961051417403</c:v>
                </c:pt>
                <c:pt idx="104">
                  <c:v>2.8571569202751945</c:v>
                </c:pt>
                <c:pt idx="105">
                  <c:v>3.0802698241880457</c:v>
                </c:pt>
                <c:pt idx="106">
                  <c:v>3.306553598390912</c:v>
                </c:pt>
                <c:pt idx="107">
                  <c:v>3.5361270243944136</c:v>
                </c:pt>
                <c:pt idx="108">
                  <c:v>3.7691088837091709</c:v>
                </c:pt>
                <c:pt idx="109">
                  <c:v>4.0056179578458018</c:v>
                </c:pt>
                <c:pt idx="110">
                  <c:v>4.245773028314928</c:v>
                </c:pt>
                <c:pt idx="111">
                  <c:v>4.4896928766271671</c:v>
                </c:pt>
                <c:pt idx="112">
                  <c:v>4.7374962842931403</c:v>
                </c:pt>
                <c:pt idx="113">
                  <c:v>4.9893020328234652</c:v>
                </c:pt>
                <c:pt idx="114">
                  <c:v>5.245228903728762</c:v>
                </c:pt>
                <c:pt idx="115">
                  <c:v>5.5053956785196521</c:v>
                </c:pt>
                <c:pt idx="116">
                  <c:v>5.7699211387067537</c:v>
                </c:pt>
                <c:pt idx="117">
                  <c:v>6.0389240658006846</c:v>
                </c:pt>
                <c:pt idx="118">
                  <c:v>6.3125232413120678</c:v>
                </c:pt>
                <c:pt idx="119">
                  <c:v>6.5908374467515207</c:v>
                </c:pt>
                <c:pt idx="120">
                  <c:v>6.8739854636296638</c:v>
                </c:pt>
                <c:pt idx="121">
                  <c:v>7.1620486121039599</c:v>
                </c:pt>
                <c:pt idx="122">
                  <c:v>7.4549583669192589</c:v>
                </c:pt>
                <c:pt idx="123">
                  <c:v>7.7526087414672515</c:v>
                </c:pt>
                <c:pt idx="124">
                  <c:v>8.0548937491396302</c:v>
                </c:pt>
                <c:pt idx="125">
                  <c:v>8.3617074033280865</c:v>
                </c:pt>
                <c:pt idx="126">
                  <c:v>8.6729437174243138</c:v>
                </c:pt>
                <c:pt idx="127">
                  <c:v>8.9884967048200046</c:v>
                </c:pt>
                <c:pt idx="128">
                  <c:v>9.3082603789068514</c:v>
                </c:pt>
                <c:pt idx="129">
                  <c:v>9.6321287530765449</c:v>
                </c:pt>
                <c:pt idx="130">
                  <c:v>9.9599958407207794</c:v>
                </c:pt>
                <c:pt idx="131">
                  <c:v>10.291755655231245</c:v>
                </c:pt>
                <c:pt idx="132">
                  <c:v>10.627302209999634</c:v>
                </c:pt>
                <c:pt idx="133">
                  <c:v>10.966529518417641</c:v>
                </c:pt>
                <c:pt idx="134">
                  <c:v>11.309331593876959</c:v>
                </c:pt>
                <c:pt idx="135">
                  <c:v>11.655602449769276</c:v>
                </c:pt>
                <c:pt idx="136">
                  <c:v>12.005236099486286</c:v>
                </c:pt>
                <c:pt idx="137">
                  <c:v>12.358126556419684</c:v>
                </c:pt>
                <c:pt idx="138">
                  <c:v>12.714167833961158</c:v>
                </c:pt>
                <c:pt idx="139">
                  <c:v>13.073253945502405</c:v>
                </c:pt>
                <c:pt idx="140">
                  <c:v>13.435278904435114</c:v>
                </c:pt>
                <c:pt idx="141">
                  <c:v>13.800136724150976</c:v>
                </c:pt>
                <c:pt idx="142">
                  <c:v>14.167721418041687</c:v>
                </c:pt>
                <c:pt idx="143">
                  <c:v>14.537926999498939</c:v>
                </c:pt>
                <c:pt idx="144">
                  <c:v>14.91064748191442</c:v>
                </c:pt>
                <c:pt idx="145">
                  <c:v>15.28577687867983</c:v>
                </c:pt>
                <c:pt idx="146">
                  <c:v>15.663209203186852</c:v>
                </c:pt>
                <c:pt idx="147">
                  <c:v>16.042838468827185</c:v>
                </c:pt>
                <c:pt idx="148">
                  <c:v>16.424558688992519</c:v>
                </c:pt>
                <c:pt idx="149">
                  <c:v>16.808263877074548</c:v>
                </c:pt>
                <c:pt idx="150">
                  <c:v>17.193848046464961</c:v>
                </c:pt>
                <c:pt idx="151">
                  <c:v>17.581205210555449</c:v>
                </c:pt>
                <c:pt idx="152">
                  <c:v>17.970229382737713</c:v>
                </c:pt>
                <c:pt idx="153">
                  <c:v>18.360814576403438</c:v>
                </c:pt>
                <c:pt idx="154">
                  <c:v>18.752854804944317</c:v>
                </c:pt>
                <c:pt idx="155">
                  <c:v>19.146244081752045</c:v>
                </c:pt>
                <c:pt idx="156">
                  <c:v>19.540876420218307</c:v>
                </c:pt>
                <c:pt idx="157">
                  <c:v>19.936645833734804</c:v>
                </c:pt>
                <c:pt idx="158">
                  <c:v>20.333446335693228</c:v>
                </c:pt>
                <c:pt idx="159">
                  <c:v>20.731171939485268</c:v>
                </c:pt>
                <c:pt idx="160">
                  <c:v>21.129716658502616</c:v>
                </c:pt>
                <c:pt idx="161">
                  <c:v>21.528974506136965</c:v>
                </c:pt>
                <c:pt idx="162">
                  <c:v>21.928839495780004</c:v>
                </c:pt>
                <c:pt idx="163">
                  <c:v>22.329205640823428</c:v>
                </c:pt>
                <c:pt idx="164">
                  <c:v>22.729966954658934</c:v>
                </c:pt>
                <c:pt idx="165">
                  <c:v>23.131017450678211</c:v>
                </c:pt>
                <c:pt idx="166">
                  <c:v>23.532267934347782</c:v>
                </c:pt>
                <c:pt idx="167">
                  <c:v>23.93369637943352</c:v>
                </c:pt>
                <c:pt idx="168">
                  <c:v>24.335297551776122</c:v>
                </c:pt>
                <c:pt idx="169">
                  <c:v>24.737066217216288</c:v>
                </c:pt>
                <c:pt idx="170">
                  <c:v>25.138997141594722</c:v>
                </c:pt>
                <c:pt idx="171">
                  <c:v>25.541085090752116</c:v>
                </c:pt>
                <c:pt idx="172">
                  <c:v>25.943324830529189</c:v>
                </c:pt>
                <c:pt idx="173">
                  <c:v>26.345711126766631</c:v>
                </c:pt>
                <c:pt idx="174">
                  <c:v>26.748238745305141</c:v>
                </c:pt>
                <c:pt idx="175">
                  <c:v>27.15090245198542</c:v>
                </c:pt>
                <c:pt idx="176">
                  <c:v>27.553697012648179</c:v>
                </c:pt>
                <c:pt idx="177">
                  <c:v>27.956617193134107</c:v>
                </c:pt>
                <c:pt idx="178">
                  <c:v>28.359657759283916</c:v>
                </c:pt>
                <c:pt idx="179">
                  <c:v>28.762813476938295</c:v>
                </c:pt>
                <c:pt idx="180">
                  <c:v>29.166079111937954</c:v>
                </c:pt>
                <c:pt idx="181">
                  <c:v>29.569449430123594</c:v>
                </c:pt>
                <c:pt idx="182">
                  <c:v>29.972919197335912</c:v>
                </c:pt>
                <c:pt idx="183">
                  <c:v>30.376483179415608</c:v>
                </c:pt>
                <c:pt idx="184">
                  <c:v>30.780136142203393</c:v>
                </c:pt>
                <c:pt idx="185">
                  <c:v>31.183872851539956</c:v>
                </c:pt>
                <c:pt idx="186">
                  <c:v>31.587688073266001</c:v>
                </c:pt>
                <c:pt idx="187">
                  <c:v>31.991576573222233</c:v>
                </c:pt>
                <c:pt idx="188">
                  <c:v>32.39553311724935</c:v>
                </c:pt>
                <c:pt idx="189">
                  <c:v>32.799552471188058</c:v>
                </c:pt>
                <c:pt idx="190">
                  <c:v>33.203629400879052</c:v>
                </c:pt>
                <c:pt idx="191">
                  <c:v>33.60775867216303</c:v>
                </c:pt>
                <c:pt idx="192">
                  <c:v>34.011935050880709</c:v>
                </c:pt>
                <c:pt idx="193">
                  <c:v>34.416153302872772</c:v>
                </c:pt>
                <c:pt idx="194">
                  <c:v>34.820408193979922</c:v>
                </c:pt>
                <c:pt idx="195">
                  <c:v>35.224694490042879</c:v>
                </c:pt>
                <c:pt idx="196">
                  <c:v>35.629006956902323</c:v>
                </c:pt>
                <c:pt idx="197">
                  <c:v>36.033340360398967</c:v>
                </c:pt>
                <c:pt idx="198">
                  <c:v>36.437689466373499</c:v>
                </c:pt>
                <c:pt idx="199">
                  <c:v>36.842049040666637</c:v>
                </c:pt>
                <c:pt idx="200">
                  <c:v>37.246413849119072</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-23.551328837701199</c:v>
                </c:pt>
                <c:pt idx="1">
                  <c:v>-11.169577522833219</c:v>
                </c:pt>
                <c:pt idx="2">
                  <c:v>-5.0373219774019731</c:v>
                </c:pt>
                <c:pt idx="3">
                  <c:v>0</c:v>
                </c:pt>
                <c:pt idx="4">
                  <c:v>6.8739854636296629</c:v>
                </c:pt>
                <c:pt idx="5">
                  <c:v>23.131017450678211</c:v>
                </c:pt>
                <c:pt idx="6">
                  <c:v>37.246413849119072</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-23.399905495757395</c:v>
                </c:pt>
                <c:pt idx="1">
                  <c:v>-23.217927229105968</c:v>
                </c:pt>
                <c:pt idx="2">
                  <c:v>-23.026019937601596</c:v>
                </c:pt>
                <c:pt idx="3">
                  <c:v>-22.824432988086471</c:v>
                </c:pt>
                <c:pt idx="4">
                  <c:v>-22.613437701412224</c:v>
                </c:pt>
                <c:pt idx="5">
                  <c:v>-22.393325251964022</c:v>
                </c:pt>
                <c:pt idx="6">
                  <c:v>-22.164404648956751</c:v>
                </c:pt>
                <c:pt idx="7">
                  <c:v>-21.927000797849075</c:v>
                </c:pt>
                <c:pt idx="8">
                  <c:v>-21.681452640235214</c:v>
                </c:pt>
                <c:pt idx="9">
                  <c:v>-21.428111370589356</c:v>
                </c:pt>
                <c:pt idx="10">
                  <c:v>-21.167338728250989</c:v>
                </c:pt>
                <c:pt idx="11">
                  <c:v>-20.89950536305485</c:v>
                </c:pt>
                <c:pt idx="12">
                  <c:v>-20.624989273022607</c:v>
                </c:pt>
                <c:pt idx="13">
                  <c:v>-20.344174312548436</c:v>
                </c:pt>
                <c:pt idx="14">
                  <c:v>-20.057448769524687</c:v>
                </c:pt>
                <c:pt idx="15">
                  <c:v>-19.765204009868167</c:v>
                </c:pt>
                <c:pt idx="16">
                  <c:v>-19.46783318792215</c:v>
                </c:pt>
                <c:pt idx="17">
                  <c:v>-19.165730021223371</c:v>
                </c:pt>
                <c:pt idx="18">
                  <c:v>-18.85928762813769</c:v>
                </c:pt>
                <c:pt idx="19">
                  <c:v>-18.548897426882561</c:v>
                </c:pt>
                <c:pt idx="20">
                  <c:v>-18.234948094468642</c:v>
                </c:pt>
                <c:pt idx="21">
                  <c:v>-17.917824584107315</c:v>
                </c:pt>
                <c:pt idx="22">
                  <c:v>-17.597907199645334</c:v>
                </c:pt>
                <c:pt idx="23">
                  <c:v>-17.275570725602002</c:v>
                </c:pt>
                <c:pt idx="24">
                  <c:v>-16.951183611398761</c:v>
                </c:pt>
                <c:pt idx="25">
                  <c:v>-16.62510720838544</c:v>
                </c:pt>
                <c:pt idx="26">
                  <c:v>-16.297695058281697</c:v>
                </c:pt>
                <c:pt idx="27">
                  <c:v>-15.969292231666511</c:v>
                </c:pt>
                <c:pt idx="28">
                  <c:v>-15.640234715163208</c:v>
                </c:pt>
                <c:pt idx="29">
                  <c:v>-15.310848845981464</c:v>
                </c:pt>
                <c:pt idx="30">
                  <c:v>-14.981450792492407</c:v>
                </c:pt>
                <c:pt idx="31">
                  <c:v>-14.652346079527131</c:v>
                </c:pt>
                <c:pt idx="32">
                  <c:v>-14.323829157103425</c:v>
                </c:pt>
                <c:pt idx="33">
                  <c:v>-13.996183011299664</c:v>
                </c:pt>
                <c:pt idx="34">
                  <c:v>-13.669678816009476</c:v>
                </c:pt>
                <c:pt idx="35">
                  <c:v>-13.344575624324852</c:v>
                </c:pt>
                <c:pt idx="36">
                  <c:v>-13.021120098309893</c:v>
                </c:pt>
                <c:pt idx="37">
                  <c:v>-12.699546275941803</c:v>
                </c:pt>
                <c:pt idx="38">
                  <c:v>-12.380075374009868</c:v>
                </c:pt>
                <c:pt idx="39">
                  <c:v>-12.062915625777789</c:v>
                </c:pt>
                <c:pt idx="40">
                  <c:v>-11.748262152228872</c:v>
                </c:pt>
                <c:pt idx="41">
                  <c:v>-11.436296865728105</c:v>
                </c:pt>
                <c:pt idx="42">
                  <c:v>-11.127188404949393</c:v>
                </c:pt>
                <c:pt idx="43">
                  <c:v>-10.821092099930658</c:v>
                </c:pt>
                <c:pt idx="44">
                  <c:v>-10.518149966133828</c:v>
                </c:pt>
                <c:pt idx="45">
                  <c:v>-10.218490726401098</c:v>
                </c:pt>
                <c:pt idx="46">
                  <c:v>-9.9222298597132532</c:v>
                </c:pt>
                <c:pt idx="47">
                  <c:v>-9.629469675670137</c:v>
                </c:pt>
                <c:pt idx="48">
                  <c:v>-9.340299413627756</c:v>
                </c:pt>
                <c:pt idx="49">
                  <c:v>-9.05479536544083</c:v>
                </c:pt>
                <c:pt idx="50">
                  <c:v>-8.7730210207740456</c:v>
                </c:pt>
                <c:pt idx="51">
                  <c:v>-8.4950272339594495</c:v>
                </c:pt>
                <c:pt idx="52">
                  <c:v>-8.2208524113920181</c:v>
                </c:pt>
                <c:pt idx="53">
                  <c:v>-7.9505227184695926</c:v>
                </c:pt>
                <c:pt idx="54">
                  <c:v>-7.6840523050978371</c:v>
                </c:pt>
                <c:pt idx="55">
                  <c:v>-7.4214435487951995</c:v>
                </c:pt>
                <c:pt idx="56">
                  <c:v>-7.1626873144472363</c:v>
                </c:pt>
                <c:pt idx="57">
                  <c:v>-6.907763229774007</c:v>
                </c:pt>
                <c:pt idx="58">
                  <c:v>-6.656639975588571</c:v>
                </c:pt>
                <c:pt idx="59">
                  <c:v>-6.4092755899390843</c:v>
                </c:pt>
                <c:pt idx="60">
                  <c:v>-6.1656177852411949</c:v>
                </c:pt>
                <c:pt idx="61">
                  <c:v>-5.92560427752196</c:v>
                </c:pt>
                <c:pt idx="62">
                  <c:v>-5.6891631269107181</c:v>
                </c:pt>
                <c:pt idx="63">
                  <c:v>-5.456213088526856</c:v>
                </c:pt>
                <c:pt idx="64">
                  <c:v>-5.2266639729286171</c:v>
                </c:pt>
                <c:pt idx="65">
                  <c:v>-5.0004170153015828</c:v>
                </c:pt>
                <c:pt idx="66">
                  <c:v>-4.7773652525797514</c:v>
                </c:pt>
                <c:pt idx="67">
                  <c:v>-4.5573939077065102</c:v>
                </c:pt>
                <c:pt idx="68">
                  <c:v>-4.3403807802571759</c:v>
                </c:pt>
                <c:pt idx="69">
                  <c:v>-4.1261966426590986</c:v>
                </c:pt>
                <c:pt idx="70">
                  <c:v>-3.9147056412597414</c:v>
                </c:pt>
                <c:pt idx="71">
                  <c:v>-3.7057657015074246</c:v>
                </c:pt>
                <c:pt idx="72">
                  <c:v>-3.4992289365238842</c:v>
                </c:pt>
                <c:pt idx="73">
                  <c:v>-3.2949420583620643</c:v>
                </c:pt>
                <c:pt idx="74">
                  <c:v>-3.0927467912569724</c:v>
                </c:pt>
                <c:pt idx="75">
                  <c:v>-2.8924802861917667</c:v>
                </c:pt>
                <c:pt idx="76">
                  <c:v>-2.6939755361156124</c:v>
                </c:pt>
                <c:pt idx="77">
                  <c:v>-2.4970617911642097</c:v>
                </c:pt>
                <c:pt idx="78">
                  <c:v>-2.3015649732482166</c:v>
                </c:pt>
                <c:pt idx="79">
                  <c:v>-2.1073080893892202</c:v>
                </c:pt>
                <c:pt idx="80">
                  <c:v>-1.9141116431971799</c:v>
                </c:pt>
                <c:pt idx="81">
                  <c:v>-1.7217940438977219</c:v>
                </c:pt>
                <c:pt idx="82">
                  <c:v>-1.5301720123319311</c:v>
                </c:pt>
                <c:pt idx="83">
                  <c:v>-1.3390609833657157</c:v>
                </c:pt>
                <c:pt idx="84">
                  <c:v>-1.1482755041601445</c:v>
                </c:pt>
                <c:pt idx="85">
                  <c:v>-0.95762962776852267</c:v>
                </c:pt>
                <c:pt idx="86">
                  <c:v>-0.76693730154033624</c:v>
                </c:pt>
                <c:pt idx="87">
                  <c:v>-0.57601274982654482</c:v>
                </c:pt>
                <c:pt idx="88">
                  <c:v>-0.38467085049507704</c:v>
                </c:pt>
                <c:pt idx="89">
                  <c:v>-0.19272750477972395</c:v>
                </c:pt>
                <c:pt idx="90">
                  <c:v>0</c:v>
                </c:pt>
                <c:pt idx="91">
                  <c:v>0.19369263529610781</c:v>
                </c:pt>
                <c:pt idx="92">
                  <c:v>0.38852928420022054</c:v>
                </c:pt>
                <c:pt idx="93">
                  <c:v>0.58468640274183525</c:v>
                </c:pt>
                <c:pt idx="94">
                  <c:v>0.78233769002178</c:v>
                </c:pt>
                <c:pt idx="95">
                  <c:v>0.98165376757149636</c:v>
                </c:pt>
                <c:pt idx="96">
                  <c:v>1.1828018683144277</c:v>
                </c:pt>
                <c:pt idx="97">
                  <c:v>1.385945535491439</c:v>
                </c:pt>
                <c:pt idx="98">
                  <c:v>1.5912443318978273</c:v>
                </c:pt>
                <c:pt idx="99">
                  <c:v>1.7988535597651225</c:v>
                </c:pt>
                <c:pt idx="100">
                  <c:v>2.0089239916065327</c:v>
                </c:pt>
                <c:pt idx="101">
                  <c:v>2.2216016123305016</c:v>
                </c:pt>
                <c:pt idx="102">
                  <c:v>2.4370273729125258</c:v>
                </c:pt>
                <c:pt idx="103">
                  <c:v>2.6553369559009679</c:v>
                </c:pt>
                <c:pt idx="104">
                  <c:v>2.8766605530183087</c:v>
                </c:pt>
                <c:pt idx="105">
                  <c:v>3.1011226551048421</c:v>
                </c:pt>
                <c:pt idx="106">
                  <c:v>3.3288418546375458</c:v>
                </c:pt>
                <c:pt idx="107">
                  <c:v>3.5599306610424222</c:v>
                </c:pt>
                <c:pt idx="108">
                  <c:v>3.7944953290042931</c:v>
                </c:pt>
                <c:pt idx="109">
                  <c:v>4.0326356999636594</c:v>
                </c:pt>
                <c:pt idx="110">
                  <c:v>4.2744450569758667</c:v>
                </c:pt>
                <c:pt idx="111">
                  <c:v>4.5200099930934909</c:v>
                </c:pt>
                <c:pt idx="112">
                  <c:v>4.769410293418435</c:v>
                </c:pt>
                <c:pt idx="113">
                  <c:v>5.0227188309559647</c:v>
                </c:pt>
                <c:pt idx="114">
                  <c:v>5.2800014763884358</c:v>
                </c:pt>
                <c:pt idx="115">
                  <c:v>5.5413170218722314</c:v>
                </c:pt>
                <c:pt idx="116">
                  <c:v>5.8067171189469446</c:v>
                </c:pt>
                <c:pt idx="117">
                  <c:v>6.0762462306315834</c:v>
                </c:pt>
                <c:pt idx="118">
                  <c:v>6.349941597768157</c:v>
                </c:pt>
                <c:pt idx="119">
                  <c:v>6.627833219658668</c:v>
                </c:pt>
                <c:pt idx="120">
                  <c:v>6.909943849027159</c:v>
                </c:pt>
                <c:pt idx="121">
                  <c:v>7.1962890013241152</c:v>
                </c:pt>
                <c:pt idx="122">
                  <c:v>7.4868769783761833</c:v>
                </c:pt>
                <c:pt idx="123">
                  <c:v>7.7817089063697438</c:v>
                </c:pt>
                <c:pt idx="124">
                  <c:v>8.0807787881426023</c:v>
                </c:pt>
                <c:pt idx="125">
                  <c:v>8.3840735697436291</c:v>
                </c:pt>
                <c:pt idx="126">
                  <c:v>8.6915732212058678</c:v>
                </c:pt>
                <c:pt idx="127">
                  <c:v>9.0032508314642623</c:v>
                </c:pt>
                <c:pt idx="128">
                  <c:v>9.3190727173347359</c:v>
                </c:pt>
                <c:pt idx="129">
                  <c:v>9.6389985464571364</c:v>
                </c:pt>
                <c:pt idx="130">
                  <c:v>9.9629814740900109</c:v>
                </c:pt>
                <c:pt idx="131">
                  <c:v>10.290968293631018</c:v>
                </c:pt>
                <c:pt idx="132">
                  <c:v>10.622899600722207</c:v>
                </c:pt>
                <c:pt idx="133">
                  <c:v>10.958709970785293</c:v>
                </c:pt>
                <c:pt idx="134">
                  <c:v>11.298328149817413</c:v>
                </c:pt>
                <c:pt idx="135">
                  <c:v>11.641677258263726</c:v>
                </c:pt>
                <c:pt idx="136">
                  <c:v>11.988675007768768</c:v>
                </c:pt>
                <c:pt idx="137">
                  <c:v>12.339233930594018</c:v>
                </c:pt>
                <c:pt idx="138">
                  <c:v>12.693261621474996</c:v>
                </c:pt>
                <c:pt idx="139">
                  <c:v>13.05066099167661</c:v>
                </c:pt>
                <c:pt idx="140">
                  <c:v>13.411330534991304</c:v>
                </c:pt>
                <c:pt idx="141">
                  <c:v>13.775164605410106</c:v>
                </c:pt>
                <c:pt idx="142">
                  <c:v>14.14205370618224</c:v>
                </c:pt>
                <c:pt idx="143">
                  <c:v>14.511884789964874</c:v>
                </c:pt>
                <c:pt idx="144">
                  <c:v>14.884541569749853</c:v>
                </c:pt>
                <c:pt idx="145">
                  <c:v>15.259904840240212</c:v>
                </c:pt>
                <c:pt idx="146">
                  <c:v>15.637852809334763</c:v>
                </c:pt>
                <c:pt idx="147">
                  <c:v>16.018261439364665</c:v>
                </c:pt>
                <c:pt idx="148">
                  <c:v>16.401004797711625</c:v>
                </c:pt>
                <c:pt idx="149">
                  <c:v>16.785955416422976</c:v>
                </c:pt>
                <c:pt idx="150">
                  <c:v>17.172984660424468</c:v>
                </c:pt>
                <c:pt idx="151">
                  <c:v>17.561963103917311</c:v>
                </c:pt>
                <c:pt idx="152">
                  <c:v>17.952760914531634</c:v>
                </c:pt>
                <c:pt idx="153">
                  <c:v>18.345248244794231</c:v>
                </c:pt>
                <c:pt idx="154">
                  <c:v>18.739295630453803</c:v>
                </c:pt>
                <c:pt idx="155">
                  <c:v>19.134774395193148</c:v>
                </c:pt>
                <c:pt idx="156">
                  <c:v>19.531557061242669</c:v>
                </c:pt>
                <c:pt idx="157">
                  <c:v>19.929517765395786</c:v>
                </c:pt>
                <c:pt idx="158">
                  <c:v>20.328532679912161</c:v>
                </c:pt>
                <c:pt idx="159">
                  <c:v>20.728480437780405</c:v>
                </c:pt>
                <c:pt idx="160">
                  <c:v>21.129242561797589</c:v>
                </c:pt>
                <c:pt idx="161">
                  <c:v>21.530703896908395</c:v>
                </c:pt>
                <c:pt idx="162">
                  <c:v>21.932753045232609</c:v>
                </c:pt>
                <c:pt idx="163">
                  <c:v>22.335282803195017</c:v>
                </c:pt>
                <c:pt idx="164">
                  <c:v>22.738190600157669</c:v>
                </c:pt>
                <c:pt idx="165">
                  <c:v>23.141378937939965</c:v>
                </c:pt>
                <c:pt idx="166">
                  <c:v>23.544755830597655</c:v>
                </c:pt>
                <c:pt idx="167">
                  <c:v>23.948235243817589</c:v>
                </c:pt>
                <c:pt idx="168">
                  <c:v>24.351737533270558</c:v>
                </c:pt>
                <c:pt idx="169">
                  <c:v>24.755189881250409</c:v>
                </c:pt>
                <c:pt idx="170">
                  <c:v>25.158526730912929</c:v>
                </c:pt>
                <c:pt idx="171">
                  <c:v>25.561690217414004</c:v>
                </c:pt>
                <c:pt idx="172">
                  <c:v>25.964630595231974</c:v>
                </c:pt>
                <c:pt idx="173">
                  <c:v>26.367306660944749</c:v>
                </c:pt>
                <c:pt idx="174">
                  <c:v>26.769686170718057</c:v>
                </c:pt>
                <c:pt idx="175">
                  <c:v>27.17174625174659</c:v>
                </c:pt>
                <c:pt idx="176">
                  <c:v>27.573473806875647</c:v>
                </c:pt>
                <c:pt idx="177">
                  <c:v>27.974865911616533</c:v>
                </c:pt>
                <c:pt idx="178">
                  <c:v>28.375930202754368</c:v>
                </c:pt>
                <c:pt idx="179">
                  <c:v>28.776685257732865</c:v>
                </c:pt>
                <c:pt idx="180">
                  <c:v>29.177160963986267</c:v>
                </c:pt>
                <c:pt idx="181">
                  <c:v>29.577398877373948</c:v>
                </c:pt>
                <c:pt idx="182">
                  <c:v>29.97745256885926</c:v>
                </c:pt>
                <c:pt idx="183">
                  <c:v>30.377387958559609</c:v>
                </c:pt>
                <c:pt idx="184">
                  <c:v>30.777283636280401</c:v>
                </c:pt>
                <c:pt idx="185">
                  <c:v>31.177231167631152</c:v>
                </c:pt>
                <c:pt idx="186">
                  <c:v>31.577335384807604</c:v>
                </c:pt>
                <c:pt idx="187">
                  <c:v>31.977714661109832</c:v>
                </c:pt>
                <c:pt idx="188">
                  <c:v>32.378501168250985</c:v>
                </c:pt>
                <c:pt idx="189">
                  <c:v>32.77984111549803</c:v>
                </c:pt>
                <c:pt idx="190">
                  <c:v>33.181894969670701</c:v>
                </c:pt>
                <c:pt idx="191">
                  <c:v>33.584837655011015</c:v>
                </c:pt>
                <c:pt idx="192">
                  <c:v>33.988858731920871</c:v>
                </c:pt>
                <c:pt idx="193">
                  <c:v>34.394162553551503</c:v>
                </c:pt>
                <c:pt idx="194">
                  <c:v>34.800968399213644</c:v>
                </c:pt>
                <c:pt idx="195">
                  <c:v>35.209510583563024</c:v>
                </c:pt>
                <c:pt idx="196">
                  <c:v>35.620038540501923</c:v>
                </c:pt>
                <c:pt idx="197">
                  <c:v>36.032816880722258</c:v>
                </c:pt>
                <c:pt idx="198">
                  <c:v>36.448125421802402</c:v>
                </c:pt>
                <c:pt idx="199">
                  <c:v>36.866259189754516</c:v>
                </c:pt>
                <c:pt idx="200">
                  <c:v>37.287528390905536</c:v>
                </c:pt>
              </c:numCache>
            </c:numRef>
          </c:yVal>
          <c:smooth val="1"/>
        </c:ser>
        <c:dLbls>
          <c:showLegendKey val="0"/>
          <c:showVal val="0"/>
          <c:showCatName val="0"/>
          <c:showSerName val="0"/>
          <c:showPercent val="0"/>
          <c:showBubbleSize val="0"/>
        </c:dLbls>
        <c:axId val="446936536"/>
        <c:axId val="446942808"/>
      </c:scatterChart>
      <c:valAx>
        <c:axId val="446936536"/>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942808"/>
        <c:crossesAt val="-1000"/>
        <c:crossBetween val="midCat"/>
      </c:valAx>
      <c:valAx>
        <c:axId val="44694280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6936536"/>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02" t="s">
        <v>107</v>
      </c>
      <c r="E2" s="102"/>
      <c r="F2" s="102"/>
      <c r="G2" s="102"/>
      <c r="H2" s="102"/>
      <c r="I2" s="102"/>
      <c r="J2" s="102"/>
      <c r="K2" s="102"/>
      <c r="L2" s="102"/>
      <c r="M2" s="102"/>
    </row>
    <row r="3" spans="1:13" x14ac:dyDescent="0.25">
      <c r="D3" s="102"/>
      <c r="E3" s="102"/>
      <c r="F3" s="102"/>
      <c r="G3" s="102"/>
      <c r="H3" s="102"/>
      <c r="I3" s="102"/>
      <c r="J3" s="102"/>
      <c r="K3" s="102"/>
      <c r="L3" s="102"/>
      <c r="M3" s="102"/>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100">
        <f>CTE!N5</f>
        <v>0.5</v>
      </c>
    </row>
    <row r="21" spans="1:2" s="11" customFormat="1" x14ac:dyDescent="0.25">
      <c r="A21" s="61" t="s">
        <v>156</v>
      </c>
      <c r="B21" s="100">
        <f>CTE!N6-0.5</f>
        <v>130</v>
      </c>
    </row>
    <row r="22" spans="1:2" s="11" customFormat="1" x14ac:dyDescent="0.25">
      <c r="A22" s="61" t="s">
        <v>157</v>
      </c>
      <c r="B22" s="100">
        <f>CTE!N8-0.5</f>
        <v>140</v>
      </c>
    </row>
    <row r="23" spans="1:2" s="11" customFormat="1" x14ac:dyDescent="0.25">
      <c r="A23" s="61" t="s">
        <v>158</v>
      </c>
      <c r="B23" s="100">
        <f>CTE!N9</f>
        <v>180.5</v>
      </c>
    </row>
    <row r="24" spans="1:2" s="11" customFormat="1" x14ac:dyDescent="0.25"/>
    <row r="25" spans="1:2" s="11" customFormat="1" x14ac:dyDescent="0.25">
      <c r="A25" s="61" t="s">
        <v>147</v>
      </c>
      <c r="B25" s="53">
        <f>CTE!O5</f>
        <v>2.4226182285714289E-5</v>
      </c>
    </row>
    <row r="26" spans="1:2" s="11" customFormat="1" x14ac:dyDescent="0.25">
      <c r="A26" s="61" t="s">
        <v>148</v>
      </c>
      <c r="B26" s="53">
        <f>CTE!O6</f>
        <v>2.6648912571428573E-5</v>
      </c>
    </row>
    <row r="27" spans="1:2" s="11" customFormat="1" x14ac:dyDescent="0.25">
      <c r="A27" s="61" t="s">
        <v>149</v>
      </c>
      <c r="B27" s="53">
        <f>CTE!O8</f>
        <v>7.4083502857142863E-5</v>
      </c>
    </row>
    <row r="28" spans="1:2" s="11" customFormat="1" x14ac:dyDescent="0.25">
      <c r="A28" s="61" t="s">
        <v>150</v>
      </c>
      <c r="B28" s="53">
        <f>CTE!O9</f>
        <v>7.3900625714285717E-5</v>
      </c>
    </row>
    <row r="29" spans="1:2" s="11" customFormat="1" x14ac:dyDescent="0.25">
      <c r="A29" s="61"/>
    </row>
    <row r="30" spans="1:2" s="11" customFormat="1" x14ac:dyDescent="0.25">
      <c r="A30" s="61" t="s">
        <v>151</v>
      </c>
      <c r="B30" s="52">
        <f>CTE!P5</f>
        <v>2.4147830526315789E-5</v>
      </c>
    </row>
    <row r="31" spans="1:2" s="11" customFormat="1" x14ac:dyDescent="0.25">
      <c r="A31" s="61" t="s">
        <v>152</v>
      </c>
      <c r="B31" s="52">
        <f>CTE!P6</f>
        <v>2.650956736842105E-5</v>
      </c>
    </row>
    <row r="32" spans="1:2" s="11" customFormat="1" x14ac:dyDescent="0.25">
      <c r="A32" s="61" t="s">
        <v>153</v>
      </c>
      <c r="B32" s="52">
        <f>CTE!P8</f>
        <v>6.7455582105263172E-5</v>
      </c>
    </row>
    <row r="33" spans="1:2" s="11" customFormat="1" x14ac:dyDescent="0.25">
      <c r="A33" s="61" t="s">
        <v>154</v>
      </c>
      <c r="B33" s="52">
        <f>CTE!P9</f>
        <v>6.8093082105263154E-5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0.1931800707257747</v>
      </c>
      <c r="D59" s="55">
        <v>1</v>
      </c>
    </row>
    <row r="60" spans="1:4" s="11" customFormat="1" x14ac:dyDescent="0.25">
      <c r="A60" s="54">
        <v>2</v>
      </c>
      <c r="B60" s="56">
        <f>'Shiftfunktion bestimmen'!N2</f>
        <v>4.8265232005547759E-4</v>
      </c>
      <c r="D60" s="55">
        <v>2</v>
      </c>
    </row>
    <row r="61" spans="1:4" s="11" customFormat="1" x14ac:dyDescent="0.25">
      <c r="A61" s="54">
        <v>3</v>
      </c>
      <c r="B61" s="56">
        <f>'Shiftfunktion bestimmen'!N3</f>
        <v>3.0002170844549274E-5</v>
      </c>
      <c r="D61" s="55">
        <v>3</v>
      </c>
    </row>
    <row r="62" spans="1:4" s="11" customFormat="1" x14ac:dyDescent="0.25">
      <c r="A62" s="54">
        <v>4</v>
      </c>
      <c r="B62" s="56">
        <f>'Shiftfunktion bestimmen'!N4</f>
        <v>-8.7073576756865787E-8</v>
      </c>
      <c r="D62" s="55">
        <v>4</v>
      </c>
    </row>
    <row r="63" spans="1:4" s="11" customFormat="1" x14ac:dyDescent="0.25">
      <c r="A63" s="54">
        <v>5</v>
      </c>
      <c r="B63" s="56">
        <f>'Shiftfunktion bestimmen'!N5</f>
        <v>-2.8587851564865253E-9</v>
      </c>
      <c r="D63" s="55">
        <v>5</v>
      </c>
    </row>
    <row r="64" spans="1:4" s="11" customFormat="1" x14ac:dyDescent="0.25">
      <c r="A64" s="54">
        <v>6</v>
      </c>
      <c r="B64" s="56">
        <f>'Shiftfunktion bestimmen'!N6</f>
        <v>1.1713579986778808E-11</v>
      </c>
      <c r="D64" s="55">
        <v>6</v>
      </c>
    </row>
    <row r="65" spans="1:5" s="11" customFormat="1" x14ac:dyDescent="0.25">
      <c r="A65" s="54">
        <v>7</v>
      </c>
      <c r="B65" s="56">
        <f>'Shiftfunktion bestimmen'!N7</f>
        <v>8.1781520838060453E-14</v>
      </c>
      <c r="D65" s="55">
        <v>7</v>
      </c>
    </row>
    <row r="66" spans="1:5" x14ac:dyDescent="0.25">
      <c r="A66" s="54">
        <v>8</v>
      </c>
      <c r="B66" s="56">
        <f>'Shiftfunktion bestimmen'!N8</f>
        <v>-3.5613289780438361E-16</v>
      </c>
      <c r="D66" s="55">
        <v>8</v>
      </c>
    </row>
    <row r="67" spans="1:5" x14ac:dyDescent="0.25">
      <c r="A67" s="54">
        <v>9</v>
      </c>
      <c r="B67" s="56">
        <f>'Shiftfunktion bestimmen'!N9</f>
        <v>0</v>
      </c>
      <c r="D67" s="55">
        <v>0</v>
      </c>
    </row>
    <row r="70" spans="1:5" x14ac:dyDescent="0.25">
      <c r="A70" s="61"/>
      <c r="B70" s="84"/>
    </row>
    <row r="71" spans="1:5" x14ac:dyDescent="0.25">
      <c r="A71" s="61"/>
      <c r="B71" s="85"/>
    </row>
    <row r="72" spans="1:5" x14ac:dyDescent="0.25">
      <c r="A72" t="s">
        <v>42</v>
      </c>
    </row>
    <row r="73" spans="1:5" x14ac:dyDescent="0.25">
      <c r="A73" s="61" t="s">
        <v>101</v>
      </c>
      <c r="B73" s="62">
        <f>A104</f>
        <v>31</v>
      </c>
    </row>
    <row r="74" spans="1:5" x14ac:dyDescent="0.25">
      <c r="A74" s="50">
        <v>1</v>
      </c>
      <c r="B74" s="56">
        <f>'Mastercurve bestimmen'!C18</f>
        <v>6.543563958335178E-4</v>
      </c>
      <c r="D74" s="51">
        <v>1</v>
      </c>
      <c r="E74" s="56">
        <f>'Mastercurve bestimmen'!A18</f>
        <v>1.0000000000000001E-20</v>
      </c>
    </row>
    <row r="75" spans="1:5" x14ac:dyDescent="0.25">
      <c r="A75" s="50">
        <f>A74+1</f>
        <v>2</v>
      </c>
      <c r="B75" s="56">
        <f>'Mastercurve bestimmen'!C19</f>
        <v>0</v>
      </c>
      <c r="D75" s="51">
        <v>2</v>
      </c>
      <c r="E75" s="56">
        <f>'Mastercurve bestimmen'!A19</f>
        <v>3.9038946506297401E-14</v>
      </c>
    </row>
    <row r="76" spans="1:5" x14ac:dyDescent="0.25">
      <c r="A76" s="50">
        <f t="shared" ref="A76:A104" si="0">A75+1</f>
        <v>3</v>
      </c>
      <c r="B76" s="56">
        <f>'Mastercurve bestimmen'!C20</f>
        <v>1.0565237894984057E-2</v>
      </c>
      <c r="D76" s="51">
        <v>3</v>
      </c>
      <c r="E76" s="56">
        <f>'Mastercurve bestimmen'!A20</f>
        <v>4.3276437088188502E-13</v>
      </c>
    </row>
    <row r="77" spans="1:5" x14ac:dyDescent="0.25">
      <c r="A77" s="50">
        <f t="shared" si="0"/>
        <v>4</v>
      </c>
      <c r="B77" s="56">
        <f>'Mastercurve bestimmen'!C21</f>
        <v>3.6097677890575289E-2</v>
      </c>
      <c r="D77" s="51">
        <v>4</v>
      </c>
      <c r="E77" s="56">
        <f>'Mastercurve bestimmen'!A21</f>
        <v>4.7973886968128502E-12</v>
      </c>
    </row>
    <row r="78" spans="1:5" x14ac:dyDescent="0.25">
      <c r="A78" s="50">
        <f t="shared" si="0"/>
        <v>5</v>
      </c>
      <c r="B78" s="56">
        <f>'Mastercurve bestimmen'!C22</f>
        <v>1.796140860863173E-2</v>
      </c>
      <c r="D78" s="51">
        <v>5</v>
      </c>
      <c r="E78" s="56">
        <f>'Mastercurve bestimmen'!A22</f>
        <v>5.31812225239524E-11</v>
      </c>
    </row>
    <row r="79" spans="1:5" x14ac:dyDescent="0.25">
      <c r="A79" s="50">
        <f t="shared" si="0"/>
        <v>6</v>
      </c>
      <c r="B79" s="56">
        <f>'Mastercurve bestimmen'!C23</f>
        <v>2.0382209262680424E-2</v>
      </c>
      <c r="D79" s="51">
        <v>6</v>
      </c>
      <c r="E79" s="56">
        <f>'Mastercurve bestimmen'!A23</f>
        <v>5.8953789402578301E-10</v>
      </c>
    </row>
    <row r="80" spans="1:5" x14ac:dyDescent="0.25">
      <c r="A80" s="50">
        <f t="shared" si="0"/>
        <v>7</v>
      </c>
      <c r="B80" s="56">
        <f>'Mastercurve bestimmen'!C24</f>
        <v>2.3191773100904155E-2</v>
      </c>
      <c r="D80" s="51">
        <v>7</v>
      </c>
      <c r="E80" s="56">
        <f>'Mastercurve bestimmen'!A24</f>
        <v>6.5352940755699598E-9</v>
      </c>
    </row>
    <row r="81" spans="1:5" x14ac:dyDescent="0.25">
      <c r="A81" s="50">
        <f t="shared" si="0"/>
        <v>8</v>
      </c>
      <c r="B81" s="56">
        <f>'Mastercurve bestimmen'!C25</f>
        <v>2.374870276432043E-2</v>
      </c>
      <c r="D81" s="51">
        <v>8</v>
      </c>
      <c r="E81" s="56">
        <f>'Mastercurve bestimmen'!A25</f>
        <v>7.2446689325643296E-8</v>
      </c>
    </row>
    <row r="82" spans="1:5" x14ac:dyDescent="0.25">
      <c r="A82" s="50">
        <f t="shared" si="0"/>
        <v>9</v>
      </c>
      <c r="B82" s="56">
        <f>'Mastercurve bestimmen'!C26</f>
        <v>2.8130744653850213E-2</v>
      </c>
      <c r="D82" s="51">
        <f>A82</f>
        <v>9</v>
      </c>
      <c r="E82" s="56">
        <f>'Mastercurve bestimmen'!A26</f>
        <v>8.03104303120212E-7</v>
      </c>
    </row>
    <row r="83" spans="1:5" x14ac:dyDescent="0.25">
      <c r="A83" s="50">
        <f t="shared" si="0"/>
        <v>10</v>
      </c>
      <c r="B83" s="56">
        <f>'Mastercurve bestimmen'!C27</f>
        <v>2.9651765361493738E-2</v>
      </c>
      <c r="C83" s="11"/>
      <c r="D83" s="51">
        <f t="shared" ref="D83:D104" si="1">A83</f>
        <v>10</v>
      </c>
      <c r="E83" s="56">
        <f>'Mastercurve bestimmen'!A27</f>
        <v>8.9027742702096099E-6</v>
      </c>
    </row>
    <row r="84" spans="1:5" x14ac:dyDescent="0.25">
      <c r="A84" s="50">
        <f t="shared" si="0"/>
        <v>11</v>
      </c>
      <c r="B84" s="56">
        <f>'Mastercurve bestimmen'!C28</f>
        <v>3.0087522375858353E-2</v>
      </c>
      <c r="C84" s="11"/>
      <c r="D84" s="51">
        <f t="shared" si="1"/>
        <v>11</v>
      </c>
      <c r="E84" s="56">
        <f>'Mastercurve bestimmen'!A28</f>
        <v>9.86912775817142E-5</v>
      </c>
    </row>
    <row r="85" spans="1:5" x14ac:dyDescent="0.25">
      <c r="A85" s="50">
        <f t="shared" si="0"/>
        <v>12</v>
      </c>
      <c r="B85" s="56">
        <f>'Mastercurve bestimmen'!C29</f>
        <v>2.6649166629010242E-2</v>
      </c>
      <c r="C85" s="11"/>
      <c r="D85" s="51">
        <f t="shared" si="1"/>
        <v>12</v>
      </c>
      <c r="E85" s="56">
        <f>'Mastercurve bestimmen'!A29</f>
        <v>1.0940374286813801E-3</v>
      </c>
    </row>
    <row r="86" spans="1:5" x14ac:dyDescent="0.25">
      <c r="A86" s="50">
        <f t="shared" si="0"/>
        <v>13</v>
      </c>
      <c r="B86" s="56">
        <f>'Mastercurve bestimmen'!C30</f>
        <v>3.2769511002714927E-2</v>
      </c>
      <c r="C86" s="11"/>
      <c r="D86" s="51">
        <f t="shared" si="1"/>
        <v>13</v>
      </c>
      <c r="E86" s="56">
        <f>'Mastercurve bestimmen'!A30</f>
        <v>1.2127899493091E-2</v>
      </c>
    </row>
    <row r="87" spans="1:5" x14ac:dyDescent="0.25">
      <c r="A87" s="50">
        <f t="shared" si="0"/>
        <v>14</v>
      </c>
      <c r="B87" s="56">
        <f>'Mastercurve bestimmen'!C31</f>
        <v>4.1907199465091145E-2</v>
      </c>
      <c r="C87" s="11"/>
      <c r="D87" s="51">
        <f t="shared" si="1"/>
        <v>14</v>
      </c>
      <c r="E87" s="56">
        <f>'Mastercurve bestimmen'!A31</f>
        <v>0.13444324870292301</v>
      </c>
    </row>
    <row r="88" spans="1:5" x14ac:dyDescent="0.25">
      <c r="A88" s="50">
        <f t="shared" si="0"/>
        <v>15</v>
      </c>
      <c r="B88" s="56">
        <f>'Mastercurve bestimmen'!C32</f>
        <v>3.8766931941006839E-2</v>
      </c>
      <c r="C88" s="11"/>
      <c r="D88" s="51">
        <f t="shared" si="1"/>
        <v>15</v>
      </c>
      <c r="E88" s="56">
        <f>'Mastercurve bestimmen'!A32</f>
        <v>1.49036419143257</v>
      </c>
    </row>
    <row r="89" spans="1:5" x14ac:dyDescent="0.25">
      <c r="A89" s="50">
        <f t="shared" si="0"/>
        <v>16</v>
      </c>
      <c r="B89" s="56">
        <f>'Mastercurve bestimmen'!C33</f>
        <v>3.2038673628359195E-2</v>
      </c>
      <c r="C89" s="11"/>
      <c r="D89" s="51">
        <f t="shared" si="1"/>
        <v>16</v>
      </c>
      <c r="E89" s="56">
        <f>'Mastercurve bestimmen'!A33</f>
        <v>16.521360830937301</v>
      </c>
    </row>
    <row r="90" spans="1:5" x14ac:dyDescent="0.25">
      <c r="A90" s="50">
        <f t="shared" si="0"/>
        <v>17</v>
      </c>
      <c r="B90" s="56">
        <f>'Mastercurve bestimmen'!C34</f>
        <v>3.8815204020590376E-2</v>
      </c>
      <c r="C90" s="11"/>
      <c r="D90" s="51">
        <f t="shared" si="1"/>
        <v>17</v>
      </c>
      <c r="E90" s="56">
        <f>'Mastercurve bestimmen'!A34</f>
        <v>183.146753843879</v>
      </c>
    </row>
    <row r="91" spans="1:5" x14ac:dyDescent="0.25">
      <c r="A91" s="50">
        <f t="shared" si="0"/>
        <v>18</v>
      </c>
      <c r="B91" s="56">
        <f>'Mastercurve bestimmen'!C35</f>
        <v>3.675792152056976E-2</v>
      </c>
      <c r="C91" s="11"/>
      <c r="D91" s="51">
        <f t="shared" si="1"/>
        <v>18</v>
      </c>
      <c r="E91" s="56">
        <f>'Mastercurve bestimmen'!A35</f>
        <v>2030.26456396616</v>
      </c>
    </row>
    <row r="92" spans="1:5" x14ac:dyDescent="0.25">
      <c r="A92" s="50">
        <f t="shared" si="0"/>
        <v>19</v>
      </c>
      <c r="B92" s="56">
        <f>'Mastercurve bestimmen'!C36</f>
        <v>3.3395319995761917E-2</v>
      </c>
      <c r="C92" s="11"/>
      <c r="D92" s="51">
        <f t="shared" si="1"/>
        <v>19</v>
      </c>
      <c r="E92" s="56">
        <f>'Mastercurve bestimmen'!A36</f>
        <v>22506.400540467101</v>
      </c>
    </row>
    <row r="93" spans="1:5" x14ac:dyDescent="0.25">
      <c r="A93" s="50">
        <f t="shared" si="0"/>
        <v>20</v>
      </c>
      <c r="B93" s="56">
        <f>'Mastercurve bestimmen'!C37</f>
        <v>3.5168182509434494E-2</v>
      </c>
      <c r="C93" s="11"/>
      <c r="D93" s="51">
        <f t="shared" si="1"/>
        <v>20</v>
      </c>
      <c r="E93" s="56">
        <f>'Mastercurve bestimmen'!A37</f>
        <v>249493.62476110301</v>
      </c>
    </row>
    <row r="94" spans="1:5" x14ac:dyDescent="0.25">
      <c r="A94" s="50">
        <f t="shared" si="0"/>
        <v>21</v>
      </c>
      <c r="B94" s="56">
        <f>'Mastercurve bestimmen'!C38</f>
        <v>2.0659155414283158E-2</v>
      </c>
      <c r="C94" s="11"/>
      <c r="D94" s="51">
        <f t="shared" si="1"/>
        <v>21</v>
      </c>
      <c r="E94" s="56">
        <f>'Mastercurve bestimmen'!A38</f>
        <v>2765749.6224023802</v>
      </c>
    </row>
    <row r="95" spans="1:5" x14ac:dyDescent="0.25">
      <c r="A95" s="50">
        <f t="shared" si="0"/>
        <v>22</v>
      </c>
      <c r="B95" s="56">
        <f>'Mastercurve bestimmen'!C39</f>
        <v>3.0227206274926977E-2</v>
      </c>
      <c r="C95" s="11"/>
      <c r="D95" s="51">
        <f t="shared" si="1"/>
        <v>22</v>
      </c>
      <c r="E95" s="56">
        <f>'Mastercurve bestimmen'!A39</f>
        <v>10000000</v>
      </c>
    </row>
    <row r="96" spans="1:5" x14ac:dyDescent="0.25">
      <c r="A96" s="50">
        <f t="shared" si="0"/>
        <v>23</v>
      </c>
      <c r="B96" s="56">
        <f>'Mastercurve bestimmen'!C40</f>
        <v>3.7583954306508939E-2</v>
      </c>
      <c r="C96" s="11"/>
      <c r="D96" s="51">
        <f t="shared" si="1"/>
        <v>23</v>
      </c>
      <c r="E96" s="56">
        <f>'Mastercurve bestimmen'!A40</f>
        <v>100000000</v>
      </c>
    </row>
    <row r="97" spans="1:5" x14ac:dyDescent="0.25">
      <c r="A97" s="50">
        <f t="shared" si="0"/>
        <v>24</v>
      </c>
      <c r="B97" s="56">
        <f>'Mastercurve bestimmen'!C41</f>
        <v>3.8796261080834012E-2</v>
      </c>
      <c r="C97" s="11"/>
      <c r="D97" s="51">
        <f t="shared" si="1"/>
        <v>24</v>
      </c>
      <c r="E97" s="56">
        <f>'Mastercurve bestimmen'!A41</f>
        <v>1000000000</v>
      </c>
    </row>
    <row r="98" spans="1:5" x14ac:dyDescent="0.25">
      <c r="A98" s="50">
        <f t="shared" si="0"/>
        <v>25</v>
      </c>
      <c r="B98" s="56">
        <f>'Mastercurve bestimmen'!C42</f>
        <v>4.443590866461708E-2</v>
      </c>
      <c r="C98" s="11"/>
      <c r="D98" s="51">
        <f t="shared" si="1"/>
        <v>25</v>
      </c>
      <c r="E98" s="56">
        <f>'Mastercurve bestimmen'!A42</f>
        <v>10000000000</v>
      </c>
    </row>
    <row r="99" spans="1:5" x14ac:dyDescent="0.25">
      <c r="A99" s="50">
        <f t="shared" si="0"/>
        <v>26</v>
      </c>
      <c r="B99" s="56">
        <f>'Mastercurve bestimmen'!C43</f>
        <v>5.224128023540766E-2</v>
      </c>
      <c r="C99" s="11"/>
      <c r="D99" s="51">
        <f t="shared" si="1"/>
        <v>26</v>
      </c>
      <c r="E99" s="56">
        <f>'Mastercurve bestimmen'!A43</f>
        <v>100000000000</v>
      </c>
    </row>
    <row r="100" spans="1:5" x14ac:dyDescent="0.25">
      <c r="A100" s="50">
        <f t="shared" si="0"/>
        <v>27</v>
      </c>
      <c r="B100" s="56">
        <f>'Mastercurve bestimmen'!C44</f>
        <v>5.759294658465644E-2</v>
      </c>
      <c r="C100" s="11"/>
      <c r="D100" s="51">
        <f t="shared" si="1"/>
        <v>27</v>
      </c>
      <c r="E100" s="56">
        <f>'Mastercurve bestimmen'!A44</f>
        <v>1000000000000</v>
      </c>
    </row>
    <row r="101" spans="1:5" x14ac:dyDescent="0.25">
      <c r="A101" s="50">
        <f t="shared" si="0"/>
        <v>28</v>
      </c>
      <c r="B101" s="56">
        <f>'Mastercurve bestimmen'!C45</f>
        <v>5.4172080221644638E-2</v>
      </c>
      <c r="C101" s="11"/>
      <c r="D101" s="51">
        <f t="shared" si="1"/>
        <v>28</v>
      </c>
      <c r="E101" s="56">
        <f>'Mastercurve bestimmen'!A45</f>
        <v>10000000000000</v>
      </c>
    </row>
    <row r="102" spans="1:5" x14ac:dyDescent="0.25">
      <c r="A102" s="50">
        <f t="shared" si="0"/>
        <v>29</v>
      </c>
      <c r="B102" s="56">
        <f>'Mastercurve bestimmen'!C46</f>
        <v>3.8751330064371987E-2</v>
      </c>
      <c r="C102" s="11"/>
      <c r="D102" s="51">
        <f t="shared" si="1"/>
        <v>29</v>
      </c>
      <c r="E102" s="56">
        <f>'Mastercurve bestimmen'!A46</f>
        <v>100000000000000</v>
      </c>
    </row>
    <row r="103" spans="1:5" x14ac:dyDescent="0.25">
      <c r="A103" s="50">
        <f t="shared" si="0"/>
        <v>30</v>
      </c>
      <c r="B103" s="56">
        <f>'Mastercurve bestimmen'!C47</f>
        <v>2.0828240532986285E-2</v>
      </c>
      <c r="C103" s="11"/>
      <c r="D103" s="51">
        <f t="shared" si="1"/>
        <v>30</v>
      </c>
      <c r="E103" s="56">
        <f>'Mastercurve bestimmen'!A47</f>
        <v>1000000000000000</v>
      </c>
    </row>
    <row r="104" spans="1:5" x14ac:dyDescent="0.25">
      <c r="A104" s="50">
        <f t="shared" si="0"/>
        <v>31</v>
      </c>
      <c r="B104" s="56">
        <f>'Mastercurve bestimmen'!C48</f>
        <v>2.990470230026878E-2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15235.672</v>
      </c>
    </row>
    <row r="108" spans="1:5" s="11" customFormat="1" x14ac:dyDescent="0.25">
      <c r="A108" s="61" t="str">
        <f>STUTT!B3</f>
        <v>mp,PRXY,MatID,</v>
      </c>
      <c r="B108" s="52">
        <f>STUTT!C3</f>
        <v>0.31467448999999997</v>
      </c>
    </row>
    <row r="109" spans="1:5" s="11" customFormat="1" x14ac:dyDescent="0.25">
      <c r="A109" s="61" t="str">
        <f>STUTT!B4</f>
        <v>mp,ey,MatID,</v>
      </c>
      <c r="B109" s="52">
        <f>STUTT!C4</f>
        <v>16591.558000000001</v>
      </c>
    </row>
    <row r="110" spans="1:5" s="11" customFormat="1" x14ac:dyDescent="0.25">
      <c r="A110" s="61" t="str">
        <f>STUTT!B5</f>
        <v>mp,PRYZ,MatID,</v>
      </c>
      <c r="B110" s="52">
        <f>STUTT!C5</f>
        <v>0.34269966000000002</v>
      </c>
    </row>
    <row r="111" spans="1:5" s="11" customFormat="1" x14ac:dyDescent="0.25">
      <c r="A111" s="61" t="str">
        <f>STUTT!B6</f>
        <v>mp,ez,MatID,</v>
      </c>
      <c r="B111" s="52">
        <f>STUTT!C6</f>
        <v>15235.672</v>
      </c>
    </row>
    <row r="112" spans="1:5" s="11" customFormat="1" x14ac:dyDescent="0.25">
      <c r="A112" s="61" t="str">
        <f>STUTT!B7</f>
        <v>mp,PRXZ,MatID,</v>
      </c>
      <c r="B112" s="52">
        <f>STUTT!C7</f>
        <v>0.35689667000000003</v>
      </c>
    </row>
    <row r="113" spans="1:4" s="11" customFormat="1" x14ac:dyDescent="0.25">
      <c r="A113" s="61" t="str">
        <f>STUTT!B8</f>
        <v>MP,GXZ,</v>
      </c>
      <c r="B113" s="52" t="str">
        <f>STUTT!C8</f>
        <v>MatID,</v>
      </c>
      <c r="C113" s="103">
        <f>STUTT!D8</f>
        <v>5614.1607000000004</v>
      </c>
      <c r="D113" s="103"/>
    </row>
    <row r="114" spans="1:4" s="11" customFormat="1" x14ac:dyDescent="0.25">
      <c r="A114" s="61" t="str">
        <f>STUTT!B9</f>
        <v>MP,GXY,</v>
      </c>
      <c r="B114" s="52" t="str">
        <f>STUTT!C9</f>
        <v>MatID,</v>
      </c>
      <c r="C114" s="103">
        <f>STUTT!D9</f>
        <v>6353.6364000000003</v>
      </c>
      <c r="D114" s="103"/>
    </row>
    <row r="115" spans="1:4" x14ac:dyDescent="0.25">
      <c r="A115" s="61" t="str">
        <f>STUTT!B10</f>
        <v>MP,GYZ,</v>
      </c>
      <c r="B115" s="52" t="str">
        <f>STUTT!C10</f>
        <v>MatID,</v>
      </c>
      <c r="C115" s="103">
        <f>STUTT!D10</f>
        <v>6353.6364000000003</v>
      </c>
      <c r="D115" s="103"/>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1.2240000000000001E-7</v>
      </c>
      <c r="C3" s="3">
        <v>1.1459999999999999E-6</v>
      </c>
      <c r="D3" s="3">
        <v>1.2240000000000001E-7</v>
      </c>
      <c r="E3" s="3">
        <v>-1.3499999999999999E-5</v>
      </c>
      <c r="F3" s="3">
        <v>-1.3499999999999999E-5</v>
      </c>
      <c r="G3" s="3">
        <v>-1.3499999999999999E-5</v>
      </c>
      <c r="H3" s="3">
        <v>-4.2429245999999999E-6</v>
      </c>
      <c r="I3" s="3">
        <v>-1.1442006E-6</v>
      </c>
      <c r="J3" s="3">
        <v>-4.2429245999999999E-6</v>
      </c>
      <c r="L3" s="48">
        <f>ABS(H3/(-0.5)/$L$1)</f>
        <v>2.4245283428571431E-5</v>
      </c>
      <c r="R3">
        <f>ABS(I3/(-0.5)/$R$1)</f>
        <v>2.4088433684210526E-5</v>
      </c>
    </row>
    <row r="4" spans="1:18" x14ac:dyDescent="0.25">
      <c r="A4">
        <v>-39</v>
      </c>
      <c r="B4" s="3">
        <v>-1.226E-7</v>
      </c>
      <c r="C4" s="3">
        <v>-1.145E-6</v>
      </c>
      <c r="D4" s="3">
        <v>-1.226E-7</v>
      </c>
      <c r="E4" s="3">
        <v>1.3499999999999999E-5</v>
      </c>
      <c r="F4" s="3">
        <v>1.3499999999999999E-5</v>
      </c>
      <c r="G4" s="3">
        <v>1.3499999999999999E-5</v>
      </c>
      <c r="H4" s="3">
        <v>4.2428435000000001E-6</v>
      </c>
      <c r="I4" s="3">
        <v>1.1442690999999999E-6</v>
      </c>
      <c r="J4" s="3">
        <v>4.2428435000000001E-6</v>
      </c>
      <c r="L4" s="48">
        <f t="shared" ref="L4:L14" si="0">ABS(H4/(-0.5)/$L$1)</f>
        <v>2.4244820000000003E-5</v>
      </c>
      <c r="N4" s="39" t="s">
        <v>27</v>
      </c>
      <c r="O4" s="39" t="s">
        <v>131</v>
      </c>
      <c r="P4" s="86" t="s">
        <v>132</v>
      </c>
      <c r="R4" s="11">
        <f t="shared" ref="R4:R14" si="1">ABS(I4/(-0.5)/$R$1)</f>
        <v>2.4089875789473683E-5</v>
      </c>
    </row>
    <row r="5" spans="1:18" x14ac:dyDescent="0.25">
      <c r="A5">
        <v>0</v>
      </c>
      <c r="B5" s="3">
        <v>1.303E-7</v>
      </c>
      <c r="C5" s="3">
        <v>1.1200000000000001E-6</v>
      </c>
      <c r="D5" s="3">
        <v>1.303E-7</v>
      </c>
      <c r="E5" s="3">
        <v>-1.3499999999999999E-5</v>
      </c>
      <c r="F5" s="3">
        <v>-1.3499999999999999E-5</v>
      </c>
      <c r="G5" s="3">
        <v>-1.3499999999999999E-5</v>
      </c>
      <c r="H5" s="3">
        <v>-4.2396238999999999E-6</v>
      </c>
      <c r="I5" s="3">
        <v>-1.1469864999999999E-6</v>
      </c>
      <c r="J5" s="3">
        <v>-4.2396238999999999E-6</v>
      </c>
      <c r="L5" s="48">
        <f t="shared" si="0"/>
        <v>2.4226422285714285E-5</v>
      </c>
      <c r="M5" s="48"/>
      <c r="N5" s="10">
        <f>(INDEX(A:A,ROW(A2)*2+1)+INDEX(A:A,ROW(A2)*2+2))/2</f>
        <v>0.5</v>
      </c>
      <c r="O5" s="90">
        <f>(INDEX(L:L,ROW(L2)*2+1)+INDEX(L:L,ROW(L2)*2+2))/2</f>
        <v>2.4226182285714289E-5</v>
      </c>
      <c r="P5" s="90">
        <f>(INDEX(R:R,ROW(M2)*2+1)+INDEX(R:R,ROW(R2)*2+2))/2</f>
        <v>2.4147830526315789E-5</v>
      </c>
      <c r="R5" s="11">
        <f t="shared" si="1"/>
        <v>2.4147084210526313E-5</v>
      </c>
    </row>
    <row r="6" spans="1:18" x14ac:dyDescent="0.25">
      <c r="A6">
        <v>1</v>
      </c>
      <c r="B6" s="3">
        <v>-1.3050000000000001E-7</v>
      </c>
      <c r="C6" s="3">
        <v>-1.1200000000000001E-6</v>
      </c>
      <c r="D6" s="3">
        <v>-1.3050000000000001E-7</v>
      </c>
      <c r="E6" s="3">
        <v>1.3499999999999999E-5</v>
      </c>
      <c r="F6" s="3">
        <v>1.3499999999999999E-5</v>
      </c>
      <c r="G6" s="3">
        <v>1.3499999999999999E-5</v>
      </c>
      <c r="H6" s="3">
        <v>4.2395399000000001E-6</v>
      </c>
      <c r="I6" s="3">
        <v>1.1470574E-6</v>
      </c>
      <c r="J6" s="3">
        <v>4.2395399000000001E-6</v>
      </c>
      <c r="L6" s="48">
        <f t="shared" si="0"/>
        <v>2.4225942285714289E-5</v>
      </c>
      <c r="M6" s="49"/>
      <c r="N6" s="10">
        <f>(INDEX(A:A,ROW(A3)*2+1)+INDEX(A:A,ROW(A3)*2+2))/2</f>
        <v>130.5</v>
      </c>
      <c r="O6" s="90">
        <f t="shared" ref="O6:O7" si="2">(INDEX(L:L,ROW(L3)*2+1)+INDEX(L:L,ROW(L3)*2+2))/2</f>
        <v>2.6648912571428573E-5</v>
      </c>
      <c r="P6" s="90">
        <f t="shared" ref="P6:P9" si="3">(INDEX(R:R,ROW(M3)*2+1)+INDEX(R:R,ROW(R3)*2+2))/2</f>
        <v>2.650956736842105E-5</v>
      </c>
      <c r="R6" s="11">
        <f t="shared" si="1"/>
        <v>2.4148576842105264E-5</v>
      </c>
    </row>
    <row r="7" spans="1:18" x14ac:dyDescent="0.25">
      <c r="A7">
        <v>130</v>
      </c>
      <c r="B7" s="3">
        <v>1.5809999999999999E-7</v>
      </c>
      <c r="C7" s="3">
        <v>1.2929999999999999E-6</v>
      </c>
      <c r="D7" s="3">
        <v>1.5809999999999999E-7</v>
      </c>
      <c r="E7" s="3">
        <v>-1.435E-5</v>
      </c>
      <c r="F7" s="3">
        <v>-1.435E-5</v>
      </c>
      <c r="G7" s="3">
        <v>-1.435E-5</v>
      </c>
      <c r="H7" s="3">
        <v>-4.4458521000000004E-6</v>
      </c>
      <c r="I7" s="3">
        <v>-1.2079535E-6</v>
      </c>
      <c r="J7" s="3">
        <v>-4.4458521000000004E-6</v>
      </c>
      <c r="L7" s="48">
        <f t="shared" si="0"/>
        <v>2.5404869142857148E-5</v>
      </c>
      <c r="M7" s="48"/>
      <c r="N7" s="10">
        <f>(INDEX(A:A,ROW(A4)*2+1)+INDEX(A:A,ROW(A4)*2+2))/2</f>
        <v>135.5</v>
      </c>
      <c r="O7" s="90">
        <f t="shared" si="2"/>
        <v>5.1568891714285722E-5</v>
      </c>
      <c r="P7" s="90">
        <f t="shared" si="3"/>
        <v>4.8061975789473684E-5</v>
      </c>
      <c r="R7" s="11">
        <f t="shared" si="1"/>
        <v>2.54306E-5</v>
      </c>
    </row>
    <row r="8" spans="1:18" x14ac:dyDescent="0.25">
      <c r="A8">
        <v>131</v>
      </c>
      <c r="B8" s="3">
        <v>-1.582E-7</v>
      </c>
      <c r="C8" s="3">
        <v>-1.8190000000000001E-6</v>
      </c>
      <c r="D8" s="3">
        <v>-1.582E-7</v>
      </c>
      <c r="E8" s="3">
        <v>1.605E-5</v>
      </c>
      <c r="F8" s="3">
        <v>1.605E-5</v>
      </c>
      <c r="G8" s="3">
        <v>1.605E-5</v>
      </c>
      <c r="H8" s="3">
        <v>4.8812672999999997E-6</v>
      </c>
      <c r="I8" s="3">
        <v>1.3104554E-6</v>
      </c>
      <c r="J8" s="3">
        <v>4.8812672999999997E-6</v>
      </c>
      <c r="L8" s="48">
        <f t="shared" si="0"/>
        <v>2.7892956000000002E-5</v>
      </c>
      <c r="M8" s="49"/>
      <c r="N8" s="10">
        <f>(INDEX(A:A,ROW(A5)*2+1)+INDEX(A:A,ROW(A5)*2+2))/2</f>
        <v>140.5</v>
      </c>
      <c r="O8" s="90">
        <f t="shared" ref="O8:O9" si="4">(INDEX(L:L,ROW(L5)*2+1)+INDEX(L:L,ROW(L5)*2+2))/2</f>
        <v>7.4083502857142863E-5</v>
      </c>
      <c r="P8" s="90">
        <f t="shared" si="3"/>
        <v>6.7455582105263172E-5</v>
      </c>
      <c r="R8" s="11">
        <f t="shared" si="1"/>
        <v>2.7588534736842104E-5</v>
      </c>
    </row>
    <row r="9" spans="1:18" x14ac:dyDescent="0.25">
      <c r="A9">
        <v>135</v>
      </c>
      <c r="B9" s="3">
        <v>1.5979999999999999E-7</v>
      </c>
      <c r="C9" s="3">
        <v>6.5459999999999997E-6</v>
      </c>
      <c r="D9" s="3">
        <v>1.5979999999999999E-7</v>
      </c>
      <c r="E9" s="3">
        <v>-3.1350000000000003E-5</v>
      </c>
      <c r="F9" s="3">
        <v>-3.1350000000000003E-5</v>
      </c>
      <c r="G9" s="3">
        <v>-3.1350000000000003E-5</v>
      </c>
      <c r="H9" s="3">
        <v>-8.8054330000000007E-6</v>
      </c>
      <c r="I9" s="3">
        <v>-2.2319185999999999E-6</v>
      </c>
      <c r="J9" s="3">
        <v>-8.8054330000000007E-6</v>
      </c>
      <c r="L9" s="48">
        <f t="shared" si="0"/>
        <v>5.031676000000001E-5</v>
      </c>
      <c r="M9" s="48"/>
      <c r="N9" s="10">
        <f>(INDEX(A:A,ROW(A6)*2+1)+INDEX(A:A,ROW(A6)*2+2))/2</f>
        <v>180.5</v>
      </c>
      <c r="O9" s="90">
        <f t="shared" si="4"/>
        <v>7.3900625714285717E-5</v>
      </c>
      <c r="P9" s="90">
        <f t="shared" si="3"/>
        <v>6.8093082105263154E-5</v>
      </c>
      <c r="R9" s="11">
        <f t="shared" si="1"/>
        <v>4.6987759999999995E-5</v>
      </c>
    </row>
    <row r="10" spans="1:18" x14ac:dyDescent="0.25">
      <c r="A10">
        <v>136</v>
      </c>
      <c r="B10" s="3">
        <v>-1.585E-7</v>
      </c>
      <c r="C10" s="3">
        <v>-7.0729999999999999E-6</v>
      </c>
      <c r="D10" s="3">
        <v>-1.585E-7</v>
      </c>
      <c r="E10" s="3">
        <v>3.3049999999999997E-5</v>
      </c>
      <c r="F10" s="3">
        <v>3.3049999999999997E-5</v>
      </c>
      <c r="G10" s="3">
        <v>3.3049999999999997E-5</v>
      </c>
      <c r="H10" s="3">
        <v>9.2436791000000001E-6</v>
      </c>
      <c r="I10" s="3">
        <v>2.3339691000000002E-6</v>
      </c>
      <c r="J10" s="3">
        <v>9.2436791000000001E-6</v>
      </c>
      <c r="L10" s="48">
        <f t="shared" si="0"/>
        <v>5.2821023428571435E-5</v>
      </c>
      <c r="M10" s="49"/>
      <c r="N10" s="10"/>
      <c r="O10" s="3"/>
      <c r="R10" s="11">
        <f t="shared" si="1"/>
        <v>4.9136191578947373E-5</v>
      </c>
    </row>
    <row r="11" spans="1:18" x14ac:dyDescent="0.25">
      <c r="A11">
        <v>140</v>
      </c>
      <c r="B11" s="3">
        <v>1.438E-7</v>
      </c>
      <c r="C11" s="3">
        <v>1.154E-5</v>
      </c>
      <c r="D11" s="3">
        <v>1.438E-7</v>
      </c>
      <c r="E11" s="3">
        <v>-4.7500000000000003E-5</v>
      </c>
      <c r="F11" s="3">
        <v>-4.7500000000000003E-5</v>
      </c>
      <c r="G11" s="3">
        <v>-4.7500000000000003E-5</v>
      </c>
      <c r="H11" s="3">
        <v>-1.2964930000000001E-5</v>
      </c>
      <c r="I11" s="3">
        <v>-3.2037967E-6</v>
      </c>
      <c r="J11" s="3">
        <v>-1.2964930000000001E-5</v>
      </c>
      <c r="L11" s="48">
        <f t="shared" si="0"/>
        <v>7.4085314285714295E-5</v>
      </c>
      <c r="M11" s="48"/>
      <c r="N11" s="10"/>
      <c r="O11" s="3"/>
      <c r="R11" s="11">
        <f t="shared" si="1"/>
        <v>6.7448351578947374E-5</v>
      </c>
    </row>
    <row r="12" spans="1:18" x14ac:dyDescent="0.25">
      <c r="A12">
        <v>141</v>
      </c>
      <c r="B12" s="3">
        <v>-1.4560000000000001E-7</v>
      </c>
      <c r="C12" s="3">
        <v>-1.154E-5</v>
      </c>
      <c r="D12" s="3">
        <v>-1.4560000000000001E-7</v>
      </c>
      <c r="E12" s="3">
        <v>4.7500000000000003E-5</v>
      </c>
      <c r="F12" s="3">
        <v>4.7500000000000003E-5</v>
      </c>
      <c r="G12" s="3">
        <v>4.7500000000000003E-5</v>
      </c>
      <c r="H12" s="3">
        <v>1.2964296E-5</v>
      </c>
      <c r="I12" s="3">
        <v>3.2044836000000002E-6</v>
      </c>
      <c r="J12" s="3">
        <v>1.2964296E-5</v>
      </c>
      <c r="L12" s="48">
        <f t="shared" si="0"/>
        <v>7.4081691428571432E-5</v>
      </c>
      <c r="M12" s="49"/>
      <c r="N12" s="10"/>
      <c r="O12" s="3"/>
      <c r="R12" s="11">
        <f t="shared" si="1"/>
        <v>6.7462812631578957E-5</v>
      </c>
    </row>
    <row r="13" spans="1:18" x14ac:dyDescent="0.25">
      <c r="A13">
        <v>180</v>
      </c>
      <c r="B13" s="3">
        <v>2.2889999999999999E-7</v>
      </c>
      <c r="C13" s="3">
        <v>1.1260000000000001E-5</v>
      </c>
      <c r="D13" s="3">
        <v>2.2889999999999999E-7</v>
      </c>
      <c r="E13" s="3">
        <v>-4.7500000000000003E-5</v>
      </c>
      <c r="F13" s="3">
        <v>-4.7500000000000003E-5</v>
      </c>
      <c r="G13" s="3">
        <v>-4.7500000000000003E-5</v>
      </c>
      <c r="H13" s="3">
        <v>-1.2933022999999999E-5</v>
      </c>
      <c r="I13" s="3">
        <v>-3.2340268000000001E-6</v>
      </c>
      <c r="J13" s="3">
        <v>-1.2933022999999999E-5</v>
      </c>
      <c r="L13" s="48">
        <f t="shared" si="0"/>
        <v>7.3902988571428573E-5</v>
      </c>
      <c r="M13" s="48"/>
      <c r="N13" s="10"/>
      <c r="O13" s="3"/>
      <c r="R13" s="11">
        <f t="shared" si="1"/>
        <v>6.8084774736842111E-5</v>
      </c>
    </row>
    <row r="14" spans="1:18" x14ac:dyDescent="0.25">
      <c r="A14" s="11">
        <v>181</v>
      </c>
      <c r="B14" s="3">
        <v>-2.3099999999999999E-7</v>
      </c>
      <c r="C14" s="3">
        <v>-1.1250000000000001E-5</v>
      </c>
      <c r="D14" s="3">
        <v>-2.3099999999999999E-7</v>
      </c>
      <c r="E14" s="3">
        <v>4.7500000000000003E-5</v>
      </c>
      <c r="F14" s="3">
        <v>4.7500000000000003E-5</v>
      </c>
      <c r="G14" s="3">
        <v>4.7500000000000003E-5</v>
      </c>
      <c r="H14" s="3">
        <v>1.2932196E-5</v>
      </c>
      <c r="I14" s="3">
        <v>3.2348159999999999E-6</v>
      </c>
      <c r="J14" s="3">
        <v>1.2932196E-5</v>
      </c>
      <c r="L14" s="48">
        <f t="shared" si="0"/>
        <v>7.3898262857142861E-5</v>
      </c>
      <c r="M14" s="49"/>
      <c r="N14" s="10"/>
      <c r="O14" s="3"/>
      <c r="R14" s="11">
        <f t="shared" si="1"/>
        <v>6.810138947368421E-5</v>
      </c>
    </row>
    <row r="15" spans="1:18" x14ac:dyDescent="0.25">
      <c r="L15" s="48"/>
      <c r="M15" s="48"/>
      <c r="N15" s="10"/>
      <c r="O15" s="3"/>
    </row>
    <row r="16" spans="1:18" x14ac:dyDescent="0.25">
      <c r="L16" s="48"/>
      <c r="M16" s="49"/>
      <c r="N16" s="10"/>
      <c r="O16" s="3"/>
    </row>
    <row r="17" spans="2:15" x14ac:dyDescent="0.25">
      <c r="B17" s="89" t="s">
        <v>128</v>
      </c>
      <c r="C17" s="89"/>
      <c r="D17" s="89"/>
      <c r="E17" s="89"/>
      <c r="F17" s="89"/>
      <c r="G17" s="89"/>
      <c r="H17" s="89"/>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15235.672</v>
      </c>
    </row>
    <row r="3" spans="2:4" x14ac:dyDescent="0.25">
      <c r="B3" t="s">
        <v>119</v>
      </c>
      <c r="C3" s="3">
        <v>0.31467448999999997</v>
      </c>
    </row>
    <row r="4" spans="2:4" x14ac:dyDescent="0.25">
      <c r="B4" t="s">
        <v>120</v>
      </c>
      <c r="C4" s="3">
        <v>16591.558000000001</v>
      </c>
    </row>
    <row r="5" spans="2:4" x14ac:dyDescent="0.25">
      <c r="B5" t="s">
        <v>121</v>
      </c>
      <c r="C5" s="3">
        <v>0.34269966000000002</v>
      </c>
    </row>
    <row r="6" spans="2:4" x14ac:dyDescent="0.25">
      <c r="B6" t="s">
        <v>122</v>
      </c>
      <c r="C6" s="3">
        <v>15235.672</v>
      </c>
    </row>
    <row r="7" spans="2:4" x14ac:dyDescent="0.25">
      <c r="B7" t="s">
        <v>123</v>
      </c>
      <c r="C7" s="3">
        <v>0.35689667000000003</v>
      </c>
    </row>
    <row r="8" spans="2:4" x14ac:dyDescent="0.25">
      <c r="B8" t="s">
        <v>124</v>
      </c>
      <c r="C8" t="s">
        <v>125</v>
      </c>
      <c r="D8" s="3">
        <v>5614.1607000000004</v>
      </c>
    </row>
    <row r="9" spans="2:4" x14ac:dyDescent="0.25">
      <c r="B9" t="s">
        <v>126</v>
      </c>
      <c r="C9" t="s">
        <v>125</v>
      </c>
      <c r="D9" s="3">
        <v>6353.6364000000003</v>
      </c>
    </row>
    <row r="10" spans="2:4" x14ac:dyDescent="0.25">
      <c r="B10" t="s">
        <v>127</v>
      </c>
      <c r="C10" t="s">
        <v>125</v>
      </c>
      <c r="D10" s="3">
        <v>6353.6364000000003</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N19"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04" t="s">
        <v>7</v>
      </c>
      <c r="B1" s="104"/>
      <c r="C1" s="104"/>
      <c r="D1" s="104"/>
      <c r="E1" s="104"/>
      <c r="F1" s="104"/>
      <c r="G1" s="104"/>
      <c r="H1" s="104"/>
      <c r="I1" s="104"/>
      <c r="J1" s="104"/>
      <c r="K1" s="104"/>
      <c r="M1" s="104" t="s">
        <v>8</v>
      </c>
      <c r="N1" s="104"/>
      <c r="O1" s="104"/>
      <c r="P1" s="104"/>
      <c r="Q1" s="104"/>
      <c r="R1" s="104"/>
      <c r="S1" s="104"/>
      <c r="T1" s="104"/>
      <c r="U1" s="104"/>
      <c r="V1" s="104"/>
      <c r="W1" s="104"/>
      <c r="X1" s="104"/>
      <c r="Z1" s="105" t="s">
        <v>10</v>
      </c>
      <c r="AA1" s="105"/>
      <c r="AB1" s="105"/>
      <c r="AC1" s="105"/>
      <c r="AD1" s="105"/>
      <c r="AE1" s="105"/>
      <c r="AF1" s="105"/>
      <c r="AG1" s="105"/>
      <c r="AH1" s="105"/>
      <c r="AI1" s="105"/>
      <c r="AJ1" s="105"/>
      <c r="AL1" s="104" t="s">
        <v>11</v>
      </c>
      <c r="AM1" s="104"/>
      <c r="AN1" s="104"/>
      <c r="AO1" s="104"/>
      <c r="AP1" s="104"/>
      <c r="AQ1" s="104"/>
      <c r="AR1" s="104"/>
      <c r="AS1" s="104"/>
      <c r="AT1" s="104"/>
      <c r="AU1" s="104"/>
      <c r="AV1" s="104"/>
      <c r="AX1" s="104" t="s">
        <v>12</v>
      </c>
      <c r="AY1" s="104"/>
      <c r="AZ1" s="104"/>
      <c r="BA1" s="104"/>
      <c r="BB1" s="104"/>
      <c r="BC1" s="104"/>
      <c r="BD1" s="104"/>
      <c r="BE1" s="104"/>
      <c r="BF1" s="104"/>
      <c r="BG1" s="104"/>
      <c r="BH1" s="104"/>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-6.5441251428571432E-4</v>
      </c>
      <c r="C3" s="2">
        <f>IF('Modell einstellen'!$B$2="Ja",creep_res0!O3,creep_res0!C3)</f>
        <v>-6.5559585714285726E-4</v>
      </c>
      <c r="D3" s="2">
        <f>IF('Modell einstellen'!$B$2="Ja",creep_res25!O3,creep_res25!C3)</f>
        <v>-6.5636251428571434E-4</v>
      </c>
      <c r="E3" s="2">
        <f>IF('Modell einstellen'!$B$2="Ja",creep_res50!O3,creep_res50!C3)</f>
        <v>-6.5715740000000004E-4</v>
      </c>
      <c r="F3" s="2">
        <f>IF('Modell einstellen'!$B$2="Ja",creep_res80!O3,creep_res80!C3)</f>
        <v>-6.6437708571428578E-4</v>
      </c>
      <c r="G3" s="2">
        <f>IF('Modell einstellen'!$B$2="Ja",creep_res125!O3,creep_res125!C3)</f>
        <v>-7.8725765714285714E-4</v>
      </c>
      <c r="H3" s="2">
        <f>IF('Modell einstellen'!$B$2="Ja",creep_res160!O3,creep_res160!C3)</f>
        <v>-1.0072007142857143E-3</v>
      </c>
      <c r="M3" s="9">
        <v>-10</v>
      </c>
      <c r="N3" s="2">
        <f t="shared" ref="N3:N33" si="4">A3</f>
        <v>1.0000000000000001E-15</v>
      </c>
      <c r="O3" s="2">
        <f t="shared" ref="O3:O33" si="5">$M$3/B3</f>
        <v>15280.881373295428</v>
      </c>
      <c r="P3" s="2">
        <f t="shared" ref="P3:P33" si="6">$M$3/C3</f>
        <v>15253.299561075408</v>
      </c>
      <c r="Q3" s="2">
        <f t="shared" ref="Q3:Q33" si="7">$M$3/D3</f>
        <v>15235.483109334004</v>
      </c>
      <c r="R3" s="2">
        <f t="shared" ref="R3:R33" si="8">$M$3/E3</f>
        <v>15217.054544314649</v>
      </c>
      <c r="S3" s="2">
        <f t="shared" ref="S3:S33" si="9">$M$3/F3</f>
        <v>15051.693104750579</v>
      </c>
      <c r="T3" s="2">
        <f t="shared" ref="T3:T33" si="10">$M$3/G3</f>
        <v>12702.321672287504</v>
      </c>
      <c r="U3" s="2">
        <f t="shared" ref="U3:U33" si="11">$M$3/H3</f>
        <v>9928.5076531064533</v>
      </c>
      <c r="Z3" s="2">
        <v>1.0000000000000001E-15</v>
      </c>
      <c r="AA3" s="3">
        <f>IF('Modell einstellen'!$B$2="Ja",'creep_res-40'!P3,'creep_res-40'!L3)</f>
        <v>0.35762364044906925</v>
      </c>
      <c r="AB3" s="2">
        <f>IF('Modell einstellen'!$B$2="Ja",creep_res0!P3,creep_res0!L3)</f>
        <v>0.35716789808006716</v>
      </c>
      <c r="AC3" s="2">
        <f>IF('Modell einstellen'!$B$2="Ja",creep_res25!P3,creep_res25!L3)</f>
        <v>0.35688010475744064</v>
      </c>
      <c r="AD3" s="2">
        <f>IF('Modell einstellen'!$B$2="Ja",creep_res50!P3,creep_res50!L3)</f>
        <v>0.35659204759338153</v>
      </c>
      <c r="AE3" s="2">
        <f>IF('Modell einstellen'!$B$2="Ja",creep_res80!P3,creep_res80!L3)</f>
        <v>0.35812893349121266</v>
      </c>
      <c r="AF3" s="2">
        <f>IF('Modell einstellen'!$B$2="Ja",creep_res125!P3,creep_res125!L3)</f>
        <v>0.39078434949124302</v>
      </c>
      <c r="AG3" s="2">
        <f>IF('Modell einstellen'!$B$2="Ja",creep_res160!P3,creep_res160!L3)</f>
        <v>0.43962941136005662</v>
      </c>
      <c r="AL3" s="2">
        <f t="shared" ref="AL3:AL33" si="12">Z3</f>
        <v>1.0000000000000001E-15</v>
      </c>
      <c r="AM3" s="2">
        <f t="shared" ref="AM3:AM33" si="13">O3/(2*(1+AA3))</f>
        <v>5627.8046868132324</v>
      </c>
      <c r="AN3" s="2">
        <f t="shared" ref="AN3:AN33" si="14">P3/(2*(1+AB3))</f>
        <v>5619.5329931741162</v>
      </c>
      <c r="AO3" s="2">
        <f t="shared" ref="AO3:AO33" si="15">Q3/(2*(1+AC3))</f>
        <v>5614.15966521874</v>
      </c>
      <c r="AP3" s="2">
        <f t="shared" ref="AP3:AP33" si="16">R3/(2*(1+AD3))</f>
        <v>5608.5595412821331</v>
      </c>
      <c r="AQ3" s="2">
        <f t="shared" ref="AQ3:AQ33" si="17">S3/(2*(1+AE3))</f>
        <v>5541.3343805505365</v>
      </c>
      <c r="AR3" s="2">
        <f t="shared" ref="AR3:AR33" si="18">T3/(2*(1+AF3))</f>
        <v>4566.6036136134571</v>
      </c>
      <c r="AS3" s="2">
        <f t="shared" ref="AS3:AS33" si="19">U3/(2*(1+AG3))</f>
        <v>3448.2859181540075</v>
      </c>
      <c r="AX3" s="2">
        <f>AL3</f>
        <v>1.0000000000000001E-15</v>
      </c>
      <c r="AY3" s="37">
        <f t="shared" ref="AY3:AY33" si="20">O3/(3*(1-(2*AA3)))</f>
        <v>17887.896349146788</v>
      </c>
      <c r="AZ3" s="37">
        <f t="shared" ref="AZ3:AZ33" si="21">P3/(3*(1-(2*AB3)))</f>
        <v>17798.636016276327</v>
      </c>
      <c r="BA3" s="37">
        <f t="shared" ref="BA3:BA33" si="22">Q3/(3*(1-(2*AC3)))</f>
        <v>17742.097844506447</v>
      </c>
      <c r="BB3" s="37">
        <f t="shared" ref="BB3:BB33" si="23">R3/(3*(1-(2*AD3)))</f>
        <v>17685.042669005619</v>
      </c>
      <c r="BC3" s="37">
        <f t="shared" ref="BC3:BC33" si="24">S3/(3*(1-(2*AE3)))</f>
        <v>17682.361733025027</v>
      </c>
      <c r="BD3" s="37">
        <f t="shared" ref="BD3:BD33" si="25">T3/(3*(1-(2*AF3)))</f>
        <v>19384.159707753337</v>
      </c>
      <c r="BE3" s="37">
        <f t="shared" ref="BE3:BE33" si="26">U3/(3*(1-(2*AG3)))</f>
        <v>27409.891352672657</v>
      </c>
    </row>
    <row r="4" spans="1:308" x14ac:dyDescent="0.25">
      <c r="A4" s="2">
        <f>'creep_res-40'!A4</f>
        <v>1E-14</v>
      </c>
      <c r="B4" s="3">
        <f>'creep_res-40'!O4</f>
        <v>-6.5440097142857156E-4</v>
      </c>
      <c r="C4" s="2">
        <f>IF('Modell einstellen'!$B$2="Ja",creep_res0!O4,creep_res0!C4)</f>
        <v>-6.555841714285715E-4</v>
      </c>
      <c r="D4" s="2">
        <f>IF('Modell einstellen'!$B$2="Ja",creep_res25!O4,creep_res25!C4)</f>
        <v>-6.5635131428571432E-4</v>
      </c>
      <c r="E4" s="2">
        <f>IF('Modell einstellen'!$B$2="Ja",creep_res50!O4,creep_res50!C4)</f>
        <v>-6.5725068571428577E-4</v>
      </c>
      <c r="F4" s="2">
        <f>IF('Modell einstellen'!$B$2="Ja",creep_res80!O4,creep_res80!C4)</f>
        <v>-6.8582485714285715E-4</v>
      </c>
      <c r="G4" s="2">
        <f>IF('Modell einstellen'!$B$2="Ja",creep_res125!O4,creep_res125!C4)</f>
        <v>-8.184972571428572E-4</v>
      </c>
      <c r="H4" s="2">
        <f>IF('Modell einstellen'!$B$2="Ja",creep_res160!O4,creep_res160!C4)</f>
        <v>-1.0636676000000001E-3</v>
      </c>
      <c r="M4" s="9">
        <f t="shared" ref="M4:M31" si="27">M3</f>
        <v>-10</v>
      </c>
      <c r="N4" s="2">
        <f t="shared" si="4"/>
        <v>1E-14</v>
      </c>
      <c r="O4" s="2">
        <f t="shared" si="5"/>
        <v>15281.150909922677</v>
      </c>
      <c r="P4" s="2">
        <f t="shared" si="6"/>
        <v>15253.571449428351</v>
      </c>
      <c r="Q4" s="2">
        <f t="shared" si="7"/>
        <v>15235.743088109259</v>
      </c>
      <c r="R4" s="2">
        <f t="shared" si="8"/>
        <v>15214.894738576373</v>
      </c>
      <c r="S4" s="2">
        <f t="shared" si="9"/>
        <v>14580.982149961652</v>
      </c>
      <c r="T4" s="2">
        <f t="shared" si="10"/>
        <v>12217.511925338853</v>
      </c>
      <c r="U4" s="2">
        <f t="shared" si="11"/>
        <v>9401.4333049159341</v>
      </c>
      <c r="Z4" s="2">
        <v>1E-14</v>
      </c>
      <c r="AA4" s="3">
        <f>IF('Modell einstellen'!$B$2="Ja",'creep_res-40'!P4,'creep_res-40'!L4)</f>
        <v>0.3576396542198636</v>
      </c>
      <c r="AB4" s="2">
        <f>IF('Modell einstellen'!$B$2="Ja",creep_res0!P4,creep_res0!L4)</f>
        <v>0.35718414887206806</v>
      </c>
      <c r="AC4" s="2">
        <f>IF('Modell einstellen'!$B$2="Ja",creep_res25!P4,creep_res25!L4)</f>
        <v>0.35689668111537481</v>
      </c>
      <c r="AD4" s="2">
        <f>IF('Modell einstellen'!$B$2="Ja",creep_res50!P4,creep_res50!L4)</f>
        <v>0.35664181016558416</v>
      </c>
      <c r="AE4" s="2">
        <f>IF('Modell einstellen'!$B$2="Ja",creep_res80!P4,creep_res80!L4)</f>
        <v>0.36444511655828826</v>
      </c>
      <c r="AF4" s="2">
        <f>IF('Modell einstellen'!$B$2="Ja",creep_res125!P4,creep_res125!L4)</f>
        <v>0.3985505981624024</v>
      </c>
      <c r="AG4" s="2">
        <f>IF('Modell einstellen'!$B$2="Ja",creep_res160!P4,creep_res160!L4)</f>
        <v>0.45102103057652321</v>
      </c>
      <c r="AL4" s="2">
        <f t="shared" si="12"/>
        <v>1E-14</v>
      </c>
      <c r="AM4" s="2">
        <f t="shared" si="13"/>
        <v>5627.8375717832278</v>
      </c>
      <c r="AN4" s="2">
        <f t="shared" si="14"/>
        <v>5619.5658717740425</v>
      </c>
      <c r="AO4" s="2">
        <f t="shared" si="15"/>
        <v>5614.1868795733999</v>
      </c>
      <c r="AP4" s="2">
        <f t="shared" si="16"/>
        <v>5607.5578036030483</v>
      </c>
      <c r="AQ4" s="2">
        <f t="shared" si="17"/>
        <v>5343.1911525840997</v>
      </c>
      <c r="AR4" s="2">
        <f t="shared" si="18"/>
        <v>4367.9191662396088</v>
      </c>
      <c r="AS4" s="2">
        <f t="shared" si="19"/>
        <v>3239.5923652397146</v>
      </c>
      <c r="AX4" s="2">
        <f t="shared" ref="AX4:AX32" si="28">AL4</f>
        <v>1E-14</v>
      </c>
      <c r="AY4" s="37">
        <f t="shared" si="20"/>
        <v>17890.224072091831</v>
      </c>
      <c r="AZ4" s="37">
        <f t="shared" si="21"/>
        <v>17800.978589979797</v>
      </c>
      <c r="BA4" s="37">
        <f t="shared" si="22"/>
        <v>17744.455785348626</v>
      </c>
      <c r="BB4" s="37">
        <f t="shared" si="23"/>
        <v>17688.670543982822</v>
      </c>
      <c r="BC4" s="37">
        <f t="shared" si="24"/>
        <v>17927.525958186816</v>
      </c>
      <c r="BD4" s="37">
        <f t="shared" si="25"/>
        <v>20071.601711522675</v>
      </c>
      <c r="BE4" s="37">
        <f t="shared" si="26"/>
        <v>31991.394863205656</v>
      </c>
      <c r="BF4" s="5"/>
      <c r="BG4" s="5"/>
    </row>
    <row r="5" spans="1:308" x14ac:dyDescent="0.25">
      <c r="A5" s="2">
        <f>'creep_res-40'!A5</f>
        <v>1E-13</v>
      </c>
      <c r="B5" s="3">
        <f>'creep_res-40'!O5</f>
        <v>-6.5440331428571433E-4</v>
      </c>
      <c r="C5" s="2">
        <f>IF('Modell einstellen'!$B$2="Ja",creep_res0!O5,creep_res0!C5)</f>
        <v>-6.5558654285714291E-4</v>
      </c>
      <c r="D5" s="2">
        <f>IF('Modell einstellen'!$B$2="Ja",creep_res25!O5,creep_res25!C5)</f>
        <v>-6.5635940000000005E-4</v>
      </c>
      <c r="E5" s="2">
        <f>IF('Modell einstellen'!$B$2="Ja",creep_res50!O5,creep_res50!C5)</f>
        <v>-6.5826888571428571E-4</v>
      </c>
      <c r="F5" s="2">
        <f>IF('Modell einstellen'!$B$2="Ja",creep_res80!O5,creep_res80!C5)</f>
        <v>-6.9870320000000002E-4</v>
      </c>
      <c r="G5" s="2">
        <f>IF('Modell einstellen'!$B$2="Ja",creep_res125!O5,creep_res125!C5)</f>
        <v>-8.4497211428571429E-4</v>
      </c>
      <c r="H5" s="2">
        <f>IF('Modell einstellen'!$B$2="Ja",creep_res160!O5,creep_res160!C5)</f>
        <v>-1.1109540285714286E-3</v>
      </c>
      <c r="M5" s="9">
        <f t="shared" si="27"/>
        <v>-10</v>
      </c>
      <c r="N5" s="2">
        <f t="shared" si="4"/>
        <v>1E-13</v>
      </c>
      <c r="O5" s="2">
        <f t="shared" si="5"/>
        <v>15281.096201224267</v>
      </c>
      <c r="P5" s="2">
        <f t="shared" si="6"/>
        <v>15253.516273257417</v>
      </c>
      <c r="Q5" s="2">
        <f t="shared" si="7"/>
        <v>15235.55539846005</v>
      </c>
      <c r="R5" s="2">
        <f t="shared" si="8"/>
        <v>15191.360577750882</v>
      </c>
      <c r="S5" s="2">
        <f t="shared" si="9"/>
        <v>14312.228711704769</v>
      </c>
      <c r="T5" s="2">
        <f t="shared" si="10"/>
        <v>11834.710082063908</v>
      </c>
      <c r="U5" s="2">
        <f t="shared" si="11"/>
        <v>9001.2725484770599</v>
      </c>
      <c r="Z5" s="2">
        <v>1E-13</v>
      </c>
      <c r="AA5" s="3">
        <f>IF('Modell einstellen'!$B$2="Ja",'creep_res-40'!P5,'creep_res-40'!L5)</f>
        <v>0.35763969672525237</v>
      </c>
      <c r="AB5" s="2">
        <f>IF('Modell einstellen'!$B$2="Ja",creep_res0!P5,creep_res0!L5)</f>
        <v>0.35718419043640259</v>
      </c>
      <c r="AC5" s="2">
        <f>IF('Modell einstellen'!$B$2="Ja",creep_res25!P5,creep_res25!L5)</f>
        <v>0.3568985223644241</v>
      </c>
      <c r="AD5" s="2">
        <f>IF('Modell einstellen'!$B$2="Ja",creep_res50!P5,creep_res50!L5)</f>
        <v>0.35696149523961357</v>
      </c>
      <c r="AE5" s="2">
        <f>IF('Modell einstellen'!$B$2="Ja",creep_res80!P5,creep_res80!L5)</f>
        <v>0.3681550743884221</v>
      </c>
      <c r="AF5" s="2">
        <f>IF('Modell einstellen'!$B$2="Ja",creep_res125!P5,creep_res125!L5)</f>
        <v>0.40496453915097924</v>
      </c>
      <c r="AG5" s="2">
        <f>IF('Modell einstellen'!$B$2="Ja",creep_res160!P5,creep_res160!L5)</f>
        <v>0.46031201342496075</v>
      </c>
      <c r="AL5" s="2">
        <f t="shared" si="12"/>
        <v>1E-13</v>
      </c>
      <c r="AM5" s="2">
        <f t="shared" si="13"/>
        <v>5627.8172471251501</v>
      </c>
      <c r="AN5" s="2">
        <f t="shared" si="14"/>
        <v>5619.5453722286029</v>
      </c>
      <c r="AO5" s="2">
        <f t="shared" si="15"/>
        <v>5614.1101001096886</v>
      </c>
      <c r="AP5" s="2">
        <f t="shared" si="16"/>
        <v>5597.5650860558781</v>
      </c>
      <c r="AQ5" s="2">
        <f t="shared" si="17"/>
        <v>5230.4848257433341</v>
      </c>
      <c r="AR5" s="2">
        <f t="shared" si="18"/>
        <v>4211.7468990411771</v>
      </c>
      <c r="AS5" s="2">
        <f t="shared" si="19"/>
        <v>3081.9689442141253</v>
      </c>
      <c r="AX5" s="2">
        <f t="shared" si="28"/>
        <v>1E-13</v>
      </c>
      <c r="AY5" s="37">
        <f t="shared" si="20"/>
        <v>17890.165364114393</v>
      </c>
      <c r="AZ5" s="37">
        <f t="shared" si="21"/>
        <v>17800.919379849729</v>
      </c>
      <c r="BA5" s="37">
        <f t="shared" si="22"/>
        <v>17744.465501210168</v>
      </c>
      <c r="BB5" s="37">
        <f t="shared" si="23"/>
        <v>17700.78227444068</v>
      </c>
      <c r="BC5" s="37">
        <f t="shared" si="24"/>
        <v>18092.250732335538</v>
      </c>
      <c r="BD5" s="37">
        <f t="shared" si="25"/>
        <v>20754.902041013345</v>
      </c>
      <c r="BE5" s="37">
        <f t="shared" si="26"/>
        <v>37800.156190245332</v>
      </c>
    </row>
    <row r="6" spans="1:308" x14ac:dyDescent="0.25">
      <c r="A6" s="2">
        <f>'creep_res-40'!A6</f>
        <v>9.9999999999999998E-13</v>
      </c>
      <c r="B6" s="3">
        <f>'creep_res-40'!O6</f>
        <v>-6.5440402857142857E-4</v>
      </c>
      <c r="C6" s="2">
        <f>IF('Modell einstellen'!$B$2="Ja",creep_res0!O6,creep_res0!C6)</f>
        <v>-6.5558734285714286E-4</v>
      </c>
      <c r="D6" s="2">
        <f>IF('Modell einstellen'!$B$2="Ja",creep_res25!O6,creep_res25!C6)</f>
        <v>-6.5641682857142864E-4</v>
      </c>
      <c r="E6" s="2">
        <f>IF('Modell einstellen'!$B$2="Ja",creep_res50!O6,creep_res50!C6)</f>
        <v>-6.6676645714285727E-4</v>
      </c>
      <c r="F6" s="2">
        <f>IF('Modell einstellen'!$B$2="Ja",creep_res80!O6,creep_res80!C6)</f>
        <v>-7.1182891428571437E-4</v>
      </c>
      <c r="G6" s="2">
        <f>IF('Modell einstellen'!$B$2="Ja",creep_res125!O6,creep_res125!C6)</f>
        <v>-8.7721979999999999E-4</v>
      </c>
      <c r="H6" s="2">
        <f>IF('Modell einstellen'!$B$2="Ja",creep_res160!O6,creep_res160!C6)</f>
        <v>-1.1626929428571429E-3</v>
      </c>
      <c r="M6" s="9">
        <f t="shared" si="27"/>
        <v>-10</v>
      </c>
      <c r="N6" s="2">
        <f t="shared" si="4"/>
        <v>9.9999999999999998E-13</v>
      </c>
      <c r="O6" s="2">
        <f t="shared" si="5"/>
        <v>15281.079521820968</v>
      </c>
      <c r="P6" s="2">
        <f t="shared" si="6"/>
        <v>15253.497659699435</v>
      </c>
      <c r="Q6" s="2">
        <f t="shared" si="7"/>
        <v>15234.222470748005</v>
      </c>
      <c r="R6" s="2">
        <f t="shared" si="8"/>
        <v>14997.755050322607</v>
      </c>
      <c r="S6" s="2">
        <f t="shared" si="9"/>
        <v>14048.319475803413</v>
      </c>
      <c r="T6" s="2">
        <f t="shared" si="10"/>
        <v>11399.651489854652</v>
      </c>
      <c r="U6" s="2">
        <f t="shared" si="11"/>
        <v>8600.7230554152193</v>
      </c>
      <c r="Z6" s="2">
        <v>9.9999999999999998E-13</v>
      </c>
      <c r="AA6" s="3">
        <f>IF('Modell einstellen'!$B$2="Ja",'creep_res-40'!P6,'creep_res-40'!L6)</f>
        <v>0.35763973859574127</v>
      </c>
      <c r="AB6" s="2">
        <f>IF('Modell einstellen'!$B$2="Ja",creep_res0!P6,creep_res0!L6)</f>
        <v>0.35718426883252391</v>
      </c>
      <c r="AC6" s="2">
        <f>IF('Modell einstellen'!$B$2="Ja",creep_res25!P6,creep_res25!L6)</f>
        <v>0.35691661774667655</v>
      </c>
      <c r="AD6" s="2">
        <f>IF('Modell einstellen'!$B$2="Ja",creep_res50!P6,creep_res50!L6)</f>
        <v>0.35950801535735832</v>
      </c>
      <c r="AE6" s="2">
        <f>IF('Modell einstellen'!$B$2="Ja",creep_res80!P6,creep_res80!L6)</f>
        <v>0.37186745354381301</v>
      </c>
      <c r="AF6" s="2">
        <f>IF('Modell einstellen'!$B$2="Ja",creep_res125!P6,creep_res125!L6)</f>
        <v>0.41255543935510808</v>
      </c>
      <c r="AG6" s="2">
        <f>IF('Modell einstellen'!$B$2="Ja",creep_res160!P6,creep_res160!L6)</f>
        <v>0.47014503497582316</v>
      </c>
      <c r="AL6" s="2">
        <f t="shared" si="12"/>
        <v>9.9999999999999998E-13</v>
      </c>
      <c r="AM6" s="2">
        <f t="shared" si="13"/>
        <v>5627.8109307653194</v>
      </c>
      <c r="AN6" s="2">
        <f t="shared" si="14"/>
        <v>5619.5381902049257</v>
      </c>
      <c r="AO6" s="2">
        <f t="shared" si="15"/>
        <v>5613.5440717227957</v>
      </c>
      <c r="AP6" s="2">
        <f t="shared" si="16"/>
        <v>5515.87592015054</v>
      </c>
      <c r="AQ6" s="2">
        <f t="shared" si="17"/>
        <v>5120.1446027142574</v>
      </c>
      <c r="AR6" s="2">
        <f t="shared" si="18"/>
        <v>4035.1164889708966</v>
      </c>
      <c r="AS6" s="2">
        <f t="shared" si="19"/>
        <v>2925.1274026703973</v>
      </c>
      <c r="AX6" s="2">
        <f t="shared" si="28"/>
        <v>9.9999999999999998E-13</v>
      </c>
      <c r="AY6" s="37">
        <f t="shared" si="20"/>
        <v>17890.151098682742</v>
      </c>
      <c r="AZ6" s="37">
        <f t="shared" si="21"/>
        <v>17800.907429229064</v>
      </c>
      <c r="BA6" s="37">
        <f t="shared" si="22"/>
        <v>17745.156974013491</v>
      </c>
      <c r="BB6" s="37">
        <f t="shared" si="23"/>
        <v>17791.946267102245</v>
      </c>
      <c r="BC6" s="37">
        <f t="shared" si="24"/>
        <v>18273.160442504519</v>
      </c>
      <c r="BD6" s="37">
        <f t="shared" si="25"/>
        <v>21727.388198464927</v>
      </c>
      <c r="BE6" s="37">
        <f t="shared" si="26"/>
        <v>48013.918000184509</v>
      </c>
    </row>
    <row r="7" spans="1:308" x14ac:dyDescent="0.25">
      <c r="A7" s="2">
        <f>'creep_res-40'!A7</f>
        <v>9.9999999999999994E-12</v>
      </c>
      <c r="B7" s="3">
        <f>'creep_res-40'!O7</f>
        <v>-6.5440422857142863E-4</v>
      </c>
      <c r="C7" s="2">
        <f>IF('Modell einstellen'!$B$2="Ja",creep_res0!O7,creep_res0!C7)</f>
        <v>-6.5558848571428577E-4</v>
      </c>
      <c r="D7" s="2">
        <f>IF('Modell einstellen'!$B$2="Ja",creep_res25!O7,creep_res25!C7)</f>
        <v>-6.5697040000000013E-4</v>
      </c>
      <c r="E7" s="2">
        <f>IF('Modell einstellen'!$B$2="Ja",creep_res50!O7,creep_res50!C7)</f>
        <v>-6.8426140000000006E-4</v>
      </c>
      <c r="F7" s="2">
        <f>IF('Modell einstellen'!$B$2="Ja",creep_res80!O7,creep_res80!C7)</f>
        <v>-7.269515428571429E-4</v>
      </c>
      <c r="G7" s="2">
        <f>IF('Modell einstellen'!$B$2="Ja",creep_res125!O7,creep_res125!C7)</f>
        <v>-9.1876260000000015E-4</v>
      </c>
      <c r="H7" s="2">
        <f>IF('Modell einstellen'!$B$2="Ja",creep_res160!O7,creep_res160!C7)</f>
        <v>-1.2196940285714285E-3</v>
      </c>
      <c r="M7" s="9">
        <f t="shared" si="27"/>
        <v>-10</v>
      </c>
      <c r="N7" s="2">
        <f t="shared" si="4"/>
        <v>9.9999999999999994E-12</v>
      </c>
      <c r="O7" s="2">
        <f t="shared" si="5"/>
        <v>15281.074851594565</v>
      </c>
      <c r="P7" s="2">
        <f t="shared" si="6"/>
        <v>15253.47106898112</v>
      </c>
      <c r="Q7" s="2">
        <f t="shared" si="7"/>
        <v>15221.385925454173</v>
      </c>
      <c r="R7" s="2">
        <f t="shared" si="8"/>
        <v>14614.297986120508</v>
      </c>
      <c r="S7" s="2">
        <f t="shared" si="9"/>
        <v>13756.075075784182</v>
      </c>
      <c r="T7" s="2">
        <f t="shared" si="10"/>
        <v>10884.204472406689</v>
      </c>
      <c r="U7" s="2">
        <f t="shared" si="11"/>
        <v>8198.7775341595625</v>
      </c>
      <c r="Z7" s="2">
        <v>9.9999999999999994E-12</v>
      </c>
      <c r="AA7" s="3">
        <f>IF('Modell einstellen'!$B$2="Ja",'creep_res-40'!P7,'creep_res-40'!L7)</f>
        <v>0.35763977337205471</v>
      </c>
      <c r="AB7" s="2">
        <f>IF('Modell einstellen'!$B$2="Ja",creep_res0!P7,creep_res0!L7)</f>
        <v>0.35718460060115237</v>
      </c>
      <c r="AC7" s="2">
        <f>IF('Modell einstellen'!$B$2="Ja",creep_res25!P7,creep_res25!L7)</f>
        <v>0.3570924047719653</v>
      </c>
      <c r="AD7" s="2">
        <f>IF('Modell einstellen'!$B$2="Ja",creep_res50!P7,creep_res50!L7)</f>
        <v>0.36469229031895872</v>
      </c>
      <c r="AE7" s="2">
        <f>IF('Modell einstellen'!$B$2="Ja",creep_res80!P7,creep_res80!L7)</f>
        <v>0.37607262405857356</v>
      </c>
      <c r="AF7" s="2">
        <f>IF('Modell einstellen'!$B$2="Ja",creep_res125!P7,creep_res125!L7)</f>
        <v>0.42203462414711757</v>
      </c>
      <c r="AG7" s="2">
        <f>IF('Modell einstellen'!$B$2="Ja",creep_res160!P7,creep_res160!L7)</f>
        <v>0.48063063403887413</v>
      </c>
      <c r="AL7" s="2">
        <f t="shared" si="12"/>
        <v>9.9999999999999994E-12</v>
      </c>
      <c r="AM7" s="2">
        <f t="shared" si="13"/>
        <v>5627.8090666274475</v>
      </c>
      <c r="AN7" s="2">
        <f t="shared" si="14"/>
        <v>5619.5270202096081</v>
      </c>
      <c r="AO7" s="2">
        <f t="shared" si="15"/>
        <v>5608.0875082385601</v>
      </c>
      <c r="AP7" s="2">
        <f t="shared" si="16"/>
        <v>5354.4297457358771</v>
      </c>
      <c r="AQ7" s="2">
        <f t="shared" si="17"/>
        <v>4998.3099857085181</v>
      </c>
      <c r="AR7" s="2">
        <f t="shared" si="18"/>
        <v>3826.9829326183326</v>
      </c>
      <c r="AS7" s="2">
        <f t="shared" si="19"/>
        <v>2768.6775302611704</v>
      </c>
      <c r="AX7" s="2">
        <f t="shared" si="28"/>
        <v>9.9999999999999994E-12</v>
      </c>
      <c r="AY7" s="37">
        <f t="shared" si="20"/>
        <v>17890.150001342783</v>
      </c>
      <c r="AZ7" s="37">
        <f t="shared" si="21"/>
        <v>17800.917750218701</v>
      </c>
      <c r="BA7" s="37">
        <f t="shared" si="22"/>
        <v>17752.014161278741</v>
      </c>
      <c r="BB7" s="37">
        <f t="shared" si="23"/>
        <v>18001.312244230281</v>
      </c>
      <c r="BC7" s="37">
        <f t="shared" si="24"/>
        <v>18500.183368531787</v>
      </c>
      <c r="BD7" s="37">
        <f t="shared" si="25"/>
        <v>23267.175446668254</v>
      </c>
      <c r="BE7" s="37">
        <f t="shared" si="26"/>
        <v>70547.633056363571</v>
      </c>
    </row>
    <row r="8" spans="1:308" x14ac:dyDescent="0.25">
      <c r="A8" s="2">
        <f>'creep_res-40'!A8</f>
        <v>1E-10</v>
      </c>
      <c r="B8" s="3">
        <f>'creep_res-40'!O8</f>
        <v>-6.5440431428571435E-4</v>
      </c>
      <c r="C8" s="2">
        <f>IF('Modell einstellen'!$B$2="Ja",creep_res0!O8,creep_res0!C8)</f>
        <v>-6.555979428571429E-4</v>
      </c>
      <c r="D8" s="2">
        <f>IF('Modell einstellen'!$B$2="Ja",creep_res25!O8,creep_res25!C8)</f>
        <v>-6.6178457142857146E-4</v>
      </c>
      <c r="E8" s="2">
        <f>IF('Modell einstellen'!$B$2="Ja",creep_res50!O8,creep_res50!C8)</f>
        <v>-6.9691962857142858E-4</v>
      </c>
      <c r="F8" s="2">
        <f>IF('Modell einstellen'!$B$2="Ja",creep_res80!O8,creep_res80!C8)</f>
        <v>-7.4387068571428569E-4</v>
      </c>
      <c r="G8" s="2">
        <f>IF('Modell einstellen'!$B$2="Ja",creep_res125!O8,creep_res125!C8)</f>
        <v>-9.6440574285714287E-4</v>
      </c>
      <c r="H8" s="2">
        <f>IF('Modell einstellen'!$B$2="Ja",creep_res160!O8,creep_res160!C8)</f>
        <v>-1.2935296285714287E-3</v>
      </c>
      <c r="M8" s="9">
        <f t="shared" si="27"/>
        <v>-10</v>
      </c>
      <c r="N8" s="2">
        <f t="shared" si="4"/>
        <v>1E-10</v>
      </c>
      <c r="O8" s="2">
        <f t="shared" si="5"/>
        <v>15281.072850069839</v>
      </c>
      <c r="P8" s="2">
        <f t="shared" si="6"/>
        <v>15253.251034344743</v>
      </c>
      <c r="Q8" s="2">
        <f t="shared" si="7"/>
        <v>15110.657503563956</v>
      </c>
      <c r="R8" s="2">
        <f t="shared" si="8"/>
        <v>14348.856869619767</v>
      </c>
      <c r="S8" s="2">
        <f t="shared" si="9"/>
        <v>13443.196770682955</v>
      </c>
      <c r="T8" s="2">
        <f t="shared" si="10"/>
        <v>10369.07968877711</v>
      </c>
      <c r="U8" s="2">
        <f t="shared" si="11"/>
        <v>7730.7854254903914</v>
      </c>
      <c r="Z8" s="2">
        <v>1E-10</v>
      </c>
      <c r="AA8" s="3">
        <f>IF('Modell einstellen'!$B$2="Ja",'creep_res-40'!P8,'creep_res-40'!L8)</f>
        <v>0.35763977455440282</v>
      </c>
      <c r="AB8" s="2">
        <f>IF('Modell einstellen'!$B$2="Ja",creep_res0!P8,creep_res0!L8)</f>
        <v>0.35718762387818875</v>
      </c>
      <c r="AC8" s="2">
        <f>IF('Modell einstellen'!$B$2="Ja",creep_res25!P8,creep_res25!L8)</f>
        <v>0.35861262145730638</v>
      </c>
      <c r="AD8" s="2">
        <f>IF('Modell einstellen'!$B$2="Ja",creep_res50!P8,creep_res50!L8)</f>
        <v>0.36838174043188504</v>
      </c>
      <c r="AE8" s="2">
        <f>IF('Modell einstellen'!$B$2="Ja",creep_res80!P8,creep_res80!L8)</f>
        <v>0.38068981190816814</v>
      </c>
      <c r="AF8" s="2">
        <f>IF('Modell einstellen'!$B$2="Ja",creep_res125!P8,creep_res125!L8)</f>
        <v>0.43213035912181719</v>
      </c>
      <c r="AG8" s="2">
        <f>IF('Modell einstellen'!$B$2="Ja",creep_res160!P8,creep_res160!L8)</f>
        <v>0.49365710039398952</v>
      </c>
      <c r="AL8" s="2">
        <f t="shared" si="12"/>
        <v>1E-10</v>
      </c>
      <c r="AM8" s="2">
        <f t="shared" si="13"/>
        <v>5627.8083245923272</v>
      </c>
      <c r="AN8" s="2">
        <f t="shared" si="14"/>
        <v>5619.4334394084344</v>
      </c>
      <c r="AO8" s="2">
        <f t="shared" si="15"/>
        <v>5561.0618011761198</v>
      </c>
      <c r="AP8" s="2">
        <f t="shared" si="16"/>
        <v>5243.0021702463746</v>
      </c>
      <c r="AQ8" s="2">
        <f t="shared" si="17"/>
        <v>4868.289986185935</v>
      </c>
      <c r="AR8" s="2">
        <f t="shared" si="18"/>
        <v>3620.1591645384274</v>
      </c>
      <c r="AS8" s="2">
        <f t="shared" si="19"/>
        <v>2587.8715481120807</v>
      </c>
      <c r="AX8" s="2">
        <f t="shared" si="28"/>
        <v>1E-10</v>
      </c>
      <c r="AY8" s="37">
        <f t="shared" si="20"/>
        <v>17890.147806663277</v>
      </c>
      <c r="AZ8" s="37">
        <f t="shared" si="21"/>
        <v>17801.037800503767</v>
      </c>
      <c r="BA8" s="37">
        <f t="shared" si="22"/>
        <v>17812.36022068395</v>
      </c>
      <c r="BB8" s="37">
        <f t="shared" si="23"/>
        <v>18169.790063961402</v>
      </c>
      <c r="BC8" s="37">
        <f t="shared" si="24"/>
        <v>18779.056767468257</v>
      </c>
      <c r="BD8" s="37">
        <f t="shared" si="25"/>
        <v>25463.225173555536</v>
      </c>
      <c r="BE8" s="37">
        <f t="shared" si="26"/>
        <v>203134.8937575481</v>
      </c>
    </row>
    <row r="9" spans="1:308" x14ac:dyDescent="0.25">
      <c r="A9" s="2">
        <f>'creep_res-40'!A9</f>
        <v>1.0000000000000001E-9</v>
      </c>
      <c r="B9" s="3">
        <f>'creep_res-40'!O9</f>
        <v>-6.5440431428571435E-4</v>
      </c>
      <c r="C9" s="2">
        <f>IF('Modell einstellen'!$B$2="Ja",creep_res0!O9,creep_res0!C9)</f>
        <v>-6.5569128571428569E-4</v>
      </c>
      <c r="D9" s="2">
        <f>IF('Modell einstellen'!$B$2="Ja",creep_res25!O9,creep_res25!C9)</f>
        <v>-6.7988582857142867E-4</v>
      </c>
      <c r="E9" s="2">
        <f>IF('Modell einstellen'!$B$2="Ja",creep_res50!O9,creep_res50!C9)</f>
        <v>-7.0983691428571434E-4</v>
      </c>
      <c r="F9" s="2">
        <f>IF('Modell einstellen'!$B$2="Ja",creep_res80!O9,creep_res80!C9)</f>
        <v>-7.6384202857142868E-4</v>
      </c>
      <c r="G9" s="2">
        <f>IF('Modell einstellen'!$B$2="Ja",creep_res125!O9,creep_res125!C9)</f>
        <v>-1.0065965428571429E-3</v>
      </c>
      <c r="H9" s="2">
        <f>IF('Modell einstellen'!$B$2="Ja",creep_res160!O9,creep_res160!C9)</f>
        <v>-1.3849060571428573E-3</v>
      </c>
      <c r="M9" s="9">
        <f t="shared" si="27"/>
        <v>-10</v>
      </c>
      <c r="N9" s="2">
        <f t="shared" si="4"/>
        <v>1.0000000000000001E-9</v>
      </c>
      <c r="O9" s="2">
        <f t="shared" si="5"/>
        <v>15281.072850069839</v>
      </c>
      <c r="P9" s="2">
        <f t="shared" si="6"/>
        <v>15251.07961303218</v>
      </c>
      <c r="Q9" s="2">
        <f t="shared" si="7"/>
        <v>14708.351872860669</v>
      </c>
      <c r="R9" s="2">
        <f t="shared" si="8"/>
        <v>14087.742971303025</v>
      </c>
      <c r="S9" s="2">
        <f t="shared" si="9"/>
        <v>13091.71219434265</v>
      </c>
      <c r="T9" s="2">
        <f t="shared" si="10"/>
        <v>9934.4668635715843</v>
      </c>
      <c r="U9" s="2">
        <f t="shared" si="11"/>
        <v>7220.7063781861052</v>
      </c>
      <c r="Z9" s="2">
        <v>1.0000000000000001E-9</v>
      </c>
      <c r="AA9" s="3">
        <f>IF('Modell einstellen'!$B$2="Ja",'creep_res-40'!P9,'creep_res-40'!L9)</f>
        <v>0.35763979201848606</v>
      </c>
      <c r="AB9" s="2">
        <f>IF('Modell einstellen'!$B$2="Ja",creep_res0!P9,creep_res0!L9)</f>
        <v>0.35721754074598261</v>
      </c>
      <c r="AC9" s="2">
        <f>IF('Modell einstellen'!$B$2="Ja",creep_res25!P9,creep_res25!L9)</f>
        <v>0.36398062464605402</v>
      </c>
      <c r="AD9" s="2">
        <f>IF('Modell einstellen'!$B$2="Ja",creep_res50!P9,creep_res50!L9)</f>
        <v>0.37208003351433799</v>
      </c>
      <c r="AE9" s="2">
        <f>IF('Modell einstellen'!$B$2="Ja",creep_res80!P9,creep_res80!L9)</f>
        <v>0.38602862199891669</v>
      </c>
      <c r="AF9" s="2">
        <f>IF('Modell einstellen'!$B$2="Ja",creep_res125!P9,creep_res125!L9)</f>
        <v>0.44118839612261734</v>
      </c>
      <c r="AG9" s="2">
        <f>IF('Modell einstellen'!$B$2="Ja",creep_res160!P9,creep_res160!L9)</f>
        <v>0.50904913364727045</v>
      </c>
      <c r="AL9" s="2">
        <f t="shared" si="12"/>
        <v>1.0000000000000001E-9</v>
      </c>
      <c r="AM9" s="2">
        <f t="shared" si="13"/>
        <v>5627.808252198668</v>
      </c>
      <c r="AN9" s="2">
        <f t="shared" si="14"/>
        <v>5618.5096180858227</v>
      </c>
      <c r="AO9" s="2">
        <f t="shared" si="15"/>
        <v>5391.7011748892737</v>
      </c>
      <c r="AP9" s="2">
        <f t="shared" si="16"/>
        <v>5133.7176502815901</v>
      </c>
      <c r="AQ9" s="2">
        <f t="shared" si="17"/>
        <v>4722.7423685745798</v>
      </c>
      <c r="AR9" s="2">
        <f t="shared" si="18"/>
        <v>3446.6232486673289</v>
      </c>
      <c r="AS9" s="2">
        <f t="shared" si="19"/>
        <v>2392.4689452404186</v>
      </c>
      <c r="AX9" s="2">
        <f t="shared" si="28"/>
        <v>1.0000000000000001E-9</v>
      </c>
      <c r="AY9" s="37">
        <f t="shared" si="20"/>
        <v>17890.150001342779</v>
      </c>
      <c r="AZ9" s="37">
        <f t="shared" si="21"/>
        <v>17802.232959511875</v>
      </c>
      <c r="BA9" s="37">
        <f t="shared" si="22"/>
        <v>18022.373448129467</v>
      </c>
      <c r="BB9" s="37">
        <f t="shared" si="23"/>
        <v>18354.891940555735</v>
      </c>
      <c r="BC9" s="37">
        <f t="shared" si="24"/>
        <v>19144.73678092847</v>
      </c>
      <c r="BD9" s="37">
        <f t="shared" si="25"/>
        <v>28153.363759880132</v>
      </c>
      <c r="BE9" s="37">
        <f t="shared" si="26"/>
        <v>-132990.74916348737</v>
      </c>
    </row>
    <row r="10" spans="1:308" x14ac:dyDescent="0.25">
      <c r="A10" s="2">
        <f>'creep_res-40'!A10</f>
        <v>1E-8</v>
      </c>
      <c r="B10" s="3">
        <f>'creep_res-40'!O10</f>
        <v>-6.5440434285714288E-4</v>
      </c>
      <c r="C10" s="2">
        <f>IF('Modell einstellen'!$B$2="Ja",creep_res0!O10,creep_res0!C10)</f>
        <v>-6.5659254285714292E-4</v>
      </c>
      <c r="D10" s="2">
        <f>IF('Modell einstellen'!$B$2="Ja",creep_res25!O10,creep_res25!C10)</f>
        <v>-6.9310382857142863E-4</v>
      </c>
      <c r="E10" s="2">
        <f>IF('Modell einstellen'!$B$2="Ja",creep_res50!O10,creep_res50!C10)</f>
        <v>-7.2485928571428579E-4</v>
      </c>
      <c r="F10" s="2">
        <f>IF('Modell einstellen'!$B$2="Ja",creep_res80!O10,creep_res80!C10)</f>
        <v>-7.8660660000000001E-4</v>
      </c>
      <c r="G10" s="2">
        <f>IF('Modell einstellen'!$B$2="Ja",creep_res125!O10,creep_res125!C10)</f>
        <v>-1.0500243142857143E-3</v>
      </c>
      <c r="H10" s="2">
        <f>IF('Modell einstellen'!$B$2="Ja",creep_res160!O10,creep_res160!C10)</f>
        <v>-1.5058213428571429E-3</v>
      </c>
      <c r="M10" s="9">
        <f t="shared" si="27"/>
        <v>-10</v>
      </c>
      <c r="N10" s="2">
        <f t="shared" si="4"/>
        <v>1E-8</v>
      </c>
      <c r="O10" s="2">
        <f t="shared" si="5"/>
        <v>15281.072182895048</v>
      </c>
      <c r="P10" s="2">
        <f t="shared" si="6"/>
        <v>15230.145557982272</v>
      </c>
      <c r="Q10" s="2">
        <f t="shared" si="7"/>
        <v>14427.852780168907</v>
      </c>
      <c r="R10" s="2">
        <f t="shared" si="8"/>
        <v>13795.781053071383</v>
      </c>
      <c r="S10" s="2">
        <f t="shared" si="9"/>
        <v>12712.835107155215</v>
      </c>
      <c r="T10" s="2">
        <f t="shared" si="10"/>
        <v>9523.5889911773738</v>
      </c>
      <c r="U10" s="2">
        <f t="shared" si="11"/>
        <v>6640.8940525613862</v>
      </c>
      <c r="Z10" s="2">
        <v>1E-8</v>
      </c>
      <c r="AA10" s="3">
        <f>IF('Modell einstellen'!$B$2="Ja",'creep_res-40'!P10,'creep_res-40'!L10)</f>
        <v>0.35763978076987968</v>
      </c>
      <c r="AB10" s="2">
        <f>IF('Modell einstellen'!$B$2="Ja",creep_res0!P10,creep_res0!L10)</f>
        <v>0.35750611414193423</v>
      </c>
      <c r="AC10" s="2">
        <f>IF('Modell einstellen'!$B$2="Ja",creep_res25!P10,creep_res25!L10)</f>
        <v>0.36788517440841889</v>
      </c>
      <c r="AD10" s="2">
        <f>IF('Modell einstellen'!$B$2="Ja",creep_res50!P10,creep_res50!L10)</f>
        <v>0.37630912403688199</v>
      </c>
      <c r="AE10" s="2">
        <f>IF('Modell einstellen'!$B$2="Ja",creep_res80!P10,creep_res80!L10)</f>
        <v>0.39197778697218444</v>
      </c>
      <c r="AF10" s="2">
        <f>IF('Modell einstellen'!$B$2="Ja",creep_res125!P10,creep_res125!L10)</f>
        <v>0.45020190144712569</v>
      </c>
      <c r="AG10" s="2">
        <f>IF('Modell einstellen'!$B$2="Ja",creep_res160!P10,creep_res160!L10)</f>
        <v>0.52820052813322738</v>
      </c>
      <c r="AL10" s="2">
        <f t="shared" si="12"/>
        <v>1E-8</v>
      </c>
      <c r="AM10" s="2">
        <f t="shared" si="13"/>
        <v>5627.808053116114</v>
      </c>
      <c r="AN10" s="2">
        <f t="shared" si="14"/>
        <v>5609.604774269872</v>
      </c>
      <c r="AO10" s="2">
        <f t="shared" si="15"/>
        <v>5273.7806689105482</v>
      </c>
      <c r="AP10" s="2">
        <f t="shared" si="16"/>
        <v>5011.8758976932013</v>
      </c>
      <c r="AQ10" s="2">
        <f t="shared" si="17"/>
        <v>4566.4647906515956</v>
      </c>
      <c r="AR10" s="2">
        <f t="shared" si="18"/>
        <v>3283.5389960784037</v>
      </c>
      <c r="AS10" s="2">
        <f t="shared" si="19"/>
        <v>2172.7822789963197</v>
      </c>
      <c r="AX10" s="2">
        <f t="shared" si="28"/>
        <v>1E-8</v>
      </c>
      <c r="AY10" s="37">
        <f t="shared" si="20"/>
        <v>17890.147806663284</v>
      </c>
      <c r="AZ10" s="37">
        <f t="shared" si="21"/>
        <v>17813.800063852799</v>
      </c>
      <c r="BA10" s="37">
        <f t="shared" si="22"/>
        <v>18201.152817336686</v>
      </c>
      <c r="BB10" s="37">
        <f t="shared" si="23"/>
        <v>18589.057796503643</v>
      </c>
      <c r="BC10" s="37">
        <f t="shared" si="24"/>
        <v>19614.538452817538</v>
      </c>
      <c r="BD10" s="37">
        <f t="shared" si="25"/>
        <v>31874.00479111827</v>
      </c>
      <c r="BE10" s="37">
        <f t="shared" si="26"/>
        <v>-39248.047774069455</v>
      </c>
    </row>
    <row r="11" spans="1:308" x14ac:dyDescent="0.25">
      <c r="A11" s="2">
        <f>'creep_res-40'!A11</f>
        <v>9.9999999999999995E-8</v>
      </c>
      <c r="B11" s="3">
        <f>'creep_res-40'!O11</f>
        <v>-6.5440434285714288E-4</v>
      </c>
      <c r="C11" s="2">
        <f>IF('Modell einstellen'!$B$2="Ja",creep_res0!O11,creep_res0!C11)</f>
        <v>-6.6432717142857146E-4</v>
      </c>
      <c r="D11" s="2">
        <f>IF('Modell einstellen'!$B$2="Ja",creep_res25!O11,creep_res25!C11)</f>
        <v>-7.0554688571428581E-4</v>
      </c>
      <c r="E11" s="2">
        <f>IF('Modell einstellen'!$B$2="Ja",creep_res50!O11,creep_res50!C11)</f>
        <v>-7.4154751428571434E-4</v>
      </c>
      <c r="F11" s="2">
        <f>IF('Modell einstellen'!$B$2="Ja",creep_res80!O11,creep_res80!C11)</f>
        <v>-8.1115248571428573E-4</v>
      </c>
      <c r="G11" s="2">
        <f>IF('Modell einstellen'!$B$2="Ja",creep_res125!O11,creep_res125!C11)</f>
        <v>-1.0958992000000001E-3</v>
      </c>
      <c r="H11" s="2">
        <f>IF('Modell einstellen'!$B$2="Ja",creep_res160!O11,creep_res160!C11)</f>
        <v>-1.6706613714285716E-3</v>
      </c>
      <c r="M11" s="9">
        <f t="shared" si="27"/>
        <v>-10</v>
      </c>
      <c r="N11" s="2">
        <f t="shared" si="4"/>
        <v>9.9999999999999995E-8</v>
      </c>
      <c r="O11" s="2">
        <f t="shared" si="5"/>
        <v>15281.072182895048</v>
      </c>
      <c r="P11" s="2">
        <f t="shared" si="6"/>
        <v>15052.824015155011</v>
      </c>
      <c r="Q11" s="2">
        <f t="shared" si="7"/>
        <v>14173.402508716539</v>
      </c>
      <c r="R11" s="2">
        <f t="shared" si="8"/>
        <v>13485.312548896298</v>
      </c>
      <c r="S11" s="2">
        <f t="shared" si="9"/>
        <v>12328.138267608447</v>
      </c>
      <c r="T11" s="2">
        <f t="shared" si="10"/>
        <v>9124.9268180869185</v>
      </c>
      <c r="U11" s="2">
        <f t="shared" si="11"/>
        <v>5985.6534489985033</v>
      </c>
      <c r="Z11" s="2">
        <v>9.9999999999999995E-8</v>
      </c>
      <c r="AA11" s="3">
        <f>IF('Modell einstellen'!$B$2="Ja",'creep_res-40'!P11,'creep_res-40'!L11)</f>
        <v>0.35763979823396214</v>
      </c>
      <c r="AB11" s="2">
        <f>IF('Modell einstellen'!$B$2="Ja",creep_res0!P11,creep_res0!L11)</f>
        <v>0.35986347690731219</v>
      </c>
      <c r="AC11" s="2">
        <f>IF('Modell einstellen'!$B$2="Ja",creep_res25!P11,creep_res25!L11)</f>
        <v>0.37149393453289181</v>
      </c>
      <c r="AD11" s="2">
        <f>IF('Modell einstellen'!$B$2="Ja",creep_res50!P11,creep_res50!L11)</f>
        <v>0.38092130730626911</v>
      </c>
      <c r="AE11" s="2">
        <f>IF('Modell einstellen'!$B$2="Ja",creep_res80!P11,creep_res80!L11)</f>
        <v>0.39824437448558647</v>
      </c>
      <c r="AF11" s="2">
        <f>IF('Modell einstellen'!$B$2="Ja",creep_res125!P11,creep_res125!L11)</f>
        <v>0.45945049377846842</v>
      </c>
      <c r="AG11" s="2">
        <f>IF('Modell einstellen'!$B$2="Ja",creep_res160!P11,creep_res160!L11)</f>
        <v>0.55232468414390823</v>
      </c>
      <c r="AL11" s="2">
        <f t="shared" si="12"/>
        <v>9.9999999999999995E-8</v>
      </c>
      <c r="AM11" s="2">
        <f t="shared" si="13"/>
        <v>5627.8079807224613</v>
      </c>
      <c r="AN11" s="2">
        <f t="shared" si="14"/>
        <v>5534.6820731552771</v>
      </c>
      <c r="AO11" s="2">
        <f t="shared" si="15"/>
        <v>5167.1400623232676</v>
      </c>
      <c r="AP11" s="2">
        <f t="shared" si="16"/>
        <v>4882.7230333645084</v>
      </c>
      <c r="AQ11" s="2">
        <f t="shared" si="17"/>
        <v>4408.434781704007</v>
      </c>
      <c r="AR11" s="2">
        <f t="shared" si="18"/>
        <v>3126.1515402495047</v>
      </c>
      <c r="AS11" s="2">
        <f t="shared" si="19"/>
        <v>1927.9643975704516</v>
      </c>
      <c r="AX11" s="2">
        <f t="shared" si="28"/>
        <v>9.9999999999999995E-8</v>
      </c>
      <c r="AY11" s="37">
        <f t="shared" si="20"/>
        <v>17890.150001342783</v>
      </c>
      <c r="AZ11" s="37">
        <f t="shared" si="21"/>
        <v>17902.570630116781</v>
      </c>
      <c r="BA11" s="37">
        <f t="shared" si="22"/>
        <v>18382.274353091783</v>
      </c>
      <c r="BB11" s="37">
        <f t="shared" si="23"/>
        <v>18874.510969509851</v>
      </c>
      <c r="BC11" s="37">
        <f t="shared" si="24"/>
        <v>20192.39428661397</v>
      </c>
      <c r="BD11" s="37">
        <f t="shared" si="25"/>
        <v>37505.293604297243</v>
      </c>
      <c r="BE11" s="37">
        <f t="shared" si="26"/>
        <v>-19065.74161867275</v>
      </c>
    </row>
    <row r="12" spans="1:308" x14ac:dyDescent="0.25">
      <c r="A12" s="2">
        <f>'creep_res-40'!A12</f>
        <v>9.9999999999999995E-7</v>
      </c>
      <c r="B12" s="3">
        <f>'creep_res-40'!O12</f>
        <v>-6.5440448571428577E-4</v>
      </c>
      <c r="C12" s="2">
        <f>IF('Modell einstellen'!$B$2="Ja",creep_res0!O12,creep_res0!C12)</f>
        <v>-6.8198111428571437E-4</v>
      </c>
      <c r="D12" s="2">
        <f>IF('Modell einstellen'!$B$2="Ja",creep_res25!O12,creep_res25!C12)</f>
        <v>-7.2022191428571436E-4</v>
      </c>
      <c r="E12" s="2">
        <f>IF('Modell einstellen'!$B$2="Ja",creep_res50!O12,creep_res50!C12)</f>
        <v>-7.6130077142857143E-4</v>
      </c>
      <c r="F12" s="2">
        <f>IF('Modell einstellen'!$B$2="Ja",creep_res80!O12,creep_res80!C12)</f>
        <v>-8.3640171428571431E-4</v>
      </c>
      <c r="G12" s="2">
        <f>IF('Modell einstellen'!$B$2="Ja",creep_res125!O12,creep_res125!C12)</f>
        <v>-1.1455540285714287E-3</v>
      </c>
      <c r="H12" s="2">
        <f>IF('Modell einstellen'!$B$2="Ja",creep_res160!O12,creep_res160!C12)</f>
        <v>-1.9194069142857144E-3</v>
      </c>
      <c r="M12" s="9">
        <f t="shared" si="27"/>
        <v>-10</v>
      </c>
      <c r="N12" s="2">
        <f t="shared" si="4"/>
        <v>9.9999999999999995E-7</v>
      </c>
      <c r="O12" s="2">
        <f t="shared" si="5"/>
        <v>15281.068847021961</v>
      </c>
      <c r="P12" s="2">
        <f t="shared" si="6"/>
        <v>14663.162645601538</v>
      </c>
      <c r="Q12" s="2">
        <f t="shared" si="7"/>
        <v>13884.609453903631</v>
      </c>
      <c r="R12" s="2">
        <f t="shared" si="8"/>
        <v>13135.412934411093</v>
      </c>
      <c r="S12" s="2">
        <f t="shared" si="9"/>
        <v>11955.97740798509</v>
      </c>
      <c r="T12" s="2">
        <f t="shared" si="10"/>
        <v>8729.4005787492806</v>
      </c>
      <c r="U12" s="2">
        <f t="shared" si="11"/>
        <v>5209.9426784243851</v>
      </c>
      <c r="Z12" s="2">
        <v>9.9999999999999995E-7</v>
      </c>
      <c r="AA12" s="3">
        <f>IF('Modell einstellen'!$B$2="Ja",'creep_res-40'!P12,'creep_res-40'!L12)</f>
        <v>0.35763983367735386</v>
      </c>
      <c r="AB12" s="2">
        <f>IF('Modell einstellen'!$B$2="Ja",creep_res0!P12,creep_res0!L12)</f>
        <v>0.36518361903528196</v>
      </c>
      <c r="AC12" s="2">
        <f>IF('Modell einstellen'!$B$2="Ja",creep_res25!P12,creep_res25!L12)</f>
        <v>0.37567708000474614</v>
      </c>
      <c r="AD12" s="2">
        <f>IF('Modell einstellen'!$B$2="Ja",creep_res50!P12,creep_res50!L12)</f>
        <v>0.38626986060362029</v>
      </c>
      <c r="AE12" s="2">
        <f>IF('Modell einstellen'!$B$2="Ja",creep_res80!P12,creep_res80!L12)</f>
        <v>0.4045365419077504</v>
      </c>
      <c r="AF12" s="2">
        <f>IF('Modell einstellen'!$B$2="Ja",creep_res125!P12,creep_res125!L12)</f>
        <v>0.46913896260451993</v>
      </c>
      <c r="AG12" s="2">
        <f>IF('Modell einstellen'!$B$2="Ja",creep_res160!P12,creep_res160!L12)</f>
        <v>0.58482450576027634</v>
      </c>
      <c r="AL12" s="2">
        <f t="shared" si="12"/>
        <v>9.9999999999999995E-7</v>
      </c>
      <c r="AM12" s="2">
        <f t="shared" si="13"/>
        <v>5627.8066052434133</v>
      </c>
      <c r="AN12" s="2">
        <f t="shared" si="14"/>
        <v>5370.399425083704</v>
      </c>
      <c r="AO12" s="2">
        <f t="shared" si="15"/>
        <v>5046.4639033804824</v>
      </c>
      <c r="AP12" s="2">
        <f t="shared" si="16"/>
        <v>4737.6825060207148</v>
      </c>
      <c r="AQ12" s="2">
        <f t="shared" si="17"/>
        <v>4256.2001953133786</v>
      </c>
      <c r="AR12" s="2">
        <f t="shared" si="18"/>
        <v>2970.9240585633979</v>
      </c>
      <c r="AS12" s="2">
        <f t="shared" si="19"/>
        <v>1643.6970338003</v>
      </c>
      <c r="AX12" s="2">
        <f t="shared" si="28"/>
        <v>9.9999999999999995E-7</v>
      </c>
      <c r="AY12" s="37">
        <f t="shared" si="20"/>
        <v>17890.150550012742</v>
      </c>
      <c r="AZ12" s="37">
        <f t="shared" si="21"/>
        <v>18127.325651718518</v>
      </c>
      <c r="BA12" s="37">
        <f t="shared" si="22"/>
        <v>18613.635971057858</v>
      </c>
      <c r="BB12" s="37">
        <f t="shared" si="23"/>
        <v>19249.387195758627</v>
      </c>
      <c r="BC12" s="37">
        <f t="shared" si="24"/>
        <v>20873.567133984088</v>
      </c>
      <c r="BD12" s="37">
        <f t="shared" si="25"/>
        <v>47143.590081365801</v>
      </c>
      <c r="BE12" s="37">
        <f t="shared" si="26"/>
        <v>-10236.708978787085</v>
      </c>
    </row>
    <row r="13" spans="1:308" x14ac:dyDescent="0.25">
      <c r="A13" s="2">
        <f>'creep_res-40'!A13</f>
        <v>1.0000000000000001E-5</v>
      </c>
      <c r="B13" s="3">
        <f>'creep_res-40'!O13</f>
        <v>-6.5440582857142864E-4</v>
      </c>
      <c r="C13" s="2">
        <f>IF('Modell einstellen'!$B$2="Ja",creep_res0!O13,creep_res0!C13)</f>
        <v>-6.9466899999999997E-4</v>
      </c>
      <c r="D13" s="2">
        <f>IF('Modell einstellen'!$B$2="Ja",creep_res25!O13,creep_res25!C13)</f>
        <v>-7.3623651428571431E-4</v>
      </c>
      <c r="E13" s="2">
        <f>IF('Modell einstellen'!$B$2="Ja",creep_res50!O13,creep_res50!C13)</f>
        <v>-7.8384359999999998E-4</v>
      </c>
      <c r="F13" s="2">
        <f>IF('Modell einstellen'!$B$2="Ja",creep_res80!O13,creep_res80!C13)</f>
        <v>-8.6621125714285722E-4</v>
      </c>
      <c r="G13" s="2">
        <f>IF('Modell einstellen'!$B$2="Ja",creep_res125!O13,creep_res125!C13)</f>
        <v>-1.2005413142857145E-3</v>
      </c>
      <c r="H13" s="2">
        <f>IF('Modell einstellen'!$B$2="Ja",creep_res160!O13,creep_res160!C13)</f>
        <v>-2.3250146857142859E-3</v>
      </c>
      <c r="M13" s="9">
        <f t="shared" si="27"/>
        <v>-10</v>
      </c>
      <c r="N13" s="2">
        <f t="shared" si="4"/>
        <v>1.0000000000000001E-5</v>
      </c>
      <c r="O13" s="2">
        <f t="shared" si="5"/>
        <v>15281.037489886136</v>
      </c>
      <c r="P13" s="2">
        <f t="shared" si="6"/>
        <v>14395.345121201608</v>
      </c>
      <c r="Q13" s="2">
        <f t="shared" si="7"/>
        <v>13582.591743227855</v>
      </c>
      <c r="R13" s="2">
        <f t="shared" si="8"/>
        <v>12757.647061224969</v>
      </c>
      <c r="S13" s="2">
        <f t="shared" si="9"/>
        <v>11544.527870700231</v>
      </c>
      <c r="T13" s="2">
        <f t="shared" si="10"/>
        <v>8329.5759013088991</v>
      </c>
      <c r="U13" s="2">
        <f t="shared" si="11"/>
        <v>4301.0481015210544</v>
      </c>
      <c r="Z13" s="2">
        <v>1.0000000000000001E-5</v>
      </c>
      <c r="AA13" s="3">
        <f>IF('Modell einstellen'!$B$2="Ja",'creep_res-40'!P13,'creep_res-40'!L13)</f>
        <v>0.35764026115031106</v>
      </c>
      <c r="AB13" s="2">
        <f>IF('Modell einstellen'!$B$2="Ja",creep_res0!P13,creep_res0!L13)</f>
        <v>0.36894732393618918</v>
      </c>
      <c r="AC13" s="2">
        <f>IF('Modell einstellen'!$B$2="Ja",creep_res25!P13,creep_res25!L13)</f>
        <v>0.38016321075083098</v>
      </c>
      <c r="AD13" s="2">
        <f>IF('Modell einstellen'!$B$2="Ja",creep_res50!P13,creep_res50!L13)</f>
        <v>0.39223816004694234</v>
      </c>
      <c r="AE13" s="2">
        <f>IF('Modell einstellen'!$B$2="Ja",creep_res80!P13,creep_res80!L13)</f>
        <v>0.41176375515652824</v>
      </c>
      <c r="AF13" s="2">
        <f>IF('Modell einstellen'!$B$2="Ja",creep_res125!P13,creep_res125!L13)</f>
        <v>0.47952302278119963</v>
      </c>
      <c r="AG13" s="2">
        <f>IF('Modell einstellen'!$B$2="Ja",creep_res160!P13,creep_res160!L13)</f>
        <v>0.62959096024880401</v>
      </c>
      <c r="AL13" s="2">
        <f t="shared" si="12"/>
        <v>1.0000000000000001E-5</v>
      </c>
      <c r="AM13" s="2">
        <f t="shared" si="13"/>
        <v>5627.7932848495184</v>
      </c>
      <c r="AN13" s="2">
        <f t="shared" si="14"/>
        <v>5257.8155746015464</v>
      </c>
      <c r="AO13" s="2">
        <f t="shared" si="15"/>
        <v>4920.6469341545144</v>
      </c>
      <c r="AP13" s="2">
        <f t="shared" si="16"/>
        <v>4581.7042756516666</v>
      </c>
      <c r="AQ13" s="2">
        <f t="shared" si="17"/>
        <v>4088.6897076558816</v>
      </c>
      <c r="AR13" s="2">
        <f t="shared" si="18"/>
        <v>2814.9531210575578</v>
      </c>
      <c r="AS13" s="2">
        <f t="shared" si="19"/>
        <v>1319.6710728146086</v>
      </c>
      <c r="AX13" s="2">
        <f t="shared" si="28"/>
        <v>1.0000000000000001E-5</v>
      </c>
      <c r="AY13" s="37">
        <f t="shared" si="20"/>
        <v>17890.167558798203</v>
      </c>
      <c r="AZ13" s="37">
        <f t="shared" si="21"/>
        <v>18307.326938510811</v>
      </c>
      <c r="BA13" s="37">
        <f t="shared" si="22"/>
        <v>18890.403395497124</v>
      </c>
      <c r="BB13" s="37">
        <f t="shared" si="23"/>
        <v>19731.237988608878</v>
      </c>
      <c r="BC13" s="37">
        <f t="shared" si="24"/>
        <v>21806.095464095375</v>
      </c>
      <c r="BD13" s="37">
        <f t="shared" si="25"/>
        <v>67796.268725813425</v>
      </c>
      <c r="BE13" s="37">
        <f t="shared" si="26"/>
        <v>-5531.5690915263876</v>
      </c>
    </row>
    <row r="14" spans="1:308" x14ac:dyDescent="0.25">
      <c r="A14" s="2">
        <f>'creep_res-40'!A14</f>
        <v>1E-4</v>
      </c>
      <c r="B14" s="3">
        <f>'creep_res-40'!O14</f>
        <v>-6.5441911428571441E-4</v>
      </c>
      <c r="C14" s="2">
        <f>IF('Modell einstellen'!$B$2="Ja",creep_res0!O14,creep_res0!C14)</f>
        <v>-7.0743394285714299E-4</v>
      </c>
      <c r="D14" s="2">
        <f>IF('Modell einstellen'!$B$2="Ja",creep_res25!O14,creep_res25!C14)</f>
        <v>-7.5526031428571443E-4</v>
      </c>
      <c r="E14" s="2">
        <f>IF('Modell einstellen'!$B$2="Ja",creep_res50!O14,creep_res50!C14)</f>
        <v>-8.0832005714285714E-4</v>
      </c>
      <c r="F14" s="2">
        <f>IF('Modell einstellen'!$B$2="Ja",creep_res80!O14,creep_res80!C14)</f>
        <v>-9.0536308571428567E-4</v>
      </c>
      <c r="G14" s="2">
        <f>IF('Modell einstellen'!$B$2="Ja",creep_res125!O14,creep_res125!C14)</f>
        <v>-1.2687796E-3</v>
      </c>
      <c r="H14" s="2">
        <f>IF('Modell einstellen'!$B$2="Ja",creep_res160!O14,creep_res160!C14)</f>
        <v>-3.0115682857142861E-3</v>
      </c>
      <c r="M14" s="9">
        <f t="shared" si="27"/>
        <v>-10</v>
      </c>
      <c r="N14" s="2">
        <f t="shared" si="4"/>
        <v>1E-4</v>
      </c>
      <c r="O14" s="2">
        <f t="shared" si="5"/>
        <v>15280.727261328244</v>
      </c>
      <c r="P14" s="2">
        <f t="shared" si="6"/>
        <v>14135.595416319131</v>
      </c>
      <c r="Q14" s="2">
        <f t="shared" si="7"/>
        <v>13240.467969586718</v>
      </c>
      <c r="R14" s="2">
        <f t="shared" si="8"/>
        <v>12371.337209355757</v>
      </c>
      <c r="S14" s="2">
        <f t="shared" si="9"/>
        <v>11045.292389086646</v>
      </c>
      <c r="T14" s="2">
        <f t="shared" si="10"/>
        <v>7881.5895211429943</v>
      </c>
      <c r="U14" s="2">
        <f t="shared" si="11"/>
        <v>3320.5290570484913</v>
      </c>
      <c r="Z14" s="2">
        <v>1E-4</v>
      </c>
      <c r="AA14" s="3">
        <f>IF('Modell einstellen'!$B$2="Ja",'creep_res-40'!P14,'creep_res-40'!L14)</f>
        <v>0.35764459202619342</v>
      </c>
      <c r="AB14" s="2">
        <f>IF('Modell einstellen'!$B$2="Ja",creep_res0!P14,creep_res0!L14)</f>
        <v>0.37266710171990614</v>
      </c>
      <c r="AC14" s="2">
        <f>IF('Modell einstellen'!$B$2="Ja",creep_res25!P14,creep_res25!L14)</f>
        <v>0.38538579943165097</v>
      </c>
      <c r="AD14" s="2">
        <f>IF('Modell einstellen'!$B$2="Ja",creep_res50!P14,creep_res50!L14)</f>
        <v>0.39856882008760186</v>
      </c>
      <c r="AE14" s="2">
        <f>IF('Modell einstellen'!$B$2="Ja",creep_res80!P14,creep_res80!L14)</f>
        <v>0.42096534719393408</v>
      </c>
      <c r="AF14" s="2">
        <f>IF('Modell einstellen'!$B$2="Ja",creep_res125!P14,creep_res125!L14)</f>
        <v>0.49188883103551972</v>
      </c>
      <c r="AG14" s="2">
        <f>IF('Modell einstellen'!$B$2="Ja",creep_res160!P14,creep_res160!L14)</f>
        <v>0.6879203896517514</v>
      </c>
      <c r="AL14" s="2">
        <f t="shared" si="12"/>
        <v>1E-4</v>
      </c>
      <c r="AM14" s="2">
        <f t="shared" si="13"/>
        <v>5627.6610797391322</v>
      </c>
      <c r="AN14" s="2">
        <f t="shared" si="14"/>
        <v>5148.9525022518937</v>
      </c>
      <c r="AO14" s="2">
        <f t="shared" si="15"/>
        <v>4778.6212241451321</v>
      </c>
      <c r="AP14" s="2">
        <f t="shared" si="16"/>
        <v>4422.8560767502513</v>
      </c>
      <c r="AQ14" s="2">
        <f t="shared" si="17"/>
        <v>3886.5453020717396</v>
      </c>
      <c r="AR14" s="2">
        <f t="shared" si="18"/>
        <v>2641.4801683555684</v>
      </c>
      <c r="AS14" s="2">
        <f t="shared" si="19"/>
        <v>983.6154232764427</v>
      </c>
      <c r="AX14" s="2">
        <f t="shared" si="28"/>
        <v>1E-4</v>
      </c>
      <c r="AY14" s="37">
        <f t="shared" si="20"/>
        <v>17890.348622067453</v>
      </c>
      <c r="AZ14" s="37">
        <f t="shared" si="21"/>
        <v>18502.151456603013</v>
      </c>
      <c r="BA14" s="37">
        <f t="shared" si="22"/>
        <v>19253.675815518305</v>
      </c>
      <c r="BB14" s="37">
        <f t="shared" si="23"/>
        <v>20327.965588819865</v>
      </c>
      <c r="BC14" s="37">
        <f t="shared" si="24"/>
        <v>23292.087704426362</v>
      </c>
      <c r="BD14" s="37">
        <f t="shared" si="25"/>
        <v>161949.31449168763</v>
      </c>
      <c r="BE14" s="37">
        <f t="shared" si="26"/>
        <v>-2944.9785120905003</v>
      </c>
    </row>
    <row r="15" spans="1:308" x14ac:dyDescent="0.25">
      <c r="A15" s="2">
        <f>'creep_res-40'!A15</f>
        <v>1E-3</v>
      </c>
      <c r="B15" s="3">
        <f>'creep_res-40'!O15</f>
        <v>-6.545510285714286E-4</v>
      </c>
      <c r="C15" s="2">
        <f>IF('Modell einstellen'!$B$2="Ja",creep_res0!O15,creep_res0!C15)</f>
        <v>-7.2235682857142854E-4</v>
      </c>
      <c r="D15" s="2">
        <f>IF('Modell einstellen'!$B$2="Ja",creep_res25!O15,creep_res25!C15)</f>
        <v>-7.7708708571428569E-4</v>
      </c>
      <c r="E15" s="2">
        <f>IF('Modell einstellen'!$B$2="Ja",creep_res50!O15,creep_res50!C15)</f>
        <v>-8.3339802857142859E-4</v>
      </c>
      <c r="F15" s="2">
        <f>IF('Modell einstellen'!$B$2="Ja",creep_res80!O15,creep_res80!C15)</f>
        <v>-9.5081022857142856E-4</v>
      </c>
      <c r="G15" s="2">
        <f>IF('Modell einstellen'!$B$2="Ja",creep_res125!O15,creep_res125!C15)</f>
        <v>-1.3549035142857145E-3</v>
      </c>
      <c r="H15" s="2">
        <f>IF('Modell einstellen'!$B$2="Ja",creep_res160!O15,creep_res160!C15)</f>
        <v>-4.1215134285714286E-3</v>
      </c>
      <c r="M15" s="9">
        <f t="shared" si="27"/>
        <v>-10</v>
      </c>
      <c r="N15" s="2">
        <f t="shared" si="4"/>
        <v>1E-3</v>
      </c>
      <c r="O15" s="2">
        <f t="shared" si="5"/>
        <v>15277.647675270193</v>
      </c>
      <c r="P15" s="2">
        <f t="shared" si="6"/>
        <v>13843.573708268992</v>
      </c>
      <c r="Q15" s="2">
        <f t="shared" si="7"/>
        <v>12868.570568005469</v>
      </c>
      <c r="R15" s="2">
        <f t="shared" si="8"/>
        <v>11999.068460890801</v>
      </c>
      <c r="S15" s="2">
        <f t="shared" si="9"/>
        <v>10517.345837796443</v>
      </c>
      <c r="T15" s="2">
        <f t="shared" si="10"/>
        <v>7380.5993523249927</v>
      </c>
      <c r="U15" s="2">
        <f t="shared" si="11"/>
        <v>2426.293198677296</v>
      </c>
      <c r="Z15" s="2">
        <v>1E-3</v>
      </c>
      <c r="AA15" s="3">
        <f>IF('Modell einstellen'!$B$2="Ja",'creep_res-40'!P15,'creep_res-40'!L15)</f>
        <v>0.35768744167758004</v>
      </c>
      <c r="AB15" s="2">
        <f>IF('Modell einstellen'!$B$2="Ja",creep_res0!P15,creep_res0!L15)</f>
        <v>0.37694362291624062</v>
      </c>
      <c r="AC15" s="2">
        <f>IF('Modell einstellen'!$B$2="Ja",creep_res25!P15,creep_res25!L15)</f>
        <v>0.39124866608074232</v>
      </c>
      <c r="AD15" s="2">
        <f>IF('Modell einstellen'!$B$2="Ja",creep_res50!P15,creep_res50!L15)</f>
        <v>0.40490109150726161</v>
      </c>
      <c r="AE15" s="2">
        <f>IF('Modell einstellen'!$B$2="Ja",creep_res80!P15,creep_res80!L15)</f>
        <v>0.43130231966372867</v>
      </c>
      <c r="AF15" s="2">
        <f>IF('Modell einstellen'!$B$2="Ja",creep_res125!P15,creep_res125!L15)</f>
        <v>0.50674691163564767</v>
      </c>
      <c r="AG15" s="2">
        <f>IF('Modell einstellen'!$B$2="Ja",creep_res160!P15,creep_res160!L15)</f>
        <v>0.74890402603149187</v>
      </c>
      <c r="AL15" s="2">
        <f t="shared" si="12"/>
        <v>1E-3</v>
      </c>
      <c r="AM15" s="2">
        <f t="shared" si="13"/>
        <v>5626.3493372203875</v>
      </c>
      <c r="AN15" s="2">
        <f t="shared" si="14"/>
        <v>5026.92102925375</v>
      </c>
      <c r="AO15" s="2">
        <f t="shared" si="15"/>
        <v>4624.8276392807802</v>
      </c>
      <c r="AP15" s="2">
        <f t="shared" si="16"/>
        <v>4270.4317526073974</v>
      </c>
      <c r="AQ15" s="2">
        <f t="shared" si="17"/>
        <v>3674.0476464355193</v>
      </c>
      <c r="AR15" s="2">
        <f t="shared" si="18"/>
        <v>2449.1835010011705</v>
      </c>
      <c r="AS15" s="2">
        <f t="shared" si="19"/>
        <v>693.66104788005293</v>
      </c>
      <c r="AX15" s="2">
        <f t="shared" si="28"/>
        <v>1E-3</v>
      </c>
      <c r="AY15" s="37">
        <f t="shared" si="20"/>
        <v>17892.128723989717</v>
      </c>
      <c r="AZ15" s="37">
        <f t="shared" si="21"/>
        <v>18749.636056171559</v>
      </c>
      <c r="BA15" s="37">
        <f t="shared" si="22"/>
        <v>19721.705325716935</v>
      </c>
      <c r="BB15" s="37">
        <f t="shared" si="23"/>
        <v>21029.103016829111</v>
      </c>
      <c r="BC15" s="37">
        <f t="shared" si="24"/>
        <v>25516.013996189828</v>
      </c>
      <c r="BD15" s="37">
        <f t="shared" si="25"/>
        <v>-182320.43911096553</v>
      </c>
      <c r="BE15" s="37">
        <f t="shared" si="26"/>
        <v>-1624.6511003738688</v>
      </c>
    </row>
    <row r="16" spans="1:308" x14ac:dyDescent="0.25">
      <c r="A16" s="2">
        <f>'creep_res-40'!A16</f>
        <v>0.01</v>
      </c>
      <c r="B16" s="3">
        <f>'creep_res-40'!O16</f>
        <v>-6.5581351428571437E-4</v>
      </c>
      <c r="C16" s="2">
        <f>IF('Modell einstellen'!$B$2="Ja",creep_res0!O16,creep_res0!C16)</f>
        <v>-7.3885014285714288E-4</v>
      </c>
      <c r="D16" s="2">
        <f>IF('Modell einstellen'!$B$2="Ja",creep_res25!O16,creep_res25!C16)</f>
        <v>-8.0133854285714299E-4</v>
      </c>
      <c r="E16" s="2">
        <f>IF('Modell einstellen'!$B$2="Ja",creep_res50!O16,creep_res50!C16)</f>
        <v>-8.6259620000000016E-4</v>
      </c>
      <c r="F16" s="2">
        <f>IF('Modell einstellen'!$B$2="Ja",creep_res80!O16,creep_res80!C16)</f>
        <v>-9.9418331428571425E-4</v>
      </c>
      <c r="G16" s="2">
        <f>IF('Modell einstellen'!$B$2="Ja",creep_res125!O16,creep_res125!C16)</f>
        <v>-1.4672013142857142E-3</v>
      </c>
      <c r="H16" s="2">
        <f>IF('Modell einstellen'!$B$2="Ja",creep_res160!O16,creep_res160!C16)</f>
        <v>-5.7726682857142863E-3</v>
      </c>
      <c r="M16" s="9">
        <f t="shared" si="27"/>
        <v>-10</v>
      </c>
      <c r="N16" s="2">
        <f t="shared" si="4"/>
        <v>0.01</v>
      </c>
      <c r="O16" s="2">
        <f t="shared" si="5"/>
        <v>15248.237162193274</v>
      </c>
      <c r="P16" s="2">
        <f t="shared" si="6"/>
        <v>13534.544314128265</v>
      </c>
      <c r="Q16" s="2">
        <f t="shared" si="7"/>
        <v>12479.120203485245</v>
      </c>
      <c r="R16" s="2">
        <f t="shared" si="8"/>
        <v>11592.909869067355</v>
      </c>
      <c r="S16" s="2">
        <f t="shared" si="9"/>
        <v>10058.507174991815</v>
      </c>
      <c r="T16" s="2">
        <f t="shared" si="10"/>
        <v>6815.6972752361226</v>
      </c>
      <c r="U16" s="2">
        <f t="shared" si="11"/>
        <v>1732.301165606061</v>
      </c>
      <c r="Z16" s="2">
        <v>0.01</v>
      </c>
      <c r="AA16" s="3">
        <f>IF('Modell einstellen'!$B$2="Ja",'creep_res-40'!P16,'creep_res-40'!L16)</f>
        <v>0.35809682046808339</v>
      </c>
      <c r="AB16" s="2">
        <f>IF('Modell einstellen'!$B$2="Ja",creep_res0!P16,creep_res0!L16)</f>
        <v>0.38158559120146346</v>
      </c>
      <c r="AC16" s="2">
        <f>IF('Modell einstellen'!$B$2="Ja",creep_res25!P16,creep_res25!L16)</f>
        <v>0.39761218809285848</v>
      </c>
      <c r="AD16" s="2">
        <f>IF('Modell einstellen'!$B$2="Ja",creep_res50!P16,creep_res50!L16)</f>
        <v>0.41207465158254641</v>
      </c>
      <c r="AE16" s="2">
        <f>IF('Modell einstellen'!$B$2="Ja",creep_res80!P16,creep_res80!L16)</f>
        <v>0.4408418959010032</v>
      </c>
      <c r="AF16" s="2">
        <f>IF('Modell einstellen'!$B$2="Ja",creep_res125!P16,creep_res125!L16)</f>
        <v>0.52420203471542304</v>
      </c>
      <c r="AG16" s="2">
        <f>IF('Modell einstellen'!$B$2="Ja",creep_res160!P16,creep_res160!L16)</f>
        <v>0.78242292410555969</v>
      </c>
      <c r="AL16" s="2">
        <f t="shared" si="12"/>
        <v>0.01</v>
      </c>
      <c r="AM16" s="2">
        <f t="shared" si="13"/>
        <v>5613.8255139047442</v>
      </c>
      <c r="AN16" s="2">
        <f t="shared" si="14"/>
        <v>4898.1924827249632</v>
      </c>
      <c r="AO16" s="2">
        <f t="shared" si="15"/>
        <v>4464.4431086830655</v>
      </c>
      <c r="AP16" s="2">
        <f t="shared" si="16"/>
        <v>4104.9210309366072</v>
      </c>
      <c r="AQ16" s="2">
        <f t="shared" si="17"/>
        <v>3490.4964950029853</v>
      </c>
      <c r="AR16" s="2">
        <f t="shared" si="18"/>
        <v>2235.8247528873858</v>
      </c>
      <c r="AS16" s="2">
        <f t="shared" si="19"/>
        <v>485.93999274200024</v>
      </c>
      <c r="AX16" s="2">
        <f t="shared" si="28"/>
        <v>0.01</v>
      </c>
      <c r="AY16" s="37">
        <f t="shared" si="20"/>
        <v>17909.203083035532</v>
      </c>
      <c r="AZ16" s="37">
        <f t="shared" si="21"/>
        <v>19049.686677284855</v>
      </c>
      <c r="BA16" s="37">
        <f t="shared" si="22"/>
        <v>20313.485838859611</v>
      </c>
      <c r="BB16" s="37">
        <f t="shared" si="23"/>
        <v>21974.910303125034</v>
      </c>
      <c r="BC16" s="37">
        <f t="shared" si="24"/>
        <v>28337.924077033844</v>
      </c>
      <c r="BD16" s="37">
        <f t="shared" si="25"/>
        <v>-46936.117530183925</v>
      </c>
      <c r="BE16" s="37">
        <f t="shared" si="26"/>
        <v>-1022.2855026684425</v>
      </c>
    </row>
    <row r="17" spans="1:57" x14ac:dyDescent="0.25">
      <c r="A17" s="2">
        <f>'creep_res-40'!A17</f>
        <v>0.1</v>
      </c>
      <c r="B17" s="3">
        <f>'creep_res-40'!O17</f>
        <v>-6.6577194285714295E-4</v>
      </c>
      <c r="C17" s="2">
        <f>IF('Modell einstellen'!$B$2="Ja",creep_res0!O17,creep_res0!C17)</f>
        <v>-7.5840702857142865E-4</v>
      </c>
      <c r="D17" s="2">
        <f>IF('Modell einstellen'!$B$2="Ja",creep_res25!O17,creep_res25!C17)</f>
        <v>-8.2604820000000008E-4</v>
      </c>
      <c r="E17" s="2">
        <f>IF('Modell einstellen'!$B$2="Ja",creep_res50!O17,creep_res50!C17)</f>
        <v>-9.0110842857142853E-4</v>
      </c>
      <c r="F17" s="2">
        <f>IF('Modell einstellen'!$B$2="Ja",creep_res80!O17,creep_res80!C17)</f>
        <v>-1.0362681714285716E-3</v>
      </c>
      <c r="G17" s="2">
        <f>IF('Modell einstellen'!$B$2="Ja",creep_res125!O17,creep_res125!C17)</f>
        <v>-1.6285401428571432E-3</v>
      </c>
      <c r="H17" s="2">
        <f>IF('Modell einstellen'!$B$2="Ja",creep_res160!O17,creep_res160!C17)</f>
        <v>-7.6871359999999998E-3</v>
      </c>
      <c r="M17" s="9">
        <f t="shared" si="27"/>
        <v>-10</v>
      </c>
      <c r="N17" s="2">
        <f t="shared" si="4"/>
        <v>0.1</v>
      </c>
      <c r="O17" s="2">
        <f t="shared" si="5"/>
        <v>15020.158339934333</v>
      </c>
      <c r="P17" s="2">
        <f t="shared" si="6"/>
        <v>13185.531809794105</v>
      </c>
      <c r="Q17" s="2">
        <f t="shared" si="7"/>
        <v>12105.831112518614</v>
      </c>
      <c r="R17" s="2">
        <f t="shared" si="8"/>
        <v>11097.44364044346</v>
      </c>
      <c r="S17" s="2">
        <f t="shared" si="9"/>
        <v>9650.0117206285195</v>
      </c>
      <c r="T17" s="2">
        <f t="shared" si="10"/>
        <v>6140.4688388312006</v>
      </c>
      <c r="U17" s="2">
        <f t="shared" si="11"/>
        <v>1300.8746040137705</v>
      </c>
      <c r="Z17" s="2">
        <v>0.1</v>
      </c>
      <c r="AA17" s="3">
        <f>IF('Modell einstellen'!$B$2="Ja",'creep_res-40'!P17,'creep_res-40'!L17)</f>
        <v>0.36115847133926332</v>
      </c>
      <c r="AB17" s="2">
        <f>IF('Modell einstellen'!$B$2="Ja",creep_res0!P17,creep_res0!L17)</f>
        <v>0.38697927226864914</v>
      </c>
      <c r="AC17" s="2">
        <f>IF('Modell einstellen'!$B$2="Ja",creep_res25!P17,creep_res25!L17)</f>
        <v>0.40394346410847626</v>
      </c>
      <c r="AD17" s="2">
        <f>IF('Modell einstellen'!$B$2="Ja",creep_res50!P17,creep_res50!L17)</f>
        <v>0.4212233536506389</v>
      </c>
      <c r="AE17" s="2">
        <f>IF('Modell einstellen'!$B$2="Ja",creep_res80!P17,creep_res80!L17)</f>
        <v>0.44953939942628196</v>
      </c>
      <c r="AF17" s="2">
        <f>IF('Modell einstellen'!$B$2="Ja",creep_res125!P17,creep_res125!L17)</f>
        <v>0.54024953637267237</v>
      </c>
      <c r="AG17" s="2">
        <f>IF('Modell einstellen'!$B$2="Ja",creep_res160!P17,creep_res160!L17)</f>
        <v>0.77047598927425187</v>
      </c>
      <c r="AL17" s="2">
        <f t="shared" si="12"/>
        <v>0.1</v>
      </c>
      <c r="AM17" s="2">
        <f t="shared" si="13"/>
        <v>5517.4172060787987</v>
      </c>
      <c r="AN17" s="2">
        <f t="shared" si="14"/>
        <v>4753.3269146217463</v>
      </c>
      <c r="AO17" s="2">
        <f t="shared" si="15"/>
        <v>4311.3670250981177</v>
      </c>
      <c r="AP17" s="2">
        <f t="shared" si="16"/>
        <v>3904.1870554469519</v>
      </c>
      <c r="AQ17" s="2">
        <f t="shared" si="17"/>
        <v>3328.6476119407066</v>
      </c>
      <c r="AR17" s="2">
        <f t="shared" si="18"/>
        <v>1993.335720552192</v>
      </c>
      <c r="AS17" s="2">
        <f t="shared" si="19"/>
        <v>367.37990571310178</v>
      </c>
      <c r="AX17" s="2">
        <f t="shared" si="28"/>
        <v>0.1</v>
      </c>
      <c r="AY17" s="37">
        <f t="shared" si="20"/>
        <v>18030.338238636232</v>
      </c>
      <c r="AZ17" s="37">
        <f t="shared" si="21"/>
        <v>19444.120375771519</v>
      </c>
      <c r="BA17" s="37">
        <f t="shared" si="22"/>
        <v>21004.697910734707</v>
      </c>
      <c r="BB17" s="37">
        <f t="shared" si="23"/>
        <v>23478.708802496651</v>
      </c>
      <c r="BC17" s="37">
        <f t="shared" si="24"/>
        <v>31873.090460384003</v>
      </c>
      <c r="BD17" s="37">
        <f t="shared" si="25"/>
        <v>-25426.6648853472</v>
      </c>
      <c r="BE17" s="37">
        <f t="shared" si="26"/>
        <v>-801.59586284923773</v>
      </c>
    </row>
    <row r="18" spans="1:57" x14ac:dyDescent="0.25">
      <c r="A18" s="2">
        <f>'creep_res-40'!A18</f>
        <v>1</v>
      </c>
      <c r="B18" s="3">
        <f>'creep_res-40'!O18</f>
        <v>-6.8263214285714286E-4</v>
      </c>
      <c r="C18" s="2">
        <f>IF('Modell einstellen'!$B$2="Ja",creep_res0!O18,creep_res0!C18)</f>
        <v>-7.8074914285714285E-4</v>
      </c>
      <c r="D18" s="2">
        <f>IF('Modell einstellen'!$B$2="Ja",creep_res25!O18,creep_res25!C18)</f>
        <v>-8.5347311428571435E-4</v>
      </c>
      <c r="E18" s="2">
        <f>IF('Modell einstellen'!$B$2="Ja",creep_res50!O18,creep_res50!C18)</f>
        <v>-9.4679897142857159E-4</v>
      </c>
      <c r="F18" s="2">
        <f>IF('Modell einstellen'!$B$2="Ja",creep_res80!O18,creep_res80!C18)</f>
        <v>-1.0851435142857145E-3</v>
      </c>
      <c r="G18" s="2">
        <f>IF('Modell einstellen'!$B$2="Ja",creep_res125!O18,creep_res125!C18)</f>
        <v>-1.8959442285714288E-3</v>
      </c>
      <c r="H18" s="2">
        <f>IF('Modell einstellen'!$B$2="Ja",creep_res160!O18,creep_res160!C18)</f>
        <v>-9.4130968571428577E-3</v>
      </c>
      <c r="M18" s="9">
        <f t="shared" si="27"/>
        <v>-10</v>
      </c>
      <c r="N18" s="2">
        <f t="shared" si="4"/>
        <v>1</v>
      </c>
      <c r="O18" s="2">
        <f t="shared" si="5"/>
        <v>14649.178338050717</v>
      </c>
      <c r="P18" s="2">
        <f t="shared" si="6"/>
        <v>12808.211307674461</v>
      </c>
      <c r="Q18" s="2">
        <f t="shared" si="7"/>
        <v>11716.830715129398</v>
      </c>
      <c r="R18" s="2">
        <f t="shared" si="8"/>
        <v>10561.904165264948</v>
      </c>
      <c r="S18" s="2">
        <f t="shared" si="9"/>
        <v>9215.3709332930084</v>
      </c>
      <c r="T18" s="2">
        <f t="shared" si="10"/>
        <v>5274.4167519816128</v>
      </c>
      <c r="U18" s="2">
        <f t="shared" si="11"/>
        <v>1062.3496338945868</v>
      </c>
      <c r="Z18" s="2">
        <v>1</v>
      </c>
      <c r="AA18" s="3">
        <f>IF('Modell einstellen'!$B$2="Ja",'creep_res-40'!P18,'creep_res-40'!L18)</f>
        <v>0.36629344606224856</v>
      </c>
      <c r="AB18" s="2">
        <f>IF('Modell einstellen'!$B$2="Ja",creep_res0!P18,creep_res0!L18)</f>
        <v>0.39300258140350192</v>
      </c>
      <c r="AC18" s="2">
        <f>IF('Modell einstellen'!$B$2="Ja",creep_res25!P18,creep_res25!L18)</f>
        <v>0.41075221417134605</v>
      </c>
      <c r="AD18" s="2">
        <f>IF('Modell einstellen'!$B$2="Ja",creep_res50!P18,creep_res50!L18)</f>
        <v>0.43140716188840084</v>
      </c>
      <c r="AE18" s="2">
        <f>IF('Modell einstellen'!$B$2="Ja",creep_res80!P18,creep_res80!L18)</f>
        <v>0.45690427833600827</v>
      </c>
      <c r="AF18" s="2">
        <f>IF('Modell einstellen'!$B$2="Ja",creep_res125!P18,creep_res125!L18)</f>
        <v>0.54411431752784523</v>
      </c>
      <c r="AG18" s="2">
        <f>IF('Modell einstellen'!$B$2="Ja",creep_res160!P18,creep_res160!L18)</f>
        <v>0.72924350173628905</v>
      </c>
      <c r="AL18" s="2">
        <f t="shared" si="12"/>
        <v>1</v>
      </c>
      <c r="AM18" s="2">
        <f t="shared" si="13"/>
        <v>5360.9194936383001</v>
      </c>
      <c r="AN18" s="2">
        <f t="shared" si="14"/>
        <v>4597.3394014710702</v>
      </c>
      <c r="AO18" s="2">
        <f t="shared" si="15"/>
        <v>4152.6891106145395</v>
      </c>
      <c r="AP18" s="2">
        <f t="shared" si="16"/>
        <v>3689.3430627142566</v>
      </c>
      <c r="AQ18" s="2">
        <f t="shared" si="17"/>
        <v>3162.6549081928265</v>
      </c>
      <c r="AR18" s="2">
        <f t="shared" si="18"/>
        <v>1707.9100595434049</v>
      </c>
      <c r="AS18" s="2">
        <f t="shared" si="19"/>
        <v>307.17178720865763</v>
      </c>
      <c r="AX18" s="2">
        <f t="shared" si="28"/>
        <v>1</v>
      </c>
      <c r="AY18" s="37">
        <f t="shared" si="20"/>
        <v>18260.359354898443</v>
      </c>
      <c r="AZ18" s="37">
        <f t="shared" si="21"/>
        <v>19950.966225294305</v>
      </c>
      <c r="BA18" s="37">
        <f t="shared" si="22"/>
        <v>21880.71223343744</v>
      </c>
      <c r="BB18" s="37">
        <f t="shared" si="23"/>
        <v>25663.282193011033</v>
      </c>
      <c r="BC18" s="37">
        <f t="shared" si="24"/>
        <v>35639.156191045739</v>
      </c>
      <c r="BD18" s="37">
        <f t="shared" si="25"/>
        <v>-19927.078280395661</v>
      </c>
      <c r="BE18" s="37">
        <f t="shared" si="26"/>
        <v>-772.35895881334068</v>
      </c>
    </row>
    <row r="19" spans="1:57" x14ac:dyDescent="0.25">
      <c r="A19" s="2">
        <f>'creep_res-40'!A19</f>
        <v>10</v>
      </c>
      <c r="B19" s="3">
        <f>'creep_res-40'!O19</f>
        <v>-6.9511814285714288E-4</v>
      </c>
      <c r="C19" s="2">
        <f>IF('Modell einstellen'!$B$2="Ja",creep_res0!O19,creep_res0!C19)</f>
        <v>-8.0518002857142871E-4</v>
      </c>
      <c r="D19" s="2">
        <f>IF('Modell einstellen'!$B$2="Ja",creep_res25!O19,creep_res25!C19)</f>
        <v>-8.9017040000000005E-4</v>
      </c>
      <c r="E19" s="2">
        <f>IF('Modell einstellen'!$B$2="Ja",creep_res50!O19,creep_res50!C19)</f>
        <v>-9.9414297142857142E-4</v>
      </c>
      <c r="F19" s="2">
        <f>IF('Modell einstellen'!$B$2="Ja",creep_res80!O19,creep_res80!C19)</f>
        <v>-1.1484603714285715E-3</v>
      </c>
      <c r="G19" s="2">
        <f>IF('Modell einstellen'!$B$2="Ja",creep_res125!O19,creep_res125!C19)</f>
        <v>-2.3460856285714288E-3</v>
      </c>
      <c r="H19" s="2">
        <f>IF('Modell einstellen'!$B$2="Ja",creep_res160!O19,creep_res160!C19)</f>
        <v>-1.0685877142857144E-2</v>
      </c>
      <c r="M19" s="9">
        <f t="shared" si="27"/>
        <v>-10</v>
      </c>
      <c r="N19" s="2">
        <f t="shared" si="4"/>
        <v>10</v>
      </c>
      <c r="O19" s="2">
        <f t="shared" si="5"/>
        <v>14386.043729051607</v>
      </c>
      <c r="P19" s="2">
        <f t="shared" si="6"/>
        <v>12419.582758084871</v>
      </c>
      <c r="Q19" s="2">
        <f t="shared" si="7"/>
        <v>11233.80422444961</v>
      </c>
      <c r="R19" s="2">
        <f t="shared" si="8"/>
        <v>10058.915354629647</v>
      </c>
      <c r="S19" s="2">
        <f t="shared" si="9"/>
        <v>8707.3095848844878</v>
      </c>
      <c r="T19" s="2">
        <f t="shared" si="10"/>
        <v>4262.419017539939</v>
      </c>
      <c r="U19" s="2">
        <f t="shared" si="11"/>
        <v>935.81461459009836</v>
      </c>
      <c r="Z19" s="2">
        <v>10</v>
      </c>
      <c r="AA19" s="3">
        <f>IF('Modell einstellen'!$B$2="Ja",'creep_res-40'!P19,'creep_res-40'!L19)</f>
        <v>0.37003292554379758</v>
      </c>
      <c r="AB19" s="2">
        <f>IF('Modell einstellen'!$B$2="Ja",creep_res0!P19,creep_res0!L19)</f>
        <v>0.39939571987822703</v>
      </c>
      <c r="AC19" s="2">
        <f>IF('Modell einstellen'!$B$2="Ja",creep_res25!P19,creep_res25!L19)</f>
        <v>0.41913939815824675</v>
      </c>
      <c r="AD19" s="2">
        <f>IF('Modell einstellen'!$B$2="Ja",creep_res50!P19,creep_res50!L19)</f>
        <v>0.43868918652804295</v>
      </c>
      <c r="AE19" s="2">
        <f>IF('Modell einstellen'!$B$2="Ja",creep_res80!P19,creep_res80!L19)</f>
        <v>0.4565300381158745</v>
      </c>
      <c r="AF19" s="2">
        <f>IF('Modell einstellen'!$B$2="Ja",creep_res125!P19,creep_res125!L19)</f>
        <v>0.54101569328909038</v>
      </c>
      <c r="AG19" s="2">
        <f>IF('Modell einstellen'!$B$2="Ja",creep_res160!P19,creep_res160!L19)</f>
        <v>0.6766759169713189</v>
      </c>
      <c r="AL19" s="2">
        <f t="shared" si="12"/>
        <v>10</v>
      </c>
      <c r="AM19" s="2">
        <f t="shared" si="13"/>
        <v>5250.254742360099</v>
      </c>
      <c r="AN19" s="2">
        <f t="shared" si="14"/>
        <v>4437.480614548972</v>
      </c>
      <c r="AO19" s="2">
        <f t="shared" si="15"/>
        <v>3957.9636218361616</v>
      </c>
      <c r="AP19" s="2">
        <f t="shared" si="16"/>
        <v>3495.8611800317371</v>
      </c>
      <c r="AQ19" s="2">
        <f t="shared" si="17"/>
        <v>2989.0593935666489</v>
      </c>
      <c r="AR19" s="2">
        <f t="shared" si="18"/>
        <v>1382.9901395885138</v>
      </c>
      <c r="AS19" s="2">
        <f t="shared" si="19"/>
        <v>279.06842494658031</v>
      </c>
      <c r="AX19" s="2">
        <f t="shared" si="28"/>
        <v>10</v>
      </c>
      <c r="AY19" s="37">
        <f t="shared" si="20"/>
        <v>18448.318275025311</v>
      </c>
      <c r="AZ19" s="37">
        <f t="shared" si="21"/>
        <v>20574.974118152189</v>
      </c>
      <c r="BA19" s="37">
        <f t="shared" si="22"/>
        <v>23154.671885068165</v>
      </c>
      <c r="BB19" s="37">
        <f t="shared" si="23"/>
        <v>27344.049075536772</v>
      </c>
      <c r="BC19" s="37">
        <f t="shared" si="24"/>
        <v>33384.392376874275</v>
      </c>
      <c r="BD19" s="37">
        <f t="shared" si="25"/>
        <v>-17320.277011602957</v>
      </c>
      <c r="BE19" s="37">
        <f t="shared" si="26"/>
        <v>-882.79775254825859</v>
      </c>
    </row>
    <row r="20" spans="1:57" x14ac:dyDescent="0.25">
      <c r="A20" s="2">
        <f>'creep_res-40'!A20</f>
        <v>100</v>
      </c>
      <c r="B20" s="3">
        <f>'creep_res-40'!O20</f>
        <v>-7.0820794285714282E-4</v>
      </c>
      <c r="C20" s="2">
        <f>IF('Modell einstellen'!$B$2="Ja",creep_res0!O20,creep_res0!C20)</f>
        <v>-8.3068905714285719E-4</v>
      </c>
      <c r="D20" s="2">
        <f>IF('Modell einstellen'!$B$2="Ja",creep_res25!O20,creep_res25!C20)</f>
        <v>-9.3959582857142869E-4</v>
      </c>
      <c r="E20" s="2">
        <f>IF('Modell einstellen'!$B$2="Ja",creep_res50!O20,creep_res50!C20)</f>
        <v>-1.0514203142857144E-3</v>
      </c>
      <c r="F20" s="2">
        <f>IF('Modell einstellen'!$B$2="Ja",creep_res80!O20,creep_res80!C20)</f>
        <v>-1.233926742857143E-3</v>
      </c>
      <c r="G20" s="2">
        <f>IF('Modell einstellen'!$B$2="Ja",creep_res125!O20,creep_res125!C20)</f>
        <v>-3.101782571428572E-3</v>
      </c>
      <c r="H20" s="2">
        <f>IF('Modell einstellen'!$B$2="Ja",creep_res160!O20,creep_res160!C20)</f>
        <v>-1.1711472000000001E-2</v>
      </c>
      <c r="M20" s="9">
        <f t="shared" si="27"/>
        <v>-10</v>
      </c>
      <c r="N20" s="2">
        <f t="shared" si="4"/>
        <v>100</v>
      </c>
      <c r="O20" s="2">
        <f t="shared" si="5"/>
        <v>14120.146633285027</v>
      </c>
      <c r="P20" s="2">
        <f t="shared" si="6"/>
        <v>12038.198786914147</v>
      </c>
      <c r="Q20" s="2">
        <f t="shared" si="7"/>
        <v>10642.873984662219</v>
      </c>
      <c r="R20" s="2">
        <f t="shared" si="8"/>
        <v>9510.9442571437576</v>
      </c>
      <c r="S20" s="2">
        <f t="shared" si="9"/>
        <v>8104.2088259187221</v>
      </c>
      <c r="T20" s="2">
        <f t="shared" si="10"/>
        <v>3223.9526045806465</v>
      </c>
      <c r="U20" s="2">
        <f t="shared" si="11"/>
        <v>853.86363046421491</v>
      </c>
      <c r="Z20" s="2">
        <v>100</v>
      </c>
      <c r="AA20" s="3">
        <f>IF('Modell einstellen'!$B$2="Ja",'creep_res-40'!P20,'creep_res-40'!L20)</f>
        <v>0.37388199301270603</v>
      </c>
      <c r="AB20" s="2">
        <f>IF('Modell einstellen'!$B$2="Ja",creep_res0!P20,creep_res0!L20)</f>
        <v>0.40544577845648766</v>
      </c>
      <c r="AC20" s="2">
        <f>IF('Modell einstellen'!$B$2="Ja",creep_res25!P20,creep_res25!L20)</f>
        <v>0.42643314052297376</v>
      </c>
      <c r="AD20" s="2">
        <f>IF('Modell einstellen'!$B$2="Ja",creep_res50!P20,creep_res50!L20)</f>
        <v>0.43761308342883454</v>
      </c>
      <c r="AE20" s="2">
        <f>IF('Modell einstellen'!$B$2="Ja",creep_res80!P20,creep_res80!L20)</f>
        <v>0.44811873064193941</v>
      </c>
      <c r="AF20" s="2">
        <f>IF('Modell einstellen'!$B$2="Ja",creep_res125!P20,creep_res125!L20)</f>
        <v>0.54199351174932675</v>
      </c>
      <c r="AG20" s="2">
        <f>IF('Modell einstellen'!$B$2="Ja",creep_res160!P20,creep_res160!L20)</f>
        <v>0.63155523307159245</v>
      </c>
      <c r="AL20" s="2">
        <f t="shared" si="12"/>
        <v>100</v>
      </c>
      <c r="AM20" s="2">
        <f t="shared" si="13"/>
        <v>5138.7770947931922</v>
      </c>
      <c r="AN20" s="2">
        <f t="shared" si="14"/>
        <v>4282.6976933023134</v>
      </c>
      <c r="AO20" s="2">
        <f t="shared" si="15"/>
        <v>3730.5898476111606</v>
      </c>
      <c r="AP20" s="2">
        <f t="shared" si="16"/>
        <v>3307.8943029856523</v>
      </c>
      <c r="AQ20" s="2">
        <f t="shared" si="17"/>
        <v>2798.1852090008501</v>
      </c>
      <c r="AR20" s="2">
        <f t="shared" si="18"/>
        <v>1045.3846206276212</v>
      </c>
      <c r="AS20" s="2">
        <f t="shared" si="19"/>
        <v>261.67169004040318</v>
      </c>
      <c r="AX20" s="2">
        <f t="shared" si="28"/>
        <v>100</v>
      </c>
      <c r="AY20" s="37">
        <f t="shared" si="20"/>
        <v>18659.966395213218</v>
      </c>
      <c r="AZ20" s="37">
        <f t="shared" si="21"/>
        <v>21219.216146392715</v>
      </c>
      <c r="BA20" s="37">
        <f t="shared" si="22"/>
        <v>24111.567944951763</v>
      </c>
      <c r="BB20" s="37">
        <f t="shared" si="23"/>
        <v>25408.490486661882</v>
      </c>
      <c r="BC20" s="37">
        <f t="shared" si="24"/>
        <v>26034.472319182001</v>
      </c>
      <c r="BD20" s="37">
        <f t="shared" si="25"/>
        <v>-12795.439383689765</v>
      </c>
      <c r="BE20" s="37">
        <f t="shared" si="26"/>
        <v>-1081.7555619389434</v>
      </c>
    </row>
    <row r="21" spans="1:57" x14ac:dyDescent="0.25">
      <c r="A21" s="2">
        <f>'creep_res-40'!A21</f>
        <v>1000</v>
      </c>
      <c r="B21" s="3">
        <f>'creep_res-40'!O21</f>
        <v>-7.2330377142857153E-4</v>
      </c>
      <c r="C21" s="2">
        <f>IF('Modell einstellen'!$B$2="Ja",creep_res0!O21,creep_res0!C21)</f>
        <v>-8.6402994285714294E-4</v>
      </c>
      <c r="D21" s="2">
        <f>IF('Modell einstellen'!$B$2="Ja",creep_res25!O21,creep_res25!C21)</f>
        <v>-1.0019475428571429E-3</v>
      </c>
      <c r="E21" s="2">
        <f>IF('Modell einstellen'!$B$2="Ja",creep_res50!O21,creep_res50!C21)</f>
        <v>-1.1262160285714286E-3</v>
      </c>
      <c r="F21" s="2">
        <f>IF('Modell einstellen'!$B$2="Ja",creep_res80!O21,creep_res80!C21)</f>
        <v>-1.3368808000000002E-3</v>
      </c>
      <c r="G21" s="2">
        <f>IF('Modell einstellen'!$B$2="Ja",creep_res125!O21,creep_res125!C21)</f>
        <v>-4.3462051428571433E-3</v>
      </c>
      <c r="H21" s="2">
        <f>IF('Modell einstellen'!$B$2="Ja",creep_res160!O21,creep_res160!C21)</f>
        <v>-1.2468404000000001E-2</v>
      </c>
      <c r="M21" s="9">
        <f t="shared" si="27"/>
        <v>-10</v>
      </c>
      <c r="N21" s="2">
        <f t="shared" si="4"/>
        <v>1000</v>
      </c>
      <c r="O21" s="2">
        <f t="shared" si="5"/>
        <v>13825.449824835499</v>
      </c>
      <c r="P21" s="2">
        <f t="shared" si="6"/>
        <v>11573.672975883639</v>
      </c>
      <c r="Q21" s="2">
        <f t="shared" si="7"/>
        <v>9980.5624269351538</v>
      </c>
      <c r="R21" s="2">
        <f t="shared" si="8"/>
        <v>8879.2911362526975</v>
      </c>
      <c r="S21" s="2">
        <f t="shared" si="9"/>
        <v>7480.0984500637596</v>
      </c>
      <c r="T21" s="2">
        <f t="shared" si="10"/>
        <v>2300.8577992308296</v>
      </c>
      <c r="U21" s="2">
        <f t="shared" si="11"/>
        <v>802.02726828549987</v>
      </c>
      <c r="Z21" s="2">
        <v>1000</v>
      </c>
      <c r="AA21" s="3">
        <f>IF('Modell einstellen'!$B$2="Ja",'creep_res-40'!P21,'creep_res-40'!L21)</f>
        <v>0.37820505527967851</v>
      </c>
      <c r="AB21" s="2">
        <f>IF('Modell einstellen'!$B$2="Ja",creep_res0!P21,creep_res0!L21)</f>
        <v>0.40981741108972153</v>
      </c>
      <c r="AC21" s="2">
        <f>IF('Modell einstellen'!$B$2="Ja",creep_res25!P21,creep_res25!L21)</f>
        <v>0.42576600246308877</v>
      </c>
      <c r="AD21" s="2">
        <f>IF('Modell einstellen'!$B$2="Ja",creep_res50!P21,creep_res50!L21)</f>
        <v>0.43039491966537452</v>
      </c>
      <c r="AE21" s="2">
        <f>IF('Modell einstellen'!$B$2="Ja",creep_res80!P21,creep_res80!L21)</f>
        <v>0.43875545438093122</v>
      </c>
      <c r="AF21" s="2">
        <f>IF('Modell einstellen'!$B$2="Ja",creep_res125!P21,creep_res125!L21)</f>
        <v>0.54730509729407284</v>
      </c>
      <c r="AG21" s="2">
        <f>IF('Modell einstellen'!$B$2="Ja",creep_res160!P21,creep_res160!L21)</f>
        <v>0.59545980612846905</v>
      </c>
      <c r="AL21" s="2">
        <f t="shared" si="12"/>
        <v>1000</v>
      </c>
      <c r="AM21" s="2">
        <f t="shared" si="13"/>
        <v>5015.7448530146003</v>
      </c>
      <c r="AN21" s="2">
        <f t="shared" si="14"/>
        <v>4104.6708903026465</v>
      </c>
      <c r="AO21" s="2">
        <f t="shared" si="15"/>
        <v>3500.0702814112506</v>
      </c>
      <c r="AP21" s="2">
        <f t="shared" si="16"/>
        <v>3103.7900841852515</v>
      </c>
      <c r="AQ21" s="2">
        <f t="shared" si="17"/>
        <v>2599.5030730508342</v>
      </c>
      <c r="AR21" s="2">
        <f t="shared" si="18"/>
        <v>743.50488577028852</v>
      </c>
      <c r="AS21" s="2">
        <f t="shared" si="19"/>
        <v>251.34674819282765</v>
      </c>
      <c r="AX21" s="2">
        <f t="shared" si="28"/>
        <v>1000</v>
      </c>
      <c r="AY21" s="37">
        <f t="shared" si="20"/>
        <v>18919.025274520449</v>
      </c>
      <c r="AZ21" s="37">
        <f t="shared" si="21"/>
        <v>21389.333787031665</v>
      </c>
      <c r="BA21" s="37">
        <f t="shared" si="22"/>
        <v>22407.887576426907</v>
      </c>
      <c r="BB21" s="37">
        <f t="shared" si="23"/>
        <v>21261.118425948283</v>
      </c>
      <c r="BC21" s="37">
        <f t="shared" si="24"/>
        <v>20355.82209662873</v>
      </c>
      <c r="BD21" s="37">
        <f t="shared" si="25"/>
        <v>-8106.4477573720824</v>
      </c>
      <c r="BE21" s="37">
        <f t="shared" si="26"/>
        <v>-1400.2878991920745</v>
      </c>
    </row>
    <row r="22" spans="1:57" x14ac:dyDescent="0.25">
      <c r="A22" s="2">
        <f>'creep_res-40'!A22</f>
        <v>10000</v>
      </c>
      <c r="B22" s="3">
        <f>'creep_res-40'!O22</f>
        <v>-7.408148285714286E-4</v>
      </c>
      <c r="C22" s="2">
        <f>IF('Modell einstellen'!$B$2="Ja",creep_res0!O22,creep_res0!C22)</f>
        <v>-9.1796040000000003E-4</v>
      </c>
      <c r="D22" s="2">
        <f>IF('Modell einstellen'!$B$2="Ja",creep_res25!O22,creep_res25!C22)</f>
        <v>-1.0711912285714287E-3</v>
      </c>
      <c r="E22" s="2">
        <f>IF('Modell einstellen'!$B$2="Ja",creep_res50!O22,creep_res50!C22)</f>
        <v>-1.2071150000000001E-3</v>
      </c>
      <c r="F22" s="2">
        <f>IF('Modell einstellen'!$B$2="Ja",creep_res80!O22,creep_res80!C22)</f>
        <v>-1.4592771714285716E-3</v>
      </c>
      <c r="G22" s="2">
        <f>IF('Modell einstellen'!$B$2="Ja",creep_res125!O22,creep_res125!C22)</f>
        <v>-6.201710571428572E-3</v>
      </c>
      <c r="H22" s="2">
        <f>IF('Modell einstellen'!$B$2="Ja",creep_res160!O22,creep_res160!C22)</f>
        <v>-1.2940604285714285E-2</v>
      </c>
      <c r="M22" s="9">
        <f t="shared" si="27"/>
        <v>-10</v>
      </c>
      <c r="N22" s="2">
        <f t="shared" si="4"/>
        <v>10000</v>
      </c>
      <c r="O22" s="2">
        <f t="shared" si="5"/>
        <v>13498.649884322354</v>
      </c>
      <c r="P22" s="2">
        <f t="shared" si="6"/>
        <v>10893.716112372604</v>
      </c>
      <c r="Q22" s="2">
        <f t="shared" si="7"/>
        <v>9335.4013114318404</v>
      </c>
      <c r="R22" s="2">
        <f t="shared" si="8"/>
        <v>8284.2148428277324</v>
      </c>
      <c r="S22" s="2">
        <f t="shared" si="9"/>
        <v>6852.7077623029054</v>
      </c>
      <c r="T22" s="2">
        <f t="shared" si="10"/>
        <v>1612.4583507766772</v>
      </c>
      <c r="U22" s="2">
        <f t="shared" si="11"/>
        <v>772.76143982236204</v>
      </c>
      <c r="Z22" s="2">
        <v>10000</v>
      </c>
      <c r="AA22" s="3">
        <f>IF('Modell einstellen'!$B$2="Ja",'creep_res-40'!P22,'creep_res-40'!L22)</f>
        <v>0.38266998975143934</v>
      </c>
      <c r="AB22" s="2">
        <f>IF('Modell einstellen'!$B$2="Ja",creep_res0!P22,creep_res0!L22)</f>
        <v>0.40977911465461908</v>
      </c>
      <c r="AC22" s="2">
        <f>IF('Modell einstellen'!$B$2="Ja",creep_res25!P22,creep_res25!L22)</f>
        <v>0.41902706287496805</v>
      </c>
      <c r="AD22" s="2">
        <f>IF('Modell einstellen'!$B$2="Ja",creep_res50!P22,creep_res50!L22)</f>
        <v>0.42261678228077459</v>
      </c>
      <c r="AE22" s="2">
        <f>IF('Modell einstellen'!$B$2="Ja",creep_res80!P22,creep_res80!L22)</f>
        <v>0.43358006148680145</v>
      </c>
      <c r="AF22" s="2">
        <f>IF('Modell einstellen'!$B$2="Ja",creep_res125!P22,creep_res125!L22)</f>
        <v>0.55194490810300412</v>
      </c>
      <c r="AG22" s="2">
        <f>IF('Modell einstellen'!$B$2="Ja",creep_res160!P22,creep_res160!L22)</f>
        <v>0.56982797116010153</v>
      </c>
      <c r="AL22" s="2">
        <f t="shared" si="12"/>
        <v>10000</v>
      </c>
      <c r="AM22" s="2">
        <f t="shared" si="13"/>
        <v>4881.370820360753</v>
      </c>
      <c r="AN22" s="2">
        <f t="shared" si="14"/>
        <v>3863.6251591234022</v>
      </c>
      <c r="AO22" s="2">
        <f t="shared" si="15"/>
        <v>3289.3669034465734</v>
      </c>
      <c r="AP22" s="2">
        <f t="shared" si="16"/>
        <v>2911.6115267339505</v>
      </c>
      <c r="AQ22" s="2">
        <f t="shared" si="17"/>
        <v>2390.0680354035449</v>
      </c>
      <c r="AR22" s="2">
        <f t="shared" si="18"/>
        <v>519.49600219625086</v>
      </c>
      <c r="AS22" s="2">
        <f t="shared" si="19"/>
        <v>246.12933837944422</v>
      </c>
      <c r="AX22" s="2">
        <f t="shared" si="28"/>
        <v>10000</v>
      </c>
      <c r="AY22" s="37">
        <f t="shared" si="20"/>
        <v>19174.761648399253</v>
      </c>
      <c r="AZ22" s="37">
        <f t="shared" si="21"/>
        <v>20124.158005229059</v>
      </c>
      <c r="BA22" s="37">
        <f t="shared" si="22"/>
        <v>19215.064610654747</v>
      </c>
      <c r="BB22" s="37">
        <f t="shared" si="23"/>
        <v>17842.401938031515</v>
      </c>
      <c r="BC22" s="37">
        <f t="shared" si="24"/>
        <v>17195.408275737307</v>
      </c>
      <c r="BD22" s="37">
        <f t="shared" si="25"/>
        <v>-5173.61697762321</v>
      </c>
      <c r="BE22" s="37">
        <f t="shared" si="26"/>
        <v>-1844.4410050011215</v>
      </c>
    </row>
    <row r="23" spans="1:57" x14ac:dyDescent="0.25">
      <c r="A23" s="2">
        <f>'creep_res-40'!A23</f>
        <v>100000</v>
      </c>
      <c r="B23" s="3">
        <f>'creep_res-40'!O23</f>
        <v>-7.6518460000000012E-4</v>
      </c>
      <c r="C23" s="2">
        <f>IF('Modell einstellen'!$B$2="Ja",creep_res0!O23,creep_res0!C23)</f>
        <v>-9.8926382857142869E-4</v>
      </c>
      <c r="D23" s="2">
        <f>IF('Modell einstellen'!$B$2="Ja",creep_res25!O23,creep_res25!C23)</f>
        <v>-1.1466639428571429E-3</v>
      </c>
      <c r="E23" s="2">
        <f>IF('Modell einstellen'!$B$2="Ja",creep_res50!O23,creep_res50!C23)</f>
        <v>-1.2919337999999999E-3</v>
      </c>
      <c r="F23" s="2">
        <f>IF('Modell einstellen'!$B$2="Ja",creep_res80!O23,creep_res80!C23)</f>
        <v>-1.6042480571428572E-3</v>
      </c>
      <c r="G23" s="2">
        <f>IF('Modell einstellen'!$B$2="Ja",creep_res125!O23,creep_res125!C23)</f>
        <v>-8.4074260000000008E-3</v>
      </c>
      <c r="H23" s="2">
        <f>IF('Modell einstellen'!$B$2="Ja",creep_res160!O23,creep_res160!C23)</f>
        <v>-1.3820527428571429E-2</v>
      </c>
      <c r="M23" s="9">
        <f t="shared" si="27"/>
        <v>-10</v>
      </c>
      <c r="N23" s="2">
        <f t="shared" si="4"/>
        <v>100000</v>
      </c>
      <c r="O23" s="2">
        <f t="shared" si="5"/>
        <v>13068.741843471495</v>
      </c>
      <c r="P23" s="2">
        <f t="shared" si="6"/>
        <v>10108.526877446588</v>
      </c>
      <c r="Q23" s="2">
        <f t="shared" si="7"/>
        <v>8720.9509484382997</v>
      </c>
      <c r="R23" s="2">
        <f t="shared" si="8"/>
        <v>7740.334682783282</v>
      </c>
      <c r="S23" s="2">
        <f t="shared" si="9"/>
        <v>6233.4499677125095</v>
      </c>
      <c r="T23" s="2">
        <f t="shared" si="10"/>
        <v>1189.4246824176626</v>
      </c>
      <c r="U23" s="2">
        <f t="shared" si="11"/>
        <v>723.56138734089245</v>
      </c>
      <c r="Z23" s="2">
        <v>100000</v>
      </c>
      <c r="AA23" s="3">
        <f>IF('Modell einstellen'!$B$2="Ja",'creep_res-40'!P23,'creep_res-40'!L23)</f>
        <v>0.38582454482225592</v>
      </c>
      <c r="AB23" s="2">
        <f>IF('Modell einstellen'!$B$2="Ja",creep_res0!P23,creep_res0!L23)</f>
        <v>0.40664671455258761</v>
      </c>
      <c r="AC23" s="2">
        <f>IF('Modell einstellen'!$B$2="Ja",creep_res25!P23,creep_res25!L23)</f>
        <v>0.41332358978859368</v>
      </c>
      <c r="AD23" s="2">
        <f>IF('Modell einstellen'!$B$2="Ja",creep_res50!P23,creep_res50!L23)</f>
        <v>0.41804908491220133</v>
      </c>
      <c r="AE23" s="2">
        <f>IF('Modell einstellen'!$B$2="Ja",creep_res80!P23,creep_res80!L23)</f>
        <v>0.4327132914713831</v>
      </c>
      <c r="AF23" s="2">
        <f>IF('Modell einstellen'!$B$2="Ja",creep_res125!P23,creep_res125!L23)</f>
        <v>0.55068585455626617</v>
      </c>
      <c r="AG23" s="2">
        <f>IF('Modell einstellen'!$B$2="Ja",creep_res160!P23,creep_res160!L23)</f>
        <v>0.55735524337855535</v>
      </c>
      <c r="AL23" s="2">
        <f t="shared" si="12"/>
        <v>100000</v>
      </c>
      <c r="AM23" s="2">
        <f t="shared" si="13"/>
        <v>4715.1502303445186</v>
      </c>
      <c r="AN23" s="2">
        <f t="shared" si="14"/>
        <v>3593.12923880173</v>
      </c>
      <c r="AO23" s="2">
        <f t="shared" si="15"/>
        <v>3085.2633506749817</v>
      </c>
      <c r="AP23" s="2">
        <f t="shared" si="16"/>
        <v>2729.2195894835777</v>
      </c>
      <c r="AQ23" s="2">
        <f t="shared" si="17"/>
        <v>2175.40034172183</v>
      </c>
      <c r="AR23" s="2">
        <f t="shared" si="18"/>
        <v>383.51568079468302</v>
      </c>
      <c r="AS23" s="2">
        <f t="shared" si="19"/>
        <v>232.30454015462297</v>
      </c>
      <c r="AX23" s="2">
        <f t="shared" si="28"/>
        <v>100000</v>
      </c>
      <c r="AY23" s="37">
        <f t="shared" si="20"/>
        <v>19076.986706011034</v>
      </c>
      <c r="AZ23" s="37">
        <f t="shared" si="21"/>
        <v>18047.082879835914</v>
      </c>
      <c r="BA23" s="37">
        <f t="shared" si="22"/>
        <v>16769.174233157639</v>
      </c>
      <c r="BB23" s="37">
        <f t="shared" si="23"/>
        <v>15741.810559183754</v>
      </c>
      <c r="BC23" s="37">
        <f t="shared" si="24"/>
        <v>15440.023010045727</v>
      </c>
      <c r="BD23" s="37">
        <f t="shared" si="25"/>
        <v>-3911.1000259361867</v>
      </c>
      <c r="BE23" s="37">
        <f t="shared" si="26"/>
        <v>-2102.5726237595277</v>
      </c>
    </row>
    <row r="24" spans="1:57" x14ac:dyDescent="0.25">
      <c r="A24" s="2">
        <f>'creep_res-40'!A24</f>
        <v>1000000</v>
      </c>
      <c r="B24" s="3">
        <f>'creep_res-40'!O24</f>
        <v>-8.0167111428571425E-4</v>
      </c>
      <c r="C24" s="2">
        <f>IF('Modell einstellen'!$B$2="Ja",creep_res0!O24,creep_res0!C24)</f>
        <v>-1.0603785142857143E-3</v>
      </c>
      <c r="D24" s="2">
        <f>IF('Modell einstellen'!$B$2="Ja",creep_res25!O24,creep_res25!C24)</f>
        <v>-1.2204355428571429E-3</v>
      </c>
      <c r="E24" s="2">
        <f>IF('Modell einstellen'!$B$2="Ja",creep_res50!O24,creep_res50!C24)</f>
        <v>-1.3833840857142858E-3</v>
      </c>
      <c r="F24" s="2">
        <f>IF('Modell einstellen'!$B$2="Ja",creep_res80!O24,creep_res80!C24)</f>
        <v>-1.7905833142857143E-3</v>
      </c>
      <c r="G24" s="2">
        <f>IF('Modell einstellen'!$B$2="Ja",creep_res125!O24,creep_res125!C24)</f>
        <v>-1.0299126285714286E-2</v>
      </c>
      <c r="H24" s="2">
        <f>IF('Modell einstellen'!$B$2="Ja",creep_res160!O24,creep_res160!C24)</f>
        <v>-1.4231560857142857E-2</v>
      </c>
      <c r="M24" s="9">
        <f t="shared" si="27"/>
        <v>-10</v>
      </c>
      <c r="N24" s="2">
        <f t="shared" si="4"/>
        <v>1000000</v>
      </c>
      <c r="O24" s="2">
        <f t="shared" si="5"/>
        <v>12473.943269004971</v>
      </c>
      <c r="P24" s="2">
        <f t="shared" si="6"/>
        <v>9430.5947030020106</v>
      </c>
      <c r="Q24" s="2">
        <f t="shared" si="7"/>
        <v>8193.7961070759648</v>
      </c>
      <c r="R24" s="2">
        <f t="shared" si="8"/>
        <v>7228.6504545385724</v>
      </c>
      <c r="S24" s="2">
        <f t="shared" si="9"/>
        <v>5584.7722472434198</v>
      </c>
      <c r="T24" s="2">
        <f t="shared" si="10"/>
        <v>970.95614934548394</v>
      </c>
      <c r="U24" s="2">
        <f t="shared" si="11"/>
        <v>702.66361507219881</v>
      </c>
      <c r="Z24" s="2">
        <v>1000000</v>
      </c>
      <c r="AA24" s="3">
        <f>IF('Modell einstellen'!$B$2="Ja",'creep_res-40'!P24,'creep_res-40'!L24)</f>
        <v>0.38517508907910197</v>
      </c>
      <c r="AB24" s="2">
        <f>IF('Modell einstellen'!$B$2="Ja",creep_res0!P24,creep_res0!L24)</f>
        <v>0.40316678831235681</v>
      </c>
      <c r="AC24" s="2">
        <f>IF('Modell einstellen'!$B$2="Ja",creep_res25!P24,creep_res25!L24)</f>
        <v>0.41011054507847361</v>
      </c>
      <c r="AD24" s="2">
        <f>IF('Modell einstellen'!$B$2="Ja",creep_res50!P24,creep_res50!L24)</f>
        <v>0.41697889789640691</v>
      </c>
      <c r="AE24" s="2">
        <f>IF('Modell einstellen'!$B$2="Ja",creep_res80!P24,creep_res80!L24)</f>
        <v>0.43586316708030148</v>
      </c>
      <c r="AF24" s="2">
        <f>IF('Modell einstellen'!$B$2="Ja",creep_res125!P24,creep_res125!L24)</f>
        <v>0.54559798720235408</v>
      </c>
      <c r="AG24" s="2">
        <f>IF('Modell einstellen'!$B$2="Ja",creep_res160!P24,creep_res160!L24)</f>
        <v>0.54607689553096517</v>
      </c>
      <c r="AL24" s="2">
        <f t="shared" si="12"/>
        <v>1000000</v>
      </c>
      <c r="AM24" s="2">
        <f t="shared" si="13"/>
        <v>4502.659399288631</v>
      </c>
      <c r="AN24" s="2">
        <f t="shared" si="14"/>
        <v>3360.468185804395</v>
      </c>
      <c r="AO24" s="2">
        <f t="shared" si="15"/>
        <v>2905.3736728917142</v>
      </c>
      <c r="AP24" s="2">
        <f t="shared" si="16"/>
        <v>2550.726219448276</v>
      </c>
      <c r="AQ24" s="2">
        <f t="shared" si="17"/>
        <v>1944.7438917872487</v>
      </c>
      <c r="AR24" s="2">
        <f t="shared" si="18"/>
        <v>314.10371823238006</v>
      </c>
      <c r="AS24" s="2">
        <f t="shared" si="19"/>
        <v>227.24083682489959</v>
      </c>
      <c r="AX24" s="2">
        <f t="shared" si="28"/>
        <v>1000000</v>
      </c>
      <c r="AY24" s="37">
        <f t="shared" si="20"/>
        <v>18105.744895951731</v>
      </c>
      <c r="AZ24" s="37">
        <f t="shared" si="21"/>
        <v>16231.68080909827</v>
      </c>
      <c r="BA24" s="37">
        <f t="shared" si="22"/>
        <v>15192.356942256018</v>
      </c>
      <c r="BB24" s="37">
        <f t="shared" si="23"/>
        <v>14511.672878699197</v>
      </c>
      <c r="BC24" s="37">
        <f t="shared" si="24"/>
        <v>14512.649474069873</v>
      </c>
      <c r="BD24" s="37">
        <f t="shared" si="25"/>
        <v>-3548.9729880567934</v>
      </c>
      <c r="BE24" s="37">
        <f t="shared" si="26"/>
        <v>-2541.633961283937</v>
      </c>
    </row>
    <row r="25" spans="1:57" x14ac:dyDescent="0.25">
      <c r="A25" s="2">
        <f>'creep_res-40'!A25</f>
        <v>10000000</v>
      </c>
      <c r="B25" s="3">
        <f>'creep_res-40'!O25</f>
        <v>-8.4621368571428577E-4</v>
      </c>
      <c r="C25" s="2">
        <f>IF('Modell einstellen'!$B$2="Ja",creep_res0!O25,creep_res0!C25)</f>
        <v>-1.1258349714285715E-3</v>
      </c>
      <c r="D25" s="2">
        <f>IF('Modell einstellen'!$B$2="Ja",creep_res25!O25,creep_res25!C25)</f>
        <v>-1.2976860000000002E-3</v>
      </c>
      <c r="E25" s="2">
        <f>IF('Modell einstellen'!$B$2="Ja",creep_res50!O25,creep_res50!C25)</f>
        <v>-1.494031E-3</v>
      </c>
      <c r="F25" s="2">
        <f>IF('Modell einstellen'!$B$2="Ja",creep_res80!O25,creep_res80!C25)</f>
        <v>-2.0483691428571432E-3</v>
      </c>
      <c r="G25" s="2">
        <f>IF('Modell einstellen'!$B$2="Ja",creep_res125!O25,creep_res125!C25)</f>
        <v>-1.1566711142857143E-2</v>
      </c>
      <c r="H25" s="2">
        <f>IF('Modell einstellen'!$B$2="Ja",creep_res160!O25,creep_res160!C25)</f>
        <v>-1.4360789142857143E-2</v>
      </c>
      <c r="M25" s="9">
        <f t="shared" si="27"/>
        <v>-10</v>
      </c>
      <c r="N25" s="2">
        <f t="shared" si="4"/>
        <v>10000000</v>
      </c>
      <c r="O25" s="2">
        <f t="shared" si="5"/>
        <v>11817.346101604393</v>
      </c>
      <c r="P25" s="2">
        <f t="shared" si="6"/>
        <v>8882.2964766416917</v>
      </c>
      <c r="Q25" s="2">
        <f t="shared" si="7"/>
        <v>7706.024415767758</v>
      </c>
      <c r="R25" s="2">
        <f t="shared" si="8"/>
        <v>6693.3015446131976</v>
      </c>
      <c r="S25" s="2">
        <f t="shared" si="9"/>
        <v>4881.932553451581</v>
      </c>
      <c r="T25" s="2">
        <f t="shared" si="10"/>
        <v>864.54998975014234</v>
      </c>
      <c r="U25" s="2">
        <f t="shared" si="11"/>
        <v>696.34056321855132</v>
      </c>
      <c r="Z25" s="2">
        <v>10000000</v>
      </c>
      <c r="AA25" s="3">
        <f>IF('Modell einstellen'!$B$2="Ja",'creep_res-40'!P25,'creep_res-40'!L25)</f>
        <v>0.38265812562912593</v>
      </c>
      <c r="AB25" s="2">
        <f>IF('Modell einstellen'!$B$2="Ja",creep_res0!P25,creep_res0!L25)</f>
        <v>0.4013288270820915</v>
      </c>
      <c r="AC25" s="2">
        <f>IF('Modell einstellen'!$B$2="Ja",creep_res25!P25,creep_res25!L25)</f>
        <v>0.40984867349596565</v>
      </c>
      <c r="AD25" s="2">
        <f>IF('Modell einstellen'!$B$2="Ja",creep_res50!P25,creep_res50!L25)</f>
        <v>0.41918858635272149</v>
      </c>
      <c r="AE25" s="2">
        <f>IF('Modell einstellen'!$B$2="Ja",creep_res80!P25,creep_res80!L25)</f>
        <v>0.44238930427160728</v>
      </c>
      <c r="AF25" s="2">
        <f>IF('Modell einstellen'!$B$2="Ja",creep_res125!P25,creep_res125!L25)</f>
        <v>0.54003887856602484</v>
      </c>
      <c r="AG25" s="2">
        <f>IF('Modell einstellen'!$B$2="Ja",creep_res160!P25,creep_res160!L25)</f>
        <v>0.5377874180491713</v>
      </c>
      <c r="AL25" s="2">
        <f t="shared" si="12"/>
        <v>10000000</v>
      </c>
      <c r="AM25" s="2">
        <f t="shared" si="13"/>
        <v>4273.4157788380835</v>
      </c>
      <c r="AN25" s="2">
        <f t="shared" si="14"/>
        <v>3169.2406182554596</v>
      </c>
      <c r="AO25" s="2">
        <f t="shared" si="15"/>
        <v>2732.9260794562178</v>
      </c>
      <c r="AP25" s="2">
        <f t="shared" si="16"/>
        <v>2358.1438044871866</v>
      </c>
      <c r="AQ25" s="2">
        <f t="shared" si="17"/>
        <v>1692.3075271682321</v>
      </c>
      <c r="AR25" s="2">
        <f t="shared" si="18"/>
        <v>280.6909623460773</v>
      </c>
      <c r="AS25" s="2">
        <f t="shared" si="19"/>
        <v>226.40989093990805</v>
      </c>
      <c r="AX25" s="2">
        <f t="shared" si="28"/>
        <v>10000000</v>
      </c>
      <c r="AY25" s="37">
        <f t="shared" si="20"/>
        <v>16784.781171772425</v>
      </c>
      <c r="AZ25" s="37">
        <f t="shared" si="21"/>
        <v>15003.193965663946</v>
      </c>
      <c r="BA25" s="37">
        <f t="shared" si="22"/>
        <v>14246.46150459566</v>
      </c>
      <c r="BB25" s="37">
        <f t="shared" si="23"/>
        <v>13804.365090117459</v>
      </c>
      <c r="BC25" s="37">
        <f t="shared" si="24"/>
        <v>14123.339690450282</v>
      </c>
      <c r="BD25" s="37">
        <f t="shared" si="25"/>
        <v>-3598.7937254722879</v>
      </c>
      <c r="BE25" s="37">
        <f t="shared" si="26"/>
        <v>-3071.3069727443426</v>
      </c>
    </row>
    <row r="26" spans="1:57" x14ac:dyDescent="0.25">
      <c r="A26" s="2">
        <f>'creep_res-40'!A26</f>
        <v>100000000</v>
      </c>
      <c r="B26" s="3">
        <f>'creep_res-40'!O26</f>
        <v>-8.9196245714285715E-4</v>
      </c>
      <c r="C26" s="2">
        <f>IF('Modell einstellen'!$B$2="Ja",creep_res0!O26,creep_res0!C26)</f>
        <v>-1.1932491142857143E-3</v>
      </c>
      <c r="D26" s="2">
        <f>IF('Modell einstellen'!$B$2="Ja",creep_res25!O26,creep_res25!C26)</f>
        <v>-1.3792314000000002E-3</v>
      </c>
      <c r="E26" s="2">
        <f>IF('Modell einstellen'!$B$2="Ja",creep_res50!O26,creep_res50!C26)</f>
        <v>-1.6276288571428572E-3</v>
      </c>
      <c r="F26" s="2">
        <f>IF('Modell einstellen'!$B$2="Ja",creep_res80!O26,creep_res80!C26)</f>
        <v>-2.4503183428571432E-3</v>
      </c>
      <c r="G26" s="2">
        <f>IF('Modell einstellen'!$B$2="Ja",creep_res125!O26,creep_res125!C26)</f>
        <v>-1.2418748E-2</v>
      </c>
      <c r="H26" s="2">
        <f>IF('Modell einstellen'!$B$2="Ja",creep_res160!O26,creep_res160!C26)</f>
        <v>-1.4368254571428573E-2</v>
      </c>
      <c r="M26" s="9">
        <f t="shared" si="27"/>
        <v>-10</v>
      </c>
      <c r="N26" s="2">
        <f t="shared" si="4"/>
        <v>100000000</v>
      </c>
      <c r="O26" s="2">
        <f t="shared" si="5"/>
        <v>11211.234194802433</v>
      </c>
      <c r="P26" s="2">
        <f t="shared" si="6"/>
        <v>8380.4797173355182</v>
      </c>
      <c r="Q26" s="2">
        <f t="shared" si="7"/>
        <v>7250.4149775012365</v>
      </c>
      <c r="R26" s="2">
        <f t="shared" si="8"/>
        <v>6143.9067979871152</v>
      </c>
      <c r="S26" s="2">
        <f t="shared" si="9"/>
        <v>4081.1023715145952</v>
      </c>
      <c r="T26" s="2">
        <f t="shared" si="10"/>
        <v>805.23415081777966</v>
      </c>
      <c r="U26" s="2">
        <f t="shared" si="11"/>
        <v>695.97876000089161</v>
      </c>
      <c r="Z26" s="2">
        <v>100000000</v>
      </c>
      <c r="AA26" s="3">
        <f>IF('Modell einstellen'!$B$2="Ja",'creep_res-40'!P26,'creep_res-40'!L26)</f>
        <v>0.38122219493799325</v>
      </c>
      <c r="AB26" s="2">
        <f>IF('Modell einstellen'!$B$2="Ja",creep_res0!P26,creep_res0!L26)</f>
        <v>0.40196690816734976</v>
      </c>
      <c r="AC26" s="2">
        <f>IF('Modell einstellen'!$B$2="Ja",creep_res25!P26,creep_res25!L26)</f>
        <v>0.41158018464901114</v>
      </c>
      <c r="AD26" s="2">
        <f>IF('Modell einstellen'!$B$2="Ja",creep_res50!P26,creep_res50!L26)</f>
        <v>0.42336078372377278</v>
      </c>
      <c r="AE26" s="2">
        <f>IF('Modell einstellen'!$B$2="Ja",creep_res80!P26,creep_res80!L26)</f>
        <v>0.45249639982639217</v>
      </c>
      <c r="AF26" s="2">
        <f>IF('Modell einstellen'!$B$2="Ja",creep_res125!P26,creep_res125!L26)</f>
        <v>0.53530611252323612</v>
      </c>
      <c r="AG26" s="2">
        <f>IF('Modell einstellen'!$B$2="Ja",creep_res160!P26,creep_res160!L26)</f>
        <v>0.53772050769622259</v>
      </c>
      <c r="AL26" s="2">
        <f t="shared" si="12"/>
        <v>100000000</v>
      </c>
      <c r="AM26" s="2">
        <f t="shared" si="13"/>
        <v>4058.4470173916279</v>
      </c>
      <c r="AN26" s="2">
        <f t="shared" si="14"/>
        <v>2988.8293612758935</v>
      </c>
      <c r="AO26" s="2">
        <f t="shared" si="15"/>
        <v>2568.1909736158736</v>
      </c>
      <c r="AP26" s="2">
        <f t="shared" si="16"/>
        <v>2158.239452794789</v>
      </c>
      <c r="AQ26" s="2">
        <f t="shared" si="17"/>
        <v>1404.857998960405</v>
      </c>
      <c r="AR26" s="2">
        <f t="shared" si="18"/>
        <v>262.23895816268134</v>
      </c>
      <c r="AS26" s="2">
        <f t="shared" si="19"/>
        <v>226.30209993218824</v>
      </c>
      <c r="AX26" s="2">
        <f t="shared" si="28"/>
        <v>100000000</v>
      </c>
      <c r="AY26" s="37">
        <f t="shared" si="20"/>
        <v>15731.382066637958</v>
      </c>
      <c r="AZ26" s="37">
        <f t="shared" si="21"/>
        <v>14247.705478271253</v>
      </c>
      <c r="BA26" s="37">
        <f t="shared" si="22"/>
        <v>13666.648040977747</v>
      </c>
      <c r="BB26" s="37">
        <f t="shared" si="23"/>
        <v>13361.103049912273</v>
      </c>
      <c r="BC26" s="37">
        <f t="shared" si="24"/>
        <v>14318.572194527354</v>
      </c>
      <c r="BD26" s="37">
        <f t="shared" si="25"/>
        <v>-3801.2027439905219</v>
      </c>
      <c r="BE26" s="37">
        <f t="shared" si="26"/>
        <v>-3075.1563826847623</v>
      </c>
    </row>
    <row r="27" spans="1:57" x14ac:dyDescent="0.25">
      <c r="A27" s="2">
        <f>'creep_res-40'!A27</f>
        <v>1000000000</v>
      </c>
      <c r="B27" s="3">
        <f>'creep_res-40'!O27</f>
        <v>-9.4004797142857143E-4</v>
      </c>
      <c r="C27" s="2">
        <f>IF('Modell einstellen'!$B$2="Ja",creep_res0!O27,creep_res0!C27)</f>
        <v>-1.2596230285714287E-3</v>
      </c>
      <c r="D27" s="2">
        <f>IF('Modell einstellen'!$B$2="Ja",creep_res25!O27,creep_res25!C27)</f>
        <v>-1.4804677714285717E-3</v>
      </c>
      <c r="E27" s="2">
        <f>IF('Modell einstellen'!$B$2="Ja",creep_res50!O27,creep_res50!C27)</f>
        <v>-1.8037072000000002E-3</v>
      </c>
      <c r="F27" s="2">
        <f>IF('Modell einstellen'!$B$2="Ja",creep_res80!O27,creep_res80!C27)</f>
        <v>-3.1242568571428577E-3</v>
      </c>
      <c r="G27" s="2">
        <f>IF('Modell einstellen'!$B$2="Ja",creep_res125!O27,creep_res125!C27)</f>
        <v>-1.3019599142857143E-2</v>
      </c>
      <c r="H27" s="2">
        <f>IF('Modell einstellen'!$B$2="Ja",creep_res160!O27,creep_res160!C27)</f>
        <v>-1.4427086857142859E-2</v>
      </c>
      <c r="M27" s="9">
        <f t="shared" si="27"/>
        <v>-10</v>
      </c>
      <c r="N27" s="2">
        <f t="shared" si="4"/>
        <v>1000000000</v>
      </c>
      <c r="O27" s="2">
        <f t="shared" si="5"/>
        <v>10637.754991166255</v>
      </c>
      <c r="P27" s="2">
        <f t="shared" si="6"/>
        <v>7938.8831207232379</v>
      </c>
      <c r="Q27" s="2">
        <f t="shared" si="7"/>
        <v>6754.6218789690629</v>
      </c>
      <c r="R27" s="2">
        <f t="shared" si="8"/>
        <v>5544.1370971962624</v>
      </c>
      <c r="S27" s="2">
        <f t="shared" si="9"/>
        <v>3200.7611592937433</v>
      </c>
      <c r="T27" s="2">
        <f t="shared" si="10"/>
        <v>768.07280241698027</v>
      </c>
      <c r="U27" s="2">
        <f t="shared" si="11"/>
        <v>693.14062492449705</v>
      </c>
      <c r="Z27" s="2">
        <v>1000000000</v>
      </c>
      <c r="AA27" s="3">
        <f>IF('Modell einstellen'!$B$2="Ja",'creep_res-40'!P27,'creep_res-40'!L27)</f>
        <v>0.38203196256336952</v>
      </c>
      <c r="AB27" s="2">
        <f>IF('Modell einstellen'!$B$2="Ja",creep_res0!P27,creep_res0!L27)</f>
        <v>0.40388920440278658</v>
      </c>
      <c r="AC27" s="2">
        <f>IF('Modell einstellen'!$B$2="Ja",creep_res25!P27,creep_res25!L27)</f>
        <v>0.41540312779906702</v>
      </c>
      <c r="AD27" s="2">
        <f>IF('Modell einstellen'!$B$2="Ja",creep_res50!P27,creep_res50!L27)</f>
        <v>0.4293191109003564</v>
      </c>
      <c r="AE27" s="2">
        <f>IF('Modell einstellen'!$B$2="Ja",creep_res80!P27,creep_res80!L27)</f>
        <v>0.46629853645653235</v>
      </c>
      <c r="AF27" s="2">
        <f>IF('Modell einstellen'!$B$2="Ja",creep_res125!P27,creep_res125!L27)</f>
        <v>0.53284357207662114</v>
      </c>
      <c r="AG27" s="2">
        <f>IF('Modell einstellen'!$B$2="Ja",creep_res160!P27,creep_res160!L27)</f>
        <v>0.53369132792356211</v>
      </c>
      <c r="AL27" s="2">
        <f t="shared" si="12"/>
        <v>1000000000</v>
      </c>
      <c r="AM27" s="2">
        <f t="shared" si="13"/>
        <v>3848.5922465336935</v>
      </c>
      <c r="AN27" s="2">
        <f t="shared" si="14"/>
        <v>2827.4607055264137</v>
      </c>
      <c r="AO27" s="2">
        <f t="shared" si="15"/>
        <v>2386.1123895749793</v>
      </c>
      <c r="AP27" s="2">
        <f t="shared" si="16"/>
        <v>1939.4329282086981</v>
      </c>
      <c r="AQ27" s="2">
        <f t="shared" si="17"/>
        <v>1091.4425267820036</v>
      </c>
      <c r="AR27" s="2">
        <f t="shared" si="18"/>
        <v>250.5385469230996</v>
      </c>
      <c r="AS27" s="2">
        <f t="shared" si="19"/>
        <v>225.971358220734</v>
      </c>
      <c r="AX27" s="2">
        <f t="shared" si="28"/>
        <v>1000000000</v>
      </c>
      <c r="AY27" s="37">
        <f t="shared" si="20"/>
        <v>15029.148604313825</v>
      </c>
      <c r="AZ27" s="37">
        <f t="shared" si="21"/>
        <v>13766.894536305024</v>
      </c>
      <c r="BA27" s="37">
        <f t="shared" si="22"/>
        <v>13307.46969565968</v>
      </c>
      <c r="BB27" s="37">
        <f t="shared" si="23"/>
        <v>13073.163924551845</v>
      </c>
      <c r="BC27" s="37">
        <f t="shared" si="24"/>
        <v>15828.991893113925</v>
      </c>
      <c r="BD27" s="37">
        <f t="shared" si="25"/>
        <v>-3897.6312758405943</v>
      </c>
      <c r="BE27" s="37">
        <f t="shared" si="26"/>
        <v>-3428.8775363652135</v>
      </c>
    </row>
    <row r="28" spans="1:57" x14ac:dyDescent="0.25">
      <c r="A28" s="2">
        <f>'creep_res-40'!A28</f>
        <v>10000000000</v>
      </c>
      <c r="B28" s="3">
        <f>'creep_res-40'!O28</f>
        <v>-9.9600322857142857E-4</v>
      </c>
      <c r="C28" s="2">
        <f>IF('Modell einstellen'!$B$2="Ja",creep_res0!O28,creep_res0!C28)</f>
        <v>-1.3309826000000001E-3</v>
      </c>
      <c r="D28" s="2">
        <f>IF('Modell einstellen'!$B$2="Ja",creep_res25!O28,creep_res25!C28)</f>
        <v>-1.6026793142857143E-3</v>
      </c>
      <c r="E28" s="2">
        <f>IF('Modell einstellen'!$B$2="Ja",creep_res50!O28,creep_res50!C28)</f>
        <v>-2.0501415714285717E-3</v>
      </c>
      <c r="F28" s="2">
        <f>IF('Modell einstellen'!$B$2="Ja",creep_res80!O28,creep_res80!C28)</f>
        <v>-4.2644768571428572E-3</v>
      </c>
      <c r="G28" s="2">
        <f>IF('Modell einstellen'!$B$2="Ja",creep_res125!O28,creep_res125!C28)</f>
        <v>-1.3295077428571431E-2</v>
      </c>
      <c r="H28" s="2">
        <f>IF('Modell einstellen'!$B$2="Ja",creep_res160!O28,creep_res160!C28)</f>
        <v>-1.4475546000000001E-2</v>
      </c>
      <c r="M28" s="9">
        <f t="shared" si="27"/>
        <v>-10</v>
      </c>
      <c r="N28" s="2">
        <f t="shared" si="4"/>
        <v>10000000000</v>
      </c>
      <c r="O28" s="2">
        <f t="shared" si="5"/>
        <v>10040.128097117757</v>
      </c>
      <c r="P28" s="2">
        <f t="shared" si="6"/>
        <v>7513.2462287636217</v>
      </c>
      <c r="Q28" s="2">
        <f t="shared" si="7"/>
        <v>6239.5514254558293</v>
      </c>
      <c r="R28" s="2">
        <f t="shared" si="8"/>
        <v>4877.7119294409695</v>
      </c>
      <c r="S28" s="2">
        <f t="shared" si="9"/>
        <v>2344.9535159864527</v>
      </c>
      <c r="T28" s="2">
        <f t="shared" si="10"/>
        <v>752.15808660954224</v>
      </c>
      <c r="U28" s="2">
        <f t="shared" si="11"/>
        <v>690.82022881900275</v>
      </c>
      <c r="Z28" s="2">
        <v>10000000000</v>
      </c>
      <c r="AA28" s="3">
        <f>IF('Modell einstellen'!$B$2="Ja",'creep_res-40'!P28,'creep_res-40'!L28)</f>
        <v>0.38524407537061056</v>
      </c>
      <c r="AB28" s="2">
        <f>IF('Modell einstellen'!$B$2="Ja",creep_res0!P28,creep_res0!L28)</f>
        <v>0.40688500145896506</v>
      </c>
      <c r="AC28" s="2">
        <f>IF('Modell einstellen'!$B$2="Ja",creep_res25!P28,creep_res25!L28)</f>
        <v>0.42016620524886755</v>
      </c>
      <c r="AD28" s="2">
        <f>IF('Modell einstellen'!$B$2="Ja",creep_res50!P28,creep_res50!L28)</f>
        <v>0.43699248365496152</v>
      </c>
      <c r="AE28" s="2">
        <f>IF('Modell einstellen'!$B$2="Ja",creep_res80!P28,creep_res80!L28)</f>
        <v>0.48310616428650532</v>
      </c>
      <c r="AF28" s="2">
        <f>IF('Modell einstellen'!$B$2="Ja",creep_res125!P28,creep_res125!L28)</f>
        <v>0.53297505106669874</v>
      </c>
      <c r="AG28" s="2">
        <f>IF('Modell einstellen'!$B$2="Ja",creep_res160!P28,creep_res160!L28)</f>
        <v>0.53103076634997293</v>
      </c>
      <c r="AL28" s="2">
        <f t="shared" si="12"/>
        <v>10000000000</v>
      </c>
      <c r="AM28" s="2">
        <f t="shared" si="13"/>
        <v>3623.9563394023553</v>
      </c>
      <c r="AN28" s="2">
        <f t="shared" si="14"/>
        <v>2670.1707037079254</v>
      </c>
      <c r="AO28" s="2">
        <f t="shared" si="15"/>
        <v>2196.768027007945</v>
      </c>
      <c r="AP28" s="2">
        <f t="shared" si="16"/>
        <v>1697.1946565213088</v>
      </c>
      <c r="AQ28" s="2">
        <f t="shared" si="17"/>
        <v>790.55484106714846</v>
      </c>
      <c r="AR28" s="2">
        <f t="shared" si="18"/>
        <v>245.32626479673095</v>
      </c>
      <c r="AS28" s="2">
        <f t="shared" si="19"/>
        <v>225.60625299057205</v>
      </c>
      <c r="AX28" s="2">
        <f t="shared" si="28"/>
        <v>10000000000</v>
      </c>
      <c r="AY28" s="37">
        <f t="shared" si="20"/>
        <v>14581.858742867964</v>
      </c>
      <c r="AZ28" s="37">
        <f t="shared" si="21"/>
        <v>13447.969977061217</v>
      </c>
      <c r="BA28" s="37">
        <f t="shared" si="22"/>
        <v>13026.128105494072</v>
      </c>
      <c r="BB28" s="37">
        <f t="shared" si="23"/>
        <v>12902.460458658872</v>
      </c>
      <c r="BC28" s="37">
        <f t="shared" si="24"/>
        <v>23134.21253916619</v>
      </c>
      <c r="BD28" s="37">
        <f t="shared" si="25"/>
        <v>-3801.6523719106594</v>
      </c>
      <c r="BE28" s="37">
        <f t="shared" si="26"/>
        <v>-3710.4048125858671</v>
      </c>
    </row>
    <row r="29" spans="1:57" x14ac:dyDescent="0.25">
      <c r="A29" s="2">
        <f>'creep_res-40'!A29</f>
        <v>100000000000</v>
      </c>
      <c r="B29" s="3">
        <f>'creep_res-40'!O29</f>
        <v>-1.0570064285714287E-3</v>
      </c>
      <c r="C29" s="2">
        <f>IF('Modell einstellen'!$B$2="Ja",creep_res0!O29,creep_res0!C29)</f>
        <v>-1.4092666000000002E-3</v>
      </c>
      <c r="D29" s="2">
        <f>IF('Modell einstellen'!$B$2="Ja",creep_res25!O29,creep_res25!C29)</f>
        <v>-1.7641265142857145E-3</v>
      </c>
      <c r="E29" s="2">
        <f>IF('Modell einstellen'!$B$2="Ja",creep_res50!O29,creep_res50!C29)</f>
        <v>-2.4371894571428572E-3</v>
      </c>
      <c r="F29" s="2">
        <f>IF('Modell einstellen'!$B$2="Ja",creep_res80!O29,creep_res80!C29)</f>
        <v>-6.0131102857142859E-3</v>
      </c>
      <c r="G29" s="2">
        <f>IF('Modell einstellen'!$B$2="Ja",creep_res125!O29,creep_res125!C29)</f>
        <v>-1.3949406571428574E-2</v>
      </c>
      <c r="H29" s="2">
        <f>IF('Modell einstellen'!$B$2="Ja",creep_res160!O29,creep_res160!C29)</f>
        <v>-1.4482518857142858E-2</v>
      </c>
      <c r="M29" s="9">
        <f t="shared" si="27"/>
        <v>-10</v>
      </c>
      <c r="N29" s="2">
        <f t="shared" si="4"/>
        <v>100000000000</v>
      </c>
      <c r="O29" s="2">
        <f t="shared" si="5"/>
        <v>9460.6803986190098</v>
      </c>
      <c r="P29" s="2">
        <f t="shared" si="6"/>
        <v>7095.8894505837288</v>
      </c>
      <c r="Q29" s="2">
        <f t="shared" si="7"/>
        <v>5668.5276928956237</v>
      </c>
      <c r="R29" s="2">
        <f t="shared" si="8"/>
        <v>4103.0868448459096</v>
      </c>
      <c r="S29" s="2">
        <f t="shared" si="9"/>
        <v>1663.0328606740529</v>
      </c>
      <c r="T29" s="2">
        <f t="shared" si="10"/>
        <v>716.87637382956348</v>
      </c>
      <c r="U29" s="2">
        <f t="shared" si="11"/>
        <v>690.48762156922339</v>
      </c>
      <c r="Z29" s="2">
        <v>100000000000</v>
      </c>
      <c r="AA29" s="3">
        <f>IF('Modell einstellen'!$B$2="Ja",'creep_res-40'!P29,'creep_res-40'!L29)</f>
        <v>0.3894191480116691</v>
      </c>
      <c r="AB29" s="2">
        <f>IF('Modell einstellen'!$B$2="Ja",creep_res0!P29,creep_res0!L29)</f>
        <v>0.41039885568848361</v>
      </c>
      <c r="AC29" s="2">
        <f>IF('Modell einstellen'!$B$2="Ja",creep_res25!P29,creep_res25!L29)</f>
        <v>0.42611313850052995</v>
      </c>
      <c r="AD29" s="2">
        <f>IF('Modell einstellen'!$B$2="Ja",creep_res50!P29,creep_res50!L29)</f>
        <v>0.44736264187023572</v>
      </c>
      <c r="AE29" s="2">
        <f>IF('Modell einstellen'!$B$2="Ja",creep_res80!P29,creep_res80!L29)</f>
        <v>0.49973486504678405</v>
      </c>
      <c r="AF29" s="2">
        <f>IF('Modell einstellen'!$B$2="Ja",creep_res125!P29,creep_res125!L29)</f>
        <v>0.53132949454910749</v>
      </c>
      <c r="AG29" s="2">
        <f>IF('Modell einstellen'!$B$2="Ja",creep_res160!P29,creep_res160!L29)</f>
        <v>0.53107367905377789</v>
      </c>
      <c r="AL29" s="2">
        <f t="shared" si="12"/>
        <v>100000000000</v>
      </c>
      <c r="AM29" s="2">
        <f t="shared" si="13"/>
        <v>3404.5451338992034</v>
      </c>
      <c r="AN29" s="2">
        <f t="shared" si="14"/>
        <v>2515.5612619665249</v>
      </c>
      <c r="AO29" s="2">
        <f t="shared" si="15"/>
        <v>1987.4046244520723</v>
      </c>
      <c r="AP29" s="2">
        <f t="shared" si="16"/>
        <v>1417.4356606109552</v>
      </c>
      <c r="AQ29" s="2">
        <f t="shared" si="17"/>
        <v>554.44228824478739</v>
      </c>
      <c r="AR29" s="2">
        <f t="shared" si="18"/>
        <v>234.06992955511652</v>
      </c>
      <c r="AS29" s="2">
        <f t="shared" si="19"/>
        <v>225.49131077609314</v>
      </c>
      <c r="AX29" s="2">
        <f t="shared" si="28"/>
        <v>100000000000</v>
      </c>
      <c r="AY29" s="37">
        <f t="shared" si="20"/>
        <v>14259.069613633399</v>
      </c>
      <c r="AZ29" s="37">
        <f t="shared" si="21"/>
        <v>13199.030557603601</v>
      </c>
      <c r="BA29" s="37">
        <f t="shared" si="22"/>
        <v>12786.503531340009</v>
      </c>
      <c r="BB29" s="37">
        <f t="shared" si="23"/>
        <v>12991.681797336068</v>
      </c>
      <c r="BC29" s="37">
        <f t="shared" si="24"/>
        <v>1045400.2389489568</v>
      </c>
      <c r="BD29" s="37">
        <f t="shared" si="25"/>
        <v>-3813.639426929863</v>
      </c>
      <c r="BE29" s="37">
        <f t="shared" si="26"/>
        <v>-3703.4967781694272</v>
      </c>
    </row>
    <row r="30" spans="1:57" x14ac:dyDescent="0.25">
      <c r="A30" s="2">
        <f>'creep_res-40'!A30</f>
        <v>1000000000000</v>
      </c>
      <c r="B30" s="3">
        <f>'creep_res-40'!O30</f>
        <v>-1.1131610285714285E-3</v>
      </c>
      <c r="C30" s="2">
        <f>IF('Modell einstellen'!$B$2="Ja",creep_res0!O30,creep_res0!C30)</f>
        <v>-1.5122779142857142E-3</v>
      </c>
      <c r="D30" s="2">
        <f>IF('Modell einstellen'!$B$2="Ja",creep_res25!O30,creep_res25!C30)</f>
        <v>-1.9859938571428573E-3</v>
      </c>
      <c r="E30" s="2">
        <f>IF('Modell einstellen'!$B$2="Ja",creep_res50!O30,creep_res50!C30)</f>
        <v>-3.0883197142857147E-3</v>
      </c>
      <c r="F30" s="2">
        <f>IF('Modell einstellen'!$B$2="Ja",creep_res80!O30,creep_res80!C30)</f>
        <v>-8.2161508571428586E-3</v>
      </c>
      <c r="G30" s="2">
        <f>IF('Modell einstellen'!$B$2="Ja",creep_res125!O30,creep_res125!C30)</f>
        <v>-1.4434227142857142E-2</v>
      </c>
      <c r="H30" s="2">
        <f>IF('Modell einstellen'!$B$2="Ja",creep_res160!O30,creep_res160!C30)</f>
        <v>-1.448888942857143E-2</v>
      </c>
      <c r="M30" s="9">
        <f t="shared" si="27"/>
        <v>-10</v>
      </c>
      <c r="N30" s="2">
        <f t="shared" si="4"/>
        <v>1000000000000</v>
      </c>
      <c r="O30" s="2">
        <f t="shared" si="5"/>
        <v>8983.4262459165202</v>
      </c>
      <c r="P30" s="2">
        <f t="shared" si="6"/>
        <v>6612.5411906998879</v>
      </c>
      <c r="Q30" s="2">
        <f t="shared" si="7"/>
        <v>5035.2623015594136</v>
      </c>
      <c r="R30" s="2">
        <f t="shared" si="8"/>
        <v>3238.0067237672188</v>
      </c>
      <c r="S30" s="2">
        <f t="shared" si="9"/>
        <v>1217.1149451700148</v>
      </c>
      <c r="T30" s="2">
        <f t="shared" si="10"/>
        <v>692.79774393383821</v>
      </c>
      <c r="U30" s="2">
        <f t="shared" si="11"/>
        <v>690.18402337176065</v>
      </c>
      <c r="Z30" s="2">
        <v>1000000000000</v>
      </c>
      <c r="AA30" s="3">
        <f>IF('Modell einstellen'!$B$2="Ja",'creep_res-40'!P30,'creep_res-40'!L30)</f>
        <v>0.39283565596824449</v>
      </c>
      <c r="AB30" s="2">
        <f>IF('Modell einstellen'!$B$2="Ja",creep_res0!P30,creep_res0!L30)</f>
        <v>0.41492564282449457</v>
      </c>
      <c r="AC30" s="2">
        <f>IF('Modell einstellen'!$B$2="Ja",creep_res25!P30,creep_res25!L30)</f>
        <v>0.43337691232968134</v>
      </c>
      <c r="AD30" s="2">
        <f>IF('Modell einstellen'!$B$2="Ja",creep_res50!P30,creep_res50!L30)</f>
        <v>0.4612547979164629</v>
      </c>
      <c r="AE30" s="2">
        <f>IF('Modell einstellen'!$B$2="Ja",creep_res80!P30,creep_res80!L30)</f>
        <v>0.51268491105741276</v>
      </c>
      <c r="AF30" s="2">
        <f>IF('Modell einstellen'!$B$2="Ja",creep_res125!P30,creep_res125!L30)</f>
        <v>0.53150061277960459</v>
      </c>
      <c r="AG30" s="2">
        <f>IF('Modell einstellen'!$B$2="Ja",creep_res160!P30,creep_res160!L30)</f>
        <v>0.53114726549188529</v>
      </c>
      <c r="AL30" s="2">
        <f t="shared" si="12"/>
        <v>1000000000000</v>
      </c>
      <c r="AM30" s="2">
        <f t="shared" si="13"/>
        <v>3224.8694264190117</v>
      </c>
      <c r="AN30" s="2">
        <f t="shared" si="14"/>
        <v>2336.7097855049965</v>
      </c>
      <c r="AO30" s="2">
        <f t="shared" si="15"/>
        <v>1756.4334468648422</v>
      </c>
      <c r="AP30" s="2">
        <f t="shared" si="16"/>
        <v>1107.9541803332813</v>
      </c>
      <c r="AQ30" s="2">
        <f t="shared" si="17"/>
        <v>402.30286435501444</v>
      </c>
      <c r="AR30" s="2">
        <f t="shared" si="18"/>
        <v>226.1826531941249</v>
      </c>
      <c r="AS30" s="2">
        <f t="shared" si="19"/>
        <v>225.3813329804162</v>
      </c>
      <c r="AX30" s="2">
        <f t="shared" si="28"/>
        <v>1000000000000</v>
      </c>
      <c r="AY30" s="37">
        <f t="shared" si="20"/>
        <v>13971.416716824058</v>
      </c>
      <c r="AZ30" s="37">
        <f t="shared" si="21"/>
        <v>12954.434626833649</v>
      </c>
      <c r="BA30" s="37">
        <f t="shared" si="22"/>
        <v>12596.389824290796</v>
      </c>
      <c r="BB30" s="37">
        <f t="shared" si="23"/>
        <v>13928.63524446146</v>
      </c>
      <c r="BC30" s="37">
        <f t="shared" si="24"/>
        <v>-15991.636830841391</v>
      </c>
      <c r="BD30" s="37">
        <f t="shared" si="25"/>
        <v>-3665.525222112492</v>
      </c>
      <c r="BE30" s="37">
        <f t="shared" si="26"/>
        <v>-3693.1226143087497</v>
      </c>
    </row>
    <row r="31" spans="1:57" x14ac:dyDescent="0.25">
      <c r="A31" s="2">
        <f>'creep_res-40'!A31</f>
        <v>10000000000000</v>
      </c>
      <c r="B31" s="3">
        <f>'creep_res-40'!O31</f>
        <v>-1.1673316285714286E-3</v>
      </c>
      <c r="C31" s="2">
        <f>IF('Modell einstellen'!$B$2="Ja",creep_res0!O31,creep_res0!C31)</f>
        <v>-1.6372292571428572E-3</v>
      </c>
      <c r="D31" s="2">
        <f>IF('Modell einstellen'!$B$2="Ja",creep_res25!O31,creep_res25!C31)</f>
        <v>-2.3278832285714285E-3</v>
      </c>
      <c r="E31" s="2">
        <f>IF('Modell einstellen'!$B$2="Ja",creep_res50!O31,creep_res50!C31)</f>
        <v>-4.1963188571428568E-3</v>
      </c>
      <c r="F31" s="2">
        <f>IF('Modell einstellen'!$B$2="Ja",creep_res80!O31,creep_res80!C31)</f>
        <v>-1.0166911142857143E-2</v>
      </c>
      <c r="G31" s="2">
        <f>IF('Modell einstellen'!$B$2="Ja",creep_res125!O31,creep_res125!C31)</f>
        <v>-1.4485463428571431E-2</v>
      </c>
      <c r="H31" s="2">
        <f>IF('Modell einstellen'!$B$2="Ja",creep_res160!O31,creep_res160!C31)</f>
        <v>-1.4494310857142858E-2</v>
      </c>
      <c r="M31" s="9">
        <f t="shared" si="27"/>
        <v>-10</v>
      </c>
      <c r="N31" s="2">
        <f t="shared" si="4"/>
        <v>10000000000000</v>
      </c>
      <c r="O31" s="2">
        <f t="shared" si="5"/>
        <v>8566.5459199781326</v>
      </c>
      <c r="P31" s="2">
        <f t="shared" si="6"/>
        <v>6107.8801007081229</v>
      </c>
      <c r="Q31" s="2">
        <f t="shared" si="7"/>
        <v>4295.7481188335996</v>
      </c>
      <c r="R31" s="2">
        <f t="shared" si="8"/>
        <v>2383.0410272513682</v>
      </c>
      <c r="S31" s="2">
        <f t="shared" si="9"/>
        <v>983.58290531786452</v>
      </c>
      <c r="T31" s="2">
        <f t="shared" si="10"/>
        <v>690.34726084605563</v>
      </c>
      <c r="U31" s="2">
        <f t="shared" si="11"/>
        <v>689.92586805684232</v>
      </c>
      <c r="Z31" s="2">
        <v>10000000000000</v>
      </c>
      <c r="AA31" s="3">
        <f>IF('Modell einstellen'!$B$2="Ja",'creep_res-40'!P31,'creep_res-40'!L31)</f>
        <v>0.39603034094338768</v>
      </c>
      <c r="AB31" s="2">
        <f>IF('Modell einstellen'!$B$2="Ja",creep_res0!P31,creep_res0!L31)</f>
        <v>0.42019374056070763</v>
      </c>
      <c r="AC31" s="2">
        <f>IF('Modell einstellen'!$B$2="Ja",creep_res25!P31,creep_res25!L31)</f>
        <v>0.44303039598954852</v>
      </c>
      <c r="AD31" s="2">
        <f>IF('Modell einstellen'!$B$2="Ja",creep_res50!P31,creep_res50!L31)</f>
        <v>0.47839891779979143</v>
      </c>
      <c r="AE31" s="2">
        <f>IF('Modell einstellen'!$B$2="Ja",creep_res80!P31,creep_res80!L31)</f>
        <v>0.52011049064515702</v>
      </c>
      <c r="AF31" s="2">
        <f>IF('Modell einstellen'!$B$2="Ja",creep_res125!P31,creep_res125!L31)</f>
        <v>0.53248180510897214</v>
      </c>
      <c r="AG31" s="2">
        <f>IF('Modell einstellen'!$B$2="Ja",creep_res160!P31,creep_res160!L31)</f>
        <v>0.53120550470955219</v>
      </c>
      <c r="AL31" s="2">
        <f t="shared" si="12"/>
        <v>10000000000000</v>
      </c>
      <c r="AM31" s="2">
        <f t="shared" si="13"/>
        <v>3068.1804215620291</v>
      </c>
      <c r="AN31" s="2">
        <f t="shared" si="14"/>
        <v>2150.3686174171794</v>
      </c>
      <c r="AO31" s="2">
        <f t="shared" si="15"/>
        <v>1488.4468583518017</v>
      </c>
      <c r="AP31" s="2">
        <f t="shared" si="16"/>
        <v>805.95331833639966</v>
      </c>
      <c r="AQ31" s="2">
        <f t="shared" si="17"/>
        <v>323.52349101295181</v>
      </c>
      <c r="AR31" s="2">
        <f t="shared" si="18"/>
        <v>225.23832209445587</v>
      </c>
      <c r="AS31" s="2">
        <f t="shared" si="19"/>
        <v>225.28846256587596</v>
      </c>
      <c r="AX31" s="2">
        <f t="shared" si="28"/>
        <v>10000000000000</v>
      </c>
      <c r="AY31" s="37">
        <f t="shared" si="20"/>
        <v>13732.445275715132</v>
      </c>
      <c r="AZ31" s="37">
        <f t="shared" si="21"/>
        <v>12755.64127346492</v>
      </c>
      <c r="BA31" s="37">
        <f t="shared" si="22"/>
        <v>12567.368726562543</v>
      </c>
      <c r="BB31" s="37">
        <f t="shared" si="23"/>
        <v>18386.741037356907</v>
      </c>
      <c r="BC31" s="37">
        <f t="shared" si="24"/>
        <v>-8151.4910358053148</v>
      </c>
      <c r="BD31" s="37">
        <f t="shared" si="25"/>
        <v>-3542.225452731831</v>
      </c>
      <c r="BE31" s="37">
        <f t="shared" si="26"/>
        <v>-3684.8513025633579</v>
      </c>
    </row>
    <row r="32" spans="1:57" x14ac:dyDescent="0.25">
      <c r="A32" s="2">
        <f>'creep_res-40'!A32</f>
        <v>100000000000000</v>
      </c>
      <c r="B32" s="3">
        <f>'creep_res-40'!O32</f>
        <v>-1.2253101428571429E-3</v>
      </c>
      <c r="C32" s="2">
        <f>IF('Modell einstellen'!$B$2="Ja",creep_res0!O32,creep_res0!C32)</f>
        <v>-1.8063294857142858E-3</v>
      </c>
      <c r="D32" s="2">
        <f>IF('Modell einstellen'!$B$2="Ja",creep_res25!O32,creep_res25!C32)</f>
        <v>-2.8962108571428573E-3</v>
      </c>
      <c r="E32" s="2">
        <f>IF('Modell einstellen'!$B$2="Ja",creep_res50!O32,creep_res50!C32)</f>
        <v>-5.9082431428571424E-3</v>
      </c>
      <c r="F32" s="2">
        <f>IF('Modell einstellen'!$B$2="Ja",creep_res80!O32,creep_res80!C32)</f>
        <v>-1.1538860857142858E-2</v>
      </c>
      <c r="G32" s="2">
        <f>IF('Modell einstellen'!$B$2="Ja",creep_res125!O32,creep_res125!C32)</f>
        <v>-1.4493383714285714E-2</v>
      </c>
      <c r="H32" s="2">
        <f>IF('Modell einstellen'!$B$2="Ja",creep_res160!O32,creep_res160!C32)</f>
        <v>-1.4496432857142858E-2</v>
      </c>
      <c r="M32" s="9">
        <v>-1</v>
      </c>
      <c r="N32" s="2">
        <f t="shared" si="4"/>
        <v>100000000000000</v>
      </c>
      <c r="O32" s="2">
        <f t="shared" si="5"/>
        <v>8161.1990713488167</v>
      </c>
      <c r="P32" s="2">
        <f t="shared" si="6"/>
        <v>5536.0885591953065</v>
      </c>
      <c r="Q32" s="2">
        <f t="shared" si="7"/>
        <v>3452.787277327282</v>
      </c>
      <c r="R32" s="2">
        <f t="shared" si="8"/>
        <v>1692.5505193687986</v>
      </c>
      <c r="S32" s="2">
        <f t="shared" si="9"/>
        <v>866.63667443478505</v>
      </c>
      <c r="T32" s="2">
        <f t="shared" si="10"/>
        <v>689.9700026670298</v>
      </c>
      <c r="U32" s="2">
        <f t="shared" si="11"/>
        <v>689.82487612962518</v>
      </c>
      <c r="Z32" s="2">
        <v>100000000000000</v>
      </c>
      <c r="AA32" s="3">
        <f>IF('Modell einstellen'!$B$2="Ja",'creep_res-40'!P32,'creep_res-40'!L32)</f>
        <v>0.39942130103270651</v>
      </c>
      <c r="AB32" s="2">
        <f>IF('Modell einstellen'!$B$2="Ja",creep_res0!P32,creep_res0!L32)</f>
        <v>0.4264465625413823</v>
      </c>
      <c r="AC32" s="2">
        <f>IF('Modell einstellen'!$B$2="Ja",creep_res25!P32,creep_res25!L32)</f>
        <v>0.45604341357150596</v>
      </c>
      <c r="AD32" s="2">
        <f>IF('Modell einstellen'!$B$2="Ja",creep_res50!P32,creep_res50!L32)</f>
        <v>0.49572609232495563</v>
      </c>
      <c r="AE32" s="2">
        <f>IF('Modell einstellen'!$B$2="Ja",creep_res80!P32,creep_res80!L32)</f>
        <v>0.52388340488079377</v>
      </c>
      <c r="AF32" s="2">
        <f>IF('Modell einstellen'!$B$2="Ja",creep_res125!P32,creep_res125!L32)</f>
        <v>0.5323366959777095</v>
      </c>
      <c r="AG32" s="2">
        <f>IF('Modell einstellen'!$B$2="Ja",creep_res160!P32,creep_res160!L32)</f>
        <v>0.53116541084047963</v>
      </c>
      <c r="AL32" s="2">
        <f t="shared" si="12"/>
        <v>100000000000000</v>
      </c>
      <c r="AM32" s="2">
        <f t="shared" si="13"/>
        <v>2915.919267959634</v>
      </c>
      <c r="AN32" s="2">
        <f t="shared" si="14"/>
        <v>1940.5173332718871</v>
      </c>
      <c r="AO32" s="2">
        <f t="shared" si="15"/>
        <v>1185.6745633902476</v>
      </c>
      <c r="AP32" s="2">
        <f t="shared" si="16"/>
        <v>565.79561192848462</v>
      </c>
      <c r="AQ32" s="2">
        <f t="shared" si="17"/>
        <v>284.35137217816799</v>
      </c>
      <c r="AR32" s="2">
        <f t="shared" si="18"/>
        <v>225.13655271656646</v>
      </c>
      <c r="AS32" s="2">
        <f t="shared" si="19"/>
        <v>225.26138301118297</v>
      </c>
      <c r="AX32" s="2">
        <f t="shared" si="28"/>
        <v>100000000000000</v>
      </c>
      <c r="AY32" s="37">
        <f t="shared" si="20"/>
        <v>13523.736727466689</v>
      </c>
      <c r="AZ32" s="37">
        <f t="shared" si="21"/>
        <v>12544.368535483687</v>
      </c>
      <c r="BA32" s="37">
        <f t="shared" si="22"/>
        <v>13091.656859145447</v>
      </c>
      <c r="BB32" s="37">
        <f t="shared" si="23"/>
        <v>66003.239816172267</v>
      </c>
      <c r="BC32" s="37">
        <f t="shared" si="24"/>
        <v>-6047.6907065828036</v>
      </c>
      <c r="BD32" s="37">
        <f t="shared" si="25"/>
        <v>-3556.1765655889499</v>
      </c>
      <c r="BE32" s="37">
        <f t="shared" si="26"/>
        <v>-3689.0517271455119</v>
      </c>
    </row>
    <row r="33" spans="1:60" x14ac:dyDescent="0.25">
      <c r="A33" s="2">
        <f>'creep_res-40'!A33</f>
        <v>1000000000000000</v>
      </c>
      <c r="B33" s="3">
        <f>'creep_res-40'!O33</f>
        <v>-1.2862524285714287E-3</v>
      </c>
      <c r="C33" s="2">
        <f>IF('Modell einstellen'!$B$2="Ja",creep_res0!O33,creep_res0!C33)</f>
        <v>-2.0472368857142858E-3</v>
      </c>
      <c r="D33" s="2">
        <f>IF('Modell einstellen'!$B$2="Ja",creep_res25!O33,creep_res25!C33)</f>
        <v>-3.869394E-3</v>
      </c>
      <c r="E33" s="2">
        <f>IF('Modell einstellen'!$B$2="Ja",creep_res50!O33,creep_res50!C33)</f>
        <v>-8.1043811428571436E-3</v>
      </c>
      <c r="F33" s="2">
        <f>IF('Modell einstellen'!$B$2="Ja",creep_res80!O33,creep_res80!C33)</f>
        <v>-1.2370231428571429E-2</v>
      </c>
      <c r="G33" s="2">
        <f>IF('Modell einstellen'!$B$2="Ja",creep_res125!O33,creep_res125!C33)</f>
        <v>-1.4499507428571428E-2</v>
      </c>
      <c r="H33" s="2">
        <f>IF('Modell einstellen'!$B$2="Ja",creep_res160!O33,creep_res160!C33)</f>
        <v>-1.4497870571428572E-2</v>
      </c>
      <c r="M33" s="9">
        <f>M31</f>
        <v>-10</v>
      </c>
      <c r="N33" s="2">
        <f t="shared" si="4"/>
        <v>1000000000000000</v>
      </c>
      <c r="O33" s="2">
        <f t="shared" si="5"/>
        <v>7774.5237076881258</v>
      </c>
      <c r="P33" s="2">
        <f t="shared" si="6"/>
        <v>4884.632584426583</v>
      </c>
      <c r="Q33" s="2">
        <f t="shared" si="7"/>
        <v>2584.3840146544912</v>
      </c>
      <c r="R33" s="2">
        <f t="shared" si="8"/>
        <v>1233.9005068651754</v>
      </c>
      <c r="S33" s="2">
        <f t="shared" si="9"/>
        <v>808.39231325155947</v>
      </c>
      <c r="T33" s="2">
        <f t="shared" si="10"/>
        <v>689.67860110164133</v>
      </c>
      <c r="U33" s="2">
        <f t="shared" si="11"/>
        <v>689.75646807796227</v>
      </c>
      <c r="Z33" s="2">
        <v>1000000000000000</v>
      </c>
      <c r="AA33" s="3">
        <f>IF('Modell einstellen'!$B$2="Ja",'creep_res-40'!P33,'creep_res-40'!L33)</f>
        <v>0.40283123719216629</v>
      </c>
      <c r="AB33" s="2">
        <f>IF('Modell einstellen'!$B$2="Ja",creep_res0!P33,creep_res0!L33)</f>
        <v>0.433955210794156</v>
      </c>
      <c r="AC33" s="2">
        <f>IF('Modell einstellen'!$B$2="Ja",creep_res25!P33,creep_res25!L33)</f>
        <v>0.47264590490692571</v>
      </c>
      <c r="AD33" s="2">
        <f>IF('Modell einstellen'!$B$2="Ja",creep_res50!P33,creep_res50!L33)</f>
        <v>0.5097132295357425</v>
      </c>
      <c r="AE33" s="2">
        <f>IF('Modell einstellen'!$B$2="Ja",creep_res80!P33,creep_res80!L33)</f>
        <v>0.52568708149818655</v>
      </c>
      <c r="AF33" s="2">
        <f>IF('Modell einstellen'!$B$2="Ja",creep_res125!P33,creep_res125!L33)</f>
        <v>0.53234969006631871</v>
      </c>
      <c r="AG33" s="2">
        <f>IF('Modell einstellen'!$B$2="Ja",creep_res160!P33,creep_res160!L33)</f>
        <v>0.53111102207778416</v>
      </c>
      <c r="AL33" s="2">
        <f t="shared" si="12"/>
        <v>1000000000000000</v>
      </c>
      <c r="AM33" s="2">
        <f t="shared" si="13"/>
        <v>2771.0117587804812</v>
      </c>
      <c r="AN33" s="2">
        <f t="shared" si="14"/>
        <v>1703.202634105066</v>
      </c>
      <c r="AO33" s="2">
        <f t="shared" si="15"/>
        <v>877.46280556758461</v>
      </c>
      <c r="AP33" s="2">
        <f t="shared" si="16"/>
        <v>408.65393596789795</v>
      </c>
      <c r="AQ33" s="2">
        <f t="shared" si="17"/>
        <v>264.92729834801332</v>
      </c>
      <c r="AR33" s="2">
        <f t="shared" si="18"/>
        <v>225.03956034728361</v>
      </c>
      <c r="AS33" s="2">
        <f t="shared" si="19"/>
        <v>225.24704548920718</v>
      </c>
      <c r="AX33" s="2">
        <f>AL33</f>
        <v>1000000000000000</v>
      </c>
      <c r="AY33" s="37">
        <f t="shared" si="20"/>
        <v>13335.087468839225</v>
      </c>
      <c r="AZ33" s="37">
        <f t="shared" si="21"/>
        <v>12326.565661378891</v>
      </c>
      <c r="BA33" s="37">
        <f t="shared" si="22"/>
        <v>15746.4784575578</v>
      </c>
      <c r="BB33" s="37">
        <f t="shared" si="23"/>
        <v>-21172.163565247098</v>
      </c>
      <c r="BC33" s="37">
        <f t="shared" si="24"/>
        <v>-5245.1288488380833</v>
      </c>
      <c r="BD33" s="37">
        <f t="shared" si="25"/>
        <v>-3553.2468249709182</v>
      </c>
      <c r="BE33" s="37">
        <f t="shared" si="26"/>
        <v>-3695.1345108143387</v>
      </c>
    </row>
    <row r="34" spans="1:60" x14ac:dyDescent="0.25">
      <c r="A34" s="104" t="s">
        <v>4</v>
      </c>
      <c r="B34" s="104"/>
      <c r="C34" s="104"/>
      <c r="D34" s="104"/>
      <c r="E34" s="104"/>
      <c r="F34" s="104"/>
      <c r="G34" s="104"/>
      <c r="H34" s="104"/>
      <c r="I34" s="104"/>
      <c r="J34" s="104"/>
      <c r="K34" s="104"/>
      <c r="M34" s="104" t="s">
        <v>2</v>
      </c>
      <c r="N34" s="104"/>
      <c r="O34" s="104"/>
      <c r="P34" s="104"/>
      <c r="Q34" s="104"/>
      <c r="R34" s="104"/>
      <c r="S34" s="104"/>
      <c r="T34" s="104"/>
      <c r="U34" s="104"/>
      <c r="V34" s="104"/>
      <c r="W34" s="104"/>
      <c r="X34" s="104"/>
      <c r="Z34" s="105" t="s">
        <v>5</v>
      </c>
      <c r="AA34" s="105"/>
      <c r="AB34" s="105"/>
      <c r="AC34" s="105"/>
      <c r="AD34" s="105"/>
      <c r="AE34" s="105"/>
      <c r="AF34" s="105"/>
      <c r="AG34" s="105"/>
      <c r="AH34" s="105"/>
      <c r="AI34" s="105"/>
      <c r="AJ34" s="105"/>
      <c r="AL34" s="104" t="s">
        <v>3</v>
      </c>
      <c r="AM34" s="104"/>
      <c r="AN34" s="104"/>
      <c r="AO34" s="104"/>
      <c r="AP34" s="104"/>
      <c r="AQ34" s="104"/>
      <c r="AR34" s="104"/>
      <c r="AS34" s="104"/>
      <c r="AT34" s="104"/>
      <c r="AU34" s="104"/>
      <c r="AV34" s="104"/>
      <c r="AX34" s="104" t="s">
        <v>1</v>
      </c>
      <c r="AY34" s="104"/>
      <c r="AZ34" s="104"/>
      <c r="BA34" s="104"/>
      <c r="BB34" s="104"/>
      <c r="BC34" s="104"/>
      <c r="BD34" s="104"/>
      <c r="BE34" s="104"/>
      <c r="BF34" s="104"/>
      <c r="BG34" s="104"/>
      <c r="BH34" s="104"/>
    </row>
    <row r="35" spans="1:60" x14ac:dyDescent="0.25">
      <c r="Y35" s="6"/>
    </row>
  </sheetData>
  <mergeCells count="10">
    <mergeCell ref="A1:K1"/>
    <mergeCell ref="M1:X1"/>
    <mergeCell ref="AL1:AV1"/>
    <mergeCell ref="AX1:BH1"/>
    <mergeCell ref="Z1:AJ1"/>
    <mergeCell ref="AX34:BH34"/>
    <mergeCell ref="A34:K34"/>
    <mergeCell ref="AL34:AV34"/>
    <mergeCell ref="M34:X34"/>
    <mergeCell ref="Z34:AJ34"/>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F107" zoomScale="120" zoomScaleNormal="120" zoomScaleSheetLayoutView="110" workbookViewId="0">
      <selection activeCell="C5" sqref="C5"/>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111</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08" t="s">
        <v>26</v>
      </c>
      <c r="B15" s="108"/>
      <c r="C15" s="108"/>
      <c r="D15" s="67"/>
      <c r="E15" s="67"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7"/>
      <c r="E16" s="25" t="s">
        <v>23</v>
      </c>
      <c r="F16" s="26">
        <f>INDEX(Comparison!$AM$3:$AS$33,F14,$B$3)</f>
        <v>5608.5595412821331</v>
      </c>
      <c r="G16" s="26">
        <f>INDEX(Comparison!$AM$3:$AS$33,G14,$B$3)</f>
        <v>5607.5578036030483</v>
      </c>
      <c r="H16" s="26">
        <f>INDEX(Comparison!$AM$3:$AS$33,H14,$B$3)</f>
        <v>5597.5650860558781</v>
      </c>
      <c r="I16" s="26">
        <f>INDEX(Comparison!$AM$3:$AS$33,I14,$B$3)</f>
        <v>5515.87592015054</v>
      </c>
      <c r="J16" s="26">
        <f>INDEX(Comparison!$AM$3:$AS$33,J14,$B$3)</f>
        <v>5354.4297457358771</v>
      </c>
      <c r="K16" s="26">
        <f>INDEX(Comparison!$AM$3:$AS$33,K14,$B$3)</f>
        <v>5243.0021702463746</v>
      </c>
      <c r="L16" s="26">
        <f>INDEX(Comparison!$AM$3:$AS$33,L14,$B$3)</f>
        <v>5133.7176502815901</v>
      </c>
      <c r="M16" s="26">
        <f>INDEX(Comparison!$AM$3:$AS$33,M14,$B$3)</f>
        <v>5011.8758976932013</v>
      </c>
      <c r="N16" s="26">
        <f>INDEX(Comparison!$AM$3:$AS$33,N14,$B$3)</f>
        <v>4882.7230333645084</v>
      </c>
      <c r="O16" s="26">
        <f>INDEX(Comparison!$AM$3:$AS$33,O14,$B$3)</f>
        <v>4737.6825060207148</v>
      </c>
      <c r="P16" s="26">
        <f>INDEX(Comparison!$AM$3:$AS$33,P14,$B$3)</f>
        <v>4581.7042756516666</v>
      </c>
      <c r="Q16" s="26">
        <f>INDEX(Comparison!$AM$3:$AS$33,Q14,$B$3)</f>
        <v>4422.8560767502513</v>
      </c>
      <c r="R16" s="26">
        <f>INDEX(Comparison!$AM$3:$AS$33,R14,$B$3)</f>
        <v>4270.4317526073974</v>
      </c>
      <c r="S16" s="26">
        <f>INDEX(Comparison!$AM$3:$AS$33,S14,$B$3)</f>
        <v>4104.9210309366072</v>
      </c>
      <c r="T16" s="26">
        <f>INDEX(Comparison!$AM$3:$AS$33,T14,$B$3)</f>
        <v>3904.1870554469519</v>
      </c>
      <c r="U16" s="26">
        <f>INDEX(Comparison!$AM$3:$AS$33,U14,$B$3)</f>
        <v>3689.3430627142566</v>
      </c>
      <c r="V16" s="26">
        <f>INDEX(Comparison!$AM$3:$AS$33,V14,$B$3)</f>
        <v>3495.8611800317371</v>
      </c>
      <c r="W16" s="26">
        <f>INDEX(Comparison!$AM$3:$AS$33,W14,$B$3)</f>
        <v>3307.8943029856523</v>
      </c>
      <c r="X16" s="26">
        <f>INDEX(Comparison!$AM$3:$AS$33,X14,$B$3)</f>
        <v>3103.7900841852515</v>
      </c>
      <c r="Y16" s="26">
        <f>INDEX(Comparison!$AM$3:$AS$33,Y14,$B$3)</f>
        <v>2911.6115267339505</v>
      </c>
      <c r="Z16" s="26">
        <f>INDEX(Comparison!$AM$3:$AS$33,Z14,$B$3)</f>
        <v>2729.2195894835777</v>
      </c>
      <c r="AA16" s="26">
        <f>INDEX(Comparison!$AM$3:$AS$33,AA14,$B$3)</f>
        <v>2550.726219448276</v>
      </c>
      <c r="AB16" s="26">
        <f>INDEX(Comparison!$AM$3:$AS$33,AB14,$B$3)</f>
        <v>2358.1438044871866</v>
      </c>
      <c r="AC16" s="26">
        <f>INDEX(Comparison!$AM$3:$AS$33,AC14,$B$3)</f>
        <v>2158.239452794789</v>
      </c>
      <c r="AD16" s="26">
        <f>INDEX(Comparison!$AM$3:$AS$33,AD14,$B$3)</f>
        <v>1939.4329282086981</v>
      </c>
      <c r="AE16" s="26">
        <f>INDEX(Comparison!$AM$3:$AS$33,AE14,$B$3)</f>
        <v>1697.1946565213088</v>
      </c>
      <c r="AF16" s="26">
        <f>INDEX(Comparison!$AM$3:$AS$33,AF14,$B$3)</f>
        <v>1417.4356606109552</v>
      </c>
      <c r="AG16" s="26">
        <f>INDEX(Comparison!$AM$3:$AS$33,AG14,$B$3)</f>
        <v>1107.9541803332813</v>
      </c>
      <c r="AH16" s="26">
        <f>INDEX(Comparison!$AM$3:$AS$33,AH14,$B$3)</f>
        <v>805.95331833639966</v>
      </c>
      <c r="AI16" s="26">
        <f>INDEX(Comparison!$AM$3:$AS$33,AI14,$B$3)</f>
        <v>565.79561192848462</v>
      </c>
      <c r="AJ16" s="26">
        <f>INDEX(Comparison!$AM$3:$AS$33,AJ14,$B$3)</f>
        <v>408.65393596789795</v>
      </c>
    </row>
    <row r="17" spans="1:36" x14ac:dyDescent="0.25">
      <c r="A17" s="14" t="s">
        <v>20</v>
      </c>
      <c r="B17" s="14">
        <v>6.4061013604562664E-2</v>
      </c>
      <c r="C17" s="18">
        <f t="shared" ref="C17:C48" si="3">ABS(B17/$B$49)</f>
        <v>3.8067425297823199E-2</v>
      </c>
      <c r="D17" s="67"/>
      <c r="E17" s="66" t="s">
        <v>22</v>
      </c>
      <c r="F17" s="27">
        <f>($C$17+SUM(F18:F48))*$B$51</f>
        <v>5610.3057844571304</v>
      </c>
      <c r="G17" s="27">
        <f t="shared" ref="G17:M17" si="4">($C$17+SUM(G18:G48))*$B$51</f>
        <v>5608.6890316646131</v>
      </c>
      <c r="H17" s="27">
        <f t="shared" si="4"/>
        <v>5593.8576262640818</v>
      </c>
      <c r="I17" s="27">
        <f t="shared" si="4"/>
        <v>5516.8298795163337</v>
      </c>
      <c r="J17" s="27">
        <f t="shared" si="4"/>
        <v>5354.2897053831693</v>
      </c>
      <c r="K17" s="27">
        <f t="shared" si="4"/>
        <v>5243.0212592578155</v>
      </c>
      <c r="L17" s="27">
        <f t="shared" si="4"/>
        <v>5133.7112853018562</v>
      </c>
      <c r="M17" s="27">
        <f t="shared" si="4"/>
        <v>5011.8835902043566</v>
      </c>
      <c r="N17" s="27">
        <f t="shared" ref="N17" si="5">($C$17+SUM(N18:N48))*$B$51</f>
        <v>4882.7113456293828</v>
      </c>
      <c r="O17" s="27">
        <f t="shared" ref="O17" si="6">($C$17+SUM(O18:O48))*$B$51</f>
        <v>4737.7085337364169</v>
      </c>
      <c r="P17" s="27">
        <f t="shared" ref="P17" si="7">($C$17+SUM(P18:P48))*$B$51</f>
        <v>4581.6463223791579</v>
      </c>
      <c r="Q17" s="27">
        <f t="shared" ref="Q17" si="8">($C$17+SUM(Q18:Q48))*$B$51</f>
        <v>4422.9528737792252</v>
      </c>
      <c r="R17" s="27">
        <f t="shared" ref="R17" si="9">($C$17+SUM(R18:R48))*$B$51</f>
        <v>4270.3099100151576</v>
      </c>
      <c r="S17" s="27">
        <f t="shared" ref="S17:T17" si="10">($C$17+SUM(S18:S48))*$B$51</f>
        <v>4105.0469363162001</v>
      </c>
      <c r="T17" s="27">
        <f t="shared" si="10"/>
        <v>3904.0733696447942</v>
      </c>
      <c r="U17" s="27">
        <f t="shared" ref="U17" si="11">($C$17+SUM(U18:U48))*$B$51</f>
        <v>3689.4335867656569</v>
      </c>
      <c r="V17" s="27">
        <f t="shared" ref="V17" si="12">($C$17+SUM(V18:V48))*$B$51</f>
        <v>3495.8005490545438</v>
      </c>
      <c r="W17" s="27">
        <f t="shared" ref="W17" si="13">($C$17+SUM(W18:W48))*$B$51</f>
        <v>3307.9270912101065</v>
      </c>
      <c r="X17" s="27">
        <f t="shared" ref="X17" si="14">($C$17+SUM(X18:X48))*$B$51</f>
        <v>3103.7761558653597</v>
      </c>
      <c r="Y17" s="27">
        <f t="shared" ref="Y17" si="15">($C$17+SUM(Y18:Y48))*$B$51</f>
        <v>2911.615827115364</v>
      </c>
      <c r="Z17" s="27">
        <f t="shared" ref="Z17:AA17" si="16">($C$17+SUM(Z18:Z48))*$B$51</f>
        <v>2729.2211569743017</v>
      </c>
      <c r="AA17" s="27">
        <f t="shared" si="16"/>
        <v>2550.7200247367418</v>
      </c>
      <c r="AB17" s="27">
        <f t="shared" ref="AB17" si="17">($C$17+SUM(AB18:AB48))*$B$51</f>
        <v>2358.1548024946833</v>
      </c>
      <c r="AC17" s="27">
        <f t="shared" ref="AC17" si="18">($C$17+SUM(AC18:AC48))*$B$51</f>
        <v>2158.225171749848</v>
      </c>
      <c r="AD17" s="27">
        <f t="shared" ref="AD17" si="19">($C$17+SUM(AD18:AD48))*$B$51</f>
        <v>1939.4462252838016</v>
      </c>
      <c r="AE17" s="27">
        <f t="shared" ref="AE17" si="20">($C$17+SUM(AE18:AE48))*$B$51</f>
        <v>1697.1837482527762</v>
      </c>
      <c r="AF17" s="27">
        <f t="shared" ref="AF17" si="21">($C$17+SUM(AF18:AF48))*$B$51</f>
        <v>1417.4431215051291</v>
      </c>
      <c r="AG17" s="27">
        <f t="shared" ref="AG17:AH17" si="22">($C$17+SUM(AG18:AG48))*$B$51</f>
        <v>1107.948246682379</v>
      </c>
      <c r="AH17" s="27">
        <f t="shared" si="22"/>
        <v>805.95934735621302</v>
      </c>
      <c r="AI17" s="27">
        <f t="shared" ref="AI17" si="23">($C$17+SUM(AI18:AI48))*$B$51</f>
        <v>565.78960943749235</v>
      </c>
      <c r="AJ17" s="27">
        <f t="shared" ref="AJ17" si="24">($C$17+SUM(AJ18:AJ48))*$B$51</f>
        <v>408.65677682193092</v>
      </c>
    </row>
    <row r="18" spans="1:36" x14ac:dyDescent="0.25">
      <c r="A18" s="3">
        <f>0.000000000000001/10^5</f>
        <v>1.0000000000000001E-20</v>
      </c>
      <c r="B18" s="17">
        <v>1.1011707161114625E-3</v>
      </c>
      <c r="C18" s="18">
        <f t="shared" si="3"/>
        <v>6.543563958335178E-4</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7">
        <v>0</v>
      </c>
      <c r="C19" s="18">
        <f t="shared" si="3"/>
        <v>0</v>
      </c>
      <c r="D19" s="17"/>
      <c r="F19" s="3">
        <f t="shared" si="25"/>
        <v>0</v>
      </c>
      <c r="G19" s="3">
        <f t="shared" si="25"/>
        <v>0</v>
      </c>
      <c r="H19" s="3">
        <f t="shared" si="25"/>
        <v>0</v>
      </c>
      <c r="I19" s="3">
        <f t="shared" si="25"/>
        <v>0</v>
      </c>
      <c r="J19" s="3">
        <f t="shared" si="25"/>
        <v>0</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7">
        <v>1.7779501587797616E-2</v>
      </c>
      <c r="C20" s="18">
        <f t="shared" si="3"/>
        <v>1.0565237894984057E-2</v>
      </c>
      <c r="D20" s="17"/>
      <c r="F20" s="3">
        <f t="shared" si="25"/>
        <v>1.0540852706841642E-2</v>
      </c>
      <c r="G20" s="3">
        <f t="shared" si="25"/>
        <v>1.0323903197907564E-2</v>
      </c>
      <c r="H20" s="3">
        <f t="shared" si="25"/>
        <v>8.3854372550340849E-3</v>
      </c>
      <c r="I20" s="3">
        <f t="shared" si="25"/>
        <v>1.0479573612921108E-3</v>
      </c>
      <c r="J20" s="3">
        <f t="shared" si="25"/>
        <v>9.7391847212686658E-13</v>
      </c>
      <c r="K20" s="3">
        <f t="shared" si="25"/>
        <v>4.6807183273844092E-103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7">
        <v>6.07462631462364E-2</v>
      </c>
      <c r="C21" s="18">
        <f t="shared" si="3"/>
        <v>3.6097677890575289E-2</v>
      </c>
      <c r="D21" s="17"/>
      <c r="F21" s="3">
        <f t="shared" si="25"/>
        <v>3.6090154231724292E-2</v>
      </c>
      <c r="G21" s="3">
        <f t="shared" si="25"/>
        <v>3.6022511828199363E-2</v>
      </c>
      <c r="H21" s="3">
        <f t="shared" si="25"/>
        <v>3.5353021609680478E-2</v>
      </c>
      <c r="I21" s="3">
        <f t="shared" si="25"/>
        <v>2.9305693251491027E-2</v>
      </c>
      <c r="J21" s="3">
        <f t="shared" si="25"/>
        <v>4.4895892232341156E-3</v>
      </c>
      <c r="K21" s="3">
        <f t="shared" si="25"/>
        <v>3.1970739445221597E-11</v>
      </c>
      <c r="L21" s="3">
        <f t="shared" si="25"/>
        <v>1.0720460066038545E-92</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7">
        <v>3.0226001160642252E-2</v>
      </c>
      <c r="C22" s="18">
        <f t="shared" si="3"/>
        <v>1.796140860863173E-2</v>
      </c>
      <c r="D22" s="17"/>
      <c r="F22" s="3">
        <f t="shared" si="25"/>
        <v>1.7961070872135887E-2</v>
      </c>
      <c r="G22" s="3">
        <f t="shared" si="25"/>
        <v>1.7958031529436525E-2</v>
      </c>
      <c r="H22" s="3">
        <f t="shared" si="25"/>
        <v>1.7927666375277523E-2</v>
      </c>
      <c r="I22" s="3">
        <f t="shared" si="25"/>
        <v>1.762682449366058E-2</v>
      </c>
      <c r="J22" s="3">
        <f t="shared" si="25"/>
        <v>1.4882547177021546E-2</v>
      </c>
      <c r="K22" s="3">
        <f t="shared" si="25"/>
        <v>2.7397386947047337E-3</v>
      </c>
      <c r="L22" s="3">
        <f t="shared" si="25"/>
        <v>1.2246948726396994E-10</v>
      </c>
      <c r="M22" s="3">
        <f t="shared" si="25"/>
        <v>3.9013549112128302E-84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7">
        <v>3.4299797652516249E-2</v>
      </c>
      <c r="C23" s="18">
        <f t="shared" si="3"/>
        <v>2.0382209262680424E-2</v>
      </c>
      <c r="D23" s="17"/>
      <c r="F23" s="3">
        <f t="shared" si="25"/>
        <v>2.0382174689513571E-2</v>
      </c>
      <c r="G23" s="3">
        <f t="shared" si="25"/>
        <v>2.0381863533650887E-2</v>
      </c>
      <c r="H23" s="3">
        <f t="shared" si="25"/>
        <v>2.0378752236269209E-2</v>
      </c>
      <c r="I23" s="3">
        <f t="shared" si="25"/>
        <v>2.0347665372218222E-2</v>
      </c>
      <c r="J23" s="3">
        <f t="shared" si="25"/>
        <v>2.0039393020241759E-2</v>
      </c>
      <c r="K23" s="3">
        <f t="shared" si="25"/>
        <v>1.7202213114354891E-2</v>
      </c>
      <c r="L23" s="3">
        <f t="shared" si="25"/>
        <v>3.7375062887614963E-3</v>
      </c>
      <c r="M23" s="3">
        <f t="shared" si="25"/>
        <v>8.7610874532504319E-10</v>
      </c>
      <c r="N23" s="3">
        <f t="shared" si="25"/>
        <v>4.3885277567861508E-76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7">
        <v>3.9027816578283463E-2</v>
      </c>
      <c r="C24" s="18">
        <f t="shared" si="3"/>
        <v>2.3191773100904155E-2</v>
      </c>
      <c r="D24" s="17"/>
      <c r="F24" s="3">
        <f t="shared" si="25"/>
        <v>2.3191769552208252E-2</v>
      </c>
      <c r="G24" s="3">
        <f t="shared" si="25"/>
        <v>2.3191737613969539E-2</v>
      </c>
      <c r="H24" s="3">
        <f t="shared" si="25"/>
        <v>2.3191418234001476E-2</v>
      </c>
      <c r="I24" s="3">
        <f t="shared" si="25"/>
        <v>2.3188224676215816E-2</v>
      </c>
      <c r="J24" s="3">
        <f t="shared" si="25"/>
        <v>2.3156313275533379E-2</v>
      </c>
      <c r="K24" s="3">
        <f t="shared" si="25"/>
        <v>2.2839604712113642E-2</v>
      </c>
      <c r="L24" s="3">
        <f t="shared" si="25"/>
        <v>1.9901245257951027E-2</v>
      </c>
      <c r="M24" s="3">
        <f t="shared" si="25"/>
        <v>5.0210776546761949E-3</v>
      </c>
      <c r="N24" s="3">
        <f t="shared" si="25"/>
        <v>5.2476371807981496E-9</v>
      </c>
      <c r="O24" s="3">
        <f t="shared" si="25"/>
        <v>8.1589152928200117E-69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7">
        <v>3.9965034645062847E-2</v>
      </c>
      <c r="C25" s="18">
        <f t="shared" si="3"/>
        <v>2.374870276432043E-2</v>
      </c>
      <c r="D25" s="17"/>
      <c r="F25" s="3">
        <f t="shared" si="25"/>
        <v>2.3748702436511074E-2</v>
      </c>
      <c r="G25" s="3">
        <f t="shared" si="25"/>
        <v>2.3748699486227071E-2</v>
      </c>
      <c r="H25" s="3">
        <f t="shared" si="25"/>
        <v>2.3748669983407189E-2</v>
      </c>
      <c r="I25" s="3">
        <f t="shared" si="25"/>
        <v>2.3748374957224185E-2</v>
      </c>
      <c r="J25" s="3">
        <f t="shared" si="25"/>
        <v>2.3745424896965277E-2</v>
      </c>
      <c r="K25" s="3">
        <f t="shared" si="25"/>
        <v>2.3715944442227195E-2</v>
      </c>
      <c r="L25" s="3">
        <f t="shared" si="25"/>
        <v>2.342314544971329E-2</v>
      </c>
      <c r="M25" s="3">
        <f t="shared" si="25"/>
        <v>2.0686790904361322E-2</v>
      </c>
      <c r="N25" s="3">
        <f t="shared" si="25"/>
        <v>5.9727208860311781E-3</v>
      </c>
      <c r="O25" s="3">
        <f t="shared" si="25"/>
        <v>2.4041589223023738E-8</v>
      </c>
      <c r="P25" s="3">
        <f t="shared" si="25"/>
        <v>2.6845574182074658E-62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7">
        <v>4.7339267152376213E-2</v>
      </c>
      <c r="C26" s="18">
        <f t="shared" si="3"/>
        <v>2.8130744653850213E-2</v>
      </c>
      <c r="D26" s="17"/>
      <c r="F26" s="3">
        <f t="shared" si="25"/>
        <v>2.8130744618822701E-2</v>
      </c>
      <c r="G26" s="3">
        <f t="shared" si="25"/>
        <v>2.8130744303575105E-2</v>
      </c>
      <c r="H26" s="3">
        <f t="shared" si="25"/>
        <v>2.8130741151099353E-2</v>
      </c>
      <c r="I26" s="3">
        <f t="shared" si="25"/>
        <v>2.8130709626361217E-2</v>
      </c>
      <c r="J26" s="3">
        <f t="shared" si="25"/>
        <v>2.8130394380922925E-2</v>
      </c>
      <c r="K26" s="3">
        <f t="shared" si="25"/>
        <v>2.8127242120836542E-2</v>
      </c>
      <c r="L26" s="3">
        <f t="shared" si="25"/>
        <v>2.8095738941570809E-2</v>
      </c>
      <c r="M26" s="3">
        <f t="shared" si="25"/>
        <v>2.7782641279816649E-2</v>
      </c>
      <c r="N26" s="3">
        <f t="shared" si="25"/>
        <v>2.4837292821812507E-2</v>
      </c>
      <c r="O26" s="3">
        <f t="shared" si="25"/>
        <v>8.0986292481111839E-3</v>
      </c>
      <c r="P26" s="3">
        <f t="shared" si="25"/>
        <v>1.1002316109285392E-7</v>
      </c>
      <c r="Q26" s="3">
        <f t="shared" si="25"/>
        <v>2.3561890228560274E-56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7">
        <v>4.9898886761079959E-2</v>
      </c>
      <c r="C27" s="18">
        <f t="shared" si="3"/>
        <v>2.9651765361493738E-2</v>
      </c>
      <c r="D27" s="17"/>
      <c r="F27" s="3">
        <f t="shared" si="25"/>
        <v>2.9651765358163117E-2</v>
      </c>
      <c r="G27" s="3">
        <f t="shared" si="25"/>
        <v>2.9651765328187529E-2</v>
      </c>
      <c r="H27" s="3">
        <f t="shared" si="25"/>
        <v>2.965176502843166E-2</v>
      </c>
      <c r="I27" s="3">
        <f t="shared" si="25"/>
        <v>2.9651762030873104E-2</v>
      </c>
      <c r="J27" s="3">
        <f t="shared" si="25"/>
        <v>2.9651732055304216E-2</v>
      </c>
      <c r="K27" s="3">
        <f t="shared" si="25"/>
        <v>2.9651432301282043E-2</v>
      </c>
      <c r="L27" s="3">
        <f t="shared" si="25"/>
        <v>2.9648434927719555E-2</v>
      </c>
      <c r="M27" s="3">
        <f t="shared" si="25"/>
        <v>2.9618477851790195E-2</v>
      </c>
      <c r="N27" s="3">
        <f t="shared" si="25"/>
        <v>2.9320566847459054E-2</v>
      </c>
      <c r="O27" s="3">
        <f t="shared" si="25"/>
        <v>2.6501388463110048E-2</v>
      </c>
      <c r="P27" s="3">
        <f t="shared" si="25"/>
        <v>9.643424569612374E-3</v>
      </c>
      <c r="Q27" s="3">
        <f t="shared" si="25"/>
        <v>3.9251647004997757E-7</v>
      </c>
      <c r="R27" s="3">
        <f t="shared" si="25"/>
        <v>4.8991851403925825E-51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7">
        <v>5.0632191832465798E-2</v>
      </c>
      <c r="C28" s="18">
        <f t="shared" si="3"/>
        <v>3.0087522375858353E-2</v>
      </c>
      <c r="D28" s="17"/>
      <c r="F28" s="3">
        <f t="shared" si="25"/>
        <v>3.008752237555349E-2</v>
      </c>
      <c r="G28" s="3">
        <f t="shared" si="25"/>
        <v>3.0087522372809702E-2</v>
      </c>
      <c r="H28" s="3">
        <f t="shared" si="25"/>
        <v>3.0087522345371848E-2</v>
      </c>
      <c r="I28" s="3">
        <f t="shared" si="25"/>
        <v>3.0087522070993293E-2</v>
      </c>
      <c r="J28" s="3">
        <f t="shared" si="25"/>
        <v>3.0087519327207896E-2</v>
      </c>
      <c r="K28" s="3">
        <f t="shared" si="25"/>
        <v>3.0087491889367685E-2</v>
      </c>
      <c r="L28" s="3">
        <f t="shared" si="25"/>
        <v>3.0087217512341728E-2</v>
      </c>
      <c r="M28" s="3">
        <f t="shared" si="25"/>
        <v>3.0084473879695445E-2</v>
      </c>
      <c r="N28" s="3">
        <f t="shared" si="25"/>
        <v>3.0057051309917333E-2</v>
      </c>
      <c r="O28" s="3">
        <f t="shared" si="25"/>
        <v>2.9784196650185262E-2</v>
      </c>
      <c r="P28" s="3">
        <f t="shared" si="25"/>
        <v>2.7188238446085054E-2</v>
      </c>
      <c r="Q28" s="3">
        <f t="shared" si="25"/>
        <v>1.0922771909129532E-2</v>
      </c>
      <c r="R28" s="3">
        <f t="shared" si="25"/>
        <v>1.1963294974720388E-6</v>
      </c>
      <c r="S28" s="3">
        <f t="shared" si="25"/>
        <v>2.9718731942739488E-46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7">
        <v>4.484602288216491E-2</v>
      </c>
      <c r="C29" s="18">
        <f t="shared" si="3"/>
        <v>2.6649166629010242E-2</v>
      </c>
      <c r="D29" s="17"/>
      <c r="F29" s="3">
        <f t="shared" si="25"/>
        <v>2.6649166628985883E-2</v>
      </c>
      <c r="G29" s="3">
        <f t="shared" si="25"/>
        <v>2.6649166628766655E-2</v>
      </c>
      <c r="H29" s="3">
        <f t="shared" si="25"/>
        <v>2.6649166626574388E-2</v>
      </c>
      <c r="I29" s="3">
        <f t="shared" si="25"/>
        <v>2.6649166604651692E-2</v>
      </c>
      <c r="J29" s="3">
        <f t="shared" si="25"/>
        <v>2.6649166385424732E-2</v>
      </c>
      <c r="K29" s="3">
        <f t="shared" si="25"/>
        <v>2.6649164193155241E-2</v>
      </c>
      <c r="L29" s="3">
        <f t="shared" si="25"/>
        <v>2.6649142270470258E-2</v>
      </c>
      <c r="M29" s="3">
        <f t="shared" si="25"/>
        <v>2.6648923044612322E-2</v>
      </c>
      <c r="N29" s="3">
        <f t="shared" si="25"/>
        <v>2.6646730885219402E-2</v>
      </c>
      <c r="O29" s="3">
        <f t="shared" si="25"/>
        <v>2.6624819206915631E-2</v>
      </c>
      <c r="P29" s="3">
        <f t="shared" si="25"/>
        <v>2.6406690974960664E-2</v>
      </c>
      <c r="Q29" s="3">
        <f t="shared" si="25"/>
        <v>2.4321319906996899E-2</v>
      </c>
      <c r="R29" s="3">
        <f t="shared" si="25"/>
        <v>1.0683626850972726E-2</v>
      </c>
      <c r="S29" s="3">
        <f t="shared" si="25"/>
        <v>2.8578170186588829E-6</v>
      </c>
      <c r="T29" s="3">
        <f t="shared" si="25"/>
        <v>5.360329550032084E-42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7">
        <v>5.5145523337503673E-2</v>
      </c>
      <c r="C30" s="18">
        <f t="shared" si="3"/>
        <v>3.2769511002714927E-2</v>
      </c>
      <c r="D30" s="17"/>
      <c r="F30" s="3">
        <f t="shared" si="25"/>
        <v>3.2769511002712221E-2</v>
      </c>
      <c r="G30" s="3">
        <f t="shared" si="25"/>
        <v>3.2769511002687907E-2</v>
      </c>
      <c r="H30" s="3">
        <f t="shared" si="25"/>
        <v>3.2769511002444726E-2</v>
      </c>
      <c r="I30" s="3">
        <f t="shared" si="25"/>
        <v>3.2769511000012935E-2</v>
      </c>
      <c r="J30" s="3">
        <f t="shared" si="25"/>
        <v>3.2769510975694985E-2</v>
      </c>
      <c r="K30" s="3">
        <f t="shared" si="25"/>
        <v>3.2769510732515536E-2</v>
      </c>
      <c r="L30" s="3">
        <f t="shared" si="25"/>
        <v>3.276950830072109E-2</v>
      </c>
      <c r="M30" s="3">
        <f t="shared" si="25"/>
        <v>3.2769483982786611E-2</v>
      </c>
      <c r="N30" s="3">
        <f t="shared" si="25"/>
        <v>3.2769240804434323E-2</v>
      </c>
      <c r="O30" s="3">
        <f t="shared" si="25"/>
        <v>3.2766809120162096E-2</v>
      </c>
      <c r="P30" s="3">
        <f t="shared" si="25"/>
        <v>3.2742502199777472E-2</v>
      </c>
      <c r="Q30" s="3">
        <f t="shared" si="25"/>
        <v>3.2500422510687327E-2</v>
      </c>
      <c r="R30" s="3">
        <f t="shared" si="25"/>
        <v>3.0175913240306024E-2</v>
      </c>
      <c r="S30" s="3">
        <f t="shared" si="25"/>
        <v>1.4367280715828891E-2</v>
      </c>
      <c r="T30" s="3">
        <f t="shared" si="25"/>
        <v>8.6003500179971595E-6</v>
      </c>
      <c r="U30" s="3">
        <f t="shared" si="25"/>
        <v>5.0807943754123155E-38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7">
        <v>7.0522701602722768E-2</v>
      </c>
      <c r="C31" s="18">
        <f t="shared" si="3"/>
        <v>4.1907199465091145E-2</v>
      </c>
      <c r="D31" s="17"/>
      <c r="F31" s="3">
        <f t="shared" si="25"/>
        <v>4.1907199465090833E-2</v>
      </c>
      <c r="G31" s="3">
        <f t="shared" si="25"/>
        <v>4.190719946508803E-2</v>
      </c>
      <c r="H31" s="3">
        <f t="shared" si="25"/>
        <v>4.1907199465059976E-2</v>
      </c>
      <c r="I31" s="3">
        <f t="shared" si="25"/>
        <v>4.1907199464779436E-2</v>
      </c>
      <c r="J31" s="3">
        <f t="shared" si="25"/>
        <v>4.1907199461974055E-2</v>
      </c>
      <c r="K31" s="3">
        <f t="shared" si="25"/>
        <v>4.1907199433920225E-2</v>
      </c>
      <c r="L31" s="3">
        <f t="shared" si="25"/>
        <v>4.1907199153381931E-2</v>
      </c>
      <c r="M31" s="3">
        <f t="shared" si="25"/>
        <v>4.1907196347999116E-2</v>
      </c>
      <c r="N31" s="3">
        <f t="shared" si="25"/>
        <v>4.1907168294181278E-2</v>
      </c>
      <c r="O31" s="3">
        <f t="shared" si="25"/>
        <v>4.1906887757035778E-2</v>
      </c>
      <c r="P31" s="3">
        <f t="shared" si="25"/>
        <v>4.1904082488867948E-2</v>
      </c>
      <c r="Q31" s="3">
        <f t="shared" si="25"/>
        <v>4.1876040133349314E-2</v>
      </c>
      <c r="R31" s="3">
        <f t="shared" si="25"/>
        <v>4.1596646641034012E-2</v>
      </c>
      <c r="S31" s="3">
        <f t="shared" si="25"/>
        <v>3.8903211703262518E-2</v>
      </c>
      <c r="T31" s="3">
        <f t="shared" si="25"/>
        <v>1.9918508379943616E-2</v>
      </c>
      <c r="U31" s="3">
        <f t="shared" si="25"/>
        <v>2.4658711191872371E-5</v>
      </c>
      <c r="V31" s="3">
        <f t="shared" si="26"/>
        <v>2.0849996589379197E-34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7">
        <v>6.5238164521255512E-2</v>
      </c>
      <c r="C32" s="18">
        <f t="shared" si="3"/>
        <v>3.8766931941006839E-2</v>
      </c>
      <c r="D32" s="17"/>
      <c r="F32" s="3">
        <f t="shared" si="25"/>
        <v>3.8766931941006812E-2</v>
      </c>
      <c r="G32" s="3">
        <f t="shared" si="25"/>
        <v>3.8766931941006583E-2</v>
      </c>
      <c r="H32" s="3">
        <f t="shared" si="25"/>
        <v>3.8766931941004237E-2</v>
      </c>
      <c r="I32" s="3">
        <f t="shared" si="25"/>
        <v>3.8766931940980826E-2</v>
      </c>
      <c r="J32" s="3">
        <f t="shared" si="25"/>
        <v>3.8766931940746721E-2</v>
      </c>
      <c r="K32" s="3">
        <f t="shared" si="25"/>
        <v>3.876693193840567E-2</v>
      </c>
      <c r="L32" s="3">
        <f t="shared" si="25"/>
        <v>3.8766931914995119E-2</v>
      </c>
      <c r="M32" s="3">
        <f t="shared" si="25"/>
        <v>3.8766931680889669E-2</v>
      </c>
      <c r="N32" s="3">
        <f t="shared" si="25"/>
        <v>3.87669293398352E-2</v>
      </c>
      <c r="O32" s="3">
        <f t="shared" si="25"/>
        <v>3.8766905929298323E-2</v>
      </c>
      <c r="P32" s="3">
        <f t="shared" si="25"/>
        <v>3.8766671824707041E-2</v>
      </c>
      <c r="Q32" s="3">
        <f t="shared" si="25"/>
        <v>3.8764330856546604E-2</v>
      </c>
      <c r="R32" s="3">
        <f t="shared" si="25"/>
        <v>3.8740928948440626E-2</v>
      </c>
      <c r="S32" s="3">
        <f t="shared" si="25"/>
        <v>3.8507685483145752E-2</v>
      </c>
      <c r="T32" s="3">
        <f t="shared" si="25"/>
        <v>3.6251107044448255E-2</v>
      </c>
      <c r="U32" s="3">
        <f t="shared" si="25"/>
        <v>1.9818001212162244E-2</v>
      </c>
      <c r="V32" s="3">
        <f t="shared" si="26"/>
        <v>4.7254766345160262E-5</v>
      </c>
      <c r="W32" s="3">
        <f t="shared" si="26"/>
        <v>2.8073936597753337E-31</v>
      </c>
      <c r="X32" s="3">
        <f t="shared" si="26"/>
        <v>1.5377306166327592E-293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7">
        <v>5.3915648119649037E-2</v>
      </c>
      <c r="C33" s="18">
        <f t="shared" si="3"/>
        <v>3.2038673628359195E-2</v>
      </c>
      <c r="D33" s="17"/>
      <c r="F33" s="3">
        <f t="shared" si="25"/>
        <v>3.2038673628359188E-2</v>
      </c>
      <c r="G33" s="3">
        <f t="shared" si="25"/>
        <v>3.2038673628359174E-2</v>
      </c>
      <c r="H33" s="3">
        <f t="shared" si="25"/>
        <v>3.2038673628359E-2</v>
      </c>
      <c r="I33" s="3">
        <f t="shared" si="25"/>
        <v>3.2038673628357259E-2</v>
      </c>
      <c r="J33" s="3">
        <f t="shared" si="25"/>
        <v>3.20386736283398E-2</v>
      </c>
      <c r="K33" s="3">
        <f t="shared" si="25"/>
        <v>3.2038673628165273E-2</v>
      </c>
      <c r="L33" s="3">
        <f t="shared" si="25"/>
        <v>3.2038673626419968E-2</v>
      </c>
      <c r="M33" s="3">
        <f t="shared" si="25"/>
        <v>3.2038673608966922E-2</v>
      </c>
      <c r="N33" s="3">
        <f t="shared" si="25"/>
        <v>3.203867343443647E-2</v>
      </c>
      <c r="O33" s="3">
        <f t="shared" si="25"/>
        <v>3.2038671689131971E-2</v>
      </c>
      <c r="P33" s="3">
        <f t="shared" si="25"/>
        <v>3.2038654236092264E-2</v>
      </c>
      <c r="Q33" s="3">
        <f t="shared" si="25"/>
        <v>3.2038479706218065E-2</v>
      </c>
      <c r="R33" s="3">
        <f t="shared" si="25"/>
        <v>3.2036734459766354E-2</v>
      </c>
      <c r="S33" s="3">
        <f t="shared" si="25"/>
        <v>3.2019287223222413E-2</v>
      </c>
      <c r="T33" s="3">
        <f t="shared" si="25"/>
        <v>3.1845336602893605E-2</v>
      </c>
      <c r="U33" s="3">
        <f t="shared" ref="P33:AE48" si="27">$C33*EXP(-U$15/$A33)</f>
        <v>3.0156968443221816E-2</v>
      </c>
      <c r="V33" s="3">
        <f t="shared" si="27"/>
        <v>1.74906544526756E-2</v>
      </c>
      <c r="W33" s="3">
        <f t="shared" si="27"/>
        <v>7.5333794576275536E-5</v>
      </c>
      <c r="X33" s="3">
        <f t="shared" si="27"/>
        <v>1.6551131118752751E-28</v>
      </c>
      <c r="Y33" s="3">
        <f t="shared" si="27"/>
        <v>4.337165917992867E-265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7">
        <v>6.5319398235454157E-2</v>
      </c>
      <c r="C34" s="18">
        <f t="shared" si="3"/>
        <v>3.8815204020590376E-2</v>
      </c>
      <c r="D34" s="17"/>
      <c r="F34" s="3">
        <f t="shared" ref="F34:O48" si="28">$C34*EXP(-F$15/$A34)</f>
        <v>3.8815204020590376E-2</v>
      </c>
      <c r="G34" s="3">
        <f t="shared" si="28"/>
        <v>3.8815204020590376E-2</v>
      </c>
      <c r="H34" s="3">
        <f t="shared" si="28"/>
        <v>3.8815204020590355E-2</v>
      </c>
      <c r="I34" s="3">
        <f t="shared" si="28"/>
        <v>3.8815204020590167E-2</v>
      </c>
      <c r="J34" s="3">
        <f t="shared" si="28"/>
        <v>3.8815204020588252E-2</v>
      </c>
      <c r="K34" s="3">
        <f t="shared" si="28"/>
        <v>3.8815204020569184E-2</v>
      </c>
      <c r="L34" s="3">
        <f t="shared" si="28"/>
        <v>3.8815204020378441E-2</v>
      </c>
      <c r="M34" s="3">
        <f t="shared" si="28"/>
        <v>3.8815204018471029E-2</v>
      </c>
      <c r="N34" s="3">
        <f t="shared" si="28"/>
        <v>3.8815203999396877E-2</v>
      </c>
      <c r="O34" s="3">
        <f t="shared" si="28"/>
        <v>3.8815203808655392E-2</v>
      </c>
      <c r="P34" s="3">
        <f t="shared" si="27"/>
        <v>3.881520190124061E-2</v>
      </c>
      <c r="Q34" s="3">
        <f t="shared" si="27"/>
        <v>3.8815182827097935E-2</v>
      </c>
      <c r="R34" s="3">
        <f t="shared" si="27"/>
        <v>3.8814992086186745E-2</v>
      </c>
      <c r="S34" s="3">
        <f t="shared" si="27"/>
        <v>3.88130847286264E-2</v>
      </c>
      <c r="T34" s="3">
        <f t="shared" si="27"/>
        <v>3.8794016307248248E-2</v>
      </c>
      <c r="U34" s="3">
        <f t="shared" si="27"/>
        <v>3.8603846580076075E-2</v>
      </c>
      <c r="V34" s="3">
        <f t="shared" si="27"/>
        <v>3.6752674691230003E-2</v>
      </c>
      <c r="W34" s="3">
        <f t="shared" si="27"/>
        <v>2.248395182656136E-2</v>
      </c>
      <c r="X34" s="3">
        <f t="shared" si="27"/>
        <v>1.6508575563931513E-4</v>
      </c>
      <c r="Y34" s="3">
        <f t="shared" si="27"/>
        <v>7.5175990725543915E-26</v>
      </c>
      <c r="Z34" s="3">
        <f t="shared" si="27"/>
        <v>2.8825360236964168E-239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7">
        <v>6.1857341077893112E-2</v>
      </c>
      <c r="C35" s="18">
        <f t="shared" si="3"/>
        <v>3.675792152056976E-2</v>
      </c>
      <c r="D35" s="17"/>
      <c r="F35" s="3">
        <f t="shared" si="28"/>
        <v>3.675792152056976E-2</v>
      </c>
      <c r="G35" s="3">
        <f t="shared" si="28"/>
        <v>3.675792152056976E-2</v>
      </c>
      <c r="H35" s="3">
        <f t="shared" si="28"/>
        <v>3.675792152056976E-2</v>
      </c>
      <c r="I35" s="3">
        <f t="shared" si="28"/>
        <v>3.6757921520569746E-2</v>
      </c>
      <c r="J35" s="3">
        <f t="shared" si="28"/>
        <v>3.6757921520569579E-2</v>
      </c>
      <c r="K35" s="3">
        <f t="shared" si="28"/>
        <v>3.6757921520567949E-2</v>
      </c>
      <c r="L35" s="3">
        <f t="shared" si="28"/>
        <v>3.6757921520551656E-2</v>
      </c>
      <c r="M35" s="3">
        <f t="shared" si="28"/>
        <v>3.675792152038871E-2</v>
      </c>
      <c r="N35" s="3">
        <f t="shared" si="28"/>
        <v>3.6757921518759257E-2</v>
      </c>
      <c r="O35" s="3">
        <f t="shared" si="28"/>
        <v>3.675792150246477E-2</v>
      </c>
      <c r="P35" s="3">
        <f t="shared" si="27"/>
        <v>3.6757921339519849E-2</v>
      </c>
      <c r="Q35" s="3">
        <f t="shared" si="27"/>
        <v>3.6757919710070711E-2</v>
      </c>
      <c r="R35" s="3">
        <f t="shared" si="27"/>
        <v>3.6757903415583285E-2</v>
      </c>
      <c r="S35" s="3">
        <f t="shared" si="27"/>
        <v>3.6757740471106318E-2</v>
      </c>
      <c r="T35" s="3">
        <f t="shared" si="27"/>
        <v>3.6756111066063572E-2</v>
      </c>
      <c r="U35" s="3">
        <f t="shared" si="27"/>
        <v>3.6739820987681873E-2</v>
      </c>
      <c r="V35" s="3">
        <f t="shared" si="27"/>
        <v>3.6577316757723875E-2</v>
      </c>
      <c r="W35" s="3">
        <f t="shared" si="27"/>
        <v>3.4991287064482901E-2</v>
      </c>
      <c r="X35" s="3">
        <f t="shared" si="27"/>
        <v>2.2461598297593994E-2</v>
      </c>
      <c r="Y35" s="3">
        <f t="shared" si="27"/>
        <v>2.6683822616376489E-4</v>
      </c>
      <c r="Z35" s="3">
        <f t="shared" si="27"/>
        <v>1.4939013989428748E-23</v>
      </c>
      <c r="AA35" s="3">
        <f t="shared" si="27"/>
        <v>4.519192321065844E-216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7">
        <v>5.6198653621566598E-2</v>
      </c>
      <c r="C36" s="18">
        <f t="shared" si="3"/>
        <v>3.3395319995761917E-2</v>
      </c>
      <c r="D36" s="17"/>
      <c r="F36" s="3">
        <f t="shared" si="28"/>
        <v>3.3395319995761917E-2</v>
      </c>
      <c r="G36" s="3">
        <f t="shared" si="28"/>
        <v>3.3395319995761917E-2</v>
      </c>
      <c r="H36" s="3">
        <f t="shared" si="28"/>
        <v>3.3395319995761917E-2</v>
      </c>
      <c r="I36" s="3">
        <f t="shared" si="28"/>
        <v>3.3395319995761917E-2</v>
      </c>
      <c r="J36" s="3">
        <f t="shared" si="28"/>
        <v>3.3395319995761903E-2</v>
      </c>
      <c r="K36" s="3">
        <f t="shared" si="28"/>
        <v>3.3395319995761771E-2</v>
      </c>
      <c r="L36" s="3">
        <f t="shared" si="28"/>
        <v>3.3395319995760432E-2</v>
      </c>
      <c r="M36" s="3">
        <f t="shared" si="28"/>
        <v>3.3395319995747082E-2</v>
      </c>
      <c r="N36" s="3">
        <f t="shared" si="28"/>
        <v>3.3395319995613536E-2</v>
      </c>
      <c r="O36" s="3">
        <f t="shared" si="28"/>
        <v>3.3395319994278104E-2</v>
      </c>
      <c r="P36" s="3">
        <f t="shared" si="27"/>
        <v>3.3395319980923772E-2</v>
      </c>
      <c r="Q36" s="3">
        <f t="shared" si="27"/>
        <v>3.3395319847380485E-2</v>
      </c>
      <c r="R36" s="3">
        <f t="shared" si="27"/>
        <v>3.3395318511947603E-2</v>
      </c>
      <c r="S36" s="3">
        <f t="shared" si="27"/>
        <v>3.3395305157621756E-2</v>
      </c>
      <c r="T36" s="3">
        <f t="shared" si="27"/>
        <v>3.3395171614656972E-2</v>
      </c>
      <c r="U36" s="3">
        <f t="shared" si="27"/>
        <v>3.3393836214379836E-2</v>
      </c>
      <c r="V36" s="3">
        <f t="shared" si="27"/>
        <v>3.3380485148242565E-2</v>
      </c>
      <c r="W36" s="3">
        <f t="shared" si="27"/>
        <v>3.3247267716244693E-2</v>
      </c>
      <c r="X36" s="3">
        <f t="shared" si="27"/>
        <v>3.1943987079280318E-2</v>
      </c>
      <c r="Y36" s="3">
        <f t="shared" si="27"/>
        <v>2.1415130829764331E-2</v>
      </c>
      <c r="Z36" s="3">
        <f t="shared" si="27"/>
        <v>3.9267824029818276E-4</v>
      </c>
      <c r="AA36" s="3">
        <f t="shared" si="27"/>
        <v>1.6873216463039928E-21</v>
      </c>
      <c r="AB36" s="3">
        <f t="shared" si="27"/>
        <v>3.6208313509432843E-195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7">
        <v>5.9182080231558333E-2</v>
      </c>
      <c r="C37" s="18">
        <f t="shared" si="3"/>
        <v>3.5168182509434494E-2</v>
      </c>
      <c r="D37" s="17"/>
      <c r="F37" s="3">
        <f t="shared" si="28"/>
        <v>3.5168182509434494E-2</v>
      </c>
      <c r="G37" s="3">
        <f t="shared" si="28"/>
        <v>3.5168182509434494E-2</v>
      </c>
      <c r="H37" s="3">
        <f t="shared" si="28"/>
        <v>3.5168182509434494E-2</v>
      </c>
      <c r="I37" s="3">
        <f t="shared" si="28"/>
        <v>3.5168182509434494E-2</v>
      </c>
      <c r="J37" s="3">
        <f t="shared" si="28"/>
        <v>3.5168182509434494E-2</v>
      </c>
      <c r="K37" s="3">
        <f t="shared" si="28"/>
        <v>3.516818250943448E-2</v>
      </c>
      <c r="L37" s="3">
        <f t="shared" si="28"/>
        <v>3.5168182509434355E-2</v>
      </c>
      <c r="M37" s="3">
        <f t="shared" si="28"/>
        <v>3.5168182509433085E-2</v>
      </c>
      <c r="N37" s="3">
        <f t="shared" si="28"/>
        <v>3.5168182509420401E-2</v>
      </c>
      <c r="O37" s="3">
        <f t="shared" si="28"/>
        <v>3.5168182509293537E-2</v>
      </c>
      <c r="P37" s="3">
        <f t="shared" si="27"/>
        <v>3.5168182508024913E-2</v>
      </c>
      <c r="Q37" s="3">
        <f t="shared" si="27"/>
        <v>3.5168182495338672E-2</v>
      </c>
      <c r="R37" s="3">
        <f t="shared" si="27"/>
        <v>3.5168182368476256E-2</v>
      </c>
      <c r="S37" s="3">
        <f t="shared" si="27"/>
        <v>3.5168181099852112E-2</v>
      </c>
      <c r="T37" s="3">
        <f t="shared" si="27"/>
        <v>3.5168168413613213E-2</v>
      </c>
      <c r="U37" s="3">
        <f t="shared" si="27"/>
        <v>3.516804155147589E-2</v>
      </c>
      <c r="V37" s="3">
        <f t="shared" si="27"/>
        <v>3.516677295527209E-2</v>
      </c>
      <c r="W37" s="3">
        <f t="shared" si="27"/>
        <v>3.5154089509834771E-2</v>
      </c>
      <c r="X37" s="3">
        <f t="shared" si="27"/>
        <v>3.502750637996984E-2</v>
      </c>
      <c r="Y37" s="3">
        <f t="shared" si="27"/>
        <v>3.378647530055863E-2</v>
      </c>
      <c r="Z37" s="3">
        <f t="shared" si="27"/>
        <v>2.3554807107154418E-2</v>
      </c>
      <c r="AA37" s="3">
        <f t="shared" si="27"/>
        <v>6.3891958353104765E-4</v>
      </c>
      <c r="AB37" s="3">
        <f t="shared" si="27"/>
        <v>1.3775668327588056E-19</v>
      </c>
      <c r="AC37" s="3">
        <f t="shared" si="27"/>
        <v>2.9907317240366583E-176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7">
        <v>3.4765851005133415E-2</v>
      </c>
      <c r="C38" s="18">
        <f t="shared" si="3"/>
        <v>2.0659155414283158E-2</v>
      </c>
      <c r="D38" s="17"/>
      <c r="F38" s="3">
        <f t="shared" si="28"/>
        <v>2.0659155414283158E-2</v>
      </c>
      <c r="G38" s="3">
        <f t="shared" si="28"/>
        <v>2.0659155414283158E-2</v>
      </c>
      <c r="H38" s="3">
        <f t="shared" si="28"/>
        <v>2.0659155414283158E-2</v>
      </c>
      <c r="I38" s="3">
        <f t="shared" si="28"/>
        <v>2.0659155414283158E-2</v>
      </c>
      <c r="J38" s="3">
        <f t="shared" si="28"/>
        <v>2.0659155414283158E-2</v>
      </c>
      <c r="K38" s="3">
        <f t="shared" si="28"/>
        <v>2.0659155414283158E-2</v>
      </c>
      <c r="L38" s="3">
        <f t="shared" si="28"/>
        <v>2.0659155414283151E-2</v>
      </c>
      <c r="M38" s="3">
        <f t="shared" si="28"/>
        <v>2.0659155414283082E-2</v>
      </c>
      <c r="N38" s="3">
        <f t="shared" si="28"/>
        <v>2.0659155414282409E-2</v>
      </c>
      <c r="O38" s="3">
        <f t="shared" si="28"/>
        <v>2.0659155414275689E-2</v>
      </c>
      <c r="P38" s="3">
        <f t="shared" si="27"/>
        <v>2.0659155414208461E-2</v>
      </c>
      <c r="Q38" s="3">
        <f t="shared" si="27"/>
        <v>2.0659155413536197E-2</v>
      </c>
      <c r="R38" s="3">
        <f t="shared" si="27"/>
        <v>2.0659155406813515E-2</v>
      </c>
      <c r="S38" s="3">
        <f t="shared" si="27"/>
        <v>2.0659155339586753E-2</v>
      </c>
      <c r="T38" s="3">
        <f t="shared" si="27"/>
        <v>2.0659154667319119E-2</v>
      </c>
      <c r="U38" s="3">
        <f t="shared" si="27"/>
        <v>2.0659147944644001E-2</v>
      </c>
      <c r="V38" s="3">
        <f t="shared" si="27"/>
        <v>2.0659080718013118E-2</v>
      </c>
      <c r="W38" s="3">
        <f t="shared" si="27"/>
        <v>2.0658408463736028E-2</v>
      </c>
      <c r="X38" s="3">
        <f t="shared" si="27"/>
        <v>2.0651687123995125E-2</v>
      </c>
      <c r="Y38" s="3">
        <f t="shared" si="27"/>
        <v>2.0584593884863417E-2</v>
      </c>
      <c r="Z38" s="3">
        <f t="shared" si="27"/>
        <v>1.9925533899711606E-2</v>
      </c>
      <c r="AA38" s="3">
        <f t="shared" si="27"/>
        <v>1.4390855272020118E-2</v>
      </c>
      <c r="AB38" s="3">
        <f t="shared" si="27"/>
        <v>5.5571611448511067E-4</v>
      </c>
      <c r="AC38" s="3">
        <f t="shared" si="27"/>
        <v>4.0974799791827701E-18</v>
      </c>
      <c r="AD38" s="3">
        <f t="shared" si="27"/>
        <v>1.9460560180191825E-159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7">
        <v>5.0867256118756921E-2</v>
      </c>
      <c r="C39" s="18">
        <f t="shared" si="3"/>
        <v>3.0227206274926977E-2</v>
      </c>
      <c r="D39" s="17"/>
      <c r="F39" s="3">
        <f t="shared" si="28"/>
        <v>3.0227206274926977E-2</v>
      </c>
      <c r="G39" s="3">
        <f t="shared" si="28"/>
        <v>3.0227206274926977E-2</v>
      </c>
      <c r="H39" s="3">
        <f t="shared" si="28"/>
        <v>3.0227206274926977E-2</v>
      </c>
      <c r="I39" s="3">
        <f t="shared" si="28"/>
        <v>3.0227206274926977E-2</v>
      </c>
      <c r="J39" s="3">
        <f t="shared" si="28"/>
        <v>3.0227206274926977E-2</v>
      </c>
      <c r="K39" s="3">
        <f t="shared" si="28"/>
        <v>3.0227206274926977E-2</v>
      </c>
      <c r="L39" s="3">
        <f t="shared" si="28"/>
        <v>3.0227206274926973E-2</v>
      </c>
      <c r="M39" s="3">
        <f t="shared" si="28"/>
        <v>3.0227206274926945E-2</v>
      </c>
      <c r="N39" s="3">
        <f t="shared" si="28"/>
        <v>3.0227206274926675E-2</v>
      </c>
      <c r="O39" s="3">
        <f t="shared" si="28"/>
        <v>3.0227206274923951E-2</v>
      </c>
      <c r="P39" s="3">
        <f t="shared" si="27"/>
        <v>3.0227206274896751E-2</v>
      </c>
      <c r="Q39" s="3">
        <f t="shared" si="27"/>
        <v>3.0227206274624704E-2</v>
      </c>
      <c r="R39" s="3">
        <f t="shared" si="27"/>
        <v>3.0227206271904256E-2</v>
      </c>
      <c r="S39" s="3">
        <f t="shared" si="27"/>
        <v>3.022720624469977E-2</v>
      </c>
      <c r="T39" s="3">
        <f t="shared" si="27"/>
        <v>3.0227205972654915E-2</v>
      </c>
      <c r="U39" s="3">
        <f t="shared" si="27"/>
        <v>3.0227203252206503E-2</v>
      </c>
      <c r="V39" s="3">
        <f t="shared" si="27"/>
        <v>3.0227176047735817E-2</v>
      </c>
      <c r="W39" s="3">
        <f t="shared" si="27"/>
        <v>3.0226904004375582E-2</v>
      </c>
      <c r="X39" s="3">
        <f t="shared" si="27"/>
        <v>3.0224183705430476E-2</v>
      </c>
      <c r="Y39" s="3">
        <f t="shared" si="27"/>
        <v>3.0196994177218578E-2</v>
      </c>
      <c r="Z39" s="3">
        <f t="shared" si="27"/>
        <v>2.9926440547193265E-2</v>
      </c>
      <c r="AA39" s="3">
        <f t="shared" si="27"/>
        <v>2.735070728024528E-2</v>
      </c>
      <c r="AB39" s="3">
        <f t="shared" si="27"/>
        <v>1.1119967752594051E-2</v>
      </c>
      <c r="AC39" s="3">
        <f t="shared" si="27"/>
        <v>1.3723130417978262E-6</v>
      </c>
      <c r="AD39" s="3">
        <f t="shared" si="27"/>
        <v>1.1244750388558211E-45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7">
        <v>6.3247414010955127E-2</v>
      </c>
      <c r="C40" s="18">
        <f t="shared" si="3"/>
        <v>3.7583954306508939E-2</v>
      </c>
      <c r="D40" s="17"/>
      <c r="F40" s="3">
        <f t="shared" si="28"/>
        <v>3.7583954306508939E-2</v>
      </c>
      <c r="G40" s="3">
        <f t="shared" si="28"/>
        <v>3.7583954306508939E-2</v>
      </c>
      <c r="H40" s="3">
        <f t="shared" si="28"/>
        <v>3.7583954306508939E-2</v>
      </c>
      <c r="I40" s="3">
        <f t="shared" si="28"/>
        <v>3.7583954306508939E-2</v>
      </c>
      <c r="J40" s="3">
        <f t="shared" si="28"/>
        <v>3.7583954306508939E-2</v>
      </c>
      <c r="K40" s="3">
        <f t="shared" si="28"/>
        <v>3.7583954306508939E-2</v>
      </c>
      <c r="L40" s="3">
        <f t="shared" si="28"/>
        <v>3.7583954306508939E-2</v>
      </c>
      <c r="M40" s="3">
        <f t="shared" si="28"/>
        <v>3.7583954306508932E-2</v>
      </c>
      <c r="N40" s="3">
        <f t="shared" si="28"/>
        <v>3.7583954306508904E-2</v>
      </c>
      <c r="O40" s="3">
        <f t="shared" si="28"/>
        <v>3.7583954306508564E-2</v>
      </c>
      <c r="P40" s="3">
        <f t="shared" si="27"/>
        <v>3.7583954306505178E-2</v>
      </c>
      <c r="Q40" s="3">
        <f t="shared" si="27"/>
        <v>3.7583954306471358E-2</v>
      </c>
      <c r="R40" s="3">
        <f t="shared" si="27"/>
        <v>3.7583954306133101E-2</v>
      </c>
      <c r="S40" s="3">
        <f t="shared" si="27"/>
        <v>3.7583954302750543E-2</v>
      </c>
      <c r="T40" s="3">
        <f t="shared" si="27"/>
        <v>3.7583954268924989E-2</v>
      </c>
      <c r="U40" s="3">
        <f t="shared" si="27"/>
        <v>3.7583953930669399E-2</v>
      </c>
      <c r="V40" s="3">
        <f t="shared" si="27"/>
        <v>3.7583950548113698E-2</v>
      </c>
      <c r="W40" s="3">
        <f t="shared" si="27"/>
        <v>3.7583916722573427E-2</v>
      </c>
      <c r="X40" s="3">
        <f t="shared" si="27"/>
        <v>3.7583578468845066E-2</v>
      </c>
      <c r="Y40" s="3">
        <f t="shared" si="27"/>
        <v>3.7580196098991797E-2</v>
      </c>
      <c r="Z40" s="3">
        <f t="shared" si="27"/>
        <v>3.7546389137917156E-2</v>
      </c>
      <c r="AA40" s="3">
        <f t="shared" si="27"/>
        <v>3.7209987712795503E-2</v>
      </c>
      <c r="AB40" s="3">
        <f t="shared" si="27"/>
        <v>3.4007368174283029E-2</v>
      </c>
      <c r="AC40" s="3">
        <f t="shared" si="27"/>
        <v>1.3826364107291532E-2</v>
      </c>
      <c r="AD40" s="3">
        <f t="shared" si="27"/>
        <v>1.706308885711946E-6</v>
      </c>
      <c r="AE40" s="3">
        <f t="shared" si="27"/>
        <v>1.3981516549950876E-45</v>
      </c>
      <c r="AF40" s="3">
        <f t="shared" si="29"/>
        <v>0</v>
      </c>
      <c r="AG40" s="3">
        <f t="shared" si="29"/>
        <v>0</v>
      </c>
      <c r="AH40" s="3">
        <f t="shared" si="29"/>
        <v>0</v>
      </c>
      <c r="AI40" s="3">
        <f t="shared" si="29"/>
        <v>0</v>
      </c>
      <c r="AJ40" s="3">
        <f t="shared" si="29"/>
        <v>0</v>
      </c>
    </row>
    <row r="41" spans="1:36" x14ac:dyDescent="0.25">
      <c r="A41" s="3">
        <f t="shared" si="30"/>
        <v>1000000000</v>
      </c>
      <c r="B41" s="17">
        <v>6.528752048401841E-2</v>
      </c>
      <c r="C41" s="18">
        <f t="shared" si="3"/>
        <v>3.8796261080834012E-2</v>
      </c>
      <c r="D41" s="17"/>
      <c r="F41" s="3">
        <f t="shared" si="28"/>
        <v>3.8796261080834012E-2</v>
      </c>
      <c r="G41" s="3">
        <f t="shared" si="28"/>
        <v>3.8796261080834012E-2</v>
      </c>
      <c r="H41" s="3">
        <f t="shared" si="28"/>
        <v>3.8796261080834012E-2</v>
      </c>
      <c r="I41" s="3">
        <f t="shared" si="28"/>
        <v>3.8796261080834012E-2</v>
      </c>
      <c r="J41" s="3">
        <f t="shared" si="28"/>
        <v>3.8796261080834012E-2</v>
      </c>
      <c r="K41" s="3">
        <f t="shared" si="28"/>
        <v>3.8796261080834012E-2</v>
      </c>
      <c r="L41" s="3">
        <f t="shared" si="28"/>
        <v>3.8796261080834012E-2</v>
      </c>
      <c r="M41" s="3">
        <f t="shared" si="28"/>
        <v>3.8796261080834012E-2</v>
      </c>
      <c r="N41" s="3">
        <f t="shared" si="28"/>
        <v>3.8796261080834005E-2</v>
      </c>
      <c r="O41" s="3">
        <f t="shared" si="28"/>
        <v>3.879626108083397E-2</v>
      </c>
      <c r="P41" s="3">
        <f t="shared" si="27"/>
        <v>3.8796261080833623E-2</v>
      </c>
      <c r="Q41" s="3">
        <f t="shared" si="27"/>
        <v>3.8796261080830133E-2</v>
      </c>
      <c r="R41" s="3">
        <f t="shared" si="27"/>
        <v>3.8796261080795216E-2</v>
      </c>
      <c r="S41" s="3">
        <f t="shared" si="27"/>
        <v>3.8796261080446051E-2</v>
      </c>
      <c r="T41" s="3">
        <f t="shared" si="27"/>
        <v>3.8796261076954386E-2</v>
      </c>
      <c r="U41" s="3">
        <f t="shared" si="27"/>
        <v>3.8796261042037754E-2</v>
      </c>
      <c r="V41" s="3">
        <f t="shared" si="27"/>
        <v>3.8796260692871405E-2</v>
      </c>
      <c r="W41" s="3">
        <f t="shared" si="27"/>
        <v>3.8796257201208099E-2</v>
      </c>
      <c r="X41" s="3">
        <f t="shared" si="27"/>
        <v>3.8796222284592327E-2</v>
      </c>
      <c r="Y41" s="3">
        <f t="shared" si="27"/>
        <v>3.8795873120163013E-2</v>
      </c>
      <c r="Z41" s="3">
        <f t="shared" si="27"/>
        <v>3.8792381648700767E-2</v>
      </c>
      <c r="AA41" s="3">
        <f t="shared" si="27"/>
        <v>3.8757484211419294E-2</v>
      </c>
      <c r="AB41" s="3">
        <f t="shared" si="27"/>
        <v>3.8410231833169037E-2</v>
      </c>
      <c r="AC41" s="3">
        <f t="shared" si="27"/>
        <v>3.5104308705830832E-2</v>
      </c>
      <c r="AD41" s="3">
        <f t="shared" si="27"/>
        <v>1.4272346845958593E-2</v>
      </c>
      <c r="AE41" s="3">
        <f t="shared" si="27"/>
        <v>1.7613475281168889E-6</v>
      </c>
      <c r="AF41" s="3">
        <f t="shared" si="29"/>
        <v>1.4432503880624275E-45</v>
      </c>
      <c r="AG41" s="3">
        <f t="shared" si="29"/>
        <v>0</v>
      </c>
      <c r="AH41" s="3">
        <f t="shared" si="29"/>
        <v>0</v>
      </c>
      <c r="AI41" s="3">
        <f t="shared" si="29"/>
        <v>0</v>
      </c>
      <c r="AJ41" s="3">
        <f t="shared" si="29"/>
        <v>0</v>
      </c>
    </row>
    <row r="42" spans="1:36" x14ac:dyDescent="0.25">
      <c r="A42" s="3">
        <f t="shared" si="30"/>
        <v>10000000000</v>
      </c>
      <c r="B42" s="17">
        <v>7.4778089855683405E-2</v>
      </c>
      <c r="C42" s="18">
        <f t="shared" si="3"/>
        <v>4.443590866461708E-2</v>
      </c>
      <c r="D42" s="17"/>
      <c r="F42" s="3">
        <f t="shared" si="28"/>
        <v>4.443590866461708E-2</v>
      </c>
      <c r="G42" s="3">
        <f t="shared" si="28"/>
        <v>4.443590866461708E-2</v>
      </c>
      <c r="H42" s="3">
        <f t="shared" si="28"/>
        <v>4.443590866461708E-2</v>
      </c>
      <c r="I42" s="3">
        <f t="shared" si="28"/>
        <v>4.443590866461708E-2</v>
      </c>
      <c r="J42" s="3">
        <f t="shared" si="28"/>
        <v>4.443590866461708E-2</v>
      </c>
      <c r="K42" s="3">
        <f t="shared" si="28"/>
        <v>4.443590866461708E-2</v>
      </c>
      <c r="L42" s="3">
        <f t="shared" si="28"/>
        <v>4.443590866461708E-2</v>
      </c>
      <c r="M42" s="3">
        <f t="shared" si="28"/>
        <v>4.443590866461708E-2</v>
      </c>
      <c r="N42" s="3">
        <f t="shared" si="28"/>
        <v>4.443590866461708E-2</v>
      </c>
      <c r="O42" s="3">
        <f t="shared" si="28"/>
        <v>4.4435908664617073E-2</v>
      </c>
      <c r="P42" s="3">
        <f t="shared" si="27"/>
        <v>4.4435908664617038E-2</v>
      </c>
      <c r="Q42" s="3">
        <f t="shared" si="27"/>
        <v>4.4435908664616636E-2</v>
      </c>
      <c r="R42" s="3">
        <f t="shared" si="27"/>
        <v>4.4435908664612632E-2</v>
      </c>
      <c r="S42" s="3">
        <f t="shared" si="27"/>
        <v>4.4435908664572643E-2</v>
      </c>
      <c r="T42" s="3">
        <f t="shared" si="27"/>
        <v>4.443590866417272E-2</v>
      </c>
      <c r="U42" s="3">
        <f t="shared" si="27"/>
        <v>4.4435908660173488E-2</v>
      </c>
      <c r="V42" s="3">
        <f t="shared" si="27"/>
        <v>4.4435908620181173E-2</v>
      </c>
      <c r="W42" s="3">
        <f t="shared" si="27"/>
        <v>4.4435908220257996E-2</v>
      </c>
      <c r="X42" s="3">
        <f t="shared" si="27"/>
        <v>4.4435904221026438E-2</v>
      </c>
      <c r="Y42" s="3">
        <f t="shared" si="27"/>
        <v>4.4435864228730637E-2</v>
      </c>
      <c r="Z42" s="3">
        <f t="shared" si="27"/>
        <v>4.443546430775222E-2</v>
      </c>
      <c r="AA42" s="3">
        <f t="shared" si="27"/>
        <v>4.4431465295922755E-2</v>
      </c>
      <c r="AB42" s="3">
        <f t="shared" si="27"/>
        <v>4.4391494966502659E-2</v>
      </c>
      <c r="AC42" s="3">
        <f t="shared" si="27"/>
        <v>4.3993763985897355E-2</v>
      </c>
      <c r="AD42" s="3">
        <f t="shared" si="27"/>
        <v>4.0207272864173839E-2</v>
      </c>
      <c r="AE42" s="3">
        <f t="shared" si="27"/>
        <v>1.6347057247484583E-2</v>
      </c>
      <c r="AF42" s="3">
        <f t="shared" si="29"/>
        <v>2.0173871323058075E-6</v>
      </c>
      <c r="AG42" s="3">
        <f t="shared" si="29"/>
        <v>1.653049562958981E-45</v>
      </c>
      <c r="AH42" s="3">
        <f t="shared" si="29"/>
        <v>0</v>
      </c>
      <c r="AI42" s="3">
        <f t="shared" si="29"/>
        <v>0</v>
      </c>
      <c r="AJ42" s="3">
        <f t="shared" si="29"/>
        <v>0</v>
      </c>
    </row>
    <row r="43" spans="1:36" x14ac:dyDescent="0.25">
      <c r="A43" s="3">
        <f t="shared" si="30"/>
        <v>100000000000</v>
      </c>
      <c r="B43" s="17">
        <v>8.7913204996072858E-2</v>
      </c>
      <c r="C43" s="18">
        <f t="shared" si="3"/>
        <v>5.224128023540766E-2</v>
      </c>
      <c r="D43" s="17"/>
      <c r="F43" s="3">
        <f t="shared" si="28"/>
        <v>5.224128023540766E-2</v>
      </c>
      <c r="G43" s="3">
        <f t="shared" si="28"/>
        <v>5.224128023540766E-2</v>
      </c>
      <c r="H43" s="3">
        <f t="shared" si="28"/>
        <v>5.224128023540766E-2</v>
      </c>
      <c r="I43" s="3">
        <f t="shared" si="28"/>
        <v>5.224128023540766E-2</v>
      </c>
      <c r="J43" s="3">
        <f t="shared" si="28"/>
        <v>5.224128023540766E-2</v>
      </c>
      <c r="K43" s="3">
        <f t="shared" si="28"/>
        <v>5.224128023540766E-2</v>
      </c>
      <c r="L43" s="3">
        <f t="shared" si="28"/>
        <v>5.224128023540766E-2</v>
      </c>
      <c r="M43" s="3">
        <f t="shared" si="28"/>
        <v>5.224128023540766E-2</v>
      </c>
      <c r="N43" s="3">
        <f t="shared" si="28"/>
        <v>5.224128023540766E-2</v>
      </c>
      <c r="O43" s="3">
        <f t="shared" si="28"/>
        <v>5.224128023540766E-2</v>
      </c>
      <c r="P43" s="3">
        <f t="shared" si="27"/>
        <v>5.2241280235407653E-2</v>
      </c>
      <c r="Q43" s="3">
        <f t="shared" si="27"/>
        <v>5.2241280235407604E-2</v>
      </c>
      <c r="R43" s="3">
        <f t="shared" si="27"/>
        <v>5.2241280235407139E-2</v>
      </c>
      <c r="S43" s="3">
        <f t="shared" si="27"/>
        <v>5.2241280235402435E-2</v>
      </c>
      <c r="T43" s="3">
        <f t="shared" si="27"/>
        <v>5.2241280235355417E-2</v>
      </c>
      <c r="U43" s="3">
        <f t="shared" si="27"/>
        <v>5.2241280234885244E-2</v>
      </c>
      <c r="V43" s="3">
        <f t="shared" si="27"/>
        <v>5.2241280230183533E-2</v>
      </c>
      <c r="W43" s="3">
        <f t="shared" si="27"/>
        <v>5.2241280183166379E-2</v>
      </c>
      <c r="X43" s="3">
        <f t="shared" si="27"/>
        <v>5.2241279712994859E-2</v>
      </c>
      <c r="Y43" s="3">
        <f t="shared" si="27"/>
        <v>5.2241275011279897E-2</v>
      </c>
      <c r="Z43" s="3">
        <f t="shared" si="27"/>
        <v>5.2241227994153545E-2</v>
      </c>
      <c r="AA43" s="3">
        <f t="shared" si="27"/>
        <v>5.2240757825217359E-2</v>
      </c>
      <c r="AB43" s="3">
        <f t="shared" si="27"/>
        <v>5.2236056368581814E-2</v>
      </c>
      <c r="AC43" s="3">
        <f t="shared" si="27"/>
        <v>5.2189065067107666E-2</v>
      </c>
      <c r="AD43" s="3">
        <f t="shared" si="27"/>
        <v>5.1721470811909052E-2</v>
      </c>
      <c r="AE43" s="3">
        <f t="shared" si="27"/>
        <v>4.7269865123099268E-2</v>
      </c>
      <c r="AF43" s="3">
        <f t="shared" si="29"/>
        <v>1.9218492979082485E-2</v>
      </c>
      <c r="AG43" s="3">
        <f t="shared" si="29"/>
        <v>2.3717504533897961E-6</v>
      </c>
      <c r="AH43" s="3">
        <f t="shared" si="29"/>
        <v>1.9434153156031216E-45</v>
      </c>
      <c r="AI43" s="3">
        <f t="shared" si="29"/>
        <v>0</v>
      </c>
      <c r="AJ43" s="3">
        <f t="shared" si="29"/>
        <v>0</v>
      </c>
    </row>
    <row r="44" spans="1:36" x14ac:dyDescent="0.25">
      <c r="A44" s="3">
        <f t="shared" si="30"/>
        <v>1000000000000</v>
      </c>
      <c r="B44" s="17">
        <v>9.6919150844107682E-2</v>
      </c>
      <c r="C44" s="18">
        <f t="shared" si="3"/>
        <v>5.759294658465644E-2</v>
      </c>
      <c r="D44" s="17"/>
      <c r="F44" s="3">
        <f t="shared" si="28"/>
        <v>5.759294658465644E-2</v>
      </c>
      <c r="G44" s="3">
        <f t="shared" si="28"/>
        <v>5.759294658465644E-2</v>
      </c>
      <c r="H44" s="3">
        <f t="shared" si="28"/>
        <v>5.759294658465644E-2</v>
      </c>
      <c r="I44" s="3">
        <f t="shared" si="28"/>
        <v>5.759294658465644E-2</v>
      </c>
      <c r="J44" s="3">
        <f t="shared" si="28"/>
        <v>5.759294658465644E-2</v>
      </c>
      <c r="K44" s="3">
        <f t="shared" si="28"/>
        <v>5.759294658465644E-2</v>
      </c>
      <c r="L44" s="3">
        <f t="shared" si="28"/>
        <v>5.759294658465644E-2</v>
      </c>
      <c r="M44" s="3">
        <f t="shared" si="28"/>
        <v>5.759294658465644E-2</v>
      </c>
      <c r="N44" s="3">
        <f t="shared" si="28"/>
        <v>5.759294658465644E-2</v>
      </c>
      <c r="O44" s="3">
        <f t="shared" si="28"/>
        <v>5.759294658465644E-2</v>
      </c>
      <c r="P44" s="3">
        <f t="shared" si="27"/>
        <v>5.759294658465644E-2</v>
      </c>
      <c r="Q44" s="3">
        <f t="shared" si="27"/>
        <v>5.7592946584656433E-2</v>
      </c>
      <c r="R44" s="3">
        <f t="shared" si="27"/>
        <v>5.7592946584656385E-2</v>
      </c>
      <c r="S44" s="3">
        <f t="shared" si="27"/>
        <v>5.7592946584655864E-2</v>
      </c>
      <c r="T44" s="3">
        <f t="shared" si="27"/>
        <v>5.7592946584650681E-2</v>
      </c>
      <c r="U44" s="3">
        <f t="shared" si="27"/>
        <v>5.7592946584598848E-2</v>
      </c>
      <c r="V44" s="3">
        <f t="shared" si="27"/>
        <v>5.7592946584080512E-2</v>
      </c>
      <c r="W44" s="3">
        <f t="shared" si="27"/>
        <v>5.7592946578897145E-2</v>
      </c>
      <c r="X44" s="3">
        <f t="shared" si="27"/>
        <v>5.7592946527063496E-2</v>
      </c>
      <c r="Y44" s="3">
        <f t="shared" si="27"/>
        <v>5.7592946008726977E-2</v>
      </c>
      <c r="Z44" s="3">
        <f t="shared" si="27"/>
        <v>5.7592940825362073E-2</v>
      </c>
      <c r="AA44" s="3">
        <f t="shared" si="27"/>
        <v>5.7592888991738651E-2</v>
      </c>
      <c r="AB44" s="3">
        <f t="shared" si="27"/>
        <v>5.7592370658070234E-2</v>
      </c>
      <c r="AC44" s="3">
        <f t="shared" si="27"/>
        <v>5.7587187577953107E-2</v>
      </c>
      <c r="AD44" s="3">
        <f t="shared" si="27"/>
        <v>5.7535382424948656E-2</v>
      </c>
      <c r="AE44" s="3">
        <f t="shared" si="27"/>
        <v>5.7019887191263829E-2</v>
      </c>
      <c r="AF44" s="3">
        <f t="shared" si="29"/>
        <v>5.2112253084743466E-2</v>
      </c>
      <c r="AG44" s="3">
        <f t="shared" si="29"/>
        <v>2.118726100498014E-2</v>
      </c>
      <c r="AH44" s="3">
        <f t="shared" si="29"/>
        <v>2.6147157297579445E-6</v>
      </c>
      <c r="AI44" s="3">
        <f t="shared" si="29"/>
        <v>2.142501369778317E-45</v>
      </c>
      <c r="AJ44" s="3">
        <f t="shared" si="29"/>
        <v>0</v>
      </c>
    </row>
    <row r="45" spans="1:36" x14ac:dyDescent="0.25">
      <c r="A45" s="3">
        <f t="shared" si="30"/>
        <v>10000000000000</v>
      </c>
      <c r="B45" s="17">
        <v>9.1162413557417027E-2</v>
      </c>
      <c r="C45" s="18">
        <f t="shared" si="3"/>
        <v>5.4172080221644638E-2</v>
      </c>
      <c r="D45" s="17"/>
      <c r="F45" s="3">
        <f t="shared" si="28"/>
        <v>5.4172080221644638E-2</v>
      </c>
      <c r="G45" s="3">
        <f t="shared" si="28"/>
        <v>5.4172080221644638E-2</v>
      </c>
      <c r="H45" s="3">
        <f t="shared" si="28"/>
        <v>5.4172080221644638E-2</v>
      </c>
      <c r="I45" s="3">
        <f t="shared" si="28"/>
        <v>5.4172080221644638E-2</v>
      </c>
      <c r="J45" s="3">
        <f t="shared" si="28"/>
        <v>5.4172080221644638E-2</v>
      </c>
      <c r="K45" s="3">
        <f t="shared" si="28"/>
        <v>5.4172080221644638E-2</v>
      </c>
      <c r="L45" s="3">
        <f t="shared" si="28"/>
        <v>5.4172080221644638E-2</v>
      </c>
      <c r="M45" s="3">
        <f t="shared" si="28"/>
        <v>5.4172080221644638E-2</v>
      </c>
      <c r="N45" s="3">
        <f t="shared" si="28"/>
        <v>5.4172080221644638E-2</v>
      </c>
      <c r="O45" s="3">
        <f t="shared" si="28"/>
        <v>5.4172080221644638E-2</v>
      </c>
      <c r="P45" s="3">
        <f t="shared" si="27"/>
        <v>5.4172080221644638E-2</v>
      </c>
      <c r="Q45" s="3">
        <f t="shared" si="27"/>
        <v>5.4172080221644638E-2</v>
      </c>
      <c r="R45" s="3">
        <f t="shared" si="27"/>
        <v>5.4172080221644631E-2</v>
      </c>
      <c r="S45" s="3">
        <f t="shared" si="27"/>
        <v>5.4172080221644582E-2</v>
      </c>
      <c r="T45" s="3">
        <f t="shared" si="27"/>
        <v>5.4172080221644096E-2</v>
      </c>
      <c r="U45" s="3">
        <f t="shared" si="27"/>
        <v>5.4172080221639218E-2</v>
      </c>
      <c r="V45" s="3">
        <f t="shared" si="27"/>
        <v>5.4172080221590466E-2</v>
      </c>
      <c r="W45" s="3">
        <f t="shared" si="27"/>
        <v>5.4172080221102918E-2</v>
      </c>
      <c r="X45" s="3">
        <f t="shared" si="27"/>
        <v>5.4172080216227429E-2</v>
      </c>
      <c r="Y45" s="3">
        <f t="shared" si="27"/>
        <v>5.4172080167472561E-2</v>
      </c>
      <c r="Z45" s="3">
        <f t="shared" si="27"/>
        <v>5.4172079679923837E-2</v>
      </c>
      <c r="AA45" s="3">
        <f t="shared" si="27"/>
        <v>5.4172074804436886E-2</v>
      </c>
      <c r="AB45" s="3">
        <f t="shared" si="27"/>
        <v>5.4172026049591503E-2</v>
      </c>
      <c r="AC45" s="3">
        <f t="shared" si="27"/>
        <v>5.4171538503551019E-2</v>
      </c>
      <c r="AD45" s="3">
        <f t="shared" si="27"/>
        <v>5.4166663284473844E-2</v>
      </c>
      <c r="AE45" s="3">
        <f t="shared" si="27"/>
        <v>5.4117935218436684E-2</v>
      </c>
      <c r="AF45" s="3">
        <f t="shared" si="29"/>
        <v>5.3633059017285871E-2</v>
      </c>
      <c r="AG45" s="3">
        <f t="shared" si="29"/>
        <v>4.9016925197389802E-2</v>
      </c>
      <c r="AH45" s="3">
        <f t="shared" si="29"/>
        <v>1.9928794599033173E-2</v>
      </c>
      <c r="AI45" s="3">
        <f t="shared" si="29"/>
        <v>2.4594086371503615E-6</v>
      </c>
      <c r="AJ45" s="3">
        <f t="shared" si="29"/>
        <v>2.015242542036137E-45</v>
      </c>
    </row>
    <row r="46" spans="1:36" x14ac:dyDescent="0.25">
      <c r="A46" s="3">
        <f t="shared" si="30"/>
        <v>100000000000000</v>
      </c>
      <c r="B46" s="17">
        <v>6.5211909211800187E-2</v>
      </c>
      <c r="C46" s="18">
        <f t="shared" si="3"/>
        <v>3.8751330064371987E-2</v>
      </c>
      <c r="D46" s="17"/>
      <c r="F46" s="3">
        <f t="shared" si="28"/>
        <v>3.8751330064371987E-2</v>
      </c>
      <c r="G46" s="3">
        <f t="shared" si="28"/>
        <v>3.8751330064371987E-2</v>
      </c>
      <c r="H46" s="3">
        <f t="shared" si="28"/>
        <v>3.8751330064371987E-2</v>
      </c>
      <c r="I46" s="3">
        <f t="shared" si="28"/>
        <v>3.8751330064371987E-2</v>
      </c>
      <c r="J46" s="3">
        <f t="shared" si="28"/>
        <v>3.8751330064371987E-2</v>
      </c>
      <c r="K46" s="3">
        <f t="shared" si="28"/>
        <v>3.8751330064371987E-2</v>
      </c>
      <c r="L46" s="3">
        <f t="shared" si="28"/>
        <v>3.8751330064371987E-2</v>
      </c>
      <c r="M46" s="3">
        <f t="shared" si="28"/>
        <v>3.8751330064371987E-2</v>
      </c>
      <c r="N46" s="3">
        <f t="shared" si="28"/>
        <v>3.8751330064371987E-2</v>
      </c>
      <c r="O46" s="3">
        <f t="shared" si="28"/>
        <v>3.8751330064371987E-2</v>
      </c>
      <c r="P46" s="3">
        <f t="shared" si="27"/>
        <v>3.8751330064371987E-2</v>
      </c>
      <c r="Q46" s="3">
        <f t="shared" si="27"/>
        <v>3.8751330064371987E-2</v>
      </c>
      <c r="R46" s="3">
        <f t="shared" si="27"/>
        <v>3.8751330064371987E-2</v>
      </c>
      <c r="S46" s="3">
        <f t="shared" si="27"/>
        <v>3.875133006437198E-2</v>
      </c>
      <c r="T46" s="3">
        <f t="shared" si="27"/>
        <v>3.8751330064371946E-2</v>
      </c>
      <c r="U46" s="3">
        <f t="shared" si="27"/>
        <v>3.8751330064371599E-2</v>
      </c>
      <c r="V46" s="3">
        <f t="shared" si="27"/>
        <v>3.8751330064368109E-2</v>
      </c>
      <c r="W46" s="3">
        <f t="shared" si="27"/>
        <v>3.8751330064333234E-2</v>
      </c>
      <c r="X46" s="3">
        <f t="shared" si="27"/>
        <v>3.8751330063984471E-2</v>
      </c>
      <c r="Y46" s="3">
        <f t="shared" si="27"/>
        <v>3.8751330060496851E-2</v>
      </c>
      <c r="Z46" s="3">
        <f t="shared" si="27"/>
        <v>3.8751330025620659E-2</v>
      </c>
      <c r="AA46" s="3">
        <f t="shared" si="27"/>
        <v>3.8751329676858688E-2</v>
      </c>
      <c r="AB46" s="3">
        <f t="shared" si="27"/>
        <v>3.8751326189239176E-2</v>
      </c>
      <c r="AC46" s="3">
        <f t="shared" si="27"/>
        <v>3.8751291313061299E-2</v>
      </c>
      <c r="AD46" s="3">
        <f t="shared" si="27"/>
        <v>3.8750942553008906E-2</v>
      </c>
      <c r="AE46" s="3">
        <f t="shared" si="27"/>
        <v>3.8747455125115744E-2</v>
      </c>
      <c r="AF46" s="3">
        <f t="shared" si="29"/>
        <v>3.8712598103515711E-2</v>
      </c>
      <c r="AG46" s="3">
        <f t="shared" si="29"/>
        <v>3.8365747887790624E-2</v>
      </c>
      <c r="AH46" s="3">
        <f t="shared" si="29"/>
        <v>3.5063653440905604E-2</v>
      </c>
      <c r="AI46" s="3">
        <f t="shared" si="29"/>
        <v>1.4255817648731279E-2</v>
      </c>
      <c r="AJ46" s="3">
        <f t="shared" si="29"/>
        <v>1.759307663125356E-6</v>
      </c>
    </row>
    <row r="47" spans="1:36" x14ac:dyDescent="0.25">
      <c r="A47" s="3">
        <f t="shared" si="30"/>
        <v>1000000000000000</v>
      </c>
      <c r="B47" s="17">
        <v>3.5050392552265303E-2</v>
      </c>
      <c r="C47" s="18">
        <f t="shared" si="3"/>
        <v>2.0828240532986285E-2</v>
      </c>
      <c r="D47" s="17"/>
      <c r="F47" s="3">
        <f t="shared" si="28"/>
        <v>2.0828240532986285E-2</v>
      </c>
      <c r="G47" s="3">
        <f t="shared" si="28"/>
        <v>2.0828240532986285E-2</v>
      </c>
      <c r="H47" s="3">
        <f t="shared" si="28"/>
        <v>2.0828240532986285E-2</v>
      </c>
      <c r="I47" s="3">
        <f t="shared" si="28"/>
        <v>2.0828240532986285E-2</v>
      </c>
      <c r="J47" s="3">
        <f t="shared" si="28"/>
        <v>2.0828240532986285E-2</v>
      </c>
      <c r="K47" s="3">
        <f t="shared" si="28"/>
        <v>2.0828240532986285E-2</v>
      </c>
      <c r="L47" s="3">
        <f t="shared" si="28"/>
        <v>2.0828240532986285E-2</v>
      </c>
      <c r="M47" s="3">
        <f t="shared" si="28"/>
        <v>2.0828240532986285E-2</v>
      </c>
      <c r="N47" s="3">
        <f t="shared" si="28"/>
        <v>2.0828240532986285E-2</v>
      </c>
      <c r="O47" s="3">
        <f t="shared" si="28"/>
        <v>2.0828240532986285E-2</v>
      </c>
      <c r="P47" s="3">
        <f t="shared" si="27"/>
        <v>2.0828240532986285E-2</v>
      </c>
      <c r="Q47" s="3">
        <f t="shared" si="27"/>
        <v>2.0828240532986285E-2</v>
      </c>
      <c r="R47" s="3">
        <f t="shared" si="27"/>
        <v>2.0828240532986285E-2</v>
      </c>
      <c r="S47" s="3">
        <f t="shared" si="27"/>
        <v>2.0828240532986285E-2</v>
      </c>
      <c r="T47" s="3">
        <f t="shared" si="27"/>
        <v>2.0828240532986281E-2</v>
      </c>
      <c r="U47" s="3">
        <f t="shared" si="27"/>
        <v>2.0828240532986264E-2</v>
      </c>
      <c r="V47" s="3">
        <f t="shared" si="27"/>
        <v>2.0828240532986077E-2</v>
      </c>
      <c r="W47" s="3">
        <f t="shared" si="27"/>
        <v>2.08282405329842E-2</v>
      </c>
      <c r="X47" s="3">
        <f t="shared" si="27"/>
        <v>2.0828240532965458E-2</v>
      </c>
      <c r="Y47" s="3">
        <f t="shared" si="27"/>
        <v>2.0828240532778004E-2</v>
      </c>
      <c r="Z47" s="3">
        <f t="shared" si="27"/>
        <v>2.0828240530903461E-2</v>
      </c>
      <c r="AA47" s="3">
        <f t="shared" si="27"/>
        <v>2.0828240512158046E-2</v>
      </c>
      <c r="AB47" s="3">
        <f t="shared" si="27"/>
        <v>2.082824032470388E-2</v>
      </c>
      <c r="AC47" s="3">
        <f t="shared" si="27"/>
        <v>2.0828238450162337E-2</v>
      </c>
      <c r="AD47" s="3">
        <f t="shared" si="27"/>
        <v>2.0828219704756165E-2</v>
      </c>
      <c r="AE47" s="3">
        <f t="shared" si="27"/>
        <v>2.0828032251622365E-2</v>
      </c>
      <c r="AF47" s="3">
        <f t="shared" si="29"/>
        <v>2.0826157813070716E-2</v>
      </c>
      <c r="AG47" s="3">
        <f t="shared" si="29"/>
        <v>2.0807422703103061E-2</v>
      </c>
      <c r="AH47" s="3">
        <f t="shared" si="29"/>
        <v>2.0620996076970755E-2</v>
      </c>
      <c r="AI47" s="3">
        <f t="shared" si="29"/>
        <v>1.8846171386099227E-2</v>
      </c>
      <c r="AJ47" s="3">
        <f t="shared" si="29"/>
        <v>7.6622814878593787E-3</v>
      </c>
    </row>
    <row r="48" spans="1:36" x14ac:dyDescent="0.25">
      <c r="A48" s="3">
        <f t="shared" si="30"/>
        <v>1E+16</v>
      </c>
      <c r="B48" s="17">
        <v>5.0324536684845385E-2</v>
      </c>
      <c r="C48" s="18">
        <f t="shared" si="3"/>
        <v>2.990470230026878E-2</v>
      </c>
      <c r="D48" s="17"/>
      <c r="F48" s="3">
        <f t="shared" si="28"/>
        <v>2.990470230026878E-2</v>
      </c>
      <c r="G48" s="3">
        <f t="shared" si="28"/>
        <v>2.990470230026878E-2</v>
      </c>
      <c r="H48" s="3">
        <f t="shared" si="28"/>
        <v>2.990470230026878E-2</v>
      </c>
      <c r="I48" s="3">
        <f t="shared" si="28"/>
        <v>2.990470230026878E-2</v>
      </c>
      <c r="J48" s="3">
        <f t="shared" si="28"/>
        <v>2.990470230026878E-2</v>
      </c>
      <c r="K48" s="3">
        <f t="shared" si="28"/>
        <v>2.990470230026878E-2</v>
      </c>
      <c r="L48" s="3">
        <f t="shared" si="28"/>
        <v>2.990470230026878E-2</v>
      </c>
      <c r="M48" s="3">
        <f t="shared" si="28"/>
        <v>2.990470230026878E-2</v>
      </c>
      <c r="N48" s="3">
        <f t="shared" si="28"/>
        <v>2.990470230026878E-2</v>
      </c>
      <c r="O48" s="3">
        <f t="shared" si="28"/>
        <v>2.990470230026878E-2</v>
      </c>
      <c r="P48" s="3">
        <f t="shared" si="27"/>
        <v>2.990470230026878E-2</v>
      </c>
      <c r="Q48" s="3">
        <f t="shared" si="27"/>
        <v>2.990470230026878E-2</v>
      </c>
      <c r="R48" s="3">
        <f t="shared" si="27"/>
        <v>2.990470230026878E-2</v>
      </c>
      <c r="S48" s="3">
        <f t="shared" si="27"/>
        <v>2.990470230026878E-2</v>
      </c>
      <c r="T48" s="3">
        <f t="shared" si="27"/>
        <v>2.990470230026878E-2</v>
      </c>
      <c r="U48" s="3">
        <f t="shared" si="27"/>
        <v>2.9904702300268777E-2</v>
      </c>
      <c r="V48" s="3">
        <f t="shared" si="27"/>
        <v>2.9904702300268749E-2</v>
      </c>
      <c r="W48" s="3">
        <f t="shared" si="27"/>
        <v>2.9904702300268482E-2</v>
      </c>
      <c r="X48" s="3">
        <f t="shared" si="27"/>
        <v>2.990470230026579E-2</v>
      </c>
      <c r="Y48" s="3">
        <f t="shared" si="27"/>
        <v>2.9904702300238877E-2</v>
      </c>
      <c r="Z48" s="3">
        <f t="shared" si="27"/>
        <v>2.9904702299969735E-2</v>
      </c>
      <c r="AA48" s="3">
        <f t="shared" si="27"/>
        <v>2.9904702297278311E-2</v>
      </c>
      <c r="AB48" s="3">
        <f t="shared" si="27"/>
        <v>2.990470227036408E-2</v>
      </c>
      <c r="AC48" s="3">
        <f t="shared" si="27"/>
        <v>2.9904702001221761E-2</v>
      </c>
      <c r="AD48" s="3">
        <f t="shared" si="27"/>
        <v>2.99046993097987E-2</v>
      </c>
      <c r="AE48" s="3">
        <f t="shared" si="27"/>
        <v>2.9904672395581432E-2</v>
      </c>
      <c r="AF48" s="3">
        <f t="shared" si="29"/>
        <v>2.9904403254741009E-2</v>
      </c>
      <c r="AG48" s="3">
        <f t="shared" si="29"/>
        <v>2.990171197955728E-2</v>
      </c>
      <c r="AH48" s="3">
        <f t="shared" si="29"/>
        <v>2.987481254533679E-2</v>
      </c>
      <c r="AI48" s="3">
        <f t="shared" si="29"/>
        <v>2.9607145540699473E-2</v>
      </c>
      <c r="AJ48" s="3">
        <f t="shared" si="29"/>
        <v>2.7058893616509223E-2</v>
      </c>
    </row>
    <row r="49" spans="1:36" x14ac:dyDescent="0.25">
      <c r="B49" s="16">
        <f>SUM(B17:B48)</f>
        <v>1.6828302177879588</v>
      </c>
      <c r="C49" s="18">
        <f>SUM(C17:C48)</f>
        <v>1.0000000000000002</v>
      </c>
      <c r="F49" s="3">
        <f t="shared" ref="F49:AJ49" si="31">F16-F17</f>
        <v>-1.7462431749972893</v>
      </c>
      <c r="G49" s="3">
        <f t="shared" si="31"/>
        <v>-1.1312280615647978</v>
      </c>
      <c r="H49" s="3">
        <f t="shared" si="31"/>
        <v>3.7074597917962819</v>
      </c>
      <c r="I49" s="3">
        <f t="shared" si="31"/>
        <v>-0.95395936579370755</v>
      </c>
      <c r="J49" s="3">
        <f t="shared" si="31"/>
        <v>0.14004035270772874</v>
      </c>
      <c r="K49" s="3">
        <f t="shared" si="31"/>
        <v>-1.9089011440883041E-2</v>
      </c>
      <c r="L49" s="3">
        <f t="shared" si="31"/>
        <v>6.364979733916698E-3</v>
      </c>
      <c r="M49" s="3">
        <f t="shared" si="31"/>
        <v>-7.6925111552554881E-3</v>
      </c>
      <c r="N49" s="3">
        <f t="shared" si="31"/>
        <v>1.168773512563348E-2</v>
      </c>
      <c r="O49" s="3">
        <f t="shared" si="31"/>
        <v>-2.6027715702184651E-2</v>
      </c>
      <c r="P49" s="3">
        <f t="shared" si="31"/>
        <v>5.7953272508711962E-2</v>
      </c>
      <c r="Q49" s="3">
        <f t="shared" si="31"/>
        <v>-9.6797028973924171E-2</v>
      </c>
      <c r="R49" s="3">
        <f t="shared" si="31"/>
        <v>0.12184259223977278</v>
      </c>
      <c r="S49" s="3">
        <f t="shared" si="31"/>
        <v>-0.12590537959295034</v>
      </c>
      <c r="T49" s="3">
        <f t="shared" si="31"/>
        <v>0.11368580215776092</v>
      </c>
      <c r="U49" s="3">
        <f t="shared" si="31"/>
        <v>-9.0524051400279859E-2</v>
      </c>
      <c r="V49" s="3">
        <f t="shared" si="31"/>
        <v>6.0630977193341096E-2</v>
      </c>
      <c r="W49" s="3">
        <f t="shared" si="31"/>
        <v>-3.2788224454179726E-2</v>
      </c>
      <c r="X49" s="3">
        <f t="shared" si="31"/>
        <v>1.3928319891874708E-2</v>
      </c>
      <c r="Y49" s="3">
        <f t="shared" si="31"/>
        <v>-4.3003814134863205E-3</v>
      </c>
      <c r="Z49" s="3">
        <f t="shared" si="31"/>
        <v>-1.5674907240281755E-3</v>
      </c>
      <c r="AA49" s="3">
        <f t="shared" si="31"/>
        <v>6.194711534135422E-3</v>
      </c>
      <c r="AB49" s="3">
        <f t="shared" si="31"/>
        <v>-1.0998007496709761E-2</v>
      </c>
      <c r="AC49" s="3">
        <f t="shared" si="31"/>
        <v>1.4281044941071741E-2</v>
      </c>
      <c r="AD49" s="3">
        <f t="shared" si="31"/>
        <v>-1.3297075103537281E-2</v>
      </c>
      <c r="AE49" s="3">
        <f t="shared" si="31"/>
        <v>1.090826853260296E-2</v>
      </c>
      <c r="AF49" s="3">
        <f t="shared" si="31"/>
        <v>-7.4608941738460999E-3</v>
      </c>
      <c r="AG49" s="3">
        <f t="shared" si="31"/>
        <v>5.9336509023069084E-3</v>
      </c>
      <c r="AH49" s="3">
        <f t="shared" si="31"/>
        <v>-6.0290198133543527E-3</v>
      </c>
      <c r="AI49" s="3">
        <f t="shared" si="31"/>
        <v>6.002490992273124E-3</v>
      </c>
      <c r="AJ49" s="3">
        <f t="shared" si="31"/>
        <v>-2.8408540329678544E-3</v>
      </c>
    </row>
    <row r="50" spans="1:36" x14ac:dyDescent="0.25">
      <c r="F50" s="57">
        <f t="shared" ref="F50:AJ50" si="32">F49/F17</f>
        <v>-3.1125632756686913E-4</v>
      </c>
      <c r="G50" s="57">
        <f t="shared" si="32"/>
        <v>-2.0169206300764701E-4</v>
      </c>
      <c r="H50" s="57">
        <f t="shared" si="32"/>
        <v>6.627733559733713E-4</v>
      </c>
      <c r="I50" s="57">
        <f t="shared" si="32"/>
        <v>-1.7291803202699847E-4</v>
      </c>
      <c r="J50" s="57">
        <f t="shared" si="32"/>
        <v>2.6154795577634331E-5</v>
      </c>
      <c r="K50" s="57">
        <f t="shared" si="32"/>
        <v>-3.6408418919104702E-6</v>
      </c>
      <c r="L50" s="57">
        <f t="shared" si="32"/>
        <v>1.2398398313010009E-6</v>
      </c>
      <c r="M50" s="57">
        <f t="shared" si="32"/>
        <v>-1.5348543151102658E-6</v>
      </c>
      <c r="N50" s="57">
        <f t="shared" si="32"/>
        <v>2.3936977425658016E-6</v>
      </c>
      <c r="O50" s="57">
        <f t="shared" si="32"/>
        <v>-5.4937351077732437E-6</v>
      </c>
      <c r="P50" s="57">
        <f t="shared" si="32"/>
        <v>1.2649006149959209E-5</v>
      </c>
      <c r="Q50" s="57">
        <f t="shared" si="32"/>
        <v>-2.1885159470671733E-5</v>
      </c>
      <c r="R50" s="57">
        <f t="shared" si="32"/>
        <v>2.853249408292718E-5</v>
      </c>
      <c r="S50" s="57">
        <f t="shared" si="32"/>
        <v>-3.0670874546914612E-5</v>
      </c>
      <c r="T50" s="57">
        <f t="shared" si="32"/>
        <v>2.9119791405996153E-5</v>
      </c>
      <c r="U50" s="57">
        <f t="shared" si="32"/>
        <v>-2.4536029520899384E-5</v>
      </c>
      <c r="V50" s="57">
        <f t="shared" si="32"/>
        <v>1.7343946355789387E-5</v>
      </c>
      <c r="W50" s="57">
        <f t="shared" si="32"/>
        <v>-9.9120154556324075E-6</v>
      </c>
      <c r="X50" s="57">
        <f t="shared" si="32"/>
        <v>4.4875400777706444E-6</v>
      </c>
      <c r="Y50" s="57">
        <f t="shared" si="32"/>
        <v>-1.4769741850685204E-6</v>
      </c>
      <c r="Z50" s="57">
        <f t="shared" si="32"/>
        <v>-5.7433627905989989E-7</v>
      </c>
      <c r="AA50" s="57">
        <f t="shared" si="32"/>
        <v>2.428612891285383E-6</v>
      </c>
      <c r="AB50" s="57">
        <f t="shared" si="32"/>
        <v>-4.6638191373505289E-6</v>
      </c>
      <c r="AC50" s="57">
        <f t="shared" si="32"/>
        <v>6.6170319612633101E-6</v>
      </c>
      <c r="AD50" s="57">
        <f t="shared" si="32"/>
        <v>-6.8561195098830359E-6</v>
      </c>
      <c r="AE50" s="57">
        <f t="shared" si="32"/>
        <v>6.4272760941959587E-6</v>
      </c>
      <c r="AF50" s="57">
        <f t="shared" si="32"/>
        <v>-5.2636286145462114E-6</v>
      </c>
      <c r="AG50" s="57">
        <f t="shared" si="32"/>
        <v>5.3555307480060817E-6</v>
      </c>
      <c r="AH50" s="57">
        <f t="shared" si="32"/>
        <v>-7.4805507661538207E-6</v>
      </c>
      <c r="AI50" s="57">
        <f t="shared" si="32"/>
        <v>1.060905130131463E-5</v>
      </c>
      <c r="AJ50" s="57">
        <f t="shared" si="32"/>
        <v>-6.9516870735897152E-6</v>
      </c>
    </row>
    <row r="51" spans="1:36" x14ac:dyDescent="0.25">
      <c r="A51" s="13" t="s">
        <v>21</v>
      </c>
      <c r="B51" s="3">
        <f>STUTT!D8</f>
        <v>5614.1607000000004</v>
      </c>
      <c r="E51" s="11" t="s">
        <v>24</v>
      </c>
      <c r="F51" s="20">
        <f t="shared" ref="F51:AJ51" si="33">(F16-F17)^2</f>
        <v>3.0493652262246136</v>
      </c>
      <c r="G51" s="20">
        <f t="shared" si="33"/>
        <v>1.2796769272716499</v>
      </c>
      <c r="H51" s="20">
        <f t="shared" si="33"/>
        <v>13.74525810778613</v>
      </c>
      <c r="I51" s="20">
        <f t="shared" si="33"/>
        <v>0.91003847158553275</v>
      </c>
      <c r="J51" s="20">
        <f t="shared" si="33"/>
        <v>1.9611300386505069E-2</v>
      </c>
      <c r="K51" s="20">
        <f t="shared" si="33"/>
        <v>3.6439035779016363E-4</v>
      </c>
      <c r="L51" s="20">
        <f t="shared" si="33"/>
        <v>4.0512967013170278E-5</v>
      </c>
      <c r="M51" s="20">
        <f t="shared" si="33"/>
        <v>5.9174727873730126E-5</v>
      </c>
      <c r="N51" s="20">
        <f t="shared" si="33"/>
        <v>1.3660315236696668E-4</v>
      </c>
      <c r="O51" s="20">
        <f t="shared" si="33"/>
        <v>6.7744198467374942E-4</v>
      </c>
      <c r="P51" s="20">
        <f t="shared" si="33"/>
        <v>3.3585817944690294E-3</v>
      </c>
      <c r="Q51" s="20">
        <f t="shared" si="33"/>
        <v>9.3696648181787155E-3</v>
      </c>
      <c r="R51" s="20">
        <f t="shared" si="33"/>
        <v>1.4845617283707539E-2</v>
      </c>
      <c r="S51" s="20">
        <f t="shared" si="33"/>
        <v>1.5852164610444915E-2</v>
      </c>
      <c r="T51" s="20">
        <f t="shared" si="33"/>
        <v>1.2924461612253557E-2</v>
      </c>
      <c r="U51" s="20">
        <f t="shared" si="33"/>
        <v>8.1946038819205105E-3</v>
      </c>
      <c r="V51" s="20">
        <f t="shared" si="33"/>
        <v>3.6761153954194483E-3</v>
      </c>
      <c r="W51" s="20">
        <f t="shared" si="33"/>
        <v>1.0750676628576694E-3</v>
      </c>
      <c r="X51" s="20">
        <f t="shared" si="33"/>
        <v>1.9399809501039267E-4</v>
      </c>
      <c r="Y51" s="20">
        <f t="shared" si="33"/>
        <v>1.8493280301458606E-5</v>
      </c>
      <c r="Z51" s="20">
        <f t="shared" si="33"/>
        <v>2.4570271699143739E-6</v>
      </c>
      <c r="AA51" s="20">
        <f t="shared" si="33"/>
        <v>3.8374450991150433E-5</v>
      </c>
      <c r="AB51" s="20">
        <f t="shared" si="33"/>
        <v>1.209561688976841E-4</v>
      </c>
      <c r="AC51" s="20">
        <f t="shared" si="33"/>
        <v>2.0394824460891076E-4</v>
      </c>
      <c r="AD51" s="20">
        <f t="shared" si="33"/>
        <v>1.76812206309111E-4</v>
      </c>
      <c r="AE51" s="20">
        <f t="shared" si="33"/>
        <v>1.1899032237937595E-4</v>
      </c>
      <c r="AF51" s="20">
        <f t="shared" si="33"/>
        <v>5.5664941873330679E-5</v>
      </c>
      <c r="AG51" s="20">
        <f t="shared" si="33"/>
        <v>3.520821303044759E-5</v>
      </c>
      <c r="AH51" s="20">
        <f t="shared" si="33"/>
        <v>3.6349079909819356E-5</v>
      </c>
      <c r="AI51" s="20">
        <f t="shared" si="33"/>
        <v>3.6029898112319991E-5</v>
      </c>
      <c r="AJ51" s="20">
        <f t="shared" si="33"/>
        <v>8.0704516366297236E-6</v>
      </c>
    </row>
    <row r="52" spans="1:36" x14ac:dyDescent="0.25">
      <c r="A52" s="13"/>
    </row>
    <row r="53" spans="1:36" x14ac:dyDescent="0.25">
      <c r="E53" s="109" t="s">
        <v>25</v>
      </c>
      <c r="F53" s="109"/>
      <c r="G53" s="21">
        <f>SUM(F51:AJ51)</f>
        <v>19.07556978588363</v>
      </c>
      <c r="I53" s="3">
        <f>G53+C123</f>
        <v>19.07556978588363</v>
      </c>
      <c r="K53" s="3">
        <f>SUM(Z51:AJ51)</f>
        <v>8.3286100491869399E-4</v>
      </c>
    </row>
    <row r="55" spans="1:36" x14ac:dyDescent="0.25">
      <c r="E55" s="30" t="s">
        <v>30</v>
      </c>
      <c r="F55" s="31">
        <f t="shared" ref="F55:AJ55" si="34">ABS(F17-F16)/F16</f>
        <v>3.113532382323774E-4</v>
      </c>
      <c r="G55" s="31">
        <f t="shared" si="34"/>
        <v>2.0173275090235271E-4</v>
      </c>
      <c r="H55" s="31">
        <f t="shared" si="34"/>
        <v>6.6233437839462617E-4</v>
      </c>
      <c r="I55" s="31">
        <f t="shared" si="34"/>
        <v>1.7294793784405359E-4</v>
      </c>
      <c r="J55" s="31">
        <f t="shared" si="34"/>
        <v>2.6154111522193953E-5</v>
      </c>
      <c r="K55" s="31">
        <f t="shared" si="34"/>
        <v>3.6408551476884144E-6</v>
      </c>
      <c r="L55" s="31">
        <f t="shared" si="34"/>
        <v>1.2398382941000996E-6</v>
      </c>
      <c r="M55" s="31">
        <f t="shared" si="34"/>
        <v>1.5348566708916503E-6</v>
      </c>
      <c r="N55" s="31">
        <f t="shared" si="34"/>
        <v>2.393692012790634E-6</v>
      </c>
      <c r="O55" s="31">
        <f t="shared" si="34"/>
        <v>5.4937652890644859E-6</v>
      </c>
      <c r="P55" s="31">
        <f t="shared" si="34"/>
        <v>1.2648846154626409E-5</v>
      </c>
      <c r="Q55" s="31">
        <f t="shared" si="34"/>
        <v>2.1885638441359141E-5</v>
      </c>
      <c r="R55" s="31">
        <f t="shared" si="34"/>
        <v>2.853168000293632E-5</v>
      </c>
      <c r="S55" s="31">
        <f t="shared" si="34"/>
        <v>3.0671815278313133E-5</v>
      </c>
      <c r="T55" s="31">
        <f t="shared" si="34"/>
        <v>2.911894346843639E-5</v>
      </c>
      <c r="U55" s="31">
        <f t="shared" si="34"/>
        <v>2.4536631552415498E-5</v>
      </c>
      <c r="V55" s="31">
        <f t="shared" si="34"/>
        <v>1.7343645548531382E-5</v>
      </c>
      <c r="W55" s="31">
        <f t="shared" si="34"/>
        <v>9.9121137046566463E-6</v>
      </c>
      <c r="X55" s="31">
        <f t="shared" si="34"/>
        <v>4.4875199398450647E-6</v>
      </c>
      <c r="Y55" s="31">
        <f t="shared" si="34"/>
        <v>1.4769763665244856E-6</v>
      </c>
      <c r="Z55" s="31">
        <f t="shared" si="34"/>
        <v>5.7433660892225082E-7</v>
      </c>
      <c r="AA55" s="31">
        <f t="shared" si="34"/>
        <v>2.4286069931391313E-6</v>
      </c>
      <c r="AB55" s="31">
        <f t="shared" si="34"/>
        <v>4.6638408886609189E-6</v>
      </c>
      <c r="AC55" s="31">
        <f t="shared" si="34"/>
        <v>6.6169881764410592E-6</v>
      </c>
      <c r="AD55" s="31">
        <f t="shared" si="34"/>
        <v>6.856166516580053E-6</v>
      </c>
      <c r="AE55" s="31">
        <f t="shared" si="34"/>
        <v>6.4272347845834753E-6</v>
      </c>
      <c r="AF55" s="31">
        <f t="shared" si="34"/>
        <v>5.2636563204782374E-6</v>
      </c>
      <c r="AG55" s="31">
        <f t="shared" si="34"/>
        <v>5.3555020664500941E-6</v>
      </c>
      <c r="AH55" s="31">
        <f t="shared" si="34"/>
        <v>7.4806067252121908E-6</v>
      </c>
      <c r="AI55" s="31">
        <f t="shared" si="34"/>
        <v>1.0608938750539172E-5</v>
      </c>
      <c r="AJ55" s="31">
        <f t="shared" si="34"/>
        <v>6.951735399878834E-6</v>
      </c>
    </row>
    <row r="56" spans="1:36" x14ac:dyDescent="0.25">
      <c r="E56" s="13" t="s">
        <v>31</v>
      </c>
      <c r="F56" s="32">
        <f>AVERAGE(F55:AJ55)</f>
        <v>5.2666672516086121E-5</v>
      </c>
    </row>
    <row r="57" spans="1:36" x14ac:dyDescent="0.25">
      <c r="A57" s="42"/>
      <c r="B57" s="15"/>
      <c r="C57" s="15"/>
      <c r="D57" s="15"/>
      <c r="F57" s="60">
        <f>AVERAGE(S55:X55)</f>
        <v>1.9345111582033017E-5</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0"/>
      <c r="D63" s="110"/>
      <c r="E63" s="110"/>
      <c r="F63" s="110"/>
      <c r="G63" s="110"/>
      <c r="H63" s="110"/>
      <c r="I63" s="110"/>
    </row>
    <row r="64" spans="1:36" x14ac:dyDescent="0.25">
      <c r="A64" s="42">
        <f>10^A65</f>
        <v>1.0000000000000001E-15</v>
      </c>
      <c r="B64" s="42">
        <f>10^B65</f>
        <v>1000000000000000</v>
      </c>
      <c r="C64" s="15"/>
      <c r="D64" s="15"/>
      <c r="E64" s="15"/>
      <c r="F64" s="15"/>
      <c r="G64" s="15"/>
      <c r="H64" s="15"/>
      <c r="I64" s="15"/>
    </row>
    <row r="65" spans="1:13" x14ac:dyDescent="0.25">
      <c r="A65" s="15">
        <v>-15</v>
      </c>
      <c r="B65" s="43">
        <v>15</v>
      </c>
      <c r="C65" s="15"/>
      <c r="D65" s="15"/>
      <c r="E65" s="15"/>
      <c r="F65" s="15"/>
      <c r="G65" s="15"/>
      <c r="H65" s="15"/>
      <c r="I65" s="15"/>
    </row>
    <row r="66" spans="1:13" x14ac:dyDescent="0.25">
      <c r="A66" s="15"/>
      <c r="B66" s="15"/>
      <c r="C66" s="15"/>
      <c r="D66" s="15"/>
      <c r="E66" s="15"/>
      <c r="F66" s="15"/>
      <c r="G66" s="15"/>
      <c r="H66" s="15"/>
      <c r="I66" s="15"/>
    </row>
    <row r="67" spans="1:13" x14ac:dyDescent="0.25">
      <c r="A67" s="15"/>
      <c r="B67" s="42"/>
      <c r="C67" s="42"/>
      <c r="D67" s="44"/>
      <c r="E67" s="74"/>
      <c r="F67" s="44"/>
      <c r="G67" s="45"/>
      <c r="H67" s="44"/>
      <c r="I67" s="44"/>
    </row>
    <row r="68" spans="1:13" x14ac:dyDescent="0.25">
      <c r="A68" s="15"/>
      <c r="B68" s="42"/>
      <c r="C68" s="42"/>
      <c r="D68" s="46"/>
      <c r="E68" s="74"/>
      <c r="F68" s="46"/>
      <c r="G68" s="46"/>
      <c r="H68" s="46"/>
      <c r="I68" s="46"/>
      <c r="L68" s="11" t="s">
        <v>28</v>
      </c>
      <c r="M68" s="11" t="s">
        <v>29</v>
      </c>
    </row>
    <row r="69" spans="1:13" x14ac:dyDescent="0.25">
      <c r="A69" s="15"/>
      <c r="B69" s="42"/>
      <c r="C69" s="42"/>
      <c r="D69" s="47"/>
      <c r="E69" s="74"/>
      <c r="F69" s="47"/>
      <c r="G69" s="47"/>
      <c r="H69" s="47"/>
      <c r="I69" s="47"/>
    </row>
    <row r="70" spans="1:13" x14ac:dyDescent="0.25">
      <c r="A70" s="15"/>
      <c r="B70" s="42"/>
      <c r="C70" s="42"/>
      <c r="D70" s="47"/>
      <c r="E70" s="74"/>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64"/>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5"/>
      <c r="E77" s="59"/>
      <c r="F77" s="47"/>
      <c r="G77" s="47"/>
      <c r="H77" s="47"/>
      <c r="I77" s="47"/>
    </row>
    <row r="78" spans="1:13" x14ac:dyDescent="0.25">
      <c r="A78" s="58"/>
      <c r="B78" s="58"/>
      <c r="C78" s="79"/>
      <c r="D78" s="59"/>
      <c r="E78" s="82"/>
      <c r="F78" s="47"/>
      <c r="G78" s="47"/>
      <c r="H78" s="47"/>
      <c r="I78" s="47"/>
    </row>
    <row r="79" spans="1:13" x14ac:dyDescent="0.25">
      <c r="A79" s="58"/>
      <c r="B79" s="58"/>
      <c r="C79" s="79"/>
      <c r="D79" s="58"/>
      <c r="E79" s="82"/>
      <c r="F79" s="15"/>
      <c r="G79" s="15"/>
      <c r="H79" s="15"/>
      <c r="I79" s="15"/>
    </row>
    <row r="80" spans="1:13" x14ac:dyDescent="0.25">
      <c r="A80" s="58"/>
      <c r="B80" s="58"/>
      <c r="C80" s="79"/>
      <c r="D80" s="58"/>
      <c r="E80" s="82"/>
      <c r="F80" s="15"/>
      <c r="G80" s="15"/>
      <c r="H80" s="15"/>
      <c r="I80" s="15"/>
    </row>
    <row r="81" spans="1:9" x14ac:dyDescent="0.25">
      <c r="A81" s="58"/>
      <c r="B81" s="58"/>
      <c r="C81" s="79"/>
      <c r="D81" s="58"/>
      <c r="E81" s="82"/>
      <c r="F81" s="15"/>
      <c r="G81" s="15"/>
      <c r="H81" s="15"/>
      <c r="I81" s="15"/>
    </row>
    <row r="82" spans="1:9" x14ac:dyDescent="0.25">
      <c r="A82" s="58"/>
      <c r="B82" s="58"/>
      <c r="C82" s="79"/>
      <c r="D82" s="40"/>
      <c r="E82" s="82"/>
    </row>
    <row r="83" spans="1:9" x14ac:dyDescent="0.25">
      <c r="A83" s="58"/>
      <c r="B83" s="58"/>
      <c r="C83" s="79"/>
      <c r="D83" s="40"/>
      <c r="E83" s="82"/>
    </row>
    <row r="84" spans="1:9" x14ac:dyDescent="0.25">
      <c r="A84" s="58"/>
      <c r="B84" s="58"/>
      <c r="C84" s="79"/>
      <c r="D84" s="40"/>
      <c r="E84" s="82"/>
    </row>
    <row r="85" spans="1:9" x14ac:dyDescent="0.25">
      <c r="A85" s="58"/>
      <c r="B85" s="58"/>
      <c r="C85" s="79"/>
      <c r="D85" s="40"/>
      <c r="E85" s="82"/>
      <c r="H85" s="23"/>
    </row>
    <row r="86" spans="1:9" x14ac:dyDescent="0.25">
      <c r="A86" s="58"/>
      <c r="B86" s="58"/>
      <c r="C86" s="79"/>
      <c r="E86" s="82"/>
      <c r="H86" s="3"/>
    </row>
    <row r="87" spans="1:9" x14ac:dyDescent="0.25">
      <c r="A87" s="58"/>
      <c r="B87" s="58"/>
      <c r="C87" s="79"/>
      <c r="E87" s="82"/>
      <c r="H87" s="3"/>
    </row>
    <row r="88" spans="1:9" x14ac:dyDescent="0.25">
      <c r="A88" s="58"/>
    </row>
    <row r="89" spans="1:9" x14ac:dyDescent="0.25">
      <c r="A89" s="58"/>
    </row>
    <row r="90" spans="1:9" x14ac:dyDescent="0.25">
      <c r="A90" s="58"/>
      <c r="C90" s="3"/>
      <c r="D90" s="57"/>
      <c r="E90" s="3"/>
    </row>
    <row r="91" spans="1:9" x14ac:dyDescent="0.25">
      <c r="A91" s="58"/>
      <c r="D91" s="76"/>
      <c r="E91" s="3"/>
    </row>
    <row r="92" spans="1:9" x14ac:dyDescent="0.25">
      <c r="A92" s="58"/>
      <c r="D92" s="76"/>
      <c r="E92" s="3"/>
    </row>
    <row r="93" spans="1:9" x14ac:dyDescent="0.25">
      <c r="A93" s="58"/>
      <c r="D93" s="76"/>
      <c r="E93" s="3"/>
    </row>
    <row r="94" spans="1:9" x14ac:dyDescent="0.25">
      <c r="A94" s="58"/>
      <c r="D94" s="76"/>
      <c r="E94" s="3"/>
    </row>
    <row r="95" spans="1:9" x14ac:dyDescent="0.25">
      <c r="A95" s="58"/>
      <c r="D95" s="3"/>
    </row>
    <row r="96" spans="1:9" x14ac:dyDescent="0.25">
      <c r="A96" s="58"/>
      <c r="D96" s="60"/>
      <c r="E96" s="3"/>
    </row>
    <row r="97" spans="1:9" x14ac:dyDescent="0.25">
      <c r="D97" s="57"/>
      <c r="E97" s="29"/>
      <c r="F97" s="3"/>
    </row>
    <row r="100" spans="1:9" x14ac:dyDescent="0.25">
      <c r="A100" s="111"/>
    </row>
    <row r="101" spans="1:9" x14ac:dyDescent="0.25">
      <c r="A101" s="111"/>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-23.551328837701199</v>
      </c>
    </row>
    <row r="119" spans="1:14" x14ac:dyDescent="0.25">
      <c r="L119" s="11">
        <f>L118+1</f>
        <v>2</v>
      </c>
      <c r="M119" s="11">
        <f t="shared" ref="M119:M124" si="35">INDEX($B$125:$K$126,1,L119)</f>
        <v>0</v>
      </c>
      <c r="N119" s="11">
        <f t="shared" ref="N119:N124" si="36">IF(L119=$B$3,0,INDEX($B$125:$K$126,2,L119))</f>
        <v>-11.169577522833219</v>
      </c>
    </row>
    <row r="120" spans="1:14" x14ac:dyDescent="0.25">
      <c r="L120" s="11">
        <f t="shared" ref="L120:L124" si="37">L119+1</f>
        <v>3</v>
      </c>
      <c r="M120" s="11">
        <f t="shared" si="35"/>
        <v>25</v>
      </c>
      <c r="N120" s="11">
        <f t="shared" si="36"/>
        <v>-5.0373219774019731</v>
      </c>
    </row>
    <row r="121" spans="1:14" x14ac:dyDescent="0.25">
      <c r="A121" s="3">
        <f>(A165+A204+A243+A282+A321+A360+A399)*10^9</f>
        <v>383881547881313.12</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6.8739854636296629</v>
      </c>
    </row>
    <row r="123" spans="1:14" x14ac:dyDescent="0.25">
      <c r="A123" s="109"/>
      <c r="B123" s="109"/>
      <c r="C123" s="3"/>
      <c r="D123" s="3"/>
      <c r="E123" s="3"/>
      <c r="F123" s="3"/>
      <c r="G123" s="3"/>
      <c r="H123" s="3"/>
      <c r="I123" s="3"/>
      <c r="J123" s="3"/>
      <c r="K123" s="3"/>
      <c r="L123" s="11">
        <f t="shared" si="37"/>
        <v>6</v>
      </c>
      <c r="M123" s="11">
        <f t="shared" si="35"/>
        <v>125</v>
      </c>
      <c r="N123" s="11">
        <f t="shared" si="36"/>
        <v>23.131017450678211</v>
      </c>
    </row>
    <row r="124" spans="1:14" x14ac:dyDescent="0.25">
      <c r="B124" s="3"/>
      <c r="C124" s="3"/>
      <c r="D124" s="3"/>
      <c r="E124" s="3"/>
      <c r="F124" s="3"/>
      <c r="G124" s="3"/>
      <c r="H124" s="3"/>
      <c r="I124" s="3"/>
      <c r="J124" s="3"/>
      <c r="K124" s="3"/>
      <c r="L124" s="11">
        <f t="shared" si="37"/>
        <v>7</v>
      </c>
      <c r="M124" s="11">
        <f t="shared" si="35"/>
        <v>160</v>
      </c>
      <c r="N124" s="11">
        <f t="shared" si="36"/>
        <v>37.246413849119072</v>
      </c>
    </row>
    <row r="125" spans="1:14" x14ac:dyDescent="0.25">
      <c r="A125" s="65"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7" t="s">
        <v>40</v>
      </c>
      <c r="B126" s="3">
        <v>-23.551328837701199</v>
      </c>
      <c r="C126" s="3">
        <v>-11.169577522833219</v>
      </c>
      <c r="D126" s="3">
        <v>-5.0373219774019731</v>
      </c>
      <c r="E126" s="3">
        <v>-1.3276671824105057E-4</v>
      </c>
      <c r="F126" s="3">
        <v>6.8739854636296629</v>
      </c>
      <c r="G126" s="3">
        <v>23.131017450678211</v>
      </c>
      <c r="H126" s="3">
        <v>37.246413849119072</v>
      </c>
      <c r="I126" s="3"/>
      <c r="J126" s="3"/>
      <c r="K126" s="3"/>
    </row>
    <row r="127" spans="1:14" x14ac:dyDescent="0.25">
      <c r="B127" s="38"/>
      <c r="C127" s="38"/>
      <c r="D127" s="38"/>
      <c r="E127" s="38"/>
      <c r="F127" s="38"/>
      <c r="G127" s="38"/>
      <c r="H127" s="38"/>
      <c r="I127" s="38"/>
      <c r="J127" s="38"/>
      <c r="K127" s="38"/>
    </row>
    <row r="128" spans="1:14" x14ac:dyDescent="0.25">
      <c r="A128" s="67" t="s">
        <v>27</v>
      </c>
      <c r="B128" s="11">
        <f>INDEX($D$1:$M$1,1,$B$122)</f>
        <v>-40</v>
      </c>
    </row>
    <row r="129" spans="1:33" x14ac:dyDescent="0.25">
      <c r="A129" s="68"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5627.8046868132324</v>
      </c>
      <c r="C130" s="26">
        <f>INDEX(Comparison!$AM$3:$AS$33,G14,$B$122)</f>
        <v>5627.8375717832278</v>
      </c>
      <c r="D130" s="26">
        <f>INDEX(Comparison!$AM$3:$AS$33,H14,$B$122)</f>
        <v>5627.8172471251501</v>
      </c>
      <c r="E130" s="26">
        <f>INDEX(Comparison!$AM$3:$AS$33,I14,$B$122)</f>
        <v>5627.8109307653194</v>
      </c>
      <c r="F130" s="26">
        <f>INDEX(Comparison!$AM$3:$AS$33,J14,$B$122)</f>
        <v>5627.8090666274475</v>
      </c>
      <c r="G130" s="26">
        <f>INDEX(Comparison!$AM$3:$AS$33,K14,$B$122)</f>
        <v>5627.8083245923272</v>
      </c>
      <c r="H130" s="26">
        <f>INDEX(Comparison!$AM$3:$AS$33,L14,$B$122)</f>
        <v>5627.808252198668</v>
      </c>
      <c r="I130" s="26">
        <f>INDEX(Comparison!$AM$3:$AS$33,M14,$B$122)</f>
        <v>5627.808053116114</v>
      </c>
      <c r="J130" s="26">
        <f>INDEX(Comparison!$AM$3:$AS$33,N14,$B$122)</f>
        <v>5627.8079807224613</v>
      </c>
      <c r="K130" s="26">
        <f>INDEX(Comparison!$AM$3:$AS$33,O14,$B$122)</f>
        <v>5627.8066052434133</v>
      </c>
      <c r="L130" s="26">
        <f>INDEX(Comparison!$AM$3:$AS$33,P14,$B$122)</f>
        <v>5627.7932848495184</v>
      </c>
      <c r="M130" s="26">
        <f>INDEX(Comparison!$AM$3:$AS$33,Q14,$B$122)</f>
        <v>5627.6610797391322</v>
      </c>
      <c r="N130" s="26">
        <f>INDEX(Comparison!$AM$3:$AS$33,R14,$B$122)</f>
        <v>5626.3493372203875</v>
      </c>
      <c r="O130" s="26">
        <f>INDEX(Comparison!$AM$3:$AS$33,S14,$B$122)</f>
        <v>5613.8255139047442</v>
      </c>
      <c r="P130" s="26">
        <f>INDEX(Comparison!$AM$3:$AS$33,T14,$B$122)</f>
        <v>5517.4172060787987</v>
      </c>
      <c r="Q130" s="26">
        <f>INDEX(Comparison!$AM$3:$AS$33,U14,$B$122)</f>
        <v>5360.9194936383001</v>
      </c>
      <c r="R130" s="26">
        <f>INDEX(Comparison!$AM$3:$AS$33,V14,$B$122)</f>
        <v>5250.254742360099</v>
      </c>
      <c r="S130" s="26">
        <f>INDEX(Comparison!$AM$3:$AS$33,W14,$B$122)</f>
        <v>5138.7770947931922</v>
      </c>
      <c r="T130" s="26">
        <f>INDEX(Comparison!$AM$3:$AS$33,X14,$B$122)</f>
        <v>5015.7448530146003</v>
      </c>
      <c r="U130" s="26">
        <f>INDEX(Comparison!$AM$3:$AS$33,Y14,$B$122)</f>
        <v>4881.370820360753</v>
      </c>
      <c r="V130" s="26">
        <f>INDEX(Comparison!$AM$3:$AS$33,Z14,$B$122)</f>
        <v>4715.1502303445186</v>
      </c>
      <c r="W130" s="26">
        <f>INDEX(Comparison!$AM$3:$AS$33,AA14,$B$122)</f>
        <v>4502.659399288631</v>
      </c>
      <c r="X130" s="26">
        <f>INDEX(Comparison!$AM$3:$AS$33,AB14,$B$122)</f>
        <v>4273.4157788380835</v>
      </c>
      <c r="Y130" s="26">
        <f>INDEX(Comparison!$AM$3:$AS$33,AC14,$B$122)</f>
        <v>4058.4470173916279</v>
      </c>
      <c r="Z130" s="26">
        <f>INDEX(Comparison!$AM$3:$AS$33,AD14,$B$122)</f>
        <v>3848.5922465336935</v>
      </c>
      <c r="AA130" s="26">
        <f>INDEX(Comparison!$AM$3:$AS$33,AE14,$B$122)</f>
        <v>3623.9563394023553</v>
      </c>
      <c r="AB130" s="26">
        <f>INDEX(Comparison!$AM$3:$AS$33,AF14,$B$122)</f>
        <v>3404.5451338992034</v>
      </c>
      <c r="AC130" s="26">
        <f>INDEX(Comparison!$AM$3:$AS$33,AG14,$B$122)</f>
        <v>3224.8694264190117</v>
      </c>
      <c r="AD130" s="26">
        <f>INDEX(Comparison!$AM$3:$AS$33,AH14,$B$122)</f>
        <v>3068.1804215620291</v>
      </c>
      <c r="AE130" s="26">
        <f>INDEX(Comparison!$AM$3:$AS$33,AI14,$B$122)</f>
        <v>2915.919267959634</v>
      </c>
      <c r="AF130" s="26">
        <f>INDEX(Comparison!$AM$3:$AS$33,AJ14,$B$122)</f>
        <v>2771.0117587804812</v>
      </c>
    </row>
    <row r="131" spans="1:33" x14ac:dyDescent="0.25">
      <c r="A131" s="69" t="s">
        <v>22</v>
      </c>
      <c r="B131" s="27">
        <f>($C$17+SUM(B132:B162))*$B$51</f>
        <v>5614.160678278693</v>
      </c>
      <c r="C131" s="27">
        <f t="shared" ref="C131:AF131" si="40">($C$17+SUM(C132:C162))*$B$51</f>
        <v>5614.160482792704</v>
      </c>
      <c r="D131" s="27">
        <f t="shared" si="40"/>
        <v>5614.1585285048532</v>
      </c>
      <c r="E131" s="27">
        <f t="shared" si="40"/>
        <v>5614.1390427180249</v>
      </c>
      <c r="F131" s="27">
        <f t="shared" si="40"/>
        <v>5613.9497831903436</v>
      </c>
      <c r="G131" s="27">
        <f t="shared" si="40"/>
        <v>5612.5208578874817</v>
      </c>
      <c r="H131" s="27">
        <f t="shared" si="40"/>
        <v>5610.4969638337043</v>
      </c>
      <c r="I131" s="27">
        <f t="shared" si="40"/>
        <v>5610.4869307723047</v>
      </c>
      <c r="J131" s="27">
        <f t="shared" si="40"/>
        <v>5610.4859653796966</v>
      </c>
      <c r="K131" s="27">
        <f t="shared" si="40"/>
        <v>5610.4763119606423</v>
      </c>
      <c r="L131" s="27">
        <f t="shared" si="40"/>
        <v>5610.3798284491277</v>
      </c>
      <c r="M131" s="27">
        <f t="shared" si="40"/>
        <v>5609.4200388241434</v>
      </c>
      <c r="N131" s="27">
        <f t="shared" si="40"/>
        <v>5600.3050219512606</v>
      </c>
      <c r="O131" s="27">
        <f t="shared" si="40"/>
        <v>5541.5586405962586</v>
      </c>
      <c r="P131" s="27">
        <f t="shared" si="40"/>
        <v>5395.7199100016123</v>
      </c>
      <c r="Q131" s="27">
        <f t="shared" si="40"/>
        <v>5268.6346178683498</v>
      </c>
      <c r="R131" s="27">
        <f t="shared" si="40"/>
        <v>5162.7457268850694</v>
      </c>
      <c r="S131" s="27">
        <f t="shared" si="40"/>
        <v>5044.006077383131</v>
      </c>
      <c r="T131" s="27">
        <f t="shared" si="40"/>
        <v>4916.2576931245594</v>
      </c>
      <c r="U131" s="27">
        <f t="shared" si="40"/>
        <v>4775.6612519074752</v>
      </c>
      <c r="V131" s="27">
        <f t="shared" si="40"/>
        <v>4620.3693858381503</v>
      </c>
      <c r="W131" s="27">
        <f t="shared" si="40"/>
        <v>4460.5227430487539</v>
      </c>
      <c r="X131" s="27">
        <f t="shared" si="40"/>
        <v>4304.4757458834165</v>
      </c>
      <c r="Y131" s="27">
        <f t="shared" si="40"/>
        <v>4145.4142971863348</v>
      </c>
      <c r="Z131" s="27">
        <f t="shared" si="40"/>
        <v>3951.3144316505109</v>
      </c>
      <c r="AA131" s="27">
        <f t="shared" si="40"/>
        <v>3732.0672454840446</v>
      </c>
      <c r="AB131" s="27">
        <f t="shared" si="40"/>
        <v>3532.3236391543587</v>
      </c>
      <c r="AC131" s="27">
        <f t="shared" si="40"/>
        <v>3348.4541929875313</v>
      </c>
      <c r="AD131" s="27">
        <f t="shared" si="40"/>
        <v>3143.239886851542</v>
      </c>
      <c r="AE131" s="27">
        <f t="shared" si="40"/>
        <v>2948.6589860788335</v>
      </c>
      <c r="AF131" s="27">
        <f t="shared" si="40"/>
        <v>2766.558483271494</v>
      </c>
    </row>
    <row r="132" spans="1:33" x14ac:dyDescent="0.25">
      <c r="B132" s="3">
        <f t="shared" ref="B132:Z133" si="41">$C18*EXP(-B$129/$A18/EXP(-$B$126))</f>
        <v>6.5435252681407628E-4</v>
      </c>
      <c r="C132" s="3">
        <f t="shared" ref="C132:AF132" si="42">$C18*EXP(-C$129/$A18/EXP(-$B$126))</f>
        <v>6.5431770666852303E-4</v>
      </c>
      <c r="D132" s="3">
        <f t="shared" si="42"/>
        <v>6.5396960710561438E-4</v>
      </c>
      <c r="E132" s="3">
        <f t="shared" si="42"/>
        <v>6.5049878070530542E-4</v>
      </c>
      <c r="F132" s="3">
        <f t="shared" si="42"/>
        <v>6.1678769880813922E-4</v>
      </c>
      <c r="G132" s="3">
        <f t="shared" si="42"/>
        <v>3.6226624603538079E-4</v>
      </c>
      <c r="H132" s="3">
        <f t="shared" si="42"/>
        <v>1.7699033147800607E-6</v>
      </c>
      <c r="I132" s="3">
        <f t="shared" si="42"/>
        <v>1.3714066824223987E-29</v>
      </c>
      <c r="J132" s="3">
        <f t="shared" si="42"/>
        <v>1.0698760069122436E-260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0</v>
      </c>
      <c r="C133" s="3">
        <f t="shared" si="41"/>
        <v>0</v>
      </c>
      <c r="D133" s="3">
        <f t="shared" si="41"/>
        <v>0</v>
      </c>
      <c r="E133" s="3">
        <f t="shared" si="41"/>
        <v>0</v>
      </c>
      <c r="F133" s="3">
        <f t="shared" si="41"/>
        <v>0</v>
      </c>
      <c r="G133" s="3">
        <f t="shared" si="41"/>
        <v>0</v>
      </c>
      <c r="H133" s="3">
        <f t="shared" si="41"/>
        <v>0</v>
      </c>
      <c r="I133" s="3">
        <f t="shared" si="41"/>
        <v>0</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1.0565237894982614E-2</v>
      </c>
      <c r="C134" s="3">
        <f t="shared" si="44"/>
        <v>1.0565237894969623E-2</v>
      </c>
      <c r="D134" s="3">
        <f t="shared" si="44"/>
        <v>1.0565237894839707E-2</v>
      </c>
      <c r="E134" s="3">
        <f t="shared" si="44"/>
        <v>1.0565237893540561E-2</v>
      </c>
      <c r="F134" s="3">
        <f t="shared" si="44"/>
        <v>1.0565237880549095E-2</v>
      </c>
      <c r="G134" s="3">
        <f t="shared" si="44"/>
        <v>1.0565237750634443E-2</v>
      </c>
      <c r="H134" s="3">
        <f t="shared" si="44"/>
        <v>1.0565236451488018E-2</v>
      </c>
      <c r="I134" s="3">
        <f t="shared" si="44"/>
        <v>1.056522346003254E-2</v>
      </c>
      <c r="J134" s="3">
        <f t="shared" si="44"/>
        <v>1.0565093546356376E-2</v>
      </c>
      <c r="K134" s="3">
        <f t="shared" si="44"/>
        <v>1.0563794497452005E-2</v>
      </c>
      <c r="L134" s="3">
        <f t="shared" si="44"/>
        <v>1.0550812790139825E-2</v>
      </c>
      <c r="M134" s="3">
        <f t="shared" si="44"/>
        <v>1.0421869907874899E-2</v>
      </c>
      <c r="N134" s="3">
        <f t="shared" si="44"/>
        <v>9.2160103479565735E-3</v>
      </c>
      <c r="O134" s="3">
        <f t="shared" si="44"/>
        <v>2.6947346920250408E-3</v>
      </c>
      <c r="P134" s="3">
        <f t="shared" si="44"/>
        <v>1.2309675696810425E-8</v>
      </c>
      <c r="Q134" s="3">
        <f t="shared" si="44"/>
        <v>4.8702649774626041E-62</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3.6097677890574845E-2</v>
      </c>
      <c r="C135" s="3">
        <f t="shared" si="47"/>
        <v>3.6097677890570841E-2</v>
      </c>
      <c r="D135" s="3">
        <f t="shared" si="47"/>
        <v>3.6097677890530797E-2</v>
      </c>
      <c r="E135" s="3">
        <f t="shared" si="47"/>
        <v>3.6097677890130388E-2</v>
      </c>
      <c r="F135" s="3">
        <f t="shared" si="47"/>
        <v>3.6097677886126292E-2</v>
      </c>
      <c r="G135" s="3">
        <f t="shared" si="47"/>
        <v>3.6097677846085308E-2</v>
      </c>
      <c r="H135" s="3">
        <f t="shared" si="47"/>
        <v>3.6097677445675498E-2</v>
      </c>
      <c r="I135" s="3">
        <f t="shared" si="47"/>
        <v>3.6097673441577646E-2</v>
      </c>
      <c r="J135" s="3">
        <f t="shared" si="47"/>
        <v>3.6097633400623573E-2</v>
      </c>
      <c r="K135" s="3">
        <f t="shared" si="47"/>
        <v>3.609723299352563E-2</v>
      </c>
      <c r="L135" s="3">
        <f t="shared" si="47"/>
        <v>3.6093229166817842E-2</v>
      </c>
      <c r="M135" s="3">
        <f t="shared" si="47"/>
        <v>3.6053215316881257E-2</v>
      </c>
      <c r="N135" s="3">
        <f t="shared" si="47"/>
        <v>3.5655508540057584E-2</v>
      </c>
      <c r="O135" s="3">
        <f t="shared" si="47"/>
        <v>3.1911922038401069E-2</v>
      </c>
      <c r="P135" s="3">
        <f t="shared" si="47"/>
        <v>1.0524857766825125E-2</v>
      </c>
      <c r="Q135" s="3">
        <f t="shared" si="47"/>
        <v>1.6026879335405824E-7</v>
      </c>
      <c r="R135" s="3">
        <f t="shared" si="47"/>
        <v>1.0744254432617608E-55</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1.7961408608631709E-2</v>
      </c>
      <c r="C136" s="3">
        <f t="shared" si="49"/>
        <v>1.7961408608631532E-2</v>
      </c>
      <c r="D136" s="3">
        <f t="shared" si="49"/>
        <v>1.7961408608629735E-2</v>
      </c>
      <c r="E136" s="3">
        <f t="shared" si="49"/>
        <v>1.796140860861176E-2</v>
      </c>
      <c r="F136" s="3">
        <f t="shared" si="49"/>
        <v>1.7961408608432032E-2</v>
      </c>
      <c r="G136" s="3">
        <f t="shared" si="49"/>
        <v>1.7961408606634768E-2</v>
      </c>
      <c r="H136" s="3">
        <f t="shared" si="49"/>
        <v>1.7961408588662103E-2</v>
      </c>
      <c r="I136" s="3">
        <f t="shared" si="49"/>
        <v>1.7961408408935474E-2</v>
      </c>
      <c r="J136" s="3">
        <f t="shared" si="49"/>
        <v>1.7961406611669291E-2</v>
      </c>
      <c r="K136" s="3">
        <f t="shared" si="49"/>
        <v>1.7961388639017327E-2</v>
      </c>
      <c r="L136" s="3">
        <f t="shared" si="49"/>
        <v>1.7961208913486792E-2</v>
      </c>
      <c r="M136" s="3">
        <f t="shared" si="49"/>
        <v>1.7959411757088973E-2</v>
      </c>
      <c r="N136" s="3">
        <f t="shared" si="49"/>
        <v>1.7941450080201385E-2</v>
      </c>
      <c r="O136" s="3">
        <f t="shared" si="49"/>
        <v>1.7762818369649224E-2</v>
      </c>
      <c r="P136" s="3">
        <f t="shared" si="49"/>
        <v>1.6071455666061281E-2</v>
      </c>
      <c r="Q136" s="3">
        <f t="shared" si="49"/>
        <v>5.908654695734995E-3</v>
      </c>
      <c r="R136" s="3">
        <f t="shared" si="49"/>
        <v>2.6657693359725652E-7</v>
      </c>
      <c r="S136" s="3">
        <f t="shared" si="49"/>
        <v>9.31455570855928E-51</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2.0382209262680421E-2</v>
      </c>
      <c r="C137" s="3">
        <f t="shared" si="51"/>
        <v>2.0382209262680404E-2</v>
      </c>
      <c r="D137" s="3">
        <f t="shared" si="51"/>
        <v>2.038220926268022E-2</v>
      </c>
      <c r="E137" s="3">
        <f t="shared" si="51"/>
        <v>2.0382209262678381E-2</v>
      </c>
      <c r="F137" s="3">
        <f t="shared" si="51"/>
        <v>2.0382209262659982E-2</v>
      </c>
      <c r="G137" s="3">
        <f t="shared" si="51"/>
        <v>2.0382209262476001E-2</v>
      </c>
      <c r="H137" s="3">
        <f t="shared" si="51"/>
        <v>2.0382209260636205E-2</v>
      </c>
      <c r="I137" s="3">
        <f t="shared" si="51"/>
        <v>2.0382209242238235E-2</v>
      </c>
      <c r="J137" s="3">
        <f t="shared" si="51"/>
        <v>2.0382209058258549E-2</v>
      </c>
      <c r="K137" s="3">
        <f t="shared" si="51"/>
        <v>2.0382207218461745E-2</v>
      </c>
      <c r="L137" s="3">
        <f t="shared" si="51"/>
        <v>2.0382188820502831E-2</v>
      </c>
      <c r="M137" s="3">
        <f t="shared" si="51"/>
        <v>2.0382004841827082E-2</v>
      </c>
      <c r="N137" s="3">
        <f t="shared" si="51"/>
        <v>2.0380165146404162E-2</v>
      </c>
      <c r="O137" s="3">
        <f t="shared" si="51"/>
        <v>2.0361777322580123E-2</v>
      </c>
      <c r="P137" s="3">
        <f t="shared" si="51"/>
        <v>2.0178809082834922E-2</v>
      </c>
      <c r="Q137" s="3">
        <f t="shared" si="51"/>
        <v>1.8437159314943764E-2</v>
      </c>
      <c r="R137" s="3">
        <f t="shared" si="51"/>
        <v>7.4761632991322243E-3</v>
      </c>
      <c r="S137" s="3">
        <f t="shared" si="51"/>
        <v>8.9851738430752263E-7</v>
      </c>
      <c r="T137" s="3">
        <f t="shared" si="51"/>
        <v>5.6494157482377888E-46</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2.3191773100904155E-2</v>
      </c>
      <c r="C138" s="3">
        <f t="shared" si="53"/>
        <v>2.3191773100904152E-2</v>
      </c>
      <c r="D138" s="3">
        <f t="shared" si="53"/>
        <v>2.3191773100904135E-2</v>
      </c>
      <c r="E138" s="3">
        <f t="shared" si="53"/>
        <v>2.3191773100903947E-2</v>
      </c>
      <c r="F138" s="3">
        <f t="shared" si="53"/>
        <v>2.3191773100902056E-2</v>
      </c>
      <c r="G138" s="3">
        <f t="shared" si="53"/>
        <v>2.3191773100883172E-2</v>
      </c>
      <c r="H138" s="3">
        <f t="shared" si="53"/>
        <v>2.319177310069433E-2</v>
      </c>
      <c r="I138" s="3">
        <f t="shared" si="53"/>
        <v>2.319177309880591E-2</v>
      </c>
      <c r="J138" s="3">
        <f t="shared" si="53"/>
        <v>2.3191773079921683E-2</v>
      </c>
      <c r="K138" s="3">
        <f t="shared" si="53"/>
        <v>2.3191772891079432E-2</v>
      </c>
      <c r="L138" s="3">
        <f t="shared" si="53"/>
        <v>2.3191771002657E-2</v>
      </c>
      <c r="M138" s="3">
        <f t="shared" si="53"/>
        <v>2.3191752118441131E-2</v>
      </c>
      <c r="N138" s="3">
        <f t="shared" si="53"/>
        <v>2.3191563277128169E-2</v>
      </c>
      <c r="O138" s="3">
        <f t="shared" si="53"/>
        <v>2.3189674948567812E-2</v>
      </c>
      <c r="P138" s="3">
        <f t="shared" si="53"/>
        <v>2.3170800117343158E-2</v>
      </c>
      <c r="Q138" s="3">
        <f t="shared" si="53"/>
        <v>2.2982894701410683E-2</v>
      </c>
      <c r="R138" s="3">
        <f t="shared" si="53"/>
        <v>2.118564508047303E-2</v>
      </c>
      <c r="S138" s="3">
        <f t="shared" si="53"/>
        <v>9.3845044120719357E-3</v>
      </c>
      <c r="T138" s="3">
        <f t="shared" si="53"/>
        <v>2.729655549763728E-6</v>
      </c>
      <c r="U138" s="3">
        <f t="shared" si="53"/>
        <v>1.1832401452912081E-41</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2.374870276432043E-2</v>
      </c>
      <c r="C139" s="3">
        <f t="shared" si="55"/>
        <v>2.374870276432043E-2</v>
      </c>
      <c r="D139" s="3">
        <f t="shared" si="55"/>
        <v>2.3748702764320426E-2</v>
      </c>
      <c r="E139" s="3">
        <f t="shared" si="55"/>
        <v>2.3748702764320413E-2</v>
      </c>
      <c r="F139" s="3">
        <f t="shared" si="55"/>
        <v>2.3748702764320236E-2</v>
      </c>
      <c r="G139" s="3">
        <f t="shared" si="55"/>
        <v>2.374870276431849E-2</v>
      </c>
      <c r="H139" s="3">
        <f t="shared" si="55"/>
        <v>2.374870276430105E-2</v>
      </c>
      <c r="I139" s="3">
        <f t="shared" si="55"/>
        <v>2.3748702764126606E-2</v>
      </c>
      <c r="J139" s="3">
        <f t="shared" si="55"/>
        <v>2.3748702762382185E-2</v>
      </c>
      <c r="K139" s="3">
        <f t="shared" si="55"/>
        <v>2.3748702744937959E-2</v>
      </c>
      <c r="L139" s="3">
        <f t="shared" si="55"/>
        <v>2.3748702570495696E-2</v>
      </c>
      <c r="M139" s="3">
        <f t="shared" si="55"/>
        <v>2.3748700826073187E-2</v>
      </c>
      <c r="N139" s="3">
        <f t="shared" si="55"/>
        <v>2.374868338185513E-2</v>
      </c>
      <c r="O139" s="3">
        <f t="shared" si="55"/>
        <v>2.3748508940379259E-2</v>
      </c>
      <c r="P139" s="3">
        <f t="shared" si="55"/>
        <v>2.3746764596091995E-2</v>
      </c>
      <c r="Q139" s="3">
        <f t="shared" si="55"/>
        <v>2.3729328198447506E-2</v>
      </c>
      <c r="R139" s="3">
        <f t="shared" si="55"/>
        <v>2.3555666833840413E-2</v>
      </c>
      <c r="S139" s="3">
        <f t="shared" si="55"/>
        <v>2.1887441769753574E-2</v>
      </c>
      <c r="T139" s="3">
        <f t="shared" si="55"/>
        <v>1.0500041346235833E-2</v>
      </c>
      <c r="U139" s="3">
        <f t="shared" si="55"/>
        <v>6.7787725860233541E-6</v>
      </c>
      <c r="V139" s="3">
        <f t="shared" si="55"/>
        <v>8.5261234600306425E-38</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2.8130744653850213E-2</v>
      </c>
      <c r="C140" s="3">
        <f t="shared" si="57"/>
        <v>2.8130744653850213E-2</v>
      </c>
      <c r="D140" s="3">
        <f t="shared" si="57"/>
        <v>2.8130744653850213E-2</v>
      </c>
      <c r="E140" s="3">
        <f t="shared" si="57"/>
        <v>2.8130744653850209E-2</v>
      </c>
      <c r="F140" s="3">
        <f t="shared" si="57"/>
        <v>2.8130744653850192E-2</v>
      </c>
      <c r="G140" s="3">
        <f t="shared" si="57"/>
        <v>2.8130744653850008E-2</v>
      </c>
      <c r="H140" s="3">
        <f t="shared" si="57"/>
        <v>2.8130744653848141E-2</v>
      </c>
      <c r="I140" s="3">
        <f t="shared" si="57"/>
        <v>2.8130744653829504E-2</v>
      </c>
      <c r="J140" s="3">
        <f t="shared" si="57"/>
        <v>2.8130744653643104E-2</v>
      </c>
      <c r="K140" s="3">
        <f t="shared" si="57"/>
        <v>2.813074465177913E-2</v>
      </c>
      <c r="L140" s="3">
        <f t="shared" si="57"/>
        <v>2.8130744633139401E-2</v>
      </c>
      <c r="M140" s="3">
        <f t="shared" si="57"/>
        <v>2.8130744446742097E-2</v>
      </c>
      <c r="N140" s="3">
        <f t="shared" si="57"/>
        <v>2.8130742582769121E-2</v>
      </c>
      <c r="O140" s="3">
        <f t="shared" si="57"/>
        <v>2.8130723943046144E-2</v>
      </c>
      <c r="P140" s="3">
        <f t="shared" si="57"/>
        <v>2.8130537546495679E-2</v>
      </c>
      <c r="Q140" s="3">
        <f t="shared" si="57"/>
        <v>2.8128673648919061E-2</v>
      </c>
      <c r="R140" s="3">
        <f t="shared" si="57"/>
        <v>2.8110041464288735E-2</v>
      </c>
      <c r="S140" s="3">
        <f t="shared" si="57"/>
        <v>2.7924397069566544E-2</v>
      </c>
      <c r="T140" s="3">
        <f t="shared" si="57"/>
        <v>2.6134066427106337E-2</v>
      </c>
      <c r="U140" s="3">
        <f t="shared" si="57"/>
        <v>1.347221016194074E-2</v>
      </c>
      <c r="V140" s="3">
        <f t="shared" si="57"/>
        <v>1.7854900450516829E-5</v>
      </c>
      <c r="W140" s="3">
        <f t="shared" si="57"/>
        <v>2.9849927041240801E-34</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2.9651765361493738E-2</v>
      </c>
      <c r="C141" s="3">
        <f t="shared" si="59"/>
        <v>2.9651765361493738E-2</v>
      </c>
      <c r="D141" s="3">
        <f t="shared" si="59"/>
        <v>2.9651765361493738E-2</v>
      </c>
      <c r="E141" s="3">
        <f t="shared" si="59"/>
        <v>2.9651765361493738E-2</v>
      </c>
      <c r="F141" s="3">
        <f t="shared" si="59"/>
        <v>2.9651765361493734E-2</v>
      </c>
      <c r="G141" s="3">
        <f t="shared" si="59"/>
        <v>2.9651765361493717E-2</v>
      </c>
      <c r="H141" s="3">
        <f t="shared" si="59"/>
        <v>2.965176536149354E-2</v>
      </c>
      <c r="I141" s="3">
        <f t="shared" si="59"/>
        <v>2.9651765361491771E-2</v>
      </c>
      <c r="J141" s="3">
        <f t="shared" si="59"/>
        <v>2.9651765361474045E-2</v>
      </c>
      <c r="K141" s="3">
        <f t="shared" si="59"/>
        <v>2.9651765361296805E-2</v>
      </c>
      <c r="L141" s="3">
        <f t="shared" si="59"/>
        <v>2.9651765359524431E-2</v>
      </c>
      <c r="M141" s="3">
        <f t="shared" si="59"/>
        <v>2.9651765341800689E-2</v>
      </c>
      <c r="N141" s="3">
        <f t="shared" si="59"/>
        <v>2.9651765164563214E-2</v>
      </c>
      <c r="O141" s="3">
        <f t="shared" si="59"/>
        <v>2.9651763392188561E-2</v>
      </c>
      <c r="P141" s="3">
        <f t="shared" si="59"/>
        <v>2.9651745668447849E-2</v>
      </c>
      <c r="Q141" s="3">
        <f t="shared" si="59"/>
        <v>2.9651568431623389E-2</v>
      </c>
      <c r="R141" s="3">
        <f t="shared" si="59"/>
        <v>2.9649796121644461E-2</v>
      </c>
      <c r="S141" s="3">
        <f t="shared" si="59"/>
        <v>2.9632078847131225E-2</v>
      </c>
      <c r="T141" s="3">
        <f t="shared" si="59"/>
        <v>2.9455487343344459E-2</v>
      </c>
      <c r="U141" s="3">
        <f t="shared" si="59"/>
        <v>2.7746431260487588E-2</v>
      </c>
      <c r="V141" s="3">
        <f t="shared" si="59"/>
        <v>1.5262171468124195E-2</v>
      </c>
      <c r="W141" s="3">
        <f t="shared" si="59"/>
        <v>3.8699761744417276E-5</v>
      </c>
      <c r="X141" s="3">
        <f t="shared" si="59"/>
        <v>4.252339390149049E-31</v>
      </c>
      <c r="Y141" s="3">
        <f t="shared" si="59"/>
        <v>1.0909986180281771E-290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3.0087522375858353E-2</v>
      </c>
      <c r="C142" s="3">
        <f t="shared" si="61"/>
        <v>3.0087522375858353E-2</v>
      </c>
      <c r="D142" s="3">
        <f t="shared" si="61"/>
        <v>3.0087522375858353E-2</v>
      </c>
      <c r="E142" s="3">
        <f t="shared" si="61"/>
        <v>3.0087522375858353E-2</v>
      </c>
      <c r="F142" s="3">
        <f t="shared" si="61"/>
        <v>3.0087522375858353E-2</v>
      </c>
      <c r="G142" s="3">
        <f t="shared" si="61"/>
        <v>3.008752237585835E-2</v>
      </c>
      <c r="H142" s="3">
        <f t="shared" si="61"/>
        <v>3.0087522375858336E-2</v>
      </c>
      <c r="I142" s="3">
        <f t="shared" si="61"/>
        <v>3.0087522375858173E-2</v>
      </c>
      <c r="J142" s="3">
        <f t="shared" si="61"/>
        <v>3.0087522375856549E-2</v>
      </c>
      <c r="K142" s="3">
        <f t="shared" si="61"/>
        <v>3.008752237584033E-2</v>
      </c>
      <c r="L142" s="3">
        <f t="shared" si="61"/>
        <v>3.0087522375678095E-2</v>
      </c>
      <c r="M142" s="3">
        <f t="shared" si="61"/>
        <v>3.0087522374055771E-2</v>
      </c>
      <c r="N142" s="3">
        <f t="shared" si="61"/>
        <v>3.0087522357832516E-2</v>
      </c>
      <c r="O142" s="3">
        <f t="shared" si="61"/>
        <v>3.0087522195599958E-2</v>
      </c>
      <c r="P142" s="3">
        <f t="shared" si="61"/>
        <v>3.0087520573274459E-2</v>
      </c>
      <c r="Q142" s="3">
        <f t="shared" si="61"/>
        <v>3.0087504350024268E-2</v>
      </c>
      <c r="R142" s="3">
        <f t="shared" si="61"/>
        <v>3.0087342118003468E-2</v>
      </c>
      <c r="S142" s="3">
        <f t="shared" si="61"/>
        <v>3.0085719845906262E-2</v>
      </c>
      <c r="T142" s="3">
        <f t="shared" si="61"/>
        <v>3.0069501935055379E-2</v>
      </c>
      <c r="U142" s="3">
        <f t="shared" si="61"/>
        <v>2.9907802880401107E-2</v>
      </c>
      <c r="V142" s="3">
        <f t="shared" si="61"/>
        <v>2.8337873645357291E-2</v>
      </c>
      <c r="W142" s="3">
        <f t="shared" si="61"/>
        <v>1.6527027840319928E-2</v>
      </c>
      <c r="X142" s="3">
        <f t="shared" si="61"/>
        <v>7.5243631942189032E-5</v>
      </c>
      <c r="Y142" s="3">
        <f t="shared" si="61"/>
        <v>2.8788541798521303E-28</v>
      </c>
      <c r="Z142" s="3">
        <f t="shared" si="61"/>
        <v>1.9351687333528974E-262</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2.6649166629010242E-2</v>
      </c>
      <c r="C143" s="3">
        <f t="shared" si="63"/>
        <v>2.6649166629010242E-2</v>
      </c>
      <c r="D143" s="3">
        <f t="shared" si="63"/>
        <v>2.6649166629010242E-2</v>
      </c>
      <c r="E143" s="3">
        <f t="shared" si="63"/>
        <v>2.6649166629010242E-2</v>
      </c>
      <c r="F143" s="3">
        <f t="shared" si="63"/>
        <v>2.6649166629010242E-2</v>
      </c>
      <c r="G143" s="3">
        <f t="shared" si="63"/>
        <v>2.6649166629010242E-2</v>
      </c>
      <c r="H143" s="3">
        <f t="shared" si="63"/>
        <v>2.6649166629010242E-2</v>
      </c>
      <c r="I143" s="3">
        <f t="shared" si="63"/>
        <v>2.6649166629010228E-2</v>
      </c>
      <c r="J143" s="3">
        <f t="shared" si="63"/>
        <v>2.6649166629010096E-2</v>
      </c>
      <c r="K143" s="3">
        <f t="shared" si="63"/>
        <v>2.6649166629008802E-2</v>
      </c>
      <c r="L143" s="3">
        <f t="shared" si="63"/>
        <v>2.664916662899584E-2</v>
      </c>
      <c r="M143" s="3">
        <f t="shared" si="63"/>
        <v>2.6649166628866218E-2</v>
      </c>
      <c r="N143" s="3">
        <f t="shared" si="63"/>
        <v>2.6649166627569987E-2</v>
      </c>
      <c r="O143" s="3">
        <f t="shared" si="63"/>
        <v>2.6649166614607697E-2</v>
      </c>
      <c r="P143" s="3">
        <f t="shared" si="63"/>
        <v>2.6649166484984773E-2</v>
      </c>
      <c r="Q143" s="3">
        <f t="shared" si="63"/>
        <v>2.6649165188755597E-2</v>
      </c>
      <c r="R143" s="3">
        <f t="shared" si="63"/>
        <v>2.6649152226467285E-2</v>
      </c>
      <c r="S143" s="3">
        <f t="shared" si="63"/>
        <v>2.6649022603930969E-2</v>
      </c>
      <c r="T143" s="3">
        <f t="shared" si="63"/>
        <v>2.6647726413244158E-2</v>
      </c>
      <c r="U143" s="3">
        <f t="shared" si="63"/>
        <v>2.6634767973391937E-2</v>
      </c>
      <c r="V143" s="3">
        <f t="shared" si="63"/>
        <v>2.650552965330779E-2</v>
      </c>
      <c r="W143" s="3">
        <f t="shared" si="63"/>
        <v>2.5247139479716851E-2</v>
      </c>
      <c r="X143" s="3">
        <f t="shared" si="63"/>
        <v>1.5522765700333781E-2</v>
      </c>
      <c r="Y143" s="3">
        <f t="shared" si="63"/>
        <v>1.1982248773208311E-4</v>
      </c>
      <c r="Z143" s="3">
        <f t="shared" si="63"/>
        <v>8.9997538178218016E-26</v>
      </c>
      <c r="AA143" s="3">
        <f t="shared" ref="AA143" si="64">$C29*EXP(-AA$129/$A29/EXP(-$B$126))</f>
        <v>5.1422549698300945E-237</v>
      </c>
      <c r="AB143" s="3">
        <f t="shared" si="46"/>
        <v>0</v>
      </c>
      <c r="AC143" s="3">
        <f t="shared" si="46"/>
        <v>0</v>
      </c>
      <c r="AD143" s="3">
        <f t="shared" si="46"/>
        <v>0</v>
      </c>
      <c r="AE143" s="3">
        <f t="shared" si="46"/>
        <v>0</v>
      </c>
      <c r="AF143" s="3">
        <f t="shared" si="46"/>
        <v>0</v>
      </c>
    </row>
    <row r="144" spans="1:33" x14ac:dyDescent="0.25">
      <c r="B144" s="3">
        <f t="shared" ref="B144:Z144" si="65">$C30*EXP(-B$129/$A30/EXP(-$B$126))</f>
        <v>3.2769511002714927E-2</v>
      </c>
      <c r="C144" s="3">
        <f t="shared" si="65"/>
        <v>3.2769511002714927E-2</v>
      </c>
      <c r="D144" s="3">
        <f t="shared" si="65"/>
        <v>3.2769511002714927E-2</v>
      </c>
      <c r="E144" s="3">
        <f t="shared" si="65"/>
        <v>3.2769511002714927E-2</v>
      </c>
      <c r="F144" s="3">
        <f t="shared" si="65"/>
        <v>3.2769511002714927E-2</v>
      </c>
      <c r="G144" s="3">
        <f t="shared" si="65"/>
        <v>3.2769511002714927E-2</v>
      </c>
      <c r="H144" s="3">
        <f t="shared" si="65"/>
        <v>3.2769511002714927E-2</v>
      </c>
      <c r="I144" s="3">
        <f t="shared" si="65"/>
        <v>3.2769511002714927E-2</v>
      </c>
      <c r="J144" s="3">
        <f t="shared" si="65"/>
        <v>3.2769511002714913E-2</v>
      </c>
      <c r="K144" s="3">
        <f t="shared" si="65"/>
        <v>3.2769511002714767E-2</v>
      </c>
      <c r="L144" s="3">
        <f t="shared" si="65"/>
        <v>3.2769511002713331E-2</v>
      </c>
      <c r="M144" s="3">
        <f t="shared" si="65"/>
        <v>3.2769511002698953E-2</v>
      </c>
      <c r="N144" s="3">
        <f t="shared" si="65"/>
        <v>3.2769511002555166E-2</v>
      </c>
      <c r="O144" s="3">
        <f t="shared" si="65"/>
        <v>3.2769511001117309E-2</v>
      </c>
      <c r="P144" s="3">
        <f t="shared" si="65"/>
        <v>3.2769510986738776E-2</v>
      </c>
      <c r="Q144" s="3">
        <f t="shared" si="65"/>
        <v>3.2769510842953396E-2</v>
      </c>
      <c r="R144" s="3">
        <f t="shared" si="65"/>
        <v>3.2769509405099644E-2</v>
      </c>
      <c r="S144" s="3">
        <f t="shared" si="65"/>
        <v>3.2769495026565641E-2</v>
      </c>
      <c r="T144" s="3">
        <f t="shared" si="65"/>
        <v>3.276935124157259E-2</v>
      </c>
      <c r="U144" s="3">
        <f t="shared" si="65"/>
        <v>3.2767913426340896E-2</v>
      </c>
      <c r="V144" s="3">
        <f t="shared" si="65"/>
        <v>3.2753538743339743E-2</v>
      </c>
      <c r="W144" s="3">
        <f t="shared" si="65"/>
        <v>3.2610138282338455E-2</v>
      </c>
      <c r="X144" s="3">
        <f t="shared" si="65"/>
        <v>3.1210214789565999E-2</v>
      </c>
      <c r="Y144" s="3">
        <f t="shared" si="65"/>
        <v>2.0125094498393607E-2</v>
      </c>
      <c r="Z144" s="3">
        <f t="shared" si="65"/>
        <v>2.5012070045373885E-4</v>
      </c>
      <c r="AA144" s="3">
        <f t="shared" ref="AA144" si="66">$C30*EXP(-AA$129/$A30/EXP(-$B$126))</f>
        <v>2.1992100709821277E-23</v>
      </c>
      <c r="AB144" s="3">
        <f t="shared" ref="AB144:AF153" si="67">$C30*EXP(-AB$129/$A30/EXP(-$B$126))</f>
        <v>6.0734786561097046E-214</v>
      </c>
      <c r="AC144" s="3">
        <f t="shared" si="67"/>
        <v>0</v>
      </c>
      <c r="AD144" s="3">
        <f t="shared" si="67"/>
        <v>0</v>
      </c>
      <c r="AE144" s="3">
        <f t="shared" si="67"/>
        <v>0</v>
      </c>
      <c r="AF144" s="3">
        <f t="shared" si="67"/>
        <v>0</v>
      </c>
    </row>
    <row r="145" spans="1:32" x14ac:dyDescent="0.25">
      <c r="B145" s="3">
        <f t="shared" ref="B145:Z145" si="68">$C31*EXP(-B$129/$A31/EXP(-$B$126))</f>
        <v>4.1907199465091145E-2</v>
      </c>
      <c r="C145" s="3">
        <f t="shared" si="68"/>
        <v>4.1907199465091145E-2</v>
      </c>
      <c r="D145" s="3">
        <f t="shared" si="68"/>
        <v>4.1907199465091145E-2</v>
      </c>
      <c r="E145" s="3">
        <f t="shared" si="68"/>
        <v>4.1907199465091145E-2</v>
      </c>
      <c r="F145" s="3">
        <f t="shared" si="68"/>
        <v>4.1907199465091145E-2</v>
      </c>
      <c r="G145" s="3">
        <f t="shared" si="68"/>
        <v>4.1907199465091145E-2</v>
      </c>
      <c r="H145" s="3">
        <f t="shared" si="68"/>
        <v>4.1907199465091145E-2</v>
      </c>
      <c r="I145" s="3">
        <f t="shared" si="68"/>
        <v>4.1907199465091145E-2</v>
      </c>
      <c r="J145" s="3">
        <f t="shared" si="68"/>
        <v>4.1907199465091145E-2</v>
      </c>
      <c r="K145" s="3">
        <f t="shared" si="68"/>
        <v>4.1907199465091124E-2</v>
      </c>
      <c r="L145" s="3">
        <f t="shared" si="68"/>
        <v>4.1907199465090958E-2</v>
      </c>
      <c r="M145" s="3">
        <f t="shared" si="68"/>
        <v>4.19071994650893E-2</v>
      </c>
      <c r="N145" s="3">
        <f t="shared" si="68"/>
        <v>4.1907199465072716E-2</v>
      </c>
      <c r="O145" s="3">
        <f t="shared" si="68"/>
        <v>4.1907199464906841E-2</v>
      </c>
      <c r="P145" s="3">
        <f t="shared" si="68"/>
        <v>4.1907199463248092E-2</v>
      </c>
      <c r="Q145" s="3">
        <f t="shared" si="68"/>
        <v>4.1907199446660631E-2</v>
      </c>
      <c r="R145" s="3">
        <f t="shared" si="68"/>
        <v>4.1907199280785991E-2</v>
      </c>
      <c r="S145" s="3">
        <f t="shared" si="68"/>
        <v>4.1907197622039621E-2</v>
      </c>
      <c r="T145" s="3">
        <f t="shared" si="68"/>
        <v>4.1907181034579591E-2</v>
      </c>
      <c r="U145" s="3">
        <f t="shared" si="68"/>
        <v>4.1907015160340309E-2</v>
      </c>
      <c r="V145" s="3">
        <f t="shared" si="68"/>
        <v>4.1905356454057456E-2</v>
      </c>
      <c r="W145" s="3">
        <f t="shared" si="68"/>
        <v>4.1888773001695925E-2</v>
      </c>
      <c r="X145" s="3">
        <f t="shared" si="68"/>
        <v>4.1723298996575786E-2</v>
      </c>
      <c r="Y145" s="3">
        <f t="shared" si="68"/>
        <v>4.0104088354448529E-2</v>
      </c>
      <c r="Z145" s="3">
        <f t="shared" si="68"/>
        <v>2.6995335637797001E-2</v>
      </c>
      <c r="AA145" s="3">
        <f t="shared" ref="AA145" si="69">$C31*EXP(-AA$129/$A31/EXP(-$B$126))</f>
        <v>5.1557228372501023E-4</v>
      </c>
      <c r="AB145" s="3">
        <f t="shared" si="67"/>
        <v>3.328877940677959E-21</v>
      </c>
      <c r="AC145" s="3">
        <f t="shared" si="67"/>
        <v>4.1916108894478003E-193</v>
      </c>
      <c r="AD145" s="3">
        <f t="shared" si="67"/>
        <v>0</v>
      </c>
      <c r="AE145" s="3">
        <f t="shared" si="67"/>
        <v>0</v>
      </c>
      <c r="AF145" s="3">
        <f t="shared" si="67"/>
        <v>0</v>
      </c>
    </row>
    <row r="146" spans="1:32" x14ac:dyDescent="0.25">
      <c r="B146" s="3">
        <f t="shared" ref="B146:Z146" si="70">$C32*EXP(-B$129/$A32/EXP(-$B$126))</f>
        <v>3.8766931941006839E-2</v>
      </c>
      <c r="C146" s="3">
        <f t="shared" si="70"/>
        <v>3.8766931941006839E-2</v>
      </c>
      <c r="D146" s="3">
        <f t="shared" si="70"/>
        <v>3.8766931941006839E-2</v>
      </c>
      <c r="E146" s="3">
        <f t="shared" si="70"/>
        <v>3.8766931941006839E-2</v>
      </c>
      <c r="F146" s="3">
        <f t="shared" si="70"/>
        <v>3.8766931941006839E-2</v>
      </c>
      <c r="G146" s="3">
        <f t="shared" si="70"/>
        <v>3.8766931941006839E-2</v>
      </c>
      <c r="H146" s="3">
        <f t="shared" si="70"/>
        <v>3.8766931941006839E-2</v>
      </c>
      <c r="I146" s="3">
        <f t="shared" si="70"/>
        <v>3.8766931941006839E-2</v>
      </c>
      <c r="J146" s="3">
        <f t="shared" si="70"/>
        <v>3.8766931941006839E-2</v>
      </c>
      <c r="K146" s="3">
        <f t="shared" si="70"/>
        <v>3.8766931941006839E-2</v>
      </c>
      <c r="L146" s="3">
        <f t="shared" si="70"/>
        <v>3.8766931941006826E-2</v>
      </c>
      <c r="M146" s="3">
        <f t="shared" si="70"/>
        <v>3.8766931941006687E-2</v>
      </c>
      <c r="N146" s="3">
        <f t="shared" si="70"/>
        <v>3.8766931941005306E-2</v>
      </c>
      <c r="O146" s="3">
        <f t="shared" si="70"/>
        <v>3.8766931940991463E-2</v>
      </c>
      <c r="P146" s="3">
        <f t="shared" si="70"/>
        <v>3.8766931940853039E-2</v>
      </c>
      <c r="Q146" s="3">
        <f t="shared" si="70"/>
        <v>3.8766931939468841E-2</v>
      </c>
      <c r="R146" s="3">
        <f t="shared" si="70"/>
        <v>3.8766931925626823E-2</v>
      </c>
      <c r="S146" s="3">
        <f t="shared" si="70"/>
        <v>3.8766931787206652E-2</v>
      </c>
      <c r="T146" s="3">
        <f t="shared" si="70"/>
        <v>3.8766930403004982E-2</v>
      </c>
      <c r="U146" s="3">
        <f t="shared" si="70"/>
        <v>3.8766916560991002E-2</v>
      </c>
      <c r="V146" s="3">
        <f t="shared" si="70"/>
        <v>3.8766778141123066E-2</v>
      </c>
      <c r="W146" s="3">
        <f t="shared" si="70"/>
        <v>3.8765393969626416E-2</v>
      </c>
      <c r="X146" s="3">
        <f t="shared" si="70"/>
        <v>3.875155497257745E-2</v>
      </c>
      <c r="Y146" s="3">
        <f t="shared" si="70"/>
        <v>3.8613436435110358E-2</v>
      </c>
      <c r="Z146" s="3">
        <f t="shared" si="70"/>
        <v>3.7259039168327401E-2</v>
      </c>
      <c r="AA146" s="3">
        <f t="shared" ref="AA146" si="71">$C32*EXP(-AA$129/$A32/EXP(-$B$126))</f>
        <v>2.6071356331948552E-2</v>
      </c>
      <c r="AB146" s="3">
        <f t="shared" si="67"/>
        <v>7.3364061781705926E-4</v>
      </c>
      <c r="AC146" s="3">
        <f t="shared" si="67"/>
        <v>2.2839195024246159E-19</v>
      </c>
      <c r="AD146" s="3">
        <f t="shared" si="67"/>
        <v>1.9527877564259429E-174</v>
      </c>
      <c r="AE146" s="3">
        <f t="shared" si="67"/>
        <v>0</v>
      </c>
      <c r="AF146" s="3">
        <f t="shared" si="67"/>
        <v>0</v>
      </c>
    </row>
    <row r="147" spans="1:32" x14ac:dyDescent="0.25">
      <c r="B147" s="3">
        <f t="shared" ref="B147:Z147" si="72">$C33*EXP(-B$129/$A33/EXP(-$B$126))</f>
        <v>3.2038673628359195E-2</v>
      </c>
      <c r="C147" s="3">
        <f t="shared" si="72"/>
        <v>3.2038673628359195E-2</v>
      </c>
      <c r="D147" s="3">
        <f t="shared" si="72"/>
        <v>3.2038673628359195E-2</v>
      </c>
      <c r="E147" s="3">
        <f t="shared" si="72"/>
        <v>3.2038673628359195E-2</v>
      </c>
      <c r="F147" s="3">
        <f t="shared" si="72"/>
        <v>3.2038673628359195E-2</v>
      </c>
      <c r="G147" s="3">
        <f t="shared" si="72"/>
        <v>3.2038673628359195E-2</v>
      </c>
      <c r="H147" s="3">
        <f t="shared" si="72"/>
        <v>3.2038673628359195E-2</v>
      </c>
      <c r="I147" s="3">
        <f t="shared" si="72"/>
        <v>3.2038673628359195E-2</v>
      </c>
      <c r="J147" s="3">
        <f t="shared" si="72"/>
        <v>3.2038673628359195E-2</v>
      </c>
      <c r="K147" s="3">
        <f t="shared" si="72"/>
        <v>3.2038673628359195E-2</v>
      </c>
      <c r="L147" s="3">
        <f t="shared" si="72"/>
        <v>3.2038673628359195E-2</v>
      </c>
      <c r="M147" s="3">
        <f t="shared" si="72"/>
        <v>3.2038673628359181E-2</v>
      </c>
      <c r="N147" s="3">
        <f t="shared" si="72"/>
        <v>3.2038673628359084E-2</v>
      </c>
      <c r="O147" s="3">
        <f t="shared" si="72"/>
        <v>3.203867362835805E-2</v>
      </c>
      <c r="P147" s="3">
        <f t="shared" si="72"/>
        <v>3.2038673628347725E-2</v>
      </c>
      <c r="Q147" s="3">
        <f t="shared" si="72"/>
        <v>3.2038673628244536E-2</v>
      </c>
      <c r="R147" s="3">
        <f t="shared" si="72"/>
        <v>3.2038673627212584E-2</v>
      </c>
      <c r="S147" s="3">
        <f t="shared" si="72"/>
        <v>3.2038673616893068E-2</v>
      </c>
      <c r="T147" s="3">
        <f t="shared" si="72"/>
        <v>3.2038673513697977E-2</v>
      </c>
      <c r="U147" s="3">
        <f t="shared" si="72"/>
        <v>3.2038672481747021E-2</v>
      </c>
      <c r="V147" s="3">
        <f t="shared" si="72"/>
        <v>3.2038662162239301E-2</v>
      </c>
      <c r="W147" s="3">
        <f t="shared" si="72"/>
        <v>3.2038558967344928E-2</v>
      </c>
      <c r="X147" s="3">
        <f t="shared" si="72"/>
        <v>3.2037527036682181E-2</v>
      </c>
      <c r="Y147" s="3">
        <f t="shared" si="72"/>
        <v>3.2027209557939397E-2</v>
      </c>
      <c r="Z147" s="3">
        <f t="shared" si="72"/>
        <v>3.192421734132548E-2</v>
      </c>
      <c r="AA147" s="3">
        <f t="shared" ref="AA147" si="73">$C33*EXP(-AA$129/$A33/EXP(-$B$126))</f>
        <v>3.091233653911403E-2</v>
      </c>
      <c r="AB147" s="3">
        <f t="shared" si="67"/>
        <v>2.2399977042625339E-2</v>
      </c>
      <c r="AC147" s="3">
        <f t="shared" si="67"/>
        <v>8.9413887383801144E-4</v>
      </c>
      <c r="AD147" s="3">
        <f t="shared" si="67"/>
        <v>9.1828821865655889E-18</v>
      </c>
      <c r="AE147" s="3">
        <f t="shared" si="67"/>
        <v>1.1987244660790334E-157</v>
      </c>
      <c r="AF147" s="3">
        <f t="shared" si="67"/>
        <v>0</v>
      </c>
    </row>
    <row r="148" spans="1:32" x14ac:dyDescent="0.25">
      <c r="B148" s="3">
        <f t="shared" ref="B148:Z148" si="74">$C34*EXP(-B$129/$A34/EXP(-$B$126))</f>
        <v>3.8815204020590376E-2</v>
      </c>
      <c r="C148" s="3">
        <f t="shared" si="74"/>
        <v>3.8815204020590376E-2</v>
      </c>
      <c r="D148" s="3">
        <f t="shared" si="74"/>
        <v>3.8815204020590376E-2</v>
      </c>
      <c r="E148" s="3">
        <f t="shared" si="74"/>
        <v>3.8815204020590376E-2</v>
      </c>
      <c r="F148" s="3">
        <f t="shared" si="74"/>
        <v>3.8815204020590376E-2</v>
      </c>
      <c r="G148" s="3">
        <f t="shared" si="74"/>
        <v>3.8815204020590376E-2</v>
      </c>
      <c r="H148" s="3">
        <f t="shared" si="74"/>
        <v>3.8815204020590376E-2</v>
      </c>
      <c r="I148" s="3">
        <f t="shared" si="74"/>
        <v>3.8815204020590376E-2</v>
      </c>
      <c r="J148" s="3">
        <f t="shared" si="74"/>
        <v>3.8815204020590376E-2</v>
      </c>
      <c r="K148" s="3">
        <f t="shared" si="74"/>
        <v>3.8815204020590376E-2</v>
      </c>
      <c r="L148" s="3">
        <f t="shared" si="74"/>
        <v>3.8815204020590376E-2</v>
      </c>
      <c r="M148" s="3">
        <f t="shared" si="74"/>
        <v>3.8815204020590376E-2</v>
      </c>
      <c r="N148" s="3">
        <f t="shared" si="74"/>
        <v>3.8815204020590362E-2</v>
      </c>
      <c r="O148" s="3">
        <f t="shared" si="74"/>
        <v>3.8815204020590251E-2</v>
      </c>
      <c r="P148" s="3">
        <f t="shared" si="74"/>
        <v>3.881520402058912E-2</v>
      </c>
      <c r="Q148" s="3">
        <f t="shared" si="74"/>
        <v>3.8815204020577844E-2</v>
      </c>
      <c r="R148" s="3">
        <f t="shared" si="74"/>
        <v>3.8815204020465066E-2</v>
      </c>
      <c r="S148" s="3">
        <f t="shared" si="74"/>
        <v>3.881520401933726E-2</v>
      </c>
      <c r="T148" s="3">
        <f t="shared" si="74"/>
        <v>3.881520400805924E-2</v>
      </c>
      <c r="U148" s="3">
        <f t="shared" si="74"/>
        <v>3.8815203895279003E-2</v>
      </c>
      <c r="V148" s="3">
        <f t="shared" si="74"/>
        <v>3.8815202767476659E-2</v>
      </c>
      <c r="W148" s="3">
        <f t="shared" si="74"/>
        <v>3.8815191489454989E-2</v>
      </c>
      <c r="X148" s="3">
        <f t="shared" si="74"/>
        <v>3.881507870941861E-2</v>
      </c>
      <c r="Y148" s="3">
        <f t="shared" si="74"/>
        <v>3.881395092707756E-2</v>
      </c>
      <c r="Z148" s="3">
        <f t="shared" si="74"/>
        <v>3.8802674905750692E-2</v>
      </c>
      <c r="AA148" s="3">
        <f>$C34*EXP(-AA$129/$A34/EXP(-$B$126))</f>
        <v>3.8690094707261383E-2</v>
      </c>
      <c r="AB148" s="3">
        <f t="shared" si="67"/>
        <v>3.7582102168431872E-2</v>
      </c>
      <c r="AC148" s="3">
        <f t="shared" si="67"/>
        <v>2.8105662666896201E-2</v>
      </c>
      <c r="AD148" s="3">
        <f t="shared" si="67"/>
        <v>1.5378764090890798E-3</v>
      </c>
      <c r="AE148" s="3">
        <f t="shared" si="67"/>
        <v>3.6999639294406071E-16</v>
      </c>
      <c r="AF148" s="3">
        <f t="shared" si="67"/>
        <v>2.4041305254344295E-142</v>
      </c>
    </row>
    <row r="149" spans="1:32" x14ac:dyDescent="0.25">
      <c r="B149" s="3">
        <f t="shared" ref="B149:Z149" si="75">$C35*EXP(-B$129/$A35/EXP(-$B$126))</f>
        <v>3.675792152056976E-2</v>
      </c>
      <c r="C149" s="3">
        <f t="shared" si="75"/>
        <v>3.675792152056976E-2</v>
      </c>
      <c r="D149" s="3">
        <f t="shared" si="75"/>
        <v>3.675792152056976E-2</v>
      </c>
      <c r="E149" s="3">
        <f t="shared" si="75"/>
        <v>3.675792152056976E-2</v>
      </c>
      <c r="F149" s="3">
        <f t="shared" si="75"/>
        <v>3.675792152056976E-2</v>
      </c>
      <c r="G149" s="3">
        <f t="shared" si="75"/>
        <v>3.675792152056976E-2</v>
      </c>
      <c r="H149" s="3">
        <f t="shared" si="75"/>
        <v>3.675792152056976E-2</v>
      </c>
      <c r="I149" s="3">
        <f t="shared" si="75"/>
        <v>3.675792152056976E-2</v>
      </c>
      <c r="J149" s="3">
        <f t="shared" si="75"/>
        <v>3.675792152056976E-2</v>
      </c>
      <c r="K149" s="3">
        <f t="shared" si="75"/>
        <v>3.675792152056976E-2</v>
      </c>
      <c r="L149" s="3">
        <f t="shared" si="75"/>
        <v>3.675792152056976E-2</v>
      </c>
      <c r="M149" s="3">
        <f t="shared" si="75"/>
        <v>3.675792152056976E-2</v>
      </c>
      <c r="N149" s="3">
        <f t="shared" si="75"/>
        <v>3.675792152056976E-2</v>
      </c>
      <c r="O149" s="3">
        <f t="shared" si="75"/>
        <v>3.6757921520569746E-2</v>
      </c>
      <c r="P149" s="3">
        <f t="shared" si="75"/>
        <v>3.6757921520569656E-2</v>
      </c>
      <c r="Q149" s="3">
        <f t="shared" si="75"/>
        <v>3.6757921520568691E-2</v>
      </c>
      <c r="R149" s="3">
        <f t="shared" si="75"/>
        <v>3.6757921520559053E-2</v>
      </c>
      <c r="S149" s="3">
        <f t="shared" si="75"/>
        <v>3.6757921520462707E-2</v>
      </c>
      <c r="T149" s="3">
        <f t="shared" si="75"/>
        <v>3.6757921519499262E-2</v>
      </c>
      <c r="U149" s="3">
        <f t="shared" si="75"/>
        <v>3.6757921509864774E-2</v>
      </c>
      <c r="V149" s="3">
        <f t="shared" si="75"/>
        <v>3.6757921413519884E-2</v>
      </c>
      <c r="W149" s="3">
        <f t="shared" si="75"/>
        <v>3.6757920450071049E-2</v>
      </c>
      <c r="X149" s="3">
        <f t="shared" si="75"/>
        <v>3.6757910815584029E-2</v>
      </c>
      <c r="Y149" s="3">
        <f t="shared" si="75"/>
        <v>3.6757814470852752E-2</v>
      </c>
      <c r="Z149" s="3">
        <f t="shared" si="75"/>
        <v>3.6756851037428782E-2</v>
      </c>
      <c r="AA149" s="3">
        <f t="shared" ref="AA149" si="76">$C35*EXP(-AA$129/$A35/EXP(-$B$126))</f>
        <v>3.6747218091933376E-2</v>
      </c>
      <c r="AB149" s="3">
        <f t="shared" si="67"/>
        <v>3.6651027376820251E-2</v>
      </c>
      <c r="AC149" s="3">
        <f t="shared" si="67"/>
        <v>3.5702860598856932E-2</v>
      </c>
      <c r="AD149" s="3">
        <f t="shared" si="67"/>
        <v>2.7470820204442317E-2</v>
      </c>
      <c r="AE149" s="3">
        <f t="shared" si="67"/>
        <v>1.9978264056671581E-3</v>
      </c>
      <c r="AF149" s="3">
        <f t="shared" si="67"/>
        <v>8.26835232370375E-15</v>
      </c>
    </row>
    <row r="150" spans="1:32" x14ac:dyDescent="0.25">
      <c r="B150" s="3">
        <f t="shared" ref="B150:Z150" si="77">$C36*EXP(-B$129/$A36/EXP(-$B$126))</f>
        <v>3.3395319995761917E-2</v>
      </c>
      <c r="C150" s="3">
        <f t="shared" si="77"/>
        <v>3.3395319995761917E-2</v>
      </c>
      <c r="D150" s="3">
        <f t="shared" si="77"/>
        <v>3.3395319995761917E-2</v>
      </c>
      <c r="E150" s="3">
        <f t="shared" si="77"/>
        <v>3.3395319995761917E-2</v>
      </c>
      <c r="F150" s="3">
        <f t="shared" si="77"/>
        <v>3.3395319995761917E-2</v>
      </c>
      <c r="G150" s="3">
        <f t="shared" si="77"/>
        <v>3.3395319995761917E-2</v>
      </c>
      <c r="H150" s="3">
        <f t="shared" si="77"/>
        <v>3.3395319995761917E-2</v>
      </c>
      <c r="I150" s="3">
        <f t="shared" si="77"/>
        <v>3.3395319995761917E-2</v>
      </c>
      <c r="J150" s="3">
        <f t="shared" si="77"/>
        <v>3.3395319995761917E-2</v>
      </c>
      <c r="K150" s="3">
        <f t="shared" si="77"/>
        <v>3.3395319995761917E-2</v>
      </c>
      <c r="L150" s="3">
        <f t="shared" si="77"/>
        <v>3.3395319995761917E-2</v>
      </c>
      <c r="M150" s="3">
        <f t="shared" si="77"/>
        <v>3.3395319995761917E-2</v>
      </c>
      <c r="N150" s="3">
        <f t="shared" si="77"/>
        <v>3.3395319995761917E-2</v>
      </c>
      <c r="O150" s="3">
        <f t="shared" si="77"/>
        <v>3.3395319995761917E-2</v>
      </c>
      <c r="P150" s="3">
        <f t="shared" si="77"/>
        <v>3.339531999576191E-2</v>
      </c>
      <c r="Q150" s="3">
        <f t="shared" si="77"/>
        <v>3.3395319995761827E-2</v>
      </c>
      <c r="R150" s="3">
        <f t="shared" si="77"/>
        <v>3.3395319995761036E-2</v>
      </c>
      <c r="S150" s="3">
        <f t="shared" si="77"/>
        <v>3.3395319995753146E-2</v>
      </c>
      <c r="T150" s="3">
        <f t="shared" si="77"/>
        <v>3.3395319995674182E-2</v>
      </c>
      <c r="U150" s="3">
        <f t="shared" si="77"/>
        <v>3.3395319994884577E-2</v>
      </c>
      <c r="V150" s="3">
        <f t="shared" si="77"/>
        <v>3.3395319986988525E-2</v>
      </c>
      <c r="W150" s="3">
        <f t="shared" si="77"/>
        <v>3.3395319908028021E-2</v>
      </c>
      <c r="X150" s="3">
        <f t="shared" si="77"/>
        <v>3.3395319118422979E-2</v>
      </c>
      <c r="Y150" s="3">
        <f t="shared" si="77"/>
        <v>3.3395311222373582E-2</v>
      </c>
      <c r="Z150" s="3">
        <f t="shared" si="77"/>
        <v>3.3395232261982294E-2</v>
      </c>
      <c r="AA150" s="3">
        <f t="shared" ref="AA150" si="78">$C36*EXP(-AA$129/$A36/EXP(-$B$126))</f>
        <v>3.3394442668337521E-2</v>
      </c>
      <c r="AB150" s="3">
        <f t="shared" si="67"/>
        <v>3.3386547758616138E-2</v>
      </c>
      <c r="AC150" s="3">
        <f t="shared" si="67"/>
        <v>3.3307701244271744E-2</v>
      </c>
      <c r="AD150" s="3">
        <f t="shared" si="67"/>
        <v>3.2529405209462507E-2</v>
      </c>
      <c r="AE150" s="3">
        <f t="shared" si="67"/>
        <v>2.5679747006168201E-2</v>
      </c>
      <c r="AF150" s="3">
        <f t="shared" si="67"/>
        <v>2.4139981043142895E-3</v>
      </c>
    </row>
    <row r="151" spans="1:32" x14ac:dyDescent="0.25">
      <c r="B151" s="3">
        <f t="shared" ref="B151:Z151" si="79">$C37*EXP(-B$129/$A37/EXP(-$B$126))</f>
        <v>3.5168182509434494E-2</v>
      </c>
      <c r="C151" s="3">
        <f t="shared" si="79"/>
        <v>3.5168182509434494E-2</v>
      </c>
      <c r="D151" s="3">
        <f t="shared" si="79"/>
        <v>3.5168182509434494E-2</v>
      </c>
      <c r="E151" s="3">
        <f t="shared" si="79"/>
        <v>3.5168182509434494E-2</v>
      </c>
      <c r="F151" s="3">
        <f t="shared" si="79"/>
        <v>3.5168182509434494E-2</v>
      </c>
      <c r="G151" s="3">
        <f t="shared" si="79"/>
        <v>3.5168182509434494E-2</v>
      </c>
      <c r="H151" s="3">
        <f t="shared" si="79"/>
        <v>3.5168182509434494E-2</v>
      </c>
      <c r="I151" s="3">
        <f t="shared" si="79"/>
        <v>3.5168182509434494E-2</v>
      </c>
      <c r="J151" s="3">
        <f t="shared" si="79"/>
        <v>3.5168182509434494E-2</v>
      </c>
      <c r="K151" s="3">
        <f t="shared" si="79"/>
        <v>3.5168182509434494E-2</v>
      </c>
      <c r="L151" s="3">
        <f t="shared" si="79"/>
        <v>3.5168182509434494E-2</v>
      </c>
      <c r="M151" s="3">
        <f t="shared" si="79"/>
        <v>3.5168182509434494E-2</v>
      </c>
      <c r="N151" s="3">
        <f t="shared" si="79"/>
        <v>3.5168182509434494E-2</v>
      </c>
      <c r="O151" s="3">
        <f t="shared" si="79"/>
        <v>3.5168182509434494E-2</v>
      </c>
      <c r="P151" s="3">
        <f t="shared" si="79"/>
        <v>3.5168182509434494E-2</v>
      </c>
      <c r="Q151" s="3">
        <f t="shared" si="79"/>
        <v>3.5168182509434487E-2</v>
      </c>
      <c r="R151" s="3">
        <f t="shared" si="79"/>
        <v>3.5168182509434411E-2</v>
      </c>
      <c r="S151" s="3">
        <f t="shared" si="79"/>
        <v>3.5168182509433661E-2</v>
      </c>
      <c r="T151" s="3">
        <f t="shared" si="79"/>
        <v>3.516818250942616E-2</v>
      </c>
      <c r="U151" s="3">
        <f t="shared" si="79"/>
        <v>3.5168182509351151E-2</v>
      </c>
      <c r="V151" s="3">
        <f t="shared" si="79"/>
        <v>3.5168182508601042E-2</v>
      </c>
      <c r="W151" s="3">
        <f t="shared" si="79"/>
        <v>3.5168182501100015E-2</v>
      </c>
      <c r="X151" s="3">
        <f t="shared" si="79"/>
        <v>3.5168182426089732E-2</v>
      </c>
      <c r="Y151" s="3">
        <f t="shared" si="79"/>
        <v>3.516818167598687E-2</v>
      </c>
      <c r="Z151" s="3">
        <f t="shared" si="79"/>
        <v>3.5168174174959176E-2</v>
      </c>
      <c r="AA151" s="3">
        <f t="shared" ref="AA151" si="80">$C37*EXP(-AA$129/$A37/EXP(-$B$126))</f>
        <v>3.5168099164770213E-2</v>
      </c>
      <c r="AB151" s="3">
        <f t="shared" si="67"/>
        <v>3.5167349071679919E-2</v>
      </c>
      <c r="AC151" s="3">
        <f t="shared" si="67"/>
        <v>3.515984902064255E-2</v>
      </c>
      <c r="AD151" s="3">
        <f t="shared" si="67"/>
        <v>3.5084936427431136E-2</v>
      </c>
      <c r="AE151" s="3">
        <f t="shared" si="67"/>
        <v>3.4344533223690334E-2</v>
      </c>
      <c r="AF151" s="3">
        <f t="shared" si="67"/>
        <v>2.7747691761798796E-2</v>
      </c>
    </row>
    <row r="152" spans="1:32" x14ac:dyDescent="0.25">
      <c r="B152" s="3">
        <f t="shared" ref="B152:Z152" si="81">$C38*EXP(-B$129/$A38/EXP(-$B$126))</f>
        <v>2.0659155414283158E-2</v>
      </c>
      <c r="C152" s="3">
        <f t="shared" si="81"/>
        <v>2.0659155414283158E-2</v>
      </c>
      <c r="D152" s="3">
        <f t="shared" si="81"/>
        <v>2.0659155414283158E-2</v>
      </c>
      <c r="E152" s="3">
        <f t="shared" si="81"/>
        <v>2.0659155414283158E-2</v>
      </c>
      <c r="F152" s="3">
        <f t="shared" si="81"/>
        <v>2.0659155414283158E-2</v>
      </c>
      <c r="G152" s="3">
        <f t="shared" si="81"/>
        <v>2.0659155414283158E-2</v>
      </c>
      <c r="H152" s="3">
        <f t="shared" si="81"/>
        <v>2.0659155414283158E-2</v>
      </c>
      <c r="I152" s="3">
        <f t="shared" si="81"/>
        <v>2.0659155414283158E-2</v>
      </c>
      <c r="J152" s="3">
        <f t="shared" si="81"/>
        <v>2.0659155414283158E-2</v>
      </c>
      <c r="K152" s="3">
        <f t="shared" si="81"/>
        <v>2.0659155414283158E-2</v>
      </c>
      <c r="L152" s="3">
        <f t="shared" si="81"/>
        <v>2.0659155414283158E-2</v>
      </c>
      <c r="M152" s="3">
        <f t="shared" si="81"/>
        <v>2.0659155414283158E-2</v>
      </c>
      <c r="N152" s="3">
        <f t="shared" si="81"/>
        <v>2.0659155414283158E-2</v>
      </c>
      <c r="O152" s="3">
        <f t="shared" si="81"/>
        <v>2.0659155414283158E-2</v>
      </c>
      <c r="P152" s="3">
        <f t="shared" si="81"/>
        <v>2.0659155414283158E-2</v>
      </c>
      <c r="Q152" s="3">
        <f t="shared" si="81"/>
        <v>2.0659155414283158E-2</v>
      </c>
      <c r="R152" s="3">
        <f t="shared" si="81"/>
        <v>2.0659155414283155E-2</v>
      </c>
      <c r="S152" s="3">
        <f t="shared" si="81"/>
        <v>2.0659155414283113E-2</v>
      </c>
      <c r="T152" s="3">
        <f t="shared" si="81"/>
        <v>2.0659155414282714E-2</v>
      </c>
      <c r="U152" s="3">
        <f t="shared" si="81"/>
        <v>2.0659155414278742E-2</v>
      </c>
      <c r="V152" s="3">
        <f t="shared" si="81"/>
        <v>2.0659155414238992E-2</v>
      </c>
      <c r="W152" s="3">
        <f t="shared" si="81"/>
        <v>2.0659155413841501E-2</v>
      </c>
      <c r="X152" s="3">
        <f t="shared" si="81"/>
        <v>2.0659155409866563E-2</v>
      </c>
      <c r="Y152" s="3">
        <f t="shared" si="81"/>
        <v>2.0659155370117213E-2</v>
      </c>
      <c r="Z152" s="3">
        <f t="shared" si="81"/>
        <v>2.0659154972623692E-2</v>
      </c>
      <c r="AA152" s="3">
        <f t="shared" ref="AA152" si="82">$C38*EXP(-AA$129/$A38/EXP(-$B$126))</f>
        <v>2.0659150997688946E-2</v>
      </c>
      <c r="AB152" s="3">
        <f t="shared" si="67"/>
        <v>2.065911124838354E-2</v>
      </c>
      <c r="AC152" s="3">
        <f t="shared" si="67"/>
        <v>2.0658713759535804E-2</v>
      </c>
      <c r="AD152" s="3">
        <f t="shared" si="67"/>
        <v>2.0654739291664889E-2</v>
      </c>
      <c r="AE152" s="3">
        <f t="shared" si="67"/>
        <v>2.0615036643668826E-2</v>
      </c>
      <c r="AF152" s="3">
        <f t="shared" si="67"/>
        <v>2.0222183466712448E-2</v>
      </c>
    </row>
    <row r="153" spans="1:32" x14ac:dyDescent="0.25">
      <c r="B153" s="3">
        <f t="shared" ref="B153:Z153" si="83">$C39*EXP(-B$129/$A39/EXP(-$B$126))</f>
        <v>3.0227206274926977E-2</v>
      </c>
      <c r="C153" s="3">
        <f t="shared" si="83"/>
        <v>3.0227206274926977E-2</v>
      </c>
      <c r="D153" s="3">
        <f t="shared" si="83"/>
        <v>3.0227206274926977E-2</v>
      </c>
      <c r="E153" s="3">
        <f t="shared" si="83"/>
        <v>3.0227206274926977E-2</v>
      </c>
      <c r="F153" s="3">
        <f t="shared" si="83"/>
        <v>3.0227206274926977E-2</v>
      </c>
      <c r="G153" s="3">
        <f t="shared" si="83"/>
        <v>3.0227206274926977E-2</v>
      </c>
      <c r="H153" s="3">
        <f t="shared" si="83"/>
        <v>3.0227206274926977E-2</v>
      </c>
      <c r="I153" s="3">
        <f t="shared" si="83"/>
        <v>3.0227206274926977E-2</v>
      </c>
      <c r="J153" s="3">
        <f t="shared" si="83"/>
        <v>3.0227206274926977E-2</v>
      </c>
      <c r="K153" s="3">
        <f t="shared" si="83"/>
        <v>3.0227206274926977E-2</v>
      </c>
      <c r="L153" s="3">
        <f t="shared" si="83"/>
        <v>3.0227206274926977E-2</v>
      </c>
      <c r="M153" s="3">
        <f t="shared" si="83"/>
        <v>3.0227206274926977E-2</v>
      </c>
      <c r="N153" s="3">
        <f t="shared" si="83"/>
        <v>3.0227206274926977E-2</v>
      </c>
      <c r="O153" s="3">
        <f t="shared" si="83"/>
        <v>3.0227206274926977E-2</v>
      </c>
      <c r="P153" s="3">
        <f t="shared" si="83"/>
        <v>3.0227206274926977E-2</v>
      </c>
      <c r="Q153" s="3">
        <f t="shared" si="83"/>
        <v>3.0227206274926977E-2</v>
      </c>
      <c r="R153" s="3">
        <f t="shared" si="83"/>
        <v>3.0227206274926973E-2</v>
      </c>
      <c r="S153" s="3">
        <f t="shared" si="83"/>
        <v>3.0227206274926959E-2</v>
      </c>
      <c r="T153" s="3">
        <f t="shared" si="83"/>
        <v>3.02272062749268E-2</v>
      </c>
      <c r="U153" s="3">
        <f t="shared" si="83"/>
        <v>3.0227206274925186E-2</v>
      </c>
      <c r="V153" s="3">
        <f t="shared" si="83"/>
        <v>3.0227206274909102E-2</v>
      </c>
      <c r="W153" s="3">
        <f t="shared" si="83"/>
        <v>3.0227206274748251E-2</v>
      </c>
      <c r="X153" s="3">
        <f t="shared" si="83"/>
        <v>3.0227206273139726E-2</v>
      </c>
      <c r="Y153" s="3">
        <f t="shared" si="83"/>
        <v>3.0227206257054454E-2</v>
      </c>
      <c r="Z153" s="3">
        <f t="shared" si="83"/>
        <v>3.0227206096201751E-2</v>
      </c>
      <c r="AA153" s="3">
        <f t="shared" ref="AA153" si="84">$C39*EXP(-AA$129/$A39/EXP(-$B$126))</f>
        <v>3.0227204487674773E-2</v>
      </c>
      <c r="AB153" s="3">
        <f t="shared" si="67"/>
        <v>3.0227188402409694E-2</v>
      </c>
      <c r="AC153" s="3">
        <f t="shared" si="67"/>
        <v>3.0227027550229723E-2</v>
      </c>
      <c r="AD153" s="3">
        <f t="shared" si="67"/>
        <v>3.0225419075507291E-2</v>
      </c>
      <c r="AE153" s="3">
        <f t="shared" si="67"/>
        <v>3.0209339035090099E-2</v>
      </c>
      <c r="AF153" s="3">
        <f t="shared" si="67"/>
        <v>3.0049008386204237E-2</v>
      </c>
    </row>
    <row r="154" spans="1:32" x14ac:dyDescent="0.25">
      <c r="B154" s="3">
        <f t="shared" ref="B154:Z154" si="85">$C40*EXP(-B$129/$A40/EXP(-$B$126))</f>
        <v>3.7583954306508939E-2</v>
      </c>
      <c r="C154" s="3">
        <f t="shared" si="85"/>
        <v>3.7583954306508939E-2</v>
      </c>
      <c r="D154" s="3">
        <f t="shared" si="85"/>
        <v>3.7583954306508939E-2</v>
      </c>
      <c r="E154" s="3">
        <f t="shared" si="85"/>
        <v>3.7583954306508939E-2</v>
      </c>
      <c r="F154" s="3">
        <f t="shared" si="85"/>
        <v>3.7583954306508939E-2</v>
      </c>
      <c r="G154" s="3">
        <f t="shared" si="85"/>
        <v>3.7583954306508939E-2</v>
      </c>
      <c r="H154" s="3">
        <f t="shared" si="85"/>
        <v>3.7583954306508939E-2</v>
      </c>
      <c r="I154" s="3">
        <f t="shared" si="85"/>
        <v>3.7583954306508939E-2</v>
      </c>
      <c r="J154" s="3">
        <f t="shared" si="85"/>
        <v>3.7583954306508939E-2</v>
      </c>
      <c r="K154" s="3">
        <f t="shared" si="85"/>
        <v>3.7583954306508939E-2</v>
      </c>
      <c r="L154" s="3">
        <f t="shared" si="85"/>
        <v>3.7583954306508939E-2</v>
      </c>
      <c r="M154" s="3">
        <f t="shared" si="85"/>
        <v>3.7583954306508939E-2</v>
      </c>
      <c r="N154" s="3">
        <f t="shared" si="85"/>
        <v>3.7583954306508939E-2</v>
      </c>
      <c r="O154" s="3">
        <f t="shared" si="85"/>
        <v>3.7583954306508939E-2</v>
      </c>
      <c r="P154" s="3">
        <f t="shared" si="85"/>
        <v>3.7583954306508939E-2</v>
      </c>
      <c r="Q154" s="3">
        <f t="shared" si="85"/>
        <v>3.7583954306508939E-2</v>
      </c>
      <c r="R154" s="3">
        <f t="shared" si="85"/>
        <v>3.7583954306508939E-2</v>
      </c>
      <c r="S154" s="3">
        <f t="shared" si="85"/>
        <v>3.7583954306508932E-2</v>
      </c>
      <c r="T154" s="3">
        <f t="shared" si="85"/>
        <v>3.7583954306508918E-2</v>
      </c>
      <c r="U154" s="3">
        <f t="shared" si="85"/>
        <v>3.7583954306508717E-2</v>
      </c>
      <c r="V154" s="3">
        <f t="shared" si="85"/>
        <v>3.7583954306506712E-2</v>
      </c>
      <c r="W154" s="3">
        <f t="shared" si="85"/>
        <v>3.7583954306486714E-2</v>
      </c>
      <c r="X154" s="3">
        <f t="shared" si="85"/>
        <v>3.7583954306286714E-2</v>
      </c>
      <c r="Y154" s="3">
        <f t="shared" si="85"/>
        <v>3.7583954304286703E-2</v>
      </c>
      <c r="Z154" s="3">
        <f t="shared" si="85"/>
        <v>3.7583954284286576E-2</v>
      </c>
      <c r="AA154" s="3">
        <f t="shared" ref="AA154:AF154" si="86">$C40*EXP(-AA$129/$A40/EXP(-$B$126))</f>
        <v>3.7583954084285269E-2</v>
      </c>
      <c r="AB154" s="3">
        <f t="shared" si="86"/>
        <v>3.7583952084272308E-2</v>
      </c>
      <c r="AC154" s="3">
        <f t="shared" si="86"/>
        <v>3.7583932084148501E-2</v>
      </c>
      <c r="AD154" s="3">
        <f t="shared" si="86"/>
        <v>3.7583732083495872E-2</v>
      </c>
      <c r="AE154" s="3">
        <f t="shared" si="86"/>
        <v>3.7581732135504607E-2</v>
      </c>
      <c r="AF154" s="3">
        <f t="shared" si="86"/>
        <v>3.7561738507949693E-2</v>
      </c>
    </row>
    <row r="155" spans="1:32" x14ac:dyDescent="0.25">
      <c r="B155" s="3">
        <f t="shared" ref="B155:Z155" si="87">$C41*EXP(-B$129/$A41/EXP(-$B$126))</f>
        <v>3.8796261080834012E-2</v>
      </c>
      <c r="C155" s="3">
        <f t="shared" si="87"/>
        <v>3.8796261080834012E-2</v>
      </c>
      <c r="D155" s="3">
        <f t="shared" si="87"/>
        <v>3.8796261080834012E-2</v>
      </c>
      <c r="E155" s="3">
        <f t="shared" si="87"/>
        <v>3.8796261080834012E-2</v>
      </c>
      <c r="F155" s="3">
        <f t="shared" si="87"/>
        <v>3.8796261080834012E-2</v>
      </c>
      <c r="G155" s="3">
        <f t="shared" si="87"/>
        <v>3.8796261080834012E-2</v>
      </c>
      <c r="H155" s="3">
        <f t="shared" si="87"/>
        <v>3.8796261080834012E-2</v>
      </c>
      <c r="I155" s="3">
        <f t="shared" si="87"/>
        <v>3.8796261080834012E-2</v>
      </c>
      <c r="J155" s="3">
        <f t="shared" si="87"/>
        <v>3.8796261080834012E-2</v>
      </c>
      <c r="K155" s="3">
        <f t="shared" si="87"/>
        <v>3.8796261080834012E-2</v>
      </c>
      <c r="L155" s="3">
        <f t="shared" si="87"/>
        <v>3.8796261080834012E-2</v>
      </c>
      <c r="M155" s="3">
        <f t="shared" si="87"/>
        <v>3.8796261080834012E-2</v>
      </c>
      <c r="N155" s="3">
        <f t="shared" si="87"/>
        <v>3.8796261080834012E-2</v>
      </c>
      <c r="O155" s="3">
        <f t="shared" si="87"/>
        <v>3.8796261080834012E-2</v>
      </c>
      <c r="P155" s="3">
        <f t="shared" si="87"/>
        <v>3.8796261080834012E-2</v>
      </c>
      <c r="Q155" s="3">
        <f t="shared" si="87"/>
        <v>3.8796261080834012E-2</v>
      </c>
      <c r="R155" s="3">
        <f t="shared" si="87"/>
        <v>3.8796261080834012E-2</v>
      </c>
      <c r="S155" s="3">
        <f t="shared" si="87"/>
        <v>3.8796261080834012E-2</v>
      </c>
      <c r="T155" s="3">
        <f t="shared" si="87"/>
        <v>3.8796261080834005E-2</v>
      </c>
      <c r="U155" s="3">
        <f t="shared" si="87"/>
        <v>3.8796261080833991E-2</v>
      </c>
      <c r="V155" s="3">
        <f t="shared" si="87"/>
        <v>3.8796261080833783E-2</v>
      </c>
      <c r="W155" s="3">
        <f t="shared" si="87"/>
        <v>3.8796261080831715E-2</v>
      </c>
      <c r="X155" s="3">
        <f t="shared" si="87"/>
        <v>3.8796261080811072E-2</v>
      </c>
      <c r="Y155" s="3">
        <f t="shared" si="87"/>
        <v>3.8796261080604619E-2</v>
      </c>
      <c r="Z155" s="3">
        <f t="shared" si="87"/>
        <v>3.8796261078540097E-2</v>
      </c>
      <c r="AA155" s="3">
        <f t="shared" ref="AA155:AF155" si="88">$C41*EXP(-AA$129/$A41/EXP(-$B$126))</f>
        <v>3.879626105789484E-2</v>
      </c>
      <c r="AB155" s="3">
        <f t="shared" si="88"/>
        <v>3.8796260851442305E-2</v>
      </c>
      <c r="AC155" s="3">
        <f t="shared" si="88"/>
        <v>3.879625878691699E-2</v>
      </c>
      <c r="AD155" s="3">
        <f t="shared" si="88"/>
        <v>3.879623814166986E-2</v>
      </c>
      <c r="AE155" s="3">
        <f t="shared" si="88"/>
        <v>3.8796031689802855E-2</v>
      </c>
      <c r="AF155" s="3">
        <f t="shared" si="88"/>
        <v>3.8793967231556016E-2</v>
      </c>
    </row>
    <row r="156" spans="1:32" x14ac:dyDescent="0.25">
      <c r="B156" s="3">
        <f t="shared" ref="B156:Z156" si="89">$C42*EXP(-B$129/$A42/EXP(-$B$126))</f>
        <v>4.443590866461708E-2</v>
      </c>
      <c r="C156" s="3">
        <f t="shared" si="89"/>
        <v>4.443590866461708E-2</v>
      </c>
      <c r="D156" s="3">
        <f t="shared" si="89"/>
        <v>4.443590866461708E-2</v>
      </c>
      <c r="E156" s="3">
        <f t="shared" si="89"/>
        <v>4.443590866461708E-2</v>
      </c>
      <c r="F156" s="3">
        <f t="shared" si="89"/>
        <v>4.443590866461708E-2</v>
      </c>
      <c r="G156" s="3">
        <f t="shared" si="89"/>
        <v>4.443590866461708E-2</v>
      </c>
      <c r="H156" s="3">
        <f t="shared" si="89"/>
        <v>4.443590866461708E-2</v>
      </c>
      <c r="I156" s="3">
        <f t="shared" si="89"/>
        <v>4.443590866461708E-2</v>
      </c>
      <c r="J156" s="3">
        <f t="shared" si="89"/>
        <v>4.443590866461708E-2</v>
      </c>
      <c r="K156" s="3">
        <f t="shared" si="89"/>
        <v>4.443590866461708E-2</v>
      </c>
      <c r="L156" s="3">
        <f t="shared" si="89"/>
        <v>4.443590866461708E-2</v>
      </c>
      <c r="M156" s="3">
        <f t="shared" si="89"/>
        <v>4.443590866461708E-2</v>
      </c>
      <c r="N156" s="3">
        <f t="shared" si="89"/>
        <v>4.443590866461708E-2</v>
      </c>
      <c r="O156" s="3">
        <f t="shared" si="89"/>
        <v>4.443590866461708E-2</v>
      </c>
      <c r="P156" s="3">
        <f t="shared" si="89"/>
        <v>4.443590866461708E-2</v>
      </c>
      <c r="Q156" s="3">
        <f t="shared" si="89"/>
        <v>4.443590866461708E-2</v>
      </c>
      <c r="R156" s="3">
        <f t="shared" si="89"/>
        <v>4.443590866461708E-2</v>
      </c>
      <c r="S156" s="3">
        <f t="shared" si="89"/>
        <v>4.443590866461708E-2</v>
      </c>
      <c r="T156" s="3">
        <f t="shared" si="89"/>
        <v>4.443590866461708E-2</v>
      </c>
      <c r="U156" s="3">
        <f t="shared" si="89"/>
        <v>4.4435908664617073E-2</v>
      </c>
      <c r="V156" s="3">
        <f t="shared" si="89"/>
        <v>4.4435908664617052E-2</v>
      </c>
      <c r="W156" s="3">
        <f t="shared" si="89"/>
        <v>4.4435908664616816E-2</v>
      </c>
      <c r="X156" s="3">
        <f t="shared" si="89"/>
        <v>4.443590866461445E-2</v>
      </c>
      <c r="Y156" s="3">
        <f t="shared" si="89"/>
        <v>4.4435908664590802E-2</v>
      </c>
      <c r="Z156" s="3">
        <f t="shared" si="89"/>
        <v>4.4435908664354345E-2</v>
      </c>
      <c r="AA156" s="3">
        <f t="shared" ref="AA156:AF156" si="90">$C42*EXP(-AA$129/$A42/EXP(-$B$126))</f>
        <v>4.4435908661989709E-2</v>
      </c>
      <c r="AB156" s="3">
        <f t="shared" si="90"/>
        <v>4.443590863834334E-2</v>
      </c>
      <c r="AC156" s="3">
        <f t="shared" si="90"/>
        <v>4.4435908401879672E-2</v>
      </c>
      <c r="AD156" s="3">
        <f t="shared" si="90"/>
        <v>4.4435906037243088E-2</v>
      </c>
      <c r="AE156" s="3">
        <f t="shared" si="90"/>
        <v>4.4435882390884127E-2</v>
      </c>
      <c r="AF156" s="3">
        <f t="shared" si="90"/>
        <v>4.4435645927986669E-2</v>
      </c>
    </row>
    <row r="157" spans="1:32" x14ac:dyDescent="0.25">
      <c r="B157" s="3">
        <f t="shared" ref="B157:Z157" si="91">$C43*EXP(-B$129/$A43/EXP(-$B$126))</f>
        <v>5.224128023540766E-2</v>
      </c>
      <c r="C157" s="3">
        <f t="shared" si="91"/>
        <v>5.224128023540766E-2</v>
      </c>
      <c r="D157" s="3">
        <f t="shared" si="91"/>
        <v>5.224128023540766E-2</v>
      </c>
      <c r="E157" s="3">
        <f t="shared" si="91"/>
        <v>5.224128023540766E-2</v>
      </c>
      <c r="F157" s="3">
        <f t="shared" si="91"/>
        <v>5.224128023540766E-2</v>
      </c>
      <c r="G157" s="3">
        <f t="shared" si="91"/>
        <v>5.224128023540766E-2</v>
      </c>
      <c r="H157" s="3">
        <f t="shared" si="91"/>
        <v>5.224128023540766E-2</v>
      </c>
      <c r="I157" s="3">
        <f t="shared" si="91"/>
        <v>5.224128023540766E-2</v>
      </c>
      <c r="J157" s="3">
        <f t="shared" si="91"/>
        <v>5.224128023540766E-2</v>
      </c>
      <c r="K157" s="3">
        <f t="shared" si="91"/>
        <v>5.224128023540766E-2</v>
      </c>
      <c r="L157" s="3">
        <f t="shared" si="91"/>
        <v>5.224128023540766E-2</v>
      </c>
      <c r="M157" s="3">
        <f t="shared" si="91"/>
        <v>5.224128023540766E-2</v>
      </c>
      <c r="N157" s="3">
        <f t="shared" si="91"/>
        <v>5.224128023540766E-2</v>
      </c>
      <c r="O157" s="3">
        <f t="shared" si="91"/>
        <v>5.224128023540766E-2</v>
      </c>
      <c r="P157" s="3">
        <f t="shared" si="91"/>
        <v>5.224128023540766E-2</v>
      </c>
      <c r="Q157" s="3">
        <f t="shared" si="91"/>
        <v>5.224128023540766E-2</v>
      </c>
      <c r="R157" s="3">
        <f t="shared" si="91"/>
        <v>5.224128023540766E-2</v>
      </c>
      <c r="S157" s="3">
        <f t="shared" si="91"/>
        <v>5.224128023540766E-2</v>
      </c>
      <c r="T157" s="3">
        <f t="shared" si="91"/>
        <v>5.224128023540766E-2</v>
      </c>
      <c r="U157" s="3">
        <f t="shared" si="91"/>
        <v>5.224128023540766E-2</v>
      </c>
      <c r="V157" s="3">
        <f t="shared" si="91"/>
        <v>5.2241280235407653E-2</v>
      </c>
      <c r="W157" s="3">
        <f t="shared" si="91"/>
        <v>5.2241280235407632E-2</v>
      </c>
      <c r="X157" s="3">
        <f t="shared" si="91"/>
        <v>5.2241280235407354E-2</v>
      </c>
      <c r="Y157" s="3">
        <f t="shared" si="91"/>
        <v>5.2241280235404565E-2</v>
      </c>
      <c r="Z157" s="3">
        <f t="shared" si="91"/>
        <v>5.2241280235376768E-2</v>
      </c>
      <c r="AA157" s="3">
        <f t="shared" ref="AA157:AF157" si="92">$C43*EXP(-AA$129/$A43/EXP(-$B$126))</f>
        <v>5.2241280235098775E-2</v>
      </c>
      <c r="AB157" s="3">
        <f t="shared" si="92"/>
        <v>5.2241280232318776E-2</v>
      </c>
      <c r="AC157" s="3">
        <f t="shared" si="92"/>
        <v>5.224128020451882E-2</v>
      </c>
      <c r="AD157" s="3">
        <f t="shared" si="92"/>
        <v>5.2241279926519224E-2</v>
      </c>
      <c r="AE157" s="3">
        <f t="shared" si="92"/>
        <v>5.2241277146523352E-2</v>
      </c>
      <c r="AF157" s="3">
        <f t="shared" si="92"/>
        <v>5.2241249346572774E-2</v>
      </c>
    </row>
    <row r="158" spans="1:32" x14ac:dyDescent="0.25">
      <c r="B158" s="3">
        <f t="shared" ref="B158:Z158" si="93">$C44*EXP(-B$129/$A44/EXP(-$B$126))</f>
        <v>5.759294658465644E-2</v>
      </c>
      <c r="C158" s="3">
        <f t="shared" si="93"/>
        <v>5.759294658465644E-2</v>
      </c>
      <c r="D158" s="3">
        <f t="shared" si="93"/>
        <v>5.759294658465644E-2</v>
      </c>
      <c r="E158" s="3">
        <f t="shared" si="93"/>
        <v>5.759294658465644E-2</v>
      </c>
      <c r="F158" s="3">
        <f t="shared" si="93"/>
        <v>5.759294658465644E-2</v>
      </c>
      <c r="G158" s="3">
        <f t="shared" si="93"/>
        <v>5.759294658465644E-2</v>
      </c>
      <c r="H158" s="3">
        <f t="shared" si="93"/>
        <v>5.759294658465644E-2</v>
      </c>
      <c r="I158" s="3">
        <f t="shared" si="93"/>
        <v>5.759294658465644E-2</v>
      </c>
      <c r="J158" s="3">
        <f t="shared" si="93"/>
        <v>5.759294658465644E-2</v>
      </c>
      <c r="K158" s="3">
        <f t="shared" si="93"/>
        <v>5.759294658465644E-2</v>
      </c>
      <c r="L158" s="3">
        <f t="shared" si="93"/>
        <v>5.759294658465644E-2</v>
      </c>
      <c r="M158" s="3">
        <f t="shared" si="93"/>
        <v>5.759294658465644E-2</v>
      </c>
      <c r="N158" s="3">
        <f t="shared" si="93"/>
        <v>5.759294658465644E-2</v>
      </c>
      <c r="O158" s="3">
        <f t="shared" si="93"/>
        <v>5.759294658465644E-2</v>
      </c>
      <c r="P158" s="3">
        <f t="shared" si="93"/>
        <v>5.759294658465644E-2</v>
      </c>
      <c r="Q158" s="3">
        <f t="shared" si="93"/>
        <v>5.759294658465644E-2</v>
      </c>
      <c r="R158" s="3">
        <f t="shared" si="93"/>
        <v>5.759294658465644E-2</v>
      </c>
      <c r="S158" s="3">
        <f t="shared" si="93"/>
        <v>5.759294658465644E-2</v>
      </c>
      <c r="T158" s="3">
        <f t="shared" si="93"/>
        <v>5.759294658465644E-2</v>
      </c>
      <c r="U158" s="3">
        <f t="shared" si="93"/>
        <v>5.759294658465644E-2</v>
      </c>
      <c r="V158" s="3">
        <f t="shared" si="93"/>
        <v>5.759294658465644E-2</v>
      </c>
      <c r="W158" s="3">
        <f t="shared" si="93"/>
        <v>5.7592946584656433E-2</v>
      </c>
      <c r="X158" s="3">
        <f t="shared" si="93"/>
        <v>5.7592946584656406E-2</v>
      </c>
      <c r="Y158" s="3">
        <f t="shared" si="93"/>
        <v>5.75929465846561E-2</v>
      </c>
      <c r="Z158" s="3">
        <f t="shared" si="93"/>
        <v>5.7592946584653033E-2</v>
      </c>
      <c r="AA158" s="3">
        <f t="shared" ref="AA158:AF158" si="94">$C44*EXP(-AA$129/$A44/EXP(-$B$126))</f>
        <v>5.7592946584622384E-2</v>
      </c>
      <c r="AB158" s="3">
        <f t="shared" si="94"/>
        <v>5.7592946584315907E-2</v>
      </c>
      <c r="AC158" s="3">
        <f t="shared" si="94"/>
        <v>5.759294658125113E-2</v>
      </c>
      <c r="AD158" s="3">
        <f t="shared" si="94"/>
        <v>5.7592946550603305E-2</v>
      </c>
      <c r="AE158" s="3">
        <f t="shared" si="94"/>
        <v>5.7592946244125059E-2</v>
      </c>
      <c r="AF158" s="3">
        <f t="shared" si="94"/>
        <v>5.7592943179342708E-2</v>
      </c>
    </row>
    <row r="159" spans="1:32" x14ac:dyDescent="0.25">
      <c r="A159" s="11" t="s">
        <v>75</v>
      </c>
      <c r="B159" s="3">
        <f t="shared" ref="B159:Z159" si="95">$C45*EXP(-B$129/$A45/EXP(-$B$126))</f>
        <v>5.4172080221644638E-2</v>
      </c>
      <c r="C159" s="3">
        <f t="shared" si="95"/>
        <v>5.4172080221644638E-2</v>
      </c>
      <c r="D159" s="3">
        <f t="shared" si="95"/>
        <v>5.4172080221644638E-2</v>
      </c>
      <c r="E159" s="3">
        <f t="shared" si="95"/>
        <v>5.4172080221644638E-2</v>
      </c>
      <c r="F159" s="3">
        <f t="shared" si="95"/>
        <v>5.4172080221644638E-2</v>
      </c>
      <c r="G159" s="3">
        <f t="shared" si="95"/>
        <v>5.4172080221644638E-2</v>
      </c>
      <c r="H159" s="3">
        <f t="shared" si="95"/>
        <v>5.4172080221644638E-2</v>
      </c>
      <c r="I159" s="3">
        <f t="shared" si="95"/>
        <v>5.4172080221644638E-2</v>
      </c>
      <c r="J159" s="3">
        <f t="shared" si="95"/>
        <v>5.4172080221644638E-2</v>
      </c>
      <c r="K159" s="3">
        <f t="shared" si="95"/>
        <v>5.4172080221644638E-2</v>
      </c>
      <c r="L159" s="3">
        <f t="shared" si="95"/>
        <v>5.4172080221644638E-2</v>
      </c>
      <c r="M159" s="3">
        <f t="shared" si="95"/>
        <v>5.4172080221644638E-2</v>
      </c>
      <c r="N159" s="3">
        <f t="shared" si="95"/>
        <v>5.4172080221644638E-2</v>
      </c>
      <c r="O159" s="3">
        <f t="shared" si="95"/>
        <v>5.4172080221644638E-2</v>
      </c>
      <c r="P159" s="3">
        <f t="shared" si="95"/>
        <v>5.4172080221644638E-2</v>
      </c>
      <c r="Q159" s="3">
        <f t="shared" si="95"/>
        <v>5.4172080221644638E-2</v>
      </c>
      <c r="R159" s="3">
        <f t="shared" si="95"/>
        <v>5.4172080221644638E-2</v>
      </c>
      <c r="S159" s="3">
        <f t="shared" si="95"/>
        <v>5.4172080221644638E-2</v>
      </c>
      <c r="T159" s="3">
        <f t="shared" si="95"/>
        <v>5.4172080221644638E-2</v>
      </c>
      <c r="U159" s="3">
        <f t="shared" si="95"/>
        <v>5.4172080221644638E-2</v>
      </c>
      <c r="V159" s="3">
        <f t="shared" si="95"/>
        <v>5.4172080221644638E-2</v>
      </c>
      <c r="W159" s="3">
        <f t="shared" si="95"/>
        <v>5.4172080221644638E-2</v>
      </c>
      <c r="X159" s="3">
        <f t="shared" si="95"/>
        <v>5.4172080221644631E-2</v>
      </c>
      <c r="Y159" s="3">
        <f t="shared" si="95"/>
        <v>5.417208022164461E-2</v>
      </c>
      <c r="Z159" s="3">
        <f t="shared" si="95"/>
        <v>5.4172080221644318E-2</v>
      </c>
      <c r="AA159" s="3">
        <f t="shared" ref="AA159:AF159" si="96">$C45*EXP(-AA$129/$A45/EXP(-$B$126))</f>
        <v>5.4172080221641432E-2</v>
      </c>
      <c r="AB159" s="3">
        <f t="shared" si="96"/>
        <v>5.4172080221612608E-2</v>
      </c>
      <c r="AC159" s="3">
        <f t="shared" si="96"/>
        <v>5.4172080221324331E-2</v>
      </c>
      <c r="AD159" s="3">
        <f t="shared" si="96"/>
        <v>5.4172080218441589E-2</v>
      </c>
      <c r="AE159" s="3">
        <f t="shared" si="96"/>
        <v>5.4172080189614169E-2</v>
      </c>
      <c r="AF159" s="3">
        <f t="shared" si="96"/>
        <v>5.4172079901339903E-2</v>
      </c>
    </row>
    <row r="160" spans="1:32" x14ac:dyDescent="0.25">
      <c r="B160" s="3">
        <f t="shared" ref="B160:Z160" si="97">$C46*EXP(-B$129/$A46/EXP(-$B$126))</f>
        <v>3.8751330064371987E-2</v>
      </c>
      <c r="C160" s="3">
        <f t="shared" si="97"/>
        <v>3.8751330064371987E-2</v>
      </c>
      <c r="D160" s="3">
        <f t="shared" si="97"/>
        <v>3.8751330064371987E-2</v>
      </c>
      <c r="E160" s="3">
        <f t="shared" si="97"/>
        <v>3.8751330064371987E-2</v>
      </c>
      <c r="F160" s="3">
        <f t="shared" si="97"/>
        <v>3.8751330064371987E-2</v>
      </c>
      <c r="G160" s="3">
        <f t="shared" si="97"/>
        <v>3.8751330064371987E-2</v>
      </c>
      <c r="H160" s="3">
        <f t="shared" si="97"/>
        <v>3.8751330064371987E-2</v>
      </c>
      <c r="I160" s="3">
        <f t="shared" si="97"/>
        <v>3.8751330064371987E-2</v>
      </c>
      <c r="J160" s="3">
        <f t="shared" si="97"/>
        <v>3.8751330064371987E-2</v>
      </c>
      <c r="K160" s="3">
        <f t="shared" si="97"/>
        <v>3.8751330064371987E-2</v>
      </c>
      <c r="L160" s="3">
        <f t="shared" si="97"/>
        <v>3.8751330064371987E-2</v>
      </c>
      <c r="M160" s="3">
        <f t="shared" si="97"/>
        <v>3.8751330064371987E-2</v>
      </c>
      <c r="N160" s="3">
        <f t="shared" si="97"/>
        <v>3.8751330064371987E-2</v>
      </c>
      <c r="O160" s="3">
        <f t="shared" si="97"/>
        <v>3.8751330064371987E-2</v>
      </c>
      <c r="P160" s="3">
        <f t="shared" si="97"/>
        <v>3.8751330064371987E-2</v>
      </c>
      <c r="Q160" s="3">
        <f t="shared" si="97"/>
        <v>3.8751330064371987E-2</v>
      </c>
      <c r="R160" s="3">
        <f t="shared" si="97"/>
        <v>3.8751330064371987E-2</v>
      </c>
      <c r="S160" s="3">
        <f t="shared" si="97"/>
        <v>3.8751330064371987E-2</v>
      </c>
      <c r="T160" s="3">
        <f t="shared" si="97"/>
        <v>3.8751330064371987E-2</v>
      </c>
      <c r="U160" s="3">
        <f t="shared" si="97"/>
        <v>3.8751330064371987E-2</v>
      </c>
      <c r="V160" s="3">
        <f t="shared" si="97"/>
        <v>3.8751330064371987E-2</v>
      </c>
      <c r="W160" s="3">
        <f t="shared" si="97"/>
        <v>3.8751330064371987E-2</v>
      </c>
      <c r="X160" s="3">
        <f t="shared" si="97"/>
        <v>3.8751330064371987E-2</v>
      </c>
      <c r="Y160" s="3">
        <f t="shared" si="97"/>
        <v>3.875133006437198E-2</v>
      </c>
      <c r="Z160" s="3">
        <f t="shared" si="97"/>
        <v>3.8751330064371967E-2</v>
      </c>
      <c r="AA160" s="3">
        <f t="shared" ref="AA160:AF160" si="98">$C46*EXP(-AA$129/$A46/EXP(-$B$126))</f>
        <v>3.8751330064371758E-2</v>
      </c>
      <c r="AB160" s="3">
        <f t="shared" si="98"/>
        <v>3.8751330064369698E-2</v>
      </c>
      <c r="AC160" s="3">
        <f t="shared" si="98"/>
        <v>3.8751330064349075E-2</v>
      </c>
      <c r="AD160" s="3">
        <f t="shared" si="98"/>
        <v>3.8751330064142865E-2</v>
      </c>
      <c r="AE160" s="3">
        <f t="shared" si="98"/>
        <v>3.875133006208073E-2</v>
      </c>
      <c r="AF160" s="3">
        <f t="shared" si="98"/>
        <v>3.8751330041459385E-2</v>
      </c>
    </row>
    <row r="161" spans="1:34" x14ac:dyDescent="0.25">
      <c r="A161" s="11" t="s">
        <v>75</v>
      </c>
      <c r="B161" s="3">
        <f t="shared" ref="B161:Z161" si="99">$C47*EXP(-B$129/$A47/EXP(-$B$126))</f>
        <v>2.0828240532986285E-2</v>
      </c>
      <c r="C161" s="3">
        <f t="shared" si="99"/>
        <v>2.0828240532986285E-2</v>
      </c>
      <c r="D161" s="3">
        <f t="shared" si="99"/>
        <v>2.0828240532986285E-2</v>
      </c>
      <c r="E161" s="3">
        <f t="shared" si="99"/>
        <v>2.0828240532986285E-2</v>
      </c>
      <c r="F161" s="3">
        <f t="shared" si="99"/>
        <v>2.0828240532986285E-2</v>
      </c>
      <c r="G161" s="3">
        <f t="shared" si="99"/>
        <v>2.0828240532986285E-2</v>
      </c>
      <c r="H161" s="3">
        <f t="shared" si="99"/>
        <v>2.0828240532986285E-2</v>
      </c>
      <c r="I161" s="3">
        <f t="shared" si="99"/>
        <v>2.0828240532986285E-2</v>
      </c>
      <c r="J161" s="3">
        <f t="shared" si="99"/>
        <v>2.0828240532986285E-2</v>
      </c>
      <c r="K161" s="3">
        <f t="shared" si="99"/>
        <v>2.0828240532986285E-2</v>
      </c>
      <c r="L161" s="3">
        <f t="shared" si="99"/>
        <v>2.0828240532986285E-2</v>
      </c>
      <c r="M161" s="3">
        <f t="shared" si="99"/>
        <v>2.0828240532986285E-2</v>
      </c>
      <c r="N161" s="3">
        <f t="shared" si="99"/>
        <v>2.0828240532986285E-2</v>
      </c>
      <c r="O161" s="3">
        <f t="shared" si="99"/>
        <v>2.0828240532986285E-2</v>
      </c>
      <c r="P161" s="3">
        <f t="shared" si="99"/>
        <v>2.0828240532986285E-2</v>
      </c>
      <c r="Q161" s="3">
        <f t="shared" si="99"/>
        <v>2.0828240532986285E-2</v>
      </c>
      <c r="R161" s="3">
        <f t="shared" si="99"/>
        <v>2.0828240532986285E-2</v>
      </c>
      <c r="S161" s="3">
        <f t="shared" si="99"/>
        <v>2.0828240532986285E-2</v>
      </c>
      <c r="T161" s="3">
        <f t="shared" si="99"/>
        <v>2.0828240532986285E-2</v>
      </c>
      <c r="U161" s="3">
        <f t="shared" si="99"/>
        <v>2.0828240532986285E-2</v>
      </c>
      <c r="V161" s="3">
        <f t="shared" si="99"/>
        <v>2.0828240532986285E-2</v>
      </c>
      <c r="W161" s="3">
        <f t="shared" si="99"/>
        <v>2.0828240532986285E-2</v>
      </c>
      <c r="X161" s="3">
        <f t="shared" si="99"/>
        <v>2.0828240532986285E-2</v>
      </c>
      <c r="Y161" s="3">
        <f t="shared" si="99"/>
        <v>2.0828240532986285E-2</v>
      </c>
      <c r="Z161" s="3">
        <f t="shared" si="99"/>
        <v>2.0828240532986281E-2</v>
      </c>
      <c r="AA161" s="3">
        <f t="shared" ref="AA161:AF161" si="100">$C47*EXP(-AA$129/$A47/EXP(-$B$126))</f>
        <v>2.0828240532986275E-2</v>
      </c>
      <c r="AB161" s="3">
        <f t="shared" si="100"/>
        <v>2.0828240532986163E-2</v>
      </c>
      <c r="AC161" s="3">
        <f t="shared" si="100"/>
        <v>2.0828240532985053E-2</v>
      </c>
      <c r="AD161" s="3">
        <f t="shared" si="100"/>
        <v>2.0828240532973968E-2</v>
      </c>
      <c r="AE161" s="3">
        <f t="shared" si="100"/>
        <v>2.0828240532863133E-2</v>
      </c>
      <c r="AF161" s="3">
        <f t="shared" si="100"/>
        <v>2.0828240531754767E-2</v>
      </c>
    </row>
    <row r="162" spans="1:34" x14ac:dyDescent="0.25">
      <c r="B162" s="3">
        <f t="shared" ref="B162:Z162" si="101">$C48*EXP(-B$129/$A48/EXP(-$B$126))</f>
        <v>2.990470230026878E-2</v>
      </c>
      <c r="C162" s="3">
        <f t="shared" si="101"/>
        <v>2.990470230026878E-2</v>
      </c>
      <c r="D162" s="3">
        <f t="shared" si="101"/>
        <v>2.990470230026878E-2</v>
      </c>
      <c r="E162" s="3">
        <f t="shared" si="101"/>
        <v>2.990470230026878E-2</v>
      </c>
      <c r="F162" s="3">
        <f t="shared" si="101"/>
        <v>2.990470230026878E-2</v>
      </c>
      <c r="G162" s="3">
        <f t="shared" si="101"/>
        <v>2.990470230026878E-2</v>
      </c>
      <c r="H162" s="3">
        <f t="shared" si="101"/>
        <v>2.990470230026878E-2</v>
      </c>
      <c r="I162" s="3">
        <f t="shared" si="101"/>
        <v>2.990470230026878E-2</v>
      </c>
      <c r="J162" s="3">
        <f t="shared" si="101"/>
        <v>2.990470230026878E-2</v>
      </c>
      <c r="K162" s="3">
        <f t="shared" si="101"/>
        <v>2.990470230026878E-2</v>
      </c>
      <c r="L162" s="3">
        <f t="shared" si="101"/>
        <v>2.990470230026878E-2</v>
      </c>
      <c r="M162" s="3">
        <f t="shared" si="101"/>
        <v>2.990470230026878E-2</v>
      </c>
      <c r="N162" s="3">
        <f t="shared" si="101"/>
        <v>2.990470230026878E-2</v>
      </c>
      <c r="O162" s="3">
        <f t="shared" si="101"/>
        <v>2.990470230026878E-2</v>
      </c>
      <c r="P162" s="3">
        <f t="shared" si="101"/>
        <v>2.990470230026878E-2</v>
      </c>
      <c r="Q162" s="3">
        <f t="shared" si="101"/>
        <v>2.990470230026878E-2</v>
      </c>
      <c r="R162" s="3">
        <f t="shared" si="101"/>
        <v>2.990470230026878E-2</v>
      </c>
      <c r="S162" s="3">
        <f t="shared" si="101"/>
        <v>2.990470230026878E-2</v>
      </c>
      <c r="T162" s="3">
        <f t="shared" si="101"/>
        <v>2.990470230026878E-2</v>
      </c>
      <c r="U162" s="3">
        <f t="shared" si="101"/>
        <v>2.990470230026878E-2</v>
      </c>
      <c r="V162" s="3">
        <f t="shared" si="101"/>
        <v>2.990470230026878E-2</v>
      </c>
      <c r="W162" s="3">
        <f t="shared" si="101"/>
        <v>2.990470230026878E-2</v>
      </c>
      <c r="X162" s="3">
        <f t="shared" si="101"/>
        <v>2.990470230026878E-2</v>
      </c>
      <c r="Y162" s="3">
        <f t="shared" si="101"/>
        <v>2.990470230026878E-2</v>
      </c>
      <c r="Z162" s="3">
        <f t="shared" si="101"/>
        <v>2.990470230026878E-2</v>
      </c>
      <c r="AA162" s="3">
        <f t="shared" ref="AA162:AF162" si="102">$C48*EXP(-AA$129/$A48/EXP(-$B$126))</f>
        <v>2.9904702300268777E-2</v>
      </c>
      <c r="AB162" s="3">
        <f t="shared" si="102"/>
        <v>2.9904702300268763E-2</v>
      </c>
      <c r="AC162" s="3">
        <f t="shared" si="102"/>
        <v>2.9904702300268603E-2</v>
      </c>
      <c r="AD162" s="3">
        <f t="shared" si="102"/>
        <v>2.9904702300267011E-2</v>
      </c>
      <c r="AE162" s="3">
        <f t="shared" si="102"/>
        <v>2.9904702300251097E-2</v>
      </c>
      <c r="AF162" s="3">
        <f t="shared" si="102"/>
        <v>2.9904702300091963E-2</v>
      </c>
    </row>
    <row r="163" spans="1:34" x14ac:dyDescent="0.25">
      <c r="A163" s="80">
        <f>AVERAGE(B163:AF163)</f>
        <v>1.2733649805910111E-2</v>
      </c>
      <c r="B163" s="81">
        <f>IF($A$64&lt;=B129,IF($B$64&gt;=B129,ABS((B131-B130)/B130),0),0)</f>
        <v>2.4243926884152992E-3</v>
      </c>
      <c r="C163" s="81">
        <f t="shared" ref="C163:AF163" si="103">IF($A$64&lt;=C129,IF($B$64&gt;=C129,ABS((C131-C130)/C130),0),0)</f>
        <v>2.4302565267870853E-3</v>
      </c>
      <c r="D163" s="81">
        <f t="shared" si="103"/>
        <v>2.4270010948337314E-3</v>
      </c>
      <c r="E163" s="81">
        <f t="shared" si="103"/>
        <v>2.4293438808604866E-3</v>
      </c>
      <c r="F163" s="81">
        <f t="shared" si="103"/>
        <v>2.4626427927856537E-3</v>
      </c>
      <c r="G163" s="81">
        <f t="shared" si="103"/>
        <v>2.7164156671865398E-3</v>
      </c>
      <c r="H163" s="81">
        <f t="shared" si="103"/>
        <v>3.0760266855574848E-3</v>
      </c>
      <c r="I163" s="81">
        <f t="shared" si="103"/>
        <v>3.0777741849632909E-3</v>
      </c>
      <c r="J163" s="81">
        <f t="shared" si="103"/>
        <v>3.0779329007136732E-3</v>
      </c>
      <c r="K163" s="81">
        <f t="shared" si="103"/>
        <v>3.0794045528544619E-3</v>
      </c>
      <c r="L163" s="81">
        <f t="shared" si="103"/>
        <v>3.094189057595482E-3</v>
      </c>
      <c r="M163" s="81">
        <f t="shared" si="103"/>
        <v>3.2413183126220528E-3</v>
      </c>
      <c r="N163" s="81">
        <f t="shared" si="103"/>
        <v>4.6289900800922639E-3</v>
      </c>
      <c r="O163" s="81">
        <f t="shared" si="103"/>
        <v>1.2873017362133827E-2</v>
      </c>
      <c r="P163" s="81">
        <f t="shared" si="103"/>
        <v>2.2056931990407889E-2</v>
      </c>
      <c r="Q163" s="81">
        <f t="shared" si="103"/>
        <v>1.7214374489201524E-2</v>
      </c>
      <c r="R163" s="81">
        <f t="shared" si="103"/>
        <v>1.6667575150018817E-2</v>
      </c>
      <c r="S163" s="81">
        <f t="shared" si="103"/>
        <v>1.8442328916365498E-2</v>
      </c>
      <c r="T163" s="81">
        <f t="shared" si="103"/>
        <v>1.9834972233535034E-2</v>
      </c>
      <c r="U163" s="81">
        <f t="shared" si="103"/>
        <v>2.16557135983915E-2</v>
      </c>
      <c r="V163" s="81">
        <f t="shared" si="103"/>
        <v>2.0101341394469854E-2</v>
      </c>
      <c r="W163" s="81">
        <f t="shared" si="103"/>
        <v>9.3581709170660783E-3</v>
      </c>
      <c r="X163" s="81">
        <f t="shared" si="103"/>
        <v>7.2681827963339473E-3</v>
      </c>
      <c r="Y163" s="81">
        <f t="shared" si="103"/>
        <v>2.1428708917974475E-2</v>
      </c>
      <c r="Z163" s="81">
        <f t="shared" si="103"/>
        <v>2.6690846558072256E-2</v>
      </c>
      <c r="AA163" s="81">
        <f t="shared" si="103"/>
        <v>2.9832287134981997E-2</v>
      </c>
      <c r="AB163" s="81">
        <f t="shared" si="103"/>
        <v>3.7531740725907613E-2</v>
      </c>
      <c r="AC163" s="81">
        <f t="shared" si="103"/>
        <v>3.8322409445814908E-2</v>
      </c>
      <c r="AD163" s="81">
        <f t="shared" si="103"/>
        <v>2.4463836859795772E-2</v>
      </c>
      <c r="AE163" s="81">
        <f t="shared" si="103"/>
        <v>1.1227923378725305E-2</v>
      </c>
      <c r="AF163" s="81">
        <f t="shared" si="103"/>
        <v>1.6070936887496541E-3</v>
      </c>
    </row>
    <row r="164" spans="1:34" x14ac:dyDescent="0.25">
      <c r="B164" s="21">
        <f>(B131-B130)^2</f>
        <v>186.15896889058268</v>
      </c>
      <c r="C164" s="21">
        <f t="shared" ref="C164:AF164" si="104">(C131-C130)^2</f>
        <v>187.06276325470654</v>
      </c>
      <c r="D164" s="21">
        <f t="shared" si="104"/>
        <v>186.56059434844511</v>
      </c>
      <c r="E164" s="21">
        <f t="shared" si="104"/>
        <v>186.92052277775389</v>
      </c>
      <c r="F164" s="21">
        <f t="shared" si="104"/>
        <v>192.07973738998083</v>
      </c>
      <c r="G164" s="21">
        <f t="shared" si="104"/>
        <v>233.70663825175754</v>
      </c>
      <c r="H164" s="21">
        <f t="shared" si="104"/>
        <v>299.68070485492859</v>
      </c>
      <c r="I164" s="21">
        <f t="shared" si="104"/>
        <v>300.02127924920956</v>
      </c>
      <c r="J164" s="21">
        <f t="shared" si="104"/>
        <v>300.0522155349737</v>
      </c>
      <c r="K164" s="21">
        <f t="shared" si="104"/>
        <v>300.33906526685701</v>
      </c>
      <c r="L164" s="21">
        <f t="shared" si="104"/>
        <v>303.22846380830833</v>
      </c>
      <c r="M164" s="21">
        <f t="shared" si="104"/>
        <v>332.73557366229704</v>
      </c>
      <c r="N164" s="21">
        <f t="shared" si="104"/>
        <v>678.30635783767423</v>
      </c>
      <c r="O164" s="21">
        <f t="shared" si="104"/>
        <v>5222.5009777847126</v>
      </c>
      <c r="P164" s="21">
        <f t="shared" si="104"/>
        <v>14810.23187249836</v>
      </c>
      <c r="Q164" s="21">
        <f t="shared" si="104"/>
        <v>8516.4982958751607</v>
      </c>
      <c r="R164" s="21">
        <f t="shared" si="104"/>
        <v>7657.8277894089751</v>
      </c>
      <c r="S164" s="21">
        <f t="shared" si="104"/>
        <v>8981.5457409381179</v>
      </c>
      <c r="T164" s="21">
        <f t="shared" si="104"/>
        <v>9897.6949829865534</v>
      </c>
      <c r="U164" s="21">
        <f t="shared" si="104"/>
        <v>11174.512862578231</v>
      </c>
      <c r="V164" s="21">
        <f t="shared" si="104"/>
        <v>8983.4084853403729</v>
      </c>
      <c r="W164" s="21">
        <f t="shared" si="104"/>
        <v>1775.4977990775724</v>
      </c>
      <c r="X164" s="21">
        <f t="shared" si="104"/>
        <v>964.72155285717179</v>
      </c>
      <c r="Y164" s="21">
        <f t="shared" si="104"/>
        <v>7563.3077548908323</v>
      </c>
      <c r="Z164" s="21">
        <f t="shared" si="104"/>
        <v>10551.847315173702</v>
      </c>
      <c r="AA164" s="21">
        <f t="shared" si="104"/>
        <v>11687.968013803853</v>
      </c>
      <c r="AB164" s="21">
        <f t="shared" si="104"/>
        <v>16327.346405241757</v>
      </c>
      <c r="AC164" s="21">
        <f t="shared" si="104"/>
        <v>15273.194527795486</v>
      </c>
      <c r="AD164" s="21">
        <f t="shared" si="104"/>
        <v>5633.9233295475915</v>
      </c>
      <c r="AE164" s="21">
        <f t="shared" si="104"/>
        <v>1071.8891425246434</v>
      </c>
      <c r="AF164" s="21">
        <f t="shared" si="104"/>
        <v>19.831662758945114</v>
      </c>
    </row>
    <row r="165" spans="1:34" x14ac:dyDescent="0.25">
      <c r="A165" s="72">
        <f>SUM(B165:AF165)</f>
        <v>149800.60139620953</v>
      </c>
      <c r="B165" s="60">
        <f>IF($A$64&lt;=B129,IF($B$64&gt;=B129,ABS(B164),0),0)</f>
        <v>186.15896889058268</v>
      </c>
      <c r="C165" s="60">
        <f t="shared" ref="C165:AF165" si="105">IF($A$64&lt;=C129,IF($B$64&gt;=C129,ABS(C164),0),0)</f>
        <v>187.06276325470654</v>
      </c>
      <c r="D165" s="60">
        <f t="shared" si="105"/>
        <v>186.56059434844511</v>
      </c>
      <c r="E165" s="60">
        <f t="shared" si="105"/>
        <v>186.92052277775389</v>
      </c>
      <c r="F165" s="60">
        <f t="shared" si="105"/>
        <v>192.07973738998083</v>
      </c>
      <c r="G165" s="60">
        <f t="shared" si="105"/>
        <v>233.70663825175754</v>
      </c>
      <c r="H165" s="60">
        <f t="shared" si="105"/>
        <v>299.68070485492859</v>
      </c>
      <c r="I165" s="60">
        <f t="shared" si="105"/>
        <v>300.02127924920956</v>
      </c>
      <c r="J165" s="60">
        <f t="shared" si="105"/>
        <v>300.0522155349737</v>
      </c>
      <c r="K165" s="60">
        <f t="shared" si="105"/>
        <v>300.33906526685701</v>
      </c>
      <c r="L165" s="60">
        <f t="shared" si="105"/>
        <v>303.22846380830833</v>
      </c>
      <c r="M165" s="60">
        <f t="shared" si="105"/>
        <v>332.73557366229704</v>
      </c>
      <c r="N165" s="60">
        <f t="shared" si="105"/>
        <v>678.30635783767423</v>
      </c>
      <c r="O165" s="60">
        <f t="shared" si="105"/>
        <v>5222.5009777847126</v>
      </c>
      <c r="P165" s="60">
        <f t="shared" si="105"/>
        <v>14810.23187249836</v>
      </c>
      <c r="Q165" s="60">
        <f t="shared" si="105"/>
        <v>8516.4982958751607</v>
      </c>
      <c r="R165" s="60">
        <f t="shared" si="105"/>
        <v>7657.8277894089751</v>
      </c>
      <c r="S165" s="60">
        <f t="shared" si="105"/>
        <v>8981.5457409381179</v>
      </c>
      <c r="T165" s="60">
        <f t="shared" si="105"/>
        <v>9897.6949829865534</v>
      </c>
      <c r="U165" s="60">
        <f t="shared" si="105"/>
        <v>11174.512862578231</v>
      </c>
      <c r="V165" s="60">
        <f t="shared" si="105"/>
        <v>8983.4084853403729</v>
      </c>
      <c r="W165" s="60">
        <f t="shared" si="105"/>
        <v>1775.4977990775724</v>
      </c>
      <c r="X165" s="60">
        <f t="shared" si="105"/>
        <v>964.72155285717179</v>
      </c>
      <c r="Y165" s="60">
        <f t="shared" si="105"/>
        <v>7563.3077548908323</v>
      </c>
      <c r="Z165" s="60">
        <f t="shared" si="105"/>
        <v>10551.847315173702</v>
      </c>
      <c r="AA165" s="60">
        <f t="shared" si="105"/>
        <v>11687.968013803853</v>
      </c>
      <c r="AB165" s="60">
        <f t="shared" si="105"/>
        <v>16327.346405241757</v>
      </c>
      <c r="AC165" s="60">
        <f t="shared" si="105"/>
        <v>15273.194527795486</v>
      </c>
      <c r="AD165" s="60">
        <f t="shared" si="105"/>
        <v>5633.9233295475915</v>
      </c>
      <c r="AE165" s="60">
        <f t="shared" si="105"/>
        <v>1071.8891425246434</v>
      </c>
      <c r="AF165" s="60">
        <f t="shared" si="105"/>
        <v>19.831662758945114</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70" t="s">
        <v>27</v>
      </c>
      <c r="B167" s="11">
        <f>INDEX($D$1:$M$1,1,$C$122)</f>
        <v>0</v>
      </c>
    </row>
    <row r="168" spans="1:34" x14ac:dyDescent="0.25">
      <c r="A168" s="70"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5619.5329931741162</v>
      </c>
      <c r="C169" s="26">
        <f>INDEX(Comparison!$AM$3:$AS$33,G$14,$C$122)</f>
        <v>5619.5658717740425</v>
      </c>
      <c r="D169" s="26">
        <f>INDEX(Comparison!$AM$3:$AS$33,H$14,$C$122)</f>
        <v>5619.5453722286029</v>
      </c>
      <c r="E169" s="26">
        <f>INDEX(Comparison!$AM$3:$AS$33,I$14,$C$122)</f>
        <v>5619.5381902049257</v>
      </c>
      <c r="F169" s="26">
        <f>INDEX(Comparison!$AM$3:$AS$33,J$14,$C$122)</f>
        <v>5619.5270202096081</v>
      </c>
      <c r="G169" s="26">
        <f>INDEX(Comparison!$AM$3:$AS$33,K$14,$C$122)</f>
        <v>5619.4334394084344</v>
      </c>
      <c r="H169" s="26">
        <f>INDEX(Comparison!$AM$3:$AS$33,L$14,$C$122)</f>
        <v>5618.5096180858227</v>
      </c>
      <c r="I169" s="26">
        <f>INDEX(Comparison!$AM$3:$AS$33,M$14,$C$122)</f>
        <v>5609.604774269872</v>
      </c>
      <c r="J169" s="26">
        <f>INDEX(Comparison!$AM$3:$AS$33,N$14,$C$122)</f>
        <v>5534.6820731552771</v>
      </c>
      <c r="K169" s="26">
        <f>INDEX(Comparison!$AM$3:$AS$33,O$14,$C$122)</f>
        <v>5370.399425083704</v>
      </c>
      <c r="L169" s="26">
        <f>INDEX(Comparison!$AM$3:$AS$33,P$14,$C$122)</f>
        <v>5257.8155746015464</v>
      </c>
      <c r="M169" s="26">
        <f>INDEX(Comparison!$AM$3:$AS$33,Q$14,$C$122)</f>
        <v>5148.9525022518937</v>
      </c>
      <c r="N169" s="26">
        <f>INDEX(Comparison!$AM$3:$AS$33,R$14,$C$122)</f>
        <v>5026.92102925375</v>
      </c>
      <c r="O169" s="26">
        <f>INDEX(Comparison!$AM$3:$AS$33,S$14,$C$122)</f>
        <v>4898.1924827249632</v>
      </c>
      <c r="P169" s="26">
        <f>INDEX(Comparison!$AM$3:$AS$33,T$14,$C$122)</f>
        <v>4753.3269146217463</v>
      </c>
      <c r="Q169" s="26">
        <f>INDEX(Comparison!$AM$3:$AS$33,U$14,$C$122)</f>
        <v>4597.3394014710702</v>
      </c>
      <c r="R169" s="26">
        <f>INDEX(Comparison!$AM$3:$AS$33,V$14,$C$122)</f>
        <v>4437.480614548972</v>
      </c>
      <c r="S169" s="26">
        <f>INDEX(Comparison!$AM$3:$AS$33,W$14,$C$122)</f>
        <v>4282.6976933023134</v>
      </c>
      <c r="T169" s="26">
        <f>INDEX(Comparison!$AM$3:$AS$33,X$14,$C$122)</f>
        <v>4104.6708903026465</v>
      </c>
      <c r="U169" s="26">
        <f>INDEX(Comparison!$AM$3:$AS$33,Y$14,$C$122)</f>
        <v>3863.6251591234022</v>
      </c>
      <c r="V169" s="26">
        <f>INDEX(Comparison!$AM$3:$AS$33,Z$14,$C$122)</f>
        <v>3593.12923880173</v>
      </c>
      <c r="W169" s="26">
        <f>INDEX(Comparison!$AM$3:$AS$33,AA$14,$C$122)</f>
        <v>3360.468185804395</v>
      </c>
      <c r="X169" s="26">
        <f>INDEX(Comparison!$AM$3:$AS$33,AB$14,$C$122)</f>
        <v>3169.2406182554596</v>
      </c>
      <c r="Y169" s="26">
        <f>INDEX(Comparison!$AM$3:$AS$33,AC$14,$C$122)</f>
        <v>2988.8293612758935</v>
      </c>
      <c r="Z169" s="26">
        <f>INDEX(Comparison!$AM$3:$AS$33,AD$14,$C$122)</f>
        <v>2827.4607055264137</v>
      </c>
      <c r="AA169" s="26">
        <f>INDEX(Comparison!$AM$3:$AS$33,AE$14,$C$122)</f>
        <v>2670.1707037079254</v>
      </c>
      <c r="AB169" s="26">
        <f>INDEX(Comparison!$AM$3:$AS$33,AF$14,$C$122)</f>
        <v>2515.5612619665249</v>
      </c>
      <c r="AC169" s="26">
        <f>INDEX(Comparison!$AM$3:$AS$33,AG$14,$C$122)</f>
        <v>2336.7097855049965</v>
      </c>
      <c r="AD169" s="26">
        <f>INDEX(Comparison!$AM$3:$AS$33,AH$14,$C$122)</f>
        <v>2150.3686174171794</v>
      </c>
      <c r="AE169" s="26">
        <f>INDEX(Comparison!$AM$3:$AS$33,AI$14,$C$122)</f>
        <v>1940.5173332718871</v>
      </c>
      <c r="AF169" s="26">
        <f>INDEX(Comparison!$AM$3:$AS$33,AJ$14,$C$122)</f>
        <v>1703.202634105066</v>
      </c>
      <c r="AG169" s="26"/>
      <c r="AH169" s="26"/>
    </row>
    <row r="170" spans="1:34" x14ac:dyDescent="0.25">
      <c r="A170" s="71" t="s">
        <v>22</v>
      </c>
      <c r="B170" s="27">
        <f>($C$17+SUM(B171:B201))*$B$51</f>
        <v>5611.3842411284604</v>
      </c>
      <c r="C170" s="27">
        <f t="shared" ref="C170:AF170" si="106">($C$17+SUM(C171:C201))*$B$51</f>
        <v>5610.4870152387093</v>
      </c>
      <c r="D170" s="27">
        <f t="shared" si="106"/>
        <v>5610.4867823039849</v>
      </c>
      <c r="E170" s="27">
        <f t="shared" si="106"/>
        <v>5610.4844807204972</v>
      </c>
      <c r="F170" s="27">
        <f t="shared" si="106"/>
        <v>5610.461467767288</v>
      </c>
      <c r="G170" s="27">
        <f t="shared" si="106"/>
        <v>5610.2316260973894</v>
      </c>
      <c r="H170" s="27">
        <f t="shared" si="106"/>
        <v>5607.9616934698133</v>
      </c>
      <c r="I170" s="27">
        <f t="shared" si="106"/>
        <v>5587.8316961025321</v>
      </c>
      <c r="J170" s="27">
        <f t="shared" si="106"/>
        <v>5498.91567164752</v>
      </c>
      <c r="K170" s="27">
        <f t="shared" si="106"/>
        <v>5332.7519170438891</v>
      </c>
      <c r="L170" s="27">
        <f t="shared" si="106"/>
        <v>5227.391038475912</v>
      </c>
      <c r="M170" s="27">
        <f t="shared" si="106"/>
        <v>5115.5826380652925</v>
      </c>
      <c r="N170" s="27">
        <f t="shared" si="106"/>
        <v>4991.4925096782454</v>
      </c>
      <c r="O170" s="27">
        <f t="shared" si="106"/>
        <v>4860.4623632056164</v>
      </c>
      <c r="P170" s="27">
        <f t="shared" si="106"/>
        <v>4712.0948480351299</v>
      </c>
      <c r="Q170" s="27">
        <f t="shared" si="106"/>
        <v>4554.848247274429</v>
      </c>
      <c r="R170" s="27">
        <f t="shared" si="106"/>
        <v>4396.4066090247097</v>
      </c>
      <c r="S170" s="27">
        <f t="shared" si="106"/>
        <v>4245.1676776414133</v>
      </c>
      <c r="T170" s="27">
        <f t="shared" si="106"/>
        <v>4074.7120158509592</v>
      </c>
      <c r="U170" s="27">
        <f t="shared" si="106"/>
        <v>3868.6404465645955</v>
      </c>
      <c r="V170" s="27">
        <f t="shared" si="106"/>
        <v>3657.886146955253</v>
      </c>
      <c r="W170" s="27">
        <f t="shared" si="106"/>
        <v>3468.9723084127045</v>
      </c>
      <c r="X170" s="27">
        <f t="shared" si="106"/>
        <v>3277.941462681249</v>
      </c>
      <c r="Y170" s="27">
        <f t="shared" si="106"/>
        <v>3076.3240090769741</v>
      </c>
      <c r="Z170" s="27">
        <f t="shared" si="106"/>
        <v>2886.9700296684227</v>
      </c>
      <c r="AA170" s="27">
        <f t="shared" si="106"/>
        <v>2704.9212733379713</v>
      </c>
      <c r="AB170" s="27">
        <f t="shared" si="106"/>
        <v>2529.5866674810845</v>
      </c>
      <c r="AC170" s="27">
        <f t="shared" si="106"/>
        <v>2326.0999082051562</v>
      </c>
      <c r="AD170" s="27">
        <f t="shared" si="106"/>
        <v>2123.0717300181846</v>
      </c>
      <c r="AE170" s="27">
        <f t="shared" si="106"/>
        <v>1902.1109571945226</v>
      </c>
      <c r="AF170" s="27">
        <f t="shared" si="106"/>
        <v>1654.2317860531423</v>
      </c>
      <c r="AG170" s="27"/>
      <c r="AH170" s="27"/>
    </row>
    <row r="171" spans="1:34" x14ac:dyDescent="0.25">
      <c r="B171" s="3">
        <f t="shared" ref="B171:AF171" si="107">$C18*EXP(-B$168/$A18/EXP(-$C$126))</f>
        <v>1.5981118016306992E-4</v>
      </c>
      <c r="C171" s="3">
        <f t="shared" si="107"/>
        <v>4.9401760019834558E-10</v>
      </c>
      <c r="D171" s="3">
        <f t="shared" si="107"/>
        <v>3.9363621900823104E-65</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0</v>
      </c>
      <c r="C172" s="3">
        <f t="shared" si="108"/>
        <v>0</v>
      </c>
      <c r="D172" s="3">
        <f t="shared" si="108"/>
        <v>0</v>
      </c>
      <c r="E172" s="3">
        <f t="shared" si="108"/>
        <v>0</v>
      </c>
      <c r="F172" s="3">
        <f t="shared" si="108"/>
        <v>0</v>
      </c>
      <c r="G172" s="3">
        <f t="shared" si="108"/>
        <v>0</v>
      </c>
      <c r="H172" s="3">
        <f t="shared" si="108"/>
        <v>0</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1.0565237550838718E-2</v>
      </c>
      <c r="C173" s="3">
        <f t="shared" si="109"/>
        <v>1.0565234453531176E-2</v>
      </c>
      <c r="D173" s="3">
        <f t="shared" si="109"/>
        <v>1.0565203480505684E-2</v>
      </c>
      <c r="E173" s="3">
        <f t="shared" si="109"/>
        <v>1.0564893755244758E-2</v>
      </c>
      <c r="F173" s="3">
        <f t="shared" si="109"/>
        <v>1.0561797001979553E-2</v>
      </c>
      <c r="G173" s="3">
        <f t="shared" si="109"/>
        <v>1.0530879349612039E-2</v>
      </c>
      <c r="H173" s="3">
        <f t="shared" si="109"/>
        <v>1.0226637171242546E-2</v>
      </c>
      <c r="I173" s="3">
        <f t="shared" si="109"/>
        <v>7.6280750298890971E-3</v>
      </c>
      <c r="J173" s="3">
        <f t="shared" si="109"/>
        <v>4.066642897853673E-4</v>
      </c>
      <c r="K173" s="3">
        <f t="shared" si="109"/>
        <v>7.5413110169498915E-17</v>
      </c>
      <c r="L173" s="3">
        <f t="shared" si="109"/>
        <v>3.6270621609079318E-144</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3.6097677784506288E-2</v>
      </c>
      <c r="C174" s="3">
        <f t="shared" si="110"/>
        <v>3.6097676829885308E-2</v>
      </c>
      <c r="D174" s="3">
        <f t="shared" si="110"/>
        <v>3.6097667283676846E-2</v>
      </c>
      <c r="E174" s="3">
        <f t="shared" si="110"/>
        <v>3.6097571821731129E-2</v>
      </c>
      <c r="F174" s="3">
        <f t="shared" si="110"/>
        <v>3.6096617216158818E-2</v>
      </c>
      <c r="G174" s="3">
        <f t="shared" si="110"/>
        <v>3.6087072548783135E-2</v>
      </c>
      <c r="H174" s="3">
        <f t="shared" si="110"/>
        <v>3.599176457402279E-2</v>
      </c>
      <c r="I174" s="3">
        <f t="shared" si="110"/>
        <v>3.5052419966081647E-2</v>
      </c>
      <c r="J174" s="3">
        <f t="shared" si="110"/>
        <v>2.6907086574333612E-2</v>
      </c>
      <c r="K174" s="3">
        <f t="shared" si="110"/>
        <v>1.9114078852105602E-3</v>
      </c>
      <c r="L174" s="3">
        <f t="shared" si="110"/>
        <v>6.2548996320021171E-15</v>
      </c>
      <c r="M174" s="3">
        <f t="shared" si="110"/>
        <v>8.8082587725254421E-130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1.796140860387075E-2</v>
      </c>
      <c r="C175" s="3">
        <f t="shared" si="111"/>
        <v>1.7961408561021949E-2</v>
      </c>
      <c r="D175" s="3">
        <f t="shared" si="111"/>
        <v>1.7961408132533916E-2</v>
      </c>
      <c r="E175" s="3">
        <f t="shared" si="111"/>
        <v>1.7961403847654159E-2</v>
      </c>
      <c r="F175" s="3">
        <f t="shared" si="111"/>
        <v>1.796136099891283E-2</v>
      </c>
      <c r="G175" s="3">
        <f t="shared" si="111"/>
        <v>1.7960932517121588E-2</v>
      </c>
      <c r="H175" s="3">
        <f t="shared" si="111"/>
        <v>1.7956648261365494E-2</v>
      </c>
      <c r="I175" s="3">
        <f t="shared" si="111"/>
        <v>1.7913861869849612E-2</v>
      </c>
      <c r="J175" s="3">
        <f t="shared" si="111"/>
        <v>1.7491565297687629E-2</v>
      </c>
      <c r="K175" s="3">
        <f t="shared" si="111"/>
        <v>1.3779175164851257E-2</v>
      </c>
      <c r="L175" s="3">
        <f t="shared" si="111"/>
        <v>1.2681443024097803E-3</v>
      </c>
      <c r="M175" s="3">
        <f t="shared" si="111"/>
        <v>5.5287023901874706E-14</v>
      </c>
      <c r="N175" s="3">
        <f t="shared" si="111"/>
        <v>1.3714140342572001E-117</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2.0382209262193061E-2</v>
      </c>
      <c r="C176" s="3">
        <f t="shared" si="112"/>
        <v>2.0382209257806785E-2</v>
      </c>
      <c r="D176" s="3">
        <f t="shared" si="112"/>
        <v>2.0382209213944E-2</v>
      </c>
      <c r="E176" s="3">
        <f t="shared" si="112"/>
        <v>2.0382208775316202E-2</v>
      </c>
      <c r="F176" s="3">
        <f t="shared" si="112"/>
        <v>2.038220438903875E-2</v>
      </c>
      <c r="G176" s="3">
        <f t="shared" si="112"/>
        <v>2.0382160526316136E-2</v>
      </c>
      <c r="H176" s="3">
        <f t="shared" si="112"/>
        <v>2.0381721904281575E-2</v>
      </c>
      <c r="I176" s="3">
        <f t="shared" si="112"/>
        <v>2.0377336203053042E-2</v>
      </c>
      <c r="J176" s="3">
        <f t="shared" si="112"/>
        <v>2.0333531061165776E-2</v>
      </c>
      <c r="K176" s="3">
        <f t="shared" si="112"/>
        <v>1.990062561723363E-2</v>
      </c>
      <c r="L176" s="3">
        <f t="shared" si="112"/>
        <v>1.604744849067535E-2</v>
      </c>
      <c r="M176" s="3">
        <f t="shared" si="112"/>
        <v>1.8655143677319738E-3</v>
      </c>
      <c r="N176" s="3">
        <f t="shared" si="112"/>
        <v>8.4086190407821277E-13</v>
      </c>
      <c r="O176" s="3">
        <f t="shared" si="112"/>
        <v>2.910619692493097E-106</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2.3191773100854133E-2</v>
      </c>
      <c r="C177" s="3">
        <f t="shared" si="113"/>
        <v>2.319177310040391E-2</v>
      </c>
      <c r="D177" s="3">
        <f t="shared" si="113"/>
        <v>2.3191773095901702E-2</v>
      </c>
      <c r="E177" s="3">
        <f t="shared" si="113"/>
        <v>2.3191773050879633E-2</v>
      </c>
      <c r="F177" s="3">
        <f t="shared" si="113"/>
        <v>2.3191772600658956E-2</v>
      </c>
      <c r="G177" s="3">
        <f t="shared" si="113"/>
        <v>2.3191768098452636E-2</v>
      </c>
      <c r="H177" s="3">
        <f t="shared" si="113"/>
        <v>2.3191723076437517E-2</v>
      </c>
      <c r="I177" s="3">
        <f t="shared" si="113"/>
        <v>2.3191272861093331E-2</v>
      </c>
      <c r="J177" s="3">
        <f t="shared" si="113"/>
        <v>2.3186771188319234E-2</v>
      </c>
      <c r="K177" s="3">
        <f t="shared" si="113"/>
        <v>2.3141802492843686E-2</v>
      </c>
      <c r="L177" s="3">
        <f t="shared" si="113"/>
        <v>2.2696884442483585E-2</v>
      </c>
      <c r="M177" s="3">
        <f t="shared" si="113"/>
        <v>1.8692047869565954E-2</v>
      </c>
      <c r="N177" s="3">
        <f t="shared" si="113"/>
        <v>2.682645368347566E-3</v>
      </c>
      <c r="O177" s="3">
        <f t="shared" si="113"/>
        <v>9.9455102541992549E-12</v>
      </c>
      <c r="P177" s="3">
        <f t="shared" si="113"/>
        <v>4.878261919650929E-96</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2.3748702764315809E-2</v>
      </c>
      <c r="C178" s="3">
        <f t="shared" si="114"/>
        <v>2.374870276427422E-2</v>
      </c>
      <c r="D178" s="3">
        <f t="shared" si="114"/>
        <v>2.3748702763858331E-2</v>
      </c>
      <c r="E178" s="3">
        <f t="shared" si="114"/>
        <v>2.3748702759699435E-2</v>
      </c>
      <c r="F178" s="3">
        <f t="shared" si="114"/>
        <v>2.3748702718110484E-2</v>
      </c>
      <c r="G178" s="3">
        <f t="shared" si="114"/>
        <v>2.374870230222097E-2</v>
      </c>
      <c r="H178" s="3">
        <f t="shared" si="114"/>
        <v>2.3748698143326238E-2</v>
      </c>
      <c r="I178" s="3">
        <f t="shared" si="114"/>
        <v>2.374865655441899E-2</v>
      </c>
      <c r="J178" s="3">
        <f t="shared" si="114"/>
        <v>2.374824066935215E-2</v>
      </c>
      <c r="K178" s="3">
        <f t="shared" si="114"/>
        <v>2.3744082219225256E-2</v>
      </c>
      <c r="L178" s="3">
        <f t="shared" si="114"/>
        <v>2.3702537746161764E-2</v>
      </c>
      <c r="M178" s="3">
        <f t="shared" si="114"/>
        <v>2.3291070020942738E-2</v>
      </c>
      <c r="N178" s="3">
        <f t="shared" si="114"/>
        <v>1.9549487772513759E-2</v>
      </c>
      <c r="O178" s="3">
        <f t="shared" si="114"/>
        <v>3.393085468309224E-3</v>
      </c>
      <c r="P178" s="3">
        <f t="shared" si="114"/>
        <v>8.4176131814897907E-11</v>
      </c>
      <c r="Q178" s="3">
        <f t="shared" si="114"/>
        <v>7.4324264082407304E-87</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2.813074465384972E-2</v>
      </c>
      <c r="C179" s="3">
        <f t="shared" si="115"/>
        <v>2.8130744653845276E-2</v>
      </c>
      <c r="D179" s="3">
        <f t="shared" si="115"/>
        <v>2.8130744653800836E-2</v>
      </c>
      <c r="E179" s="3">
        <f t="shared" si="115"/>
        <v>2.8130744653356445E-2</v>
      </c>
      <c r="F179" s="3">
        <f t="shared" si="115"/>
        <v>2.8130744648912527E-2</v>
      </c>
      <c r="G179" s="3">
        <f t="shared" si="115"/>
        <v>2.8130744604473363E-2</v>
      </c>
      <c r="H179" s="3">
        <f t="shared" si="115"/>
        <v>2.8130744160081704E-2</v>
      </c>
      <c r="I179" s="3">
        <f t="shared" si="115"/>
        <v>2.8130739716165514E-2</v>
      </c>
      <c r="J179" s="3">
        <f t="shared" si="115"/>
        <v>2.8130695277042216E-2</v>
      </c>
      <c r="K179" s="3">
        <f t="shared" si="115"/>
        <v>2.8130250889670347E-2</v>
      </c>
      <c r="L179" s="3">
        <f t="shared" si="115"/>
        <v>2.8125807402038534E-2</v>
      </c>
      <c r="M179" s="3">
        <f t="shared" si="115"/>
        <v>2.8081411111852486E-2</v>
      </c>
      <c r="N179" s="3">
        <f t="shared" si="115"/>
        <v>2.7641284364494218E-2</v>
      </c>
      <c r="O179" s="3">
        <f t="shared" si="115"/>
        <v>2.3602126359938035E-2</v>
      </c>
      <c r="P179" s="3">
        <f t="shared" si="115"/>
        <v>4.8627310934581947E-3</v>
      </c>
      <c r="Q179" s="3">
        <f t="shared" si="115"/>
        <v>6.7014916727492816E-10</v>
      </c>
      <c r="R179" s="3">
        <f t="shared" si="115"/>
        <v>1.656089353833863E-78</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2.9651765361493693E-2</v>
      </c>
      <c r="C180" s="3">
        <f t="shared" si="116"/>
        <v>2.9651765361493266E-2</v>
      </c>
      <c r="D180" s="3">
        <f t="shared" si="116"/>
        <v>2.9651765361489044E-2</v>
      </c>
      <c r="E180" s="3">
        <f t="shared" si="116"/>
        <v>2.9651765361446786E-2</v>
      </c>
      <c r="F180" s="3">
        <f t="shared" si="116"/>
        <v>2.9651765361024235E-2</v>
      </c>
      <c r="G180" s="3">
        <f t="shared" si="116"/>
        <v>2.9651765356798698E-2</v>
      </c>
      <c r="H180" s="3">
        <f t="shared" si="116"/>
        <v>2.9651765314543336E-2</v>
      </c>
      <c r="I180" s="3">
        <f t="shared" si="116"/>
        <v>2.9651764891989726E-2</v>
      </c>
      <c r="J180" s="3">
        <f t="shared" si="116"/>
        <v>2.9651760666453971E-2</v>
      </c>
      <c r="K180" s="3">
        <f t="shared" si="116"/>
        <v>2.965171841112952E-2</v>
      </c>
      <c r="L180" s="3">
        <f t="shared" si="116"/>
        <v>2.9651295861196875E-2</v>
      </c>
      <c r="M180" s="3">
        <f t="shared" si="116"/>
        <v>2.9647070693039953E-2</v>
      </c>
      <c r="N180" s="3">
        <f t="shared" si="116"/>
        <v>2.9604852110965561E-2</v>
      </c>
      <c r="O180" s="3">
        <f t="shared" si="116"/>
        <v>2.9185958853666639E-2</v>
      </c>
      <c r="P180" s="3">
        <f t="shared" si="116"/>
        <v>2.5309564082731082E-2</v>
      </c>
      <c r="Q180" s="3">
        <f t="shared" si="116"/>
        <v>6.0868368105916519E-3</v>
      </c>
      <c r="R180" s="3">
        <f t="shared" si="116"/>
        <v>3.9396858291125323E-9</v>
      </c>
      <c r="S180" s="3">
        <f t="shared" si="116"/>
        <v>5.0834775477236411E-71</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3.008752237585835E-2</v>
      </c>
      <c r="C181" s="3">
        <f t="shared" si="117"/>
        <v>3.0087522375858308E-2</v>
      </c>
      <c r="D181" s="3">
        <f t="shared" si="117"/>
        <v>3.0087522375857923E-2</v>
      </c>
      <c r="E181" s="3">
        <f t="shared" si="117"/>
        <v>3.0087522375854055E-2</v>
      </c>
      <c r="F181" s="3">
        <f t="shared" si="117"/>
        <v>3.0087522375815381E-2</v>
      </c>
      <c r="G181" s="3">
        <f t="shared" si="117"/>
        <v>3.0087522375428596E-2</v>
      </c>
      <c r="H181" s="3">
        <f t="shared" si="117"/>
        <v>3.0087522371560798E-2</v>
      </c>
      <c r="I181" s="3">
        <f t="shared" si="117"/>
        <v>3.0087522332882772E-2</v>
      </c>
      <c r="J181" s="3">
        <f t="shared" si="117"/>
        <v>3.0087521946102532E-2</v>
      </c>
      <c r="K181" s="3">
        <f t="shared" si="117"/>
        <v>3.0087518078300412E-2</v>
      </c>
      <c r="L181" s="3">
        <f t="shared" si="117"/>
        <v>3.0087479400306549E-2</v>
      </c>
      <c r="M181" s="3">
        <f t="shared" si="117"/>
        <v>3.0087092623102614E-2</v>
      </c>
      <c r="N181" s="3">
        <f t="shared" si="117"/>
        <v>3.0083225124515726E-2</v>
      </c>
      <c r="O181" s="3">
        <f t="shared" si="117"/>
        <v>3.0044577470893265E-2</v>
      </c>
      <c r="P181" s="3">
        <f t="shared" si="117"/>
        <v>2.9660821203547072E-2</v>
      </c>
      <c r="Q181" s="3">
        <f t="shared" si="117"/>
        <v>2.6082779686550771E-2</v>
      </c>
      <c r="R181" s="3">
        <f t="shared" si="117"/>
        <v>7.212085952872844E-3</v>
      </c>
      <c r="S181" s="3">
        <f t="shared" si="117"/>
        <v>1.8842178042265364E-8</v>
      </c>
      <c r="T181" s="3">
        <f t="shared" si="117"/>
        <v>2.7914714823527215E-64</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2.6649166629010242E-2</v>
      </c>
      <c r="C182" s="3">
        <f t="shared" si="118"/>
        <v>2.6649166629010238E-2</v>
      </c>
      <c r="D182" s="3">
        <f t="shared" si="118"/>
        <v>2.6649166629010207E-2</v>
      </c>
      <c r="E182" s="3">
        <f t="shared" si="118"/>
        <v>2.6649166629009898E-2</v>
      </c>
      <c r="F182" s="3">
        <f t="shared" si="118"/>
        <v>2.6649166629006807E-2</v>
      </c>
      <c r="G182" s="3">
        <f t="shared" si="118"/>
        <v>2.6649166628975905E-2</v>
      </c>
      <c r="H182" s="3">
        <f t="shared" si="118"/>
        <v>2.664916662866687E-2</v>
      </c>
      <c r="I182" s="3">
        <f t="shared" si="118"/>
        <v>2.6649166625576516E-2</v>
      </c>
      <c r="J182" s="3">
        <f t="shared" si="118"/>
        <v>2.6649166594672986E-2</v>
      </c>
      <c r="K182" s="3">
        <f t="shared" si="118"/>
        <v>2.6649166285637699E-2</v>
      </c>
      <c r="L182" s="3">
        <f t="shared" si="118"/>
        <v>2.6649163195285E-2</v>
      </c>
      <c r="M182" s="3">
        <f t="shared" si="118"/>
        <v>2.6649132291777747E-2</v>
      </c>
      <c r="N182" s="3">
        <f t="shared" si="118"/>
        <v>2.6648823258676221E-2</v>
      </c>
      <c r="O182" s="3">
        <f t="shared" si="118"/>
        <v>2.6645733124755485E-2</v>
      </c>
      <c r="P182" s="3">
        <f t="shared" si="118"/>
        <v>2.6614851486544237E-2</v>
      </c>
      <c r="Q182" s="3">
        <f t="shared" si="118"/>
        <v>2.6307996777131762E-2</v>
      </c>
      <c r="R182" s="3">
        <f t="shared" si="118"/>
        <v>2.3427454804286749E-2</v>
      </c>
      <c r="S182" s="3">
        <f t="shared" si="118"/>
        <v>7.3468030241941353E-3</v>
      </c>
      <c r="T182" s="3">
        <f t="shared" si="118"/>
        <v>6.7582035759471999E-8</v>
      </c>
      <c r="U182" s="3">
        <f t="shared" si="118"/>
        <v>2.9319732714410065E-58</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3.2769511002714927E-2</v>
      </c>
      <c r="C183" s="3">
        <f t="shared" si="119"/>
        <v>3.2769511002714927E-2</v>
      </c>
      <c r="D183" s="3">
        <f t="shared" si="119"/>
        <v>3.276951100271492E-2</v>
      </c>
      <c r="E183" s="3">
        <f t="shared" si="119"/>
        <v>3.2769511002714892E-2</v>
      </c>
      <c r="F183" s="3">
        <f t="shared" si="119"/>
        <v>3.2769511002714545E-2</v>
      </c>
      <c r="G183" s="3">
        <f t="shared" si="119"/>
        <v>3.2769511002711117E-2</v>
      </c>
      <c r="H183" s="3">
        <f t="shared" si="119"/>
        <v>3.2769511002676839E-2</v>
      </c>
      <c r="I183" s="3">
        <f t="shared" si="119"/>
        <v>3.2769511002334037E-2</v>
      </c>
      <c r="J183" s="3">
        <f t="shared" si="119"/>
        <v>3.2769510998906036E-2</v>
      </c>
      <c r="K183" s="3">
        <f t="shared" si="119"/>
        <v>3.276951096462602E-2</v>
      </c>
      <c r="L183" s="3">
        <f t="shared" si="119"/>
        <v>3.2769510621825877E-2</v>
      </c>
      <c r="M183" s="3">
        <f t="shared" si="119"/>
        <v>3.276950719382464E-2</v>
      </c>
      <c r="N183" s="3">
        <f t="shared" si="119"/>
        <v>3.2769472913832004E-2</v>
      </c>
      <c r="O183" s="3">
        <f t="shared" si="119"/>
        <v>3.2769130115877912E-2</v>
      </c>
      <c r="P183" s="3">
        <f t="shared" si="119"/>
        <v>3.2765702333559299E-2</v>
      </c>
      <c r="Q183" s="3">
        <f t="shared" si="119"/>
        <v>3.2731444224972962E-2</v>
      </c>
      <c r="R183" s="3">
        <f t="shared" si="119"/>
        <v>3.239082698975905E-2</v>
      </c>
      <c r="S183" s="3">
        <f t="shared" si="119"/>
        <v>2.9173646558815665E-2</v>
      </c>
      <c r="T183" s="3">
        <f t="shared" si="119"/>
        <v>1.0248906347186596E-2</v>
      </c>
      <c r="U183" s="3">
        <f t="shared" si="119"/>
        <v>2.9345776098873897E-7</v>
      </c>
      <c r="V183" s="3">
        <f t="shared" si="119"/>
        <v>1.0869920051116342E-52</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4.1907199465091145E-2</v>
      </c>
      <c r="C184" s="3">
        <f t="shared" si="120"/>
        <v>4.1907199465091145E-2</v>
      </c>
      <c r="D184" s="3">
        <f t="shared" si="120"/>
        <v>4.1907199465091145E-2</v>
      </c>
      <c r="E184" s="3">
        <f t="shared" si="120"/>
        <v>4.1907199465091138E-2</v>
      </c>
      <c r="F184" s="3">
        <f t="shared" si="120"/>
        <v>4.1907199465091104E-2</v>
      </c>
      <c r="G184" s="3">
        <f t="shared" si="120"/>
        <v>4.1907199465090708E-2</v>
      </c>
      <c r="H184" s="3">
        <f t="shared" si="120"/>
        <v>4.1907199465086753E-2</v>
      </c>
      <c r="I184" s="3">
        <f t="shared" si="120"/>
        <v>4.1907199465047208E-2</v>
      </c>
      <c r="J184" s="3">
        <f t="shared" si="120"/>
        <v>4.190719946465174E-2</v>
      </c>
      <c r="K184" s="3">
        <f t="shared" si="120"/>
        <v>4.1907199460697112E-2</v>
      </c>
      <c r="L184" s="3">
        <f t="shared" si="120"/>
        <v>4.1907199421150766E-2</v>
      </c>
      <c r="M184" s="3">
        <f t="shared" si="120"/>
        <v>4.1907199025687403E-2</v>
      </c>
      <c r="N184" s="3">
        <f t="shared" si="120"/>
        <v>4.1907195071053893E-2</v>
      </c>
      <c r="O184" s="3">
        <f t="shared" si="120"/>
        <v>4.1907155524739323E-2</v>
      </c>
      <c r="P184" s="3">
        <f t="shared" si="120"/>
        <v>4.1906760063646208E-2</v>
      </c>
      <c r="Q184" s="3">
        <f t="shared" si="120"/>
        <v>4.190280565795864E-2</v>
      </c>
      <c r="R184" s="3">
        <f t="shared" si="120"/>
        <v>4.1863282118283905E-2</v>
      </c>
      <c r="S184" s="3">
        <f t="shared" si="120"/>
        <v>4.1470091295973545E-2</v>
      </c>
      <c r="T184" s="3">
        <f t="shared" si="120"/>
        <v>3.773567839734486E-2</v>
      </c>
      <c r="U184" s="3">
        <f t="shared" si="120"/>
        <v>1.4686687938764298E-2</v>
      </c>
      <c r="V184" s="3">
        <f t="shared" si="120"/>
        <v>1.1712265768981342E-6</v>
      </c>
      <c r="W184" s="3">
        <f t="shared" si="120"/>
        <v>1.2184604405181621E-47</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3.8766931941006839E-2</v>
      </c>
      <c r="C185" s="3">
        <f t="shared" si="121"/>
        <v>3.8766931941006839E-2</v>
      </c>
      <c r="D185" s="3">
        <f t="shared" si="121"/>
        <v>3.8766931941006839E-2</v>
      </c>
      <c r="E185" s="3">
        <f t="shared" si="121"/>
        <v>3.8766931941006839E-2</v>
      </c>
      <c r="F185" s="3">
        <f t="shared" si="121"/>
        <v>3.8766931941006832E-2</v>
      </c>
      <c r="G185" s="3">
        <f t="shared" si="121"/>
        <v>3.8766931941006798E-2</v>
      </c>
      <c r="H185" s="3">
        <f t="shared" si="121"/>
        <v>3.8766931941006472E-2</v>
      </c>
      <c r="I185" s="3">
        <f t="shared" si="121"/>
        <v>3.8766931941003176E-2</v>
      </c>
      <c r="J185" s="3">
        <f t="shared" si="121"/>
        <v>3.8766931940970174E-2</v>
      </c>
      <c r="K185" s="3">
        <f t="shared" si="121"/>
        <v>3.8766931940640167E-2</v>
      </c>
      <c r="L185" s="3">
        <f t="shared" si="121"/>
        <v>3.8766931937340071E-2</v>
      </c>
      <c r="M185" s="3">
        <f t="shared" si="121"/>
        <v>3.8766931904339184E-2</v>
      </c>
      <c r="N185" s="3">
        <f t="shared" si="121"/>
        <v>3.8766931574330289E-2</v>
      </c>
      <c r="O185" s="3">
        <f t="shared" si="121"/>
        <v>3.8766928274241476E-2</v>
      </c>
      <c r="P185" s="3">
        <f t="shared" si="121"/>
        <v>3.8766895273368789E-2</v>
      </c>
      <c r="Q185" s="3">
        <f t="shared" si="121"/>
        <v>3.8766565266187034E-2</v>
      </c>
      <c r="R185" s="3">
        <f t="shared" si="121"/>
        <v>3.8763265348872644E-2</v>
      </c>
      <c r="S185" s="3">
        <f t="shared" si="121"/>
        <v>3.8730281621179308E-2</v>
      </c>
      <c r="T185" s="3">
        <f t="shared" si="121"/>
        <v>3.8401984035540272E-2</v>
      </c>
      <c r="U185" s="3">
        <f t="shared" si="121"/>
        <v>3.5268236231938463E-2</v>
      </c>
      <c r="V185" s="3">
        <f t="shared" si="121"/>
        <v>1.5055130511227621E-2</v>
      </c>
      <c r="W185" s="3">
        <f t="shared" si="121"/>
        <v>3.0247700269747212E-6</v>
      </c>
      <c r="X185" s="3">
        <f t="shared" si="121"/>
        <v>3.2416843354584384E-43</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3.2038673628359195E-2</v>
      </c>
      <c r="C186" s="3">
        <f t="shared" si="122"/>
        <v>3.2038673628359195E-2</v>
      </c>
      <c r="D186" s="3">
        <f t="shared" si="122"/>
        <v>3.2038673628359195E-2</v>
      </c>
      <c r="E186" s="3">
        <f t="shared" si="122"/>
        <v>3.2038673628359195E-2</v>
      </c>
      <c r="F186" s="3">
        <f t="shared" si="122"/>
        <v>3.2038673628359195E-2</v>
      </c>
      <c r="G186" s="3">
        <f t="shared" si="122"/>
        <v>3.2038673628359188E-2</v>
      </c>
      <c r="H186" s="3">
        <f t="shared" si="122"/>
        <v>3.2038673628359167E-2</v>
      </c>
      <c r="I186" s="3">
        <f t="shared" si="122"/>
        <v>3.2038673628358924E-2</v>
      </c>
      <c r="J186" s="3">
        <f t="shared" si="122"/>
        <v>3.2038673628356461E-2</v>
      </c>
      <c r="K186" s="3">
        <f t="shared" si="122"/>
        <v>3.2038673628331862E-2</v>
      </c>
      <c r="L186" s="3">
        <f t="shared" si="122"/>
        <v>3.203867362808583E-2</v>
      </c>
      <c r="M186" s="3">
        <f t="shared" si="122"/>
        <v>3.2038673625625548E-2</v>
      </c>
      <c r="N186" s="3">
        <f t="shared" si="122"/>
        <v>3.2038673601022701E-2</v>
      </c>
      <c r="O186" s="3">
        <f t="shared" si="122"/>
        <v>3.2038673354994246E-2</v>
      </c>
      <c r="P186" s="3">
        <f t="shared" si="122"/>
        <v>3.2038670894709818E-2</v>
      </c>
      <c r="Q186" s="3">
        <f t="shared" si="122"/>
        <v>3.2038646291875937E-2</v>
      </c>
      <c r="R186" s="3">
        <f t="shared" si="122"/>
        <v>3.2038400264576231E-2</v>
      </c>
      <c r="S186" s="3">
        <f t="shared" si="122"/>
        <v>3.2035940095486215E-2</v>
      </c>
      <c r="T186" s="3">
        <f t="shared" si="122"/>
        <v>3.2011348792342055E-2</v>
      </c>
      <c r="U186" s="3">
        <f t="shared" si="122"/>
        <v>3.1766471591110991E-2</v>
      </c>
      <c r="V186" s="3">
        <f t="shared" si="122"/>
        <v>2.9418399003885647E-2</v>
      </c>
      <c r="W186" s="3">
        <f t="shared" si="122"/>
        <v>1.3649589321385059E-2</v>
      </c>
      <c r="X186" s="3">
        <f t="shared" si="122"/>
        <v>6.311391097995581E-6</v>
      </c>
      <c r="Y186" s="3">
        <f t="shared" si="122"/>
        <v>2.8195524239353913E-39</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3.8815204020590376E-2</v>
      </c>
      <c r="C187" s="3">
        <f t="shared" si="123"/>
        <v>3.8815204020590376E-2</v>
      </c>
      <c r="D187" s="3">
        <f t="shared" si="123"/>
        <v>3.8815204020590376E-2</v>
      </c>
      <c r="E187" s="3">
        <f t="shared" si="123"/>
        <v>3.8815204020590376E-2</v>
      </c>
      <c r="F187" s="3">
        <f t="shared" si="123"/>
        <v>3.8815204020590376E-2</v>
      </c>
      <c r="G187" s="3">
        <f t="shared" si="123"/>
        <v>3.8815204020590376E-2</v>
      </c>
      <c r="H187" s="3">
        <f t="shared" si="123"/>
        <v>3.8815204020590369E-2</v>
      </c>
      <c r="I187" s="3">
        <f t="shared" si="123"/>
        <v>3.8815204020590348E-2</v>
      </c>
      <c r="J187" s="3">
        <f t="shared" si="123"/>
        <v>3.8815204020590077E-2</v>
      </c>
      <c r="K187" s="3">
        <f t="shared" si="123"/>
        <v>3.8815204020587392E-2</v>
      </c>
      <c r="L187" s="3">
        <f t="shared" si="123"/>
        <v>3.8815204020560497E-2</v>
      </c>
      <c r="M187" s="3">
        <f t="shared" si="123"/>
        <v>3.8815204020291622E-2</v>
      </c>
      <c r="N187" s="3">
        <f t="shared" si="123"/>
        <v>3.8815204017602814E-2</v>
      </c>
      <c r="O187" s="3">
        <f t="shared" si="123"/>
        <v>3.8815203990714767E-2</v>
      </c>
      <c r="P187" s="3">
        <f t="shared" si="123"/>
        <v>3.8815203721834286E-2</v>
      </c>
      <c r="Q187" s="3">
        <f t="shared" si="123"/>
        <v>3.8815201033029607E-2</v>
      </c>
      <c r="R187" s="3">
        <f t="shared" si="123"/>
        <v>3.8815174144993046E-2</v>
      </c>
      <c r="S187" s="3">
        <f t="shared" si="123"/>
        <v>3.8814905265651858E-2</v>
      </c>
      <c r="T187" s="3">
        <f t="shared" si="123"/>
        <v>3.8812216574679342E-2</v>
      </c>
      <c r="U187" s="3">
        <f t="shared" si="123"/>
        <v>3.878533990626843E-2</v>
      </c>
      <c r="V187" s="3">
        <f t="shared" si="123"/>
        <v>3.8517594733522738E-2</v>
      </c>
      <c r="W187" s="3">
        <f t="shared" si="123"/>
        <v>3.5939723752304871E-2</v>
      </c>
      <c r="X187" s="3">
        <f t="shared" si="123"/>
        <v>1.7977549240756389E-2</v>
      </c>
      <c r="Y187" s="3">
        <f t="shared" si="123"/>
        <v>1.7631449210718571E-5</v>
      </c>
      <c r="Z187" s="3">
        <f t="shared" si="123"/>
        <v>1.4516544349995042E-35</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3.675792152056976E-2</v>
      </c>
      <c r="C188" s="3">
        <f t="shared" si="124"/>
        <v>3.675792152056976E-2</v>
      </c>
      <c r="D188" s="3">
        <f t="shared" si="124"/>
        <v>3.675792152056976E-2</v>
      </c>
      <c r="E188" s="3">
        <f t="shared" si="124"/>
        <v>3.675792152056976E-2</v>
      </c>
      <c r="F188" s="3">
        <f t="shared" si="124"/>
        <v>3.675792152056976E-2</v>
      </c>
      <c r="G188" s="3">
        <f t="shared" si="124"/>
        <v>3.675792152056976E-2</v>
      </c>
      <c r="H188" s="3">
        <f t="shared" si="124"/>
        <v>3.675792152056976E-2</v>
      </c>
      <c r="I188" s="3">
        <f t="shared" si="124"/>
        <v>3.6757921520569753E-2</v>
      </c>
      <c r="J188" s="3">
        <f t="shared" si="124"/>
        <v>3.6757921520569732E-2</v>
      </c>
      <c r="K188" s="3">
        <f t="shared" si="124"/>
        <v>3.6757921520569503E-2</v>
      </c>
      <c r="L188" s="3">
        <f t="shared" si="124"/>
        <v>3.6757921520567206E-2</v>
      </c>
      <c r="M188" s="3">
        <f t="shared" si="124"/>
        <v>3.6757921520544239E-2</v>
      </c>
      <c r="N188" s="3">
        <f t="shared" si="124"/>
        <v>3.675792152031454E-2</v>
      </c>
      <c r="O188" s="3">
        <f t="shared" si="124"/>
        <v>3.6757921518017572E-2</v>
      </c>
      <c r="P188" s="3">
        <f t="shared" si="124"/>
        <v>3.6757921495047891E-2</v>
      </c>
      <c r="Q188" s="3">
        <f t="shared" si="124"/>
        <v>3.6757921265351094E-2</v>
      </c>
      <c r="R188" s="3">
        <f t="shared" si="124"/>
        <v>3.6757918968383221E-2</v>
      </c>
      <c r="S188" s="3">
        <f t="shared" si="124"/>
        <v>3.6757895998712375E-2</v>
      </c>
      <c r="T188" s="3">
        <f t="shared" si="124"/>
        <v>3.6757666302793333E-2</v>
      </c>
      <c r="U188" s="3">
        <f t="shared" si="124"/>
        <v>3.6755369422545328E-2</v>
      </c>
      <c r="V188" s="3">
        <f t="shared" si="124"/>
        <v>3.6732408512482856E-2</v>
      </c>
      <c r="W188" s="3">
        <f t="shared" si="124"/>
        <v>3.6503586831857858E-2</v>
      </c>
      <c r="X188" s="3">
        <f t="shared" si="124"/>
        <v>3.4292321466607809E-2</v>
      </c>
      <c r="Y188" s="3">
        <f t="shared" si="124"/>
        <v>1.8357365168145488E-2</v>
      </c>
      <c r="Z188" s="3">
        <f t="shared" si="124"/>
        <v>3.5476842093323888E-5</v>
      </c>
      <c r="AA188" s="3">
        <f t="shared" si="124"/>
        <v>2.5780482053812331E-32</v>
      </c>
      <c r="AB188" s="3">
        <f t="shared" si="124"/>
        <v>1.058648584858142E-303</v>
      </c>
      <c r="AC188" s="3">
        <f t="shared" si="124"/>
        <v>0</v>
      </c>
      <c r="AD188" s="3">
        <f t="shared" si="124"/>
        <v>0</v>
      </c>
      <c r="AE188" s="3">
        <f t="shared" si="124"/>
        <v>0</v>
      </c>
      <c r="AF188" s="3">
        <f t="shared" si="124"/>
        <v>0</v>
      </c>
      <c r="AG188" s="3"/>
      <c r="AH188" s="3"/>
    </row>
    <row r="189" spans="2:34" x14ac:dyDescent="0.25">
      <c r="B189" s="3">
        <f t="shared" ref="B189:AF189" si="125">$C36*EXP(-B$168/$A36/EXP(-$C$126))</f>
        <v>3.3395319995761917E-2</v>
      </c>
      <c r="C189" s="3">
        <f t="shared" si="125"/>
        <v>3.3395319995761917E-2</v>
      </c>
      <c r="D189" s="3">
        <f t="shared" si="125"/>
        <v>3.3395319995761917E-2</v>
      </c>
      <c r="E189" s="3">
        <f t="shared" si="125"/>
        <v>3.3395319995761917E-2</v>
      </c>
      <c r="F189" s="3">
        <f t="shared" si="125"/>
        <v>3.3395319995761917E-2</v>
      </c>
      <c r="G189" s="3">
        <f t="shared" si="125"/>
        <v>3.3395319995761917E-2</v>
      </c>
      <c r="H189" s="3">
        <f t="shared" si="125"/>
        <v>3.3395319995761917E-2</v>
      </c>
      <c r="I189" s="3">
        <f t="shared" si="125"/>
        <v>3.3395319995761917E-2</v>
      </c>
      <c r="J189" s="3">
        <f t="shared" si="125"/>
        <v>3.339531999576191E-2</v>
      </c>
      <c r="K189" s="3">
        <f t="shared" si="125"/>
        <v>3.3395319995761896E-2</v>
      </c>
      <c r="L189" s="3">
        <f t="shared" si="125"/>
        <v>3.3395319995761709E-2</v>
      </c>
      <c r="M189" s="3">
        <f t="shared" si="125"/>
        <v>3.3395319995759828E-2</v>
      </c>
      <c r="N189" s="3">
        <f t="shared" si="125"/>
        <v>3.3395319995740996E-2</v>
      </c>
      <c r="O189" s="3">
        <f t="shared" si="125"/>
        <v>3.3395319995552751E-2</v>
      </c>
      <c r="P189" s="3">
        <f t="shared" si="125"/>
        <v>3.3395319993670243E-2</v>
      </c>
      <c r="Q189" s="3">
        <f t="shared" si="125"/>
        <v>3.339531997484519E-2</v>
      </c>
      <c r="R189" s="3">
        <f t="shared" si="125"/>
        <v>3.3395319786594671E-2</v>
      </c>
      <c r="S189" s="3">
        <f t="shared" si="125"/>
        <v>3.3395317904089505E-2</v>
      </c>
      <c r="T189" s="3">
        <f t="shared" si="125"/>
        <v>3.3395299079043678E-2</v>
      </c>
      <c r="U189" s="3">
        <f t="shared" si="125"/>
        <v>3.3395110829169052E-2</v>
      </c>
      <c r="V189" s="3">
        <f t="shared" si="125"/>
        <v>3.3393228388786056E-2</v>
      </c>
      <c r="W189" s="3">
        <f t="shared" si="125"/>
        <v>3.3374409820063067E-2</v>
      </c>
      <c r="X189" s="3">
        <f t="shared" si="125"/>
        <v>3.3186806428334166E-2</v>
      </c>
      <c r="Y189" s="3">
        <f t="shared" si="125"/>
        <v>3.1367805661314717E-2</v>
      </c>
      <c r="Z189" s="3">
        <f t="shared" si="125"/>
        <v>1.7851343344177657E-2</v>
      </c>
      <c r="AA189" s="3">
        <f t="shared" si="125"/>
        <v>6.3611926362714766E-5</v>
      </c>
      <c r="AB189" s="3">
        <f t="shared" si="125"/>
        <v>2.0999791948169073E-29</v>
      </c>
      <c r="AC189" s="3">
        <f t="shared" si="125"/>
        <v>3.2283412645447009E-274</v>
      </c>
      <c r="AD189" s="3">
        <f t="shared" si="125"/>
        <v>0</v>
      </c>
      <c r="AE189" s="3">
        <f t="shared" si="125"/>
        <v>0</v>
      </c>
      <c r="AF189" s="3">
        <f t="shared" si="125"/>
        <v>0</v>
      </c>
      <c r="AG189" s="3"/>
      <c r="AH189" s="3"/>
    </row>
    <row r="190" spans="2:34" x14ac:dyDescent="0.25">
      <c r="B190" s="3">
        <f t="shared" ref="B190:AF190" si="126">$C37*EXP(-B$168/$A37/EXP(-$C$126))</f>
        <v>3.5168182509434494E-2</v>
      </c>
      <c r="C190" s="3">
        <f t="shared" si="126"/>
        <v>3.5168182509434494E-2</v>
      </c>
      <c r="D190" s="3">
        <f t="shared" si="126"/>
        <v>3.5168182509434494E-2</v>
      </c>
      <c r="E190" s="3">
        <f t="shared" si="126"/>
        <v>3.5168182509434494E-2</v>
      </c>
      <c r="F190" s="3">
        <f t="shared" si="126"/>
        <v>3.5168182509434494E-2</v>
      </c>
      <c r="G190" s="3">
        <f t="shared" si="126"/>
        <v>3.5168182509434494E-2</v>
      </c>
      <c r="H190" s="3">
        <f t="shared" si="126"/>
        <v>3.5168182509434494E-2</v>
      </c>
      <c r="I190" s="3">
        <f t="shared" si="126"/>
        <v>3.5168182509434494E-2</v>
      </c>
      <c r="J190" s="3">
        <f t="shared" si="126"/>
        <v>3.5168182509434494E-2</v>
      </c>
      <c r="K190" s="3">
        <f t="shared" si="126"/>
        <v>3.5168182509434487E-2</v>
      </c>
      <c r="L190" s="3">
        <f t="shared" si="126"/>
        <v>3.5168182509434473E-2</v>
      </c>
      <c r="M190" s="3">
        <f t="shared" si="126"/>
        <v>3.5168182509434293E-2</v>
      </c>
      <c r="N190" s="3">
        <f t="shared" si="126"/>
        <v>3.5168182509432509E-2</v>
      </c>
      <c r="O190" s="3">
        <f t="shared" si="126"/>
        <v>3.5168182509414621E-2</v>
      </c>
      <c r="P190" s="3">
        <f t="shared" si="126"/>
        <v>3.5168182509235792E-2</v>
      </c>
      <c r="Q190" s="3">
        <f t="shared" si="126"/>
        <v>3.5168182507447465E-2</v>
      </c>
      <c r="R190" s="3">
        <f t="shared" si="126"/>
        <v>3.5168182489564187E-2</v>
      </c>
      <c r="S190" s="3">
        <f t="shared" si="126"/>
        <v>3.5168182310731419E-2</v>
      </c>
      <c r="T190" s="3">
        <f t="shared" si="126"/>
        <v>3.5168180522403794E-2</v>
      </c>
      <c r="U190" s="3">
        <f t="shared" si="126"/>
        <v>3.5168162639132583E-2</v>
      </c>
      <c r="V190" s="3">
        <f t="shared" si="126"/>
        <v>3.5167983806920607E-2</v>
      </c>
      <c r="W190" s="3">
        <f t="shared" si="126"/>
        <v>3.5166195534815599E-2</v>
      </c>
      <c r="X190" s="3">
        <f t="shared" si="126"/>
        <v>3.5148317814297059E-2</v>
      </c>
      <c r="Y190" s="3">
        <f t="shared" si="126"/>
        <v>3.4970039722708846E-2</v>
      </c>
      <c r="Z190" s="3">
        <f t="shared" si="126"/>
        <v>3.3236243732144802E-2</v>
      </c>
      <c r="AA190" s="3">
        <f t="shared" si="126"/>
        <v>1.998803172857844E-2</v>
      </c>
      <c r="AB190" s="3">
        <f t="shared" si="126"/>
        <v>1.2369466833932961E-4</v>
      </c>
      <c r="AC190" s="3">
        <f t="shared" si="126"/>
        <v>1.018967854529908E-26</v>
      </c>
      <c r="AD190" s="3">
        <f t="shared" si="126"/>
        <v>1.4664103384289481E-247</v>
      </c>
      <c r="AE190" s="3">
        <f t="shared" si="126"/>
        <v>0</v>
      </c>
      <c r="AF190" s="3">
        <f t="shared" si="126"/>
        <v>0</v>
      </c>
      <c r="AG190" s="3"/>
      <c r="AH190" s="3"/>
    </row>
    <row r="191" spans="2:34" x14ac:dyDescent="0.25">
      <c r="B191" s="3">
        <f t="shared" ref="B191:AF191" si="127">$C38*EXP(-B$168/$A38/EXP(-$C$126))</f>
        <v>2.0659155414283158E-2</v>
      </c>
      <c r="C191" s="3">
        <f t="shared" si="127"/>
        <v>2.0659155414283158E-2</v>
      </c>
      <c r="D191" s="3">
        <f t="shared" si="127"/>
        <v>2.0659155414283158E-2</v>
      </c>
      <c r="E191" s="3">
        <f t="shared" si="127"/>
        <v>2.0659155414283158E-2</v>
      </c>
      <c r="F191" s="3">
        <f t="shared" si="127"/>
        <v>2.0659155414283158E-2</v>
      </c>
      <c r="G191" s="3">
        <f t="shared" si="127"/>
        <v>2.0659155414283158E-2</v>
      </c>
      <c r="H191" s="3">
        <f t="shared" si="127"/>
        <v>2.0659155414283158E-2</v>
      </c>
      <c r="I191" s="3">
        <f t="shared" si="127"/>
        <v>2.0659155414283158E-2</v>
      </c>
      <c r="J191" s="3">
        <f t="shared" si="127"/>
        <v>2.0659155414283158E-2</v>
      </c>
      <c r="K191" s="3">
        <f t="shared" si="127"/>
        <v>2.0659155414283158E-2</v>
      </c>
      <c r="L191" s="3">
        <f t="shared" si="127"/>
        <v>2.0659155414283158E-2</v>
      </c>
      <c r="M191" s="3">
        <f t="shared" si="127"/>
        <v>2.0659155414283148E-2</v>
      </c>
      <c r="N191" s="3">
        <f t="shared" si="127"/>
        <v>2.0659155414283054E-2</v>
      </c>
      <c r="O191" s="3">
        <f t="shared" si="127"/>
        <v>2.0659155414282107E-2</v>
      </c>
      <c r="P191" s="3">
        <f t="shared" si="127"/>
        <v>2.0659155414272629E-2</v>
      </c>
      <c r="Q191" s="3">
        <f t="shared" si="127"/>
        <v>2.0659155414177864E-2</v>
      </c>
      <c r="R191" s="3">
        <f t="shared" si="127"/>
        <v>2.0659155413230192E-2</v>
      </c>
      <c r="S191" s="3">
        <f t="shared" si="127"/>
        <v>2.0659155403753512E-2</v>
      </c>
      <c r="T191" s="3">
        <f t="shared" si="127"/>
        <v>2.0659155308986689E-2</v>
      </c>
      <c r="U191" s="3">
        <f t="shared" si="127"/>
        <v>2.0659154361318471E-2</v>
      </c>
      <c r="V191" s="3">
        <f t="shared" si="127"/>
        <v>2.0659144884638703E-2</v>
      </c>
      <c r="W191" s="3">
        <f t="shared" si="127"/>
        <v>2.0659050118080124E-2</v>
      </c>
      <c r="X191" s="3">
        <f t="shared" si="127"/>
        <v>2.065810247640296E-2</v>
      </c>
      <c r="Y191" s="3">
        <f t="shared" si="127"/>
        <v>2.0648628450088014E-2</v>
      </c>
      <c r="Z191" s="3">
        <f t="shared" si="127"/>
        <v>2.0554126827386859E-2</v>
      </c>
      <c r="AA191" s="3">
        <f t="shared" si="127"/>
        <v>1.9632574534730281E-2</v>
      </c>
      <c r="AB191" s="3">
        <f t="shared" si="127"/>
        <v>1.2409648613229596E-2</v>
      </c>
      <c r="AC191" s="3">
        <f t="shared" si="127"/>
        <v>1.2635190052814798E-4</v>
      </c>
      <c r="AD191" s="3">
        <f t="shared" si="127"/>
        <v>1.5128808402640141E-24</v>
      </c>
      <c r="AE191" s="3">
        <f t="shared" si="127"/>
        <v>9.1629256684587018E-224</v>
      </c>
      <c r="AF191" s="3">
        <f t="shared" si="127"/>
        <v>0</v>
      </c>
      <c r="AG191" s="3"/>
      <c r="AH191" s="3"/>
    </row>
    <row r="192" spans="2:34" x14ac:dyDescent="0.25">
      <c r="B192" s="3">
        <f t="shared" ref="B192:AF192" si="128">$C39*EXP(-B$168/$A39/EXP(-$C$126))</f>
        <v>3.0227206274926977E-2</v>
      </c>
      <c r="C192" s="3">
        <f t="shared" si="128"/>
        <v>3.0227206274926977E-2</v>
      </c>
      <c r="D192" s="3">
        <f t="shared" si="128"/>
        <v>3.0227206274926977E-2</v>
      </c>
      <c r="E192" s="3">
        <f t="shared" si="128"/>
        <v>3.0227206274926977E-2</v>
      </c>
      <c r="F192" s="3">
        <f t="shared" si="128"/>
        <v>3.0227206274926977E-2</v>
      </c>
      <c r="G192" s="3">
        <f t="shared" si="128"/>
        <v>3.0227206274926977E-2</v>
      </c>
      <c r="H192" s="3">
        <f t="shared" si="128"/>
        <v>3.0227206274926977E-2</v>
      </c>
      <c r="I192" s="3">
        <f t="shared" si="128"/>
        <v>3.0227206274926977E-2</v>
      </c>
      <c r="J192" s="3">
        <f t="shared" si="128"/>
        <v>3.0227206274926977E-2</v>
      </c>
      <c r="K192" s="3">
        <f t="shared" si="128"/>
        <v>3.0227206274926977E-2</v>
      </c>
      <c r="L192" s="3">
        <f t="shared" si="128"/>
        <v>3.0227206274926977E-2</v>
      </c>
      <c r="M192" s="3">
        <f t="shared" si="128"/>
        <v>3.0227206274926973E-2</v>
      </c>
      <c r="N192" s="3">
        <f t="shared" si="128"/>
        <v>3.0227206274926931E-2</v>
      </c>
      <c r="O192" s="3">
        <f t="shared" si="128"/>
        <v>3.022720627492655E-2</v>
      </c>
      <c r="P192" s="3">
        <f t="shared" si="128"/>
        <v>3.0227206274922716E-2</v>
      </c>
      <c r="Q192" s="3">
        <f t="shared" si="128"/>
        <v>3.0227206274884368E-2</v>
      </c>
      <c r="R192" s="3">
        <f t="shared" si="128"/>
        <v>3.0227206274500876E-2</v>
      </c>
      <c r="S192" s="3">
        <f t="shared" si="128"/>
        <v>3.0227206270665972E-2</v>
      </c>
      <c r="T192" s="3">
        <f t="shared" si="128"/>
        <v>3.0227206232316919E-2</v>
      </c>
      <c r="U192" s="3">
        <f t="shared" si="128"/>
        <v>3.0227205848826398E-2</v>
      </c>
      <c r="V192" s="3">
        <f t="shared" si="128"/>
        <v>3.0227202013921466E-2</v>
      </c>
      <c r="W192" s="3">
        <f t="shared" si="128"/>
        <v>3.0227163664898912E-2</v>
      </c>
      <c r="X192" s="3">
        <f t="shared" si="128"/>
        <v>3.0226780177349262E-2</v>
      </c>
      <c r="Y192" s="3">
        <f t="shared" si="128"/>
        <v>3.0222945569431295E-2</v>
      </c>
      <c r="Z192" s="3">
        <f t="shared" si="128"/>
        <v>3.0184626235550571E-2</v>
      </c>
      <c r="AA192" s="3">
        <f t="shared" si="128"/>
        <v>2.9804094914443663E-2</v>
      </c>
      <c r="AB192" s="3">
        <f t="shared" si="128"/>
        <v>2.6252900370243346E-2</v>
      </c>
      <c r="AC192" s="3">
        <f t="shared" si="128"/>
        <v>7.3822851562035498E-3</v>
      </c>
      <c r="AD192" s="3">
        <f t="shared" si="128"/>
        <v>2.2820548556904434E-8</v>
      </c>
      <c r="AE192" s="3">
        <f t="shared" si="128"/>
        <v>1.8183551448424091E-63</v>
      </c>
      <c r="AF192" s="3">
        <f t="shared" si="128"/>
        <v>0</v>
      </c>
      <c r="AG192" s="3"/>
      <c r="AH192" s="3"/>
    </row>
    <row r="193" spans="1:34" x14ac:dyDescent="0.25">
      <c r="B193" s="3">
        <f t="shared" ref="B193:AF193" si="129">$C40*EXP(-B$168/$A40/EXP(-$C$126))</f>
        <v>3.7583954306508939E-2</v>
      </c>
      <c r="C193" s="3">
        <f t="shared" si="129"/>
        <v>3.7583954306508939E-2</v>
      </c>
      <c r="D193" s="3">
        <f t="shared" si="129"/>
        <v>3.7583954306508939E-2</v>
      </c>
      <c r="E193" s="3">
        <f t="shared" si="129"/>
        <v>3.7583954306508939E-2</v>
      </c>
      <c r="F193" s="3">
        <f t="shared" si="129"/>
        <v>3.7583954306508939E-2</v>
      </c>
      <c r="G193" s="3">
        <f t="shared" si="129"/>
        <v>3.7583954306508939E-2</v>
      </c>
      <c r="H193" s="3">
        <f t="shared" si="129"/>
        <v>3.7583954306508939E-2</v>
      </c>
      <c r="I193" s="3">
        <f t="shared" si="129"/>
        <v>3.7583954306508939E-2</v>
      </c>
      <c r="J193" s="3">
        <f t="shared" si="129"/>
        <v>3.7583954306508939E-2</v>
      </c>
      <c r="K193" s="3">
        <f t="shared" si="129"/>
        <v>3.7583954306508939E-2</v>
      </c>
      <c r="L193" s="3">
        <f t="shared" si="129"/>
        <v>3.7583954306508939E-2</v>
      </c>
      <c r="M193" s="3">
        <f t="shared" si="129"/>
        <v>3.7583954306508939E-2</v>
      </c>
      <c r="N193" s="3">
        <f t="shared" si="129"/>
        <v>3.7583954306508932E-2</v>
      </c>
      <c r="O193" s="3">
        <f t="shared" si="129"/>
        <v>3.7583954306508884E-2</v>
      </c>
      <c r="P193" s="3">
        <f t="shared" si="129"/>
        <v>3.7583954306508412E-2</v>
      </c>
      <c r="Q193" s="3">
        <f t="shared" si="129"/>
        <v>3.7583954306503638E-2</v>
      </c>
      <c r="R193" s="3">
        <f t="shared" si="129"/>
        <v>3.7583954306455961E-2</v>
      </c>
      <c r="S193" s="3">
        <f t="shared" si="129"/>
        <v>3.7583954305979134E-2</v>
      </c>
      <c r="T193" s="3">
        <f t="shared" si="129"/>
        <v>3.7583954301210885E-2</v>
      </c>
      <c r="U193" s="3">
        <f t="shared" si="129"/>
        <v>3.7583954253528375E-2</v>
      </c>
      <c r="V193" s="3">
        <f t="shared" si="129"/>
        <v>3.7583953776703288E-2</v>
      </c>
      <c r="W193" s="3">
        <f t="shared" si="129"/>
        <v>3.7583949008452779E-2</v>
      </c>
      <c r="X193" s="3">
        <f t="shared" si="129"/>
        <v>3.758390132598096E-2</v>
      </c>
      <c r="Y193" s="3">
        <f t="shared" si="129"/>
        <v>3.7583424504589923E-2</v>
      </c>
      <c r="Z193" s="3">
        <f t="shared" si="129"/>
        <v>3.75786566233818E-2</v>
      </c>
      <c r="AA193" s="3">
        <f t="shared" si="129"/>
        <v>3.7531011065915131E-2</v>
      </c>
      <c r="AB193" s="3">
        <f t="shared" si="129"/>
        <v>3.7057865395270048E-2</v>
      </c>
      <c r="AC193" s="3">
        <f t="shared" si="129"/>
        <v>3.2642375181956548E-2</v>
      </c>
      <c r="AD193" s="3">
        <f t="shared" si="129"/>
        <v>9.1789980676619358E-3</v>
      </c>
      <c r="AE193" s="3">
        <f t="shared" si="129"/>
        <v>2.8374651842158602E-8</v>
      </c>
      <c r="AF193" s="3">
        <f t="shared" si="129"/>
        <v>2.2609094619984904E-63</v>
      </c>
      <c r="AG193" s="3"/>
      <c r="AH193" s="3"/>
    </row>
    <row r="194" spans="1:34" x14ac:dyDescent="0.25">
      <c r="B194" s="3">
        <f t="shared" ref="B194:AF194" si="130">$C41*EXP(-B$168/$A41/EXP(-$C$126))</f>
        <v>3.8796261080834012E-2</v>
      </c>
      <c r="C194" s="3">
        <f t="shared" si="130"/>
        <v>3.8796261080834012E-2</v>
      </c>
      <c r="D194" s="3">
        <f t="shared" si="130"/>
        <v>3.8796261080834012E-2</v>
      </c>
      <c r="E194" s="3">
        <f t="shared" si="130"/>
        <v>3.8796261080834012E-2</v>
      </c>
      <c r="F194" s="3">
        <f t="shared" si="130"/>
        <v>3.8796261080834012E-2</v>
      </c>
      <c r="G194" s="3">
        <f t="shared" si="130"/>
        <v>3.8796261080834012E-2</v>
      </c>
      <c r="H194" s="3">
        <f t="shared" si="130"/>
        <v>3.8796261080834012E-2</v>
      </c>
      <c r="I194" s="3">
        <f t="shared" si="130"/>
        <v>3.8796261080834012E-2</v>
      </c>
      <c r="J194" s="3">
        <f t="shared" si="130"/>
        <v>3.8796261080834012E-2</v>
      </c>
      <c r="K194" s="3">
        <f t="shared" si="130"/>
        <v>3.8796261080834012E-2</v>
      </c>
      <c r="L194" s="3">
        <f t="shared" si="130"/>
        <v>3.8796261080834012E-2</v>
      </c>
      <c r="M194" s="3">
        <f t="shared" si="130"/>
        <v>3.8796261080834012E-2</v>
      </c>
      <c r="N194" s="3">
        <f t="shared" si="130"/>
        <v>3.8796261080834012E-2</v>
      </c>
      <c r="O194" s="3">
        <f t="shared" si="130"/>
        <v>3.8796261080834005E-2</v>
      </c>
      <c r="P194" s="3">
        <f t="shared" si="130"/>
        <v>3.8796261080833956E-2</v>
      </c>
      <c r="Q194" s="3">
        <f t="shared" si="130"/>
        <v>3.8796261080833463E-2</v>
      </c>
      <c r="R194" s="3">
        <f t="shared" si="130"/>
        <v>3.8796261080828544E-2</v>
      </c>
      <c r="S194" s="3">
        <f t="shared" si="130"/>
        <v>3.8796261080779319E-2</v>
      </c>
      <c r="T194" s="3">
        <f t="shared" si="130"/>
        <v>3.8796261080287116E-2</v>
      </c>
      <c r="U194" s="3">
        <f t="shared" si="130"/>
        <v>3.879626107536506E-2</v>
      </c>
      <c r="V194" s="3">
        <f t="shared" si="130"/>
        <v>3.8796261026144509E-2</v>
      </c>
      <c r="W194" s="3">
        <f t="shared" si="130"/>
        <v>3.8796260533938969E-2</v>
      </c>
      <c r="X194" s="3">
        <f t="shared" si="130"/>
        <v>3.8796255611883927E-2</v>
      </c>
      <c r="Y194" s="3">
        <f t="shared" si="130"/>
        <v>3.8796206391367889E-2</v>
      </c>
      <c r="Z194" s="3">
        <f t="shared" si="130"/>
        <v>3.8795714189641999E-2</v>
      </c>
      <c r="AA194" s="3">
        <f t="shared" si="130"/>
        <v>3.8790792515816935E-2</v>
      </c>
      <c r="AB194" s="3">
        <f t="shared" si="130"/>
        <v>3.874161010484059E-2</v>
      </c>
      <c r="AC194" s="3">
        <f t="shared" si="130"/>
        <v>3.8253202663252314E-2</v>
      </c>
      <c r="AD194" s="3">
        <f t="shared" si="130"/>
        <v>3.3695286545152123E-2</v>
      </c>
      <c r="AE194" s="3">
        <f t="shared" si="130"/>
        <v>9.4750755226362827E-3</v>
      </c>
      <c r="AF194" s="3">
        <f t="shared" si="130"/>
        <v>2.9289903663902302E-8</v>
      </c>
      <c r="AG194" s="3"/>
      <c r="AH194" s="3"/>
    </row>
    <row r="195" spans="1:34" x14ac:dyDescent="0.25">
      <c r="B195" s="3">
        <f t="shared" ref="B195:AF195" si="131">$C42*EXP(-B$168/$A42/EXP(-$C$126))</f>
        <v>4.443590866461708E-2</v>
      </c>
      <c r="C195" s="3">
        <f t="shared" si="131"/>
        <v>4.443590866461708E-2</v>
      </c>
      <c r="D195" s="3">
        <f t="shared" si="131"/>
        <v>4.443590866461708E-2</v>
      </c>
      <c r="E195" s="3">
        <f t="shared" si="131"/>
        <v>4.443590866461708E-2</v>
      </c>
      <c r="F195" s="3">
        <f t="shared" si="131"/>
        <v>4.443590866461708E-2</v>
      </c>
      <c r="G195" s="3">
        <f t="shared" si="131"/>
        <v>4.443590866461708E-2</v>
      </c>
      <c r="H195" s="3">
        <f t="shared" si="131"/>
        <v>4.443590866461708E-2</v>
      </c>
      <c r="I195" s="3">
        <f t="shared" si="131"/>
        <v>4.443590866461708E-2</v>
      </c>
      <c r="J195" s="3">
        <f t="shared" si="131"/>
        <v>4.443590866461708E-2</v>
      </c>
      <c r="K195" s="3">
        <f t="shared" si="131"/>
        <v>4.443590866461708E-2</v>
      </c>
      <c r="L195" s="3">
        <f t="shared" si="131"/>
        <v>4.443590866461708E-2</v>
      </c>
      <c r="M195" s="3">
        <f t="shared" si="131"/>
        <v>4.443590866461708E-2</v>
      </c>
      <c r="N195" s="3">
        <f t="shared" si="131"/>
        <v>4.443590866461708E-2</v>
      </c>
      <c r="O195" s="3">
        <f t="shared" si="131"/>
        <v>4.443590866461708E-2</v>
      </c>
      <c r="P195" s="3">
        <f t="shared" si="131"/>
        <v>4.4435908664617073E-2</v>
      </c>
      <c r="Q195" s="3">
        <f t="shared" si="131"/>
        <v>4.4435908664617017E-2</v>
      </c>
      <c r="R195" s="3">
        <f t="shared" si="131"/>
        <v>4.4435908664616455E-2</v>
      </c>
      <c r="S195" s="3">
        <f t="shared" si="131"/>
        <v>4.4435908664610814E-2</v>
      </c>
      <c r="T195" s="3">
        <f t="shared" si="131"/>
        <v>4.4435908664554442E-2</v>
      </c>
      <c r="U195" s="3">
        <f t="shared" si="131"/>
        <v>4.4435908663990685E-2</v>
      </c>
      <c r="V195" s="3">
        <f t="shared" si="131"/>
        <v>4.4435908658353132E-2</v>
      </c>
      <c r="W195" s="3">
        <f t="shared" si="131"/>
        <v>4.4435908601977596E-2</v>
      </c>
      <c r="X195" s="3">
        <f t="shared" si="131"/>
        <v>4.4435908038222227E-2</v>
      </c>
      <c r="Y195" s="3">
        <f t="shared" si="131"/>
        <v>4.443590240066897E-2</v>
      </c>
      <c r="Z195" s="3">
        <f t="shared" si="131"/>
        <v>4.443584602517571E-2</v>
      </c>
      <c r="AA195" s="3">
        <f t="shared" si="131"/>
        <v>4.4435282274176847E-2</v>
      </c>
      <c r="AB195" s="3">
        <f t="shared" si="131"/>
        <v>4.442964515754564E-2</v>
      </c>
      <c r="AC195" s="3">
        <f t="shared" si="131"/>
        <v>4.4373313308517785E-2</v>
      </c>
      <c r="AD195" s="3">
        <f t="shared" si="131"/>
        <v>4.3813908152945787E-2</v>
      </c>
      <c r="AE195" s="3">
        <f t="shared" si="131"/>
        <v>3.8593427140538594E-2</v>
      </c>
      <c r="AF195" s="3">
        <f t="shared" si="131"/>
        <v>1.0852426980965241E-2</v>
      </c>
      <c r="AG195" s="3"/>
      <c r="AH195" s="3"/>
    </row>
    <row r="196" spans="1:34" x14ac:dyDescent="0.25">
      <c r="B196" s="3">
        <f t="shared" ref="B196:AF196" si="132">$C43*EXP(-B$168/$A43/EXP(-$C$126))</f>
        <v>5.224128023540766E-2</v>
      </c>
      <c r="C196" s="3">
        <f t="shared" si="132"/>
        <v>5.224128023540766E-2</v>
      </c>
      <c r="D196" s="3">
        <f t="shared" si="132"/>
        <v>5.224128023540766E-2</v>
      </c>
      <c r="E196" s="3">
        <f t="shared" si="132"/>
        <v>5.224128023540766E-2</v>
      </c>
      <c r="F196" s="3">
        <f t="shared" si="132"/>
        <v>5.224128023540766E-2</v>
      </c>
      <c r="G196" s="3">
        <f t="shared" si="132"/>
        <v>5.224128023540766E-2</v>
      </c>
      <c r="H196" s="3">
        <f t="shared" si="132"/>
        <v>5.224128023540766E-2</v>
      </c>
      <c r="I196" s="3">
        <f t="shared" si="132"/>
        <v>5.224128023540766E-2</v>
      </c>
      <c r="J196" s="3">
        <f t="shared" si="132"/>
        <v>5.224128023540766E-2</v>
      </c>
      <c r="K196" s="3">
        <f t="shared" si="132"/>
        <v>5.224128023540766E-2</v>
      </c>
      <c r="L196" s="3">
        <f t="shared" si="132"/>
        <v>5.224128023540766E-2</v>
      </c>
      <c r="M196" s="3">
        <f t="shared" si="132"/>
        <v>5.224128023540766E-2</v>
      </c>
      <c r="N196" s="3">
        <f t="shared" si="132"/>
        <v>5.224128023540766E-2</v>
      </c>
      <c r="O196" s="3">
        <f t="shared" si="132"/>
        <v>5.224128023540766E-2</v>
      </c>
      <c r="P196" s="3">
        <f t="shared" si="132"/>
        <v>5.224128023540766E-2</v>
      </c>
      <c r="Q196" s="3">
        <f t="shared" si="132"/>
        <v>5.2241280235407653E-2</v>
      </c>
      <c r="R196" s="3">
        <f t="shared" si="132"/>
        <v>5.2241280235407583E-2</v>
      </c>
      <c r="S196" s="3">
        <f t="shared" si="132"/>
        <v>5.2241280235406924E-2</v>
      </c>
      <c r="T196" s="3">
        <f t="shared" si="132"/>
        <v>5.2241280235400291E-2</v>
      </c>
      <c r="U196" s="3">
        <f t="shared" si="132"/>
        <v>5.2241280235334017E-2</v>
      </c>
      <c r="V196" s="3">
        <f t="shared" si="132"/>
        <v>5.2241280234671235E-2</v>
      </c>
      <c r="W196" s="3">
        <f t="shared" si="132"/>
        <v>5.2241280228043419E-2</v>
      </c>
      <c r="X196" s="3">
        <f t="shared" si="132"/>
        <v>5.2241280161765262E-2</v>
      </c>
      <c r="Y196" s="3">
        <f t="shared" si="132"/>
        <v>5.2241279498983675E-2</v>
      </c>
      <c r="Z196" s="3">
        <f t="shared" si="132"/>
        <v>5.2241272871168275E-2</v>
      </c>
      <c r="AA196" s="3">
        <f t="shared" si="132"/>
        <v>5.2241206593060537E-2</v>
      </c>
      <c r="AB196" s="3">
        <f t="shared" si="132"/>
        <v>5.22405438166079E-2</v>
      </c>
      <c r="AC196" s="3">
        <f t="shared" si="132"/>
        <v>5.2233916514533955E-2</v>
      </c>
      <c r="AD196" s="3">
        <f t="shared" si="132"/>
        <v>5.2167689717340406E-2</v>
      </c>
      <c r="AE196" s="3">
        <f t="shared" si="132"/>
        <v>5.1510022475337119E-2</v>
      </c>
      <c r="AF196" s="3">
        <f t="shared" si="132"/>
        <v>4.5372539981365957E-2</v>
      </c>
      <c r="AG196" s="3"/>
      <c r="AH196" s="3"/>
    </row>
    <row r="197" spans="1:34" x14ac:dyDescent="0.25">
      <c r="B197" s="3">
        <f t="shared" ref="B197:AF197" si="133">$C44*EXP(-B$168/$A44/EXP(-$C$126))</f>
        <v>5.759294658465644E-2</v>
      </c>
      <c r="C197" s="3">
        <f t="shared" si="133"/>
        <v>5.759294658465644E-2</v>
      </c>
      <c r="D197" s="3">
        <f t="shared" si="133"/>
        <v>5.759294658465644E-2</v>
      </c>
      <c r="E197" s="3">
        <f t="shared" si="133"/>
        <v>5.759294658465644E-2</v>
      </c>
      <c r="F197" s="3">
        <f t="shared" si="133"/>
        <v>5.759294658465644E-2</v>
      </c>
      <c r="G197" s="3">
        <f t="shared" si="133"/>
        <v>5.759294658465644E-2</v>
      </c>
      <c r="H197" s="3">
        <f t="shared" si="133"/>
        <v>5.759294658465644E-2</v>
      </c>
      <c r="I197" s="3">
        <f t="shared" si="133"/>
        <v>5.759294658465644E-2</v>
      </c>
      <c r="J197" s="3">
        <f t="shared" si="133"/>
        <v>5.759294658465644E-2</v>
      </c>
      <c r="K197" s="3">
        <f t="shared" si="133"/>
        <v>5.759294658465644E-2</v>
      </c>
      <c r="L197" s="3">
        <f t="shared" si="133"/>
        <v>5.759294658465644E-2</v>
      </c>
      <c r="M197" s="3">
        <f t="shared" si="133"/>
        <v>5.759294658465644E-2</v>
      </c>
      <c r="N197" s="3">
        <f t="shared" si="133"/>
        <v>5.759294658465644E-2</v>
      </c>
      <c r="O197" s="3">
        <f t="shared" si="133"/>
        <v>5.759294658465644E-2</v>
      </c>
      <c r="P197" s="3">
        <f t="shared" si="133"/>
        <v>5.759294658465644E-2</v>
      </c>
      <c r="Q197" s="3">
        <f t="shared" si="133"/>
        <v>5.759294658465644E-2</v>
      </c>
      <c r="R197" s="3">
        <f t="shared" si="133"/>
        <v>5.7592946584656433E-2</v>
      </c>
      <c r="S197" s="3">
        <f t="shared" si="133"/>
        <v>5.7592946584656357E-2</v>
      </c>
      <c r="T197" s="3">
        <f t="shared" si="133"/>
        <v>5.7592946584655628E-2</v>
      </c>
      <c r="U197" s="3">
        <f t="shared" si="133"/>
        <v>5.7592946584648322E-2</v>
      </c>
      <c r="V197" s="3">
        <f t="shared" si="133"/>
        <v>5.7592946584575255E-2</v>
      </c>
      <c r="W197" s="3">
        <f t="shared" si="133"/>
        <v>5.7592946583844576E-2</v>
      </c>
      <c r="X197" s="3">
        <f t="shared" si="133"/>
        <v>5.7592946576537796E-2</v>
      </c>
      <c r="Y197" s="3">
        <f t="shared" si="133"/>
        <v>5.7592946503470015E-2</v>
      </c>
      <c r="Z197" s="3">
        <f t="shared" si="133"/>
        <v>5.7592945772792205E-2</v>
      </c>
      <c r="AA197" s="3">
        <f t="shared" si="133"/>
        <v>5.7592938466014564E-2</v>
      </c>
      <c r="AB197" s="3">
        <f t="shared" si="133"/>
        <v>5.7592865398289166E-2</v>
      </c>
      <c r="AC197" s="3">
        <f t="shared" si="133"/>
        <v>5.7592134726133691E-2</v>
      </c>
      <c r="AD197" s="3">
        <f t="shared" si="133"/>
        <v>5.7584828514405627E-2</v>
      </c>
      <c r="AE197" s="3">
        <f t="shared" si="133"/>
        <v>5.7511817355872498E-2</v>
      </c>
      <c r="AF197" s="3">
        <f t="shared" si="133"/>
        <v>5.6786777805377296E-2</v>
      </c>
      <c r="AG197" s="3"/>
      <c r="AH197" s="3"/>
    </row>
    <row r="198" spans="1:34" x14ac:dyDescent="0.25">
      <c r="B198" s="3">
        <f t="shared" ref="B198:AF198" si="134">$C45*EXP(-B$168/$A45/EXP(-$C$126))</f>
        <v>5.4172080221644638E-2</v>
      </c>
      <c r="C198" s="3">
        <f t="shared" si="134"/>
        <v>5.4172080221644638E-2</v>
      </c>
      <c r="D198" s="3">
        <f t="shared" si="134"/>
        <v>5.4172080221644638E-2</v>
      </c>
      <c r="E198" s="3">
        <f t="shared" si="134"/>
        <v>5.4172080221644638E-2</v>
      </c>
      <c r="F198" s="3">
        <f t="shared" si="134"/>
        <v>5.4172080221644638E-2</v>
      </c>
      <c r="G198" s="3">
        <f t="shared" si="134"/>
        <v>5.4172080221644638E-2</v>
      </c>
      <c r="H198" s="3">
        <f t="shared" si="134"/>
        <v>5.4172080221644638E-2</v>
      </c>
      <c r="I198" s="3">
        <f t="shared" si="134"/>
        <v>5.4172080221644638E-2</v>
      </c>
      <c r="J198" s="3">
        <f t="shared" si="134"/>
        <v>5.4172080221644638E-2</v>
      </c>
      <c r="K198" s="3">
        <f t="shared" si="134"/>
        <v>5.4172080221644638E-2</v>
      </c>
      <c r="L198" s="3">
        <f t="shared" si="134"/>
        <v>5.4172080221644638E-2</v>
      </c>
      <c r="M198" s="3">
        <f t="shared" si="134"/>
        <v>5.4172080221644638E-2</v>
      </c>
      <c r="N198" s="3">
        <f t="shared" si="134"/>
        <v>5.4172080221644638E-2</v>
      </c>
      <c r="O198" s="3">
        <f t="shared" si="134"/>
        <v>5.4172080221644638E-2</v>
      </c>
      <c r="P198" s="3">
        <f t="shared" si="134"/>
        <v>5.4172080221644638E-2</v>
      </c>
      <c r="Q198" s="3">
        <f t="shared" si="134"/>
        <v>5.4172080221644638E-2</v>
      </c>
      <c r="R198" s="3">
        <f t="shared" si="134"/>
        <v>5.4172080221644638E-2</v>
      </c>
      <c r="S198" s="3">
        <f t="shared" si="134"/>
        <v>5.4172080221644631E-2</v>
      </c>
      <c r="T198" s="3">
        <f t="shared" si="134"/>
        <v>5.4172080221644561E-2</v>
      </c>
      <c r="U198" s="3">
        <f t="shared" si="134"/>
        <v>5.4172080221643874E-2</v>
      </c>
      <c r="V198" s="3">
        <f t="shared" si="134"/>
        <v>5.4172080221636998E-2</v>
      </c>
      <c r="W198" s="3">
        <f t="shared" si="134"/>
        <v>5.4172080221568275E-2</v>
      </c>
      <c r="X198" s="3">
        <f t="shared" si="134"/>
        <v>5.4172080220880992E-2</v>
      </c>
      <c r="Y198" s="3">
        <f t="shared" si="134"/>
        <v>5.4172080214008218E-2</v>
      </c>
      <c r="Z198" s="3">
        <f t="shared" si="134"/>
        <v>5.4172080145280466E-2</v>
      </c>
      <c r="AA198" s="3">
        <f t="shared" si="134"/>
        <v>5.4172079458002953E-2</v>
      </c>
      <c r="AB198" s="3">
        <f t="shared" si="134"/>
        <v>5.4172072585228284E-2</v>
      </c>
      <c r="AC198" s="3">
        <f t="shared" si="134"/>
        <v>5.4172003857529551E-2</v>
      </c>
      <c r="AD198" s="3">
        <f t="shared" si="134"/>
        <v>5.4171316585337914E-2</v>
      </c>
      <c r="AE198" s="3">
        <f t="shared" si="134"/>
        <v>5.4164444342965891E-2</v>
      </c>
      <c r="AF198" s="3">
        <f t="shared" si="134"/>
        <v>5.4095769851180371E-2</v>
      </c>
      <c r="AG198" s="3"/>
      <c r="AH198" s="3"/>
    </row>
    <row r="199" spans="1:34" x14ac:dyDescent="0.25">
      <c r="B199" s="3">
        <f t="shared" ref="B199:AF199" si="135">$C46*EXP(-B$168/$A46/EXP(-$C$126))</f>
        <v>3.8751330064371987E-2</v>
      </c>
      <c r="C199" s="3">
        <f t="shared" si="135"/>
        <v>3.8751330064371987E-2</v>
      </c>
      <c r="D199" s="3">
        <f t="shared" si="135"/>
        <v>3.8751330064371987E-2</v>
      </c>
      <c r="E199" s="3">
        <f t="shared" si="135"/>
        <v>3.8751330064371987E-2</v>
      </c>
      <c r="F199" s="3">
        <f t="shared" si="135"/>
        <v>3.8751330064371987E-2</v>
      </c>
      <c r="G199" s="3">
        <f t="shared" si="135"/>
        <v>3.8751330064371987E-2</v>
      </c>
      <c r="H199" s="3">
        <f t="shared" si="135"/>
        <v>3.8751330064371987E-2</v>
      </c>
      <c r="I199" s="3">
        <f t="shared" si="135"/>
        <v>3.8751330064371987E-2</v>
      </c>
      <c r="J199" s="3">
        <f t="shared" si="135"/>
        <v>3.8751330064371987E-2</v>
      </c>
      <c r="K199" s="3">
        <f t="shared" si="135"/>
        <v>3.8751330064371987E-2</v>
      </c>
      <c r="L199" s="3">
        <f t="shared" si="135"/>
        <v>3.8751330064371987E-2</v>
      </c>
      <c r="M199" s="3">
        <f t="shared" si="135"/>
        <v>3.8751330064371987E-2</v>
      </c>
      <c r="N199" s="3">
        <f t="shared" si="135"/>
        <v>3.8751330064371987E-2</v>
      </c>
      <c r="O199" s="3">
        <f t="shared" si="135"/>
        <v>3.8751330064371987E-2</v>
      </c>
      <c r="P199" s="3">
        <f t="shared" si="135"/>
        <v>3.8751330064371987E-2</v>
      </c>
      <c r="Q199" s="3">
        <f t="shared" si="135"/>
        <v>3.8751330064371987E-2</v>
      </c>
      <c r="R199" s="3">
        <f t="shared" si="135"/>
        <v>3.8751330064371987E-2</v>
      </c>
      <c r="S199" s="3">
        <f t="shared" si="135"/>
        <v>3.8751330064371987E-2</v>
      </c>
      <c r="T199" s="3">
        <f t="shared" si="135"/>
        <v>3.875133006437198E-2</v>
      </c>
      <c r="U199" s="3">
        <f t="shared" si="135"/>
        <v>3.8751330064371932E-2</v>
      </c>
      <c r="V199" s="3">
        <f t="shared" si="135"/>
        <v>3.8751330064371439E-2</v>
      </c>
      <c r="W199" s="3">
        <f t="shared" si="135"/>
        <v>3.8751330064366526E-2</v>
      </c>
      <c r="X199" s="3">
        <f t="shared" si="135"/>
        <v>3.8751330064317364E-2</v>
      </c>
      <c r="Y199" s="3">
        <f t="shared" si="135"/>
        <v>3.8751330063825723E-2</v>
      </c>
      <c r="Z199" s="3">
        <f t="shared" si="135"/>
        <v>3.8751330058909371E-2</v>
      </c>
      <c r="AA199" s="3">
        <f t="shared" si="135"/>
        <v>3.8751330009745823E-2</v>
      </c>
      <c r="AB199" s="3">
        <f t="shared" si="135"/>
        <v>3.875132951811032E-2</v>
      </c>
      <c r="AC199" s="3">
        <f t="shared" si="135"/>
        <v>3.8751324601755649E-2</v>
      </c>
      <c r="AD199" s="3">
        <f t="shared" si="135"/>
        <v>3.8751275438243242E-2</v>
      </c>
      <c r="AE199" s="3">
        <f t="shared" si="135"/>
        <v>3.8750783806549692E-2</v>
      </c>
      <c r="AF199" s="3">
        <f t="shared" si="135"/>
        <v>3.8745867832650389E-2</v>
      </c>
      <c r="AG199" s="3"/>
      <c r="AH199" s="3"/>
    </row>
    <row r="200" spans="1:34" x14ac:dyDescent="0.25">
      <c r="B200" s="3">
        <f t="shared" ref="B200:AF200" si="136">$C47*EXP(-B$168/$A47/EXP(-$C$126))</f>
        <v>2.0828240532986285E-2</v>
      </c>
      <c r="C200" s="3">
        <f t="shared" si="136"/>
        <v>2.0828240532986285E-2</v>
      </c>
      <c r="D200" s="3">
        <f t="shared" si="136"/>
        <v>2.0828240532986285E-2</v>
      </c>
      <c r="E200" s="3">
        <f t="shared" si="136"/>
        <v>2.0828240532986285E-2</v>
      </c>
      <c r="F200" s="3">
        <f t="shared" si="136"/>
        <v>2.0828240532986285E-2</v>
      </c>
      <c r="G200" s="3">
        <f t="shared" si="136"/>
        <v>2.0828240532986285E-2</v>
      </c>
      <c r="H200" s="3">
        <f t="shared" si="136"/>
        <v>2.0828240532986285E-2</v>
      </c>
      <c r="I200" s="3">
        <f t="shared" si="136"/>
        <v>2.0828240532986285E-2</v>
      </c>
      <c r="J200" s="3">
        <f t="shared" si="136"/>
        <v>2.0828240532986285E-2</v>
      </c>
      <c r="K200" s="3">
        <f t="shared" si="136"/>
        <v>2.0828240532986285E-2</v>
      </c>
      <c r="L200" s="3">
        <f t="shared" si="136"/>
        <v>2.0828240532986285E-2</v>
      </c>
      <c r="M200" s="3">
        <f t="shared" si="136"/>
        <v>2.0828240532986285E-2</v>
      </c>
      <c r="N200" s="3">
        <f t="shared" si="136"/>
        <v>2.0828240532986285E-2</v>
      </c>
      <c r="O200" s="3">
        <f t="shared" si="136"/>
        <v>2.0828240532986285E-2</v>
      </c>
      <c r="P200" s="3">
        <f t="shared" si="136"/>
        <v>2.0828240532986285E-2</v>
      </c>
      <c r="Q200" s="3">
        <f t="shared" si="136"/>
        <v>2.0828240532986285E-2</v>
      </c>
      <c r="R200" s="3">
        <f t="shared" si="136"/>
        <v>2.0828240532986285E-2</v>
      </c>
      <c r="S200" s="3">
        <f t="shared" si="136"/>
        <v>2.0828240532986285E-2</v>
      </c>
      <c r="T200" s="3">
        <f t="shared" si="136"/>
        <v>2.0828240532986285E-2</v>
      </c>
      <c r="U200" s="3">
        <f t="shared" si="136"/>
        <v>2.0828240532986281E-2</v>
      </c>
      <c r="V200" s="3">
        <f t="shared" si="136"/>
        <v>2.0828240532986254E-2</v>
      </c>
      <c r="W200" s="3">
        <f t="shared" si="136"/>
        <v>2.082824053298599E-2</v>
      </c>
      <c r="X200" s="3">
        <f t="shared" si="136"/>
        <v>2.082824053298335E-2</v>
      </c>
      <c r="Y200" s="3">
        <f t="shared" si="136"/>
        <v>2.0828240532956923E-2</v>
      </c>
      <c r="Z200" s="3">
        <f t="shared" si="136"/>
        <v>2.0828240532692676E-2</v>
      </c>
      <c r="AA200" s="3">
        <f t="shared" si="136"/>
        <v>2.0828240530050213E-2</v>
      </c>
      <c r="AB200" s="3">
        <f t="shared" si="136"/>
        <v>2.0828240503625566E-2</v>
      </c>
      <c r="AC200" s="3">
        <f t="shared" si="136"/>
        <v>2.0828240239379087E-2</v>
      </c>
      <c r="AD200" s="3">
        <f t="shared" si="136"/>
        <v>2.0828237596914493E-2</v>
      </c>
      <c r="AE200" s="3">
        <f t="shared" si="136"/>
        <v>2.0828211172287E-2</v>
      </c>
      <c r="AF200" s="3">
        <f t="shared" si="136"/>
        <v>2.082794692785591E-2</v>
      </c>
      <c r="AG200" s="3"/>
      <c r="AH200" s="3"/>
    </row>
    <row r="201" spans="1:34" x14ac:dyDescent="0.25">
      <c r="B201" s="3">
        <f t="shared" ref="B201:AF201" si="137">$C48*EXP(-B$168/$A48/EXP(-$C$126))</f>
        <v>2.990470230026878E-2</v>
      </c>
      <c r="C201" s="3">
        <f t="shared" si="137"/>
        <v>2.990470230026878E-2</v>
      </c>
      <c r="D201" s="3">
        <f t="shared" si="137"/>
        <v>2.990470230026878E-2</v>
      </c>
      <c r="E201" s="3">
        <f t="shared" si="137"/>
        <v>2.990470230026878E-2</v>
      </c>
      <c r="F201" s="3">
        <f t="shared" si="137"/>
        <v>2.990470230026878E-2</v>
      </c>
      <c r="G201" s="3">
        <f t="shared" si="137"/>
        <v>2.990470230026878E-2</v>
      </c>
      <c r="H201" s="3">
        <f t="shared" si="137"/>
        <v>2.990470230026878E-2</v>
      </c>
      <c r="I201" s="3">
        <f t="shared" si="137"/>
        <v>2.990470230026878E-2</v>
      </c>
      <c r="J201" s="3">
        <f t="shared" si="137"/>
        <v>2.990470230026878E-2</v>
      </c>
      <c r="K201" s="3">
        <f t="shared" si="137"/>
        <v>2.990470230026878E-2</v>
      </c>
      <c r="L201" s="3">
        <f t="shared" si="137"/>
        <v>2.990470230026878E-2</v>
      </c>
      <c r="M201" s="3">
        <f t="shared" si="137"/>
        <v>2.990470230026878E-2</v>
      </c>
      <c r="N201" s="3">
        <f t="shared" si="137"/>
        <v>2.990470230026878E-2</v>
      </c>
      <c r="O201" s="3">
        <f t="shared" si="137"/>
        <v>2.990470230026878E-2</v>
      </c>
      <c r="P201" s="3">
        <f t="shared" si="137"/>
        <v>2.990470230026878E-2</v>
      </c>
      <c r="Q201" s="3">
        <f t="shared" si="137"/>
        <v>2.990470230026878E-2</v>
      </c>
      <c r="R201" s="3">
        <f t="shared" si="137"/>
        <v>2.990470230026878E-2</v>
      </c>
      <c r="S201" s="3">
        <f t="shared" si="137"/>
        <v>2.990470230026878E-2</v>
      </c>
      <c r="T201" s="3">
        <f t="shared" si="137"/>
        <v>2.990470230026878E-2</v>
      </c>
      <c r="U201" s="3">
        <f t="shared" si="137"/>
        <v>2.990470230026878E-2</v>
      </c>
      <c r="V201" s="3">
        <f t="shared" si="137"/>
        <v>2.9904702300268777E-2</v>
      </c>
      <c r="W201" s="3">
        <f t="shared" si="137"/>
        <v>2.9904702300268739E-2</v>
      </c>
      <c r="X201" s="3">
        <f t="shared" si="137"/>
        <v>2.9904702300268357E-2</v>
      </c>
      <c r="Y201" s="3">
        <f t="shared" si="137"/>
        <v>2.9904702300264565E-2</v>
      </c>
      <c r="Z201" s="3">
        <f t="shared" si="137"/>
        <v>2.9904702300226627E-2</v>
      </c>
      <c r="AA201" s="3">
        <f t="shared" si="137"/>
        <v>2.9904702299847225E-2</v>
      </c>
      <c r="AB201" s="3">
        <f t="shared" si="137"/>
        <v>2.9904702296053236E-2</v>
      </c>
      <c r="AC201" s="3">
        <f t="shared" si="137"/>
        <v>2.9904702258113341E-2</v>
      </c>
      <c r="AD201" s="3">
        <f t="shared" si="137"/>
        <v>2.9904701878714409E-2</v>
      </c>
      <c r="AE201" s="3">
        <f t="shared" si="137"/>
        <v>2.9904698084725335E-2</v>
      </c>
      <c r="AF201" s="3">
        <f t="shared" si="137"/>
        <v>2.9904660144861074E-2</v>
      </c>
      <c r="AG201" s="3"/>
      <c r="AH201" s="3"/>
    </row>
    <row r="202" spans="1:34" x14ac:dyDescent="0.25">
      <c r="A202" s="80">
        <f>AVERAGE(B202:AF202)</f>
        <v>1.0310338550683066E-2</v>
      </c>
      <c r="B202" s="81">
        <f>IF($A$64&lt;=B168,IF($B$64&gt;=B168,ABS((B170-B169)/B169),0),0)</f>
        <v>1.450076377441655E-3</v>
      </c>
      <c r="C202" s="81">
        <f t="shared" ref="C202:AF202" si="138">IF($A$64&lt;=C168,IF($B$64&gt;=C168,ABS((C170-C169)/C169),0),0)</f>
        <v>1.6155796982351431E-3</v>
      </c>
      <c r="D202" s="81">
        <f t="shared" si="138"/>
        <v>1.6119791414773343E-3</v>
      </c>
      <c r="E202" s="81">
        <f t="shared" si="138"/>
        <v>1.6111127245668475E-3</v>
      </c>
      <c r="F202" s="81">
        <f t="shared" si="138"/>
        <v>1.6132233922387825E-3</v>
      </c>
      <c r="G202" s="81">
        <f t="shared" si="138"/>
        <v>1.6374984080270076E-3</v>
      </c>
      <c r="H202" s="81">
        <f t="shared" si="138"/>
        <v>1.8773527737775688E-3</v>
      </c>
      <c r="I202" s="81">
        <f t="shared" si="138"/>
        <v>3.8813925478687278E-3</v>
      </c>
      <c r="J202" s="81">
        <f t="shared" si="138"/>
        <v>6.4622323441546796E-3</v>
      </c>
      <c r="K202" s="81">
        <f t="shared" si="138"/>
        <v>7.0101877085666092E-3</v>
      </c>
      <c r="L202" s="81">
        <f t="shared" si="138"/>
        <v>5.7865354335750107E-3</v>
      </c>
      <c r="M202" s="81">
        <f t="shared" si="138"/>
        <v>6.4809034793012667E-3</v>
      </c>
      <c r="N202" s="81">
        <f t="shared" si="138"/>
        <v>7.0477573388026829E-3</v>
      </c>
      <c r="O202" s="81">
        <f t="shared" si="138"/>
        <v>7.7028658331443822E-3</v>
      </c>
      <c r="P202" s="81">
        <f t="shared" si="138"/>
        <v>8.6743595227549153E-3</v>
      </c>
      <c r="Q202" s="81">
        <f t="shared" si="138"/>
        <v>9.2425532435227147E-3</v>
      </c>
      <c r="R202" s="81">
        <f t="shared" si="138"/>
        <v>9.256154356955322E-3</v>
      </c>
      <c r="S202" s="81">
        <f t="shared" si="138"/>
        <v>8.7631718016410644E-3</v>
      </c>
      <c r="T202" s="81">
        <f t="shared" si="138"/>
        <v>7.2987275356145168E-3</v>
      </c>
      <c r="U202" s="81">
        <f t="shared" si="138"/>
        <v>1.2980781609599041E-3</v>
      </c>
      <c r="V202" s="81">
        <f t="shared" si="138"/>
        <v>1.8022426650904082E-2</v>
      </c>
      <c r="W202" s="81">
        <f t="shared" si="138"/>
        <v>3.2288394535815793E-2</v>
      </c>
      <c r="X202" s="81">
        <f t="shared" si="138"/>
        <v>3.4298703544202627E-2</v>
      </c>
      <c r="Y202" s="81">
        <f t="shared" si="138"/>
        <v>2.9273885265811993E-2</v>
      </c>
      <c r="Z202" s="81">
        <f t="shared" si="138"/>
        <v>2.1046914648785432E-2</v>
      </c>
      <c r="AA202" s="81">
        <f t="shared" si="138"/>
        <v>1.3014362558090244E-2</v>
      </c>
      <c r="AB202" s="81">
        <f t="shared" si="138"/>
        <v>5.5754577424186455E-3</v>
      </c>
      <c r="AC202" s="81">
        <f t="shared" si="138"/>
        <v>4.5405199078016089E-3</v>
      </c>
      <c r="AD202" s="81">
        <f t="shared" si="138"/>
        <v>1.2694050302771483E-2</v>
      </c>
      <c r="AE202" s="81">
        <f t="shared" si="138"/>
        <v>1.9791823251899467E-2</v>
      </c>
      <c r="AF202" s="81">
        <f t="shared" si="138"/>
        <v>2.8752214840047498E-2</v>
      </c>
    </row>
    <row r="203" spans="1:34" x14ac:dyDescent="0.25">
      <c r="B203" s="21">
        <f>(B170-B169)^2</f>
        <v>66.40215990157931</v>
      </c>
      <c r="C203" s="21">
        <f t="shared" ref="C203:AF203" si="139">(C170-C169)^2</f>
        <v>82.425635989162643</v>
      </c>
      <c r="D203" s="21">
        <f t="shared" si="139"/>
        <v>82.058051422390577</v>
      </c>
      <c r="E203" s="21">
        <f t="shared" si="139"/>
        <v>81.969655428430741</v>
      </c>
      <c r="F203" s="21">
        <f t="shared" si="139"/>
        <v>82.184241084454854</v>
      </c>
      <c r="G203" s="21">
        <f t="shared" si="139"/>
        <v>84.673368211325752</v>
      </c>
      <c r="H203" s="21">
        <f t="shared" si="139"/>
        <v>111.25871370501638</v>
      </c>
      <c r="I203" s="21">
        <f t="shared" si="139"/>
        <v>474.0669328810942</v>
      </c>
      <c r="J203" s="21">
        <f t="shared" si="139"/>
        <v>1279.2354768140901</v>
      </c>
      <c r="K203" s="21">
        <f t="shared" si="139"/>
        <v>1417.3348616079325</v>
      </c>
      <c r="L203" s="21">
        <f t="shared" si="139"/>
        <v>925.65239846003294</v>
      </c>
      <c r="M203" s="21">
        <f t="shared" si="139"/>
        <v>1113.5478358322134</v>
      </c>
      <c r="N203" s="21">
        <f t="shared" si="139"/>
        <v>1255.1799993119164</v>
      </c>
      <c r="O203" s="21">
        <f t="shared" si="139"/>
        <v>1423.5619189441923</v>
      </c>
      <c r="P203" s="21">
        <f t="shared" si="139"/>
        <v>1700.0833150031672</v>
      </c>
      <c r="Q203" s="21">
        <f t="shared" si="139"/>
        <v>1805.4981849627407</v>
      </c>
      <c r="R203" s="21">
        <f t="shared" si="139"/>
        <v>1687.0739298071255</v>
      </c>
      <c r="S203" s="21">
        <f t="shared" si="139"/>
        <v>1408.502075507404</v>
      </c>
      <c r="T203" s="21">
        <f t="shared" si="139"/>
        <v>897.53415841196079</v>
      </c>
      <c r="U203" s="21">
        <f t="shared" si="139"/>
        <v>25.153108117791465</v>
      </c>
      <c r="V203" s="21">
        <f t="shared" si="139"/>
        <v>4193.4571536038138</v>
      </c>
      <c r="W203" s="21">
        <f t="shared" si="139"/>
        <v>11773.144622999049</v>
      </c>
      <c r="X203" s="21">
        <f t="shared" si="139"/>
        <v>11815.873578879682</v>
      </c>
      <c r="Y203" s="21">
        <f t="shared" si="139"/>
        <v>7655.3133938351466</v>
      </c>
      <c r="Z203" s="21">
        <f t="shared" si="139"/>
        <v>3541.3596598387026</v>
      </c>
      <c r="AA203" s="21">
        <f t="shared" si="139"/>
        <v>1207.6020896126686</v>
      </c>
      <c r="AB203" s="21">
        <f t="shared" si="139"/>
        <v>196.71199984784107</v>
      </c>
      <c r="AC203" s="21">
        <f t="shared" si="139"/>
        <v>112.56949631766572</v>
      </c>
      <c r="AD203" s="21">
        <f t="shared" si="139"/>
        <v>745.12006167340337</v>
      </c>
      <c r="AE203" s="21">
        <f t="shared" si="139"/>
        <v>1475.049723395955</v>
      </c>
      <c r="AF203" s="21">
        <f t="shared" si="139"/>
        <v>2398.1439589245961</v>
      </c>
      <c r="AG203" s="3"/>
      <c r="AH203" s="3"/>
    </row>
    <row r="204" spans="1:34" x14ac:dyDescent="0.25">
      <c r="A204" s="72">
        <f>SUM(B204:AF204)</f>
        <v>61117.741760332538</v>
      </c>
      <c r="B204" s="60">
        <f>IF($A$64&lt;=B168,IF($B$64&gt;=B168,ABS(B203),0),0)</f>
        <v>66.40215990157931</v>
      </c>
      <c r="C204" s="60">
        <f t="shared" ref="C204" si="140">IF($A$64&lt;=C168,IF($B$64&gt;=C168,ABS(C203),0),0)</f>
        <v>82.425635989162643</v>
      </c>
      <c r="D204" s="60">
        <f t="shared" ref="D204" si="141">IF($A$64&lt;=D168,IF($B$64&gt;=D168,ABS(D203),0),0)</f>
        <v>82.058051422390577</v>
      </c>
      <c r="E204" s="60">
        <f t="shared" ref="E204" si="142">IF($A$64&lt;=E168,IF($B$64&gt;=E168,ABS(E203),0),0)</f>
        <v>81.969655428430741</v>
      </c>
      <c r="F204" s="60">
        <f t="shared" ref="F204" si="143">IF($A$64&lt;=F168,IF($B$64&gt;=F168,ABS(F203),0),0)</f>
        <v>82.184241084454854</v>
      </c>
      <c r="G204" s="60">
        <f t="shared" ref="G204" si="144">IF($A$64&lt;=G168,IF($B$64&gt;=G168,ABS(G203),0),0)</f>
        <v>84.673368211325752</v>
      </c>
      <c r="H204" s="60">
        <f t="shared" ref="H204" si="145">IF($A$64&lt;=H168,IF($B$64&gt;=H168,ABS(H203),0),0)</f>
        <v>111.25871370501638</v>
      </c>
      <c r="I204" s="60">
        <f t="shared" ref="I204" si="146">IF($A$64&lt;=I168,IF($B$64&gt;=I168,ABS(I203),0),0)</f>
        <v>474.0669328810942</v>
      </c>
      <c r="J204" s="60">
        <f t="shared" ref="J204" si="147">IF($A$64&lt;=J168,IF($B$64&gt;=J168,ABS(J203),0),0)</f>
        <v>1279.2354768140901</v>
      </c>
      <c r="K204" s="60">
        <f t="shared" ref="K204" si="148">IF($A$64&lt;=K168,IF($B$64&gt;=K168,ABS(K203),0),0)</f>
        <v>1417.3348616079325</v>
      </c>
      <c r="L204" s="60">
        <f t="shared" ref="L204" si="149">IF($A$64&lt;=L168,IF($B$64&gt;=L168,ABS(L203),0),0)</f>
        <v>925.65239846003294</v>
      </c>
      <c r="M204" s="60">
        <f t="shared" ref="M204" si="150">IF($A$64&lt;=M168,IF($B$64&gt;=M168,ABS(M203),0),0)</f>
        <v>1113.5478358322134</v>
      </c>
      <c r="N204" s="60">
        <f t="shared" ref="N204" si="151">IF($A$64&lt;=N168,IF($B$64&gt;=N168,ABS(N203),0),0)</f>
        <v>1255.1799993119164</v>
      </c>
      <c r="O204" s="60">
        <f t="shared" ref="O204" si="152">IF($A$64&lt;=O168,IF($B$64&gt;=O168,ABS(O203),0),0)</f>
        <v>1423.5619189441923</v>
      </c>
      <c r="P204" s="60">
        <f t="shared" ref="P204" si="153">IF($A$64&lt;=P168,IF($B$64&gt;=P168,ABS(P203),0),0)</f>
        <v>1700.0833150031672</v>
      </c>
      <c r="Q204" s="60">
        <f t="shared" ref="Q204" si="154">IF($A$64&lt;=Q168,IF($B$64&gt;=Q168,ABS(Q203),0),0)</f>
        <v>1805.4981849627407</v>
      </c>
      <c r="R204" s="60">
        <f t="shared" ref="R204" si="155">IF($A$64&lt;=R168,IF($B$64&gt;=R168,ABS(R203),0),0)</f>
        <v>1687.0739298071255</v>
      </c>
      <c r="S204" s="60">
        <f t="shared" ref="S204" si="156">IF($A$64&lt;=S168,IF($B$64&gt;=S168,ABS(S203),0),0)</f>
        <v>1408.502075507404</v>
      </c>
      <c r="T204" s="60">
        <f t="shared" ref="T204" si="157">IF($A$64&lt;=T168,IF($B$64&gt;=T168,ABS(T203),0),0)</f>
        <v>897.53415841196079</v>
      </c>
      <c r="U204" s="60">
        <f t="shared" ref="U204" si="158">IF($A$64&lt;=U168,IF($B$64&gt;=U168,ABS(U203),0),0)</f>
        <v>25.153108117791465</v>
      </c>
      <c r="V204" s="60">
        <f t="shared" ref="V204" si="159">IF($A$64&lt;=V168,IF($B$64&gt;=V168,ABS(V203),0),0)</f>
        <v>4193.4571536038138</v>
      </c>
      <c r="W204" s="60">
        <f t="shared" ref="W204" si="160">IF($A$64&lt;=W168,IF($B$64&gt;=W168,ABS(W203),0),0)</f>
        <v>11773.144622999049</v>
      </c>
      <c r="X204" s="60">
        <f t="shared" ref="X204" si="161">IF($A$64&lt;=X168,IF($B$64&gt;=X168,ABS(X203),0),0)</f>
        <v>11815.873578879682</v>
      </c>
      <c r="Y204" s="60">
        <f t="shared" ref="Y204" si="162">IF($A$64&lt;=Y168,IF($B$64&gt;=Y168,ABS(Y203),0),0)</f>
        <v>7655.3133938351466</v>
      </c>
      <c r="Z204" s="60">
        <f t="shared" ref="Z204" si="163">IF($A$64&lt;=Z168,IF($B$64&gt;=Z168,ABS(Z203),0),0)</f>
        <v>3541.3596598387026</v>
      </c>
      <c r="AA204" s="60">
        <f t="shared" ref="AA204" si="164">IF($A$64&lt;=AA168,IF($B$64&gt;=AA168,ABS(AA203),0),0)</f>
        <v>1207.6020896126686</v>
      </c>
      <c r="AB204" s="60">
        <f t="shared" ref="AB204" si="165">IF($A$64&lt;=AB168,IF($B$64&gt;=AB168,ABS(AB203),0),0)</f>
        <v>196.71199984784107</v>
      </c>
      <c r="AC204" s="60">
        <f t="shared" ref="AC204" si="166">IF($A$64&lt;=AC168,IF($B$64&gt;=AC168,ABS(AC203),0),0)</f>
        <v>112.56949631766572</v>
      </c>
      <c r="AD204" s="60">
        <f t="shared" ref="AD204" si="167">IF($A$64&lt;=AD168,IF($B$64&gt;=AD168,ABS(AD203),0),0)</f>
        <v>745.12006167340337</v>
      </c>
      <c r="AE204" s="60">
        <f t="shared" ref="AE204" si="168">IF($A$64&lt;=AE168,IF($B$64&gt;=AE168,ABS(AE203),0),0)</f>
        <v>1475.049723395955</v>
      </c>
      <c r="AF204" s="60">
        <f t="shared" ref="AF204" si="169">IF($A$64&lt;=AF168,IF($B$64&gt;=AF168,ABS(AF203),0),0)</f>
        <v>2398.1439589245961</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70" t="s">
        <v>27</v>
      </c>
      <c r="B206" s="11">
        <f>INDEX($D$1:$M$1,1,$D$122)</f>
        <v>25</v>
      </c>
    </row>
    <row r="207" spans="1:34" x14ac:dyDescent="0.25">
      <c r="A207" s="70"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5614.15966521874</v>
      </c>
      <c r="C208" s="26">
        <f>INDEX(Comparison!$AM$3:$AS$33,G$14,$D$122)</f>
        <v>5614.1868795733999</v>
      </c>
      <c r="D208" s="26">
        <f>INDEX(Comparison!$AM$3:$AS$33,H$14,$D$122)</f>
        <v>5614.1101001096886</v>
      </c>
      <c r="E208" s="26">
        <f>INDEX(Comparison!$AM$3:$AS$33,I$14,$D$122)</f>
        <v>5613.5440717227957</v>
      </c>
      <c r="F208" s="26">
        <f>INDEX(Comparison!$AM$3:$AS$33,J$14,$D$122)</f>
        <v>5608.0875082385601</v>
      </c>
      <c r="G208" s="26">
        <f>INDEX(Comparison!$AM$3:$AS$33,K$14,$D$122)</f>
        <v>5561.0618011761198</v>
      </c>
      <c r="H208" s="26">
        <f>INDEX(Comparison!$AM$3:$AS$33,L$14,$D$122)</f>
        <v>5391.7011748892737</v>
      </c>
      <c r="I208" s="26">
        <f>INDEX(Comparison!$AM$3:$AS$33,M$14,$D$122)</f>
        <v>5273.7806689105482</v>
      </c>
      <c r="J208" s="26">
        <f>INDEX(Comparison!$AM$3:$AS$33,N$14,$D$122)</f>
        <v>5167.1400623232676</v>
      </c>
      <c r="K208" s="26">
        <f>INDEX(Comparison!$AM$3:$AS$33,O$14,$D$122)</f>
        <v>5046.4639033804824</v>
      </c>
      <c r="L208" s="26">
        <f>INDEX(Comparison!$AM$3:$AS$33,P$14,$D$122)</f>
        <v>4920.6469341545144</v>
      </c>
      <c r="M208" s="26">
        <f>INDEX(Comparison!$AM$3:$AS$33,Q$14,$D$122)</f>
        <v>4778.6212241451321</v>
      </c>
      <c r="N208" s="26">
        <f>INDEX(Comparison!$AM$3:$AS$33,R$14,$D$122)</f>
        <v>4624.8276392807802</v>
      </c>
      <c r="O208" s="26">
        <f>INDEX(Comparison!$AM$3:$AS$33,S$14,$D$122)</f>
        <v>4464.4431086830655</v>
      </c>
      <c r="P208" s="26">
        <f>INDEX(Comparison!$AM$3:$AS$33,T$14,$D$122)</f>
        <v>4311.3670250981177</v>
      </c>
      <c r="Q208" s="26">
        <f>INDEX(Comparison!$AM$3:$AS$33,U$14,$D$122)</f>
        <v>4152.6891106145395</v>
      </c>
      <c r="R208" s="26">
        <f>INDEX(Comparison!$AM$3:$AS$33,V$14,$D$122)</f>
        <v>3957.9636218361616</v>
      </c>
      <c r="S208" s="26">
        <f>INDEX(Comparison!$AM$3:$AS$33,W$14,$D$122)</f>
        <v>3730.5898476111606</v>
      </c>
      <c r="T208" s="26">
        <f>INDEX(Comparison!$AM$3:$AS$33,X$14,$D$122)</f>
        <v>3500.0702814112506</v>
      </c>
      <c r="U208" s="26">
        <f>INDEX(Comparison!$AM$3:$AS$33,Y$14,$D$122)</f>
        <v>3289.3669034465734</v>
      </c>
      <c r="V208" s="26">
        <f>INDEX(Comparison!$AM$3:$AS$33,Z$14,$D$122)</f>
        <v>3085.2633506749817</v>
      </c>
      <c r="W208" s="26">
        <f>INDEX(Comparison!$AM$3:$AS$33,AA$14,$D$122)</f>
        <v>2905.3736728917142</v>
      </c>
      <c r="X208" s="26">
        <f>INDEX(Comparison!$AM$3:$AS$33,AB$14,$D$122)</f>
        <v>2732.9260794562178</v>
      </c>
      <c r="Y208" s="26">
        <f>INDEX(Comparison!$AM$3:$AS$33,AC$14,$D$122)</f>
        <v>2568.1909736158736</v>
      </c>
      <c r="Z208" s="26">
        <f>INDEX(Comparison!$AM$3:$AS$33,AD$14,$D$122)</f>
        <v>2386.1123895749793</v>
      </c>
      <c r="AA208" s="26">
        <f>INDEX(Comparison!$AM$3:$AS$33,AE$14,$D$122)</f>
        <v>2196.768027007945</v>
      </c>
      <c r="AB208" s="26">
        <f>INDEX(Comparison!$AM$3:$AS$33,AF$14,$D$122)</f>
        <v>1987.4046244520723</v>
      </c>
      <c r="AC208" s="26">
        <f>INDEX(Comparison!$AM$3:$AS$33,AG$14,$D$122)</f>
        <v>1756.4334468648422</v>
      </c>
      <c r="AD208" s="26">
        <f>INDEX(Comparison!$AM$3:$AS$33,AH$14,$D$122)</f>
        <v>1488.4468583518017</v>
      </c>
      <c r="AE208" s="26">
        <f>INDEX(Comparison!$AM$3:$AS$33,AI$14,$D$122)</f>
        <v>1185.6745633902476</v>
      </c>
      <c r="AF208" s="26">
        <f>INDEX(Comparison!$AM$3:$AS$33,AJ$14,$D$122)</f>
        <v>877.46280556758461</v>
      </c>
      <c r="AG208" s="26"/>
      <c r="AH208" s="26"/>
    </row>
    <row r="209" spans="1:34" x14ac:dyDescent="0.25">
      <c r="A209" s="71" t="s">
        <v>22</v>
      </c>
      <c r="B209" s="27">
        <f>($C$17+SUM(B210:B240))*$B$51</f>
        <v>5610.485860453131</v>
      </c>
      <c r="C209" s="27">
        <f t="shared" ref="C209:AF209" si="170">($C$17+SUM(C210:C240))*$B$51</f>
        <v>5610.4752628000733</v>
      </c>
      <c r="D209" s="27">
        <f t="shared" si="170"/>
        <v>5610.3693473453422</v>
      </c>
      <c r="E209" s="27">
        <f t="shared" si="170"/>
        <v>5609.3162707376014</v>
      </c>
      <c r="F209" s="27">
        <f t="shared" si="170"/>
        <v>5599.364731581536</v>
      </c>
      <c r="G209" s="27">
        <f t="shared" si="170"/>
        <v>5537.3981312939895</v>
      </c>
      <c r="H209" s="27">
        <f t="shared" si="170"/>
        <v>5387.908999074356</v>
      </c>
      <c r="I209" s="27">
        <f t="shared" si="170"/>
        <v>5264.078982782773</v>
      </c>
      <c r="J209" s="27">
        <f t="shared" si="170"/>
        <v>5157.6563982724601</v>
      </c>
      <c r="K209" s="27">
        <f t="shared" si="170"/>
        <v>5038.4386586922228</v>
      </c>
      <c r="L209" s="27">
        <f t="shared" si="170"/>
        <v>4910.5543989303605</v>
      </c>
      <c r="M209" s="27">
        <f t="shared" si="170"/>
        <v>4769.2687502737708</v>
      </c>
      <c r="N209" s="27">
        <f t="shared" si="170"/>
        <v>4613.9101351795016</v>
      </c>
      <c r="O209" s="27">
        <f t="shared" si="170"/>
        <v>4454.2918273649402</v>
      </c>
      <c r="P209" s="27">
        <f t="shared" si="170"/>
        <v>4298.8573536892382</v>
      </c>
      <c r="Q209" s="27">
        <f t="shared" si="170"/>
        <v>4138.8185621993316</v>
      </c>
      <c r="R209" s="27">
        <f t="shared" si="170"/>
        <v>3943.5195973817899</v>
      </c>
      <c r="S209" s="27">
        <f t="shared" si="170"/>
        <v>3724.8022935649678</v>
      </c>
      <c r="T209" s="27">
        <f t="shared" si="170"/>
        <v>3525.9433375400013</v>
      </c>
      <c r="U209" s="27">
        <f t="shared" si="170"/>
        <v>3341.4431347165514</v>
      </c>
      <c r="V209" s="27">
        <f t="shared" si="170"/>
        <v>3136.0523637196866</v>
      </c>
      <c r="W209" s="27">
        <f t="shared" si="170"/>
        <v>2941.7389589353702</v>
      </c>
      <c r="X209" s="27">
        <f t="shared" si="170"/>
        <v>2759.5690744253516</v>
      </c>
      <c r="Y209" s="27">
        <f t="shared" si="170"/>
        <v>2579.0053716663706</v>
      </c>
      <c r="Z209" s="27">
        <f t="shared" si="170"/>
        <v>2400.0459479929136</v>
      </c>
      <c r="AA209" s="27">
        <f t="shared" si="170"/>
        <v>2199.1239497810379</v>
      </c>
      <c r="AB209" s="27">
        <f t="shared" si="170"/>
        <v>1982.6433312213892</v>
      </c>
      <c r="AC209" s="27">
        <f t="shared" si="170"/>
        <v>1746.7972087104581</v>
      </c>
      <c r="AD209" s="27">
        <f t="shared" si="170"/>
        <v>1474.7494434276698</v>
      </c>
      <c r="AE209" s="27">
        <f t="shared" si="170"/>
        <v>1169.0089932366486</v>
      </c>
      <c r="AF209" s="27">
        <f t="shared" si="170"/>
        <v>860.9588582380909</v>
      </c>
      <c r="AG209" s="27"/>
      <c r="AH209" s="27"/>
    </row>
    <row r="210" spans="1:34" x14ac:dyDescent="0.25">
      <c r="B210" s="3">
        <f t="shared" ref="B210:AF210" si="171">$C18*EXP(-B$207/$A18/EXP(-$D$126))</f>
        <v>8.1387648847652803E-286</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0</v>
      </c>
      <c r="C211" s="3">
        <f t="shared" si="172"/>
        <v>0</v>
      </c>
      <c r="D211" s="3">
        <f t="shared" si="172"/>
        <v>0</v>
      </c>
      <c r="E211" s="3">
        <f t="shared" si="172"/>
        <v>0</v>
      </c>
      <c r="F211" s="3">
        <f t="shared" si="172"/>
        <v>0</v>
      </c>
      <c r="G211" s="3">
        <f t="shared" si="172"/>
        <v>0</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1.0565079426323704E-2</v>
      </c>
      <c r="C212" s="3">
        <f t="shared" si="173"/>
        <v>1.0563653315335904E-2</v>
      </c>
      <c r="D212" s="3">
        <f t="shared" si="173"/>
        <v>1.0549402788748458E-2</v>
      </c>
      <c r="E212" s="3">
        <f t="shared" si="173"/>
        <v>1.0407950584899768E-2</v>
      </c>
      <c r="F212" s="3">
        <f t="shared" si="173"/>
        <v>9.0936595798062677E-3</v>
      </c>
      <c r="G212" s="3">
        <f t="shared" si="173"/>
        <v>2.3576177925394054E-3</v>
      </c>
      <c r="H212" s="3">
        <f t="shared" si="173"/>
        <v>3.2345992413905951E-9</v>
      </c>
      <c r="I212" s="3">
        <f t="shared" si="173"/>
        <v>7.6434825764123006E-68</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3.6097629048633062E-2</v>
      </c>
      <c r="C213" s="3">
        <f t="shared" si="174"/>
        <v>3.6097189474126865E-2</v>
      </c>
      <c r="D213" s="3">
        <f t="shared" si="174"/>
        <v>3.6092794023461702E-2</v>
      </c>
      <c r="E213" s="3">
        <f t="shared" si="174"/>
        <v>3.6048868943233628E-2</v>
      </c>
      <c r="F213" s="3">
        <f t="shared" si="174"/>
        <v>3.5612547567844446E-2</v>
      </c>
      <c r="G213" s="3">
        <f t="shared" si="174"/>
        <v>3.1529496518986858E-2</v>
      </c>
      <c r="H213" s="3">
        <f t="shared" si="174"/>
        <v>9.3294699412788049E-3</v>
      </c>
      <c r="I213" s="3">
        <f t="shared" si="174"/>
        <v>4.8001665934591091E-8</v>
      </c>
      <c r="J213" s="3">
        <f t="shared" si="174"/>
        <v>6.2409357844371995E-61</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1.7961406416327048E-2</v>
      </c>
      <c r="C214" s="3">
        <f t="shared" si="175"/>
        <v>1.796138668559695E-2</v>
      </c>
      <c r="D214" s="3">
        <f t="shared" si="175"/>
        <v>1.7961189379488065E-2</v>
      </c>
      <c r="E214" s="3">
        <f t="shared" si="175"/>
        <v>1.7959216437602864E-2</v>
      </c>
      <c r="F214" s="3">
        <f t="shared" si="175"/>
        <v>1.7939498934272956E-2</v>
      </c>
      <c r="G214" s="3">
        <f t="shared" si="175"/>
        <v>1.7743510624343501E-2</v>
      </c>
      <c r="H214" s="3">
        <f t="shared" si="175"/>
        <v>1.5897614926390056E-2</v>
      </c>
      <c r="I214" s="3">
        <f t="shared" si="175"/>
        <v>5.2997599248750023E-3</v>
      </c>
      <c r="J214" s="3">
        <f t="shared" si="175"/>
        <v>8.9845935009544088E-8</v>
      </c>
      <c r="K214" s="3">
        <f t="shared" si="175"/>
        <v>1.761654716805044E-55</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2.0382209038262062E-2</v>
      </c>
      <c r="C215" s="3">
        <f t="shared" si="176"/>
        <v>2.0382207018496908E-2</v>
      </c>
      <c r="D215" s="3">
        <f t="shared" si="176"/>
        <v>2.0382186820856376E-2</v>
      </c>
      <c r="E215" s="3">
        <f t="shared" si="176"/>
        <v>2.0381984845551881E-2</v>
      </c>
      <c r="F215" s="3">
        <f t="shared" si="176"/>
        <v>2.0379965202583627E-2</v>
      </c>
      <c r="G215" s="3">
        <f t="shared" si="176"/>
        <v>2.0359779776539855E-2</v>
      </c>
      <c r="H215" s="3">
        <f t="shared" si="176"/>
        <v>2.01590218561651E-2</v>
      </c>
      <c r="I215" s="3">
        <f t="shared" si="176"/>
        <v>1.8257161269318731E-2</v>
      </c>
      <c r="J215" s="3">
        <f t="shared" si="176"/>
        <v>6.7775263165043712E-3</v>
      </c>
      <c r="K215" s="3">
        <f t="shared" si="176"/>
        <v>3.3686106742984081E-7</v>
      </c>
      <c r="L215" s="3">
        <f t="shared" si="176"/>
        <v>3.099180705097004E-50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2.3191773077869182E-2</v>
      </c>
      <c r="C216" s="3">
        <f t="shared" si="177"/>
        <v>2.319177287055444E-2</v>
      </c>
      <c r="D216" s="3">
        <f t="shared" si="177"/>
        <v>2.3191770797407116E-2</v>
      </c>
      <c r="E216" s="3">
        <f t="shared" si="177"/>
        <v>2.3191750065944042E-2</v>
      </c>
      <c r="F216" s="3">
        <f t="shared" si="177"/>
        <v>2.319154275233257E-2</v>
      </c>
      <c r="G216" s="3">
        <f t="shared" si="177"/>
        <v>2.3189469718141096E-2</v>
      </c>
      <c r="H216" s="3">
        <f t="shared" si="177"/>
        <v>2.3168749565178521E-2</v>
      </c>
      <c r="I216" s="3">
        <f t="shared" si="177"/>
        <v>2.2962563568831935E-2</v>
      </c>
      <c r="J216" s="3">
        <f t="shared" si="177"/>
        <v>2.0998976880353251E-2</v>
      </c>
      <c r="K216" s="3">
        <f t="shared" si="177"/>
        <v>8.5896560371545045E-3</v>
      </c>
      <c r="L216" s="3">
        <f t="shared" si="177"/>
        <v>1.1265543606277488E-6</v>
      </c>
      <c r="M216" s="3">
        <f t="shared" si="177"/>
        <v>1.6963518978228397E-45</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2.3748702762192583E-2</v>
      </c>
      <c r="C217" s="3">
        <f t="shared" si="178"/>
        <v>2.3748702743041968E-2</v>
      </c>
      <c r="D217" s="3">
        <f t="shared" si="178"/>
        <v>2.374870255153582E-2</v>
      </c>
      <c r="E217" s="3">
        <f t="shared" si="178"/>
        <v>2.3748700636474447E-2</v>
      </c>
      <c r="F217" s="3">
        <f t="shared" si="178"/>
        <v>2.3748681485869155E-2</v>
      </c>
      <c r="G217" s="3">
        <f t="shared" si="178"/>
        <v>2.3748489980665612E-2</v>
      </c>
      <c r="H217" s="3">
        <f t="shared" si="178"/>
        <v>2.3746575013562657E-2</v>
      </c>
      <c r="I217" s="3">
        <f t="shared" si="178"/>
        <v>2.372743383324824E-2</v>
      </c>
      <c r="J217" s="3">
        <f t="shared" si="178"/>
        <v>2.3536868573758765E-2</v>
      </c>
      <c r="K217" s="3">
        <f t="shared" si="178"/>
        <v>2.1713398131759758E-2</v>
      </c>
      <c r="L217" s="3">
        <f t="shared" si="178"/>
        <v>9.6943551963001081E-3</v>
      </c>
      <c r="M217" s="3">
        <f t="shared" si="178"/>
        <v>3.0509160141762749E-6</v>
      </c>
      <c r="N217" s="3">
        <f t="shared" si="178"/>
        <v>2.9076591671346406E-41</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2.8130744653622846E-2</v>
      </c>
      <c r="C218" s="3">
        <f t="shared" si="179"/>
        <v>2.8130744651576538E-2</v>
      </c>
      <c r="D218" s="3">
        <f t="shared" si="179"/>
        <v>2.8130744631113477E-2</v>
      </c>
      <c r="E218" s="3">
        <f t="shared" si="179"/>
        <v>2.8130744426482845E-2</v>
      </c>
      <c r="F218" s="3">
        <f t="shared" si="179"/>
        <v>2.8130742380176609E-2</v>
      </c>
      <c r="G218" s="3">
        <f t="shared" si="179"/>
        <v>2.8130721917122448E-2</v>
      </c>
      <c r="H218" s="3">
        <f t="shared" si="179"/>
        <v>2.8130517287399539E-2</v>
      </c>
      <c r="I218" s="3">
        <f t="shared" si="179"/>
        <v>2.8128471072037614E-2</v>
      </c>
      <c r="J218" s="3">
        <f t="shared" si="179"/>
        <v>2.8108017102932131E-2</v>
      </c>
      <c r="K218" s="3">
        <f t="shared" si="179"/>
        <v>2.7904293664689803E-2</v>
      </c>
      <c r="L218" s="3">
        <f t="shared" si="179"/>
        <v>2.5946529729228361E-2</v>
      </c>
      <c r="M218" s="3">
        <f t="shared" si="179"/>
        <v>1.2536079781348833E-2</v>
      </c>
      <c r="N218" s="3">
        <f t="shared" si="179"/>
        <v>8.6893325084194487E-6</v>
      </c>
      <c r="O218" s="3">
        <f t="shared" si="179"/>
        <v>2.2245035662145073E-37</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2.965176536147212E-2</v>
      </c>
      <c r="C219" s="3">
        <f t="shared" si="180"/>
        <v>2.9651765361277546E-2</v>
      </c>
      <c r="D219" s="3">
        <f t="shared" si="180"/>
        <v>2.9651765359331794E-2</v>
      </c>
      <c r="E219" s="3">
        <f t="shared" si="180"/>
        <v>2.9651765339874316E-2</v>
      </c>
      <c r="F219" s="3">
        <f t="shared" si="180"/>
        <v>2.9651765145299529E-2</v>
      </c>
      <c r="G219" s="3">
        <f t="shared" si="180"/>
        <v>2.9651763199551737E-2</v>
      </c>
      <c r="H219" s="3">
        <f t="shared" si="180"/>
        <v>2.9651743742080829E-2</v>
      </c>
      <c r="I219" s="3">
        <f t="shared" si="180"/>
        <v>2.9651549168073991E-2</v>
      </c>
      <c r="J219" s="3">
        <f t="shared" si="180"/>
        <v>2.964960349822765E-2</v>
      </c>
      <c r="K219" s="3">
        <f t="shared" si="180"/>
        <v>2.9630153820265286E-2</v>
      </c>
      <c r="L219" s="3">
        <f t="shared" si="180"/>
        <v>2.9436357389199197E-2</v>
      </c>
      <c r="M219" s="3">
        <f t="shared" si="180"/>
        <v>2.7566756965218927E-2</v>
      </c>
      <c r="N219" s="3">
        <f t="shared" si="180"/>
        <v>1.4302164891163011E-2</v>
      </c>
      <c r="O219" s="3">
        <f t="shared" si="180"/>
        <v>2.0209837155615835E-5</v>
      </c>
      <c r="P219" s="3">
        <f t="shared" si="180"/>
        <v>6.4146526976000388E-34</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3.0087522375856376E-2</v>
      </c>
      <c r="C220" s="3">
        <f t="shared" si="181"/>
        <v>3.0087522375838564E-2</v>
      </c>
      <c r="D220" s="3">
        <f t="shared" si="181"/>
        <v>3.0087522375660463E-2</v>
      </c>
      <c r="E220" s="3">
        <f t="shared" si="181"/>
        <v>3.0087522373879443E-2</v>
      </c>
      <c r="F220" s="3">
        <f t="shared" si="181"/>
        <v>3.0087522356069232E-2</v>
      </c>
      <c r="G220" s="3">
        <f t="shared" si="181"/>
        <v>3.008752217796714E-2</v>
      </c>
      <c r="H220" s="3">
        <f t="shared" si="181"/>
        <v>3.008752039694626E-2</v>
      </c>
      <c r="I220" s="3">
        <f t="shared" si="181"/>
        <v>3.0087502586743274E-2</v>
      </c>
      <c r="J220" s="3">
        <f t="shared" si="181"/>
        <v>3.0087324485293276E-2</v>
      </c>
      <c r="K220" s="3">
        <f t="shared" si="181"/>
        <v>3.0085543528776675E-2</v>
      </c>
      <c r="L220" s="3">
        <f t="shared" si="181"/>
        <v>3.0067739760681878E-2</v>
      </c>
      <c r="M220" s="3">
        <f t="shared" si="181"/>
        <v>2.9890280519182987E-2</v>
      </c>
      <c r="N220" s="3">
        <f t="shared" si="181"/>
        <v>2.8172284959305231E-2</v>
      </c>
      <c r="O220" s="3">
        <f t="shared" si="181"/>
        <v>1.5586294913513392E-2</v>
      </c>
      <c r="P220" s="3">
        <f t="shared" si="181"/>
        <v>4.1874637237554932E-5</v>
      </c>
      <c r="Q220" s="3">
        <f t="shared" si="181"/>
        <v>8.2041339217568082E-31</v>
      </c>
      <c r="R220" s="3">
        <f t="shared" si="181"/>
        <v>6.8367480282276501E-288</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2.6649166629010086E-2</v>
      </c>
      <c r="C221" s="3">
        <f t="shared" si="182"/>
        <v>2.6649166629008663E-2</v>
      </c>
      <c r="D221" s="3">
        <f t="shared" si="182"/>
        <v>2.6649166628994431E-2</v>
      </c>
      <c r="E221" s="3">
        <f t="shared" si="182"/>
        <v>2.6649166628852129E-2</v>
      </c>
      <c r="F221" s="3">
        <f t="shared" si="182"/>
        <v>2.6649166627429104E-2</v>
      </c>
      <c r="G221" s="3">
        <f t="shared" si="182"/>
        <v>2.6649166613198841E-2</v>
      </c>
      <c r="H221" s="3">
        <f t="shared" si="182"/>
        <v>2.6649166470896244E-2</v>
      </c>
      <c r="I221" s="3">
        <f t="shared" si="182"/>
        <v>2.6649165047870332E-2</v>
      </c>
      <c r="J221" s="3">
        <f t="shared" si="182"/>
        <v>2.6649150817615361E-2</v>
      </c>
      <c r="K221" s="3">
        <f t="shared" si="182"/>
        <v>2.6649008515483599E-2</v>
      </c>
      <c r="L221" s="3">
        <f t="shared" si="182"/>
        <v>2.6647585535958172E-2</v>
      </c>
      <c r="M221" s="3">
        <f t="shared" si="182"/>
        <v>2.6633359919097686E-2</v>
      </c>
      <c r="N221" s="3">
        <f t="shared" si="182"/>
        <v>2.6491520765506291E-2</v>
      </c>
      <c r="O221" s="3">
        <f t="shared" si="182"/>
        <v>2.5114018451526627E-2</v>
      </c>
      <c r="P221" s="3">
        <f t="shared" si="182"/>
        <v>1.4723443660608989E-2</v>
      </c>
      <c r="Q221" s="3">
        <f t="shared" si="182"/>
        <v>7.0622208938643936E-5</v>
      </c>
      <c r="R221" s="3">
        <f t="shared" si="182"/>
        <v>4.5526082699385578E-28</v>
      </c>
      <c r="S221" s="3">
        <f t="shared" si="182"/>
        <v>5.6422215909927954E-260</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3.2769511002714906E-2</v>
      </c>
      <c r="C222" s="3">
        <f t="shared" si="183"/>
        <v>3.2769511002714753E-2</v>
      </c>
      <c r="D222" s="3">
        <f t="shared" si="183"/>
        <v>3.2769511002713171E-2</v>
      </c>
      <c r="E222" s="3">
        <f t="shared" si="183"/>
        <v>3.2769511002697385E-2</v>
      </c>
      <c r="F222" s="3">
        <f t="shared" si="183"/>
        <v>3.2769511002539539E-2</v>
      </c>
      <c r="G222" s="3">
        <f t="shared" si="183"/>
        <v>3.2769511000961031E-2</v>
      </c>
      <c r="H222" s="3">
        <f t="shared" si="183"/>
        <v>3.2769510985175991E-2</v>
      </c>
      <c r="I222" s="3">
        <f t="shared" si="183"/>
        <v>3.2769510827325571E-2</v>
      </c>
      <c r="J222" s="3">
        <f t="shared" si="183"/>
        <v>3.276950924882141E-2</v>
      </c>
      <c r="K222" s="3">
        <f t="shared" si="183"/>
        <v>3.2769493463784029E-2</v>
      </c>
      <c r="L222" s="3">
        <f t="shared" si="183"/>
        <v>3.2769335613828381E-2</v>
      </c>
      <c r="M222" s="3">
        <f t="shared" si="183"/>
        <v>3.2767757156091121E-2</v>
      </c>
      <c r="N222" s="3">
        <f t="shared" si="183"/>
        <v>3.2751976759892207E-2</v>
      </c>
      <c r="O222" s="3">
        <f t="shared" si="183"/>
        <v>3.2594590171030301E-2</v>
      </c>
      <c r="P222" s="3">
        <f t="shared" si="183"/>
        <v>3.1061727204114552E-2</v>
      </c>
      <c r="Q222" s="3">
        <f t="shared" si="183"/>
        <v>1.9187852252014526E-2</v>
      </c>
      <c r="R222" s="3">
        <f t="shared" si="183"/>
        <v>1.5525085847177756E-4</v>
      </c>
      <c r="S222" s="3">
        <f t="shared" si="183"/>
        <v>1.8668544377085318E-25</v>
      </c>
      <c r="T222" s="3">
        <f t="shared" si="183"/>
        <v>1.179980738329145E-234</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4.1907199465091145E-2</v>
      </c>
      <c r="C223" s="3">
        <f t="shared" si="184"/>
        <v>4.1907199465091124E-2</v>
      </c>
      <c r="D223" s="3">
        <f t="shared" si="184"/>
        <v>4.1907199465090944E-2</v>
      </c>
      <c r="E223" s="3">
        <f t="shared" si="184"/>
        <v>4.1907199465089119E-2</v>
      </c>
      <c r="F223" s="3">
        <f t="shared" si="184"/>
        <v>4.1907199465070911E-2</v>
      </c>
      <c r="G223" s="3">
        <f t="shared" si="184"/>
        <v>4.1907199464888814E-2</v>
      </c>
      <c r="H223" s="3">
        <f t="shared" si="184"/>
        <v>4.1907199463067805E-2</v>
      </c>
      <c r="I223" s="3">
        <f t="shared" si="184"/>
        <v>4.1907199444857761E-2</v>
      </c>
      <c r="J223" s="3">
        <f t="shared" si="184"/>
        <v>4.1907199262757315E-2</v>
      </c>
      <c r="K223" s="3">
        <f t="shared" si="184"/>
        <v>4.1907197441752891E-2</v>
      </c>
      <c r="L223" s="3">
        <f t="shared" si="184"/>
        <v>4.1907179231713027E-2</v>
      </c>
      <c r="M223" s="3">
        <f t="shared" si="184"/>
        <v>4.1906997131749529E-2</v>
      </c>
      <c r="N223" s="3">
        <f t="shared" si="184"/>
        <v>4.1905176175634509E-2</v>
      </c>
      <c r="O223" s="3">
        <f t="shared" si="184"/>
        <v>4.1886970965778952E-2</v>
      </c>
      <c r="P223" s="3">
        <f t="shared" si="184"/>
        <v>4.1705353297913653E-2</v>
      </c>
      <c r="Q223" s="3">
        <f t="shared" si="184"/>
        <v>3.9931929267395867E-2</v>
      </c>
      <c r="R223" s="3">
        <f t="shared" si="184"/>
        <v>2.5858610169030107E-2</v>
      </c>
      <c r="S223" s="3">
        <f t="shared" si="184"/>
        <v>3.35315815202124E-4</v>
      </c>
      <c r="T223" s="3">
        <f t="shared" si="184"/>
        <v>4.5075714749169419E-23</v>
      </c>
      <c r="U223" s="3">
        <f t="shared" si="184"/>
        <v>8.6861728305687559E-212</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3.8766931941006839E-2</v>
      </c>
      <c r="C224" s="3">
        <f t="shared" si="185"/>
        <v>3.8766931941006839E-2</v>
      </c>
      <c r="D224" s="3">
        <f t="shared" si="185"/>
        <v>3.8766931941006826E-2</v>
      </c>
      <c r="E224" s="3">
        <f t="shared" si="185"/>
        <v>3.8766931941006673E-2</v>
      </c>
      <c r="F224" s="3">
        <f t="shared" si="185"/>
        <v>3.8766931941005153E-2</v>
      </c>
      <c r="G224" s="3">
        <f t="shared" si="185"/>
        <v>3.8766931940989957E-2</v>
      </c>
      <c r="H224" s="3">
        <f t="shared" si="185"/>
        <v>3.8766931940837995E-2</v>
      </c>
      <c r="I224" s="3">
        <f t="shared" si="185"/>
        <v>3.8766931939318391E-2</v>
      </c>
      <c r="J224" s="3">
        <f t="shared" si="185"/>
        <v>3.8766931924122353E-2</v>
      </c>
      <c r="K224" s="3">
        <f t="shared" si="185"/>
        <v>3.8766931772161964E-2</v>
      </c>
      <c r="L224" s="3">
        <f t="shared" si="185"/>
        <v>3.8766930252558118E-2</v>
      </c>
      <c r="M224" s="3">
        <f t="shared" si="185"/>
        <v>3.876691505652289E-2</v>
      </c>
      <c r="N224" s="3">
        <f t="shared" si="185"/>
        <v>3.8766763096498277E-2</v>
      </c>
      <c r="O224" s="3">
        <f t="shared" si="185"/>
        <v>3.8765243529013026E-2</v>
      </c>
      <c r="P224" s="3">
        <f t="shared" si="185"/>
        <v>3.8750051129769508E-2</v>
      </c>
      <c r="Q224" s="3">
        <f t="shared" si="185"/>
        <v>3.8598454223663148E-2</v>
      </c>
      <c r="R224" s="3">
        <f t="shared" si="185"/>
        <v>3.711472434103625E-2</v>
      </c>
      <c r="S224" s="3">
        <f t="shared" si="185"/>
        <v>2.5078959075243393E-2</v>
      </c>
      <c r="T224" s="3">
        <f t="shared" si="185"/>
        <v>4.9767082432165778E-4</v>
      </c>
      <c r="U224" s="3">
        <f t="shared" si="185"/>
        <v>4.7126905750532356E-21</v>
      </c>
      <c r="V224" s="3">
        <f t="shared" si="185"/>
        <v>2.7323502702888418E-191</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3.2038673628359195E-2</v>
      </c>
      <c r="C225" s="3">
        <f t="shared" si="186"/>
        <v>3.2038673628359195E-2</v>
      </c>
      <c r="D225" s="3">
        <f t="shared" si="186"/>
        <v>3.2038673628359195E-2</v>
      </c>
      <c r="E225" s="3">
        <f t="shared" si="186"/>
        <v>3.2038673628359181E-2</v>
      </c>
      <c r="F225" s="3">
        <f t="shared" si="186"/>
        <v>3.203867362835907E-2</v>
      </c>
      <c r="G225" s="3">
        <f t="shared" si="186"/>
        <v>3.2038673628357939E-2</v>
      </c>
      <c r="H225" s="3">
        <f t="shared" si="186"/>
        <v>3.2038673628346608E-2</v>
      </c>
      <c r="I225" s="3">
        <f t="shared" si="186"/>
        <v>3.2038673628233316E-2</v>
      </c>
      <c r="J225" s="3">
        <f t="shared" si="186"/>
        <v>3.2038673627100417E-2</v>
      </c>
      <c r="K225" s="3">
        <f t="shared" si="186"/>
        <v>3.2038673615771458E-2</v>
      </c>
      <c r="L225" s="3">
        <f t="shared" si="186"/>
        <v>3.2038673502481851E-2</v>
      </c>
      <c r="M225" s="3">
        <f t="shared" si="186"/>
        <v>3.2038672369585776E-2</v>
      </c>
      <c r="N225" s="3">
        <f t="shared" si="186"/>
        <v>3.2038661040627185E-2</v>
      </c>
      <c r="O225" s="3">
        <f t="shared" si="186"/>
        <v>3.2038547751261644E-2</v>
      </c>
      <c r="P225" s="3">
        <f t="shared" si="186"/>
        <v>3.2037414879638675E-2</v>
      </c>
      <c r="Q225" s="3">
        <f t="shared" si="186"/>
        <v>3.202608836636181E-2</v>
      </c>
      <c r="R225" s="3">
        <f t="shared" si="186"/>
        <v>3.1913043240928328E-2</v>
      </c>
      <c r="S225" s="3">
        <f t="shared" si="186"/>
        <v>3.0804307580164687E-2</v>
      </c>
      <c r="T225" s="3">
        <f t="shared" si="186"/>
        <v>2.1629364330526764E-2</v>
      </c>
      <c r="U225" s="3">
        <f t="shared" si="186"/>
        <v>6.3003808836226843E-4</v>
      </c>
      <c r="V225" s="3">
        <f t="shared" si="186"/>
        <v>2.770749704592801E-19</v>
      </c>
      <c r="W225" s="3">
        <f t="shared" si="186"/>
        <v>7.4972535843658172E-173</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3.8815204020590376E-2</v>
      </c>
      <c r="C226" s="3">
        <f t="shared" si="187"/>
        <v>3.8815204020590376E-2</v>
      </c>
      <c r="D226" s="3">
        <f t="shared" si="187"/>
        <v>3.8815204020590376E-2</v>
      </c>
      <c r="E226" s="3">
        <f t="shared" si="187"/>
        <v>3.8815204020590376E-2</v>
      </c>
      <c r="F226" s="3">
        <f t="shared" si="187"/>
        <v>3.8815204020590362E-2</v>
      </c>
      <c r="G226" s="3">
        <f t="shared" si="187"/>
        <v>3.8815204020590237E-2</v>
      </c>
      <c r="H226" s="3">
        <f t="shared" si="187"/>
        <v>3.8815204020589002E-2</v>
      </c>
      <c r="I226" s="3">
        <f t="shared" si="187"/>
        <v>3.8815204020576623E-2</v>
      </c>
      <c r="J226" s="3">
        <f t="shared" si="187"/>
        <v>3.8815204020452805E-2</v>
      </c>
      <c r="K226" s="3">
        <f t="shared" si="187"/>
        <v>3.8815204019214684E-2</v>
      </c>
      <c r="L226" s="3">
        <f t="shared" si="187"/>
        <v>3.8815204006833449E-2</v>
      </c>
      <c r="M226" s="3">
        <f t="shared" si="187"/>
        <v>3.8815203883021079E-2</v>
      </c>
      <c r="N226" s="3">
        <f t="shared" si="187"/>
        <v>3.8815202644897462E-2</v>
      </c>
      <c r="O226" s="3">
        <f t="shared" si="187"/>
        <v>3.8815190263663382E-2</v>
      </c>
      <c r="P226" s="3">
        <f t="shared" si="187"/>
        <v>3.8815066451539877E-2</v>
      </c>
      <c r="Q226" s="3">
        <f t="shared" si="187"/>
        <v>3.8813828352025966E-2</v>
      </c>
      <c r="R226" s="3">
        <f t="shared" si="187"/>
        <v>3.8801449528747207E-2</v>
      </c>
      <c r="S226" s="3">
        <f t="shared" si="187"/>
        <v>3.8677878225888848E-2</v>
      </c>
      <c r="T226" s="3">
        <f t="shared" si="187"/>
        <v>3.746360433444397E-2</v>
      </c>
      <c r="U226" s="3">
        <f t="shared" si="187"/>
        <v>2.7231948776419313E-2</v>
      </c>
      <c r="V226" s="3">
        <f t="shared" si="187"/>
        <v>1.1214253152688515E-3</v>
      </c>
      <c r="W226" s="3">
        <f t="shared" si="187"/>
        <v>1.5728477955464025E-17</v>
      </c>
      <c r="X226" s="3">
        <f t="shared" si="187"/>
        <v>4.6328700719969468E-156</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3.675792152056976E-2</v>
      </c>
      <c r="C227" s="3">
        <f t="shared" si="188"/>
        <v>3.675792152056976E-2</v>
      </c>
      <c r="D227" s="3">
        <f t="shared" si="188"/>
        <v>3.675792152056976E-2</v>
      </c>
      <c r="E227" s="3">
        <f t="shared" si="188"/>
        <v>3.675792152056976E-2</v>
      </c>
      <c r="F227" s="3">
        <f t="shared" si="188"/>
        <v>3.675792152056976E-2</v>
      </c>
      <c r="G227" s="3">
        <f t="shared" si="188"/>
        <v>3.6757921520569746E-2</v>
      </c>
      <c r="H227" s="3">
        <f t="shared" si="188"/>
        <v>3.6757921520569642E-2</v>
      </c>
      <c r="I227" s="3">
        <f t="shared" si="188"/>
        <v>3.6757921520568587E-2</v>
      </c>
      <c r="J227" s="3">
        <f t="shared" si="188"/>
        <v>3.6757921520558005E-2</v>
      </c>
      <c r="K227" s="3">
        <f t="shared" si="188"/>
        <v>3.6757921520452236E-2</v>
      </c>
      <c r="L227" s="3">
        <f t="shared" si="188"/>
        <v>3.6757921519394547E-2</v>
      </c>
      <c r="M227" s="3">
        <f t="shared" si="188"/>
        <v>3.6757921508817612E-2</v>
      </c>
      <c r="N227" s="3">
        <f t="shared" si="188"/>
        <v>3.6757921403048302E-2</v>
      </c>
      <c r="O227" s="3">
        <f t="shared" si="188"/>
        <v>3.6757920345355188E-2</v>
      </c>
      <c r="P227" s="3">
        <f t="shared" si="188"/>
        <v>3.6757909768425773E-2</v>
      </c>
      <c r="Q227" s="3">
        <f t="shared" si="188"/>
        <v>3.6757803999298948E-2</v>
      </c>
      <c r="R227" s="3">
        <f t="shared" si="188"/>
        <v>3.6756746324769614E-2</v>
      </c>
      <c r="S227" s="3">
        <f t="shared" si="188"/>
        <v>3.674617125318437E-2</v>
      </c>
      <c r="T227" s="3">
        <f t="shared" si="188"/>
        <v>3.6640587730092773E-2</v>
      </c>
      <c r="U227" s="3">
        <f t="shared" si="188"/>
        <v>3.5601295133753666E-2</v>
      </c>
      <c r="V227" s="3">
        <f t="shared" si="188"/>
        <v>2.6699274359204016E-2</v>
      </c>
      <c r="W227" s="3">
        <f t="shared" si="188"/>
        <v>1.5025746780034186E-3</v>
      </c>
      <c r="X227" s="3">
        <f t="shared" si="188"/>
        <v>4.7885292087206211E-16</v>
      </c>
      <c r="Y227" s="3">
        <f t="shared" si="188"/>
        <v>5.1744344859534142E-141</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3.3395319995761917E-2</v>
      </c>
      <c r="C228" s="3">
        <f t="shared" si="189"/>
        <v>3.3395319995761917E-2</v>
      </c>
      <c r="D228" s="3">
        <f t="shared" si="189"/>
        <v>3.3395319995761917E-2</v>
      </c>
      <c r="E228" s="3">
        <f t="shared" si="189"/>
        <v>3.3395319995761917E-2</v>
      </c>
      <c r="F228" s="3">
        <f t="shared" si="189"/>
        <v>3.3395319995761917E-2</v>
      </c>
      <c r="G228" s="3">
        <f t="shared" si="189"/>
        <v>3.3395319995761917E-2</v>
      </c>
      <c r="H228" s="3">
        <f t="shared" si="189"/>
        <v>3.3395319995761903E-2</v>
      </c>
      <c r="I228" s="3">
        <f t="shared" si="189"/>
        <v>3.339531999576182E-2</v>
      </c>
      <c r="J228" s="3">
        <f t="shared" si="189"/>
        <v>3.3395319995760953E-2</v>
      </c>
      <c r="K228" s="3">
        <f t="shared" si="189"/>
        <v>3.3395319995752286E-2</v>
      </c>
      <c r="L228" s="3">
        <f t="shared" si="189"/>
        <v>3.3395319995665598E-2</v>
      </c>
      <c r="M228" s="3">
        <f t="shared" si="189"/>
        <v>3.3395319994798757E-2</v>
      </c>
      <c r="N228" s="3">
        <f t="shared" si="189"/>
        <v>3.3395319986130316E-2</v>
      </c>
      <c r="O228" s="3">
        <f t="shared" si="189"/>
        <v>3.339531989944592E-2</v>
      </c>
      <c r="P228" s="3">
        <f t="shared" si="189"/>
        <v>3.3395319032601956E-2</v>
      </c>
      <c r="Q228" s="3">
        <f t="shared" si="189"/>
        <v>3.3395310364163544E-2</v>
      </c>
      <c r="R228" s="3">
        <f t="shared" si="189"/>
        <v>3.3395223679903205E-2</v>
      </c>
      <c r="S228" s="3">
        <f t="shared" si="189"/>
        <v>3.3394356849675025E-2</v>
      </c>
      <c r="T228" s="3">
        <f t="shared" si="189"/>
        <v>3.3385689784800394E-2</v>
      </c>
      <c r="U228" s="3">
        <f t="shared" si="189"/>
        <v>3.3299142758006446E-2</v>
      </c>
      <c r="V228" s="3">
        <f t="shared" si="189"/>
        <v>3.2445916777281765E-2</v>
      </c>
      <c r="W228" s="3">
        <f t="shared" si="189"/>
        <v>2.5028222990632787E-2</v>
      </c>
      <c r="X228" s="3">
        <f t="shared" si="189"/>
        <v>1.8669370465150667E-3</v>
      </c>
      <c r="Y228" s="3">
        <f t="shared" si="189"/>
        <v>9.9569483366036727E-15</v>
      </c>
      <c r="Z228" s="3">
        <f t="shared" si="189"/>
        <v>1.8539245432737384E-127</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3.5168182509434494E-2</v>
      </c>
      <c r="C229" s="3">
        <f t="shared" si="190"/>
        <v>3.5168182509434494E-2</v>
      </c>
      <c r="D229" s="3">
        <f t="shared" si="190"/>
        <v>3.5168182509434494E-2</v>
      </c>
      <c r="E229" s="3">
        <f t="shared" si="190"/>
        <v>3.5168182509434494E-2</v>
      </c>
      <c r="F229" s="3">
        <f t="shared" si="190"/>
        <v>3.5168182509434494E-2</v>
      </c>
      <c r="G229" s="3">
        <f t="shared" si="190"/>
        <v>3.5168182509434494E-2</v>
      </c>
      <c r="H229" s="3">
        <f t="shared" si="190"/>
        <v>3.5168182509434494E-2</v>
      </c>
      <c r="I229" s="3">
        <f t="shared" si="190"/>
        <v>3.5168182509434487E-2</v>
      </c>
      <c r="J229" s="3">
        <f t="shared" si="190"/>
        <v>3.5168182509434404E-2</v>
      </c>
      <c r="K229" s="3">
        <f t="shared" si="190"/>
        <v>3.5168182509433578E-2</v>
      </c>
      <c r="L229" s="3">
        <f t="shared" si="190"/>
        <v>3.5168182509425348E-2</v>
      </c>
      <c r="M229" s="3">
        <f t="shared" si="190"/>
        <v>3.5168182509342998E-2</v>
      </c>
      <c r="N229" s="3">
        <f t="shared" si="190"/>
        <v>3.5168182508519517E-2</v>
      </c>
      <c r="O229" s="3">
        <f t="shared" si="190"/>
        <v>3.5168182500284743E-2</v>
      </c>
      <c r="P229" s="3">
        <f t="shared" si="190"/>
        <v>3.5168182417936969E-2</v>
      </c>
      <c r="Q229" s="3">
        <f t="shared" si="190"/>
        <v>3.516818159445928E-2</v>
      </c>
      <c r="R229" s="3">
        <f t="shared" si="190"/>
        <v>3.5168173359683461E-2</v>
      </c>
      <c r="S229" s="3">
        <f t="shared" si="190"/>
        <v>3.5168091012031277E-2</v>
      </c>
      <c r="T229" s="3">
        <f t="shared" si="190"/>
        <v>3.5167267546114461E-2</v>
      </c>
      <c r="U229" s="3">
        <f t="shared" si="190"/>
        <v>3.5159033947358392E-2</v>
      </c>
      <c r="V229" s="3">
        <f t="shared" si="190"/>
        <v>3.5076803909186938E-2</v>
      </c>
      <c r="W229" s="3">
        <f t="shared" si="190"/>
        <v>3.4265007247062211E-2</v>
      </c>
      <c r="X229" s="3">
        <f t="shared" si="190"/>
        <v>2.7111837881642918E-2</v>
      </c>
      <c r="Y229" s="3">
        <f t="shared" si="190"/>
        <v>2.6075957713415682E-3</v>
      </c>
      <c r="Z229" s="3">
        <f t="shared" si="190"/>
        <v>1.7662548187788016E-13</v>
      </c>
      <c r="AA229" s="3">
        <f t="shared" si="190"/>
        <v>3.5907426159679313E-115</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2.0659155414283158E-2</v>
      </c>
      <c r="C230" s="3">
        <f t="shared" si="191"/>
        <v>2.0659155414283158E-2</v>
      </c>
      <c r="D230" s="3">
        <f t="shared" si="191"/>
        <v>2.0659155414283158E-2</v>
      </c>
      <c r="E230" s="3">
        <f t="shared" si="191"/>
        <v>2.0659155414283158E-2</v>
      </c>
      <c r="F230" s="3">
        <f t="shared" si="191"/>
        <v>2.0659155414283158E-2</v>
      </c>
      <c r="G230" s="3">
        <f t="shared" si="191"/>
        <v>2.0659155414283158E-2</v>
      </c>
      <c r="H230" s="3">
        <f t="shared" si="191"/>
        <v>2.0659155414283158E-2</v>
      </c>
      <c r="I230" s="3">
        <f t="shared" si="191"/>
        <v>2.0659155414283158E-2</v>
      </c>
      <c r="J230" s="3">
        <f t="shared" si="191"/>
        <v>2.0659155414283155E-2</v>
      </c>
      <c r="K230" s="3">
        <f t="shared" si="191"/>
        <v>2.065915541428311E-2</v>
      </c>
      <c r="L230" s="3">
        <f t="shared" si="191"/>
        <v>2.0659155414282676E-2</v>
      </c>
      <c r="M230" s="3">
        <f t="shared" si="191"/>
        <v>2.0659155414278308E-2</v>
      </c>
      <c r="N230" s="3">
        <f t="shared" si="191"/>
        <v>2.0659155414234669E-2</v>
      </c>
      <c r="O230" s="3">
        <f t="shared" si="191"/>
        <v>2.0659155413798296E-2</v>
      </c>
      <c r="P230" s="3">
        <f t="shared" si="191"/>
        <v>2.0659155409434533E-2</v>
      </c>
      <c r="Q230" s="3">
        <f t="shared" si="191"/>
        <v>2.0659155365796912E-2</v>
      </c>
      <c r="R230" s="3">
        <f t="shared" si="191"/>
        <v>2.0659154929420703E-2</v>
      </c>
      <c r="S230" s="3">
        <f t="shared" si="191"/>
        <v>2.0659150565659104E-2</v>
      </c>
      <c r="T230" s="3">
        <f t="shared" si="191"/>
        <v>2.0659106928093831E-2</v>
      </c>
      <c r="U230" s="3">
        <f t="shared" si="191"/>
        <v>2.0658670557510604E-2</v>
      </c>
      <c r="V230" s="3">
        <f t="shared" si="191"/>
        <v>2.0654307358592694E-2</v>
      </c>
      <c r="W230" s="3">
        <f t="shared" si="191"/>
        <v>2.0610726021250473E-2</v>
      </c>
      <c r="X230" s="3">
        <f t="shared" si="191"/>
        <v>2.0179938467841045E-2</v>
      </c>
      <c r="Y230" s="3">
        <f t="shared" si="191"/>
        <v>1.6337489136256479E-2</v>
      </c>
      <c r="Z230" s="3">
        <f t="shared" si="191"/>
        <v>1.9762416737274112E-3</v>
      </c>
      <c r="AA230" s="3">
        <f t="shared" si="191"/>
        <v>1.3255236077477733E-12</v>
      </c>
      <c r="AB230" s="3">
        <f t="shared" si="191"/>
        <v>2.4426520376415586E-104</v>
      </c>
      <c r="AC230" s="3">
        <f t="shared" si="191"/>
        <v>0</v>
      </c>
      <c r="AD230" s="3">
        <f t="shared" si="191"/>
        <v>0</v>
      </c>
      <c r="AE230" s="3">
        <f t="shared" si="191"/>
        <v>0</v>
      </c>
      <c r="AF230" s="3">
        <f t="shared" si="191"/>
        <v>0</v>
      </c>
      <c r="AG230" s="3"/>
      <c r="AH230" s="3"/>
    </row>
    <row r="231" spans="2:34" x14ac:dyDescent="0.25">
      <c r="B231" s="3">
        <f t="shared" ref="B231:AF231" si="192">$C39*EXP(-B$207/$A39/EXP(-$D$126))</f>
        <v>3.0227206274926977E-2</v>
      </c>
      <c r="C231" s="3">
        <f t="shared" si="192"/>
        <v>3.0227206274926977E-2</v>
      </c>
      <c r="D231" s="3">
        <f t="shared" si="192"/>
        <v>3.0227206274926977E-2</v>
      </c>
      <c r="E231" s="3">
        <f t="shared" si="192"/>
        <v>3.0227206274926977E-2</v>
      </c>
      <c r="F231" s="3">
        <f t="shared" si="192"/>
        <v>3.0227206274926977E-2</v>
      </c>
      <c r="G231" s="3">
        <f t="shared" si="192"/>
        <v>3.0227206274926977E-2</v>
      </c>
      <c r="H231" s="3">
        <f t="shared" si="192"/>
        <v>3.0227206274926977E-2</v>
      </c>
      <c r="I231" s="3">
        <f t="shared" si="192"/>
        <v>3.0227206274926977E-2</v>
      </c>
      <c r="J231" s="3">
        <f t="shared" si="192"/>
        <v>3.0227206274926973E-2</v>
      </c>
      <c r="K231" s="3">
        <f t="shared" si="192"/>
        <v>3.0227206274926956E-2</v>
      </c>
      <c r="L231" s="3">
        <f t="shared" si="192"/>
        <v>3.0227206274926782E-2</v>
      </c>
      <c r="M231" s="3">
        <f t="shared" si="192"/>
        <v>3.0227206274925013E-2</v>
      </c>
      <c r="N231" s="3">
        <f t="shared" si="192"/>
        <v>3.0227206274907353E-2</v>
      </c>
      <c r="O231" s="3">
        <f t="shared" si="192"/>
        <v>3.0227206274730769E-2</v>
      </c>
      <c r="P231" s="3">
        <f t="shared" si="192"/>
        <v>3.0227206272964897E-2</v>
      </c>
      <c r="Q231" s="3">
        <f t="shared" si="192"/>
        <v>3.0227206255306168E-2</v>
      </c>
      <c r="R231" s="3">
        <f t="shared" si="192"/>
        <v>3.0227206078718902E-2</v>
      </c>
      <c r="S231" s="3">
        <f t="shared" si="192"/>
        <v>3.0227204312846315E-2</v>
      </c>
      <c r="T231" s="3">
        <f t="shared" si="192"/>
        <v>3.0227186654126093E-2</v>
      </c>
      <c r="U231" s="3">
        <f t="shared" si="192"/>
        <v>3.0227010067491296E-2</v>
      </c>
      <c r="V231" s="3">
        <f t="shared" si="192"/>
        <v>3.0225244257881138E-2</v>
      </c>
      <c r="W231" s="3">
        <f t="shared" si="192"/>
        <v>3.0207591834340124E-2</v>
      </c>
      <c r="X231" s="3">
        <f t="shared" si="192"/>
        <v>3.0031633630753507E-2</v>
      </c>
      <c r="Y231" s="3">
        <f t="shared" si="192"/>
        <v>2.8327450161308908E-2</v>
      </c>
      <c r="Z231" s="3">
        <f t="shared" si="192"/>
        <v>1.5794022554504974E-2</v>
      </c>
      <c r="AA231" s="3">
        <f t="shared" si="192"/>
        <v>4.5850645187609112E-5</v>
      </c>
      <c r="AB231" s="3">
        <f t="shared" si="192"/>
        <v>1.9492719117123717E-30</v>
      </c>
      <c r="AC231" s="3">
        <f t="shared" si="192"/>
        <v>3.7596044993426352E-284</v>
      </c>
      <c r="AD231" s="3">
        <f t="shared" si="192"/>
        <v>0</v>
      </c>
      <c r="AE231" s="3">
        <f t="shared" si="192"/>
        <v>0</v>
      </c>
      <c r="AF231" s="3">
        <f t="shared" si="192"/>
        <v>0</v>
      </c>
      <c r="AG231" s="3"/>
      <c r="AH231" s="3"/>
    </row>
    <row r="232" spans="2:34" x14ac:dyDescent="0.25">
      <c r="B232" s="3">
        <f t="shared" ref="B232:AF232" si="193">$C40*EXP(-B$207/$A40/EXP(-$D$126))</f>
        <v>3.7583954306508939E-2</v>
      </c>
      <c r="C232" s="3">
        <f t="shared" si="193"/>
        <v>3.7583954306508939E-2</v>
      </c>
      <c r="D232" s="3">
        <f t="shared" si="193"/>
        <v>3.7583954306508939E-2</v>
      </c>
      <c r="E232" s="3">
        <f t="shared" si="193"/>
        <v>3.7583954306508939E-2</v>
      </c>
      <c r="F232" s="3">
        <f t="shared" si="193"/>
        <v>3.7583954306508939E-2</v>
      </c>
      <c r="G232" s="3">
        <f t="shared" si="193"/>
        <v>3.7583954306508939E-2</v>
      </c>
      <c r="H232" s="3">
        <f t="shared" si="193"/>
        <v>3.7583954306508939E-2</v>
      </c>
      <c r="I232" s="3">
        <f t="shared" si="193"/>
        <v>3.7583954306508939E-2</v>
      </c>
      <c r="J232" s="3">
        <f t="shared" si="193"/>
        <v>3.7583954306508939E-2</v>
      </c>
      <c r="K232" s="3">
        <f t="shared" si="193"/>
        <v>3.7583954306508932E-2</v>
      </c>
      <c r="L232" s="3">
        <f t="shared" si="193"/>
        <v>3.7583954306508911E-2</v>
      </c>
      <c r="M232" s="3">
        <f t="shared" si="193"/>
        <v>3.7583954306508696E-2</v>
      </c>
      <c r="N232" s="3">
        <f t="shared" si="193"/>
        <v>3.7583954306506497E-2</v>
      </c>
      <c r="O232" s="3">
        <f t="shared" si="193"/>
        <v>3.7583954306484542E-2</v>
      </c>
      <c r="P232" s="3">
        <f t="shared" si="193"/>
        <v>3.7583954306264974E-2</v>
      </c>
      <c r="Q232" s="3">
        <f t="shared" si="193"/>
        <v>3.7583954304069321E-2</v>
      </c>
      <c r="R232" s="3">
        <f t="shared" si="193"/>
        <v>3.7583954282112787E-2</v>
      </c>
      <c r="S232" s="3">
        <f t="shared" si="193"/>
        <v>3.7583954062547414E-2</v>
      </c>
      <c r="T232" s="3">
        <f t="shared" si="193"/>
        <v>3.7583951866893804E-2</v>
      </c>
      <c r="U232" s="3">
        <f t="shared" si="193"/>
        <v>3.7583929910364716E-2</v>
      </c>
      <c r="V232" s="3">
        <f t="shared" si="193"/>
        <v>3.7583710345779314E-2</v>
      </c>
      <c r="W232" s="3">
        <f t="shared" si="193"/>
        <v>3.7581514770472141E-2</v>
      </c>
      <c r="X232" s="3">
        <f t="shared" si="193"/>
        <v>3.7559566070558222E-2</v>
      </c>
      <c r="Y232" s="3">
        <f t="shared" si="193"/>
        <v>3.7340782865014667E-2</v>
      </c>
      <c r="Z232" s="3">
        <f t="shared" si="193"/>
        <v>3.5221832371774994E-2</v>
      </c>
      <c r="AA232" s="3">
        <f t="shared" si="193"/>
        <v>1.9637998186318346E-2</v>
      </c>
      <c r="AB232" s="3">
        <f t="shared" si="193"/>
        <v>5.7009851918880915E-5</v>
      </c>
      <c r="AC232" s="3">
        <f t="shared" si="193"/>
        <v>2.4236889706055407E-30</v>
      </c>
      <c r="AD232" s="3">
        <f t="shared" si="193"/>
        <v>4.6746233319963139E-284</v>
      </c>
      <c r="AE232" s="3">
        <f t="shared" si="193"/>
        <v>0</v>
      </c>
      <c r="AF232" s="3">
        <f t="shared" si="193"/>
        <v>0</v>
      </c>
      <c r="AG232" s="3"/>
      <c r="AH232" s="3"/>
    </row>
    <row r="233" spans="2:34" x14ac:dyDescent="0.25">
      <c r="B233" s="3">
        <f t="shared" ref="B233:AF233" si="194">$C41*EXP(-B$207/$A41/EXP(-$D$126))</f>
        <v>3.8796261080834012E-2</v>
      </c>
      <c r="C233" s="3">
        <f t="shared" si="194"/>
        <v>3.8796261080834012E-2</v>
      </c>
      <c r="D233" s="3">
        <f t="shared" si="194"/>
        <v>3.8796261080834012E-2</v>
      </c>
      <c r="E233" s="3">
        <f t="shared" si="194"/>
        <v>3.8796261080834012E-2</v>
      </c>
      <c r="F233" s="3">
        <f t="shared" si="194"/>
        <v>3.8796261080834012E-2</v>
      </c>
      <c r="G233" s="3">
        <f t="shared" si="194"/>
        <v>3.8796261080834012E-2</v>
      </c>
      <c r="H233" s="3">
        <f t="shared" si="194"/>
        <v>3.8796261080834012E-2</v>
      </c>
      <c r="I233" s="3">
        <f t="shared" si="194"/>
        <v>3.8796261080834012E-2</v>
      </c>
      <c r="J233" s="3">
        <f t="shared" si="194"/>
        <v>3.8796261080834012E-2</v>
      </c>
      <c r="K233" s="3">
        <f t="shared" si="194"/>
        <v>3.8796261080834012E-2</v>
      </c>
      <c r="L233" s="3">
        <f t="shared" si="194"/>
        <v>3.8796261080834005E-2</v>
      </c>
      <c r="M233" s="3">
        <f t="shared" si="194"/>
        <v>3.8796261080833984E-2</v>
      </c>
      <c r="N233" s="3">
        <f t="shared" si="194"/>
        <v>3.8796261080833762E-2</v>
      </c>
      <c r="O233" s="3">
        <f t="shared" si="194"/>
        <v>3.8796261080831493E-2</v>
      </c>
      <c r="P233" s="3">
        <f t="shared" si="194"/>
        <v>3.879626108080883E-2</v>
      </c>
      <c r="Q233" s="3">
        <f t="shared" si="194"/>
        <v>3.8796261080582178E-2</v>
      </c>
      <c r="R233" s="3">
        <f t="shared" si="194"/>
        <v>3.8796261078315707E-2</v>
      </c>
      <c r="S233" s="3">
        <f t="shared" si="194"/>
        <v>3.8796261055650934E-2</v>
      </c>
      <c r="T233" s="3">
        <f t="shared" si="194"/>
        <v>3.8796260829003275E-2</v>
      </c>
      <c r="U233" s="3">
        <f t="shared" si="194"/>
        <v>3.8796258562526734E-2</v>
      </c>
      <c r="V233" s="3">
        <f t="shared" si="194"/>
        <v>3.8796235897768573E-2</v>
      </c>
      <c r="W233" s="3">
        <f t="shared" si="194"/>
        <v>3.8796009250915246E-2</v>
      </c>
      <c r="X233" s="3">
        <f t="shared" si="194"/>
        <v>3.8793742855204323E-2</v>
      </c>
      <c r="Y233" s="3">
        <f t="shared" si="194"/>
        <v>3.8771086178759344E-2</v>
      </c>
      <c r="Z233" s="3">
        <f t="shared" si="194"/>
        <v>3.8545245909447939E-2</v>
      </c>
      <c r="AA233" s="3">
        <f t="shared" si="194"/>
        <v>3.6357946619898433E-2</v>
      </c>
      <c r="AB233" s="3">
        <f t="shared" si="194"/>
        <v>2.0271440799655448E-2</v>
      </c>
      <c r="AC233" s="3">
        <f t="shared" si="194"/>
        <v>5.8848759797516749E-5</v>
      </c>
      <c r="AD233" s="3">
        <f t="shared" si="194"/>
        <v>2.5018674010591239E-30</v>
      </c>
      <c r="AE233" s="3">
        <f t="shared" si="194"/>
        <v>4.8254078260008666E-284</v>
      </c>
      <c r="AF233" s="3">
        <f t="shared" si="194"/>
        <v>0</v>
      </c>
      <c r="AG233" s="3"/>
      <c r="AH233" s="3"/>
    </row>
    <row r="234" spans="2:34" x14ac:dyDescent="0.25">
      <c r="B234" s="3">
        <f t="shared" ref="B234:AF234" si="195">$C42*EXP(-B$207/$A42/EXP(-$D$126))</f>
        <v>4.443590866461708E-2</v>
      </c>
      <c r="C234" s="3">
        <f t="shared" si="195"/>
        <v>4.443590866461708E-2</v>
      </c>
      <c r="D234" s="3">
        <f t="shared" si="195"/>
        <v>4.443590866461708E-2</v>
      </c>
      <c r="E234" s="3">
        <f t="shared" si="195"/>
        <v>4.443590866461708E-2</v>
      </c>
      <c r="F234" s="3">
        <f t="shared" si="195"/>
        <v>4.443590866461708E-2</v>
      </c>
      <c r="G234" s="3">
        <f t="shared" si="195"/>
        <v>4.443590866461708E-2</v>
      </c>
      <c r="H234" s="3">
        <f t="shared" si="195"/>
        <v>4.443590866461708E-2</v>
      </c>
      <c r="I234" s="3">
        <f t="shared" si="195"/>
        <v>4.443590866461708E-2</v>
      </c>
      <c r="J234" s="3">
        <f t="shared" si="195"/>
        <v>4.443590866461708E-2</v>
      </c>
      <c r="K234" s="3">
        <f t="shared" si="195"/>
        <v>4.443590866461708E-2</v>
      </c>
      <c r="L234" s="3">
        <f t="shared" si="195"/>
        <v>4.443590866461708E-2</v>
      </c>
      <c r="M234" s="3">
        <f t="shared" si="195"/>
        <v>4.4435908664617073E-2</v>
      </c>
      <c r="N234" s="3">
        <f t="shared" si="195"/>
        <v>4.4435908664617052E-2</v>
      </c>
      <c r="O234" s="3">
        <f t="shared" si="195"/>
        <v>4.4435908664616795E-2</v>
      </c>
      <c r="P234" s="3">
        <f t="shared" si="195"/>
        <v>4.4435908664614193E-2</v>
      </c>
      <c r="Q234" s="3">
        <f t="shared" si="195"/>
        <v>4.4435908664588235E-2</v>
      </c>
      <c r="R234" s="3">
        <f t="shared" si="195"/>
        <v>4.4435908664328637E-2</v>
      </c>
      <c r="S234" s="3">
        <f t="shared" si="195"/>
        <v>4.44359086617327E-2</v>
      </c>
      <c r="T234" s="3">
        <f t="shared" si="195"/>
        <v>4.443590863577325E-2</v>
      </c>
      <c r="U234" s="3">
        <f t="shared" si="195"/>
        <v>4.4435908376178779E-2</v>
      </c>
      <c r="V234" s="3">
        <f t="shared" si="195"/>
        <v>4.4435905780234174E-2</v>
      </c>
      <c r="W234" s="3">
        <f t="shared" si="195"/>
        <v>4.4435879820796449E-2</v>
      </c>
      <c r="X234" s="3">
        <f t="shared" si="195"/>
        <v>4.4435620227253336E-2</v>
      </c>
      <c r="Y234" s="3">
        <f t="shared" si="195"/>
        <v>4.4433024375230411E-2</v>
      </c>
      <c r="Z234" s="3">
        <f t="shared" si="195"/>
        <v>4.4407074194024676E-2</v>
      </c>
      <c r="AA234" s="3">
        <f t="shared" si="195"/>
        <v>4.414840448461621E-2</v>
      </c>
      <c r="AB234" s="3">
        <f t="shared" si="195"/>
        <v>4.1643146793672911E-2</v>
      </c>
      <c r="AC234" s="3">
        <f t="shared" si="195"/>
        <v>2.3218213992241683E-2</v>
      </c>
      <c r="AD234" s="3">
        <f t="shared" si="195"/>
        <v>6.7403353893818796E-5</v>
      </c>
      <c r="AE234" s="3">
        <f t="shared" si="195"/>
        <v>2.8655532318645858E-30</v>
      </c>
      <c r="AF234" s="3">
        <f t="shared" si="195"/>
        <v>5.5268568530082043E-284</v>
      </c>
      <c r="AG234" s="3"/>
      <c r="AH234" s="3"/>
    </row>
    <row r="235" spans="2:34" x14ac:dyDescent="0.25">
      <c r="B235" s="3">
        <f t="shared" ref="B235:AF235" si="196">$C43*EXP(-B$207/$A43/EXP(-$D$126))</f>
        <v>5.224128023540766E-2</v>
      </c>
      <c r="C235" s="3">
        <f t="shared" si="196"/>
        <v>5.224128023540766E-2</v>
      </c>
      <c r="D235" s="3">
        <f t="shared" si="196"/>
        <v>5.224128023540766E-2</v>
      </c>
      <c r="E235" s="3">
        <f t="shared" si="196"/>
        <v>5.224128023540766E-2</v>
      </c>
      <c r="F235" s="3">
        <f t="shared" si="196"/>
        <v>5.224128023540766E-2</v>
      </c>
      <c r="G235" s="3">
        <f t="shared" si="196"/>
        <v>5.224128023540766E-2</v>
      </c>
      <c r="H235" s="3">
        <f t="shared" si="196"/>
        <v>5.224128023540766E-2</v>
      </c>
      <c r="I235" s="3">
        <f t="shared" si="196"/>
        <v>5.224128023540766E-2</v>
      </c>
      <c r="J235" s="3">
        <f t="shared" si="196"/>
        <v>5.224128023540766E-2</v>
      </c>
      <c r="K235" s="3">
        <f t="shared" si="196"/>
        <v>5.224128023540766E-2</v>
      </c>
      <c r="L235" s="3">
        <f t="shared" si="196"/>
        <v>5.224128023540766E-2</v>
      </c>
      <c r="M235" s="3">
        <f t="shared" si="196"/>
        <v>5.224128023540766E-2</v>
      </c>
      <c r="N235" s="3">
        <f t="shared" si="196"/>
        <v>5.2241280235407653E-2</v>
      </c>
      <c r="O235" s="3">
        <f t="shared" si="196"/>
        <v>5.2241280235407625E-2</v>
      </c>
      <c r="P235" s="3">
        <f t="shared" si="196"/>
        <v>5.2241280235407327E-2</v>
      </c>
      <c r="Q235" s="3">
        <f t="shared" si="196"/>
        <v>5.2241280235404267E-2</v>
      </c>
      <c r="R235" s="3">
        <f t="shared" si="196"/>
        <v>5.2241280235373749E-2</v>
      </c>
      <c r="S235" s="3">
        <f t="shared" si="196"/>
        <v>5.2241280235068556E-2</v>
      </c>
      <c r="T235" s="3">
        <f t="shared" si="196"/>
        <v>5.2241280232016622E-2</v>
      </c>
      <c r="U235" s="3">
        <f t="shared" si="196"/>
        <v>5.2241280201497278E-2</v>
      </c>
      <c r="V235" s="3">
        <f t="shared" si="196"/>
        <v>5.2241279896303845E-2</v>
      </c>
      <c r="W235" s="3">
        <f t="shared" si="196"/>
        <v>5.224127684436964E-2</v>
      </c>
      <c r="X235" s="3">
        <f t="shared" si="196"/>
        <v>5.2241246325037377E-2</v>
      </c>
      <c r="Y235" s="3">
        <f t="shared" si="196"/>
        <v>5.2240941132695402E-2</v>
      </c>
      <c r="Z235" s="3">
        <f t="shared" si="196"/>
        <v>5.2237889307334917E-2</v>
      </c>
      <c r="AA235" s="3">
        <f t="shared" si="196"/>
        <v>5.2207380857541286E-2</v>
      </c>
      <c r="AB235" s="3">
        <f t="shared" si="196"/>
        <v>5.1903274624908333E-2</v>
      </c>
      <c r="AC235" s="3">
        <f t="shared" si="196"/>
        <v>4.8957956907152433E-2</v>
      </c>
      <c r="AD235" s="3">
        <f t="shared" si="196"/>
        <v>2.7296599983791813E-2</v>
      </c>
      <c r="AE235" s="3">
        <f t="shared" si="196"/>
        <v>7.9243062770474962E-5</v>
      </c>
      <c r="AF235" s="3">
        <f t="shared" si="196"/>
        <v>3.3689008262481528E-30</v>
      </c>
      <c r="AG235" s="3"/>
      <c r="AH235" s="3"/>
    </row>
    <row r="236" spans="2:34" x14ac:dyDescent="0.25">
      <c r="B236" s="3">
        <f t="shared" ref="B236:AF236" si="197">$C44*EXP(-B$207/$A44/EXP(-$D$126))</f>
        <v>5.759294658465644E-2</v>
      </c>
      <c r="C236" s="3">
        <f t="shared" si="197"/>
        <v>5.759294658465644E-2</v>
      </c>
      <c r="D236" s="3">
        <f t="shared" si="197"/>
        <v>5.759294658465644E-2</v>
      </c>
      <c r="E236" s="3">
        <f t="shared" si="197"/>
        <v>5.759294658465644E-2</v>
      </c>
      <c r="F236" s="3">
        <f t="shared" si="197"/>
        <v>5.759294658465644E-2</v>
      </c>
      <c r="G236" s="3">
        <f t="shared" si="197"/>
        <v>5.759294658465644E-2</v>
      </c>
      <c r="H236" s="3">
        <f t="shared" si="197"/>
        <v>5.759294658465644E-2</v>
      </c>
      <c r="I236" s="3">
        <f t="shared" si="197"/>
        <v>5.759294658465644E-2</v>
      </c>
      <c r="J236" s="3">
        <f t="shared" si="197"/>
        <v>5.759294658465644E-2</v>
      </c>
      <c r="K236" s="3">
        <f t="shared" si="197"/>
        <v>5.759294658465644E-2</v>
      </c>
      <c r="L236" s="3">
        <f t="shared" si="197"/>
        <v>5.759294658465644E-2</v>
      </c>
      <c r="M236" s="3">
        <f t="shared" si="197"/>
        <v>5.759294658465644E-2</v>
      </c>
      <c r="N236" s="3">
        <f t="shared" si="197"/>
        <v>5.759294658465644E-2</v>
      </c>
      <c r="O236" s="3">
        <f t="shared" si="197"/>
        <v>5.7592946584656433E-2</v>
      </c>
      <c r="P236" s="3">
        <f t="shared" si="197"/>
        <v>5.7592946584656399E-2</v>
      </c>
      <c r="Q236" s="3">
        <f t="shared" si="197"/>
        <v>5.7592946584656073E-2</v>
      </c>
      <c r="R236" s="3">
        <f t="shared" si="197"/>
        <v>5.75929465846527E-2</v>
      </c>
      <c r="S236" s="3">
        <f t="shared" si="197"/>
        <v>5.7592946584619054E-2</v>
      </c>
      <c r="T236" s="3">
        <f t="shared" si="197"/>
        <v>5.7592946584282594E-2</v>
      </c>
      <c r="U236" s="3">
        <f t="shared" si="197"/>
        <v>5.7592946580918021E-2</v>
      </c>
      <c r="V236" s="3">
        <f t="shared" si="197"/>
        <v>5.7592946547272234E-2</v>
      </c>
      <c r="W236" s="3">
        <f t="shared" si="197"/>
        <v>5.7592946210814379E-2</v>
      </c>
      <c r="X236" s="3">
        <f t="shared" si="197"/>
        <v>5.7592942846235971E-2</v>
      </c>
      <c r="Y236" s="3">
        <f t="shared" si="197"/>
        <v>5.7592909200462651E-2</v>
      </c>
      <c r="Z236" s="3">
        <f t="shared" si="197"/>
        <v>5.7592572743810549E-2</v>
      </c>
      <c r="AA236" s="3">
        <f t="shared" si="197"/>
        <v>5.7589208285394135E-2</v>
      </c>
      <c r="AB236" s="3">
        <f t="shared" si="197"/>
        <v>5.7555574509356729E-2</v>
      </c>
      <c r="AC236" s="3">
        <f t="shared" si="197"/>
        <v>5.7220315229087014E-2</v>
      </c>
      <c r="AD236" s="3">
        <f t="shared" si="197"/>
        <v>5.3973275240228026E-2</v>
      </c>
      <c r="AE236" s="3">
        <f t="shared" si="197"/>
        <v>3.0092900053849302E-2</v>
      </c>
      <c r="AF236" s="3">
        <f t="shared" si="197"/>
        <v>8.7360827697543673E-5</v>
      </c>
      <c r="AG236" s="3"/>
      <c r="AH236" s="3"/>
    </row>
    <row r="237" spans="2:34" x14ac:dyDescent="0.25">
      <c r="B237" s="3">
        <f t="shared" ref="B237:AF237" si="198">$C45*EXP(-B$207/$A45/EXP(-$D$126))</f>
        <v>5.4172080221644638E-2</v>
      </c>
      <c r="C237" s="3">
        <f t="shared" si="198"/>
        <v>5.4172080221644638E-2</v>
      </c>
      <c r="D237" s="3">
        <f t="shared" si="198"/>
        <v>5.4172080221644638E-2</v>
      </c>
      <c r="E237" s="3">
        <f t="shared" si="198"/>
        <v>5.4172080221644638E-2</v>
      </c>
      <c r="F237" s="3">
        <f t="shared" si="198"/>
        <v>5.4172080221644638E-2</v>
      </c>
      <c r="G237" s="3">
        <f t="shared" si="198"/>
        <v>5.4172080221644638E-2</v>
      </c>
      <c r="H237" s="3">
        <f t="shared" si="198"/>
        <v>5.4172080221644638E-2</v>
      </c>
      <c r="I237" s="3">
        <f t="shared" si="198"/>
        <v>5.4172080221644638E-2</v>
      </c>
      <c r="J237" s="3">
        <f t="shared" si="198"/>
        <v>5.4172080221644638E-2</v>
      </c>
      <c r="K237" s="3">
        <f t="shared" si="198"/>
        <v>5.4172080221644638E-2</v>
      </c>
      <c r="L237" s="3">
        <f t="shared" si="198"/>
        <v>5.4172080221644638E-2</v>
      </c>
      <c r="M237" s="3">
        <f t="shared" si="198"/>
        <v>5.4172080221644638E-2</v>
      </c>
      <c r="N237" s="3">
        <f t="shared" si="198"/>
        <v>5.4172080221644638E-2</v>
      </c>
      <c r="O237" s="3">
        <f t="shared" si="198"/>
        <v>5.4172080221644638E-2</v>
      </c>
      <c r="P237" s="3">
        <f t="shared" si="198"/>
        <v>5.4172080221644631E-2</v>
      </c>
      <c r="Q237" s="3">
        <f t="shared" si="198"/>
        <v>5.4172080221644603E-2</v>
      </c>
      <c r="R237" s="3">
        <f t="shared" si="198"/>
        <v>5.4172080221644291E-2</v>
      </c>
      <c r="S237" s="3">
        <f t="shared" si="198"/>
        <v>5.417208022164112E-2</v>
      </c>
      <c r="T237" s="3">
        <f t="shared" si="198"/>
        <v>5.4172080221609471E-2</v>
      </c>
      <c r="U237" s="3">
        <f t="shared" si="198"/>
        <v>5.4172080221293002E-2</v>
      </c>
      <c r="V237" s="3">
        <f t="shared" si="198"/>
        <v>5.417208021812827E-2</v>
      </c>
      <c r="W237" s="3">
        <f t="shared" si="198"/>
        <v>5.4172080186480953E-2</v>
      </c>
      <c r="X237" s="3">
        <f t="shared" si="198"/>
        <v>5.4172079870007793E-2</v>
      </c>
      <c r="Y237" s="3">
        <f t="shared" si="198"/>
        <v>5.4172076705276302E-2</v>
      </c>
      <c r="Z237" s="3">
        <f t="shared" si="198"/>
        <v>5.417204505797156E-2</v>
      </c>
      <c r="AA237" s="3">
        <f t="shared" si="198"/>
        <v>5.4171728585941055E-2</v>
      </c>
      <c r="AB237" s="3">
        <f t="shared" si="198"/>
        <v>5.4168563967319422E-2</v>
      </c>
      <c r="AC237" s="3">
        <f t="shared" si="198"/>
        <v>5.413692794725615E-2</v>
      </c>
      <c r="AD237" s="3">
        <f t="shared" si="198"/>
        <v>5.38215821679058E-2</v>
      </c>
      <c r="AE237" s="3">
        <f t="shared" si="198"/>
        <v>5.0767407634557317E-2</v>
      </c>
      <c r="AF237" s="3">
        <f t="shared" si="198"/>
        <v>2.8305462604223921E-2</v>
      </c>
      <c r="AG237" s="3"/>
      <c r="AH237" s="3"/>
    </row>
    <row r="238" spans="2:34" x14ac:dyDescent="0.25">
      <c r="B238" s="3">
        <f t="shared" ref="B238:AF238" si="199">$C46*EXP(-B$207/$A46/EXP(-$D$126))</f>
        <v>3.8751330064371987E-2</v>
      </c>
      <c r="C238" s="3">
        <f t="shared" si="199"/>
        <v>3.8751330064371987E-2</v>
      </c>
      <c r="D238" s="3">
        <f t="shared" si="199"/>
        <v>3.8751330064371987E-2</v>
      </c>
      <c r="E238" s="3">
        <f t="shared" si="199"/>
        <v>3.8751330064371987E-2</v>
      </c>
      <c r="F238" s="3">
        <f t="shared" si="199"/>
        <v>3.8751330064371987E-2</v>
      </c>
      <c r="G238" s="3">
        <f t="shared" si="199"/>
        <v>3.8751330064371987E-2</v>
      </c>
      <c r="H238" s="3">
        <f t="shared" si="199"/>
        <v>3.8751330064371987E-2</v>
      </c>
      <c r="I238" s="3">
        <f t="shared" si="199"/>
        <v>3.8751330064371987E-2</v>
      </c>
      <c r="J238" s="3">
        <f t="shared" si="199"/>
        <v>3.8751330064371987E-2</v>
      </c>
      <c r="K238" s="3">
        <f t="shared" si="199"/>
        <v>3.8751330064371987E-2</v>
      </c>
      <c r="L238" s="3">
        <f t="shared" si="199"/>
        <v>3.8751330064371987E-2</v>
      </c>
      <c r="M238" s="3">
        <f t="shared" si="199"/>
        <v>3.8751330064371987E-2</v>
      </c>
      <c r="N238" s="3">
        <f t="shared" si="199"/>
        <v>3.8751330064371987E-2</v>
      </c>
      <c r="O238" s="3">
        <f t="shared" si="199"/>
        <v>3.8751330064371987E-2</v>
      </c>
      <c r="P238" s="3">
        <f t="shared" si="199"/>
        <v>3.8751330064371987E-2</v>
      </c>
      <c r="Q238" s="3">
        <f t="shared" si="199"/>
        <v>3.875133006437198E-2</v>
      </c>
      <c r="R238" s="3">
        <f t="shared" si="199"/>
        <v>3.875133006437196E-2</v>
      </c>
      <c r="S238" s="3">
        <f t="shared" si="199"/>
        <v>3.8751330064371738E-2</v>
      </c>
      <c r="T238" s="3">
        <f t="shared" si="199"/>
        <v>3.8751330064369469E-2</v>
      </c>
      <c r="U238" s="3">
        <f t="shared" si="199"/>
        <v>3.8751330064346834E-2</v>
      </c>
      <c r="V238" s="3">
        <f t="shared" si="199"/>
        <v>3.8751330064120446E-2</v>
      </c>
      <c r="W238" s="3">
        <f t="shared" si="199"/>
        <v>3.8751330061856597E-2</v>
      </c>
      <c r="X238" s="3">
        <f t="shared" si="199"/>
        <v>3.8751330039218081E-2</v>
      </c>
      <c r="Y238" s="3">
        <f t="shared" si="199"/>
        <v>3.8751329812832899E-2</v>
      </c>
      <c r="Z238" s="3">
        <f t="shared" si="199"/>
        <v>3.8751327548981231E-2</v>
      </c>
      <c r="AA238" s="3">
        <f t="shared" si="199"/>
        <v>3.8751304910471747E-2</v>
      </c>
      <c r="AB238" s="3">
        <f t="shared" si="199"/>
        <v>3.8751078526104377E-2</v>
      </c>
      <c r="AC238" s="3">
        <f t="shared" si="199"/>
        <v>3.8748814755168628E-2</v>
      </c>
      <c r="AD238" s="3">
        <f t="shared" si="199"/>
        <v>3.872618431804347E-2</v>
      </c>
      <c r="AE238" s="3">
        <f t="shared" si="199"/>
        <v>3.8500605600556272E-2</v>
      </c>
      <c r="AF238" s="3">
        <f t="shared" si="199"/>
        <v>3.6315839482442575E-2</v>
      </c>
      <c r="AG238" s="3"/>
      <c r="AH238" s="3"/>
    </row>
    <row r="239" spans="2:34" x14ac:dyDescent="0.25">
      <c r="B239" s="3">
        <f t="shared" ref="B239:AF239" si="200">$C47*EXP(-B$207/$A47/EXP(-$D$126))</f>
        <v>2.0828240532986285E-2</v>
      </c>
      <c r="C239" s="3">
        <f t="shared" si="200"/>
        <v>2.0828240532986285E-2</v>
      </c>
      <c r="D239" s="3">
        <f t="shared" si="200"/>
        <v>2.0828240532986285E-2</v>
      </c>
      <c r="E239" s="3">
        <f t="shared" si="200"/>
        <v>2.0828240532986285E-2</v>
      </c>
      <c r="F239" s="3">
        <f t="shared" si="200"/>
        <v>2.0828240532986285E-2</v>
      </c>
      <c r="G239" s="3">
        <f t="shared" si="200"/>
        <v>2.0828240532986285E-2</v>
      </c>
      <c r="H239" s="3">
        <f t="shared" si="200"/>
        <v>2.0828240532986285E-2</v>
      </c>
      <c r="I239" s="3">
        <f t="shared" si="200"/>
        <v>2.0828240532986285E-2</v>
      </c>
      <c r="J239" s="3">
        <f t="shared" si="200"/>
        <v>2.0828240532986285E-2</v>
      </c>
      <c r="K239" s="3">
        <f t="shared" si="200"/>
        <v>2.0828240532986285E-2</v>
      </c>
      <c r="L239" s="3">
        <f t="shared" si="200"/>
        <v>2.0828240532986285E-2</v>
      </c>
      <c r="M239" s="3">
        <f t="shared" si="200"/>
        <v>2.0828240532986285E-2</v>
      </c>
      <c r="N239" s="3">
        <f t="shared" si="200"/>
        <v>2.0828240532986285E-2</v>
      </c>
      <c r="O239" s="3">
        <f t="shared" si="200"/>
        <v>2.0828240532986285E-2</v>
      </c>
      <c r="P239" s="3">
        <f t="shared" si="200"/>
        <v>2.0828240532986285E-2</v>
      </c>
      <c r="Q239" s="3">
        <f t="shared" si="200"/>
        <v>2.0828240532986285E-2</v>
      </c>
      <c r="R239" s="3">
        <f t="shared" si="200"/>
        <v>2.0828240532986281E-2</v>
      </c>
      <c r="S239" s="3">
        <f t="shared" si="200"/>
        <v>2.0828240532986271E-2</v>
      </c>
      <c r="T239" s="3">
        <f t="shared" si="200"/>
        <v>2.082824053298615E-2</v>
      </c>
      <c r="U239" s="3">
        <f t="shared" si="200"/>
        <v>2.0828240532984932E-2</v>
      </c>
      <c r="V239" s="3">
        <f t="shared" si="200"/>
        <v>2.0828240532972764E-2</v>
      </c>
      <c r="W239" s="3">
        <f t="shared" si="200"/>
        <v>2.0828240532851088E-2</v>
      </c>
      <c r="X239" s="3">
        <f t="shared" si="200"/>
        <v>2.08282405316343E-2</v>
      </c>
      <c r="Y239" s="3">
        <f t="shared" si="200"/>
        <v>2.0828240519466447E-2</v>
      </c>
      <c r="Z239" s="3">
        <f t="shared" si="200"/>
        <v>2.0828240397787919E-2</v>
      </c>
      <c r="AA239" s="3">
        <f t="shared" si="200"/>
        <v>2.0828239181002659E-2</v>
      </c>
      <c r="AB239" s="3">
        <f t="shared" si="200"/>
        <v>2.0828227013153969E-2</v>
      </c>
      <c r="AC239" s="3">
        <f t="shared" si="200"/>
        <v>2.082810533505805E-2</v>
      </c>
      <c r="AD239" s="3">
        <f t="shared" si="200"/>
        <v>2.0826888593194402E-2</v>
      </c>
      <c r="AE239" s="3">
        <f t="shared" si="200"/>
        <v>2.0814725083270317E-2</v>
      </c>
      <c r="AF239" s="3">
        <f t="shared" si="200"/>
        <v>2.0693480011703971E-2</v>
      </c>
      <c r="AG239" s="3"/>
      <c r="AH239" s="3"/>
    </row>
    <row r="240" spans="2:34" x14ac:dyDescent="0.25">
      <c r="B240" s="3">
        <f t="shared" ref="B240:AF240" si="201">$C48*EXP(-B$207/$A48/EXP(-$D$126))</f>
        <v>2.990470230026878E-2</v>
      </c>
      <c r="C240" s="3">
        <f t="shared" si="201"/>
        <v>2.990470230026878E-2</v>
      </c>
      <c r="D240" s="3">
        <f t="shared" si="201"/>
        <v>2.990470230026878E-2</v>
      </c>
      <c r="E240" s="3">
        <f t="shared" si="201"/>
        <v>2.990470230026878E-2</v>
      </c>
      <c r="F240" s="3">
        <f t="shared" si="201"/>
        <v>2.990470230026878E-2</v>
      </c>
      <c r="G240" s="3">
        <f t="shared" si="201"/>
        <v>2.990470230026878E-2</v>
      </c>
      <c r="H240" s="3">
        <f t="shared" si="201"/>
        <v>2.990470230026878E-2</v>
      </c>
      <c r="I240" s="3">
        <f t="shared" si="201"/>
        <v>2.990470230026878E-2</v>
      </c>
      <c r="J240" s="3">
        <f t="shared" si="201"/>
        <v>2.990470230026878E-2</v>
      </c>
      <c r="K240" s="3">
        <f t="shared" si="201"/>
        <v>2.990470230026878E-2</v>
      </c>
      <c r="L240" s="3">
        <f t="shared" si="201"/>
        <v>2.990470230026878E-2</v>
      </c>
      <c r="M240" s="3">
        <f t="shared" si="201"/>
        <v>2.990470230026878E-2</v>
      </c>
      <c r="N240" s="3">
        <f t="shared" si="201"/>
        <v>2.990470230026878E-2</v>
      </c>
      <c r="O240" s="3">
        <f t="shared" si="201"/>
        <v>2.990470230026878E-2</v>
      </c>
      <c r="P240" s="3">
        <f t="shared" si="201"/>
        <v>2.990470230026878E-2</v>
      </c>
      <c r="Q240" s="3">
        <f t="shared" si="201"/>
        <v>2.990470230026878E-2</v>
      </c>
      <c r="R240" s="3">
        <f t="shared" si="201"/>
        <v>2.990470230026878E-2</v>
      </c>
      <c r="S240" s="3">
        <f t="shared" si="201"/>
        <v>2.9904702300268777E-2</v>
      </c>
      <c r="T240" s="3">
        <f t="shared" si="201"/>
        <v>2.990470230026876E-2</v>
      </c>
      <c r="U240" s="3">
        <f t="shared" si="201"/>
        <v>2.9904702300268586E-2</v>
      </c>
      <c r="V240" s="3">
        <f t="shared" si="201"/>
        <v>2.9904702300266837E-2</v>
      </c>
      <c r="W240" s="3">
        <f t="shared" si="201"/>
        <v>2.9904702300249369E-2</v>
      </c>
      <c r="X240" s="3">
        <f t="shared" si="201"/>
        <v>2.9904702300074665E-2</v>
      </c>
      <c r="Y240" s="3">
        <f t="shared" si="201"/>
        <v>2.9904702298327635E-2</v>
      </c>
      <c r="Z240" s="3">
        <f t="shared" si="201"/>
        <v>2.9904702280857311E-2</v>
      </c>
      <c r="AA240" s="3">
        <f t="shared" si="201"/>
        <v>2.9904702106154115E-2</v>
      </c>
      <c r="AB240" s="3">
        <f t="shared" si="201"/>
        <v>2.9904700359122204E-2</v>
      </c>
      <c r="AC240" s="3">
        <f t="shared" si="201"/>
        <v>2.9904682888808657E-2</v>
      </c>
      <c r="AD240" s="3">
        <f t="shared" si="201"/>
        <v>2.9904508186234562E-2</v>
      </c>
      <c r="AE240" s="3">
        <f t="shared" si="201"/>
        <v>2.9902761216626109E-2</v>
      </c>
      <c r="AF240" s="3">
        <f t="shared" si="201"/>
        <v>2.988529713257974E-2</v>
      </c>
      <c r="AG240" s="3"/>
      <c r="AH240" s="3"/>
    </row>
    <row r="241" spans="1:34" x14ac:dyDescent="0.25">
      <c r="A241" s="80">
        <f>AVERAGE(B241:AF241)</f>
        <v>5.084583961193578E-3</v>
      </c>
      <c r="B241" s="81">
        <f>IF($A$64&lt;=B207,IF($B$64&gt;=B207,ABS((B209-B208)/B208),0),0)</f>
        <v>6.5438195289835614E-4</v>
      </c>
      <c r="C241" s="81">
        <f t="shared" ref="C241:AF241" si="202">IF($A$64&lt;=C207,IF($B$64&gt;=C207,ABS((C209-C208)/C208),0),0)</f>
        <v>6.611138626024148E-4</v>
      </c>
      <c r="D241" s="81">
        <f t="shared" si="202"/>
        <v>6.6631268315761008E-4</v>
      </c>
      <c r="E241" s="81">
        <f t="shared" si="202"/>
        <v>7.5314292204297663E-4</v>
      </c>
      <c r="F241" s="81">
        <f t="shared" si="202"/>
        <v>1.5553923943251327E-3</v>
      </c>
      <c r="G241" s="81">
        <f t="shared" si="202"/>
        <v>4.2552431043160911E-3</v>
      </c>
      <c r="H241" s="81">
        <f t="shared" si="202"/>
        <v>7.0333568050451767E-4</v>
      </c>
      <c r="I241" s="81">
        <f t="shared" si="202"/>
        <v>1.8396074347512466E-3</v>
      </c>
      <c r="J241" s="81">
        <f t="shared" si="202"/>
        <v>1.8353797141979042E-3</v>
      </c>
      <c r="K241" s="81">
        <f t="shared" si="202"/>
        <v>1.5902708989721907E-3</v>
      </c>
      <c r="L241" s="81">
        <f t="shared" si="202"/>
        <v>2.0510586024981643E-3</v>
      </c>
      <c r="M241" s="81">
        <f t="shared" si="202"/>
        <v>1.9571490253518535E-3</v>
      </c>
      <c r="N241" s="81">
        <f t="shared" si="202"/>
        <v>2.360629401310277E-3</v>
      </c>
      <c r="O241" s="81">
        <f t="shared" si="202"/>
        <v>2.2738068491413056E-3</v>
      </c>
      <c r="P241" s="81">
        <f t="shared" si="202"/>
        <v>2.9015556634487223E-3</v>
      </c>
      <c r="Q241" s="81">
        <f t="shared" si="202"/>
        <v>3.3401364864405186E-3</v>
      </c>
      <c r="R241" s="81">
        <f t="shared" si="202"/>
        <v>3.6493575571750251E-3</v>
      </c>
      <c r="S241" s="81">
        <f t="shared" si="202"/>
        <v>1.5513777398763827E-3</v>
      </c>
      <c r="T241" s="81">
        <f t="shared" si="202"/>
        <v>7.3921533136524688E-3</v>
      </c>
      <c r="U241" s="81">
        <f t="shared" si="202"/>
        <v>1.5831688224081351E-2</v>
      </c>
      <c r="V241" s="81">
        <f t="shared" si="202"/>
        <v>1.6461808044228542E-2</v>
      </c>
      <c r="W241" s="81">
        <f t="shared" si="202"/>
        <v>1.2516560738110367E-2</v>
      </c>
      <c r="X241" s="81">
        <f t="shared" si="202"/>
        <v>9.7488897227820358E-3</v>
      </c>
      <c r="Y241" s="81">
        <f t="shared" si="202"/>
        <v>4.2109010434184576E-3</v>
      </c>
      <c r="Z241" s="81">
        <f t="shared" si="202"/>
        <v>5.8394392815739275E-3</v>
      </c>
      <c r="AA241" s="81">
        <f t="shared" si="202"/>
        <v>1.072449500415298E-3</v>
      </c>
      <c r="AB241" s="81">
        <f t="shared" si="202"/>
        <v>2.3957342013309502E-3</v>
      </c>
      <c r="AC241" s="81">
        <f t="shared" si="202"/>
        <v>5.4862529357911707E-3</v>
      </c>
      <c r="AD241" s="81">
        <f t="shared" si="202"/>
        <v>9.2024883839651409E-3</v>
      </c>
      <c r="AE241" s="81">
        <f t="shared" si="202"/>
        <v>1.4055771008485202E-2</v>
      </c>
      <c r="AF241" s="81">
        <f t="shared" si="202"/>
        <v>1.8808714426155278E-2</v>
      </c>
    </row>
    <row r="242" spans="1:34" x14ac:dyDescent="0.25">
      <c r="B242" s="21">
        <f>(B209-B208)^2</f>
        <v>13.496841455811548</v>
      </c>
      <c r="C242" s="21">
        <f t="shared" ref="C242:AF242" si="203">(C209-C208)^2</f>
        <v>13.776099072039127</v>
      </c>
      <c r="D242" s="21">
        <f t="shared" si="203"/>
        <v>13.993231243964676</v>
      </c>
      <c r="E242" s="21">
        <f t="shared" si="203"/>
        <v>17.874301170410192</v>
      </c>
      <c r="F242" s="21">
        <f t="shared" si="203"/>
        <v>76.086832608323519</v>
      </c>
      <c r="G242" s="21">
        <f t="shared" si="203"/>
        <v>559.96927229044093</v>
      </c>
      <c r="H242" s="21">
        <f t="shared" si="203"/>
        <v>14.380597411247139</v>
      </c>
      <c r="I242" s="21">
        <f t="shared" si="203"/>
        <v>94.12271372186666</v>
      </c>
      <c r="J242" s="21">
        <f t="shared" si="203"/>
        <v>89.939883828576995</v>
      </c>
      <c r="K242" s="21">
        <f t="shared" si="203"/>
        <v>64.404552306438774</v>
      </c>
      <c r="L242" s="21">
        <f t="shared" si="203"/>
        <v>101.85926725078589</v>
      </c>
      <c r="M242" s="21">
        <f t="shared" si="203"/>
        <v>87.468767514496307</v>
      </c>
      <c r="N242" s="21">
        <f t="shared" si="203"/>
        <v>119.19189580143527</v>
      </c>
      <c r="O242" s="21">
        <f t="shared" si="203"/>
        <v>103.04851239971885</v>
      </c>
      <c r="P242" s="21">
        <f t="shared" si="203"/>
        <v>156.49187875813752</v>
      </c>
      <c r="Q242" s="21">
        <f t="shared" si="203"/>
        <v>192.39211333862499</v>
      </c>
      <c r="R242" s="21">
        <f t="shared" si="203"/>
        <v>208.62984243848564</v>
      </c>
      <c r="S242" s="21">
        <f t="shared" si="203"/>
        <v>33.495781837602436</v>
      </c>
      <c r="T242" s="21">
        <f t="shared" si="203"/>
        <v>669.41503344148441</v>
      </c>
      <c r="U242" s="21">
        <f t="shared" si="203"/>
        <v>2711.93386328424</v>
      </c>
      <c r="V242" s="21">
        <f t="shared" si="203"/>
        <v>2579.5238460552059</v>
      </c>
      <c r="W242" s="21">
        <f t="shared" si="203"/>
        <v>1322.4340290369175</v>
      </c>
      <c r="X242" s="21">
        <f t="shared" si="203"/>
        <v>709.84918092528494</v>
      </c>
      <c r="Y242" s="21">
        <f t="shared" si="203"/>
        <v>116.95120519459218</v>
      </c>
      <c r="Z242" s="21">
        <f t="shared" si="203"/>
        <v>194.14405018598958</v>
      </c>
      <c r="AA242" s="21">
        <f t="shared" si="203"/>
        <v>5.5503721127780725</v>
      </c>
      <c r="AB242" s="21">
        <f t="shared" si="203"/>
        <v>22.669913228548928</v>
      </c>
      <c r="AC242" s="21">
        <f t="shared" si="203"/>
        <v>92.85708576800684</v>
      </c>
      <c r="AD242" s="21">
        <f t="shared" si="203"/>
        <v>187.61917560383029</v>
      </c>
      <c r="AE242" s="21">
        <f t="shared" si="203"/>
        <v>277.74122854452952</v>
      </c>
      <c r="AF242" s="21">
        <f t="shared" si="203"/>
        <v>272.38027745470265</v>
      </c>
      <c r="AG242" s="3"/>
      <c r="AH242" s="3"/>
    </row>
    <row r="243" spans="1:34" x14ac:dyDescent="0.25">
      <c r="A243" s="72">
        <f>SUM(B243:AF243)</f>
        <v>11123.691645284516</v>
      </c>
      <c r="B243" s="60">
        <f>IF($A$64&lt;=B207,IF($B$64&gt;=B207,ABS(B242),0),0)</f>
        <v>13.496841455811548</v>
      </c>
      <c r="C243" s="60">
        <f t="shared" ref="C243" si="204">IF($A$64&lt;=C207,IF($B$64&gt;=C207,ABS(C242),0),0)</f>
        <v>13.776099072039127</v>
      </c>
      <c r="D243" s="60">
        <f t="shared" ref="D243" si="205">IF($A$64&lt;=D207,IF($B$64&gt;=D207,ABS(D242),0),0)</f>
        <v>13.993231243964676</v>
      </c>
      <c r="E243" s="60">
        <f t="shared" ref="E243" si="206">IF($A$64&lt;=E207,IF($B$64&gt;=E207,ABS(E242),0),0)</f>
        <v>17.874301170410192</v>
      </c>
      <c r="F243" s="60">
        <f t="shared" ref="F243" si="207">IF($A$64&lt;=F207,IF($B$64&gt;=F207,ABS(F242),0),0)</f>
        <v>76.086832608323519</v>
      </c>
      <c r="G243" s="60">
        <f t="shared" ref="G243" si="208">IF($A$64&lt;=G207,IF($B$64&gt;=G207,ABS(G242),0),0)</f>
        <v>559.96927229044093</v>
      </c>
      <c r="H243" s="60">
        <f t="shared" ref="H243" si="209">IF($A$64&lt;=H207,IF($B$64&gt;=H207,ABS(H242),0),0)</f>
        <v>14.380597411247139</v>
      </c>
      <c r="I243" s="60">
        <f t="shared" ref="I243" si="210">IF($A$64&lt;=I207,IF($B$64&gt;=I207,ABS(I242),0),0)</f>
        <v>94.12271372186666</v>
      </c>
      <c r="J243" s="60">
        <f t="shared" ref="J243" si="211">IF($A$64&lt;=J207,IF($B$64&gt;=J207,ABS(J242),0),0)</f>
        <v>89.939883828576995</v>
      </c>
      <c r="K243" s="60">
        <f t="shared" ref="K243" si="212">IF($A$64&lt;=K207,IF($B$64&gt;=K207,ABS(K242),0),0)</f>
        <v>64.404552306438774</v>
      </c>
      <c r="L243" s="60">
        <f t="shared" ref="L243" si="213">IF($A$64&lt;=L207,IF($B$64&gt;=L207,ABS(L242),0),0)</f>
        <v>101.85926725078589</v>
      </c>
      <c r="M243" s="60">
        <f t="shared" ref="M243" si="214">IF($A$64&lt;=M207,IF($B$64&gt;=M207,ABS(M242),0),0)</f>
        <v>87.468767514496307</v>
      </c>
      <c r="N243" s="60">
        <f t="shared" ref="N243" si="215">IF($A$64&lt;=N207,IF($B$64&gt;=N207,ABS(N242),0),0)</f>
        <v>119.19189580143527</v>
      </c>
      <c r="O243" s="60">
        <f t="shared" ref="O243" si="216">IF($A$64&lt;=O207,IF($B$64&gt;=O207,ABS(O242),0),0)</f>
        <v>103.04851239971885</v>
      </c>
      <c r="P243" s="60">
        <f t="shared" ref="P243" si="217">IF($A$64&lt;=P207,IF($B$64&gt;=P207,ABS(P242),0),0)</f>
        <v>156.49187875813752</v>
      </c>
      <c r="Q243" s="60">
        <f t="shared" ref="Q243" si="218">IF($A$64&lt;=Q207,IF($B$64&gt;=Q207,ABS(Q242),0),0)</f>
        <v>192.39211333862499</v>
      </c>
      <c r="R243" s="60">
        <f t="shared" ref="R243" si="219">IF($A$64&lt;=R207,IF($B$64&gt;=R207,ABS(R242),0),0)</f>
        <v>208.62984243848564</v>
      </c>
      <c r="S243" s="60">
        <f t="shared" ref="S243" si="220">IF($A$64&lt;=S207,IF($B$64&gt;=S207,ABS(S242),0),0)</f>
        <v>33.495781837602436</v>
      </c>
      <c r="T243" s="60">
        <f t="shared" ref="T243" si="221">IF($A$64&lt;=T207,IF($B$64&gt;=T207,ABS(T242),0),0)</f>
        <v>669.41503344148441</v>
      </c>
      <c r="U243" s="60">
        <f t="shared" ref="U243" si="222">IF($A$64&lt;=U207,IF($B$64&gt;=U207,ABS(U242),0),0)</f>
        <v>2711.93386328424</v>
      </c>
      <c r="V243" s="60">
        <f t="shared" ref="V243" si="223">IF($A$64&lt;=V207,IF($B$64&gt;=V207,ABS(V242),0),0)</f>
        <v>2579.5238460552059</v>
      </c>
      <c r="W243" s="60">
        <f t="shared" ref="W243" si="224">IF($A$64&lt;=W207,IF($B$64&gt;=W207,ABS(W242),0),0)</f>
        <v>1322.4340290369175</v>
      </c>
      <c r="X243" s="60">
        <f t="shared" ref="X243" si="225">IF($A$64&lt;=X207,IF($B$64&gt;=X207,ABS(X242),0),0)</f>
        <v>709.84918092528494</v>
      </c>
      <c r="Y243" s="60">
        <f t="shared" ref="Y243" si="226">IF($A$64&lt;=Y207,IF($B$64&gt;=Y207,ABS(Y242),0),0)</f>
        <v>116.95120519459218</v>
      </c>
      <c r="Z243" s="60">
        <f t="shared" ref="Z243" si="227">IF($A$64&lt;=Z207,IF($B$64&gt;=Z207,ABS(Z242),0),0)</f>
        <v>194.14405018598958</v>
      </c>
      <c r="AA243" s="60">
        <f t="shared" ref="AA243" si="228">IF($A$64&lt;=AA207,IF($B$64&gt;=AA207,ABS(AA242),0),0)</f>
        <v>5.5503721127780725</v>
      </c>
      <c r="AB243" s="60">
        <f t="shared" ref="AB243" si="229">IF($A$64&lt;=AB207,IF($B$64&gt;=AB207,ABS(AB242),0),0)</f>
        <v>22.669913228548928</v>
      </c>
      <c r="AC243" s="60">
        <f t="shared" ref="AC243" si="230">IF($A$64&lt;=AC207,IF($B$64&gt;=AC207,ABS(AC242),0),0)</f>
        <v>92.85708576800684</v>
      </c>
      <c r="AD243" s="60">
        <f t="shared" ref="AD243" si="231">IF($A$64&lt;=AD207,IF($B$64&gt;=AD207,ABS(AD242),0),0)</f>
        <v>187.61917560383029</v>
      </c>
      <c r="AE243" s="60">
        <f t="shared" ref="AE243" si="232">IF($A$64&lt;=AE207,IF($B$64&gt;=AE207,ABS(AE242),0),0)</f>
        <v>277.74122854452952</v>
      </c>
      <c r="AF243" s="60">
        <f t="shared" ref="AF243" si="233">IF($A$64&lt;=AF207,IF($B$64&gt;=AF207,ABS(AF242),0),0)</f>
        <v>272.38027745470265</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70" t="s">
        <v>27</v>
      </c>
      <c r="B245" s="11">
        <f>INDEX($D$1:$M$1,1,$E$122)</f>
        <v>50</v>
      </c>
    </row>
    <row r="246" spans="1:34" x14ac:dyDescent="0.25">
      <c r="A246" s="70"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5608.5595412821331</v>
      </c>
      <c r="C247" s="26">
        <f>INDEX(Comparison!$AM$3:$AS$33,G$14,$E$122)</f>
        <v>5607.5578036030483</v>
      </c>
      <c r="D247" s="26">
        <f>INDEX(Comparison!$AM$3:$AS$33,H$14,$E$122)</f>
        <v>5597.5650860558781</v>
      </c>
      <c r="E247" s="26">
        <f>INDEX(Comparison!$AM$3:$AS$33,I$14,$E$122)</f>
        <v>5515.87592015054</v>
      </c>
      <c r="F247" s="26">
        <f>INDEX(Comparison!$AM$3:$AS$33,J$14,$E$122)</f>
        <v>5354.4297457358771</v>
      </c>
      <c r="G247" s="26">
        <f>INDEX(Comparison!$AM$3:$AS$33,K$14,$E$122)</f>
        <v>5243.0021702463746</v>
      </c>
      <c r="H247" s="26">
        <f>INDEX(Comparison!$AM$3:$AS$33,L$14,$E$122)</f>
        <v>5133.7176502815901</v>
      </c>
      <c r="I247" s="26">
        <f>INDEX(Comparison!$AM$3:$AS$33,M$14,$E$122)</f>
        <v>5011.8758976932013</v>
      </c>
      <c r="J247" s="26">
        <f>INDEX(Comparison!$AM$3:$AS$33,N$14,$E$122)</f>
        <v>4882.7230333645084</v>
      </c>
      <c r="K247" s="26">
        <f>INDEX(Comparison!$AM$3:$AS$33,O$14,$E$122)</f>
        <v>4737.6825060207148</v>
      </c>
      <c r="L247" s="26">
        <f>INDEX(Comparison!$AM$3:$AS$33,P$14,$E$122)</f>
        <v>4581.7042756516666</v>
      </c>
      <c r="M247" s="26">
        <f>INDEX(Comparison!$AM$3:$AS$33,Q$14,$E$122)</f>
        <v>4422.8560767502513</v>
      </c>
      <c r="N247" s="26">
        <f>INDEX(Comparison!$AM$3:$AS$33,R$14,$E$122)</f>
        <v>4270.4317526073974</v>
      </c>
      <c r="O247" s="26">
        <f>INDEX(Comparison!$AM$3:$AS$33,S$14,$E$122)</f>
        <v>4104.9210309366072</v>
      </c>
      <c r="P247" s="26">
        <f>INDEX(Comparison!$AM$3:$AS$33,T$14,$E$122)</f>
        <v>3904.1870554469519</v>
      </c>
      <c r="Q247" s="26">
        <f>INDEX(Comparison!$AM$3:$AS$33,U$14,$E$122)</f>
        <v>3689.3430627142566</v>
      </c>
      <c r="R247" s="26">
        <f>INDEX(Comparison!$AM$3:$AS$33,V$14,$E$122)</f>
        <v>3495.8611800317371</v>
      </c>
      <c r="S247" s="26">
        <f>INDEX(Comparison!$AM$3:$AS$33,W$14,$E$122)</f>
        <v>3307.8943029856523</v>
      </c>
      <c r="T247" s="26">
        <f>INDEX(Comparison!$AM$3:$AS$33,X$14,$E$122)</f>
        <v>3103.7900841852515</v>
      </c>
      <c r="U247" s="26">
        <f>INDEX(Comparison!$AM$3:$AS$33,Y$14,$E$122)</f>
        <v>2911.6115267339505</v>
      </c>
      <c r="V247" s="26">
        <f>INDEX(Comparison!$AM$3:$AS$33,Z$14,$E$122)</f>
        <v>2729.2195894835777</v>
      </c>
      <c r="W247" s="26">
        <f>INDEX(Comparison!$AM$3:$AS$33,AA$14,$E$122)</f>
        <v>2550.726219448276</v>
      </c>
      <c r="X247" s="26">
        <f>INDEX(Comparison!$AM$3:$AS$33,AB$14,$E$122)</f>
        <v>2358.1438044871866</v>
      </c>
      <c r="Y247" s="26">
        <f>INDEX(Comparison!$AM$3:$AS$33,AC$14,$E$122)</f>
        <v>2158.239452794789</v>
      </c>
      <c r="Z247" s="26">
        <f>INDEX(Comparison!$AM$3:$AS$33,AD$14,$E$122)</f>
        <v>1939.4329282086981</v>
      </c>
      <c r="AA247" s="26">
        <f>INDEX(Comparison!$AM$3:$AS$33,AE$14,$E$122)</f>
        <v>1697.1946565213088</v>
      </c>
      <c r="AB247" s="26">
        <f>INDEX(Comparison!$AM$3:$AS$33,AF$14,$E$122)</f>
        <v>1417.4356606109552</v>
      </c>
      <c r="AC247" s="26">
        <f>INDEX(Comparison!$AM$3:$AS$33,AG$14,$E$122)</f>
        <v>1107.9541803332813</v>
      </c>
      <c r="AD247" s="26">
        <f>INDEX(Comparison!$AM$3:$AS$33,AH$14,$E$122)</f>
        <v>805.95331833639966</v>
      </c>
      <c r="AE247" s="26">
        <f>INDEX(Comparison!$AM$3:$AS$33,AI$14,$E$122)</f>
        <v>565.79561192848462</v>
      </c>
      <c r="AF247" s="26">
        <f>INDEX(Comparison!$AM$3:$AS$33,AJ$14,$E$122)</f>
        <v>408.65393596789795</v>
      </c>
      <c r="AG247" s="26"/>
      <c r="AH247" s="26"/>
    </row>
    <row r="248" spans="1:34" x14ac:dyDescent="0.25">
      <c r="A248" s="71" t="s">
        <v>22</v>
      </c>
      <c r="B248" s="27">
        <f>($C$17+SUM(B249:B279))*$B$51</f>
        <v>5610.3058084984023</v>
      </c>
      <c r="C248" s="27">
        <f t="shared" ref="C248:AF248" si="234">($C$17+SUM(C249:C279))*$B$51</f>
        <v>5608.6892682356674</v>
      </c>
      <c r="D248" s="27">
        <f t="shared" si="234"/>
        <v>5593.8596477001483</v>
      </c>
      <c r="E248" s="27">
        <f t="shared" si="234"/>
        <v>5516.8365133136585</v>
      </c>
      <c r="F248" s="27">
        <f t="shared" si="234"/>
        <v>5354.2990496660796</v>
      </c>
      <c r="G248" s="27">
        <f t="shared" si="234"/>
        <v>5243.027562002605</v>
      </c>
      <c r="H248" s="27">
        <f t="shared" si="234"/>
        <v>5133.7185504438348</v>
      </c>
      <c r="I248" s="27">
        <f t="shared" si="234"/>
        <v>5011.8917305018877</v>
      </c>
      <c r="J248" s="27">
        <f t="shared" si="234"/>
        <v>4882.7200661893457</v>
      </c>
      <c r="K248" s="27">
        <f t="shared" si="234"/>
        <v>4737.7185145742233</v>
      </c>
      <c r="L248" s="27">
        <f t="shared" si="234"/>
        <v>4581.6566531485541</v>
      </c>
      <c r="M248" s="27">
        <f t="shared" si="234"/>
        <v>4422.9630085580302</v>
      </c>
      <c r="N248" s="27">
        <f t="shared" si="234"/>
        <v>4270.319303904168</v>
      </c>
      <c r="O248" s="27">
        <f t="shared" si="234"/>
        <v>4105.0581512089948</v>
      </c>
      <c r="P248" s="27">
        <f t="shared" si="234"/>
        <v>3904.0864392926951</v>
      </c>
      <c r="Q248" s="27">
        <f t="shared" si="234"/>
        <v>3689.4451671438674</v>
      </c>
      <c r="R248" s="27">
        <f t="shared" si="234"/>
        <v>3495.8103184496945</v>
      </c>
      <c r="S248" s="27">
        <f t="shared" si="234"/>
        <v>3307.9379874540859</v>
      </c>
      <c r="T248" s="27">
        <f t="shared" si="234"/>
        <v>3103.7862446448185</v>
      </c>
      <c r="U248" s="27">
        <f t="shared" si="234"/>
        <v>2911.6249895111341</v>
      </c>
      <c r="V248" s="27">
        <f t="shared" si="234"/>
        <v>2729.2302858435883</v>
      </c>
      <c r="W248" s="27">
        <f t="shared" si="234"/>
        <v>2550.7281606107422</v>
      </c>
      <c r="X248" s="27">
        <f t="shared" si="234"/>
        <v>2358.1674473507396</v>
      </c>
      <c r="Y248" s="27">
        <f t="shared" si="234"/>
        <v>2158.2384757400391</v>
      </c>
      <c r="Z248" s="27">
        <f t="shared" si="234"/>
        <v>1939.4603057260665</v>
      </c>
      <c r="AA248" s="27">
        <f t="shared" si="234"/>
        <v>1697.1999376006947</v>
      </c>
      <c r="AB248" s="27">
        <f t="shared" si="234"/>
        <v>1417.4617759573853</v>
      </c>
      <c r="AC248" s="27">
        <f t="shared" si="234"/>
        <v>1107.9680138589526</v>
      </c>
      <c r="AD248" s="27">
        <f t="shared" si="234"/>
        <v>805.977010612566</v>
      </c>
      <c r="AE248" s="27">
        <f t="shared" si="234"/>
        <v>565.80187902111481</v>
      </c>
      <c r="AF248" s="27">
        <f t="shared" si="234"/>
        <v>408.6645179844561</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0</v>
      </c>
      <c r="C250" s="3">
        <f t="shared" si="236"/>
        <v>0</v>
      </c>
      <c r="D250" s="3">
        <f t="shared" si="236"/>
        <v>0</v>
      </c>
      <c r="E250" s="3">
        <f t="shared" si="236"/>
        <v>0</v>
      </c>
      <c r="F250" s="3">
        <f t="shared" si="236"/>
        <v>0</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1.0540855940429784E-2</v>
      </c>
      <c r="C251" s="3">
        <f t="shared" si="237"/>
        <v>1.0323934868302721E-2</v>
      </c>
      <c r="D251" s="3">
        <f t="shared" si="237"/>
        <v>8.385694496672683E-3</v>
      </c>
      <c r="E251" s="3">
        <f t="shared" si="237"/>
        <v>1.0482788895299457E-3</v>
      </c>
      <c r="F251" s="3">
        <f t="shared" si="237"/>
        <v>9.7691072162049579E-13</v>
      </c>
      <c r="G251" s="3">
        <f t="shared" si="237"/>
        <v>4.8265325185559E-103</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3.6090155230445391E-2</v>
      </c>
      <c r="C252" s="3">
        <f t="shared" si="238"/>
        <v>3.6022521796692991E-2</v>
      </c>
      <c r="D252" s="3">
        <f t="shared" si="238"/>
        <v>3.5353119442061369E-2</v>
      </c>
      <c r="E252" s="3">
        <f t="shared" si="238"/>
        <v>2.9306504237742614E-2</v>
      </c>
      <c r="F252" s="3">
        <f t="shared" si="238"/>
        <v>4.4908317970066142E-3</v>
      </c>
      <c r="G252" s="3">
        <f t="shared" si="238"/>
        <v>3.2059334445414465E-11</v>
      </c>
      <c r="H252" s="3">
        <f t="shared" si="238"/>
        <v>1.1021269788600149E-92</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1.7961070916972657E-2</v>
      </c>
      <c r="C253" s="3">
        <f t="shared" si="239"/>
        <v>1.7958031977728342E-2</v>
      </c>
      <c r="D253" s="3">
        <f t="shared" si="239"/>
        <v>1.7927670850616029E-2</v>
      </c>
      <c r="E253" s="3">
        <f t="shared" si="239"/>
        <v>1.7626868496094215E-2</v>
      </c>
      <c r="F253" s="3">
        <f t="shared" si="239"/>
        <v>1.4882918699215585E-2</v>
      </c>
      <c r="G253" s="3">
        <f t="shared" si="239"/>
        <v>2.7404227093902537E-3</v>
      </c>
      <c r="H253" s="3">
        <f t="shared" si="239"/>
        <v>1.2277559348634603E-10</v>
      </c>
      <c r="I253" s="3">
        <f t="shared" si="239"/>
        <v>3.9999713973368152E-84</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2.038217469410343E-2</v>
      </c>
      <c r="C254" s="3">
        <f t="shared" si="240"/>
        <v>2.038186357954876E-2</v>
      </c>
      <c r="D254" s="3">
        <f t="shared" si="240"/>
        <v>2.0378752695177874E-2</v>
      </c>
      <c r="E254" s="3">
        <f t="shared" si="240"/>
        <v>2.0347669954304905E-2</v>
      </c>
      <c r="F254" s="3">
        <f t="shared" si="240"/>
        <v>2.0039438146956426E-2</v>
      </c>
      <c r="G254" s="3">
        <f t="shared" si="240"/>
        <v>1.7202600494964963E-2</v>
      </c>
      <c r="H254" s="3">
        <f t="shared" si="240"/>
        <v>3.7383480317304484E-3</v>
      </c>
      <c r="I254" s="3">
        <f t="shared" si="240"/>
        <v>8.780838756899248E-10</v>
      </c>
      <c r="J254" s="3">
        <f t="shared" si="240"/>
        <v>4.4884740345901771E-76</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2.3191769552679369E-2</v>
      </c>
      <c r="C255" s="3">
        <f t="shared" si="241"/>
        <v>2.3191737618680704E-2</v>
      </c>
      <c r="D255" s="3">
        <f t="shared" si="241"/>
        <v>2.3191418281112503E-2</v>
      </c>
      <c r="E255" s="3">
        <f t="shared" si="241"/>
        <v>2.3188225147261207E-2</v>
      </c>
      <c r="F255" s="3">
        <f t="shared" si="241"/>
        <v>2.3156317979505254E-2</v>
      </c>
      <c r="G255" s="3">
        <f t="shared" si="241"/>
        <v>2.2839651108513256E-2</v>
      </c>
      <c r="H255" s="3">
        <f t="shared" si="241"/>
        <v>1.9901649535774613E-2</v>
      </c>
      <c r="I255" s="3">
        <f t="shared" si="241"/>
        <v>5.0220977395462798E-3</v>
      </c>
      <c r="J255" s="3">
        <f t="shared" si="241"/>
        <v>5.2583080609908286E-9</v>
      </c>
      <c r="K255" s="3">
        <f t="shared" si="241"/>
        <v>8.3263503036754854E-69</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2.3748702436554591E-2</v>
      </c>
      <c r="C256" s="3">
        <f t="shared" si="242"/>
        <v>2.3748699486662264E-2</v>
      </c>
      <c r="D256" s="3">
        <f t="shared" si="242"/>
        <v>2.3748669987759114E-2</v>
      </c>
      <c r="E256" s="3">
        <f t="shared" si="242"/>
        <v>2.374837500074287E-2</v>
      </c>
      <c r="F256" s="3">
        <f t="shared" si="242"/>
        <v>2.3745425332098051E-2</v>
      </c>
      <c r="G256" s="3">
        <f t="shared" si="242"/>
        <v>2.3715948788153033E-2</v>
      </c>
      <c r="H256" s="3">
        <f t="shared" si="242"/>
        <v>2.3423188372455508E-2</v>
      </c>
      <c r="I256" s="3">
        <f t="shared" si="242"/>
        <v>2.0687169991413224E-2</v>
      </c>
      <c r="J256" s="3">
        <f t="shared" si="242"/>
        <v>5.9738154820383324E-3</v>
      </c>
      <c r="K256" s="3">
        <f t="shared" si="242"/>
        <v>2.4085685609331428E-8</v>
      </c>
      <c r="L256" s="3">
        <f t="shared" si="242"/>
        <v>2.7342051971255197E-62</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2.8130744618827353E-2</v>
      </c>
      <c r="C257" s="3">
        <f t="shared" si="243"/>
        <v>2.813074430362161E-2</v>
      </c>
      <c r="D257" s="3">
        <f t="shared" si="243"/>
        <v>2.8130741151564369E-2</v>
      </c>
      <c r="E257" s="3">
        <f t="shared" si="243"/>
        <v>2.8130709631011389E-2</v>
      </c>
      <c r="F257" s="3">
        <f t="shared" si="243"/>
        <v>2.8130394427424134E-2</v>
      </c>
      <c r="G257" s="3">
        <f t="shared" si="243"/>
        <v>2.812724258579654E-2</v>
      </c>
      <c r="H257" s="3">
        <f t="shared" si="243"/>
        <v>2.8095743585963496E-2</v>
      </c>
      <c r="I257" s="3">
        <f t="shared" si="243"/>
        <v>2.7782687206208644E-2</v>
      </c>
      <c r="J257" s="3">
        <f t="shared" si="243"/>
        <v>2.4837703400389287E-2</v>
      </c>
      <c r="K257" s="3">
        <f t="shared" si="243"/>
        <v>8.0999681102229236E-3</v>
      </c>
      <c r="L257" s="3">
        <f t="shared" si="243"/>
        <v>1.1020518631224611E-7</v>
      </c>
      <c r="M257" s="3">
        <f t="shared" si="243"/>
        <v>2.3954619329822446E-56</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2.9651765358163561E-2</v>
      </c>
      <c r="C258" s="3">
        <f t="shared" si="244"/>
        <v>2.9651765328191949E-2</v>
      </c>
      <c r="D258" s="3">
        <f t="shared" si="244"/>
        <v>2.9651765028475875E-2</v>
      </c>
      <c r="E258" s="3">
        <f t="shared" si="244"/>
        <v>2.9651762031315268E-2</v>
      </c>
      <c r="F258" s="3">
        <f t="shared" si="244"/>
        <v>2.9651732059725877E-2</v>
      </c>
      <c r="G258" s="3">
        <f t="shared" si="244"/>
        <v>2.965143234549817E-2</v>
      </c>
      <c r="H258" s="3">
        <f t="shared" si="244"/>
        <v>2.9648435369836138E-2</v>
      </c>
      <c r="I258" s="3">
        <f t="shared" si="244"/>
        <v>2.9618482268489132E-2</v>
      </c>
      <c r="J258" s="3">
        <f t="shared" si="244"/>
        <v>2.9320610570233732E-2</v>
      </c>
      <c r="K258" s="3">
        <f t="shared" si="244"/>
        <v>2.6501783653973134E-2</v>
      </c>
      <c r="L258" s="3">
        <f t="shared" si="244"/>
        <v>9.6448627014402693E-3</v>
      </c>
      <c r="M258" s="3">
        <f t="shared" si="244"/>
        <v>3.9310222607296646E-7</v>
      </c>
      <c r="N258" s="3">
        <f t="shared" si="244"/>
        <v>4.9727890693763241E-51</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3.0087522375553531E-2</v>
      </c>
      <c r="C259" s="3">
        <f t="shared" si="245"/>
        <v>3.0087522372810108E-2</v>
      </c>
      <c r="D259" s="3">
        <f t="shared" si="245"/>
        <v>3.0087522345375893E-2</v>
      </c>
      <c r="E259" s="3">
        <f t="shared" si="245"/>
        <v>3.0087522071033768E-2</v>
      </c>
      <c r="F259" s="3">
        <f t="shared" si="245"/>
        <v>3.0087519327612632E-2</v>
      </c>
      <c r="G259" s="3">
        <f t="shared" si="245"/>
        <v>3.0087491893415003E-2</v>
      </c>
      <c r="H259" s="3">
        <f t="shared" si="245"/>
        <v>3.0087217552814564E-2</v>
      </c>
      <c r="I259" s="3">
        <f t="shared" si="245"/>
        <v>3.008447428438691E-2</v>
      </c>
      <c r="J259" s="3">
        <f t="shared" si="245"/>
        <v>3.0057055353143371E-2</v>
      </c>
      <c r="K259" s="3">
        <f t="shared" si="245"/>
        <v>2.9784236715430231E-2</v>
      </c>
      <c r="L259" s="3">
        <f t="shared" si="245"/>
        <v>2.7188604180316663E-2</v>
      </c>
      <c r="M259" s="3">
        <f t="shared" si="245"/>
        <v>1.0924241321511534E-2</v>
      </c>
      <c r="N259" s="3">
        <f t="shared" si="245"/>
        <v>1.1979398633752964E-6</v>
      </c>
      <c r="O259" s="3">
        <f t="shared" si="245"/>
        <v>3.0121204430649249E-46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2.6649166628985886E-2</v>
      </c>
      <c r="C260" s="3">
        <f t="shared" si="246"/>
        <v>2.664916662876669E-2</v>
      </c>
      <c r="D260" s="3">
        <f t="shared" si="246"/>
        <v>2.6649166626574711E-2</v>
      </c>
      <c r="E260" s="3">
        <f t="shared" si="246"/>
        <v>2.6649166604654925E-2</v>
      </c>
      <c r="F260" s="3">
        <f t="shared" si="246"/>
        <v>2.6649166385457071E-2</v>
      </c>
      <c r="G260" s="3">
        <f t="shared" si="246"/>
        <v>2.6649164193478622E-2</v>
      </c>
      <c r="H260" s="3">
        <f t="shared" si="246"/>
        <v>2.6649142273704046E-2</v>
      </c>
      <c r="I260" s="3">
        <f t="shared" si="246"/>
        <v>2.6648923076949931E-2</v>
      </c>
      <c r="J260" s="3">
        <f t="shared" si="246"/>
        <v>2.664673120856887E-2</v>
      </c>
      <c r="K260" s="3">
        <f t="shared" si="246"/>
        <v>2.6624822437751564E-2</v>
      </c>
      <c r="L260" s="3">
        <f t="shared" si="246"/>
        <v>2.6406723018645922E-2</v>
      </c>
      <c r="M260" s="3">
        <f t="shared" si="246"/>
        <v>2.4321615040141964E-2</v>
      </c>
      <c r="N260" s="3">
        <f t="shared" si="246"/>
        <v>1.0684923353214299E-2</v>
      </c>
      <c r="O260" s="3">
        <f t="shared" si="246"/>
        <v>2.8612869921471087E-6</v>
      </c>
      <c r="P260" s="3">
        <f t="shared" si="246"/>
        <v>5.4257716726883329E-42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3.2769511002712221E-2</v>
      </c>
      <c r="C261" s="3">
        <f t="shared" si="247"/>
        <v>3.2769511002687907E-2</v>
      </c>
      <c r="D261" s="3">
        <f t="shared" si="247"/>
        <v>3.2769511002444761E-2</v>
      </c>
      <c r="E261" s="3">
        <f t="shared" si="247"/>
        <v>3.2769511000013289E-2</v>
      </c>
      <c r="F261" s="3">
        <f t="shared" si="247"/>
        <v>3.2769510975698572E-2</v>
      </c>
      <c r="G261" s="3">
        <f t="shared" si="247"/>
        <v>3.2769510732551403E-2</v>
      </c>
      <c r="H261" s="3">
        <f t="shared" si="247"/>
        <v>3.2769508301079803E-2</v>
      </c>
      <c r="I261" s="3">
        <f t="shared" si="247"/>
        <v>3.2769483986373714E-2</v>
      </c>
      <c r="J261" s="3">
        <f t="shared" si="247"/>
        <v>3.2769240840305136E-2</v>
      </c>
      <c r="K261" s="3">
        <f t="shared" si="247"/>
        <v>3.2766809478843577E-2</v>
      </c>
      <c r="L261" s="3">
        <f t="shared" si="247"/>
        <v>3.2742505783931709E-2</v>
      </c>
      <c r="M261" s="3">
        <f t="shared" si="247"/>
        <v>3.2500458087254998E-2</v>
      </c>
      <c r="N261" s="3">
        <f t="shared" si="247"/>
        <v>3.0176243562383302E-2</v>
      </c>
      <c r="O261" s="3">
        <f t="shared" si="247"/>
        <v>1.4368853514556459E-2</v>
      </c>
      <c r="P261" s="3">
        <f t="shared" si="247"/>
        <v>8.6097695353344368E-6</v>
      </c>
      <c r="Q261" s="3">
        <f t="shared" si="247"/>
        <v>5.136716747974973E-38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4.1907199465090833E-2</v>
      </c>
      <c r="C262" s="3">
        <f t="shared" si="248"/>
        <v>4.190719946508803E-2</v>
      </c>
      <c r="D262" s="3">
        <f t="shared" si="248"/>
        <v>4.1907199465059976E-2</v>
      </c>
      <c r="E262" s="3">
        <f t="shared" si="248"/>
        <v>4.1907199464779478E-2</v>
      </c>
      <c r="F262" s="3">
        <f t="shared" si="248"/>
        <v>4.1907199461974465E-2</v>
      </c>
      <c r="G262" s="3">
        <f t="shared" si="248"/>
        <v>4.1907199433924361E-2</v>
      </c>
      <c r="H262" s="3">
        <f t="shared" si="248"/>
        <v>4.1907199153423315E-2</v>
      </c>
      <c r="I262" s="3">
        <f t="shared" si="248"/>
        <v>4.1907196348412931E-2</v>
      </c>
      <c r="J262" s="3">
        <f t="shared" si="248"/>
        <v>4.1907168298319461E-2</v>
      </c>
      <c r="K262" s="3">
        <f t="shared" si="248"/>
        <v>4.1906887798417329E-2</v>
      </c>
      <c r="L262" s="3">
        <f t="shared" si="248"/>
        <v>4.1904082902655793E-2</v>
      </c>
      <c r="M262" s="3">
        <f t="shared" si="248"/>
        <v>4.1876044268458881E-2</v>
      </c>
      <c r="N262" s="3">
        <f t="shared" si="248"/>
        <v>4.1596687716256818E-2</v>
      </c>
      <c r="O262" s="3">
        <f t="shared" si="248"/>
        <v>3.8903595860476682E-2</v>
      </c>
      <c r="P262" s="3">
        <f t="shared" si="248"/>
        <v>1.9920475358602037E-2</v>
      </c>
      <c r="Q262" s="3">
        <f t="shared" si="248"/>
        <v>2.4683072814382186E-5</v>
      </c>
      <c r="R262" s="3">
        <f t="shared" si="248"/>
        <v>2.1056902737963759E-34</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3.8766931941006812E-2</v>
      </c>
      <c r="C263" s="3">
        <f t="shared" si="249"/>
        <v>3.8766931941006583E-2</v>
      </c>
      <c r="D263" s="3">
        <f t="shared" si="249"/>
        <v>3.8766931941004237E-2</v>
      </c>
      <c r="E263" s="3">
        <f t="shared" si="249"/>
        <v>3.8766931940980832E-2</v>
      </c>
      <c r="F263" s="3">
        <f t="shared" si="249"/>
        <v>3.8766931940746756E-2</v>
      </c>
      <c r="G263" s="3">
        <f t="shared" si="249"/>
        <v>3.876693193840601E-2</v>
      </c>
      <c r="H263" s="3">
        <f t="shared" si="249"/>
        <v>3.8766931914998574E-2</v>
      </c>
      <c r="I263" s="3">
        <f t="shared" si="249"/>
        <v>3.8766931680924203E-2</v>
      </c>
      <c r="J263" s="3">
        <f t="shared" si="249"/>
        <v>3.8766929340180528E-2</v>
      </c>
      <c r="K263" s="3">
        <f t="shared" si="249"/>
        <v>3.8766905932751582E-2</v>
      </c>
      <c r="L263" s="3">
        <f t="shared" si="249"/>
        <v>3.8766671859239425E-2</v>
      </c>
      <c r="M263" s="3">
        <f t="shared" si="249"/>
        <v>3.876433120184955E-2</v>
      </c>
      <c r="N263" s="3">
        <f t="shared" si="249"/>
        <v>3.8740932399385586E-2</v>
      </c>
      <c r="O263" s="3">
        <f t="shared" si="249"/>
        <v>3.8507719784841687E-2</v>
      </c>
      <c r="P263" s="3">
        <f t="shared" si="249"/>
        <v>3.6251429961658185E-2</v>
      </c>
      <c r="Q263" s="3">
        <f t="shared" si="249"/>
        <v>1.9819766628645465E-2</v>
      </c>
      <c r="R263" s="3">
        <f t="shared" si="249"/>
        <v>4.7296878459544957E-5</v>
      </c>
      <c r="S263" s="3">
        <f t="shared" si="249"/>
        <v>2.8325129305371869E-31</v>
      </c>
      <c r="T263" s="3">
        <f t="shared" si="249"/>
        <v>1.6809938511024965E-293</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3.2038673628359188E-2</v>
      </c>
      <c r="C264" s="3">
        <f t="shared" si="250"/>
        <v>3.2038673628359174E-2</v>
      </c>
      <c r="D264" s="3">
        <f t="shared" si="250"/>
        <v>3.2038673628359E-2</v>
      </c>
      <c r="E264" s="3">
        <f t="shared" si="250"/>
        <v>3.2038673628357259E-2</v>
      </c>
      <c r="F264" s="3">
        <f t="shared" si="250"/>
        <v>3.2038673628339807E-2</v>
      </c>
      <c r="G264" s="3">
        <f t="shared" si="250"/>
        <v>3.2038673628165301E-2</v>
      </c>
      <c r="H264" s="3">
        <f t="shared" si="250"/>
        <v>3.2038673626420225E-2</v>
      </c>
      <c r="I264" s="3">
        <f t="shared" si="250"/>
        <v>3.2038673608969497E-2</v>
      </c>
      <c r="J264" s="3">
        <f t="shared" si="250"/>
        <v>3.2038673434462213E-2</v>
      </c>
      <c r="K264" s="3">
        <f t="shared" si="250"/>
        <v>3.2038671689389425E-2</v>
      </c>
      <c r="L264" s="3">
        <f t="shared" si="250"/>
        <v>3.2038654238666739E-2</v>
      </c>
      <c r="M264" s="3">
        <f t="shared" si="250"/>
        <v>3.2038479731962687E-2</v>
      </c>
      <c r="N264" s="3">
        <f t="shared" si="250"/>
        <v>3.2036734717198527E-2</v>
      </c>
      <c r="O264" s="3">
        <f t="shared" si="250"/>
        <v>3.2019289796142228E-2</v>
      </c>
      <c r="P264" s="3">
        <f t="shared" si="250"/>
        <v>3.1845362192322452E-2</v>
      </c>
      <c r="Q264" s="3">
        <f t="shared" si="250"/>
        <v>3.0157210771446594E-2</v>
      </c>
      <c r="R264" s="3">
        <f t="shared" si="250"/>
        <v>1.7492059976085068E-2</v>
      </c>
      <c r="S264" s="3">
        <f t="shared" si="250"/>
        <v>7.5394353607474902E-5</v>
      </c>
      <c r="T264" s="3">
        <f t="shared" si="250"/>
        <v>1.6684664029348616E-28</v>
      </c>
      <c r="U264" s="3">
        <f t="shared" si="250"/>
        <v>4.7000654272682912E-265</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3.8815204020590376E-2</v>
      </c>
      <c r="C265" s="3">
        <f t="shared" si="251"/>
        <v>3.8815204020590376E-2</v>
      </c>
      <c r="D265" s="3">
        <f t="shared" si="251"/>
        <v>3.8815204020590355E-2</v>
      </c>
      <c r="E265" s="3">
        <f t="shared" si="251"/>
        <v>3.8815204020590167E-2</v>
      </c>
      <c r="F265" s="3">
        <f t="shared" si="251"/>
        <v>3.8815204020588252E-2</v>
      </c>
      <c r="G265" s="3">
        <f t="shared" si="251"/>
        <v>3.8815204020569184E-2</v>
      </c>
      <c r="H265" s="3">
        <f t="shared" si="251"/>
        <v>3.8815204020378469E-2</v>
      </c>
      <c r="I265" s="3">
        <f t="shared" si="251"/>
        <v>3.8815204018471307E-2</v>
      </c>
      <c r="J265" s="3">
        <f t="shared" si="251"/>
        <v>3.8815203999399688E-2</v>
      </c>
      <c r="K265" s="3">
        <f t="shared" si="251"/>
        <v>3.8815203808683529E-2</v>
      </c>
      <c r="L265" s="3">
        <f t="shared" si="251"/>
        <v>3.8815201901521969E-2</v>
      </c>
      <c r="M265" s="3">
        <f t="shared" si="251"/>
        <v>3.8815182829911539E-2</v>
      </c>
      <c r="N265" s="3">
        <f t="shared" si="251"/>
        <v>3.8814992114322634E-2</v>
      </c>
      <c r="O265" s="3">
        <f t="shared" si="251"/>
        <v>3.8813085009971479E-2</v>
      </c>
      <c r="P265" s="3">
        <f t="shared" si="251"/>
        <v>3.8794019119316937E-2</v>
      </c>
      <c r="Q265" s="3">
        <f t="shared" si="251"/>
        <v>3.8603874562923447E-2</v>
      </c>
      <c r="R265" s="3">
        <f t="shared" si="251"/>
        <v>3.6752941101946088E-2</v>
      </c>
      <c r="S265" s="3">
        <f t="shared" si="251"/>
        <v>2.2485581683748451E-2</v>
      </c>
      <c r="T265" s="3">
        <f t="shared" si="251"/>
        <v>1.6520546501908102E-4</v>
      </c>
      <c r="U265" s="3">
        <f t="shared" si="251"/>
        <v>7.5722900034227136E-26</v>
      </c>
      <c r="V265" s="3">
        <f t="shared" si="251"/>
        <v>3.0992422431395144E-239</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3.675792152056976E-2</v>
      </c>
      <c r="C266" s="3">
        <f t="shared" si="252"/>
        <v>3.675792152056976E-2</v>
      </c>
      <c r="D266" s="3">
        <f t="shared" si="252"/>
        <v>3.675792152056976E-2</v>
      </c>
      <c r="E266" s="3">
        <f t="shared" si="252"/>
        <v>3.6757921520569746E-2</v>
      </c>
      <c r="F266" s="3">
        <f t="shared" si="252"/>
        <v>3.6757921520569579E-2</v>
      </c>
      <c r="G266" s="3">
        <f t="shared" si="252"/>
        <v>3.6757921520567949E-2</v>
      </c>
      <c r="H266" s="3">
        <f t="shared" si="252"/>
        <v>3.6757921520551656E-2</v>
      </c>
      <c r="I266" s="3">
        <f t="shared" si="252"/>
        <v>3.6757921520388731E-2</v>
      </c>
      <c r="J266" s="3">
        <f t="shared" si="252"/>
        <v>3.67579215187595E-2</v>
      </c>
      <c r="K266" s="3">
        <f t="shared" si="252"/>
        <v>3.6757921502467171E-2</v>
      </c>
      <c r="L266" s="3">
        <f t="shared" si="252"/>
        <v>3.6757921339543885E-2</v>
      </c>
      <c r="M266" s="3">
        <f t="shared" si="252"/>
        <v>3.6757919710311067E-2</v>
      </c>
      <c r="N266" s="3">
        <f t="shared" si="252"/>
        <v>3.6757903417986869E-2</v>
      </c>
      <c r="O266" s="3">
        <f t="shared" si="252"/>
        <v>3.6757740495142001E-2</v>
      </c>
      <c r="P266" s="3">
        <f t="shared" si="252"/>
        <v>3.6756111306409801E-2</v>
      </c>
      <c r="Q266" s="3">
        <f t="shared" si="252"/>
        <v>3.6739823390079036E-2</v>
      </c>
      <c r="R266" s="3">
        <f t="shared" si="252"/>
        <v>3.6577340675441897E-2</v>
      </c>
      <c r="S266" s="3">
        <f t="shared" si="252"/>
        <v>3.4991515871370386E-2</v>
      </c>
      <c r="T266" s="3">
        <f t="shared" si="252"/>
        <v>2.2463067097416991E-2</v>
      </c>
      <c r="U266" s="3">
        <f t="shared" si="252"/>
        <v>2.6701276730061151E-4</v>
      </c>
      <c r="V266" s="3">
        <f t="shared" si="252"/>
        <v>1.5037019473482048E-23</v>
      </c>
      <c r="W266" s="3">
        <f t="shared" si="252"/>
        <v>4.8245754855604955E-216</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3.3395319995761917E-2</v>
      </c>
      <c r="C267" s="3">
        <f t="shared" si="253"/>
        <v>3.3395319995761917E-2</v>
      </c>
      <c r="D267" s="3">
        <f t="shared" si="253"/>
        <v>3.3395319995761917E-2</v>
      </c>
      <c r="E267" s="3">
        <f t="shared" si="253"/>
        <v>3.3395319995761917E-2</v>
      </c>
      <c r="F267" s="3">
        <f t="shared" si="253"/>
        <v>3.3395319995761903E-2</v>
      </c>
      <c r="G267" s="3">
        <f t="shared" si="253"/>
        <v>3.3395319995761771E-2</v>
      </c>
      <c r="H267" s="3">
        <f t="shared" si="253"/>
        <v>3.3395319995760432E-2</v>
      </c>
      <c r="I267" s="3">
        <f t="shared" si="253"/>
        <v>3.3395319995747082E-2</v>
      </c>
      <c r="J267" s="3">
        <f t="shared" si="253"/>
        <v>3.3395319995613557E-2</v>
      </c>
      <c r="K267" s="3">
        <f t="shared" si="253"/>
        <v>3.3395319994278298E-2</v>
      </c>
      <c r="L267" s="3">
        <f t="shared" si="253"/>
        <v>3.3395319980925743E-2</v>
      </c>
      <c r="M267" s="3">
        <f t="shared" si="253"/>
        <v>3.3395319847400184E-2</v>
      </c>
      <c r="N267" s="3">
        <f t="shared" si="253"/>
        <v>3.3395318512144591E-2</v>
      </c>
      <c r="O267" s="3">
        <f t="shared" si="253"/>
        <v>3.3395305159591639E-2</v>
      </c>
      <c r="P267" s="3">
        <f t="shared" si="253"/>
        <v>3.3395171634355694E-2</v>
      </c>
      <c r="Q267" s="3">
        <f t="shared" si="253"/>
        <v>3.3393836411359172E-2</v>
      </c>
      <c r="R267" s="3">
        <f t="shared" si="253"/>
        <v>3.3380487117248406E-2</v>
      </c>
      <c r="S267" s="3">
        <f t="shared" si="253"/>
        <v>3.3247287327727693E-2</v>
      </c>
      <c r="T267" s="3">
        <f t="shared" si="253"/>
        <v>3.1944175506981413E-2</v>
      </c>
      <c r="U267" s="3">
        <f t="shared" si="253"/>
        <v>2.1416394075637012E-2</v>
      </c>
      <c r="V267" s="3">
        <f t="shared" si="253"/>
        <v>3.9290993669375066E-4</v>
      </c>
      <c r="W267" s="3">
        <f t="shared" si="253"/>
        <v>1.6973040179669735E-21</v>
      </c>
      <c r="X267" s="3">
        <f t="shared" si="253"/>
        <v>3.840837293269249E-195</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3.5168182509434494E-2</v>
      </c>
      <c r="C268" s="3">
        <f t="shared" si="254"/>
        <v>3.5168182509434494E-2</v>
      </c>
      <c r="D268" s="3">
        <f t="shared" si="254"/>
        <v>3.5168182509434494E-2</v>
      </c>
      <c r="E268" s="3">
        <f t="shared" si="254"/>
        <v>3.5168182509434494E-2</v>
      </c>
      <c r="F268" s="3">
        <f t="shared" si="254"/>
        <v>3.5168182509434494E-2</v>
      </c>
      <c r="G268" s="3">
        <f t="shared" si="254"/>
        <v>3.516818250943448E-2</v>
      </c>
      <c r="H268" s="3">
        <f t="shared" si="254"/>
        <v>3.5168182509434355E-2</v>
      </c>
      <c r="I268" s="3">
        <f t="shared" si="254"/>
        <v>3.5168182509433085E-2</v>
      </c>
      <c r="J268" s="3">
        <f t="shared" si="254"/>
        <v>3.5168182509420401E-2</v>
      </c>
      <c r="K268" s="3">
        <f t="shared" si="254"/>
        <v>3.5168182509293558E-2</v>
      </c>
      <c r="L268" s="3">
        <f t="shared" si="254"/>
        <v>3.51681825080251E-2</v>
      </c>
      <c r="M268" s="3">
        <f t="shared" si="254"/>
        <v>3.5168182495340539E-2</v>
      </c>
      <c r="N268" s="3">
        <f t="shared" si="254"/>
        <v>3.5168182368494963E-2</v>
      </c>
      <c r="O268" s="3">
        <f t="shared" si="254"/>
        <v>3.5168181100039241E-2</v>
      </c>
      <c r="P268" s="3">
        <f t="shared" si="254"/>
        <v>3.5168168415484542E-2</v>
      </c>
      <c r="Q268" s="3">
        <f t="shared" si="254"/>
        <v>3.5168041570189136E-2</v>
      </c>
      <c r="R268" s="3">
        <f t="shared" si="254"/>
        <v>3.5166773142397793E-2</v>
      </c>
      <c r="S268" s="3">
        <f t="shared" si="254"/>
        <v>3.5154091380417002E-2</v>
      </c>
      <c r="T268" s="3">
        <f t="shared" si="254"/>
        <v>3.5027525018440503E-2</v>
      </c>
      <c r="U268" s="3">
        <f t="shared" si="254"/>
        <v>3.3786655082050872E-2</v>
      </c>
      <c r="V268" s="3">
        <f t="shared" si="254"/>
        <v>2.3556060513949633E-2</v>
      </c>
      <c r="W268" s="3">
        <f t="shared" si="254"/>
        <v>6.3925964912083324E-4</v>
      </c>
      <c r="X268" s="3">
        <f t="shared" si="254"/>
        <v>1.3849165323661016E-19</v>
      </c>
      <c r="Y268" s="3">
        <f t="shared" si="254"/>
        <v>3.1541814660165772E-176</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2.0659155414283158E-2</v>
      </c>
      <c r="C269" s="3">
        <f t="shared" si="255"/>
        <v>2.0659155414283158E-2</v>
      </c>
      <c r="D269" s="3">
        <f t="shared" si="255"/>
        <v>2.0659155414283158E-2</v>
      </c>
      <c r="E269" s="3">
        <f t="shared" si="255"/>
        <v>2.0659155414283158E-2</v>
      </c>
      <c r="F269" s="3">
        <f t="shared" si="255"/>
        <v>2.0659155414283158E-2</v>
      </c>
      <c r="G269" s="3">
        <f t="shared" si="255"/>
        <v>2.0659155414283158E-2</v>
      </c>
      <c r="H269" s="3">
        <f t="shared" si="255"/>
        <v>2.0659155414283151E-2</v>
      </c>
      <c r="I269" s="3">
        <f t="shared" si="255"/>
        <v>2.0659155414283082E-2</v>
      </c>
      <c r="J269" s="3">
        <f t="shared" si="255"/>
        <v>2.0659155414282409E-2</v>
      </c>
      <c r="K269" s="3">
        <f t="shared" si="255"/>
        <v>2.0659155414275689E-2</v>
      </c>
      <c r="L269" s="3">
        <f t="shared" si="255"/>
        <v>2.0659155414208472E-2</v>
      </c>
      <c r="M269" s="3">
        <f t="shared" si="255"/>
        <v>2.0659155413536294E-2</v>
      </c>
      <c r="N269" s="3">
        <f t="shared" si="255"/>
        <v>2.0659155406814511E-2</v>
      </c>
      <c r="O269" s="3">
        <f t="shared" si="255"/>
        <v>2.0659155339596669E-2</v>
      </c>
      <c r="P269" s="3">
        <f t="shared" si="255"/>
        <v>2.0659154667418286E-2</v>
      </c>
      <c r="Q269" s="3">
        <f t="shared" si="255"/>
        <v>2.0659147945635652E-2</v>
      </c>
      <c r="R269" s="3">
        <f t="shared" si="255"/>
        <v>2.0659080727929619E-2</v>
      </c>
      <c r="S269" s="3">
        <f t="shared" si="255"/>
        <v>2.0658408562897829E-2</v>
      </c>
      <c r="T269" s="3">
        <f t="shared" si="255"/>
        <v>2.0651688115290494E-2</v>
      </c>
      <c r="U269" s="3">
        <f t="shared" si="255"/>
        <v>2.0584603765613996E-2</v>
      </c>
      <c r="V269" s="3">
        <f t="shared" si="255"/>
        <v>1.9925629543889462E-2</v>
      </c>
      <c r="W269" s="3">
        <f t="shared" si="255"/>
        <v>1.4391546059659338E-2</v>
      </c>
      <c r="X269" s="3">
        <f t="shared" si="255"/>
        <v>5.5598292611501443E-4</v>
      </c>
      <c r="Y269" s="3">
        <f t="shared" si="255"/>
        <v>4.1171954479703999E-18</v>
      </c>
      <c r="Z269" s="3">
        <f t="shared" si="255"/>
        <v>2.0417462875183554E-159</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3.0227206274926977E-2</v>
      </c>
      <c r="C270" s="3">
        <f t="shared" si="256"/>
        <v>3.0227206274926977E-2</v>
      </c>
      <c r="D270" s="3">
        <f t="shared" si="256"/>
        <v>3.0227206274926977E-2</v>
      </c>
      <c r="E270" s="3">
        <f t="shared" si="256"/>
        <v>3.0227206274926977E-2</v>
      </c>
      <c r="F270" s="3">
        <f t="shared" si="256"/>
        <v>3.0227206274926977E-2</v>
      </c>
      <c r="G270" s="3">
        <f t="shared" si="256"/>
        <v>3.0227206274926977E-2</v>
      </c>
      <c r="H270" s="3">
        <f t="shared" si="256"/>
        <v>3.0227206274926973E-2</v>
      </c>
      <c r="I270" s="3">
        <f t="shared" si="256"/>
        <v>3.0227206274926945E-2</v>
      </c>
      <c r="J270" s="3">
        <f t="shared" si="256"/>
        <v>3.0227206274926675E-2</v>
      </c>
      <c r="K270" s="3">
        <f t="shared" si="256"/>
        <v>3.0227206274923951E-2</v>
      </c>
      <c r="L270" s="3">
        <f t="shared" si="256"/>
        <v>3.0227206274896754E-2</v>
      </c>
      <c r="M270" s="3">
        <f t="shared" si="256"/>
        <v>3.0227206274624746E-2</v>
      </c>
      <c r="N270" s="3">
        <f t="shared" si="256"/>
        <v>3.0227206271904658E-2</v>
      </c>
      <c r="O270" s="3">
        <f t="shared" si="256"/>
        <v>3.0227206244703785E-2</v>
      </c>
      <c r="P270" s="3">
        <f t="shared" si="256"/>
        <v>3.0227205972695046E-2</v>
      </c>
      <c r="Q270" s="3">
        <f t="shared" si="256"/>
        <v>3.022720325260779E-2</v>
      </c>
      <c r="R270" s="3">
        <f t="shared" si="256"/>
        <v>3.0227176051748714E-2</v>
      </c>
      <c r="S270" s="3">
        <f t="shared" si="256"/>
        <v>3.0226904044504187E-2</v>
      </c>
      <c r="T270" s="3">
        <f t="shared" si="256"/>
        <v>3.0224184106680412E-2</v>
      </c>
      <c r="U270" s="3">
        <f t="shared" si="256"/>
        <v>3.0196998186108534E-2</v>
      </c>
      <c r="V270" s="3">
        <f t="shared" si="256"/>
        <v>2.9926480276935188E-2</v>
      </c>
      <c r="W270" s="3">
        <f t="shared" si="256"/>
        <v>2.7351070384915761E-2</v>
      </c>
      <c r="X270" s="3">
        <f t="shared" si="256"/>
        <v>1.1121444114215171E-2</v>
      </c>
      <c r="Y270" s="3">
        <f t="shared" si="256"/>
        <v>1.374136105706919E-6</v>
      </c>
      <c r="Z270" s="3">
        <f t="shared" si="256"/>
        <v>1.1395028663372351E-45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3.7583954306508939E-2</v>
      </c>
      <c r="C271" s="3">
        <f t="shared" si="257"/>
        <v>3.7583954306508939E-2</v>
      </c>
      <c r="D271" s="3">
        <f t="shared" si="257"/>
        <v>3.7583954306508939E-2</v>
      </c>
      <c r="E271" s="3">
        <f t="shared" si="257"/>
        <v>3.7583954306508939E-2</v>
      </c>
      <c r="F271" s="3">
        <f t="shared" si="257"/>
        <v>3.7583954306508939E-2</v>
      </c>
      <c r="G271" s="3">
        <f t="shared" si="257"/>
        <v>3.7583954306508939E-2</v>
      </c>
      <c r="H271" s="3">
        <f t="shared" si="257"/>
        <v>3.7583954306508939E-2</v>
      </c>
      <c r="I271" s="3">
        <f t="shared" si="257"/>
        <v>3.7583954306508932E-2</v>
      </c>
      <c r="J271" s="3">
        <f t="shared" si="257"/>
        <v>3.7583954306508904E-2</v>
      </c>
      <c r="K271" s="3">
        <f t="shared" si="257"/>
        <v>3.7583954306508564E-2</v>
      </c>
      <c r="L271" s="3">
        <f t="shared" si="257"/>
        <v>3.7583954306505178E-2</v>
      </c>
      <c r="M271" s="3">
        <f t="shared" si="257"/>
        <v>3.7583954306471358E-2</v>
      </c>
      <c r="N271" s="3">
        <f t="shared" si="257"/>
        <v>3.7583954306133149E-2</v>
      </c>
      <c r="O271" s="3">
        <f t="shared" si="257"/>
        <v>3.7583954302751042E-2</v>
      </c>
      <c r="P271" s="3">
        <f t="shared" si="257"/>
        <v>3.7583954268929978E-2</v>
      </c>
      <c r="Q271" s="3">
        <f t="shared" si="257"/>
        <v>3.7583953930719297E-2</v>
      </c>
      <c r="R271" s="3">
        <f t="shared" si="257"/>
        <v>3.7583950548612653E-2</v>
      </c>
      <c r="S271" s="3">
        <f t="shared" si="257"/>
        <v>3.7583916727562991E-2</v>
      </c>
      <c r="T271" s="3">
        <f t="shared" si="257"/>
        <v>3.7583578518740238E-2</v>
      </c>
      <c r="U271" s="3">
        <f t="shared" si="257"/>
        <v>3.7580196597898609E-2</v>
      </c>
      <c r="V271" s="3">
        <f t="shared" si="257"/>
        <v>3.7546394122497453E-2</v>
      </c>
      <c r="W271" s="3">
        <f t="shared" si="257"/>
        <v>3.7210037112028485E-2</v>
      </c>
      <c r="X271" s="3">
        <f t="shared" si="257"/>
        <v>3.400781965197567E-2</v>
      </c>
      <c r="Y271" s="3">
        <f t="shared" si="257"/>
        <v>1.3828199788273869E-2</v>
      </c>
      <c r="Z271" s="3">
        <f t="shared" si="257"/>
        <v>1.7085756499651156E-6</v>
      </c>
      <c r="AA271" s="3">
        <f t="shared" si="257"/>
        <v>1.4168369802696251E-45</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3.8796261080834012E-2</v>
      </c>
      <c r="C272" s="3">
        <f t="shared" si="258"/>
        <v>3.8796261080834012E-2</v>
      </c>
      <c r="D272" s="3">
        <f t="shared" si="258"/>
        <v>3.8796261080834012E-2</v>
      </c>
      <c r="E272" s="3">
        <f t="shared" si="258"/>
        <v>3.8796261080834012E-2</v>
      </c>
      <c r="F272" s="3">
        <f t="shared" si="258"/>
        <v>3.8796261080834012E-2</v>
      </c>
      <c r="G272" s="3">
        <f t="shared" si="258"/>
        <v>3.8796261080834012E-2</v>
      </c>
      <c r="H272" s="3">
        <f t="shared" si="258"/>
        <v>3.8796261080834012E-2</v>
      </c>
      <c r="I272" s="3">
        <f t="shared" si="258"/>
        <v>3.8796261080834012E-2</v>
      </c>
      <c r="J272" s="3">
        <f t="shared" si="258"/>
        <v>3.8796261080834005E-2</v>
      </c>
      <c r="K272" s="3">
        <f t="shared" si="258"/>
        <v>3.879626108083397E-2</v>
      </c>
      <c r="L272" s="3">
        <f t="shared" si="258"/>
        <v>3.8796261080833623E-2</v>
      </c>
      <c r="M272" s="3">
        <f t="shared" si="258"/>
        <v>3.8796261080830133E-2</v>
      </c>
      <c r="N272" s="3">
        <f t="shared" si="258"/>
        <v>3.8796261080795223E-2</v>
      </c>
      <c r="O272" s="3">
        <f t="shared" si="258"/>
        <v>3.87962610804461E-2</v>
      </c>
      <c r="P272" s="3">
        <f t="shared" si="258"/>
        <v>3.8796261076954899E-2</v>
      </c>
      <c r="Q272" s="3">
        <f t="shared" si="258"/>
        <v>3.8796261042042902E-2</v>
      </c>
      <c r="R272" s="3">
        <f t="shared" si="258"/>
        <v>3.8796260692922913E-2</v>
      </c>
      <c r="S272" s="3">
        <f t="shared" si="258"/>
        <v>3.8796257201723146E-2</v>
      </c>
      <c r="T272" s="3">
        <f t="shared" si="258"/>
        <v>3.8796222289742839E-2</v>
      </c>
      <c r="U272" s="3">
        <f t="shared" si="258"/>
        <v>3.8795873171667598E-2</v>
      </c>
      <c r="V272" s="3">
        <f t="shared" si="258"/>
        <v>3.8792382163700304E-2</v>
      </c>
      <c r="W272" s="3">
        <f t="shared" si="258"/>
        <v>3.8757489356782047E-2</v>
      </c>
      <c r="X272" s="3">
        <f t="shared" si="258"/>
        <v>3.8410282825822019E-2</v>
      </c>
      <c r="Y272" s="3">
        <f t="shared" si="258"/>
        <v>3.5104774746372837E-2</v>
      </c>
      <c r="Z272" s="3">
        <f t="shared" si="258"/>
        <v>1.4274241738605363E-2</v>
      </c>
      <c r="AA272" s="3">
        <f t="shared" si="258"/>
        <v>1.7636874090420697E-6</v>
      </c>
      <c r="AB272" s="3">
        <f t="shared" si="258"/>
        <v>1.4625384265646917E-45</v>
      </c>
      <c r="AC272" s="3">
        <f t="shared" si="258"/>
        <v>0</v>
      </c>
      <c r="AD272" s="3">
        <f t="shared" si="258"/>
        <v>0</v>
      </c>
      <c r="AE272" s="3">
        <f t="shared" si="258"/>
        <v>0</v>
      </c>
      <c r="AF272" s="3">
        <f t="shared" si="258"/>
        <v>0</v>
      </c>
      <c r="AG272" s="3"/>
      <c r="AH272" s="3"/>
    </row>
    <row r="273" spans="1:34" x14ac:dyDescent="0.25">
      <c r="B273" s="3">
        <f t="shared" ref="B273:AF273" si="259">$C42*EXP(-B$246/$A42/EXP(-$E$126))</f>
        <v>4.443590866461708E-2</v>
      </c>
      <c r="C273" s="3">
        <f t="shared" si="259"/>
        <v>4.443590866461708E-2</v>
      </c>
      <c r="D273" s="3">
        <f t="shared" si="259"/>
        <v>4.443590866461708E-2</v>
      </c>
      <c r="E273" s="3">
        <f t="shared" si="259"/>
        <v>4.443590866461708E-2</v>
      </c>
      <c r="F273" s="3">
        <f t="shared" si="259"/>
        <v>4.443590866461708E-2</v>
      </c>
      <c r="G273" s="3">
        <f t="shared" si="259"/>
        <v>4.443590866461708E-2</v>
      </c>
      <c r="H273" s="3">
        <f t="shared" si="259"/>
        <v>4.443590866461708E-2</v>
      </c>
      <c r="I273" s="3">
        <f t="shared" si="259"/>
        <v>4.443590866461708E-2</v>
      </c>
      <c r="J273" s="3">
        <f t="shared" si="259"/>
        <v>4.443590866461708E-2</v>
      </c>
      <c r="K273" s="3">
        <f t="shared" si="259"/>
        <v>4.4435908664617073E-2</v>
      </c>
      <c r="L273" s="3">
        <f t="shared" si="259"/>
        <v>4.4435908664617038E-2</v>
      </c>
      <c r="M273" s="3">
        <f t="shared" si="259"/>
        <v>4.4435908664616636E-2</v>
      </c>
      <c r="N273" s="3">
        <f t="shared" si="259"/>
        <v>4.4435908664612632E-2</v>
      </c>
      <c r="O273" s="3">
        <f t="shared" si="259"/>
        <v>4.443590866457265E-2</v>
      </c>
      <c r="P273" s="3">
        <f t="shared" si="259"/>
        <v>4.4435908664172782E-2</v>
      </c>
      <c r="Q273" s="3">
        <f t="shared" si="259"/>
        <v>4.4435908660174078E-2</v>
      </c>
      <c r="R273" s="3">
        <f t="shared" si="259"/>
        <v>4.4435908620187071E-2</v>
      </c>
      <c r="S273" s="3">
        <f t="shared" si="259"/>
        <v>4.443590822031699E-2</v>
      </c>
      <c r="T273" s="3">
        <f t="shared" si="259"/>
        <v>4.4435904221616356E-2</v>
      </c>
      <c r="U273" s="3">
        <f t="shared" si="259"/>
        <v>4.4435864234629849E-2</v>
      </c>
      <c r="V273" s="3">
        <f t="shared" si="259"/>
        <v>4.4435464366743817E-2</v>
      </c>
      <c r="W273" s="3">
        <f t="shared" si="259"/>
        <v>4.4431465885785587E-2</v>
      </c>
      <c r="X273" s="3">
        <f t="shared" si="259"/>
        <v>4.4391500859824927E-2</v>
      </c>
      <c r="Y273" s="3">
        <f t="shared" si="259"/>
        <v>4.3993822391135584E-2</v>
      </c>
      <c r="Z273" s="3">
        <f t="shared" si="259"/>
        <v>4.02078066510487E-2</v>
      </c>
      <c r="AA273" s="3">
        <f t="shared" si="259"/>
        <v>1.6349227592621855E-2</v>
      </c>
      <c r="AB273" s="3">
        <f t="shared" si="259"/>
        <v>2.0200671517762607E-6</v>
      </c>
      <c r="AC273" s="3">
        <f t="shared" si="259"/>
        <v>1.675141421641457E-45</v>
      </c>
      <c r="AD273" s="3">
        <f t="shared" si="259"/>
        <v>0</v>
      </c>
      <c r="AE273" s="3">
        <f t="shared" si="259"/>
        <v>0</v>
      </c>
      <c r="AF273" s="3">
        <f t="shared" si="259"/>
        <v>0</v>
      </c>
      <c r="AG273" s="3"/>
      <c r="AH273" s="3"/>
    </row>
    <row r="274" spans="1:34" x14ac:dyDescent="0.25">
      <c r="B274" s="3">
        <f t="shared" ref="B274:AF274" si="260">$C43*EXP(-B$246/$A43/EXP(-$E$126))</f>
        <v>5.224128023540766E-2</v>
      </c>
      <c r="C274" s="3">
        <f t="shared" si="260"/>
        <v>5.224128023540766E-2</v>
      </c>
      <c r="D274" s="3">
        <f t="shared" si="260"/>
        <v>5.224128023540766E-2</v>
      </c>
      <c r="E274" s="3">
        <f t="shared" si="260"/>
        <v>5.224128023540766E-2</v>
      </c>
      <c r="F274" s="3">
        <f t="shared" si="260"/>
        <v>5.224128023540766E-2</v>
      </c>
      <c r="G274" s="3">
        <f t="shared" si="260"/>
        <v>5.224128023540766E-2</v>
      </c>
      <c r="H274" s="3">
        <f t="shared" si="260"/>
        <v>5.224128023540766E-2</v>
      </c>
      <c r="I274" s="3">
        <f t="shared" si="260"/>
        <v>5.224128023540766E-2</v>
      </c>
      <c r="J274" s="3">
        <f t="shared" si="260"/>
        <v>5.224128023540766E-2</v>
      </c>
      <c r="K274" s="3">
        <f t="shared" si="260"/>
        <v>5.224128023540766E-2</v>
      </c>
      <c r="L274" s="3">
        <f t="shared" si="260"/>
        <v>5.2241280235407653E-2</v>
      </c>
      <c r="M274" s="3">
        <f t="shared" si="260"/>
        <v>5.2241280235407604E-2</v>
      </c>
      <c r="N274" s="3">
        <f t="shared" si="260"/>
        <v>5.2241280235407139E-2</v>
      </c>
      <c r="O274" s="3">
        <f t="shared" si="260"/>
        <v>5.2241280235402435E-2</v>
      </c>
      <c r="P274" s="3">
        <f t="shared" si="260"/>
        <v>5.2241280235355424E-2</v>
      </c>
      <c r="Q274" s="3">
        <f t="shared" si="260"/>
        <v>5.2241280234885314E-2</v>
      </c>
      <c r="R274" s="3">
        <f t="shared" si="260"/>
        <v>5.2241280230184227E-2</v>
      </c>
      <c r="S274" s="3">
        <f t="shared" si="260"/>
        <v>5.2241280183173318E-2</v>
      </c>
      <c r="T274" s="3">
        <f t="shared" si="260"/>
        <v>5.2241279713064213E-2</v>
      </c>
      <c r="U274" s="3">
        <f t="shared" si="260"/>
        <v>5.224127501197344E-2</v>
      </c>
      <c r="V274" s="3">
        <f t="shared" si="260"/>
        <v>5.2241228001088984E-2</v>
      </c>
      <c r="W274" s="3">
        <f t="shared" si="260"/>
        <v>5.2240757894571097E-2</v>
      </c>
      <c r="X274" s="3">
        <f t="shared" si="260"/>
        <v>5.2236057062056758E-2</v>
      </c>
      <c r="Y274" s="3">
        <f t="shared" si="260"/>
        <v>5.2189071995619077E-2</v>
      </c>
      <c r="Z274" s="3">
        <f t="shared" si="260"/>
        <v>5.1721539476295784E-2</v>
      </c>
      <c r="AA274" s="3">
        <f t="shared" si="260"/>
        <v>4.7270492672091824E-2</v>
      </c>
      <c r="AB274" s="3">
        <f t="shared" si="260"/>
        <v>1.9221044555317361E-2</v>
      </c>
      <c r="AC274" s="3">
        <f t="shared" si="260"/>
        <v>2.3749012305967842E-6</v>
      </c>
      <c r="AD274" s="3">
        <f t="shared" si="260"/>
        <v>1.9693877107906027E-45</v>
      </c>
      <c r="AE274" s="3">
        <f t="shared" si="260"/>
        <v>0</v>
      </c>
      <c r="AF274" s="3">
        <f t="shared" si="260"/>
        <v>0</v>
      </c>
      <c r="AG274" s="3"/>
      <c r="AH274" s="3"/>
    </row>
    <row r="275" spans="1:34" x14ac:dyDescent="0.25">
      <c r="B275" s="3">
        <f t="shared" ref="B275:AF275" si="261">$C44*EXP(-B$246/$A44/EXP(-$E$126))</f>
        <v>5.759294658465644E-2</v>
      </c>
      <c r="C275" s="3">
        <f t="shared" si="261"/>
        <v>5.759294658465644E-2</v>
      </c>
      <c r="D275" s="3">
        <f t="shared" si="261"/>
        <v>5.759294658465644E-2</v>
      </c>
      <c r="E275" s="3">
        <f t="shared" si="261"/>
        <v>5.759294658465644E-2</v>
      </c>
      <c r="F275" s="3">
        <f t="shared" si="261"/>
        <v>5.759294658465644E-2</v>
      </c>
      <c r="G275" s="3">
        <f t="shared" si="261"/>
        <v>5.759294658465644E-2</v>
      </c>
      <c r="H275" s="3">
        <f t="shared" si="261"/>
        <v>5.759294658465644E-2</v>
      </c>
      <c r="I275" s="3">
        <f t="shared" si="261"/>
        <v>5.759294658465644E-2</v>
      </c>
      <c r="J275" s="3">
        <f t="shared" si="261"/>
        <v>5.759294658465644E-2</v>
      </c>
      <c r="K275" s="3">
        <f t="shared" si="261"/>
        <v>5.759294658465644E-2</v>
      </c>
      <c r="L275" s="3">
        <f t="shared" si="261"/>
        <v>5.759294658465644E-2</v>
      </c>
      <c r="M275" s="3">
        <f t="shared" si="261"/>
        <v>5.7592946584656433E-2</v>
      </c>
      <c r="N275" s="3">
        <f t="shared" si="261"/>
        <v>5.7592946584656385E-2</v>
      </c>
      <c r="O275" s="3">
        <f t="shared" si="261"/>
        <v>5.7592946584655864E-2</v>
      </c>
      <c r="P275" s="3">
        <f t="shared" si="261"/>
        <v>5.7592946584650681E-2</v>
      </c>
      <c r="Q275" s="3">
        <f t="shared" si="261"/>
        <v>5.7592946584598854E-2</v>
      </c>
      <c r="R275" s="3">
        <f t="shared" si="261"/>
        <v>5.7592946584080588E-2</v>
      </c>
      <c r="S275" s="3">
        <f t="shared" si="261"/>
        <v>5.7592946578897915E-2</v>
      </c>
      <c r="T275" s="3">
        <f t="shared" si="261"/>
        <v>5.7592946527071143E-2</v>
      </c>
      <c r="U275" s="3">
        <f t="shared" si="261"/>
        <v>5.7592946008803436E-2</v>
      </c>
      <c r="V275" s="3">
        <f t="shared" si="261"/>
        <v>5.7592940826126662E-2</v>
      </c>
      <c r="W275" s="3">
        <f t="shared" si="261"/>
        <v>5.7592888999384563E-2</v>
      </c>
      <c r="X275" s="3">
        <f t="shared" si="261"/>
        <v>5.7592370734528657E-2</v>
      </c>
      <c r="Y275" s="3">
        <f t="shared" si="261"/>
        <v>5.7587188342468551E-2</v>
      </c>
      <c r="Z275" s="3">
        <f t="shared" si="261"/>
        <v>5.7535390063226E-2</v>
      </c>
      <c r="AA275" s="3">
        <f t="shared" si="261"/>
        <v>5.7019962889721817E-2</v>
      </c>
      <c r="AB275" s="3">
        <f t="shared" si="261"/>
        <v>5.2112944920690907E-2</v>
      </c>
      <c r="AC275" s="3">
        <f t="shared" si="261"/>
        <v>2.1190073968084023E-2</v>
      </c>
      <c r="AD275" s="3">
        <f t="shared" si="261"/>
        <v>2.6181892767798499E-6</v>
      </c>
      <c r="AE275" s="3">
        <f t="shared" si="261"/>
        <v>2.1711344117322608E-45</v>
      </c>
      <c r="AF275" s="3">
        <f t="shared" si="261"/>
        <v>0</v>
      </c>
      <c r="AG275" s="3"/>
      <c r="AH275" s="3"/>
    </row>
    <row r="276" spans="1:34" x14ac:dyDescent="0.25">
      <c r="B276" s="3">
        <f t="shared" ref="B276:AF276" si="262">$C45*EXP(-B$246/$A45/EXP(-$E$126))</f>
        <v>5.4172080221644638E-2</v>
      </c>
      <c r="C276" s="3">
        <f t="shared" si="262"/>
        <v>5.4172080221644638E-2</v>
      </c>
      <c r="D276" s="3">
        <f t="shared" si="262"/>
        <v>5.4172080221644638E-2</v>
      </c>
      <c r="E276" s="3">
        <f t="shared" si="262"/>
        <v>5.4172080221644638E-2</v>
      </c>
      <c r="F276" s="3">
        <f t="shared" si="262"/>
        <v>5.4172080221644638E-2</v>
      </c>
      <c r="G276" s="3">
        <f t="shared" si="262"/>
        <v>5.4172080221644638E-2</v>
      </c>
      <c r="H276" s="3">
        <f t="shared" si="262"/>
        <v>5.4172080221644638E-2</v>
      </c>
      <c r="I276" s="3">
        <f t="shared" si="262"/>
        <v>5.4172080221644638E-2</v>
      </c>
      <c r="J276" s="3">
        <f t="shared" si="262"/>
        <v>5.4172080221644638E-2</v>
      </c>
      <c r="K276" s="3">
        <f t="shared" si="262"/>
        <v>5.4172080221644638E-2</v>
      </c>
      <c r="L276" s="3">
        <f t="shared" si="262"/>
        <v>5.4172080221644638E-2</v>
      </c>
      <c r="M276" s="3">
        <f t="shared" si="262"/>
        <v>5.4172080221644638E-2</v>
      </c>
      <c r="N276" s="3">
        <f t="shared" si="262"/>
        <v>5.4172080221644631E-2</v>
      </c>
      <c r="O276" s="3">
        <f t="shared" si="262"/>
        <v>5.4172080221644582E-2</v>
      </c>
      <c r="P276" s="3">
        <f t="shared" si="262"/>
        <v>5.4172080221644096E-2</v>
      </c>
      <c r="Q276" s="3">
        <f t="shared" si="262"/>
        <v>5.4172080221639218E-2</v>
      </c>
      <c r="R276" s="3">
        <f t="shared" si="262"/>
        <v>5.4172080221590473E-2</v>
      </c>
      <c r="S276" s="3">
        <f t="shared" si="262"/>
        <v>5.4172080221102988E-2</v>
      </c>
      <c r="T276" s="3">
        <f t="shared" si="262"/>
        <v>5.4172080216228151E-2</v>
      </c>
      <c r="U276" s="3">
        <f t="shared" si="262"/>
        <v>5.417208016747975E-2</v>
      </c>
      <c r="V276" s="3">
        <f t="shared" si="262"/>
        <v>5.4172079679995759E-2</v>
      </c>
      <c r="W276" s="3">
        <f t="shared" si="262"/>
        <v>5.417207480515606E-2</v>
      </c>
      <c r="X276" s="3">
        <f t="shared" si="262"/>
        <v>5.4172026056783271E-2</v>
      </c>
      <c r="Y276" s="3">
        <f t="shared" si="262"/>
        <v>5.4171538575468019E-2</v>
      </c>
      <c r="Z276" s="3">
        <f t="shared" si="262"/>
        <v>5.4166664003579126E-2</v>
      </c>
      <c r="AA276" s="3">
        <f t="shared" si="262"/>
        <v>5.4117942403020869E-2</v>
      </c>
      <c r="AB276" s="3">
        <f t="shared" si="262"/>
        <v>5.3633130219458744E-2</v>
      </c>
      <c r="AC276" s="3">
        <f t="shared" si="262"/>
        <v>4.9017575940139869E-2</v>
      </c>
      <c r="AD276" s="3">
        <f t="shared" si="262"/>
        <v>1.9931440479682812E-2</v>
      </c>
      <c r="AE276" s="3">
        <f t="shared" si="262"/>
        <v>2.4626758648072714E-6</v>
      </c>
      <c r="AF276" s="3">
        <f t="shared" si="262"/>
        <v>2.0421748581911852E-45</v>
      </c>
      <c r="AG276" s="3"/>
      <c r="AH276" s="3"/>
    </row>
    <row r="277" spans="1:34" x14ac:dyDescent="0.25">
      <c r="B277" s="3">
        <f t="shared" ref="B277:AF277" si="263">$C46*EXP(-B$246/$A46/EXP(-$E$126))</f>
        <v>3.8751330064371987E-2</v>
      </c>
      <c r="C277" s="3">
        <f t="shared" si="263"/>
        <v>3.8751330064371987E-2</v>
      </c>
      <c r="D277" s="3">
        <f t="shared" si="263"/>
        <v>3.8751330064371987E-2</v>
      </c>
      <c r="E277" s="3">
        <f t="shared" si="263"/>
        <v>3.8751330064371987E-2</v>
      </c>
      <c r="F277" s="3">
        <f t="shared" si="263"/>
        <v>3.8751330064371987E-2</v>
      </c>
      <c r="G277" s="3">
        <f t="shared" si="263"/>
        <v>3.8751330064371987E-2</v>
      </c>
      <c r="H277" s="3">
        <f t="shared" si="263"/>
        <v>3.8751330064371987E-2</v>
      </c>
      <c r="I277" s="3">
        <f t="shared" si="263"/>
        <v>3.8751330064371987E-2</v>
      </c>
      <c r="J277" s="3">
        <f t="shared" si="263"/>
        <v>3.8751330064371987E-2</v>
      </c>
      <c r="K277" s="3">
        <f t="shared" si="263"/>
        <v>3.8751330064371987E-2</v>
      </c>
      <c r="L277" s="3">
        <f t="shared" si="263"/>
        <v>3.8751330064371987E-2</v>
      </c>
      <c r="M277" s="3">
        <f t="shared" si="263"/>
        <v>3.8751330064371987E-2</v>
      </c>
      <c r="N277" s="3">
        <f t="shared" si="263"/>
        <v>3.8751330064371987E-2</v>
      </c>
      <c r="O277" s="3">
        <f t="shared" si="263"/>
        <v>3.875133006437198E-2</v>
      </c>
      <c r="P277" s="3">
        <f t="shared" si="263"/>
        <v>3.8751330064371946E-2</v>
      </c>
      <c r="Q277" s="3">
        <f t="shared" si="263"/>
        <v>3.8751330064371599E-2</v>
      </c>
      <c r="R277" s="3">
        <f t="shared" si="263"/>
        <v>3.8751330064368109E-2</v>
      </c>
      <c r="S277" s="3">
        <f t="shared" si="263"/>
        <v>3.8751330064333241E-2</v>
      </c>
      <c r="T277" s="3">
        <f t="shared" si="263"/>
        <v>3.8751330063984527E-2</v>
      </c>
      <c r="U277" s="3">
        <f t="shared" si="263"/>
        <v>3.8751330060497371E-2</v>
      </c>
      <c r="V277" s="3">
        <f t="shared" si="263"/>
        <v>3.8751330025625801E-2</v>
      </c>
      <c r="W277" s="3">
        <f t="shared" si="263"/>
        <v>3.8751329676910133E-2</v>
      </c>
      <c r="X277" s="3">
        <f t="shared" si="263"/>
        <v>3.8751326189753625E-2</v>
      </c>
      <c r="Y277" s="3">
        <f t="shared" si="263"/>
        <v>3.8751291318205844E-2</v>
      </c>
      <c r="Z277" s="3">
        <f t="shared" si="263"/>
        <v>3.8750942604453845E-2</v>
      </c>
      <c r="AA277" s="3">
        <f t="shared" si="263"/>
        <v>3.8747455639518841E-2</v>
      </c>
      <c r="AB277" s="3">
        <f t="shared" si="263"/>
        <v>3.8712603242919474E-2</v>
      </c>
      <c r="AC277" s="3">
        <f t="shared" si="263"/>
        <v>3.8365798821387617E-2</v>
      </c>
      <c r="AD277" s="3">
        <f t="shared" si="263"/>
        <v>3.5064118941713247E-2</v>
      </c>
      <c r="AE277" s="3">
        <f t="shared" si="263"/>
        <v>1.4257710346850782E-2</v>
      </c>
      <c r="AF277" s="3">
        <f t="shared" si="263"/>
        <v>1.7616448341701143E-6</v>
      </c>
      <c r="AG277" s="3"/>
      <c r="AH277" s="3"/>
    </row>
    <row r="278" spans="1:34" x14ac:dyDescent="0.25">
      <c r="B278" s="3">
        <f t="shared" ref="B278:AF278" si="264">$C47*EXP(-B$246/$A47/EXP(-$E$126))</f>
        <v>2.0828240532986285E-2</v>
      </c>
      <c r="C278" s="3">
        <f t="shared" si="264"/>
        <v>2.0828240532986285E-2</v>
      </c>
      <c r="D278" s="3">
        <f t="shared" si="264"/>
        <v>2.0828240532986285E-2</v>
      </c>
      <c r="E278" s="3">
        <f t="shared" si="264"/>
        <v>2.0828240532986285E-2</v>
      </c>
      <c r="F278" s="3">
        <f t="shared" si="264"/>
        <v>2.0828240532986285E-2</v>
      </c>
      <c r="G278" s="3">
        <f t="shared" si="264"/>
        <v>2.0828240532986285E-2</v>
      </c>
      <c r="H278" s="3">
        <f t="shared" si="264"/>
        <v>2.0828240532986285E-2</v>
      </c>
      <c r="I278" s="3">
        <f t="shared" si="264"/>
        <v>2.0828240532986285E-2</v>
      </c>
      <c r="J278" s="3">
        <f t="shared" si="264"/>
        <v>2.0828240532986285E-2</v>
      </c>
      <c r="K278" s="3">
        <f t="shared" si="264"/>
        <v>2.0828240532986285E-2</v>
      </c>
      <c r="L278" s="3">
        <f t="shared" si="264"/>
        <v>2.0828240532986285E-2</v>
      </c>
      <c r="M278" s="3">
        <f t="shared" si="264"/>
        <v>2.0828240532986285E-2</v>
      </c>
      <c r="N278" s="3">
        <f t="shared" si="264"/>
        <v>2.0828240532986285E-2</v>
      </c>
      <c r="O278" s="3">
        <f t="shared" si="264"/>
        <v>2.0828240532986285E-2</v>
      </c>
      <c r="P278" s="3">
        <f t="shared" si="264"/>
        <v>2.0828240532986281E-2</v>
      </c>
      <c r="Q278" s="3">
        <f t="shared" si="264"/>
        <v>2.0828240532986264E-2</v>
      </c>
      <c r="R278" s="3">
        <f t="shared" si="264"/>
        <v>2.0828240532986077E-2</v>
      </c>
      <c r="S278" s="3">
        <f t="shared" si="264"/>
        <v>2.08282405329842E-2</v>
      </c>
      <c r="T278" s="3">
        <f t="shared" si="264"/>
        <v>2.0828240532965458E-2</v>
      </c>
      <c r="U278" s="3">
        <f t="shared" si="264"/>
        <v>2.0828240532778031E-2</v>
      </c>
      <c r="V278" s="3">
        <f t="shared" si="264"/>
        <v>2.0828240530903739E-2</v>
      </c>
      <c r="W278" s="3">
        <f t="shared" si="264"/>
        <v>2.0828240512160812E-2</v>
      </c>
      <c r="X278" s="3">
        <f t="shared" si="264"/>
        <v>2.0828240324731531E-2</v>
      </c>
      <c r="Y278" s="3">
        <f t="shared" si="264"/>
        <v>2.0828238450438845E-2</v>
      </c>
      <c r="Z278" s="3">
        <f t="shared" si="264"/>
        <v>2.0828219707521276E-2</v>
      </c>
      <c r="AA278" s="3">
        <f t="shared" si="264"/>
        <v>2.0828032279273222E-2</v>
      </c>
      <c r="AB278" s="3">
        <f t="shared" si="264"/>
        <v>2.0826158089554427E-2</v>
      </c>
      <c r="AC278" s="3">
        <f t="shared" si="264"/>
        <v>2.0807425465453094E-2</v>
      </c>
      <c r="AD278" s="3">
        <f t="shared" si="264"/>
        <v>2.0621023452991338E-2</v>
      </c>
      <c r="AE278" s="3">
        <f t="shared" si="264"/>
        <v>1.8846421585583317E-2</v>
      </c>
      <c r="AF278" s="3">
        <f t="shared" si="264"/>
        <v>7.6632987838237722E-3</v>
      </c>
      <c r="AG278" s="3"/>
      <c r="AH278" s="3"/>
    </row>
    <row r="279" spans="1:34" x14ac:dyDescent="0.25">
      <c r="B279" s="3">
        <f t="shared" ref="B279:AF279" si="265">$C48*EXP(-B$246/$A48/EXP(-$E$126))</f>
        <v>2.990470230026878E-2</v>
      </c>
      <c r="C279" s="3">
        <f t="shared" si="265"/>
        <v>2.990470230026878E-2</v>
      </c>
      <c r="D279" s="3">
        <f t="shared" si="265"/>
        <v>2.990470230026878E-2</v>
      </c>
      <c r="E279" s="3">
        <f t="shared" si="265"/>
        <v>2.990470230026878E-2</v>
      </c>
      <c r="F279" s="3">
        <f t="shared" si="265"/>
        <v>2.990470230026878E-2</v>
      </c>
      <c r="G279" s="3">
        <f t="shared" si="265"/>
        <v>2.990470230026878E-2</v>
      </c>
      <c r="H279" s="3">
        <f t="shared" si="265"/>
        <v>2.990470230026878E-2</v>
      </c>
      <c r="I279" s="3">
        <f t="shared" si="265"/>
        <v>2.990470230026878E-2</v>
      </c>
      <c r="J279" s="3">
        <f t="shared" si="265"/>
        <v>2.990470230026878E-2</v>
      </c>
      <c r="K279" s="3">
        <f t="shared" si="265"/>
        <v>2.990470230026878E-2</v>
      </c>
      <c r="L279" s="3">
        <f t="shared" si="265"/>
        <v>2.990470230026878E-2</v>
      </c>
      <c r="M279" s="3">
        <f t="shared" si="265"/>
        <v>2.990470230026878E-2</v>
      </c>
      <c r="N279" s="3">
        <f t="shared" si="265"/>
        <v>2.990470230026878E-2</v>
      </c>
      <c r="O279" s="3">
        <f t="shared" si="265"/>
        <v>2.990470230026878E-2</v>
      </c>
      <c r="P279" s="3">
        <f t="shared" si="265"/>
        <v>2.990470230026878E-2</v>
      </c>
      <c r="Q279" s="3">
        <f t="shared" si="265"/>
        <v>2.9904702300268777E-2</v>
      </c>
      <c r="R279" s="3">
        <f t="shared" si="265"/>
        <v>2.9904702300268749E-2</v>
      </c>
      <c r="S279" s="3">
        <f t="shared" si="265"/>
        <v>2.9904702300268482E-2</v>
      </c>
      <c r="T279" s="3">
        <f t="shared" si="265"/>
        <v>2.990470230026579E-2</v>
      </c>
      <c r="U279" s="3">
        <f t="shared" si="265"/>
        <v>2.9904702300238881E-2</v>
      </c>
      <c r="V279" s="3">
        <f t="shared" si="265"/>
        <v>2.9904702299969773E-2</v>
      </c>
      <c r="W279" s="3">
        <f t="shared" si="265"/>
        <v>2.9904702297278707E-2</v>
      </c>
      <c r="X279" s="3">
        <f t="shared" si="265"/>
        <v>2.9904702270368049E-2</v>
      </c>
      <c r="Y279" s="3">
        <f t="shared" si="265"/>
        <v>2.9904702001261461E-2</v>
      </c>
      <c r="Z279" s="3">
        <f t="shared" si="265"/>
        <v>2.9904699310195709E-2</v>
      </c>
      <c r="AA279" s="3">
        <f t="shared" si="265"/>
        <v>2.9904672399551517E-2</v>
      </c>
      <c r="AB279" s="3">
        <f t="shared" si="265"/>
        <v>2.9904403294441467E-2</v>
      </c>
      <c r="AC279" s="3">
        <f t="shared" si="265"/>
        <v>2.9901712376526147E-2</v>
      </c>
      <c r="AD279" s="3">
        <f t="shared" si="265"/>
        <v>2.9874816511454582E-2</v>
      </c>
      <c r="AE279" s="3">
        <f t="shared" si="265"/>
        <v>2.9607184846551751E-2</v>
      </c>
      <c r="AF279" s="3">
        <f t="shared" si="265"/>
        <v>2.7059252847096923E-2</v>
      </c>
      <c r="AG279" s="3"/>
      <c r="AH279" s="3"/>
    </row>
    <row r="280" spans="1:34" x14ac:dyDescent="0.25">
      <c r="A280" s="80">
        <f>AVERAGE(B280:AF280)</f>
        <v>5.1179989899689758E-5</v>
      </c>
      <c r="B280" s="81">
        <f>IF($D$61&lt;=B246,IF($E$61&gt;=B246,ABS((B248-B247)/B247),0),0)</f>
        <v>3.1135752476472544E-4</v>
      </c>
      <c r="C280" s="81">
        <f t="shared" ref="C280:AF280" si="266">IF($D$61&lt;=C246,IF($E$61&gt;=C246,ABS((C248-C247)/C247),0),0)</f>
        <v>2.0177493879636776E-4</v>
      </c>
      <c r="D280" s="81">
        <f t="shared" si="266"/>
        <v>6.6197325064791957E-4</v>
      </c>
      <c r="E280" s="81">
        <f t="shared" si="266"/>
        <v>1.7415061125819475E-4</v>
      </c>
      <c r="F280" s="81">
        <f t="shared" si="266"/>
        <v>2.4408961552181276E-5</v>
      </c>
      <c r="G280" s="81">
        <f t="shared" si="266"/>
        <v>4.8429803013463895E-6</v>
      </c>
      <c r="H280" s="81">
        <f t="shared" si="266"/>
        <v>1.7534315404196986E-7</v>
      </c>
      <c r="I280" s="81">
        <f t="shared" si="266"/>
        <v>3.1590584063827577E-6</v>
      </c>
      <c r="J280" s="81">
        <f t="shared" si="266"/>
        <v>6.0768860785084543E-7</v>
      </c>
      <c r="K280" s="81">
        <f t="shared" si="266"/>
        <v>7.6004572832284309E-6</v>
      </c>
      <c r="L280" s="81">
        <f t="shared" si="266"/>
        <v>1.0394058683705281E-5</v>
      </c>
      <c r="M280" s="81">
        <f t="shared" si="266"/>
        <v>2.4177094149864716E-5</v>
      </c>
      <c r="N280" s="81">
        <f t="shared" si="266"/>
        <v>2.6331928419342964E-5</v>
      </c>
      <c r="O280" s="81">
        <f t="shared" si="266"/>
        <v>3.3403875824703301E-5</v>
      </c>
      <c r="P280" s="81">
        <f t="shared" si="266"/>
        <v>2.5771345693200175E-5</v>
      </c>
      <c r="Q280" s="81">
        <f t="shared" si="266"/>
        <v>2.7675504249711012E-5</v>
      </c>
      <c r="R280" s="81">
        <f t="shared" si="266"/>
        <v>1.4549085167680905E-5</v>
      </c>
      <c r="S280" s="81">
        <f t="shared" si="266"/>
        <v>1.3206125840904398E-5</v>
      </c>
      <c r="T280" s="81">
        <f t="shared" si="266"/>
        <v>1.2370490042657634E-6</v>
      </c>
      <c r="U280" s="81">
        <f t="shared" si="266"/>
        <v>4.6238232882249663E-6</v>
      </c>
      <c r="V280" s="81">
        <f t="shared" si="266"/>
        <v>3.9192009509920102E-6</v>
      </c>
      <c r="W280" s="81">
        <f t="shared" si="266"/>
        <v>7.6102344948242395E-7</v>
      </c>
      <c r="X280" s="81">
        <f t="shared" si="266"/>
        <v>1.0026048245260263E-5</v>
      </c>
      <c r="Y280" s="81">
        <f t="shared" si="266"/>
        <v>4.5270915080573667E-7</v>
      </c>
      <c r="Z280" s="81">
        <f t="shared" si="266"/>
        <v>0</v>
      </c>
      <c r="AA280" s="81">
        <f t="shared" si="266"/>
        <v>0</v>
      </c>
      <c r="AB280" s="81">
        <f t="shared" si="266"/>
        <v>0</v>
      </c>
      <c r="AC280" s="81">
        <f t="shared" si="266"/>
        <v>0</v>
      </c>
      <c r="AD280" s="81">
        <f t="shared" si="266"/>
        <v>0</v>
      </c>
      <c r="AE280" s="81">
        <f t="shared" si="266"/>
        <v>0</v>
      </c>
      <c r="AF280" s="81">
        <f t="shared" si="266"/>
        <v>0</v>
      </c>
    </row>
    <row r="281" spans="1:34" x14ac:dyDescent="0.25">
      <c r="B281" s="21">
        <f>(B248-B247)^2</f>
        <v>3.0494491906165417</v>
      </c>
      <c r="C281" s="21">
        <f t="shared" ref="C281:AF281" si="267">(C248-C247)^2</f>
        <v>1.2802122148678741</v>
      </c>
      <c r="D281" s="21">
        <f t="shared" si="267"/>
        <v>13.730273408112907</v>
      </c>
      <c r="E281" s="21">
        <f t="shared" si="267"/>
        <v>0.92273922503014738</v>
      </c>
      <c r="F281" s="21">
        <f t="shared" si="267"/>
        <v>1.7081462660518951E-2</v>
      </c>
      <c r="G281" s="21">
        <f t="shared" si="267"/>
        <v>6.4474128446505058E-4</v>
      </c>
      <c r="H281" s="21">
        <f t="shared" si="267"/>
        <v>8.1029206689371062E-7</v>
      </c>
      <c r="I281" s="21">
        <f t="shared" si="267"/>
        <v>2.5067783089871321E-4</v>
      </c>
      <c r="J281" s="21">
        <f t="shared" si="267"/>
        <v>8.8041284459451819E-6</v>
      </c>
      <c r="K281" s="21">
        <f t="shared" si="267"/>
        <v>1.2966159257751606E-3</v>
      </c>
      <c r="L281" s="21">
        <f t="shared" si="267"/>
        <v>2.2679028027007219E-3</v>
      </c>
      <c r="M281" s="21">
        <f t="shared" si="267"/>
        <v>1.1434411514861931E-2</v>
      </c>
      <c r="N281" s="21">
        <f t="shared" si="267"/>
        <v>1.2644710857961823E-2</v>
      </c>
      <c r="O281" s="21">
        <f t="shared" si="267"/>
        <v>1.880196909965496E-2</v>
      </c>
      <c r="P281" s="21">
        <f t="shared" si="267"/>
        <v>1.0123610497436358E-2</v>
      </c>
      <c r="Q281" s="21">
        <f t="shared" si="267"/>
        <v>1.042531454614482E-2</v>
      </c>
      <c r="R281" s="21">
        <f t="shared" si="267"/>
        <v>2.5869005278833751E-3</v>
      </c>
      <c r="S281" s="21">
        <f t="shared" si="267"/>
        <v>1.9083327823296256E-3</v>
      </c>
      <c r="T281" s="21">
        <f t="shared" si="267"/>
        <v>1.4742070737343045E-5</v>
      </c>
      <c r="U281" s="21">
        <f t="shared" si="267"/>
        <v>1.8124636949463314E-4</v>
      </c>
      <c r="V281" s="21">
        <f t="shared" si="267"/>
        <v>1.1441211747572235E-4</v>
      </c>
      <c r="W281" s="21">
        <f t="shared" si="267"/>
        <v>3.7681117202216712E-6</v>
      </c>
      <c r="X281" s="21">
        <f t="shared" si="267"/>
        <v>5.5898499698814569E-4</v>
      </c>
      <c r="Y281" s="21">
        <f t="shared" si="267"/>
        <v>9.5463598432201844E-7</v>
      </c>
      <c r="Z281" s="21">
        <f t="shared" si="267"/>
        <v>7.4952845725977286E-4</v>
      </c>
      <c r="AA281" s="21">
        <f t="shared" si="267"/>
        <v>2.7889799480128089E-5</v>
      </c>
      <c r="AB281" s="21">
        <f t="shared" si="267"/>
        <v>6.8201131916207508E-4</v>
      </c>
      <c r="AC281" s="21">
        <f t="shared" si="267"/>
        <v>1.9136643249896538E-4</v>
      </c>
      <c r="AD281" s="21">
        <f t="shared" si="267"/>
        <v>5.6132394994229385E-4</v>
      </c>
      <c r="AE281" s="21">
        <f t="shared" si="267"/>
        <v>3.9276450035459556E-5</v>
      </c>
      <c r="AF281" s="21">
        <f t="shared" si="267"/>
        <v>1.1197907443688201E-4</v>
      </c>
      <c r="AG281" s="3"/>
      <c r="AH281" s="3"/>
    </row>
    <row r="282" spans="1:34" s="3" customFormat="1" x14ac:dyDescent="0.25">
      <c r="A282" s="72">
        <f>SUM(B282:AF282)</f>
        <v>19.073024411681015</v>
      </c>
      <c r="B282" s="21">
        <f>IF($D$61&lt;=B246,IF($E$61&gt;=B246,ABS(B281),0),0)</f>
        <v>3.0494491906165417</v>
      </c>
      <c r="C282" s="21">
        <f t="shared" ref="C282:AF282" si="268">IF($D$61&lt;=C246,IF($E$61&gt;=C246,ABS(C281),0),0)</f>
        <v>1.2802122148678741</v>
      </c>
      <c r="D282" s="21">
        <f t="shared" si="268"/>
        <v>13.730273408112907</v>
      </c>
      <c r="E282" s="21">
        <f t="shared" si="268"/>
        <v>0.92273922503014738</v>
      </c>
      <c r="F282" s="21">
        <f t="shared" si="268"/>
        <v>1.7081462660518951E-2</v>
      </c>
      <c r="G282" s="21">
        <f t="shared" si="268"/>
        <v>6.4474128446505058E-4</v>
      </c>
      <c r="H282" s="21">
        <f t="shared" si="268"/>
        <v>8.1029206689371062E-7</v>
      </c>
      <c r="I282" s="21">
        <f t="shared" si="268"/>
        <v>2.5067783089871321E-4</v>
      </c>
      <c r="J282" s="21">
        <f t="shared" si="268"/>
        <v>8.8041284459451819E-6</v>
      </c>
      <c r="K282" s="21">
        <f t="shared" si="268"/>
        <v>1.2966159257751606E-3</v>
      </c>
      <c r="L282" s="21">
        <f t="shared" si="268"/>
        <v>2.2679028027007219E-3</v>
      </c>
      <c r="M282" s="21">
        <f t="shared" si="268"/>
        <v>1.1434411514861931E-2</v>
      </c>
      <c r="N282" s="21">
        <f t="shared" si="268"/>
        <v>1.2644710857961823E-2</v>
      </c>
      <c r="O282" s="21">
        <f t="shared" si="268"/>
        <v>1.880196909965496E-2</v>
      </c>
      <c r="P282" s="21">
        <f t="shared" si="268"/>
        <v>1.0123610497436358E-2</v>
      </c>
      <c r="Q282" s="21">
        <f t="shared" si="268"/>
        <v>1.042531454614482E-2</v>
      </c>
      <c r="R282" s="21">
        <f t="shared" si="268"/>
        <v>2.5869005278833751E-3</v>
      </c>
      <c r="S282" s="21">
        <f t="shared" si="268"/>
        <v>1.9083327823296256E-3</v>
      </c>
      <c r="T282" s="21">
        <f t="shared" si="268"/>
        <v>1.4742070737343045E-5</v>
      </c>
      <c r="U282" s="21">
        <f t="shared" si="268"/>
        <v>1.8124636949463314E-4</v>
      </c>
      <c r="V282" s="21">
        <f t="shared" si="268"/>
        <v>1.1441211747572235E-4</v>
      </c>
      <c r="W282" s="21">
        <f t="shared" si="268"/>
        <v>3.7681117202216712E-6</v>
      </c>
      <c r="X282" s="21">
        <f t="shared" si="268"/>
        <v>5.5898499698814569E-4</v>
      </c>
      <c r="Y282" s="21">
        <f t="shared" si="268"/>
        <v>9.5463598432201844E-7</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70" t="s">
        <v>27</v>
      </c>
      <c r="B284" s="11">
        <f>INDEX($D$1:$M$1,1,$F$122)</f>
        <v>80</v>
      </c>
    </row>
    <row r="285" spans="1:34" x14ac:dyDescent="0.25">
      <c r="A285" s="70"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5541.3343805505365</v>
      </c>
      <c r="C286" s="26">
        <f>INDEX(Comparison!$AM$3:$AS$33,G$14,$F$122)</f>
        <v>5343.1911525840997</v>
      </c>
      <c r="D286" s="26">
        <f>INDEX(Comparison!$AM$3:$AS$33,H$14,$F$122)</f>
        <v>5230.4848257433341</v>
      </c>
      <c r="E286" s="26">
        <f>INDEX(Comparison!$AM$3:$AS$33,I$14,$F$122)</f>
        <v>5120.1446027142574</v>
      </c>
      <c r="F286" s="26">
        <f>INDEX(Comparison!$AM$3:$AS$33,J$14,$F$122)</f>
        <v>4998.3099857085181</v>
      </c>
      <c r="G286" s="26">
        <f>INDEX(Comparison!$AM$3:$AS$33,K$14,$F$122)</f>
        <v>4868.289986185935</v>
      </c>
      <c r="H286" s="26">
        <f>INDEX(Comparison!$AM$3:$AS$33,L$14,$F$122)</f>
        <v>4722.7423685745798</v>
      </c>
      <c r="I286" s="26">
        <f>INDEX(Comparison!$AM$3:$AS$33,M$14,$F$122)</f>
        <v>4566.4647906515956</v>
      </c>
      <c r="J286" s="26">
        <f>INDEX(Comparison!$AM$3:$AS$33,N$14,$F$122)</f>
        <v>4408.434781704007</v>
      </c>
      <c r="K286" s="26">
        <f>INDEX(Comparison!$AM$3:$AS$33,O$14,$F$122)</f>
        <v>4256.2001953133786</v>
      </c>
      <c r="L286" s="26">
        <f>INDEX(Comparison!$AM$3:$AS$33,P$14,$F$122)</f>
        <v>4088.6897076558816</v>
      </c>
      <c r="M286" s="26">
        <f>INDEX(Comparison!$AM$3:$AS$33,Q$14,$F$122)</f>
        <v>3886.5453020717396</v>
      </c>
      <c r="N286" s="26">
        <f>INDEX(Comparison!$AM$3:$AS$33,R$14,$F$122)</f>
        <v>3674.0476464355193</v>
      </c>
      <c r="O286" s="26">
        <f>INDEX(Comparison!$AM$3:$AS$33,S$14,$F$122)</f>
        <v>3490.4964950029853</v>
      </c>
      <c r="P286" s="26">
        <f>INDEX(Comparison!$AM$3:$AS$33,T$14,$F$122)</f>
        <v>3328.6476119407066</v>
      </c>
      <c r="Q286" s="26">
        <f>INDEX(Comparison!$AM$3:$AS$33,U$14,$F$122)</f>
        <v>3162.6549081928265</v>
      </c>
      <c r="R286" s="26">
        <f>INDEX(Comparison!$AM$3:$AS$33,V$14,$F$122)</f>
        <v>2989.0593935666489</v>
      </c>
      <c r="S286" s="26">
        <f>INDEX(Comparison!$AM$3:$AS$33,W$14,$F$122)</f>
        <v>2798.1852090008501</v>
      </c>
      <c r="T286" s="26">
        <f>INDEX(Comparison!$AM$3:$AS$33,X$14,$F$122)</f>
        <v>2599.5030730508342</v>
      </c>
      <c r="U286" s="26">
        <f>INDEX(Comparison!$AM$3:$AS$33,Y$14,$F$122)</f>
        <v>2390.0680354035449</v>
      </c>
      <c r="V286" s="26">
        <f>INDEX(Comparison!$AM$3:$AS$33,Z$14,$F$122)</f>
        <v>2175.40034172183</v>
      </c>
      <c r="W286" s="26">
        <f>INDEX(Comparison!$AM$3:$AS$33,AA$14,$F$122)</f>
        <v>1944.7438917872487</v>
      </c>
      <c r="X286" s="26">
        <f>INDEX(Comparison!$AM$3:$AS$33,AB$14,$F$122)</f>
        <v>1692.3075271682321</v>
      </c>
      <c r="Y286" s="26">
        <f>INDEX(Comparison!$AM$3:$AS$33,AC$14,$F$122)</f>
        <v>1404.857998960405</v>
      </c>
      <c r="Z286" s="26">
        <f>INDEX(Comparison!$AM$3:$AS$33,AD$14,$F$122)</f>
        <v>1091.4425267820036</v>
      </c>
      <c r="AA286" s="26">
        <f>INDEX(Comparison!$AM$3:$AS$33,AE$14,$F$122)</f>
        <v>790.55484106714846</v>
      </c>
      <c r="AB286" s="26">
        <f>INDEX(Comparison!$AM$3:$AS$33,AF$14,$F$122)</f>
        <v>554.44228824478739</v>
      </c>
      <c r="AC286" s="26">
        <f>INDEX(Comparison!$AM$3:$AS$33,AG$14,$F$122)</f>
        <v>402.30286435501444</v>
      </c>
      <c r="AD286" s="26">
        <f>INDEX(Comparison!$AM$3:$AS$33,AH$14,$F$122)</f>
        <v>323.52349101295181</v>
      </c>
      <c r="AE286" s="26">
        <f>INDEX(Comparison!$AM$3:$AS$33,AI$14,$F$122)</f>
        <v>284.35137217816799</v>
      </c>
      <c r="AF286" s="26">
        <f>INDEX(Comparison!$AM$3:$AS$33,AJ$14,$F$122)</f>
        <v>264.92729834801332</v>
      </c>
      <c r="AG286" s="26"/>
      <c r="AH286" s="26"/>
    </row>
    <row r="287" spans="1:34" x14ac:dyDescent="0.25">
      <c r="A287" s="71" t="s">
        <v>22</v>
      </c>
      <c r="B287" s="27">
        <f>($C$17+SUM(B288:B318))*$B$51</f>
        <v>5518.5108090340582</v>
      </c>
      <c r="C287" s="27">
        <f t="shared" ref="C287:AF287" si="269">($C$17+SUM(C288:C318))*$B$51</f>
        <v>5356.6901361538758</v>
      </c>
      <c r="D287" s="27">
        <f t="shared" si="269"/>
        <v>5244.6297717345606</v>
      </c>
      <c r="E287" s="27">
        <f t="shared" si="269"/>
        <v>5135.5637124721807</v>
      </c>
      <c r="F287" s="27">
        <f t="shared" si="269"/>
        <v>5013.9577741875455</v>
      </c>
      <c r="G287" s="27">
        <f t="shared" si="269"/>
        <v>4884.9294007583048</v>
      </c>
      <c r="H287" s="27">
        <f t="shared" si="269"/>
        <v>4740.2452925772541</v>
      </c>
      <c r="I287" s="27">
        <f t="shared" si="269"/>
        <v>4584.2692090136816</v>
      </c>
      <c r="J287" s="27">
        <f t="shared" si="269"/>
        <v>4425.5236004242997</v>
      </c>
      <c r="K287" s="27">
        <f t="shared" si="269"/>
        <v>4272.6884140800867</v>
      </c>
      <c r="L287" s="27">
        <f t="shared" si="269"/>
        <v>4107.8839306156697</v>
      </c>
      <c r="M287" s="27">
        <f t="shared" si="269"/>
        <v>3907.3791481620492</v>
      </c>
      <c r="N287" s="27">
        <f t="shared" si="269"/>
        <v>3692.3627531864136</v>
      </c>
      <c r="O287" s="27">
        <f t="shared" si="269"/>
        <v>3498.2714170155623</v>
      </c>
      <c r="P287" s="27">
        <f t="shared" si="269"/>
        <v>3310.6826715642774</v>
      </c>
      <c r="Q287" s="27">
        <f t="shared" si="269"/>
        <v>3106.332828947086</v>
      </c>
      <c r="R287" s="27">
        <f t="shared" si="269"/>
        <v>2913.9419266464247</v>
      </c>
      <c r="S287" s="27">
        <f t="shared" si="269"/>
        <v>2731.541440052802</v>
      </c>
      <c r="T287" s="27">
        <f t="shared" si="269"/>
        <v>2552.7947838556938</v>
      </c>
      <c r="U287" s="27">
        <f t="shared" si="269"/>
        <v>2361.3766387171022</v>
      </c>
      <c r="V287" s="27">
        <f t="shared" si="269"/>
        <v>2161.5974963179742</v>
      </c>
      <c r="W287" s="27">
        <f t="shared" si="269"/>
        <v>1943.0144249958792</v>
      </c>
      <c r="X287" s="27">
        <f t="shared" si="269"/>
        <v>1701.2861427775476</v>
      </c>
      <c r="Y287" s="27">
        <f t="shared" si="269"/>
        <v>1422.1712867018177</v>
      </c>
      <c r="Z287" s="27">
        <f t="shared" si="269"/>
        <v>1112.9608908177979</v>
      </c>
      <c r="AA287" s="27">
        <f t="shared" si="269"/>
        <v>810.44147468550216</v>
      </c>
      <c r="AB287" s="27">
        <f t="shared" si="269"/>
        <v>568.90441185435031</v>
      </c>
      <c r="AC287" s="27">
        <f t="shared" si="269"/>
        <v>410.61835897749381</v>
      </c>
      <c r="AD287" s="27">
        <f t="shared" si="269"/>
        <v>277.57258908436597</v>
      </c>
      <c r="AE287" s="27">
        <f t="shared" si="269"/>
        <v>213.72726713502007</v>
      </c>
      <c r="AF287" s="27">
        <f t="shared" si="269"/>
        <v>213.71664305722481</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0</v>
      </c>
      <c r="C289" s="3">
        <f t="shared" si="271"/>
        <v>0</v>
      </c>
      <c r="D289" s="3">
        <f t="shared" si="271"/>
        <v>0</v>
      </c>
      <c r="E289" s="3">
        <f t="shared" si="271"/>
        <v>0</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1.1315324100981234E-3</v>
      </c>
      <c r="C290" s="3">
        <f t="shared" si="272"/>
        <v>2.0977631613500359E-12</v>
      </c>
      <c r="D290" s="3">
        <f t="shared" si="272"/>
        <v>1.0061228715952352E-99</v>
      </c>
      <c r="E290" s="3">
        <f t="shared" si="272"/>
        <v>0</v>
      </c>
      <c r="F290" s="3">
        <f t="shared" si="272"/>
        <v>0</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2.9509241458858217E-2</v>
      </c>
      <c r="C291" s="3">
        <f t="shared" si="273"/>
        <v>4.8113513500022869E-3</v>
      </c>
      <c r="D291" s="3">
        <f t="shared" si="273"/>
        <v>6.3878886548024417E-11</v>
      </c>
      <c r="E291" s="3">
        <f t="shared" si="273"/>
        <v>1.0870761991541873E-89</v>
      </c>
      <c r="F291" s="3">
        <f t="shared" si="273"/>
        <v>0</v>
      </c>
      <c r="G291" s="3">
        <f t="shared" si="273"/>
        <v>0</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1.7637833995181634E-2</v>
      </c>
      <c r="C292" s="3">
        <f t="shared" si="274"/>
        <v>1.4975763465855246E-2</v>
      </c>
      <c r="D292" s="3">
        <f t="shared" si="274"/>
        <v>2.9162596192808883E-3</v>
      </c>
      <c r="E292" s="3">
        <f t="shared" si="274"/>
        <v>2.2866426919239362E-10</v>
      </c>
      <c r="F292" s="3">
        <f t="shared" si="274"/>
        <v>2.0087206304958204E-81</v>
      </c>
      <c r="G292" s="3">
        <f t="shared" si="274"/>
        <v>0</v>
      </c>
      <c r="H292" s="3">
        <f t="shared" si="274"/>
        <v>0</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2.0348811495651056E-2</v>
      </c>
      <c r="C293" s="3">
        <f t="shared" si="275"/>
        <v>2.0050683475443167E-2</v>
      </c>
      <c r="D293" s="3">
        <f t="shared" si="275"/>
        <v>1.7299378720279635E-2</v>
      </c>
      <c r="E293" s="3">
        <f t="shared" si="275"/>
        <v>3.9540645856673664E-3</v>
      </c>
      <c r="F293" s="3">
        <f t="shared" si="275"/>
        <v>1.5387791129931953E-9</v>
      </c>
      <c r="G293" s="3">
        <f t="shared" si="275"/>
        <v>1.2260311975553187E-73</v>
      </c>
      <c r="H293" s="3">
        <f t="shared" si="275"/>
        <v>0</v>
      </c>
      <c r="I293" s="3">
        <f t="shared" si="275"/>
        <v>0</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2.3188342496419195E-2</v>
      </c>
      <c r="C294" s="3">
        <f t="shared" si="276"/>
        <v>2.3157489883039891E-2</v>
      </c>
      <c r="D294" s="3">
        <f t="shared" si="276"/>
        <v>2.2851212516638159E-2</v>
      </c>
      <c r="E294" s="3">
        <f t="shared" si="276"/>
        <v>2.0002621272651781E-2</v>
      </c>
      <c r="F294" s="3">
        <f t="shared" si="276"/>
        <v>5.2827923569431293E-3</v>
      </c>
      <c r="G294" s="3">
        <f t="shared" si="276"/>
        <v>8.7222760557933312E-9</v>
      </c>
      <c r="H294" s="3">
        <f t="shared" si="276"/>
        <v>1.3130845670533606E-66</v>
      </c>
      <c r="I294" s="3">
        <f t="shared" si="276"/>
        <v>0</v>
      </c>
      <c r="J294" s="3">
        <f t="shared" si="276"/>
        <v>0</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2.374838584230738E-2</v>
      </c>
      <c r="C295" s="3">
        <f t="shared" si="277"/>
        <v>2.3745533734500106E-2</v>
      </c>
      <c r="D295" s="3">
        <f t="shared" si="277"/>
        <v>2.3717031488755164E-2</v>
      </c>
      <c r="E295" s="3">
        <f t="shared" si="277"/>
        <v>2.3433883922096062E-2</v>
      </c>
      <c r="F295" s="3">
        <f t="shared" si="277"/>
        <v>2.0781826555897151E-2</v>
      </c>
      <c r="G295" s="3">
        <f t="shared" si="277"/>
        <v>6.2528517412901293E-3</v>
      </c>
      <c r="H295" s="3">
        <f t="shared" si="277"/>
        <v>3.8020890703600754E-8</v>
      </c>
      <c r="I295" s="3">
        <f t="shared" si="277"/>
        <v>2.6270227859171511E-60</v>
      </c>
      <c r="J295" s="3">
        <f t="shared" si="277"/>
        <v>0</v>
      </c>
      <c r="K295" s="3">
        <f t="shared" si="277"/>
        <v>0</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2.8130710789482611E-2</v>
      </c>
      <c r="C296" s="3">
        <f t="shared" si="278"/>
        <v>2.8130406012008675E-2</v>
      </c>
      <c r="D296" s="3">
        <f t="shared" si="278"/>
        <v>2.8127358418876768E-2</v>
      </c>
      <c r="E296" s="3">
        <f t="shared" si="278"/>
        <v>2.8096900641022049E-2</v>
      </c>
      <c r="F296" s="3">
        <f t="shared" si="278"/>
        <v>2.7794130952729933E-2</v>
      </c>
      <c r="G296" s="3">
        <f t="shared" si="278"/>
        <v>2.4940200256752691E-2</v>
      </c>
      <c r="H296" s="3">
        <f t="shared" si="278"/>
        <v>8.4405025558487844E-3</v>
      </c>
      <c r="I296" s="3">
        <f t="shared" si="278"/>
        <v>1.6636118291031993E-7</v>
      </c>
      <c r="J296" s="3">
        <f t="shared" si="278"/>
        <v>1.4719360436590193E-54</v>
      </c>
      <c r="K296" s="3">
        <f t="shared" si="278"/>
        <v>0</v>
      </c>
      <c r="L296" s="3">
        <f t="shared" si="278"/>
        <v>0</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2.9651762141469619E-2</v>
      </c>
      <c r="C297" s="3">
        <f t="shared" si="279"/>
        <v>2.9651733161268276E-2</v>
      </c>
      <c r="D297" s="3">
        <f t="shared" si="279"/>
        <v>2.9651443360812664E-2</v>
      </c>
      <c r="E297" s="3">
        <f t="shared" si="279"/>
        <v>2.9648545512031638E-2</v>
      </c>
      <c r="F297" s="3">
        <f t="shared" si="279"/>
        <v>2.9619582596098329E-2</v>
      </c>
      <c r="G297" s="3">
        <f t="shared" si="279"/>
        <v>2.933150500804518E-2</v>
      </c>
      <c r="H297" s="3">
        <f t="shared" si="279"/>
        <v>2.6600419139087079E-2</v>
      </c>
      <c r="I297" s="3">
        <f t="shared" si="279"/>
        <v>1.0009901514114525E-2</v>
      </c>
      <c r="J297" s="3">
        <f t="shared" si="279"/>
        <v>5.6995825999140277E-7</v>
      </c>
      <c r="K297" s="3">
        <f t="shared" si="279"/>
        <v>2.0416228892077756E-49</v>
      </c>
      <c r="L297" s="3">
        <f t="shared" si="279"/>
        <v>0</v>
      </c>
      <c r="M297" s="3">
        <f t="shared" si="279"/>
        <v>0</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3.008752208111664E-2</v>
      </c>
      <c r="C298" s="3">
        <f t="shared" si="280"/>
        <v>3.0087519428441317E-2</v>
      </c>
      <c r="D298" s="3">
        <f t="shared" si="280"/>
        <v>3.0087492901700982E-2</v>
      </c>
      <c r="E298" s="3">
        <f t="shared" si="280"/>
        <v>3.0087227635583927E-2</v>
      </c>
      <c r="F298" s="3">
        <f t="shared" si="280"/>
        <v>3.0084575103039392E-2</v>
      </c>
      <c r="G298" s="3">
        <f t="shared" si="280"/>
        <v>3.0058062635999052E-2</v>
      </c>
      <c r="H298" s="3">
        <f t="shared" si="280"/>
        <v>2.9794219621409178E-2</v>
      </c>
      <c r="I298" s="3">
        <f t="shared" si="280"/>
        <v>2.7279870922593891E-2</v>
      </c>
      <c r="J298" s="3">
        <f t="shared" si="280"/>
        <v>1.1296535577623648E-2</v>
      </c>
      <c r="K298" s="3">
        <f t="shared" si="280"/>
        <v>1.6748461065476422E-6</v>
      </c>
      <c r="L298" s="3">
        <f t="shared" si="280"/>
        <v>8.595501958868839E-45</v>
      </c>
      <c r="M298" s="3">
        <f t="shared" si="280"/>
        <v>0</v>
      </c>
      <c r="N298" s="3">
        <f t="shared" si="280"/>
        <v>0</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2.6649166605460538E-2</v>
      </c>
      <c r="C299" s="3">
        <f t="shared" si="281"/>
        <v>2.6649166393513227E-2</v>
      </c>
      <c r="D299" s="3">
        <f t="shared" si="281"/>
        <v>2.6649164274040189E-2</v>
      </c>
      <c r="E299" s="3">
        <f t="shared" si="281"/>
        <v>2.6649143079319086E-2</v>
      </c>
      <c r="F299" s="3">
        <f t="shared" si="281"/>
        <v>2.6648931133035188E-2</v>
      </c>
      <c r="G299" s="3">
        <f t="shared" si="281"/>
        <v>2.6646811762904937E-2</v>
      </c>
      <c r="H299" s="3">
        <f t="shared" si="281"/>
        <v>2.6625627329749126E-2</v>
      </c>
      <c r="I299" s="3">
        <f t="shared" si="281"/>
        <v>2.6414707091317689E-2</v>
      </c>
      <c r="J299" s="3">
        <f t="shared" si="281"/>
        <v>2.4395251575414563E-2</v>
      </c>
      <c r="K299" s="3">
        <f t="shared" si="281"/>
        <v>1.1012865116640527E-2</v>
      </c>
      <c r="L299" s="3">
        <f t="shared" si="281"/>
        <v>3.8712436850904092E-6</v>
      </c>
      <c r="M299" s="3">
        <f t="shared" si="281"/>
        <v>1.1151990946237276E-40</v>
      </c>
      <c r="N299" s="3">
        <f t="shared" si="281"/>
        <v>0</v>
      </c>
      <c r="O299" s="3">
        <f t="shared" si="281"/>
        <v>0</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3.2769511000102655E-2</v>
      </c>
      <c r="C300" s="3">
        <f t="shared" si="282"/>
        <v>3.2769510976592212E-2</v>
      </c>
      <c r="D300" s="3">
        <f t="shared" si="282"/>
        <v>3.2769510741487769E-2</v>
      </c>
      <c r="E300" s="3">
        <f t="shared" si="282"/>
        <v>3.2769508390443437E-2</v>
      </c>
      <c r="F300" s="3">
        <f t="shared" si="282"/>
        <v>3.2769484880009449E-2</v>
      </c>
      <c r="G300" s="3">
        <f t="shared" si="282"/>
        <v>3.2769249776597217E-2</v>
      </c>
      <c r="H300" s="3">
        <f t="shared" si="282"/>
        <v>3.2766898835243669E-2</v>
      </c>
      <c r="I300" s="3">
        <f t="shared" si="282"/>
        <v>3.2743398696118642E-2</v>
      </c>
      <c r="J300" s="3">
        <f t="shared" si="282"/>
        <v>3.2509322288684625E-2</v>
      </c>
      <c r="K300" s="3">
        <f t="shared" si="282"/>
        <v>3.0258647581702998E-2</v>
      </c>
      <c r="L300" s="3">
        <f t="shared" si="282"/>
        <v>1.4766089125174889E-2</v>
      </c>
      <c r="M300" s="3">
        <f t="shared" si="282"/>
        <v>1.1309026125840303E-5</v>
      </c>
      <c r="N300" s="3">
        <f t="shared" si="282"/>
        <v>7.8527618518514446E-37</v>
      </c>
      <c r="O300" s="3">
        <f t="shared" si="282"/>
        <v>0</v>
      </c>
      <c r="P300" s="3">
        <f t="shared" si="282"/>
        <v>0</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4.1907199464789782E-2</v>
      </c>
      <c r="C301" s="3">
        <f t="shared" si="283"/>
        <v>4.1907199462077563E-2</v>
      </c>
      <c r="D301" s="3">
        <f t="shared" si="283"/>
        <v>4.1907199434955279E-2</v>
      </c>
      <c r="E301" s="3">
        <f t="shared" si="283"/>
        <v>4.1907199163732541E-2</v>
      </c>
      <c r="F301" s="3">
        <f t="shared" si="283"/>
        <v>4.1907196451505209E-2</v>
      </c>
      <c r="G301" s="3">
        <f t="shared" si="283"/>
        <v>4.190716932924151E-2</v>
      </c>
      <c r="H301" s="3">
        <f t="shared" si="283"/>
        <v>4.1906898107569958E-2</v>
      </c>
      <c r="I301" s="3">
        <f t="shared" si="283"/>
        <v>4.190418598739612E-2</v>
      </c>
      <c r="J301" s="3">
        <f t="shared" si="283"/>
        <v>4.1877074437511125E-2</v>
      </c>
      <c r="K301" s="3">
        <f t="shared" si="283"/>
        <v>4.1606921816726414E-2</v>
      </c>
      <c r="L301" s="3">
        <f t="shared" si="283"/>
        <v>3.8999417047491741E-2</v>
      </c>
      <c r="M301" s="3">
        <f t="shared" si="283"/>
        <v>2.0416599096329504E-2</v>
      </c>
      <c r="N301" s="3">
        <f t="shared" si="283"/>
        <v>3.1567214204778207E-5</v>
      </c>
      <c r="O301" s="3">
        <f t="shared" si="283"/>
        <v>2.4647042837273775E-33</v>
      </c>
      <c r="P301" s="3">
        <f t="shared" si="283"/>
        <v>0</v>
      </c>
      <c r="Q301" s="3">
        <f t="shared" si="283"/>
        <v>0</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3.8766931940981693E-2</v>
      </c>
      <c r="C302" s="3">
        <f t="shared" si="284"/>
        <v>3.876693194075536E-2</v>
      </c>
      <c r="D302" s="3">
        <f t="shared" si="284"/>
        <v>3.8766931938492039E-2</v>
      </c>
      <c r="E302" s="3">
        <f t="shared" si="284"/>
        <v>3.8766931915858865E-2</v>
      </c>
      <c r="F302" s="3">
        <f t="shared" si="284"/>
        <v>3.8766931689527113E-2</v>
      </c>
      <c r="G302" s="3">
        <f t="shared" si="284"/>
        <v>3.8766929426209656E-2</v>
      </c>
      <c r="H302" s="3">
        <f t="shared" si="284"/>
        <v>3.8766906793042309E-2</v>
      </c>
      <c r="I302" s="3">
        <f t="shared" si="284"/>
        <v>3.876668046209563E-2</v>
      </c>
      <c r="J302" s="3">
        <f t="shared" si="284"/>
        <v>3.876441722530332E-2</v>
      </c>
      <c r="K302" s="3">
        <f t="shared" si="284"/>
        <v>3.8741792123256541E-2</v>
      </c>
      <c r="L302" s="3">
        <f t="shared" si="284"/>
        <v>3.8516266123326821E-2</v>
      </c>
      <c r="M302" s="3">
        <f t="shared" si="284"/>
        <v>3.6331966175468959E-2</v>
      </c>
      <c r="N302" s="3">
        <f t="shared" si="284"/>
        <v>2.0264510876796357E-2</v>
      </c>
      <c r="O302" s="3">
        <f t="shared" si="284"/>
        <v>5.904843210037874E-5</v>
      </c>
      <c r="P302" s="3">
        <f t="shared" si="284"/>
        <v>2.6057384265712196E-30</v>
      </c>
      <c r="Q302" s="3">
        <f t="shared" si="284"/>
        <v>7.2971838600745582E-284</v>
      </c>
      <c r="R302" s="3">
        <f t="shared" si="284"/>
        <v>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3.2038673628357321E-2</v>
      </c>
      <c r="C303" s="3">
        <f t="shared" si="285"/>
        <v>3.2038673628340446E-2</v>
      </c>
      <c r="D303" s="3">
        <f t="shared" si="285"/>
        <v>3.2038673628171713E-2</v>
      </c>
      <c r="E303" s="3">
        <f t="shared" si="285"/>
        <v>3.2038673626484361E-2</v>
      </c>
      <c r="F303" s="3">
        <f t="shared" si="285"/>
        <v>3.2038673609610858E-2</v>
      </c>
      <c r="G303" s="3">
        <f t="shared" si="285"/>
        <v>3.203867344087586E-2</v>
      </c>
      <c r="H303" s="3">
        <f t="shared" si="285"/>
        <v>3.2038671753525913E-2</v>
      </c>
      <c r="I303" s="3">
        <f t="shared" si="285"/>
        <v>3.2038654880031298E-2</v>
      </c>
      <c r="J303" s="3">
        <f t="shared" si="285"/>
        <v>3.2038486145573933E-2</v>
      </c>
      <c r="K303" s="3">
        <f t="shared" si="285"/>
        <v>3.2036798849875522E-2</v>
      </c>
      <c r="L303" s="3">
        <f t="shared" si="285"/>
        <v>3.2019930779465508E-2</v>
      </c>
      <c r="M303" s="3">
        <f t="shared" si="285"/>
        <v>3.1851737781894346E-2</v>
      </c>
      <c r="N303" s="3">
        <f t="shared" si="285"/>
        <v>3.0217641332708545E-2</v>
      </c>
      <c r="O303" s="3">
        <f t="shared" si="285"/>
        <v>1.7845752476784257E-2</v>
      </c>
      <c r="P303" s="3">
        <f t="shared" si="285"/>
        <v>9.2103873273582931E-5</v>
      </c>
      <c r="Q303" s="3">
        <f t="shared" si="285"/>
        <v>1.2351172451244189E-27</v>
      </c>
      <c r="R303" s="3">
        <f t="shared" si="285"/>
        <v>2.3227961617942789E-256</v>
      </c>
      <c r="S303" s="3">
        <f t="shared" si="285"/>
        <v>0</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3.8815204020590167E-2</v>
      </c>
      <c r="C304" s="3">
        <f t="shared" si="286"/>
        <v>3.8815204020588329E-2</v>
      </c>
      <c r="D304" s="3">
        <f t="shared" si="286"/>
        <v>3.8815204020569885E-2</v>
      </c>
      <c r="E304" s="3">
        <f t="shared" si="286"/>
        <v>3.8815204020385477E-2</v>
      </c>
      <c r="F304" s="3">
        <f t="shared" si="286"/>
        <v>3.8815204018541397E-2</v>
      </c>
      <c r="G304" s="3">
        <f t="shared" si="286"/>
        <v>3.8815204000100627E-2</v>
      </c>
      <c r="H304" s="3">
        <f t="shared" si="286"/>
        <v>3.8815203815692902E-2</v>
      </c>
      <c r="I304" s="3">
        <f t="shared" si="286"/>
        <v>3.8815201971615698E-2</v>
      </c>
      <c r="J304" s="3">
        <f t="shared" si="286"/>
        <v>3.8815183530848438E-2</v>
      </c>
      <c r="K304" s="3">
        <f t="shared" si="286"/>
        <v>3.8814999123657705E-2</v>
      </c>
      <c r="L304" s="3">
        <f t="shared" si="286"/>
        <v>3.8813155099935201E-2</v>
      </c>
      <c r="M304" s="3">
        <f t="shared" si="286"/>
        <v>3.8794719680348859E-2</v>
      </c>
      <c r="N304" s="3">
        <f t="shared" si="286"/>
        <v>3.8610846402560288E-2</v>
      </c>
      <c r="O304" s="3">
        <f t="shared" si="286"/>
        <v>3.6819370691423874E-2</v>
      </c>
      <c r="P304" s="3">
        <f t="shared" si="286"/>
        <v>2.289532192732734E-2</v>
      </c>
      <c r="Q304" s="3">
        <f t="shared" si="286"/>
        <v>1.9790222878723356E-4</v>
      </c>
      <c r="R304" s="3">
        <f t="shared" si="286"/>
        <v>4.6077615206372863E-25</v>
      </c>
      <c r="S304" s="3">
        <f t="shared" si="286"/>
        <v>2.1571635695265579E-231</v>
      </c>
      <c r="T304" s="3">
        <f t="shared" si="286"/>
        <v>0</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3.6757921520569746E-2</v>
      </c>
      <c r="C305" s="3">
        <f t="shared" si="287"/>
        <v>3.6757921520569586E-2</v>
      </c>
      <c r="D305" s="3">
        <f t="shared" si="287"/>
        <v>3.6757921520568011E-2</v>
      </c>
      <c r="E305" s="3">
        <f t="shared" si="287"/>
        <v>3.675792152055226E-2</v>
      </c>
      <c r="F305" s="3">
        <f t="shared" si="287"/>
        <v>3.6757921520394726E-2</v>
      </c>
      <c r="G305" s="3">
        <f t="shared" si="287"/>
        <v>3.6757921518819382E-2</v>
      </c>
      <c r="H305" s="3">
        <f t="shared" si="287"/>
        <v>3.6757921503065963E-2</v>
      </c>
      <c r="I305" s="3">
        <f t="shared" si="287"/>
        <v>3.675792134553179E-2</v>
      </c>
      <c r="J305" s="3">
        <f t="shared" si="287"/>
        <v>3.6757919770190106E-2</v>
      </c>
      <c r="K305" s="3">
        <f t="shared" si="287"/>
        <v>3.6757904016776956E-2</v>
      </c>
      <c r="L305" s="3">
        <f t="shared" si="287"/>
        <v>3.6757746483016829E-2</v>
      </c>
      <c r="M305" s="3">
        <f t="shared" si="287"/>
        <v>3.6756171182548023E-2</v>
      </c>
      <c r="N305" s="3">
        <f t="shared" si="287"/>
        <v>3.6740421890516496E-2</v>
      </c>
      <c r="O305" s="3">
        <f t="shared" si="287"/>
        <v>3.6583299647812685E-2</v>
      </c>
      <c r="P305" s="3">
        <f t="shared" si="287"/>
        <v>3.5048563869693954E-2</v>
      </c>
      <c r="Q305" s="3">
        <f t="shared" si="287"/>
        <v>2.2831989542312733E-2</v>
      </c>
      <c r="R305" s="3">
        <f t="shared" si="287"/>
        <v>3.142527253384738E-4</v>
      </c>
      <c r="S305" s="3">
        <f t="shared" si="287"/>
        <v>7.6671156106512E-23</v>
      </c>
      <c r="T305" s="3">
        <f t="shared" si="287"/>
        <v>5.7300921145827652E-209</v>
      </c>
      <c r="U305" s="3">
        <f t="shared" si="287"/>
        <v>0</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3.3395319995761917E-2</v>
      </c>
      <c r="C306" s="3">
        <f t="shared" si="288"/>
        <v>3.3395319995761903E-2</v>
      </c>
      <c r="D306" s="3">
        <f t="shared" si="288"/>
        <v>3.3395319995761771E-2</v>
      </c>
      <c r="E306" s="3">
        <f t="shared" si="288"/>
        <v>3.3395319995760481E-2</v>
      </c>
      <c r="F306" s="3">
        <f t="shared" si="288"/>
        <v>3.3395319995747574E-2</v>
      </c>
      <c r="G306" s="3">
        <f t="shared" si="288"/>
        <v>3.3395319995618462E-2</v>
      </c>
      <c r="H306" s="3">
        <f t="shared" si="288"/>
        <v>3.3395319994327377E-2</v>
      </c>
      <c r="I306" s="3">
        <f t="shared" si="288"/>
        <v>3.3395319981416489E-2</v>
      </c>
      <c r="J306" s="3">
        <f t="shared" si="288"/>
        <v>3.3395319852307634E-2</v>
      </c>
      <c r="K306" s="3">
        <f t="shared" si="288"/>
        <v>3.3395318561219113E-2</v>
      </c>
      <c r="L306" s="3">
        <f t="shared" si="288"/>
        <v>3.3395305650336632E-2</v>
      </c>
      <c r="M306" s="3">
        <f t="shared" si="288"/>
        <v>3.3395176541786371E-2</v>
      </c>
      <c r="N306" s="3">
        <f t="shared" si="288"/>
        <v>3.3393885483736251E-2</v>
      </c>
      <c r="O306" s="3">
        <f t="shared" si="288"/>
        <v>3.3380977648094598E-2</v>
      </c>
      <c r="P306" s="3">
        <f t="shared" si="288"/>
        <v>3.3252173385394497E-2</v>
      </c>
      <c r="Q306" s="3">
        <f t="shared" si="288"/>
        <v>3.1991152074686877E-2</v>
      </c>
      <c r="R306" s="3">
        <f t="shared" si="288"/>
        <v>2.1733432356035802E-2</v>
      </c>
      <c r="S306" s="3">
        <f t="shared" si="288"/>
        <v>4.5510616054638759E-4</v>
      </c>
      <c r="T306" s="3">
        <f t="shared" si="288"/>
        <v>7.378305961537917E-21</v>
      </c>
      <c r="U306" s="3">
        <f t="shared" si="288"/>
        <v>9.255419788555797E-189</v>
      </c>
      <c r="V306" s="3">
        <f t="shared" si="288"/>
        <v>0</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3.5168182509434494E-2</v>
      </c>
      <c r="C307" s="3">
        <f t="shared" si="289"/>
        <v>3.5168182509434494E-2</v>
      </c>
      <c r="D307" s="3">
        <f t="shared" si="289"/>
        <v>3.516818250943448E-2</v>
      </c>
      <c r="E307" s="3">
        <f t="shared" si="289"/>
        <v>3.5168182509434355E-2</v>
      </c>
      <c r="F307" s="3">
        <f t="shared" si="289"/>
        <v>3.5168182509433134E-2</v>
      </c>
      <c r="G307" s="3">
        <f t="shared" si="289"/>
        <v>3.5168182509420866E-2</v>
      </c>
      <c r="H307" s="3">
        <f t="shared" si="289"/>
        <v>3.5168182509298214E-2</v>
      </c>
      <c r="I307" s="3">
        <f t="shared" si="289"/>
        <v>3.5168182508071716E-2</v>
      </c>
      <c r="J307" s="3">
        <f t="shared" si="289"/>
        <v>3.5168182495806735E-2</v>
      </c>
      <c r="K307" s="3">
        <f t="shared" si="289"/>
        <v>3.5168182373156907E-2</v>
      </c>
      <c r="L307" s="3">
        <f t="shared" si="289"/>
        <v>3.5168181146658678E-2</v>
      </c>
      <c r="M307" s="3">
        <f t="shared" si="289"/>
        <v>3.5168168881678674E-2</v>
      </c>
      <c r="N307" s="3">
        <f t="shared" si="289"/>
        <v>3.5168046232113954E-2</v>
      </c>
      <c r="O307" s="3">
        <f t="shared" si="289"/>
        <v>3.5166819759992314E-2</v>
      </c>
      <c r="P307" s="3">
        <f t="shared" si="289"/>
        <v>3.5154557391030787E-2</v>
      </c>
      <c r="Q307" s="3">
        <f t="shared" si="289"/>
        <v>3.5032168623652493E-2</v>
      </c>
      <c r="R307" s="3">
        <f t="shared" si="289"/>
        <v>3.383147284093687E-2</v>
      </c>
      <c r="S307" s="3">
        <f t="shared" si="289"/>
        <v>2.3870401801401313E-2</v>
      </c>
      <c r="T307" s="3">
        <f t="shared" si="289"/>
        <v>7.2987413351293794E-4</v>
      </c>
      <c r="U307" s="3">
        <f t="shared" si="289"/>
        <v>5.2135123376201326E-19</v>
      </c>
      <c r="V307" s="3">
        <f t="shared" si="289"/>
        <v>1.8028298287479491E-170</v>
      </c>
      <c r="W307" s="3">
        <f t="shared" si="289"/>
        <v>0</v>
      </c>
      <c r="X307" s="3">
        <f t="shared" si="289"/>
        <v>0</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2.0659155414283158E-2</v>
      </c>
      <c r="C308" s="3">
        <f t="shared" si="290"/>
        <v>2.0659155414283158E-2</v>
      </c>
      <c r="D308" s="3">
        <f t="shared" si="290"/>
        <v>2.0659155414283158E-2</v>
      </c>
      <c r="E308" s="3">
        <f t="shared" si="290"/>
        <v>2.0659155414283151E-2</v>
      </c>
      <c r="F308" s="3">
        <f t="shared" si="290"/>
        <v>2.0659155414283089E-2</v>
      </c>
      <c r="G308" s="3">
        <f t="shared" si="290"/>
        <v>2.0659155414282437E-2</v>
      </c>
      <c r="H308" s="3">
        <f t="shared" si="290"/>
        <v>2.0659155414275935E-2</v>
      </c>
      <c r="I308" s="3">
        <f t="shared" si="290"/>
        <v>2.0659155414210942E-2</v>
      </c>
      <c r="J308" s="3">
        <f t="shared" si="290"/>
        <v>2.0659155413561E-2</v>
      </c>
      <c r="K308" s="3">
        <f t="shared" si="290"/>
        <v>2.0659155407061553E-2</v>
      </c>
      <c r="L308" s="3">
        <f t="shared" si="290"/>
        <v>2.0659155342067123E-2</v>
      </c>
      <c r="M308" s="3">
        <f t="shared" si="290"/>
        <v>2.0659154692122792E-2</v>
      </c>
      <c r="N308" s="3">
        <f t="shared" si="290"/>
        <v>2.0659148192680644E-2</v>
      </c>
      <c r="O308" s="3">
        <f t="shared" si="290"/>
        <v>2.0659083198371619E-2</v>
      </c>
      <c r="P308" s="3">
        <f t="shared" si="290"/>
        <v>2.0658433266527325E-2</v>
      </c>
      <c r="Q308" s="3">
        <f t="shared" si="290"/>
        <v>2.0651935072550292E-2</v>
      </c>
      <c r="R308" s="3">
        <f t="shared" si="290"/>
        <v>2.058706544858846E-2</v>
      </c>
      <c r="S308" s="3">
        <f t="shared" si="290"/>
        <v>1.994947114340688E-2</v>
      </c>
      <c r="T308" s="3">
        <f t="shared" si="290"/>
        <v>1.4564675274738649E-2</v>
      </c>
      <c r="U308" s="3">
        <f t="shared" si="290"/>
        <v>6.2660664794940402E-4</v>
      </c>
      <c r="V308" s="3">
        <f t="shared" si="290"/>
        <v>1.3612469419187607E-17</v>
      </c>
      <c r="W308" s="3">
        <f t="shared" si="290"/>
        <v>3.186809522909564E-154</v>
      </c>
      <c r="X308" s="3">
        <f t="shared" si="290"/>
        <v>0</v>
      </c>
      <c r="Y308" s="3">
        <f t="shared" si="290"/>
        <v>0</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3.0227206274926977E-2</v>
      </c>
      <c r="C309" s="3">
        <f t="shared" si="291"/>
        <v>3.0227206274926977E-2</v>
      </c>
      <c r="D309" s="3">
        <f t="shared" si="291"/>
        <v>3.0227206274926977E-2</v>
      </c>
      <c r="E309" s="3">
        <f t="shared" si="291"/>
        <v>3.0227206274926973E-2</v>
      </c>
      <c r="F309" s="3">
        <f t="shared" si="291"/>
        <v>3.0227206274926945E-2</v>
      </c>
      <c r="G309" s="3">
        <f t="shared" si="291"/>
        <v>3.0227206274926685E-2</v>
      </c>
      <c r="H309" s="3">
        <f t="shared" si="291"/>
        <v>3.0227206274924055E-2</v>
      </c>
      <c r="I309" s="3">
        <f t="shared" si="291"/>
        <v>3.0227206274897753E-2</v>
      </c>
      <c r="J309" s="3">
        <f t="shared" si="291"/>
        <v>3.0227206274634742E-2</v>
      </c>
      <c r="K309" s="3">
        <f t="shared" si="291"/>
        <v>3.0227206272004627E-2</v>
      </c>
      <c r="L309" s="3">
        <f t="shared" si="291"/>
        <v>3.0227206245703495E-2</v>
      </c>
      <c r="M309" s="3">
        <f t="shared" si="291"/>
        <v>3.0227205982692157E-2</v>
      </c>
      <c r="N309" s="3">
        <f t="shared" si="291"/>
        <v>3.0227203352578891E-2</v>
      </c>
      <c r="O309" s="3">
        <f t="shared" si="291"/>
        <v>3.0227177051458831E-2</v>
      </c>
      <c r="P309" s="3">
        <f t="shared" si="291"/>
        <v>3.0226914041516895E-2</v>
      </c>
      <c r="Q309" s="3">
        <f t="shared" si="291"/>
        <v>3.0224284067960565E-2</v>
      </c>
      <c r="R309" s="3">
        <f t="shared" si="291"/>
        <v>3.0197996914646578E-2</v>
      </c>
      <c r="S309" s="3">
        <f t="shared" si="291"/>
        <v>2.9936379565088773E-2</v>
      </c>
      <c r="T309" s="3">
        <f t="shared" si="291"/>
        <v>2.7441678940245417E-2</v>
      </c>
      <c r="U309" s="3">
        <f t="shared" si="291"/>
        <v>1.1495416247107856E-2</v>
      </c>
      <c r="V309" s="3">
        <f t="shared" si="291"/>
        <v>1.9127795886530859E-6</v>
      </c>
      <c r="W309" s="3">
        <f t="shared" si="291"/>
        <v>3.1121978627862119E-44</v>
      </c>
      <c r="X309" s="3">
        <f t="shared" si="291"/>
        <v>0</v>
      </c>
      <c r="Y309" s="3">
        <f t="shared" si="291"/>
        <v>0</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3.7583954306508939E-2</v>
      </c>
      <c r="C310" s="3">
        <f t="shared" si="292"/>
        <v>3.7583954306508939E-2</v>
      </c>
      <c r="D310" s="3">
        <f t="shared" si="292"/>
        <v>3.7583954306508939E-2</v>
      </c>
      <c r="E310" s="3">
        <f t="shared" si="292"/>
        <v>3.7583954306508939E-2</v>
      </c>
      <c r="F310" s="3">
        <f t="shared" si="292"/>
        <v>3.7583954306508932E-2</v>
      </c>
      <c r="G310" s="3">
        <f t="shared" si="292"/>
        <v>3.7583954306508904E-2</v>
      </c>
      <c r="H310" s="3">
        <f t="shared" si="292"/>
        <v>3.7583954306508578E-2</v>
      </c>
      <c r="I310" s="3">
        <f t="shared" si="292"/>
        <v>3.7583954306505303E-2</v>
      </c>
      <c r="J310" s="3">
        <f t="shared" si="292"/>
        <v>3.7583954306472607E-2</v>
      </c>
      <c r="K310" s="3">
        <f t="shared" si="292"/>
        <v>3.7583954306145577E-2</v>
      </c>
      <c r="L310" s="3">
        <f t="shared" si="292"/>
        <v>3.7583954302875346E-2</v>
      </c>
      <c r="M310" s="3">
        <f t="shared" si="292"/>
        <v>3.7583954270172998E-2</v>
      </c>
      <c r="N310" s="3">
        <f t="shared" si="292"/>
        <v>3.758395394314952E-2</v>
      </c>
      <c r="O310" s="3">
        <f t="shared" si="292"/>
        <v>3.7583950672914888E-2</v>
      </c>
      <c r="P310" s="3">
        <f t="shared" si="292"/>
        <v>3.7583917970584226E-2</v>
      </c>
      <c r="Q310" s="3">
        <f t="shared" si="292"/>
        <v>3.7583590948842623E-2</v>
      </c>
      <c r="R310" s="3">
        <f t="shared" si="292"/>
        <v>3.7580320887922361E-2</v>
      </c>
      <c r="S310" s="3">
        <f t="shared" si="292"/>
        <v>3.7547635923257904E-2</v>
      </c>
      <c r="T310" s="3">
        <f t="shared" si="292"/>
        <v>3.7222345705493834E-2</v>
      </c>
      <c r="U310" s="3">
        <f t="shared" si="292"/>
        <v>3.4120480669084394E-2</v>
      </c>
      <c r="V310" s="3">
        <f t="shared" si="292"/>
        <v>1.4293189884504001E-2</v>
      </c>
      <c r="W310" s="3">
        <f t="shared" si="292"/>
        <v>2.3783150849105128E-6</v>
      </c>
      <c r="X310" s="3">
        <f t="shared" si="292"/>
        <v>3.8696497851604494E-44</v>
      </c>
      <c r="Y310" s="3">
        <f t="shared" si="292"/>
        <v>0</v>
      </c>
      <c r="Z310" s="3">
        <f t="shared" si="292"/>
        <v>0</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3.8796261080834012E-2</v>
      </c>
      <c r="C311" s="3">
        <f t="shared" si="293"/>
        <v>3.8796261080834012E-2</v>
      </c>
      <c r="D311" s="3">
        <f t="shared" si="293"/>
        <v>3.8796261080834012E-2</v>
      </c>
      <c r="E311" s="3">
        <f t="shared" si="293"/>
        <v>3.8796261080834012E-2</v>
      </c>
      <c r="F311" s="3">
        <f t="shared" si="293"/>
        <v>3.8796261080834012E-2</v>
      </c>
      <c r="G311" s="3">
        <f t="shared" si="293"/>
        <v>3.8796261080834005E-2</v>
      </c>
      <c r="H311" s="3">
        <f t="shared" si="293"/>
        <v>3.879626108083397E-2</v>
      </c>
      <c r="I311" s="3">
        <f t="shared" si="293"/>
        <v>3.8796261080833637E-2</v>
      </c>
      <c r="J311" s="3">
        <f t="shared" si="293"/>
        <v>3.8796261080830258E-2</v>
      </c>
      <c r="K311" s="3">
        <f t="shared" si="293"/>
        <v>3.8796261080796507E-2</v>
      </c>
      <c r="L311" s="3">
        <f t="shared" si="293"/>
        <v>3.879626108045893E-2</v>
      </c>
      <c r="M311" s="3">
        <f t="shared" si="293"/>
        <v>3.8796261077083213E-2</v>
      </c>
      <c r="N311" s="3">
        <f t="shared" si="293"/>
        <v>3.8796261043326022E-2</v>
      </c>
      <c r="O311" s="3">
        <f t="shared" si="293"/>
        <v>3.8796260705754086E-2</v>
      </c>
      <c r="P311" s="3">
        <f t="shared" si="293"/>
        <v>3.8796257330034868E-2</v>
      </c>
      <c r="Q311" s="3">
        <f t="shared" si="293"/>
        <v>3.8796223572858925E-2</v>
      </c>
      <c r="R311" s="3">
        <f t="shared" si="293"/>
        <v>3.8795886002714948E-2</v>
      </c>
      <c r="S311" s="3">
        <f t="shared" si="293"/>
        <v>3.8792510462818904E-2</v>
      </c>
      <c r="T311" s="3">
        <f t="shared" si="293"/>
        <v>3.875877121302633E-2</v>
      </c>
      <c r="U311" s="3">
        <f t="shared" si="293"/>
        <v>3.8422988444866926E-2</v>
      </c>
      <c r="V311" s="3">
        <f t="shared" si="293"/>
        <v>3.5221069753485101E-2</v>
      </c>
      <c r="W311" s="3">
        <f t="shared" si="293"/>
        <v>1.4754230539842865E-2</v>
      </c>
      <c r="X311" s="3">
        <f t="shared" si="293"/>
        <v>2.4550299368231864E-6</v>
      </c>
      <c r="Y311" s="3">
        <f t="shared" si="293"/>
        <v>3.9944690793346958E-44</v>
      </c>
      <c r="Z311" s="3">
        <f t="shared" si="293"/>
        <v>0</v>
      </c>
      <c r="AA311" s="3">
        <f t="shared" si="293"/>
        <v>0</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4.443590866461708E-2</v>
      </c>
      <c r="C312" s="3">
        <f t="shared" si="294"/>
        <v>4.443590866461708E-2</v>
      </c>
      <c r="D312" s="3">
        <f t="shared" si="294"/>
        <v>4.443590866461708E-2</v>
      </c>
      <c r="E312" s="3">
        <f t="shared" si="294"/>
        <v>4.443590866461708E-2</v>
      </c>
      <c r="F312" s="3">
        <f t="shared" si="294"/>
        <v>4.443590866461708E-2</v>
      </c>
      <c r="G312" s="3">
        <f t="shared" si="294"/>
        <v>4.443590866461708E-2</v>
      </c>
      <c r="H312" s="3">
        <f t="shared" si="294"/>
        <v>4.4435908664617073E-2</v>
      </c>
      <c r="I312" s="3">
        <f t="shared" si="294"/>
        <v>4.4435908664617038E-2</v>
      </c>
      <c r="J312" s="3">
        <f t="shared" si="294"/>
        <v>4.443590866461665E-2</v>
      </c>
      <c r="K312" s="3">
        <f t="shared" si="294"/>
        <v>4.4435908664612785E-2</v>
      </c>
      <c r="L312" s="3">
        <f t="shared" si="294"/>
        <v>4.4435908664574121E-2</v>
      </c>
      <c r="M312" s="3">
        <f t="shared" si="294"/>
        <v>4.4435908664187479E-2</v>
      </c>
      <c r="N312" s="3">
        <f t="shared" si="294"/>
        <v>4.4435908660321044E-2</v>
      </c>
      <c r="O312" s="3">
        <f t="shared" si="294"/>
        <v>4.4435908621656708E-2</v>
      </c>
      <c r="P312" s="3">
        <f t="shared" si="294"/>
        <v>4.4435908235013373E-2</v>
      </c>
      <c r="Q312" s="3">
        <f t="shared" si="294"/>
        <v>4.4435904368580206E-2</v>
      </c>
      <c r="R312" s="3">
        <f t="shared" si="294"/>
        <v>4.4435865704267073E-2</v>
      </c>
      <c r="S312" s="3">
        <f t="shared" si="294"/>
        <v>4.4435479062985984E-2</v>
      </c>
      <c r="T312" s="3">
        <f t="shared" si="294"/>
        <v>4.4431612835201771E-2</v>
      </c>
      <c r="U312" s="3">
        <f t="shared" si="294"/>
        <v>4.4392969054063383E-2</v>
      </c>
      <c r="V312" s="3">
        <f t="shared" si="294"/>
        <v>4.4008374972020391E-2</v>
      </c>
      <c r="W312" s="3">
        <f t="shared" si="294"/>
        <v>4.0341006969074819E-2</v>
      </c>
      <c r="X312" s="3">
        <f t="shared" si="294"/>
        <v>1.689899032587569E-2</v>
      </c>
      <c r="Y312" s="3">
        <f t="shared" si="294"/>
        <v>2.811907204518446E-6</v>
      </c>
      <c r="Z312" s="3">
        <f t="shared" si="294"/>
        <v>4.5751280723451075E-44</v>
      </c>
      <c r="AA312" s="3">
        <f t="shared" si="294"/>
        <v>0</v>
      </c>
      <c r="AB312" s="3">
        <f t="shared" si="294"/>
        <v>0</v>
      </c>
      <c r="AC312" s="3">
        <f t="shared" si="294"/>
        <v>0</v>
      </c>
      <c r="AD312" s="3">
        <f t="shared" si="294"/>
        <v>0</v>
      </c>
      <c r="AE312" s="3">
        <f t="shared" si="294"/>
        <v>0</v>
      </c>
      <c r="AF312" s="3">
        <f t="shared" si="294"/>
        <v>0</v>
      </c>
      <c r="AG312" s="3"/>
      <c r="AH312" s="3"/>
    </row>
    <row r="313" spans="1:34" x14ac:dyDescent="0.25">
      <c r="B313" s="3">
        <f t="shared" ref="B313:AF313" si="295">$C43*EXP(-B$285/$A43/EXP(-$F$126))</f>
        <v>5.224128023540766E-2</v>
      </c>
      <c r="C313" s="3">
        <f t="shared" si="295"/>
        <v>5.224128023540766E-2</v>
      </c>
      <c r="D313" s="3">
        <f t="shared" si="295"/>
        <v>5.224128023540766E-2</v>
      </c>
      <c r="E313" s="3">
        <f t="shared" si="295"/>
        <v>5.224128023540766E-2</v>
      </c>
      <c r="F313" s="3">
        <f t="shared" si="295"/>
        <v>5.224128023540766E-2</v>
      </c>
      <c r="G313" s="3">
        <f t="shared" si="295"/>
        <v>5.224128023540766E-2</v>
      </c>
      <c r="H313" s="3">
        <f t="shared" si="295"/>
        <v>5.224128023540766E-2</v>
      </c>
      <c r="I313" s="3">
        <f t="shared" si="295"/>
        <v>5.2241280235407653E-2</v>
      </c>
      <c r="J313" s="3">
        <f t="shared" si="295"/>
        <v>5.2241280235407604E-2</v>
      </c>
      <c r="K313" s="3">
        <f t="shared" si="295"/>
        <v>5.2241280235407153E-2</v>
      </c>
      <c r="L313" s="3">
        <f t="shared" si="295"/>
        <v>5.2241280235402608E-2</v>
      </c>
      <c r="M313" s="3">
        <f t="shared" si="295"/>
        <v>5.2241280235357151E-2</v>
      </c>
      <c r="N313" s="3">
        <f t="shared" si="295"/>
        <v>5.2241280234902591E-2</v>
      </c>
      <c r="O313" s="3">
        <f t="shared" si="295"/>
        <v>5.2241280230356998E-2</v>
      </c>
      <c r="P313" s="3">
        <f t="shared" si="295"/>
        <v>5.2241280184901102E-2</v>
      </c>
      <c r="Q313" s="3">
        <f t="shared" si="295"/>
        <v>5.2241279730342094E-2</v>
      </c>
      <c r="R313" s="3">
        <f t="shared" si="295"/>
        <v>5.2241275184752169E-2</v>
      </c>
      <c r="S313" s="3">
        <f t="shared" si="295"/>
        <v>5.2241229728874738E-2</v>
      </c>
      <c r="T313" s="3">
        <f t="shared" si="295"/>
        <v>5.2240775172275745E-2</v>
      </c>
      <c r="U313" s="3">
        <f t="shared" si="295"/>
        <v>5.2236229823813228E-2</v>
      </c>
      <c r="V313" s="3">
        <f t="shared" si="295"/>
        <v>5.2190798084922885E-2</v>
      </c>
      <c r="W313" s="3">
        <f t="shared" si="295"/>
        <v>5.1738648284892219E-2</v>
      </c>
      <c r="X313" s="3">
        <f t="shared" si="295"/>
        <v>4.7427090238127169E-2</v>
      </c>
      <c r="Y313" s="3">
        <f t="shared" si="295"/>
        <v>1.9867375639208672E-2</v>
      </c>
      <c r="Z313" s="3">
        <f t="shared" si="295"/>
        <v>3.3058316276579233E-6</v>
      </c>
      <c r="AA313" s="3">
        <f t="shared" si="295"/>
        <v>5.3787703441423674E-44</v>
      </c>
      <c r="AB313" s="3">
        <f t="shared" si="295"/>
        <v>0</v>
      </c>
      <c r="AC313" s="3">
        <f t="shared" si="295"/>
        <v>0</v>
      </c>
      <c r="AD313" s="3">
        <f t="shared" si="295"/>
        <v>0</v>
      </c>
      <c r="AE313" s="3">
        <f t="shared" si="295"/>
        <v>0</v>
      </c>
      <c r="AF313" s="3">
        <f t="shared" si="295"/>
        <v>0</v>
      </c>
      <c r="AG313" s="3"/>
      <c r="AH313" s="3"/>
    </row>
    <row r="314" spans="1:34" x14ac:dyDescent="0.25">
      <c r="B314" s="3">
        <f t="shared" ref="B314:AF314" si="296">$C44*EXP(-B$285/$A44/EXP(-$F$126))</f>
        <v>5.759294658465644E-2</v>
      </c>
      <c r="C314" s="3">
        <f t="shared" si="296"/>
        <v>5.759294658465644E-2</v>
      </c>
      <c r="D314" s="3">
        <f t="shared" si="296"/>
        <v>5.759294658465644E-2</v>
      </c>
      <c r="E314" s="3">
        <f t="shared" si="296"/>
        <v>5.759294658465644E-2</v>
      </c>
      <c r="F314" s="3">
        <f t="shared" si="296"/>
        <v>5.759294658465644E-2</v>
      </c>
      <c r="G314" s="3">
        <f t="shared" si="296"/>
        <v>5.759294658465644E-2</v>
      </c>
      <c r="H314" s="3">
        <f t="shared" si="296"/>
        <v>5.759294658465644E-2</v>
      </c>
      <c r="I314" s="3">
        <f t="shared" si="296"/>
        <v>5.759294658465644E-2</v>
      </c>
      <c r="J314" s="3">
        <f t="shared" si="296"/>
        <v>5.7592946584656433E-2</v>
      </c>
      <c r="K314" s="3">
        <f t="shared" si="296"/>
        <v>5.7592946584656385E-2</v>
      </c>
      <c r="L314" s="3">
        <f t="shared" si="296"/>
        <v>5.7592946584655885E-2</v>
      </c>
      <c r="M314" s="3">
        <f t="shared" si="296"/>
        <v>5.7592946584650868E-2</v>
      </c>
      <c r="N314" s="3">
        <f t="shared" si="296"/>
        <v>5.7592946584600763E-2</v>
      </c>
      <c r="O314" s="3">
        <f t="shared" si="296"/>
        <v>5.7592946584099636E-2</v>
      </c>
      <c r="P314" s="3">
        <f t="shared" si="296"/>
        <v>5.7592946579088387E-2</v>
      </c>
      <c r="Q314" s="3">
        <f t="shared" si="296"/>
        <v>5.7592946528975925E-2</v>
      </c>
      <c r="R314" s="3">
        <f t="shared" si="296"/>
        <v>5.7592946027851283E-2</v>
      </c>
      <c r="S314" s="3">
        <f t="shared" si="296"/>
        <v>5.7592941016605073E-2</v>
      </c>
      <c r="T314" s="3">
        <f t="shared" si="296"/>
        <v>5.7592890904166999E-2</v>
      </c>
      <c r="U314" s="3">
        <f t="shared" si="296"/>
        <v>5.7592389782184387E-2</v>
      </c>
      <c r="V314" s="3">
        <f t="shared" si="296"/>
        <v>5.7587378802169527E-2</v>
      </c>
      <c r="W314" s="3">
        <f t="shared" si="296"/>
        <v>5.7537292975417785E-2</v>
      </c>
      <c r="X314" s="3">
        <f t="shared" si="296"/>
        <v>5.7038824347465225E-2</v>
      </c>
      <c r="Y314" s="3">
        <f t="shared" si="296"/>
        <v>5.2285584550028477E-2</v>
      </c>
      <c r="Z314" s="3">
        <f t="shared" si="296"/>
        <v>2.1902616069326902E-2</v>
      </c>
      <c r="AA314" s="3">
        <f t="shared" si="296"/>
        <v>3.6444854240101094E-6</v>
      </c>
      <c r="AB314" s="3">
        <f t="shared" si="296"/>
        <v>5.9297787444222297E-44</v>
      </c>
      <c r="AC314" s="3">
        <f t="shared" si="296"/>
        <v>0</v>
      </c>
      <c r="AD314" s="3">
        <f t="shared" si="296"/>
        <v>0</v>
      </c>
      <c r="AE314" s="3">
        <f t="shared" si="296"/>
        <v>0</v>
      </c>
      <c r="AF314" s="3">
        <f t="shared" si="296"/>
        <v>0</v>
      </c>
      <c r="AG314" s="3"/>
      <c r="AH314" s="3"/>
    </row>
    <row r="315" spans="1:34" x14ac:dyDescent="0.25">
      <c r="B315" s="3">
        <f t="shared" ref="B315:AF315" si="297">$C45*EXP(-B$285/$A45/EXP(-$F$126))</f>
        <v>5.4172080221644638E-2</v>
      </c>
      <c r="C315" s="3">
        <f t="shared" si="297"/>
        <v>5.4172080221644638E-2</v>
      </c>
      <c r="D315" s="3">
        <f t="shared" si="297"/>
        <v>5.4172080221644638E-2</v>
      </c>
      <c r="E315" s="3">
        <f t="shared" si="297"/>
        <v>5.4172080221644638E-2</v>
      </c>
      <c r="F315" s="3">
        <f t="shared" si="297"/>
        <v>5.4172080221644638E-2</v>
      </c>
      <c r="G315" s="3">
        <f t="shared" si="297"/>
        <v>5.4172080221644638E-2</v>
      </c>
      <c r="H315" s="3">
        <f t="shared" si="297"/>
        <v>5.4172080221644638E-2</v>
      </c>
      <c r="I315" s="3">
        <f t="shared" si="297"/>
        <v>5.4172080221644638E-2</v>
      </c>
      <c r="J315" s="3">
        <f t="shared" si="297"/>
        <v>5.4172080221644638E-2</v>
      </c>
      <c r="K315" s="3">
        <f t="shared" si="297"/>
        <v>5.4172080221644631E-2</v>
      </c>
      <c r="L315" s="3">
        <f t="shared" si="297"/>
        <v>5.4172080221644582E-2</v>
      </c>
      <c r="M315" s="3">
        <f t="shared" si="297"/>
        <v>5.4172080221644117E-2</v>
      </c>
      <c r="N315" s="3">
        <f t="shared" si="297"/>
        <v>5.4172080221639399E-2</v>
      </c>
      <c r="O315" s="3">
        <f t="shared" si="297"/>
        <v>5.4172080221592263E-2</v>
      </c>
      <c r="P315" s="3">
        <f t="shared" si="297"/>
        <v>5.4172080221120904E-2</v>
      </c>
      <c r="Q315" s="3">
        <f t="shared" si="297"/>
        <v>5.4172080216407313E-2</v>
      </c>
      <c r="R315" s="3">
        <f t="shared" si="297"/>
        <v>5.41720801692714E-2</v>
      </c>
      <c r="S315" s="3">
        <f t="shared" si="297"/>
        <v>5.4172079697912212E-2</v>
      </c>
      <c r="T315" s="3">
        <f t="shared" si="297"/>
        <v>5.417207498432057E-2</v>
      </c>
      <c r="U315" s="3">
        <f t="shared" si="297"/>
        <v>5.4172027848426736E-2</v>
      </c>
      <c r="V315" s="3">
        <f t="shared" si="297"/>
        <v>5.4171556491744148E-2</v>
      </c>
      <c r="W315" s="3">
        <f t="shared" si="297"/>
        <v>5.4166843150485339E-2</v>
      </c>
      <c r="X315" s="3">
        <f t="shared" si="297"/>
        <v>5.4119732287338677E-2</v>
      </c>
      <c r="Y315" s="3">
        <f t="shared" si="297"/>
        <v>5.3650871357264061E-2</v>
      </c>
      <c r="Z315" s="3">
        <f t="shared" si="297"/>
        <v>4.9179961239113293E-2</v>
      </c>
      <c r="AA315" s="3">
        <f t="shared" si="297"/>
        <v>2.0601659493622134E-2</v>
      </c>
      <c r="AB315" s="3">
        <f t="shared" si="297"/>
        <v>3.4280127769793279E-6</v>
      </c>
      <c r="AC315" s="3">
        <f t="shared" si="297"/>
        <v>5.5775658112450871E-44</v>
      </c>
      <c r="AD315" s="3">
        <f t="shared" si="297"/>
        <v>0</v>
      </c>
      <c r="AE315" s="3">
        <f t="shared" si="297"/>
        <v>0</v>
      </c>
      <c r="AF315" s="3">
        <f t="shared" si="297"/>
        <v>0</v>
      </c>
      <c r="AG315" s="3"/>
      <c r="AH315" s="3"/>
    </row>
    <row r="316" spans="1:34" x14ac:dyDescent="0.25">
      <c r="B316" s="3">
        <f t="shared" ref="B316:AF316" si="298">$C46*EXP(-B$285/$A46/EXP(-$F$126))</f>
        <v>3.8751330064371987E-2</v>
      </c>
      <c r="C316" s="3">
        <f t="shared" si="298"/>
        <v>3.8751330064371987E-2</v>
      </c>
      <c r="D316" s="3">
        <f t="shared" si="298"/>
        <v>3.8751330064371987E-2</v>
      </c>
      <c r="E316" s="3">
        <f t="shared" si="298"/>
        <v>3.8751330064371987E-2</v>
      </c>
      <c r="F316" s="3">
        <f t="shared" si="298"/>
        <v>3.8751330064371987E-2</v>
      </c>
      <c r="G316" s="3">
        <f t="shared" si="298"/>
        <v>3.8751330064371987E-2</v>
      </c>
      <c r="H316" s="3">
        <f t="shared" si="298"/>
        <v>3.8751330064371987E-2</v>
      </c>
      <c r="I316" s="3">
        <f t="shared" si="298"/>
        <v>3.8751330064371987E-2</v>
      </c>
      <c r="J316" s="3">
        <f t="shared" si="298"/>
        <v>3.8751330064371987E-2</v>
      </c>
      <c r="K316" s="3">
        <f t="shared" si="298"/>
        <v>3.8751330064371987E-2</v>
      </c>
      <c r="L316" s="3">
        <f t="shared" si="298"/>
        <v>3.875133006437198E-2</v>
      </c>
      <c r="M316" s="3">
        <f t="shared" si="298"/>
        <v>3.8751330064371946E-2</v>
      </c>
      <c r="N316" s="3">
        <f t="shared" si="298"/>
        <v>3.8751330064371613E-2</v>
      </c>
      <c r="O316" s="3">
        <f t="shared" si="298"/>
        <v>3.875133006436824E-2</v>
      </c>
      <c r="P316" s="3">
        <f t="shared" si="298"/>
        <v>3.8751330064334524E-2</v>
      </c>
      <c r="Q316" s="3">
        <f t="shared" si="298"/>
        <v>3.8751330063997343E-2</v>
      </c>
      <c r="R316" s="3">
        <f t="shared" si="298"/>
        <v>3.8751330060625533E-2</v>
      </c>
      <c r="S316" s="3">
        <f t="shared" si="298"/>
        <v>3.8751330026907435E-2</v>
      </c>
      <c r="T316" s="3">
        <f t="shared" si="298"/>
        <v>3.8751329689726451E-2</v>
      </c>
      <c r="U316" s="3">
        <f t="shared" si="298"/>
        <v>3.8751326317916751E-2</v>
      </c>
      <c r="V316" s="3">
        <f t="shared" si="298"/>
        <v>3.8751292599835917E-2</v>
      </c>
      <c r="W316" s="3">
        <f t="shared" si="298"/>
        <v>3.8750955420641206E-2</v>
      </c>
      <c r="X316" s="3">
        <f t="shared" si="298"/>
        <v>3.8747583790050708E-2</v>
      </c>
      <c r="Y316" s="3">
        <f t="shared" si="298"/>
        <v>3.8713883614610811E-2</v>
      </c>
      <c r="Z316" s="3">
        <f t="shared" si="298"/>
        <v>3.8378489725705831E-2</v>
      </c>
      <c r="AA316" s="3">
        <f t="shared" si="298"/>
        <v>3.5180279264380838E-2</v>
      </c>
      <c r="AB316" s="3">
        <f t="shared" si="298"/>
        <v>1.4737143259862742E-2</v>
      </c>
      <c r="AC316" s="3">
        <f t="shared" si="298"/>
        <v>2.4521866991648891E-6</v>
      </c>
      <c r="AD316" s="3">
        <f t="shared" si="298"/>
        <v>3.9898429748864687E-44</v>
      </c>
      <c r="AE316" s="3">
        <f t="shared" si="298"/>
        <v>0</v>
      </c>
      <c r="AF316" s="3">
        <f t="shared" si="298"/>
        <v>0</v>
      </c>
      <c r="AG316" s="3"/>
      <c r="AH316" s="3"/>
    </row>
    <row r="317" spans="1:34" x14ac:dyDescent="0.25">
      <c r="B317" s="3">
        <f t="shared" ref="B317:AF317" si="299">$C47*EXP(-B$285/$A47/EXP(-$F$126))</f>
        <v>2.0828240532986285E-2</v>
      </c>
      <c r="C317" s="3">
        <f t="shared" si="299"/>
        <v>2.0828240532986285E-2</v>
      </c>
      <c r="D317" s="3">
        <f t="shared" si="299"/>
        <v>2.0828240532986285E-2</v>
      </c>
      <c r="E317" s="3">
        <f t="shared" si="299"/>
        <v>2.0828240532986285E-2</v>
      </c>
      <c r="F317" s="3">
        <f t="shared" si="299"/>
        <v>2.0828240532986285E-2</v>
      </c>
      <c r="G317" s="3">
        <f t="shared" si="299"/>
        <v>2.0828240532986285E-2</v>
      </c>
      <c r="H317" s="3">
        <f t="shared" si="299"/>
        <v>2.0828240532986285E-2</v>
      </c>
      <c r="I317" s="3">
        <f t="shared" si="299"/>
        <v>2.0828240532986285E-2</v>
      </c>
      <c r="J317" s="3">
        <f t="shared" si="299"/>
        <v>2.0828240532986285E-2</v>
      </c>
      <c r="K317" s="3">
        <f t="shared" si="299"/>
        <v>2.0828240532986285E-2</v>
      </c>
      <c r="L317" s="3">
        <f t="shared" si="299"/>
        <v>2.0828240532986285E-2</v>
      </c>
      <c r="M317" s="3">
        <f t="shared" si="299"/>
        <v>2.0828240532986281E-2</v>
      </c>
      <c r="N317" s="3">
        <f t="shared" si="299"/>
        <v>2.0828240532986264E-2</v>
      </c>
      <c r="O317" s="3">
        <f t="shared" si="299"/>
        <v>2.0828240532986084E-2</v>
      </c>
      <c r="P317" s="3">
        <f t="shared" si="299"/>
        <v>2.0828240532984269E-2</v>
      </c>
      <c r="Q317" s="3">
        <f t="shared" si="299"/>
        <v>2.0828240532966148E-2</v>
      </c>
      <c r="R317" s="3">
        <f t="shared" si="299"/>
        <v>2.0828240532784918E-2</v>
      </c>
      <c r="S317" s="3">
        <f t="shared" si="299"/>
        <v>2.0828240530972621E-2</v>
      </c>
      <c r="T317" s="3">
        <f t="shared" si="299"/>
        <v>2.0828240512849667E-2</v>
      </c>
      <c r="U317" s="3">
        <f t="shared" si="299"/>
        <v>2.0828240331620104E-2</v>
      </c>
      <c r="V317" s="3">
        <f t="shared" si="299"/>
        <v>2.0828238519324541E-2</v>
      </c>
      <c r="W317" s="3">
        <f t="shared" si="299"/>
        <v>2.0828220396377623E-2</v>
      </c>
      <c r="X317" s="3">
        <f t="shared" si="299"/>
        <v>2.0828039167775699E-2</v>
      </c>
      <c r="Y317" s="3">
        <f t="shared" si="299"/>
        <v>2.0826226968483168E-2</v>
      </c>
      <c r="Z317" s="3">
        <f t="shared" si="299"/>
        <v>2.0808113645433352E-2</v>
      </c>
      <c r="AA317" s="3">
        <f t="shared" si="299"/>
        <v>2.0627844617768953E-2</v>
      </c>
      <c r="AB317" s="3">
        <f t="shared" si="299"/>
        <v>1.8908855962336085E-2</v>
      </c>
      <c r="AC317" s="3">
        <f t="shared" si="299"/>
        <v>7.9209865590576922E-3</v>
      </c>
      <c r="AD317" s="3">
        <f t="shared" si="299"/>
        <v>1.3180124222098417E-6</v>
      </c>
      <c r="AE317" s="3">
        <f t="shared" si="299"/>
        <v>2.1444788870920445E-44</v>
      </c>
      <c r="AF317" s="3">
        <f t="shared" si="299"/>
        <v>0</v>
      </c>
      <c r="AG317" s="3"/>
      <c r="AH317" s="3"/>
    </row>
    <row r="318" spans="1:34" x14ac:dyDescent="0.25">
      <c r="B318" s="3">
        <f t="shared" ref="B318:AF318" si="300">$C48*EXP(-B$285/$A48/EXP(-$F$126))</f>
        <v>2.990470230026878E-2</v>
      </c>
      <c r="C318" s="3">
        <f t="shared" si="300"/>
        <v>2.990470230026878E-2</v>
      </c>
      <c r="D318" s="3">
        <f t="shared" si="300"/>
        <v>2.990470230026878E-2</v>
      </c>
      <c r="E318" s="3">
        <f t="shared" si="300"/>
        <v>2.990470230026878E-2</v>
      </c>
      <c r="F318" s="3">
        <f t="shared" si="300"/>
        <v>2.990470230026878E-2</v>
      </c>
      <c r="G318" s="3">
        <f t="shared" si="300"/>
        <v>2.990470230026878E-2</v>
      </c>
      <c r="H318" s="3">
        <f t="shared" si="300"/>
        <v>2.990470230026878E-2</v>
      </c>
      <c r="I318" s="3">
        <f t="shared" si="300"/>
        <v>2.990470230026878E-2</v>
      </c>
      <c r="J318" s="3">
        <f t="shared" si="300"/>
        <v>2.990470230026878E-2</v>
      </c>
      <c r="K318" s="3">
        <f t="shared" si="300"/>
        <v>2.990470230026878E-2</v>
      </c>
      <c r="L318" s="3">
        <f t="shared" si="300"/>
        <v>2.990470230026878E-2</v>
      </c>
      <c r="M318" s="3">
        <f t="shared" si="300"/>
        <v>2.990470230026878E-2</v>
      </c>
      <c r="N318" s="3">
        <f t="shared" si="300"/>
        <v>2.9904702300268777E-2</v>
      </c>
      <c r="O318" s="3">
        <f t="shared" si="300"/>
        <v>2.9904702300268749E-2</v>
      </c>
      <c r="P318" s="3">
        <f t="shared" si="300"/>
        <v>2.9904702300268492E-2</v>
      </c>
      <c r="Q318" s="3">
        <f t="shared" si="300"/>
        <v>2.9904702300265887E-2</v>
      </c>
      <c r="R318" s="3">
        <f t="shared" si="300"/>
        <v>2.9904702300239869E-2</v>
      </c>
      <c r="S318" s="3">
        <f t="shared" si="300"/>
        <v>2.9904702299979664E-2</v>
      </c>
      <c r="T318" s="3">
        <f t="shared" si="300"/>
        <v>2.990470229737761E-2</v>
      </c>
      <c r="U318" s="3">
        <f t="shared" si="300"/>
        <v>2.9904702271357095E-2</v>
      </c>
      <c r="V318" s="3">
        <f t="shared" si="300"/>
        <v>2.9904702011151911E-2</v>
      </c>
      <c r="W318" s="3">
        <f t="shared" si="300"/>
        <v>2.9904699409100184E-2</v>
      </c>
      <c r="X318" s="3">
        <f t="shared" si="300"/>
        <v>2.9904673388595399E-2</v>
      </c>
      <c r="Y318" s="3">
        <f t="shared" si="300"/>
        <v>2.9904413184792769E-2</v>
      </c>
      <c r="Z318" s="3">
        <f t="shared" si="300"/>
        <v>2.9901811271286629E-2</v>
      </c>
      <c r="AA318" s="3">
        <f t="shared" si="300"/>
        <v>2.9875804584230392E-2</v>
      </c>
      <c r="AB318" s="3">
        <f t="shared" si="300"/>
        <v>2.9616978515954243E-2</v>
      </c>
      <c r="AC318" s="3">
        <f t="shared" si="300"/>
        <v>2.7148894670040984E-2</v>
      </c>
      <c r="AD318" s="3">
        <f t="shared" si="300"/>
        <v>1.1372767882044828E-2</v>
      </c>
      <c r="AE318" s="3">
        <f t="shared" si="300"/>
        <v>1.8923715160586501E-6</v>
      </c>
      <c r="AF318" s="3">
        <f t="shared" si="300"/>
        <v>3.0789928033592068E-44</v>
      </c>
      <c r="AG318" s="3"/>
      <c r="AH318" s="3"/>
    </row>
    <row r="319" spans="1:34" x14ac:dyDescent="0.25">
      <c r="A319" s="80">
        <f>AVERAGE(B319:AF319)</f>
        <v>2.7543513611757154E-2</v>
      </c>
      <c r="B319" s="81">
        <f>IF($A$64&lt;=B285,IF($B$64&gt;=B285,ABS((B287-B286)/B286),0),0)</f>
        <v>4.1187861892230289E-3</v>
      </c>
      <c r="C319" s="81">
        <f t="shared" ref="C319:AF319" si="301">IF($A$64&lt;=C285,IF($B$64&gt;=C285,ABS((C287-C286)/C286),0),0)</f>
        <v>2.5263897892269225E-3</v>
      </c>
      <c r="D319" s="81">
        <f t="shared" si="301"/>
        <v>2.7043278897604353E-3</v>
      </c>
      <c r="E319" s="81">
        <f t="shared" si="301"/>
        <v>3.011459822784961E-3</v>
      </c>
      <c r="F319" s="81">
        <f t="shared" si="301"/>
        <v>3.1306158529120004E-3</v>
      </c>
      <c r="G319" s="81">
        <f t="shared" si="301"/>
        <v>3.4179177122942808E-3</v>
      </c>
      <c r="H319" s="81">
        <f t="shared" si="301"/>
        <v>3.7060933323697274E-3</v>
      </c>
      <c r="I319" s="81">
        <f t="shared" si="301"/>
        <v>3.8989501021742001E-3</v>
      </c>
      <c r="J319" s="81">
        <f t="shared" si="301"/>
        <v>3.8763914102155086E-3</v>
      </c>
      <c r="K319" s="81">
        <f t="shared" si="301"/>
        <v>3.8739293289971949E-3</v>
      </c>
      <c r="L319" s="81">
        <f t="shared" si="301"/>
        <v>4.6944679915053786E-3</v>
      </c>
      <c r="M319" s="81">
        <f t="shared" si="301"/>
        <v>5.360505145586252E-3</v>
      </c>
      <c r="N319" s="81">
        <f t="shared" si="301"/>
        <v>4.9849943477633498E-3</v>
      </c>
      <c r="O319" s="81">
        <f t="shared" si="301"/>
        <v>2.2274544677834888E-3</v>
      </c>
      <c r="P319" s="81">
        <f t="shared" si="301"/>
        <v>5.3970688612349424E-3</v>
      </c>
      <c r="Q319" s="81">
        <f t="shared" si="301"/>
        <v>1.7808480811434314E-2</v>
      </c>
      <c r="R319" s="81">
        <f t="shared" si="301"/>
        <v>2.5130804386791192E-2</v>
      </c>
      <c r="S319" s="81">
        <f t="shared" si="301"/>
        <v>2.3816782653870373E-2</v>
      </c>
      <c r="T319" s="81">
        <f t="shared" si="301"/>
        <v>1.796816079171722E-2</v>
      </c>
      <c r="U319" s="81">
        <f t="shared" si="301"/>
        <v>1.2004426761683515E-2</v>
      </c>
      <c r="V319" s="81">
        <f t="shared" si="301"/>
        <v>6.3449679303308696E-3</v>
      </c>
      <c r="W319" s="81">
        <f t="shared" si="301"/>
        <v>8.8930311012836057E-4</v>
      </c>
      <c r="X319" s="81">
        <f t="shared" si="301"/>
        <v>5.3055461050507688E-3</v>
      </c>
      <c r="Y319" s="81">
        <f t="shared" si="301"/>
        <v>1.232387028028782E-2</v>
      </c>
      <c r="Z319" s="81">
        <f t="shared" si="301"/>
        <v>1.9715526477824548E-2</v>
      </c>
      <c r="AA319" s="81">
        <f t="shared" si="301"/>
        <v>2.5155286623138342E-2</v>
      </c>
      <c r="AB319" s="81">
        <f t="shared" si="301"/>
        <v>2.6084091917566478E-2</v>
      </c>
      <c r="AC319" s="81">
        <f t="shared" si="301"/>
        <v>2.0669737551610674E-2</v>
      </c>
      <c r="AD319" s="81">
        <f t="shared" si="301"/>
        <v>0.14203265977599833</v>
      </c>
      <c r="AE319" s="81">
        <f t="shared" si="301"/>
        <v>0.2483691374589059</v>
      </c>
      <c r="AF319" s="81">
        <f t="shared" si="301"/>
        <v>0.19330078708430137</v>
      </c>
    </row>
    <row r="320" spans="1:34" x14ac:dyDescent="0.25">
      <c r="B320" s="21">
        <f>(B287-B286)^2</f>
        <v>520.91541676779934</v>
      </c>
      <c r="C320" s="21">
        <f t="shared" ref="C320:AF320" si="302">(C287-C286)^2</f>
        <v>182.22255741708511</v>
      </c>
      <c r="D320" s="21">
        <f t="shared" si="302"/>
        <v>200.07949709471322</v>
      </c>
      <c r="E320" s="21">
        <f t="shared" si="302"/>
        <v>237.74894572688405</v>
      </c>
      <c r="F320" s="21">
        <f t="shared" si="302"/>
        <v>244.8532842843839</v>
      </c>
      <c r="G320" s="21">
        <f t="shared" si="302"/>
        <v>276.87011731119202</v>
      </c>
      <c r="H320" s="21">
        <f t="shared" si="302"/>
        <v>306.35234864339083</v>
      </c>
      <c r="I320" s="21">
        <f t="shared" si="302"/>
        <v>316.99731321218246</v>
      </c>
      <c r="J320" s="21">
        <f t="shared" si="302"/>
        <v>292.02772525502598</v>
      </c>
      <c r="K320" s="21">
        <f t="shared" si="302"/>
        <v>271.86135809882472</v>
      </c>
      <c r="L320" s="21">
        <f t="shared" si="302"/>
        <v>368.41819503005365</v>
      </c>
      <c r="M320" s="21">
        <f t="shared" si="302"/>
        <v>434.04914291471005</v>
      </c>
      <c r="N320" s="21">
        <f t="shared" si="302"/>
        <v>335.44313529665402</v>
      </c>
      <c r="O320" s="21">
        <f t="shared" si="302"/>
        <v>60.449412301654512</v>
      </c>
      <c r="P320" s="21">
        <f t="shared" si="302"/>
        <v>322.73908272865759</v>
      </c>
      <c r="Q320" s="21">
        <f t="shared" si="302"/>
        <v>3172.1766105634724</v>
      </c>
      <c r="R320" s="21">
        <f t="shared" si="302"/>
        <v>5642.6338365109714</v>
      </c>
      <c r="S320" s="21">
        <f t="shared" si="302"/>
        <v>4441.3919396008187</v>
      </c>
      <c r="T320" s="21">
        <f t="shared" si="302"/>
        <v>2181.6642795368716</v>
      </c>
      <c r="U320" s="21">
        <f t="shared" si="302"/>
        <v>823.19624381881272</v>
      </c>
      <c r="V320" s="21">
        <f t="shared" si="302"/>
        <v>190.51854124274391</v>
      </c>
      <c r="W320" s="21">
        <f t="shared" si="302"/>
        <v>2.9910553824500248</v>
      </c>
      <c r="X320" s="21">
        <f t="shared" si="302"/>
        <v>80.615538259844158</v>
      </c>
      <c r="Y320" s="21">
        <f t="shared" si="302"/>
        <v>299.74993241695302</v>
      </c>
      <c r="Z320" s="21">
        <f t="shared" si="302"/>
        <v>463.03999077696642</v>
      </c>
      <c r="AA320" s="21">
        <f t="shared" si="302"/>
        <v>395.4781966706355</v>
      </c>
      <c r="AB320" s="21">
        <f t="shared" si="302"/>
        <v>209.15301929827731</v>
      </c>
      <c r="AC320" s="21">
        <f t="shared" si="302"/>
        <v>69.147450816483442</v>
      </c>
      <c r="AD320" s="21">
        <f t="shared" si="302"/>
        <v>2111.4853880505134</v>
      </c>
      <c r="AE320" s="21">
        <f t="shared" si="302"/>
        <v>4987.7642131455914</v>
      </c>
      <c r="AF320" s="21">
        <f t="shared" si="302"/>
        <v>2622.5312153119653</v>
      </c>
      <c r="AG320" s="3"/>
      <c r="AH320" s="3"/>
    </row>
    <row r="321" spans="1:34" x14ac:dyDescent="0.25">
      <c r="A321" s="72">
        <f>SUM(B321:AF321)</f>
        <v>32064.564983486587</v>
      </c>
      <c r="B321" s="60">
        <f>IF($A$64&lt;=B285,IF($B$64&gt;=B285,ABS(B320),0),0)</f>
        <v>520.91541676779934</v>
      </c>
      <c r="C321" s="60">
        <f t="shared" ref="C321" si="303">IF($A$64&lt;=C285,IF($B$64&gt;=C285,ABS(C320),0),0)</f>
        <v>182.22255741708511</v>
      </c>
      <c r="D321" s="60">
        <f t="shared" ref="D321" si="304">IF($A$64&lt;=D285,IF($B$64&gt;=D285,ABS(D320),0),0)</f>
        <v>200.07949709471322</v>
      </c>
      <c r="E321" s="60">
        <f t="shared" ref="E321" si="305">IF($A$64&lt;=E285,IF($B$64&gt;=E285,ABS(E320),0),0)</f>
        <v>237.74894572688405</v>
      </c>
      <c r="F321" s="60">
        <f t="shared" ref="F321" si="306">IF($A$64&lt;=F285,IF($B$64&gt;=F285,ABS(F320),0),0)</f>
        <v>244.8532842843839</v>
      </c>
      <c r="G321" s="60">
        <f t="shared" ref="G321" si="307">IF($A$64&lt;=G285,IF($B$64&gt;=G285,ABS(G320),0),0)</f>
        <v>276.87011731119202</v>
      </c>
      <c r="H321" s="60">
        <f t="shared" ref="H321" si="308">IF($A$64&lt;=H285,IF($B$64&gt;=H285,ABS(H320),0),0)</f>
        <v>306.35234864339083</v>
      </c>
      <c r="I321" s="60">
        <f t="shared" ref="I321" si="309">IF($A$64&lt;=I285,IF($B$64&gt;=I285,ABS(I320),0),0)</f>
        <v>316.99731321218246</v>
      </c>
      <c r="J321" s="60">
        <f t="shared" ref="J321" si="310">IF($A$64&lt;=J285,IF($B$64&gt;=J285,ABS(J320),0),0)</f>
        <v>292.02772525502598</v>
      </c>
      <c r="K321" s="60">
        <f t="shared" ref="K321" si="311">IF($A$64&lt;=K285,IF($B$64&gt;=K285,ABS(K320),0),0)</f>
        <v>271.86135809882472</v>
      </c>
      <c r="L321" s="60">
        <f t="shared" ref="L321" si="312">IF($A$64&lt;=L285,IF($B$64&gt;=L285,ABS(L320),0),0)</f>
        <v>368.41819503005365</v>
      </c>
      <c r="M321" s="60">
        <f t="shared" ref="M321" si="313">IF($A$64&lt;=M285,IF($B$64&gt;=M285,ABS(M320),0),0)</f>
        <v>434.04914291471005</v>
      </c>
      <c r="N321" s="60">
        <f t="shared" ref="N321" si="314">IF($A$64&lt;=N285,IF($B$64&gt;=N285,ABS(N320),0),0)</f>
        <v>335.44313529665402</v>
      </c>
      <c r="O321" s="60">
        <f t="shared" ref="O321" si="315">IF($A$64&lt;=O285,IF($B$64&gt;=O285,ABS(O320),0),0)</f>
        <v>60.449412301654512</v>
      </c>
      <c r="P321" s="60">
        <f t="shared" ref="P321" si="316">IF($A$64&lt;=P285,IF($B$64&gt;=P285,ABS(P320),0),0)</f>
        <v>322.73908272865759</v>
      </c>
      <c r="Q321" s="60">
        <f t="shared" ref="Q321" si="317">IF($A$64&lt;=Q285,IF($B$64&gt;=Q285,ABS(Q320),0),0)</f>
        <v>3172.1766105634724</v>
      </c>
      <c r="R321" s="60">
        <f t="shared" ref="R321" si="318">IF($A$64&lt;=R285,IF($B$64&gt;=R285,ABS(R320),0),0)</f>
        <v>5642.6338365109714</v>
      </c>
      <c r="S321" s="60">
        <f t="shared" ref="S321" si="319">IF($A$64&lt;=S285,IF($B$64&gt;=S285,ABS(S320),0),0)</f>
        <v>4441.3919396008187</v>
      </c>
      <c r="T321" s="60">
        <f t="shared" ref="T321" si="320">IF($A$64&lt;=T285,IF($B$64&gt;=T285,ABS(T320),0),0)</f>
        <v>2181.6642795368716</v>
      </c>
      <c r="U321" s="60">
        <f t="shared" ref="U321" si="321">IF($A$64&lt;=U285,IF($B$64&gt;=U285,ABS(U320),0),0)</f>
        <v>823.19624381881272</v>
      </c>
      <c r="V321" s="60">
        <f t="shared" ref="V321" si="322">IF($A$64&lt;=V285,IF($B$64&gt;=V285,ABS(V320),0),0)</f>
        <v>190.51854124274391</v>
      </c>
      <c r="W321" s="60">
        <f t="shared" ref="W321" si="323">IF($A$64&lt;=W285,IF($B$64&gt;=W285,ABS(W320),0),0)</f>
        <v>2.9910553824500248</v>
      </c>
      <c r="X321" s="60">
        <f t="shared" ref="X321" si="324">IF($A$64&lt;=X285,IF($B$64&gt;=X285,ABS(X320),0),0)</f>
        <v>80.615538259844158</v>
      </c>
      <c r="Y321" s="60">
        <f t="shared" ref="Y321" si="325">IF($A$64&lt;=Y285,IF($B$64&gt;=Y285,ABS(Y320),0),0)</f>
        <v>299.74993241695302</v>
      </c>
      <c r="Z321" s="60">
        <f t="shared" ref="Z321" si="326">IF($A$64&lt;=Z285,IF($B$64&gt;=Z285,ABS(Z320),0),0)</f>
        <v>463.03999077696642</v>
      </c>
      <c r="AA321" s="60">
        <f t="shared" ref="AA321" si="327">IF($A$64&lt;=AA285,IF($B$64&gt;=AA285,ABS(AA320),0),0)</f>
        <v>395.4781966706355</v>
      </c>
      <c r="AB321" s="60">
        <f t="shared" ref="AB321" si="328">IF($A$64&lt;=AB285,IF($B$64&gt;=AB285,ABS(AB320),0),0)</f>
        <v>209.15301929827731</v>
      </c>
      <c r="AC321" s="60">
        <f t="shared" ref="AC321" si="329">IF($A$64&lt;=AC285,IF($B$64&gt;=AC285,ABS(AC320),0),0)</f>
        <v>69.147450816483442</v>
      </c>
      <c r="AD321" s="60">
        <f t="shared" ref="AD321" si="330">IF($A$64&lt;=AD285,IF($B$64&gt;=AD285,ABS(AD320),0),0)</f>
        <v>2111.4853880505134</v>
      </c>
      <c r="AE321" s="60">
        <f t="shared" ref="AE321" si="331">IF($A$64&lt;=AE285,IF($B$64&gt;=AE285,ABS(AE320),0),0)</f>
        <v>4987.7642131455914</v>
      </c>
      <c r="AF321" s="60">
        <f t="shared" ref="AF321" si="332">IF($A$64&lt;=AF285,IF($B$64&gt;=AF285,ABS(AF320),0),0)</f>
        <v>2622.5312153119653</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7" t="s">
        <v>27</v>
      </c>
      <c r="B323" s="11">
        <f>INDEX($D$1:$M$1,1,G122)</f>
        <v>125</v>
      </c>
    </row>
    <row r="324" spans="1:34" x14ac:dyDescent="0.25">
      <c r="A324" s="77"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4566.6036136134571</v>
      </c>
      <c r="C325" s="26">
        <f>INDEX(Comparison!$AM$3:$AS$33,G$14,$G$122)</f>
        <v>4367.9191662396088</v>
      </c>
      <c r="D325" s="26">
        <f>INDEX(Comparison!$AM$3:$AS$33,H$14,$G$122)</f>
        <v>4211.7468990411771</v>
      </c>
      <c r="E325" s="26">
        <f>INDEX(Comparison!$AM$3:$AS$33,I$14,$G$122)</f>
        <v>4035.1164889708966</v>
      </c>
      <c r="F325" s="26">
        <f>INDEX(Comparison!$AM$3:$AS$33,J$14,$G$122)</f>
        <v>3826.9829326183326</v>
      </c>
      <c r="G325" s="26">
        <f>INDEX(Comparison!$AM$3:$AS$33,K$14,$G$122)</f>
        <v>3620.1591645384274</v>
      </c>
      <c r="H325" s="26">
        <f>INDEX(Comparison!$AM$3:$AS$33,L$14,$G$122)</f>
        <v>3446.6232486673289</v>
      </c>
      <c r="I325" s="26">
        <f>INDEX(Comparison!$AM$3:$AS$33,M$14,$G$122)</f>
        <v>3283.5389960784037</v>
      </c>
      <c r="J325" s="26">
        <f>INDEX(Comparison!$AM$3:$AS$33,N$14,$G$122)</f>
        <v>3126.1515402495047</v>
      </c>
      <c r="K325" s="26">
        <f>INDEX(Comparison!$AM$3:$AS$33,O$14,$G$122)</f>
        <v>2970.9240585633979</v>
      </c>
      <c r="L325" s="26">
        <f>INDEX(Comparison!$AM$3:$AS$33,P$14,$G$122)</f>
        <v>2814.9531210575578</v>
      </c>
      <c r="M325" s="26">
        <f>INDEX(Comparison!$AM$3:$AS$33,Q$14,$G$122)</f>
        <v>2641.4801683555684</v>
      </c>
      <c r="N325" s="26">
        <f>INDEX(Comparison!$AM$3:$AS$33,R$14,$G$122)</f>
        <v>2449.1835010011705</v>
      </c>
      <c r="O325" s="26">
        <f>INDEX(Comparison!$AM$3:$AS$33,S$14,$G$122)</f>
        <v>2235.8247528873858</v>
      </c>
      <c r="P325" s="26">
        <f>INDEX(Comparison!$AM$3:$AS$33,T$14,$G$122)</f>
        <v>1993.335720552192</v>
      </c>
      <c r="Q325" s="26">
        <f>INDEX(Comparison!$AM$3:$AS$33,U$14,$G$122)</f>
        <v>1707.9100595434049</v>
      </c>
      <c r="R325" s="26">
        <f>INDEX(Comparison!$AM$3:$AS$33,V$14,$G$122)</f>
        <v>1382.9901395885138</v>
      </c>
      <c r="S325" s="26">
        <f>INDEX(Comparison!$AM$3:$AS$33,W$14,$G$122)</f>
        <v>1045.3846206276212</v>
      </c>
      <c r="T325" s="26">
        <f>INDEX(Comparison!$AM$3:$AS$33,X$14,$G$122)</f>
        <v>743.50488577028852</v>
      </c>
      <c r="U325" s="26">
        <f>INDEX(Comparison!$AM$3:$AS$33,Y$14,$G$122)</f>
        <v>519.49600219625086</v>
      </c>
      <c r="V325" s="26">
        <f>INDEX(Comparison!$AM$3:$AS$33,Z$14,$G$122)</f>
        <v>383.51568079468302</v>
      </c>
      <c r="W325" s="26">
        <f>INDEX(Comparison!$AM$3:$AS$33,AA$14,$G$122)</f>
        <v>314.10371823238006</v>
      </c>
      <c r="X325" s="26">
        <f>INDEX(Comparison!$AM$3:$AS$33,AB$14,$G$122)</f>
        <v>280.6909623460773</v>
      </c>
      <c r="Y325" s="26">
        <f>INDEX(Comparison!$AM$3:$AS$33,AC$14,$G$122)</f>
        <v>262.23895816268134</v>
      </c>
      <c r="Z325" s="26">
        <f>INDEX(Comparison!$AM$3:$AS$33,AD$14,$G$122)</f>
        <v>250.5385469230996</v>
      </c>
      <c r="AA325" s="26">
        <f>INDEX(Comparison!$AM$3:$AS$33,AE$14,$G$122)</f>
        <v>245.32626479673095</v>
      </c>
      <c r="AB325" s="26">
        <f>INDEX(Comparison!$AM$3:$AS$33,AF$14,$G$122)</f>
        <v>234.06992955511652</v>
      </c>
      <c r="AC325" s="26">
        <f>INDEX(Comparison!$AM$3:$AS$33,AG$14,$G$122)</f>
        <v>226.1826531941249</v>
      </c>
      <c r="AD325" s="26">
        <f>INDEX(Comparison!$AM$3:$AS$33,AH$14,$G$122)</f>
        <v>225.23832209445587</v>
      </c>
      <c r="AE325" s="26">
        <f>INDEX(Comparison!$AM$3:$AS$33,AI$14,$G$122)</f>
        <v>225.13655271656646</v>
      </c>
      <c r="AF325" s="26">
        <f>INDEX(Comparison!$AM$3:$AS$33,AJ$14,$G$122)</f>
        <v>225.03956034728361</v>
      </c>
      <c r="AG325" s="26"/>
      <c r="AH325" s="26"/>
    </row>
    <row r="326" spans="1:34" x14ac:dyDescent="0.25">
      <c r="A326" s="78" t="s">
        <v>22</v>
      </c>
      <c r="B326" s="27">
        <f>($C$17+SUM(B327:B357))*$B$51</f>
        <v>4573.4304921005369</v>
      </c>
      <c r="C326" s="27">
        <f t="shared" ref="C326:AF326" si="333">($C$17+SUM(C327:C357))*$B$51</f>
        <v>4414.8688186539766</v>
      </c>
      <c r="D326" s="27">
        <f t="shared" si="333"/>
        <v>4262.7715063723199</v>
      </c>
      <c r="E326" s="27">
        <f t="shared" si="333"/>
        <v>4096.0199770639274</v>
      </c>
      <c r="F326" s="27">
        <f t="shared" si="333"/>
        <v>3893.5475420367798</v>
      </c>
      <c r="G326" s="27">
        <f t="shared" si="333"/>
        <v>3680.1014549324614</v>
      </c>
      <c r="H326" s="27">
        <f t="shared" si="333"/>
        <v>3487.918628663695</v>
      </c>
      <c r="I326" s="27">
        <f t="shared" si="333"/>
        <v>3299.1324636360673</v>
      </c>
      <c r="J326" s="27">
        <f t="shared" si="333"/>
        <v>3095.676365600079</v>
      </c>
      <c r="K326" s="27">
        <f t="shared" si="333"/>
        <v>2904.2959673485548</v>
      </c>
      <c r="L326" s="27">
        <f t="shared" si="333"/>
        <v>2721.9543911512283</v>
      </c>
      <c r="M326" s="27">
        <f t="shared" si="333"/>
        <v>2544.3052719626266</v>
      </c>
      <c r="N326" s="27">
        <f t="shared" si="333"/>
        <v>2348.1953282751751</v>
      </c>
      <c r="O326" s="27">
        <f t="shared" si="333"/>
        <v>2147.588392869874</v>
      </c>
      <c r="P326" s="27">
        <f t="shared" si="333"/>
        <v>1928.1783279096596</v>
      </c>
      <c r="Q326" s="27">
        <f t="shared" si="333"/>
        <v>1684.2259530103233</v>
      </c>
      <c r="R326" s="27">
        <f t="shared" si="333"/>
        <v>1402.5241365248285</v>
      </c>
      <c r="S326" s="27">
        <f t="shared" si="333"/>
        <v>1092.1651350914708</v>
      </c>
      <c r="T326" s="27">
        <f t="shared" si="333"/>
        <v>791.88748697231574</v>
      </c>
      <c r="U326" s="27">
        <f t="shared" si="333"/>
        <v>556.02823562998924</v>
      </c>
      <c r="V326" s="27">
        <f t="shared" si="333"/>
        <v>402.45938787543867</v>
      </c>
      <c r="W326" s="27">
        <f t="shared" si="333"/>
        <v>268.99845393754555</v>
      </c>
      <c r="X326" s="27">
        <f t="shared" si="333"/>
        <v>213.71915764100757</v>
      </c>
      <c r="Y326" s="27">
        <f t="shared" si="333"/>
        <v>213.71664305722481</v>
      </c>
      <c r="Z326" s="27">
        <f t="shared" si="333"/>
        <v>213.71664305722481</v>
      </c>
      <c r="AA326" s="27">
        <f t="shared" si="333"/>
        <v>213.71664305722481</v>
      </c>
      <c r="AB326" s="27">
        <f t="shared" si="333"/>
        <v>213.71664305722481</v>
      </c>
      <c r="AC326" s="27">
        <f t="shared" si="333"/>
        <v>213.71664305722481</v>
      </c>
      <c r="AD326" s="27">
        <f t="shared" si="333"/>
        <v>213.71664305722481</v>
      </c>
      <c r="AE326" s="27">
        <f t="shared" si="333"/>
        <v>213.71664305722481</v>
      </c>
      <c r="AF326" s="27">
        <f t="shared" si="333"/>
        <v>213.71664305722481</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0</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0</v>
      </c>
      <c r="C329" s="3">
        <f t="shared" si="336"/>
        <v>0</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0</v>
      </c>
      <c r="C330" s="3">
        <f t="shared" si="337"/>
        <v>0</v>
      </c>
      <c r="D330" s="3">
        <f t="shared" si="337"/>
        <v>0</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0</v>
      </c>
      <c r="C331" s="3">
        <f t="shared" si="338"/>
        <v>0</v>
      </c>
      <c r="D331" s="3">
        <f t="shared" si="338"/>
        <v>0</v>
      </c>
      <c r="E331" s="3">
        <f t="shared" si="338"/>
        <v>0</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0</v>
      </c>
      <c r="C332" s="3">
        <f t="shared" si="339"/>
        <v>0</v>
      </c>
      <c r="D332" s="3">
        <f t="shared" si="339"/>
        <v>0</v>
      </c>
      <c r="E332" s="3">
        <f t="shared" si="339"/>
        <v>0</v>
      </c>
      <c r="F332" s="3">
        <f t="shared" si="339"/>
        <v>0</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0</v>
      </c>
      <c r="C333" s="3">
        <f t="shared" si="340"/>
        <v>0</v>
      </c>
      <c r="D333" s="3">
        <f t="shared" si="340"/>
        <v>0</v>
      </c>
      <c r="E333" s="3">
        <f t="shared" si="340"/>
        <v>0</v>
      </c>
      <c r="F333" s="3">
        <f t="shared" si="340"/>
        <v>0</v>
      </c>
      <c r="G333" s="3">
        <f t="shared" si="340"/>
        <v>0</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6.0400572323191087E-69</v>
      </c>
      <c r="C334" s="3">
        <f t="shared" si="341"/>
        <v>0</v>
      </c>
      <c r="D334" s="3">
        <f t="shared" si="341"/>
        <v>0</v>
      </c>
      <c r="E334" s="3">
        <f t="shared" si="341"/>
        <v>0</v>
      </c>
      <c r="F334" s="3">
        <f t="shared" si="341"/>
        <v>0</v>
      </c>
      <c r="G334" s="3">
        <f t="shared" si="341"/>
        <v>0</v>
      </c>
      <c r="H334" s="3">
        <f t="shared" si="341"/>
        <v>0</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2.7656320515658626E-8</v>
      </c>
      <c r="C335" s="3">
        <f t="shared" si="342"/>
        <v>2.3730830625038158E-62</v>
      </c>
      <c r="D335" s="3">
        <f t="shared" si="342"/>
        <v>0</v>
      </c>
      <c r="E335" s="3">
        <f t="shared" si="342"/>
        <v>0</v>
      </c>
      <c r="F335" s="3">
        <f t="shared" si="342"/>
        <v>0</v>
      </c>
      <c r="G335" s="3">
        <f t="shared" si="342"/>
        <v>0</v>
      </c>
      <c r="H335" s="3">
        <f t="shared" si="342"/>
        <v>0</v>
      </c>
      <c r="I335" s="3">
        <f t="shared" si="342"/>
        <v>0</v>
      </c>
      <c r="J335" s="3">
        <f t="shared" si="342"/>
        <v>0</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8.5140125541418258E-3</v>
      </c>
      <c r="C336" s="3">
        <f t="shared" si="343"/>
        <v>1.1295042482830532E-7</v>
      </c>
      <c r="D336" s="3">
        <f t="shared" si="343"/>
        <v>1.9073205752756885E-56</v>
      </c>
      <c r="E336" s="3">
        <f t="shared" si="343"/>
        <v>0</v>
      </c>
      <c r="F336" s="3">
        <f t="shared" si="343"/>
        <v>0</v>
      </c>
      <c r="G336" s="3">
        <f t="shared" si="343"/>
        <v>0</v>
      </c>
      <c r="H336" s="3">
        <f t="shared" si="343"/>
        <v>0</v>
      </c>
      <c r="I336" s="3">
        <f t="shared" si="343"/>
        <v>0</v>
      </c>
      <c r="J336" s="3">
        <f t="shared" si="343"/>
        <v>0</v>
      </c>
      <c r="K336" s="3">
        <f t="shared" si="343"/>
        <v>0</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2.6884444700164201E-2</v>
      </c>
      <c r="C337" s="3">
        <f t="shared" si="344"/>
        <v>9.7618666076943784E-3</v>
      </c>
      <c r="D337" s="3">
        <f t="shared" si="344"/>
        <v>3.8891156016961925E-7</v>
      </c>
      <c r="E337" s="3">
        <f t="shared" si="344"/>
        <v>3.9176955971110368E-51</v>
      </c>
      <c r="F337" s="3">
        <f t="shared" si="344"/>
        <v>0</v>
      </c>
      <c r="G337" s="3">
        <f t="shared" si="344"/>
        <v>0</v>
      </c>
      <c r="H337" s="3">
        <f t="shared" si="344"/>
        <v>0</v>
      </c>
      <c r="I337" s="3">
        <f t="shared" si="344"/>
        <v>0</v>
      </c>
      <c r="J337" s="3">
        <f t="shared" si="344"/>
        <v>0</v>
      </c>
      <c r="K337" s="3">
        <f t="shared" si="344"/>
        <v>0</v>
      </c>
      <c r="L337" s="3">
        <f t="shared" si="344"/>
        <v>0</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2.6379937761284136E-2</v>
      </c>
      <c r="C338" s="3">
        <f t="shared" si="345"/>
        <v>2.4076035476868866E-2</v>
      </c>
      <c r="D338" s="3">
        <f t="shared" si="345"/>
        <v>9.6537723852549977E-3</v>
      </c>
      <c r="E338" s="3">
        <f t="shared" si="345"/>
        <v>1.0370933698425307E-6</v>
      </c>
      <c r="F338" s="3">
        <f t="shared" si="345"/>
        <v>2.1233710263592037E-46</v>
      </c>
      <c r="G338" s="3">
        <f t="shared" si="345"/>
        <v>0</v>
      </c>
      <c r="H338" s="3">
        <f t="shared" si="345"/>
        <v>0</v>
      </c>
      <c r="I338" s="3">
        <f t="shared" si="345"/>
        <v>0</v>
      </c>
      <c r="J338" s="3">
        <f t="shared" si="345"/>
        <v>0</v>
      </c>
      <c r="K338" s="3">
        <f t="shared" si="345"/>
        <v>0</v>
      </c>
      <c r="L338" s="3">
        <f t="shared" si="345"/>
        <v>0</v>
      </c>
      <c r="M338" s="3">
        <f t="shared" si="345"/>
        <v>0</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3.2739508414380572E-2</v>
      </c>
      <c r="C339" s="3">
        <f t="shared" si="346"/>
        <v>3.2470718224409112E-2</v>
      </c>
      <c r="D339" s="3">
        <f t="shared" si="346"/>
        <v>2.9901247159071186E-2</v>
      </c>
      <c r="E339" s="3">
        <f t="shared" si="346"/>
        <v>1.3111832159705905E-2</v>
      </c>
      <c r="F339" s="3">
        <f t="shared" si="346"/>
        <v>3.4467054163269947E-6</v>
      </c>
      <c r="G339" s="3">
        <f t="shared" si="346"/>
        <v>5.4301524140676864E-42</v>
      </c>
      <c r="H339" s="3">
        <f t="shared" si="346"/>
        <v>0</v>
      </c>
      <c r="I339" s="3">
        <f t="shared" si="346"/>
        <v>0</v>
      </c>
      <c r="J339" s="3">
        <f t="shared" si="346"/>
        <v>0</v>
      </c>
      <c r="K339" s="3">
        <f t="shared" si="346"/>
        <v>0</v>
      </c>
      <c r="L339" s="3">
        <f t="shared" si="346"/>
        <v>0</v>
      </c>
      <c r="M339" s="3">
        <f t="shared" si="346"/>
        <v>0</v>
      </c>
      <c r="N339" s="3">
        <f t="shared" si="346"/>
        <v>0</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4.1903736844255829E-2</v>
      </c>
      <c r="C340" s="3">
        <f t="shared" si="347"/>
        <v>4.1872586128501824E-2</v>
      </c>
      <c r="D340" s="3">
        <f t="shared" si="347"/>
        <v>4.1562349772724203E-2</v>
      </c>
      <c r="E340" s="3">
        <f t="shared" si="347"/>
        <v>3.858363817741179E-2</v>
      </c>
      <c r="F340" s="3">
        <f t="shared" si="347"/>
        <v>1.8341464527880262E-2</v>
      </c>
      <c r="G340" s="3">
        <f t="shared" si="347"/>
        <v>1.0807925681659624E-5</v>
      </c>
      <c r="H340" s="3">
        <f t="shared" si="347"/>
        <v>5.4553892591834232E-38</v>
      </c>
      <c r="I340" s="3">
        <f t="shared" si="347"/>
        <v>0</v>
      </c>
      <c r="J340" s="3">
        <f t="shared" si="347"/>
        <v>0</v>
      </c>
      <c r="K340" s="3">
        <f t="shared" si="347"/>
        <v>0</v>
      </c>
      <c r="L340" s="3">
        <f t="shared" si="347"/>
        <v>0</v>
      </c>
      <c r="M340" s="3">
        <f t="shared" si="347"/>
        <v>0</v>
      </c>
      <c r="N340" s="3">
        <f t="shared" si="347"/>
        <v>0</v>
      </c>
      <c r="O340" s="3">
        <f t="shared" si="347"/>
        <v>0</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3.8766642979066068E-2</v>
      </c>
      <c r="C341" s="3">
        <f t="shared" si="348"/>
        <v>3.8764042418521411E-2</v>
      </c>
      <c r="D341" s="3">
        <f t="shared" si="348"/>
        <v>3.8738046405999538E-2</v>
      </c>
      <c r="E341" s="3">
        <f t="shared" si="348"/>
        <v>3.847904319642631E-2</v>
      </c>
      <c r="F341" s="3">
        <f t="shared" si="348"/>
        <v>3.5982369493054035E-2</v>
      </c>
      <c r="G341" s="3">
        <f t="shared" si="348"/>
        <v>1.8396902329900926E-2</v>
      </c>
      <c r="H341" s="3">
        <f t="shared" si="348"/>
        <v>2.2454021822946189E-5</v>
      </c>
      <c r="I341" s="3">
        <f t="shared" si="348"/>
        <v>1.6473600043696397E-34</v>
      </c>
      <c r="J341" s="3">
        <f t="shared" si="348"/>
        <v>0</v>
      </c>
      <c r="K341" s="3">
        <f t="shared" si="348"/>
        <v>0</v>
      </c>
      <c r="L341" s="3">
        <f t="shared" si="348"/>
        <v>0</v>
      </c>
      <c r="M341" s="3">
        <f t="shared" si="348"/>
        <v>0</v>
      </c>
      <c r="N341" s="3">
        <f t="shared" si="348"/>
        <v>0</v>
      </c>
      <c r="O341" s="3">
        <f t="shared" si="348"/>
        <v>0</v>
      </c>
      <c r="P341" s="3">
        <f t="shared" si="348"/>
        <v>0</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3.2038652085576255E-2</v>
      </c>
      <c r="C342" s="3">
        <f t="shared" si="349"/>
        <v>3.203845820118164E-2</v>
      </c>
      <c r="D342" s="3">
        <f t="shared" si="349"/>
        <v>3.2036519421766177E-2</v>
      </c>
      <c r="E342" s="3">
        <f t="shared" si="349"/>
        <v>3.2017138079235452E-2</v>
      </c>
      <c r="F342" s="3">
        <f t="shared" si="349"/>
        <v>3.1823968374074911E-2</v>
      </c>
      <c r="G342" s="3">
        <f t="shared" si="349"/>
        <v>2.9955225023712641E-2</v>
      </c>
      <c r="H342" s="3">
        <f t="shared" si="349"/>
        <v>1.6355171710176922E-2</v>
      </c>
      <c r="I342" s="3">
        <f t="shared" si="349"/>
        <v>3.8501737184718369E-5</v>
      </c>
      <c r="J342" s="3">
        <f t="shared" si="349"/>
        <v>2.0124842773717317E-31</v>
      </c>
      <c r="K342" s="3">
        <f t="shared" si="349"/>
        <v>3.0637562170539091E-294</v>
      </c>
      <c r="L342" s="3">
        <f t="shared" si="349"/>
        <v>0</v>
      </c>
      <c r="M342" s="3">
        <f t="shared" si="349"/>
        <v>0</v>
      </c>
      <c r="N342" s="3">
        <f t="shared" si="349"/>
        <v>0</v>
      </c>
      <c r="O342" s="3">
        <f t="shared" si="349"/>
        <v>0</v>
      </c>
      <c r="P342" s="3">
        <f t="shared" si="349"/>
        <v>0</v>
      </c>
      <c r="Q342" s="3">
        <f t="shared" si="349"/>
        <v>0</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3.8815201666214091E-2</v>
      </c>
      <c r="C343" s="3">
        <f t="shared" si="350"/>
        <v>3.8815180476833973E-2</v>
      </c>
      <c r="D343" s="3">
        <f t="shared" si="350"/>
        <v>3.8814968583668959E-2</v>
      </c>
      <c r="E343" s="3">
        <f t="shared" si="350"/>
        <v>3.8812849715638018E-2</v>
      </c>
      <c r="F343" s="3">
        <f t="shared" si="350"/>
        <v>3.8791667395958754E-2</v>
      </c>
      <c r="G343" s="3">
        <f t="shared" si="350"/>
        <v>3.8580478979309919E-2</v>
      </c>
      <c r="H343" s="3">
        <f t="shared" si="350"/>
        <v>3.6530809176220258E-2</v>
      </c>
      <c r="I343" s="3">
        <f t="shared" si="350"/>
        <v>2.1162943010712212E-2</v>
      </c>
      <c r="J343" s="3">
        <f t="shared" si="350"/>
        <v>9.01039365286091E-5</v>
      </c>
      <c r="K343" s="3">
        <f t="shared" si="350"/>
        <v>1.763684071181025E-28</v>
      </c>
      <c r="L343" s="3">
        <f t="shared" si="350"/>
        <v>1.4560995460915106E-265</v>
      </c>
      <c r="M343" s="3">
        <f t="shared" si="350"/>
        <v>0</v>
      </c>
      <c r="N343" s="3">
        <f t="shared" si="350"/>
        <v>0</v>
      </c>
      <c r="O343" s="3">
        <f t="shared" si="350"/>
        <v>0</v>
      </c>
      <c r="P343" s="3">
        <f t="shared" si="350"/>
        <v>0</v>
      </c>
      <c r="Q343" s="3">
        <f t="shared" si="350"/>
        <v>0</v>
      </c>
      <c r="R343" s="3">
        <f t="shared" si="350"/>
        <v>0</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3.6757921319442215E-2</v>
      </c>
      <c r="C344" s="3">
        <f t="shared" si="351"/>
        <v>3.6757919509294371E-2</v>
      </c>
      <c r="D344" s="3">
        <f t="shared" si="351"/>
        <v>3.6757901407820821E-2</v>
      </c>
      <c r="E344" s="3">
        <f t="shared" si="351"/>
        <v>3.6757720393575603E-2</v>
      </c>
      <c r="F344" s="3">
        <f t="shared" si="351"/>
        <v>3.6755910300149956E-2</v>
      </c>
      <c r="G344" s="3">
        <f t="shared" si="351"/>
        <v>3.6737814267652366E-2</v>
      </c>
      <c r="H344" s="3">
        <f t="shared" si="351"/>
        <v>3.6557343226605275E-2</v>
      </c>
      <c r="I344" s="3">
        <f t="shared" si="351"/>
        <v>3.4800681321383836E-2</v>
      </c>
      <c r="J344" s="3">
        <f t="shared" si="351"/>
        <v>2.1267622839884124E-2</v>
      </c>
      <c r="K344" s="3">
        <f t="shared" si="351"/>
        <v>1.5453646854280057E-4</v>
      </c>
      <c r="L344" s="3">
        <f t="shared" si="351"/>
        <v>6.3409060685981937E-26</v>
      </c>
      <c r="M344" s="3">
        <f t="shared" si="351"/>
        <v>8.5773806172103589E-240</v>
      </c>
      <c r="N344" s="3">
        <f t="shared" si="351"/>
        <v>0</v>
      </c>
      <c r="O344" s="3">
        <f t="shared" si="351"/>
        <v>0</v>
      </c>
      <c r="P344" s="3">
        <f t="shared" si="351"/>
        <v>0</v>
      </c>
      <c r="Q344" s="3">
        <f t="shared" si="351"/>
        <v>0</v>
      </c>
      <c r="R344" s="3">
        <f t="shared" si="351"/>
        <v>0</v>
      </c>
      <c r="S344" s="3">
        <f t="shared" si="351"/>
        <v>0</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3.339531997927829E-2</v>
      </c>
      <c r="C345" s="3">
        <f t="shared" si="352"/>
        <v>3.339531983092564E-2</v>
      </c>
      <c r="D345" s="3">
        <f t="shared" si="352"/>
        <v>3.3395318347399158E-2</v>
      </c>
      <c r="E345" s="3">
        <f t="shared" si="352"/>
        <v>3.3395303512137972E-2</v>
      </c>
      <c r="F345" s="3">
        <f t="shared" si="352"/>
        <v>3.3395155159888577E-2</v>
      </c>
      <c r="G345" s="3">
        <f t="shared" si="352"/>
        <v>3.3393671673640608E-2</v>
      </c>
      <c r="H345" s="3">
        <f t="shared" si="352"/>
        <v>3.3378840435162663E-2</v>
      </c>
      <c r="I345" s="3">
        <f t="shared" si="352"/>
        <v>3.3230889855602602E-2</v>
      </c>
      <c r="J345" s="3">
        <f t="shared" si="352"/>
        <v>3.1786976898176569E-2</v>
      </c>
      <c r="K345" s="3">
        <f t="shared" si="352"/>
        <v>2.0385519319459526E-2</v>
      </c>
      <c r="L345" s="3">
        <f t="shared" si="352"/>
        <v>2.3990942628521154E-4</v>
      </c>
      <c r="M345" s="3">
        <f t="shared" si="352"/>
        <v>1.2226513689712514E-23</v>
      </c>
      <c r="N345" s="3">
        <f t="shared" si="352"/>
        <v>1.4449602541932758E-216</v>
      </c>
      <c r="O345" s="3">
        <f t="shared" si="352"/>
        <v>0</v>
      </c>
      <c r="P345" s="3">
        <f t="shared" si="352"/>
        <v>0</v>
      </c>
      <c r="Q345" s="3">
        <f t="shared" si="352"/>
        <v>0</v>
      </c>
      <c r="R345" s="3">
        <f t="shared" si="352"/>
        <v>0</v>
      </c>
      <c r="S345" s="3">
        <f t="shared" si="352"/>
        <v>0</v>
      </c>
      <c r="T345" s="3">
        <f t="shared" si="352"/>
        <v>0</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3.5168182507868594E-2</v>
      </c>
      <c r="C346" s="3">
        <f t="shared" si="353"/>
        <v>3.5168182493775506E-2</v>
      </c>
      <c r="D346" s="3">
        <f t="shared" si="353"/>
        <v>3.5168182352844607E-2</v>
      </c>
      <c r="E346" s="3">
        <f t="shared" si="353"/>
        <v>3.5168180943535653E-2</v>
      </c>
      <c r="F346" s="3">
        <f t="shared" si="353"/>
        <v>3.5168166850449246E-2</v>
      </c>
      <c r="G346" s="3">
        <f t="shared" si="353"/>
        <v>3.5168025919895825E-2</v>
      </c>
      <c r="H346" s="3">
        <f t="shared" si="353"/>
        <v>3.5166616645422713E-2</v>
      </c>
      <c r="I346" s="3">
        <f t="shared" si="353"/>
        <v>3.5152527006349826E-2</v>
      </c>
      <c r="J346" s="3">
        <f t="shared" si="353"/>
        <v>3.5011940721455956E-2</v>
      </c>
      <c r="K346" s="3">
        <f t="shared" si="353"/>
        <v>3.3636633544078476E-2</v>
      </c>
      <c r="L346" s="3">
        <f t="shared" si="353"/>
        <v>2.2530763910456816E-2</v>
      </c>
      <c r="M346" s="3">
        <f t="shared" si="353"/>
        <v>4.0964706449424568E-4</v>
      </c>
      <c r="N346" s="3">
        <f t="shared" si="353"/>
        <v>1.61714569753581E-21</v>
      </c>
      <c r="O346" s="3">
        <f t="shared" si="353"/>
        <v>1.4864221737244242E-195</v>
      </c>
      <c r="P346" s="3">
        <f t="shared" si="353"/>
        <v>0</v>
      </c>
      <c r="Q346" s="3">
        <f t="shared" si="353"/>
        <v>0</v>
      </c>
      <c r="R346" s="3">
        <f t="shared" si="353"/>
        <v>0</v>
      </c>
      <c r="S346" s="3">
        <f t="shared" si="353"/>
        <v>0</v>
      </c>
      <c r="T346" s="3">
        <f t="shared" si="353"/>
        <v>0</v>
      </c>
      <c r="U346" s="3">
        <f t="shared" si="353"/>
        <v>0</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2.065915541420018E-2</v>
      </c>
      <c r="C347" s="3">
        <f t="shared" si="354"/>
        <v>2.0659155413453357E-2</v>
      </c>
      <c r="D347" s="3">
        <f t="shared" si="354"/>
        <v>2.0659155405985168E-2</v>
      </c>
      <c r="E347" s="3">
        <f t="shared" si="354"/>
        <v>2.0659155331303251E-2</v>
      </c>
      <c r="F347" s="3">
        <f t="shared" si="354"/>
        <v>2.0659154584484113E-2</v>
      </c>
      <c r="G347" s="3">
        <f t="shared" si="354"/>
        <v>2.0659147116294185E-2</v>
      </c>
      <c r="H347" s="3">
        <f t="shared" si="354"/>
        <v>2.0659072434543405E-2</v>
      </c>
      <c r="I347" s="3">
        <f t="shared" si="354"/>
        <v>2.0658325631883842E-2</v>
      </c>
      <c r="J347" s="3">
        <f t="shared" si="354"/>
        <v>2.0650859089912221E-2</v>
      </c>
      <c r="K347" s="3">
        <f t="shared" si="354"/>
        <v>2.0576341934217608E-2</v>
      </c>
      <c r="L347" s="3">
        <f t="shared" si="354"/>
        <v>1.9845800374289478E-2</v>
      </c>
      <c r="M347" s="3">
        <f t="shared" si="354"/>
        <v>1.3825254051462909E-2</v>
      </c>
      <c r="N347" s="3">
        <f t="shared" si="354"/>
        <v>3.7215010099072578E-4</v>
      </c>
      <c r="O347" s="3">
        <f t="shared" si="354"/>
        <v>7.4330721267801523E-20</v>
      </c>
      <c r="P347" s="3">
        <f t="shared" si="354"/>
        <v>7.5105268862428721E-177</v>
      </c>
      <c r="Q347" s="3">
        <f t="shared" si="354"/>
        <v>0</v>
      </c>
      <c r="R347" s="3">
        <f t="shared" si="354"/>
        <v>0</v>
      </c>
      <c r="S347" s="3">
        <f t="shared" si="354"/>
        <v>0</v>
      </c>
      <c r="T347" s="3">
        <f t="shared" si="354"/>
        <v>0</v>
      </c>
      <c r="U347" s="3">
        <f t="shared" si="354"/>
        <v>0</v>
      </c>
      <c r="V347" s="3">
        <f t="shared" si="354"/>
        <v>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3.0227206274893396E-2</v>
      </c>
      <c r="C348" s="3">
        <f t="shared" si="355"/>
        <v>3.0227206274591183E-2</v>
      </c>
      <c r="D348" s="3">
        <f t="shared" si="355"/>
        <v>3.0227206271569048E-2</v>
      </c>
      <c r="E348" s="3">
        <f t="shared" si="355"/>
        <v>3.0227206241347705E-2</v>
      </c>
      <c r="F348" s="3">
        <f t="shared" si="355"/>
        <v>3.0227205939134281E-2</v>
      </c>
      <c r="G348" s="3">
        <f t="shared" si="355"/>
        <v>3.0227202917000172E-2</v>
      </c>
      <c r="H348" s="3">
        <f t="shared" si="355"/>
        <v>3.0227172695675718E-2</v>
      </c>
      <c r="I348" s="3">
        <f t="shared" si="355"/>
        <v>3.0226870484093022E-2</v>
      </c>
      <c r="J348" s="3">
        <f t="shared" si="355"/>
        <v>3.0223848534444361E-2</v>
      </c>
      <c r="K348" s="3">
        <f t="shared" si="355"/>
        <v>3.0193645649643323E-2</v>
      </c>
      <c r="L348" s="3">
        <f t="shared" si="355"/>
        <v>2.9893271841458582E-2</v>
      </c>
      <c r="M348" s="3">
        <f t="shared" si="355"/>
        <v>2.7049075592014388E-2</v>
      </c>
      <c r="N348" s="3">
        <f t="shared" si="355"/>
        <v>9.9527292174026241E-3</v>
      </c>
      <c r="O348" s="3">
        <f t="shared" si="355"/>
        <v>4.527305453017238E-7</v>
      </c>
      <c r="P348" s="3">
        <f t="shared" si="355"/>
        <v>1.7171802378674846E-50</v>
      </c>
      <c r="Q348" s="3">
        <f t="shared" si="355"/>
        <v>0</v>
      </c>
      <c r="R348" s="3">
        <f t="shared" si="355"/>
        <v>0</v>
      </c>
      <c r="S348" s="3">
        <f t="shared" si="355"/>
        <v>0</v>
      </c>
      <c r="T348" s="3">
        <f t="shared" si="355"/>
        <v>0</v>
      </c>
      <c r="U348" s="3">
        <f t="shared" si="355"/>
        <v>0</v>
      </c>
      <c r="V348" s="3">
        <f t="shared" si="355"/>
        <v>0</v>
      </c>
      <c r="W348" s="3">
        <f t="shared" si="355"/>
        <v>0</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3.7583954306504762E-2</v>
      </c>
      <c r="C349" s="3">
        <f t="shared" si="356"/>
        <v>3.7583954306467188E-2</v>
      </c>
      <c r="D349" s="3">
        <f t="shared" si="356"/>
        <v>3.7583954306091419E-2</v>
      </c>
      <c r="E349" s="3">
        <f t="shared" si="356"/>
        <v>3.7583954302333751E-2</v>
      </c>
      <c r="F349" s="3">
        <f t="shared" si="356"/>
        <v>3.7583954264757087E-2</v>
      </c>
      <c r="G349" s="3">
        <f t="shared" si="356"/>
        <v>3.7583953888990454E-2</v>
      </c>
      <c r="H349" s="3">
        <f t="shared" si="356"/>
        <v>3.758395013132429E-2</v>
      </c>
      <c r="I349" s="3">
        <f t="shared" si="356"/>
        <v>3.7583912554683331E-2</v>
      </c>
      <c r="J349" s="3">
        <f t="shared" si="356"/>
        <v>3.7583536790340058E-2</v>
      </c>
      <c r="K349" s="3">
        <f t="shared" si="356"/>
        <v>3.7579779353530351E-2</v>
      </c>
      <c r="L349" s="3">
        <f t="shared" si="356"/>
        <v>3.7542225640098736E-2</v>
      </c>
      <c r="M349" s="3">
        <f t="shared" si="356"/>
        <v>3.7168746351969761E-2</v>
      </c>
      <c r="N349" s="3">
        <f t="shared" si="356"/>
        <v>3.3632324861157907E-2</v>
      </c>
      <c r="O349" s="3">
        <f t="shared" si="356"/>
        <v>1.2375041104681791E-2</v>
      </c>
      <c r="P349" s="3">
        <f t="shared" si="356"/>
        <v>5.6291686280961041E-7</v>
      </c>
      <c r="Q349" s="3">
        <f t="shared" si="356"/>
        <v>2.1351104369041663E-50</v>
      </c>
      <c r="R349" s="3">
        <f t="shared" si="356"/>
        <v>0</v>
      </c>
      <c r="S349" s="3">
        <f t="shared" si="356"/>
        <v>0</v>
      </c>
      <c r="T349" s="3">
        <f t="shared" si="356"/>
        <v>0</v>
      </c>
      <c r="U349" s="3">
        <f t="shared" si="356"/>
        <v>0</v>
      </c>
      <c r="V349" s="3">
        <f t="shared" si="356"/>
        <v>0</v>
      </c>
      <c r="W349" s="3">
        <f t="shared" si="356"/>
        <v>0</v>
      </c>
      <c r="X349" s="3">
        <f t="shared" si="356"/>
        <v>0</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3.8796261080833581E-2</v>
      </c>
      <c r="C350" s="3">
        <f t="shared" si="357"/>
        <v>3.8796261080829703E-2</v>
      </c>
      <c r="D350" s="3">
        <f t="shared" si="357"/>
        <v>3.8796261080790914E-2</v>
      </c>
      <c r="E350" s="3">
        <f t="shared" si="357"/>
        <v>3.8796261080403023E-2</v>
      </c>
      <c r="F350" s="3">
        <f t="shared" si="357"/>
        <v>3.8796261076524154E-2</v>
      </c>
      <c r="G350" s="3">
        <f t="shared" si="357"/>
        <v>3.8796261037735418E-2</v>
      </c>
      <c r="H350" s="3">
        <f t="shared" si="357"/>
        <v>3.8796260649848063E-2</v>
      </c>
      <c r="I350" s="3">
        <f t="shared" si="357"/>
        <v>3.8796256770974751E-2</v>
      </c>
      <c r="J350" s="3">
        <f t="shared" si="357"/>
        <v>3.8796217982262918E-2</v>
      </c>
      <c r="K350" s="3">
        <f t="shared" si="357"/>
        <v>3.8795830097277537E-2</v>
      </c>
      <c r="L350" s="3">
        <f t="shared" si="357"/>
        <v>3.8791951460711648E-2</v>
      </c>
      <c r="M350" s="3">
        <f t="shared" si="357"/>
        <v>3.8753186415954356E-2</v>
      </c>
      <c r="N350" s="3">
        <f t="shared" si="357"/>
        <v>3.8367660192386487E-2</v>
      </c>
      <c r="O350" s="3">
        <f t="shared" si="357"/>
        <v>3.4717168008128803E-2</v>
      </c>
      <c r="P350" s="3">
        <f t="shared" si="357"/>
        <v>1.2774210017069458E-2</v>
      </c>
      <c r="Q350" s="3">
        <f t="shared" si="357"/>
        <v>5.8107429032776062E-7</v>
      </c>
      <c r="R350" s="3">
        <f t="shared" si="357"/>
        <v>2.2039804878168988E-50</v>
      </c>
      <c r="S350" s="3">
        <f t="shared" si="357"/>
        <v>0</v>
      </c>
      <c r="T350" s="3">
        <f t="shared" si="357"/>
        <v>0</v>
      </c>
      <c r="U350" s="3">
        <f t="shared" si="357"/>
        <v>0</v>
      </c>
      <c r="V350" s="3">
        <f t="shared" si="357"/>
        <v>0</v>
      </c>
      <c r="W350" s="3">
        <f t="shared" si="357"/>
        <v>0</v>
      </c>
      <c r="X350" s="3">
        <f t="shared" si="357"/>
        <v>0</v>
      </c>
      <c r="Y350" s="3">
        <f t="shared" si="357"/>
        <v>0</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4.4435908664617031E-2</v>
      </c>
      <c r="C351" s="3">
        <f t="shared" si="358"/>
        <v>4.4435908664616587E-2</v>
      </c>
      <c r="D351" s="3">
        <f t="shared" si="358"/>
        <v>4.4435908664612139E-2</v>
      </c>
      <c r="E351" s="3">
        <f t="shared" si="358"/>
        <v>4.4435908664567716E-2</v>
      </c>
      <c r="F351" s="3">
        <f t="shared" si="358"/>
        <v>4.443590866412344E-2</v>
      </c>
      <c r="G351" s="3">
        <f t="shared" si="358"/>
        <v>4.4435908659680716E-2</v>
      </c>
      <c r="H351" s="3">
        <f t="shared" si="358"/>
        <v>4.4435908615253428E-2</v>
      </c>
      <c r="I351" s="3">
        <f t="shared" si="358"/>
        <v>4.4435908170980538E-2</v>
      </c>
      <c r="J351" s="3">
        <f t="shared" si="358"/>
        <v>4.4435903728251895E-2</v>
      </c>
      <c r="K351" s="3">
        <f t="shared" si="358"/>
        <v>4.443585930098988E-2</v>
      </c>
      <c r="L351" s="3">
        <f t="shared" si="358"/>
        <v>4.443541503081274E-2</v>
      </c>
      <c r="M351" s="3">
        <f t="shared" si="358"/>
        <v>4.4430972573334018E-2</v>
      </c>
      <c r="N351" s="3">
        <f t="shared" si="358"/>
        <v>4.438657241877722E-2</v>
      </c>
      <c r="O351" s="3">
        <f t="shared" si="358"/>
        <v>4.3945003886629683E-2</v>
      </c>
      <c r="P351" s="3">
        <f t="shared" si="358"/>
        <v>3.9763855168648998E-2</v>
      </c>
      <c r="Q351" s="3">
        <f t="shared" si="358"/>
        <v>1.463114263507097E-2</v>
      </c>
      <c r="R351" s="3">
        <f t="shared" si="358"/>
        <v>6.6554259026567235E-7</v>
      </c>
      <c r="S351" s="3">
        <f t="shared" si="358"/>
        <v>2.5243637641053983E-50</v>
      </c>
      <c r="T351" s="3">
        <f t="shared" si="358"/>
        <v>0</v>
      </c>
      <c r="U351" s="3">
        <f t="shared" si="358"/>
        <v>0</v>
      </c>
      <c r="V351" s="3">
        <f t="shared" si="358"/>
        <v>0</v>
      </c>
      <c r="W351" s="3">
        <f t="shared" si="358"/>
        <v>0</v>
      </c>
      <c r="X351" s="3">
        <f t="shared" si="358"/>
        <v>0</v>
      </c>
      <c r="Y351" s="3">
        <f t="shared" si="358"/>
        <v>0</v>
      </c>
      <c r="Z351" s="3">
        <f t="shared" si="358"/>
        <v>0</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5.2241280235407653E-2</v>
      </c>
      <c r="C352" s="3">
        <f t="shared" si="359"/>
        <v>5.2241280235407604E-2</v>
      </c>
      <c r="D352" s="3">
        <f t="shared" si="359"/>
        <v>5.2241280235407077E-2</v>
      </c>
      <c r="E352" s="3">
        <f t="shared" si="359"/>
        <v>5.2241280235401852E-2</v>
      </c>
      <c r="F352" s="3">
        <f t="shared" si="359"/>
        <v>5.2241280235349623E-2</v>
      </c>
      <c r="G352" s="3">
        <f t="shared" si="359"/>
        <v>5.2241280234827311E-2</v>
      </c>
      <c r="H352" s="3">
        <f t="shared" si="359"/>
        <v>5.2241280229604198E-2</v>
      </c>
      <c r="I352" s="3">
        <f t="shared" si="359"/>
        <v>5.2241280177373055E-2</v>
      </c>
      <c r="J352" s="3">
        <f t="shared" si="359"/>
        <v>5.224127965506159E-2</v>
      </c>
      <c r="K352" s="3">
        <f t="shared" si="359"/>
        <v>5.2241274431947239E-2</v>
      </c>
      <c r="L352" s="3">
        <f t="shared" si="359"/>
        <v>5.2241222200832479E-2</v>
      </c>
      <c r="M352" s="3">
        <f t="shared" si="359"/>
        <v>5.2240699892556995E-2</v>
      </c>
      <c r="N352" s="3">
        <f t="shared" si="359"/>
        <v>5.2235477097005961E-2</v>
      </c>
      <c r="O352" s="3">
        <f t="shared" si="359"/>
        <v>5.2183277851251729E-2</v>
      </c>
      <c r="P352" s="3">
        <f t="shared" si="359"/>
        <v>5.1664145777118503E-2</v>
      </c>
      <c r="Q352" s="3">
        <f t="shared" si="359"/>
        <v>4.6748559071543329E-2</v>
      </c>
      <c r="R352" s="3">
        <f t="shared" si="359"/>
        <v>1.7201170079179477E-2</v>
      </c>
      <c r="S352" s="3">
        <f t="shared" si="359"/>
        <v>7.8244820487610255E-7</v>
      </c>
      <c r="T352" s="3">
        <f t="shared" si="359"/>
        <v>2.9677798604745836E-50</v>
      </c>
      <c r="U352" s="3">
        <f t="shared" si="359"/>
        <v>0</v>
      </c>
      <c r="V352" s="3">
        <f t="shared" si="359"/>
        <v>0</v>
      </c>
      <c r="W352" s="3">
        <f t="shared" si="359"/>
        <v>0</v>
      </c>
      <c r="X352" s="3">
        <f t="shared" si="359"/>
        <v>0</v>
      </c>
      <c r="Y352" s="3">
        <f t="shared" si="359"/>
        <v>0</v>
      </c>
      <c r="Z352" s="3">
        <f t="shared" si="359"/>
        <v>0</v>
      </c>
      <c r="AA352" s="3">
        <f t="shared" si="359"/>
        <v>0</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5.759294658465644E-2</v>
      </c>
      <c r="C353" s="3">
        <f t="shared" si="360"/>
        <v>5.7592946584656433E-2</v>
      </c>
      <c r="D353" s="3">
        <f t="shared" si="360"/>
        <v>5.7592946584656378E-2</v>
      </c>
      <c r="E353" s="3">
        <f t="shared" si="360"/>
        <v>5.7592946584655802E-2</v>
      </c>
      <c r="F353" s="3">
        <f t="shared" si="360"/>
        <v>5.7592946584650043E-2</v>
      </c>
      <c r="G353" s="3">
        <f t="shared" si="360"/>
        <v>5.7592946584592464E-2</v>
      </c>
      <c r="H353" s="3">
        <f t="shared" si="360"/>
        <v>5.759294658401664E-2</v>
      </c>
      <c r="I353" s="3">
        <f t="shared" si="360"/>
        <v>5.7592946578258461E-2</v>
      </c>
      <c r="J353" s="3">
        <f t="shared" si="360"/>
        <v>5.7592946520676688E-2</v>
      </c>
      <c r="K353" s="3">
        <f t="shared" si="360"/>
        <v>5.7592945944858948E-2</v>
      </c>
      <c r="L353" s="3">
        <f t="shared" si="360"/>
        <v>5.7592940186681804E-2</v>
      </c>
      <c r="M353" s="3">
        <f t="shared" si="360"/>
        <v>5.759288260494206E-2</v>
      </c>
      <c r="N353" s="3">
        <f t="shared" si="360"/>
        <v>5.7592306790710958E-2</v>
      </c>
      <c r="O353" s="3">
        <f t="shared" si="360"/>
        <v>5.7586548965025249E-2</v>
      </c>
      <c r="P353" s="3">
        <f t="shared" si="360"/>
        <v>5.7529002358990028E-2</v>
      </c>
      <c r="Q353" s="3">
        <f t="shared" si="360"/>
        <v>5.6956689703534229E-2</v>
      </c>
      <c r="R353" s="3">
        <f t="shared" si="360"/>
        <v>5.1537543746721336E-2</v>
      </c>
      <c r="S353" s="3">
        <f t="shared" si="360"/>
        <v>1.8963280859497944E-2</v>
      </c>
      <c r="T353" s="3">
        <f t="shared" si="360"/>
        <v>8.6260324145247368E-7</v>
      </c>
      <c r="U353" s="3">
        <f t="shared" si="360"/>
        <v>3.271803183404471E-50</v>
      </c>
      <c r="V353" s="3">
        <f t="shared" si="360"/>
        <v>0</v>
      </c>
      <c r="W353" s="3">
        <f t="shared" si="360"/>
        <v>0</v>
      </c>
      <c r="X353" s="3">
        <f t="shared" si="360"/>
        <v>0</v>
      </c>
      <c r="Y353" s="3">
        <f t="shared" si="360"/>
        <v>0</v>
      </c>
      <c r="Z353" s="3">
        <f t="shared" si="360"/>
        <v>0</v>
      </c>
      <c r="AA353" s="3">
        <f t="shared" si="360"/>
        <v>0</v>
      </c>
      <c r="AB353" s="3">
        <f t="shared" si="360"/>
        <v>0</v>
      </c>
      <c r="AC353" s="3">
        <f t="shared" si="360"/>
        <v>0</v>
      </c>
      <c r="AD353" s="3">
        <f t="shared" si="360"/>
        <v>0</v>
      </c>
      <c r="AE353" s="3">
        <f t="shared" si="360"/>
        <v>0</v>
      </c>
      <c r="AF353" s="3">
        <f t="shared" si="360"/>
        <v>0</v>
      </c>
      <c r="AG353" s="3"/>
      <c r="AH353" s="3"/>
    </row>
    <row r="354" spans="1:34" x14ac:dyDescent="0.25">
      <c r="B354" s="3">
        <f t="shared" ref="B354:AF354" si="361">$C45*EXP(-B$363/$A45/EXP(-$G$126))</f>
        <v>5.4172080221644638E-2</v>
      </c>
      <c r="C354" s="3">
        <f t="shared" si="361"/>
        <v>5.4172080221644638E-2</v>
      </c>
      <c r="D354" s="3">
        <f t="shared" si="361"/>
        <v>5.4172080221644631E-2</v>
      </c>
      <c r="E354" s="3">
        <f t="shared" si="361"/>
        <v>5.4172080221644575E-2</v>
      </c>
      <c r="F354" s="3">
        <f t="shared" si="361"/>
        <v>5.4172080221644034E-2</v>
      </c>
      <c r="G354" s="3">
        <f t="shared" si="361"/>
        <v>5.4172080221638615E-2</v>
      </c>
      <c r="H354" s="3">
        <f t="shared" si="361"/>
        <v>5.4172080221584457E-2</v>
      </c>
      <c r="I354" s="3">
        <f t="shared" si="361"/>
        <v>5.4172080221042841E-2</v>
      </c>
      <c r="J354" s="3">
        <f t="shared" si="361"/>
        <v>5.4172080215626681E-2</v>
      </c>
      <c r="K354" s="3">
        <f t="shared" si="361"/>
        <v>5.417208016146511E-2</v>
      </c>
      <c r="L354" s="3">
        <f t="shared" si="361"/>
        <v>5.4172079619849392E-2</v>
      </c>
      <c r="M354" s="3">
        <f t="shared" si="361"/>
        <v>5.4172074203692515E-2</v>
      </c>
      <c r="N354" s="3">
        <f t="shared" si="361"/>
        <v>5.4172020042153476E-2</v>
      </c>
      <c r="O354" s="3">
        <f t="shared" si="361"/>
        <v>5.417147842974137E-2</v>
      </c>
      <c r="P354" s="3">
        <f t="shared" si="361"/>
        <v>5.4166062603438925E-2</v>
      </c>
      <c r="Q354" s="3">
        <f t="shared" si="361"/>
        <v>5.4111934111262527E-2</v>
      </c>
      <c r="R354" s="3">
        <f t="shared" si="361"/>
        <v>5.357361529061247E-2</v>
      </c>
      <c r="S354" s="3">
        <f t="shared" si="361"/>
        <v>4.847635205068164E-2</v>
      </c>
      <c r="T354" s="3">
        <f t="shared" si="361"/>
        <v>1.7836912901761176E-2</v>
      </c>
      <c r="U354" s="3">
        <f t="shared" si="361"/>
        <v>8.1136692540512173E-7</v>
      </c>
      <c r="V354" s="3">
        <f t="shared" si="361"/>
        <v>3.0774668606387745E-50</v>
      </c>
      <c r="W354" s="3">
        <f t="shared" si="361"/>
        <v>0</v>
      </c>
      <c r="X354" s="3">
        <f t="shared" si="361"/>
        <v>0</v>
      </c>
      <c r="Y354" s="3">
        <f t="shared" si="361"/>
        <v>0</v>
      </c>
      <c r="Z354" s="3">
        <f t="shared" si="361"/>
        <v>0</v>
      </c>
      <c r="AA354" s="3">
        <f t="shared" si="361"/>
        <v>0</v>
      </c>
      <c r="AB354" s="3">
        <f t="shared" si="361"/>
        <v>0</v>
      </c>
      <c r="AC354" s="3">
        <f t="shared" si="361"/>
        <v>0</v>
      </c>
      <c r="AD354" s="3">
        <f t="shared" si="361"/>
        <v>0</v>
      </c>
      <c r="AE354" s="3">
        <f t="shared" si="361"/>
        <v>0</v>
      </c>
      <c r="AF354" s="3">
        <f t="shared" si="361"/>
        <v>0</v>
      </c>
      <c r="AG354" s="3"/>
      <c r="AH354" s="3"/>
    </row>
    <row r="355" spans="1:34" x14ac:dyDescent="0.25">
      <c r="B355" s="3">
        <f t="shared" ref="B355:AF355" si="362">$C46*EXP(-B$363/$A46/EXP(-$G$126))</f>
        <v>3.8751330064371987E-2</v>
      </c>
      <c r="C355" s="3">
        <f t="shared" si="362"/>
        <v>3.8751330064371987E-2</v>
      </c>
      <c r="D355" s="3">
        <f t="shared" si="362"/>
        <v>3.8751330064371987E-2</v>
      </c>
      <c r="E355" s="3">
        <f t="shared" si="362"/>
        <v>3.875133006437198E-2</v>
      </c>
      <c r="F355" s="3">
        <f t="shared" si="362"/>
        <v>3.8751330064371946E-2</v>
      </c>
      <c r="G355" s="3">
        <f t="shared" si="362"/>
        <v>3.8751330064371557E-2</v>
      </c>
      <c r="H355" s="3">
        <f t="shared" si="362"/>
        <v>3.8751330064367678E-2</v>
      </c>
      <c r="I355" s="3">
        <f t="shared" si="362"/>
        <v>3.8751330064328939E-2</v>
      </c>
      <c r="J355" s="3">
        <f t="shared" si="362"/>
        <v>3.8751330063941498E-2</v>
      </c>
      <c r="K355" s="3">
        <f t="shared" si="362"/>
        <v>3.8751330060067118E-2</v>
      </c>
      <c r="L355" s="3">
        <f t="shared" si="362"/>
        <v>3.8751330021323305E-2</v>
      </c>
      <c r="M355" s="3">
        <f t="shared" si="362"/>
        <v>3.8751329633885175E-2</v>
      </c>
      <c r="N355" s="3">
        <f t="shared" si="362"/>
        <v>3.8751325759504088E-2</v>
      </c>
      <c r="O355" s="3">
        <f t="shared" si="362"/>
        <v>3.8751287015714529E-2</v>
      </c>
      <c r="P355" s="3">
        <f t="shared" si="362"/>
        <v>3.8750899579949413E-2</v>
      </c>
      <c r="Q355" s="3">
        <f t="shared" si="362"/>
        <v>3.8747025435339158E-2</v>
      </c>
      <c r="R355" s="3">
        <f t="shared" si="362"/>
        <v>3.8708305285445846E-2</v>
      </c>
      <c r="S355" s="3">
        <f t="shared" si="362"/>
        <v>3.8323225550395558E-2</v>
      </c>
      <c r="T355" s="3">
        <f t="shared" si="362"/>
        <v>3.4676961101488026E-2</v>
      </c>
      <c r="U355" s="3">
        <f t="shared" si="362"/>
        <v>1.2759415853287272E-2</v>
      </c>
      <c r="V355" s="3">
        <f t="shared" si="362"/>
        <v>5.8040133221847335E-7</v>
      </c>
      <c r="W355" s="3">
        <f t="shared" si="362"/>
        <v>2.2014279974268131E-50</v>
      </c>
      <c r="X355" s="3">
        <f t="shared" si="362"/>
        <v>0</v>
      </c>
      <c r="Y355" s="3">
        <f t="shared" si="362"/>
        <v>0</v>
      </c>
      <c r="Z355" s="3">
        <f t="shared" si="362"/>
        <v>0</v>
      </c>
      <c r="AA355" s="3">
        <f t="shared" si="362"/>
        <v>0</v>
      </c>
      <c r="AB355" s="3">
        <f t="shared" si="362"/>
        <v>0</v>
      </c>
      <c r="AC355" s="3">
        <f t="shared" si="362"/>
        <v>0</v>
      </c>
      <c r="AD355" s="3">
        <f t="shared" si="362"/>
        <v>0</v>
      </c>
      <c r="AE355" s="3">
        <f t="shared" si="362"/>
        <v>0</v>
      </c>
      <c r="AF355" s="3">
        <f t="shared" si="362"/>
        <v>0</v>
      </c>
      <c r="AG355" s="3"/>
      <c r="AH355" s="3"/>
    </row>
    <row r="356" spans="1:34" x14ac:dyDescent="0.25">
      <c r="B356" s="3">
        <f t="shared" ref="B356:AF356" si="363">$C47*EXP(-B$363/$A47/EXP(-$G$126))</f>
        <v>2.0828240532986285E-2</v>
      </c>
      <c r="C356" s="3">
        <f t="shared" si="363"/>
        <v>2.0828240532986285E-2</v>
      </c>
      <c r="D356" s="3">
        <f t="shared" si="363"/>
        <v>2.0828240532986285E-2</v>
      </c>
      <c r="E356" s="3">
        <f t="shared" si="363"/>
        <v>2.0828240532986285E-2</v>
      </c>
      <c r="F356" s="3">
        <f t="shared" si="363"/>
        <v>2.0828240532986281E-2</v>
      </c>
      <c r="G356" s="3">
        <f t="shared" si="363"/>
        <v>2.0828240532986261E-2</v>
      </c>
      <c r="H356" s="3">
        <f t="shared" si="363"/>
        <v>2.0828240532986052E-2</v>
      </c>
      <c r="I356" s="3">
        <f t="shared" si="363"/>
        <v>2.0828240532983971E-2</v>
      </c>
      <c r="J356" s="3">
        <f t="shared" si="363"/>
        <v>2.0828240532963147E-2</v>
      </c>
      <c r="K356" s="3">
        <f t="shared" si="363"/>
        <v>2.0828240532754904E-2</v>
      </c>
      <c r="L356" s="3">
        <f t="shared" si="363"/>
        <v>2.0828240530672483E-2</v>
      </c>
      <c r="M356" s="3">
        <f t="shared" si="363"/>
        <v>2.0828240509848283E-2</v>
      </c>
      <c r="N356" s="3">
        <f t="shared" si="363"/>
        <v>2.0828240301606283E-2</v>
      </c>
      <c r="O356" s="3">
        <f t="shared" si="363"/>
        <v>2.0828238219186376E-2</v>
      </c>
      <c r="P356" s="3">
        <f t="shared" si="363"/>
        <v>2.0828217394998745E-2</v>
      </c>
      <c r="Q356" s="3">
        <f t="shared" si="363"/>
        <v>2.0828009154267565E-2</v>
      </c>
      <c r="R356" s="3">
        <f t="shared" si="363"/>
        <v>2.0825926861461924E-2</v>
      </c>
      <c r="S356" s="3">
        <f t="shared" si="363"/>
        <v>2.0805115379788613E-2</v>
      </c>
      <c r="T356" s="3">
        <f t="shared" si="363"/>
        <v>2.0598140978324644E-2</v>
      </c>
      <c r="U356" s="3">
        <f t="shared" si="363"/>
        <v>1.8638330234730403E-2</v>
      </c>
      <c r="V356" s="3">
        <f t="shared" si="363"/>
        <v>6.8579886680329013E-3</v>
      </c>
      <c r="W356" s="3">
        <f t="shared" si="363"/>
        <v>3.119567388533702E-7</v>
      </c>
      <c r="X356" s="3">
        <f t="shared" si="363"/>
        <v>1.1832334985738266E-50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2.990470230026878E-2</v>
      </c>
      <c r="C357" s="3">
        <f t="shared" si="364"/>
        <v>2.990470230026878E-2</v>
      </c>
      <c r="D357" s="3">
        <f t="shared" si="364"/>
        <v>2.990470230026878E-2</v>
      </c>
      <c r="E357" s="3">
        <f t="shared" si="364"/>
        <v>2.990470230026878E-2</v>
      </c>
      <c r="F357" s="3">
        <f t="shared" si="364"/>
        <v>2.990470230026878E-2</v>
      </c>
      <c r="G357" s="3">
        <f t="shared" si="364"/>
        <v>2.9904702300268777E-2</v>
      </c>
      <c r="H357" s="3">
        <f t="shared" si="364"/>
        <v>2.9904702300268746E-2</v>
      </c>
      <c r="I357" s="3">
        <f t="shared" si="364"/>
        <v>2.9904702300268447E-2</v>
      </c>
      <c r="J357" s="3">
        <f t="shared" si="364"/>
        <v>2.9904702300265457E-2</v>
      </c>
      <c r="K357" s="3">
        <f t="shared" si="364"/>
        <v>2.990470230023556E-2</v>
      </c>
      <c r="L357" s="3">
        <f t="shared" si="364"/>
        <v>2.990470229993657E-2</v>
      </c>
      <c r="M357" s="3">
        <f t="shared" si="364"/>
        <v>2.9904702296946681E-2</v>
      </c>
      <c r="N357" s="3">
        <f t="shared" si="364"/>
        <v>2.9904702267047778E-2</v>
      </c>
      <c r="O357" s="3">
        <f t="shared" si="364"/>
        <v>2.9904701968058764E-2</v>
      </c>
      <c r="P357" s="3">
        <f t="shared" si="364"/>
        <v>2.99046989781688E-2</v>
      </c>
      <c r="Q357" s="3">
        <f t="shared" si="364"/>
        <v>2.9904669079285566E-2</v>
      </c>
      <c r="R357" s="3">
        <f t="shared" si="364"/>
        <v>2.9904370092097333E-2</v>
      </c>
      <c r="S357" s="3">
        <f t="shared" si="364"/>
        <v>2.990138038462031E-2</v>
      </c>
      <c r="T357" s="3">
        <f t="shared" si="364"/>
        <v>2.9871499744300152E-2</v>
      </c>
      <c r="U357" s="3">
        <f t="shared" si="364"/>
        <v>2.9574330722761642E-2</v>
      </c>
      <c r="V357" s="3">
        <f t="shared" si="364"/>
        <v>2.6760480135659209E-2</v>
      </c>
      <c r="W357" s="3">
        <f t="shared" si="364"/>
        <v>9.8465402860764897E-3</v>
      </c>
      <c r="X357" s="3">
        <f t="shared" si="364"/>
        <v>4.4790021467238975E-7</v>
      </c>
      <c r="Y357" s="3">
        <f t="shared" si="364"/>
        <v>1.6988590788797903E-50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80">
        <f>AVERAGE(B358:AF358)</f>
        <v>5.4850302439098317E-2</v>
      </c>
      <c r="B358" s="81">
        <f>IF($A$64&lt;=B324,IF($B$64&gt;=B324,ABS((B326-B325)/B325),0),0)</f>
        <v>1.4949575362153611E-3</v>
      </c>
      <c r="C358" s="81">
        <f t="shared" ref="C358:AF358" si="365">IF($A$64&lt;=C324,IF($B$64&gt;=C324,ABS((C326-C325)/C325),0),0)</f>
        <v>1.0748745713347836E-2</v>
      </c>
      <c r="D358" s="81">
        <f t="shared" si="365"/>
        <v>1.2114832290316102E-2</v>
      </c>
      <c r="E358" s="81">
        <f t="shared" si="365"/>
        <v>1.5093365522283448E-2</v>
      </c>
      <c r="F358" s="81">
        <f t="shared" si="365"/>
        <v>1.7393495239056426E-2</v>
      </c>
      <c r="G358" s="81">
        <f t="shared" si="365"/>
        <v>1.6557915735088038E-2</v>
      </c>
      <c r="H358" s="81">
        <f t="shared" si="365"/>
        <v>1.1981402380528073E-2</v>
      </c>
      <c r="I358" s="81">
        <f t="shared" si="365"/>
        <v>4.748981990555688E-3</v>
      </c>
      <c r="J358" s="81">
        <f t="shared" si="365"/>
        <v>9.7484636483724223E-3</v>
      </c>
      <c r="K358" s="81">
        <f t="shared" si="365"/>
        <v>2.2426723100778763E-2</v>
      </c>
      <c r="L358" s="81">
        <f t="shared" si="365"/>
        <v>3.3037399170395637E-2</v>
      </c>
      <c r="M358" s="81">
        <f t="shared" si="365"/>
        <v>3.6788046928036243E-2</v>
      </c>
      <c r="N358" s="81">
        <f t="shared" si="365"/>
        <v>4.1233403983292262E-2</v>
      </c>
      <c r="O358" s="81">
        <f t="shared" si="365"/>
        <v>3.9464792535086508E-2</v>
      </c>
      <c r="P358" s="81">
        <f t="shared" si="365"/>
        <v>3.2687616025103158E-2</v>
      </c>
      <c r="Q358" s="81">
        <f t="shared" si="365"/>
        <v>1.3867303140900374E-2</v>
      </c>
      <c r="R358" s="81">
        <f t="shared" si="365"/>
        <v>1.4124465805755276E-2</v>
      </c>
      <c r="S358" s="81">
        <f t="shared" si="365"/>
        <v>4.4749572110372005E-2</v>
      </c>
      <c r="T358" s="81">
        <f t="shared" si="365"/>
        <v>6.5073682941439864E-2</v>
      </c>
      <c r="U358" s="81">
        <f t="shared" si="365"/>
        <v>7.0322453453525405E-2</v>
      </c>
      <c r="V358" s="81">
        <f t="shared" si="365"/>
        <v>4.9394869699988221E-2</v>
      </c>
      <c r="W358" s="81">
        <f t="shared" si="365"/>
        <v>0.14359990562564673</v>
      </c>
      <c r="X358" s="81">
        <f t="shared" si="365"/>
        <v>0.23859622748557538</v>
      </c>
      <c r="Y358" s="81">
        <f t="shared" si="365"/>
        <v>0.18503091777597533</v>
      </c>
      <c r="Z358" s="81">
        <f t="shared" si="365"/>
        <v>0.14697101231762519</v>
      </c>
      <c r="AA358" s="81">
        <f t="shared" si="365"/>
        <v>0.12884727921691061</v>
      </c>
      <c r="AB358" s="81">
        <f t="shared" si="365"/>
        <v>8.6953871163955337E-2</v>
      </c>
      <c r="AC358" s="81">
        <f t="shared" si="365"/>
        <v>5.5114793114575976E-2</v>
      </c>
      <c r="AD358" s="81">
        <f t="shared" si="365"/>
        <v>5.1153280356969297E-2</v>
      </c>
      <c r="AE358" s="81">
        <f t="shared" si="365"/>
        <v>5.0724369372922878E-2</v>
      </c>
      <c r="AF358" s="81">
        <f t="shared" si="365"/>
        <v>5.0315230231454157E-2</v>
      </c>
    </row>
    <row r="359" spans="1:34" x14ac:dyDescent="0.25">
      <c r="B359" s="21">
        <f>(B326-B325)^2</f>
        <v>46.606269877352148</v>
      </c>
      <c r="C359" s="21">
        <f t="shared" ref="C359:AF359" si="366">(C326-C325)^2</f>
        <v>2204.2698618299564</v>
      </c>
      <c r="D359" s="21">
        <f t="shared" si="366"/>
        <v>2603.5105532973075</v>
      </c>
      <c r="E359" s="21">
        <f t="shared" si="366"/>
        <v>3709.2348618979413</v>
      </c>
      <c r="F359" s="21">
        <f t="shared" si="366"/>
        <v>4430.8472270304246</v>
      </c>
      <c r="G359" s="21">
        <f t="shared" si="366"/>
        <v>3593.0781776826993</v>
      </c>
      <c r="H359" s="21">
        <f t="shared" si="366"/>
        <v>1705.3084090442765</v>
      </c>
      <c r="I359" s="21">
        <f t="shared" si="366"/>
        <v>243.15623047190857</v>
      </c>
      <c r="J359" s="21">
        <f t="shared" si="366"/>
        <v>928.73626991300205</v>
      </c>
      <c r="K359" s="21">
        <f t="shared" si="366"/>
        <v>4439.3025389334589</v>
      </c>
      <c r="L359" s="21">
        <f t="shared" si="366"/>
        <v>8648.7637641904385</v>
      </c>
      <c r="M359" s="21">
        <f t="shared" si="366"/>
        <v>9442.9604889789571</v>
      </c>
      <c r="N359" s="21">
        <f t="shared" si="366"/>
        <v>10198.611030535472</v>
      </c>
      <c r="O359" s="21">
        <f t="shared" si="366"/>
        <v>7785.6552291399448</v>
      </c>
      <c r="P359" s="21">
        <f t="shared" si="366"/>
        <v>4245.4858159731339</v>
      </c>
      <c r="Q359" s="21">
        <f t="shared" si="366"/>
        <v>560.9369022703587</v>
      </c>
      <c r="R359" s="21">
        <f t="shared" si="366"/>
        <v>381.57703630795129</v>
      </c>
      <c r="S359" s="21">
        <f t="shared" si="366"/>
        <v>2188.4165335024427</v>
      </c>
      <c r="T359" s="21">
        <f t="shared" si="366"/>
        <v>2340.8760990744054</v>
      </c>
      <c r="U359" s="21">
        <f t="shared" si="366"/>
        <v>1334.6040796571526</v>
      </c>
      <c r="V359" s="21">
        <f t="shared" si="366"/>
        <v>358.86403796147152</v>
      </c>
      <c r="W359" s="21">
        <f t="shared" si="366"/>
        <v>2034.484867106873</v>
      </c>
      <c r="X359" s="21">
        <f t="shared" si="366"/>
        <v>4485.2226254540001</v>
      </c>
      <c r="Y359" s="21">
        <f t="shared" si="366"/>
        <v>2354.4150631932148</v>
      </c>
      <c r="Z359" s="21">
        <f t="shared" si="366"/>
        <v>1355.8526043077247</v>
      </c>
      <c r="AA359" s="21">
        <f t="shared" si="366"/>
        <v>999.16818651465906</v>
      </c>
      <c r="AB359" s="21">
        <f t="shared" si="366"/>
        <v>414.25627126526064</v>
      </c>
      <c r="AC359" s="21">
        <f t="shared" si="366"/>
        <v>155.4014087332956</v>
      </c>
      <c r="AD359" s="21">
        <f t="shared" si="366"/>
        <v>132.74908783696947</v>
      </c>
      <c r="AE359" s="21">
        <f t="shared" si="366"/>
        <v>130.41433662752453</v>
      </c>
      <c r="AF359" s="21">
        <f t="shared" si="366"/>
        <v>128.20845595751246</v>
      </c>
      <c r="AG359" s="3"/>
      <c r="AH359" s="3"/>
    </row>
    <row r="360" spans="1:34" x14ac:dyDescent="0.25">
      <c r="A360" s="72">
        <f>SUM(B360:AF360)</f>
        <v>83580.974324567069</v>
      </c>
      <c r="B360" s="60">
        <f>IF($A$64&lt;=B324,IF($B$64&gt;=B324,ABS(B359),0),0)</f>
        <v>46.606269877352148</v>
      </c>
      <c r="C360" s="60">
        <f t="shared" ref="C360:AF360" si="367">IF($A$64&lt;=C324,IF($B$64&gt;=C324,ABS(C359),0),0)</f>
        <v>2204.2698618299564</v>
      </c>
      <c r="D360" s="60">
        <f t="shared" si="367"/>
        <v>2603.5105532973075</v>
      </c>
      <c r="E360" s="60">
        <f t="shared" si="367"/>
        <v>3709.2348618979413</v>
      </c>
      <c r="F360" s="60">
        <f t="shared" si="367"/>
        <v>4430.8472270304246</v>
      </c>
      <c r="G360" s="60">
        <f t="shared" si="367"/>
        <v>3593.0781776826993</v>
      </c>
      <c r="H360" s="60">
        <f t="shared" si="367"/>
        <v>1705.3084090442765</v>
      </c>
      <c r="I360" s="60">
        <f t="shared" si="367"/>
        <v>243.15623047190857</v>
      </c>
      <c r="J360" s="60">
        <f t="shared" si="367"/>
        <v>928.73626991300205</v>
      </c>
      <c r="K360" s="60">
        <f t="shared" si="367"/>
        <v>4439.3025389334589</v>
      </c>
      <c r="L360" s="60">
        <f t="shared" si="367"/>
        <v>8648.7637641904385</v>
      </c>
      <c r="M360" s="60">
        <f t="shared" si="367"/>
        <v>9442.9604889789571</v>
      </c>
      <c r="N360" s="60">
        <f t="shared" si="367"/>
        <v>10198.611030535472</v>
      </c>
      <c r="O360" s="60">
        <f t="shared" si="367"/>
        <v>7785.6552291399448</v>
      </c>
      <c r="P360" s="60">
        <f t="shared" si="367"/>
        <v>4245.4858159731339</v>
      </c>
      <c r="Q360" s="60">
        <f t="shared" si="367"/>
        <v>560.9369022703587</v>
      </c>
      <c r="R360" s="60">
        <f t="shared" si="367"/>
        <v>381.57703630795129</v>
      </c>
      <c r="S360" s="60">
        <f t="shared" si="367"/>
        <v>2188.4165335024427</v>
      </c>
      <c r="T360" s="60">
        <f t="shared" si="367"/>
        <v>2340.8760990744054</v>
      </c>
      <c r="U360" s="60">
        <f t="shared" si="367"/>
        <v>1334.6040796571526</v>
      </c>
      <c r="V360" s="60">
        <f t="shared" si="367"/>
        <v>358.86403796147152</v>
      </c>
      <c r="W360" s="60">
        <f t="shared" si="367"/>
        <v>2034.484867106873</v>
      </c>
      <c r="X360" s="60">
        <f t="shared" si="367"/>
        <v>4485.2226254540001</v>
      </c>
      <c r="Y360" s="60">
        <f t="shared" si="367"/>
        <v>2354.4150631932148</v>
      </c>
      <c r="Z360" s="60">
        <f t="shared" si="367"/>
        <v>1355.8526043077247</v>
      </c>
      <c r="AA360" s="60">
        <f t="shared" si="367"/>
        <v>999.16818651465906</v>
      </c>
      <c r="AB360" s="60">
        <f t="shared" si="367"/>
        <v>414.25627126526064</v>
      </c>
      <c r="AC360" s="60">
        <f t="shared" si="367"/>
        <v>155.4014087332956</v>
      </c>
      <c r="AD360" s="60">
        <f t="shared" si="367"/>
        <v>132.74908783696947</v>
      </c>
      <c r="AE360" s="60">
        <f t="shared" si="367"/>
        <v>130.41433662752453</v>
      </c>
      <c r="AF360" s="60">
        <f t="shared" si="367"/>
        <v>128.20845595751246</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70" t="s">
        <v>27</v>
      </c>
      <c r="B362" s="11">
        <f>INDEX($D$1:$M$1,1,$H$122)</f>
        <v>160</v>
      </c>
    </row>
    <row r="363" spans="1:34" x14ac:dyDescent="0.25">
      <c r="A363" s="70"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3448.2859181540075</v>
      </c>
      <c r="C364" s="26">
        <f>INDEX(Comparison!$AM$3:$AS$33,G$14,$H$122)</f>
        <v>3239.5923652397146</v>
      </c>
      <c r="D364" s="26">
        <f>INDEX(Comparison!$AM$3:$AS$33,H$14,$H$122)</f>
        <v>3081.9689442141253</v>
      </c>
      <c r="E364" s="26">
        <f>INDEX(Comparison!$AM$3:$AS$33,I$14,$H$122)</f>
        <v>2925.1274026703973</v>
      </c>
      <c r="F364" s="26">
        <f>INDEX(Comparison!$AM$3:$AS$33,J$14,$H$122)</f>
        <v>2768.6775302611704</v>
      </c>
      <c r="G364" s="26">
        <f>INDEX(Comparison!$AM$3:$AS$33,K$14,$H$122)</f>
        <v>2587.8715481120807</v>
      </c>
      <c r="H364" s="26">
        <f>INDEX(Comparison!$AM$3:$AS$33,L$14,$H$122)</f>
        <v>2392.4689452404186</v>
      </c>
      <c r="I364" s="26">
        <f>INDEX(Comparison!$AM$3:$AS$33,M$14,$H$122)</f>
        <v>2172.7822789963197</v>
      </c>
      <c r="J364" s="26">
        <f>INDEX(Comparison!$AM$3:$AS$33,N$14,$H$122)</f>
        <v>1927.9643975704516</v>
      </c>
      <c r="K364" s="26">
        <f>INDEX(Comparison!$AM$3:$AS$33,O$14,$H$122)</f>
        <v>1643.6970338003</v>
      </c>
      <c r="L364" s="26">
        <f>INDEX(Comparison!$AM$3:$AS$33,P$14,$H$122)</f>
        <v>1319.6710728146086</v>
      </c>
      <c r="M364" s="26">
        <f>INDEX(Comparison!$AM$3:$AS$33,Q$14,$H$122)</f>
        <v>983.6154232764427</v>
      </c>
      <c r="N364" s="26">
        <f>INDEX(Comparison!$AM$3:$AS$33,R$14,$H$122)</f>
        <v>693.66104788005293</v>
      </c>
      <c r="O364" s="26">
        <f>INDEX(Comparison!$AM$3:$AS$33,S$14,$H$122)</f>
        <v>485.93999274200024</v>
      </c>
      <c r="P364" s="26">
        <f>INDEX(Comparison!$AM$3:$AS$33,T$14,$H$122)</f>
        <v>367.37990571310178</v>
      </c>
      <c r="Q364" s="26">
        <f>INDEX(Comparison!$AM$3:$AS$33,U$14,$H$122)</f>
        <v>307.17178720865763</v>
      </c>
      <c r="R364" s="26">
        <f>INDEX(Comparison!$AM$3:$AS$33,V$14,$H$122)</f>
        <v>279.06842494658031</v>
      </c>
      <c r="S364" s="26">
        <f>INDEX(Comparison!$AM$3:$AS$33,W$14,$H$122)</f>
        <v>261.67169004040318</v>
      </c>
      <c r="T364" s="26">
        <f>INDEX(Comparison!$AM$3:$AS$33,X$14,$H$122)</f>
        <v>251.34674819282765</v>
      </c>
      <c r="U364" s="26">
        <f>INDEX(Comparison!$AM$3:$AS$33,Y$14,$H$122)</f>
        <v>246.12933837944422</v>
      </c>
      <c r="V364" s="26">
        <f>INDEX(Comparison!$AM$3:$AS$33,Z$14,$H$122)</f>
        <v>232.30454015462297</v>
      </c>
      <c r="W364" s="26">
        <f>INDEX(Comparison!$AM$3:$AS$33,AA$14,$H$122)</f>
        <v>227.24083682489959</v>
      </c>
      <c r="X364" s="26">
        <f>INDEX(Comparison!$AM$3:$AS$33,AB$14,$H$122)</f>
        <v>226.40989093990805</v>
      </c>
      <c r="Y364" s="26">
        <f>INDEX(Comparison!$AM$3:$AS$33,AC$14,$H$122)</f>
        <v>226.30209993218824</v>
      </c>
      <c r="Z364" s="26">
        <f>INDEX(Comparison!$AM$3:$AS$33,AD$14,$H$122)</f>
        <v>225.971358220734</v>
      </c>
      <c r="AA364" s="26">
        <f>INDEX(Comparison!$AM$3:$AS$33,AE$14,$H$122)</f>
        <v>225.60625299057205</v>
      </c>
      <c r="AB364" s="26">
        <f>INDEX(Comparison!$AM$3:$AS$33,AF$14,$H$122)</f>
        <v>225.49131077609314</v>
      </c>
      <c r="AC364" s="26">
        <f>INDEX(Comparison!$AM$3:$AS$33,AG$14,$H$122)</f>
        <v>225.3813329804162</v>
      </c>
      <c r="AD364" s="26">
        <f>INDEX(Comparison!$AM$3:$AS$33,AH$14,$H$122)</f>
        <v>225.28846256587596</v>
      </c>
      <c r="AE364" s="26">
        <f>INDEX(Comparison!$AM$3:$AS$33,AI$14,$H$122)</f>
        <v>225.26138301118297</v>
      </c>
      <c r="AF364" s="26">
        <f>INDEX(Comparison!$AM$3:$AS$33,AJ$14,$H$122)</f>
        <v>225.24704548920718</v>
      </c>
      <c r="AG364" s="26"/>
      <c r="AH364" s="26"/>
    </row>
    <row r="365" spans="1:34" x14ac:dyDescent="0.25">
      <c r="A365" s="71" t="s">
        <v>22</v>
      </c>
      <c r="B365" s="27">
        <f>($C$17+SUM(B366:B396))*$B$51</f>
        <v>3463.8292214768157</v>
      </c>
      <c r="C365" s="27">
        <f t="shared" ref="C365:AF365" si="368">($C$17+SUM(C366:C396))*$B$51</f>
        <v>3272.1705354314372</v>
      </c>
      <c r="D365" s="27">
        <f t="shared" si="368"/>
        <v>3071.0536155107957</v>
      </c>
      <c r="E365" s="27">
        <f t="shared" si="368"/>
        <v>2882.2576264872141</v>
      </c>
      <c r="F365" s="27">
        <f t="shared" si="368"/>
        <v>2700.3119416693539</v>
      </c>
      <c r="G365" s="27">
        <f t="shared" si="368"/>
        <v>2525.6279569408634</v>
      </c>
      <c r="H365" s="27">
        <f t="shared" si="368"/>
        <v>2320.4919873345789</v>
      </c>
      <c r="I365" s="27">
        <f t="shared" si="368"/>
        <v>2116.7096744419482</v>
      </c>
      <c r="J365" s="27">
        <f t="shared" si="368"/>
        <v>1895.3194357458531</v>
      </c>
      <c r="K365" s="27">
        <f t="shared" si="368"/>
        <v>1646.4127569718021</v>
      </c>
      <c r="L365" s="27">
        <f t="shared" si="368"/>
        <v>1359.1522314790391</v>
      </c>
      <c r="M365" s="27">
        <f t="shared" si="368"/>
        <v>1046.6324672408584</v>
      </c>
      <c r="N365" s="27">
        <f t="shared" si="368"/>
        <v>751.71460765862719</v>
      </c>
      <c r="O365" s="27">
        <f t="shared" si="368"/>
        <v>528.33288988847278</v>
      </c>
      <c r="P365" s="27">
        <f t="shared" si="368"/>
        <v>384.33720309742569</v>
      </c>
      <c r="Q365" s="27">
        <f t="shared" si="368"/>
        <v>251.20115342452291</v>
      </c>
      <c r="R365" s="27">
        <f t="shared" si="368"/>
        <v>213.71669473399297</v>
      </c>
      <c r="S365" s="27">
        <f t="shared" si="368"/>
        <v>213.71664305722481</v>
      </c>
      <c r="T365" s="27">
        <f t="shared" si="368"/>
        <v>213.71664305722481</v>
      </c>
      <c r="U365" s="27">
        <f t="shared" si="368"/>
        <v>213.71664305722481</v>
      </c>
      <c r="V365" s="27">
        <f t="shared" si="368"/>
        <v>213.71664305722481</v>
      </c>
      <c r="W365" s="27">
        <f t="shared" si="368"/>
        <v>213.71664305722481</v>
      </c>
      <c r="X365" s="27">
        <f t="shared" si="368"/>
        <v>213.71664305722481</v>
      </c>
      <c r="Y365" s="27">
        <f t="shared" si="368"/>
        <v>213.71664305722481</v>
      </c>
      <c r="Z365" s="27">
        <f t="shared" si="368"/>
        <v>213.71664305722481</v>
      </c>
      <c r="AA365" s="27">
        <f t="shared" si="368"/>
        <v>213.71664305722481</v>
      </c>
      <c r="AB365" s="27">
        <f t="shared" si="368"/>
        <v>213.71664305722481</v>
      </c>
      <c r="AC365" s="27">
        <f t="shared" si="368"/>
        <v>213.71664305722481</v>
      </c>
      <c r="AD365" s="27">
        <f t="shared" si="368"/>
        <v>213.71664305722481</v>
      </c>
      <c r="AE365" s="27">
        <f t="shared" si="368"/>
        <v>213.71664305722481</v>
      </c>
      <c r="AF365" s="27">
        <f t="shared" si="368"/>
        <v>213.71664305722481</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0</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0</v>
      </c>
      <c r="C370" s="3">
        <f t="shared" si="373"/>
        <v>0</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0</v>
      </c>
      <c r="C371" s="3">
        <f t="shared" si="374"/>
        <v>0</v>
      </c>
      <c r="D371" s="3">
        <f t="shared" si="374"/>
        <v>0</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0</v>
      </c>
      <c r="C372" s="3">
        <f t="shared" si="375"/>
        <v>0</v>
      </c>
      <c r="D372" s="3">
        <f t="shared" si="375"/>
        <v>0</v>
      </c>
      <c r="E372" s="3">
        <f t="shared" si="375"/>
        <v>0</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0</v>
      </c>
      <c r="C373" s="3">
        <f t="shared" si="376"/>
        <v>0</v>
      </c>
      <c r="D373" s="3">
        <f t="shared" si="376"/>
        <v>0</v>
      </c>
      <c r="E373" s="3">
        <f t="shared" si="376"/>
        <v>0</v>
      </c>
      <c r="F373" s="3">
        <f t="shared" si="376"/>
        <v>0</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0</v>
      </c>
      <c r="C374" s="3">
        <f t="shared" si="377"/>
        <v>0</v>
      </c>
      <c r="D374" s="3">
        <f t="shared" si="377"/>
        <v>0</v>
      </c>
      <c r="E374" s="3">
        <f t="shared" si="377"/>
        <v>0</v>
      </c>
      <c r="F374" s="3">
        <f t="shared" si="377"/>
        <v>0</v>
      </c>
      <c r="G374" s="3">
        <f t="shared" si="377"/>
        <v>0</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0</v>
      </c>
      <c r="C375" s="3">
        <f t="shared" si="378"/>
        <v>0</v>
      </c>
      <c r="D375" s="3">
        <f t="shared" si="378"/>
        <v>0</v>
      </c>
      <c r="E375" s="3">
        <f t="shared" si="378"/>
        <v>0</v>
      </c>
      <c r="F375" s="3">
        <f t="shared" si="378"/>
        <v>0</v>
      </c>
      <c r="G375" s="3">
        <f t="shared" si="378"/>
        <v>0</v>
      </c>
      <c r="H375" s="3">
        <f t="shared" si="378"/>
        <v>0</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0</v>
      </c>
      <c r="C376" s="3">
        <f t="shared" si="379"/>
        <v>0</v>
      </c>
      <c r="D376" s="3">
        <f t="shared" si="379"/>
        <v>0</v>
      </c>
      <c r="E376" s="3">
        <f t="shared" si="379"/>
        <v>0</v>
      </c>
      <c r="F376" s="3">
        <f t="shared" si="379"/>
        <v>0</v>
      </c>
      <c r="G376" s="3">
        <f t="shared" si="379"/>
        <v>0</v>
      </c>
      <c r="H376" s="3">
        <f t="shared" si="379"/>
        <v>0</v>
      </c>
      <c r="I376" s="3">
        <f t="shared" si="379"/>
        <v>0</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0</v>
      </c>
      <c r="C377" s="3">
        <f t="shared" si="380"/>
        <v>0</v>
      </c>
      <c r="D377" s="3">
        <f t="shared" si="380"/>
        <v>0</v>
      </c>
      <c r="E377" s="3">
        <f t="shared" si="380"/>
        <v>0</v>
      </c>
      <c r="F377" s="3">
        <f t="shared" si="380"/>
        <v>0</v>
      </c>
      <c r="G377" s="3">
        <f t="shared" si="380"/>
        <v>0</v>
      </c>
      <c r="H377" s="3">
        <f t="shared" si="380"/>
        <v>0</v>
      </c>
      <c r="I377" s="3">
        <f t="shared" si="380"/>
        <v>0</v>
      </c>
      <c r="J377" s="3">
        <f t="shared" si="380"/>
        <v>0</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0</v>
      </c>
      <c r="C378" s="3">
        <f t="shared" si="381"/>
        <v>0</v>
      </c>
      <c r="D378" s="3">
        <f t="shared" si="381"/>
        <v>0</v>
      </c>
      <c r="E378" s="3">
        <f t="shared" si="381"/>
        <v>0</v>
      </c>
      <c r="F378" s="3">
        <f t="shared" si="381"/>
        <v>0</v>
      </c>
      <c r="G378" s="3">
        <f t="shared" si="381"/>
        <v>0</v>
      </c>
      <c r="H378" s="3">
        <f t="shared" si="381"/>
        <v>0</v>
      </c>
      <c r="I378" s="3">
        <f t="shared" si="381"/>
        <v>0</v>
      </c>
      <c r="J378" s="3">
        <f t="shared" si="381"/>
        <v>0</v>
      </c>
      <c r="K378" s="3">
        <f t="shared" si="381"/>
        <v>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1.5399623159576654E-50</v>
      </c>
      <c r="C379" s="3">
        <f t="shared" si="382"/>
        <v>0</v>
      </c>
      <c r="D379" s="3">
        <f t="shared" si="382"/>
        <v>0</v>
      </c>
      <c r="E379" s="3">
        <f t="shared" si="382"/>
        <v>0</v>
      </c>
      <c r="F379" s="3">
        <f t="shared" si="382"/>
        <v>0</v>
      </c>
      <c r="G379" s="3">
        <f t="shared" si="382"/>
        <v>0</v>
      </c>
      <c r="H379" s="3">
        <f t="shared" si="382"/>
        <v>0</v>
      </c>
      <c r="I379" s="3">
        <f t="shared" si="382"/>
        <v>0</v>
      </c>
      <c r="J379" s="3">
        <f t="shared" si="382"/>
        <v>0</v>
      </c>
      <c r="K379" s="3">
        <f t="shared" si="382"/>
        <v>0</v>
      </c>
      <c r="L379" s="3">
        <f t="shared" si="382"/>
        <v>0</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1.656690830254729E-6</v>
      </c>
      <c r="C380" s="3">
        <f t="shared" si="383"/>
        <v>7.8752037375921811E-46</v>
      </c>
      <c r="D380" s="3">
        <f t="shared" si="383"/>
        <v>0</v>
      </c>
      <c r="E380" s="3">
        <f t="shared" si="383"/>
        <v>0</v>
      </c>
      <c r="F380" s="3">
        <f t="shared" si="383"/>
        <v>0</v>
      </c>
      <c r="G380" s="3">
        <f t="shared" si="383"/>
        <v>0</v>
      </c>
      <c r="H380" s="3">
        <f t="shared" si="383"/>
        <v>0</v>
      </c>
      <c r="I380" s="3">
        <f t="shared" si="383"/>
        <v>0</v>
      </c>
      <c r="J380" s="3">
        <f t="shared" si="383"/>
        <v>0</v>
      </c>
      <c r="K380" s="3">
        <f t="shared" si="383"/>
        <v>0</v>
      </c>
      <c r="L380" s="3">
        <f t="shared" si="383"/>
        <v>0</v>
      </c>
      <c r="M380" s="3">
        <f t="shared" si="383"/>
        <v>0</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1.2928095134050131E-2</v>
      </c>
      <c r="C381" s="3">
        <f t="shared" si="384"/>
        <v>3.6666937421057567E-6</v>
      </c>
      <c r="D381" s="3">
        <f t="shared" si="384"/>
        <v>1.2350246276562334E-41</v>
      </c>
      <c r="E381" s="3">
        <f t="shared" si="384"/>
        <v>0</v>
      </c>
      <c r="F381" s="3">
        <f t="shared" si="384"/>
        <v>0</v>
      </c>
      <c r="G381" s="3">
        <f t="shared" si="384"/>
        <v>0</v>
      </c>
      <c r="H381" s="3">
        <f t="shared" si="384"/>
        <v>0</v>
      </c>
      <c r="I381" s="3">
        <f t="shared" si="384"/>
        <v>0</v>
      </c>
      <c r="J381" s="3">
        <f t="shared" si="384"/>
        <v>0</v>
      </c>
      <c r="K381" s="3">
        <f t="shared" si="384"/>
        <v>0</v>
      </c>
      <c r="L381" s="3">
        <f t="shared" si="384"/>
        <v>0</v>
      </c>
      <c r="M381" s="3">
        <f t="shared" si="384"/>
        <v>0</v>
      </c>
      <c r="N381" s="3">
        <f t="shared" si="384"/>
        <v>0</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3.576408902758503E-2</v>
      </c>
      <c r="C382" s="3">
        <f t="shared" si="385"/>
        <v>1.7118070622905695E-2</v>
      </c>
      <c r="D382" s="3">
        <f t="shared" si="385"/>
        <v>1.0802674208076648E-5</v>
      </c>
      <c r="E382" s="3">
        <f t="shared" si="385"/>
        <v>1.0821710888326548E-37</v>
      </c>
      <c r="F382" s="3">
        <f t="shared" si="385"/>
        <v>0</v>
      </c>
      <c r="G382" s="3">
        <f t="shared" si="385"/>
        <v>0</v>
      </c>
      <c r="H382" s="3">
        <f t="shared" si="385"/>
        <v>0</v>
      </c>
      <c r="I382" s="3">
        <f t="shared" si="385"/>
        <v>0</v>
      </c>
      <c r="J382" s="3">
        <f t="shared" si="385"/>
        <v>0</v>
      </c>
      <c r="K382" s="3">
        <f t="shared" si="385"/>
        <v>0</v>
      </c>
      <c r="L382" s="3">
        <f t="shared" si="385"/>
        <v>0</v>
      </c>
      <c r="M382" s="3">
        <f t="shared" si="385"/>
        <v>0</v>
      </c>
      <c r="N382" s="3">
        <f t="shared" si="385"/>
        <v>0</v>
      </c>
      <c r="O382" s="3">
        <f t="shared" si="385"/>
        <v>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3.6487458658918143E-2</v>
      </c>
      <c r="C383" s="3">
        <f t="shared" si="386"/>
        <v>3.4141110528282378E-2</v>
      </c>
      <c r="D383" s="3">
        <f t="shared" si="386"/>
        <v>1.7563777221807408E-2</v>
      </c>
      <c r="E383" s="3">
        <f t="shared" si="386"/>
        <v>2.2804506754833982E-5</v>
      </c>
      <c r="F383" s="3">
        <f t="shared" si="386"/>
        <v>3.1049049966476041E-34</v>
      </c>
      <c r="G383" s="3">
        <f t="shared" si="386"/>
        <v>0</v>
      </c>
      <c r="H383" s="3">
        <f t="shared" si="386"/>
        <v>0</v>
      </c>
      <c r="I383" s="3">
        <f t="shared" si="386"/>
        <v>0</v>
      </c>
      <c r="J383" s="3">
        <f t="shared" si="386"/>
        <v>0</v>
      </c>
      <c r="K383" s="3">
        <f t="shared" si="386"/>
        <v>0</v>
      </c>
      <c r="L383" s="3">
        <f t="shared" si="386"/>
        <v>0</v>
      </c>
      <c r="M383" s="3">
        <f t="shared" si="386"/>
        <v>0</v>
      </c>
      <c r="N383" s="3">
        <f t="shared" si="386"/>
        <v>0</v>
      </c>
      <c r="O383" s="3">
        <f t="shared" si="386"/>
        <v>0</v>
      </c>
      <c r="P383" s="3">
        <f t="shared" si="386"/>
        <v>0</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3.3373079374471024E-2</v>
      </c>
      <c r="C384" s="3">
        <f t="shared" si="387"/>
        <v>3.3173579132092318E-2</v>
      </c>
      <c r="D384" s="3">
        <f t="shared" si="387"/>
        <v>3.1243006706288413E-2</v>
      </c>
      <c r="E384" s="3">
        <f t="shared" si="387"/>
        <v>1.7153697103055789E-2</v>
      </c>
      <c r="F384" s="3">
        <f t="shared" si="387"/>
        <v>4.2697936583561562E-5</v>
      </c>
      <c r="G384" s="3">
        <f t="shared" si="387"/>
        <v>3.8985076906404506E-31</v>
      </c>
      <c r="H384" s="3">
        <f t="shared" si="387"/>
        <v>1.5696884752878863E-291</v>
      </c>
      <c r="I384" s="3">
        <f t="shared" si="387"/>
        <v>0</v>
      </c>
      <c r="J384" s="3">
        <f t="shared" si="387"/>
        <v>0</v>
      </c>
      <c r="K384" s="3">
        <f t="shared" si="387"/>
        <v>0</v>
      </c>
      <c r="L384" s="3">
        <f t="shared" si="387"/>
        <v>0</v>
      </c>
      <c r="M384" s="3">
        <f t="shared" si="387"/>
        <v>0</v>
      </c>
      <c r="N384" s="3">
        <f t="shared" si="387"/>
        <v>0</v>
      </c>
      <c r="O384" s="3">
        <f t="shared" si="387"/>
        <v>0</v>
      </c>
      <c r="P384" s="3">
        <f t="shared" si="387"/>
        <v>0</v>
      </c>
      <c r="Q384" s="3">
        <f t="shared" si="387"/>
        <v>0</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3.5166069071845447E-2</v>
      </c>
      <c r="C385" s="3">
        <f t="shared" si="388"/>
        <v>3.5147053847959922E-2</v>
      </c>
      <c r="D385" s="3">
        <f t="shared" si="388"/>
        <v>3.4957466204638035E-2</v>
      </c>
      <c r="E385" s="3">
        <f t="shared" si="388"/>
        <v>3.3116935600357868E-2</v>
      </c>
      <c r="F385" s="3">
        <f t="shared" si="388"/>
        <v>1.9282001581314028E-2</v>
      </c>
      <c r="G385" s="3">
        <f t="shared" si="388"/>
        <v>8.6332003620016395E-5</v>
      </c>
      <c r="H385" s="3">
        <f t="shared" si="388"/>
        <v>2.7949167829894916E-28</v>
      </c>
      <c r="I385" s="3">
        <f t="shared" si="388"/>
        <v>3.5345936619431796E-263</v>
      </c>
      <c r="J385" s="3">
        <f t="shared" si="388"/>
        <v>0</v>
      </c>
      <c r="K385" s="3">
        <f t="shared" si="388"/>
        <v>0</v>
      </c>
      <c r="L385" s="3">
        <f t="shared" si="388"/>
        <v>0</v>
      </c>
      <c r="M385" s="3">
        <f t="shared" si="388"/>
        <v>0</v>
      </c>
      <c r="N385" s="3">
        <f t="shared" si="388"/>
        <v>0</v>
      </c>
      <c r="O385" s="3">
        <f t="shared" si="388"/>
        <v>0</v>
      </c>
      <c r="P385" s="3">
        <f t="shared" si="388"/>
        <v>0</v>
      </c>
      <c r="Q385" s="3">
        <f t="shared" si="388"/>
        <v>0</v>
      </c>
      <c r="R385" s="3">
        <f t="shared" si="388"/>
        <v>0</v>
      </c>
      <c r="S385" s="3">
        <f t="shared" si="388"/>
        <v>0</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2.0659043416215644E-2</v>
      </c>
      <c r="C386" s="3">
        <f t="shared" si="389"/>
        <v>2.0658035460930167E-2</v>
      </c>
      <c r="D386" s="3">
        <f t="shared" si="389"/>
        <v>2.0647958612478659E-2</v>
      </c>
      <c r="E386" s="3">
        <f t="shared" si="389"/>
        <v>2.0547460080705206E-2</v>
      </c>
      <c r="F386" s="3">
        <f t="shared" si="389"/>
        <v>1.9568988993070958E-2</v>
      </c>
      <c r="G386" s="3">
        <f t="shared" si="389"/>
        <v>1.2013535189180517E-2</v>
      </c>
      <c r="H386" s="3">
        <f t="shared" si="389"/>
        <v>9.1347188145548449E-5</v>
      </c>
      <c r="I386" s="3">
        <f t="shared" si="389"/>
        <v>5.9011787428319592E-26</v>
      </c>
      <c r="J386" s="3">
        <f t="shared" si="389"/>
        <v>7.4709293335763717E-238</v>
      </c>
      <c r="K386" s="3">
        <f t="shared" si="389"/>
        <v>0</v>
      </c>
      <c r="L386" s="3">
        <f t="shared" si="389"/>
        <v>0</v>
      </c>
      <c r="M386" s="3">
        <f t="shared" si="389"/>
        <v>0</v>
      </c>
      <c r="N386" s="3">
        <f t="shared" si="389"/>
        <v>0</v>
      </c>
      <c r="O386" s="3">
        <f t="shared" si="389"/>
        <v>0</v>
      </c>
      <c r="P386" s="3">
        <f t="shared" si="389"/>
        <v>0</v>
      </c>
      <c r="Q386" s="3">
        <f t="shared" si="389"/>
        <v>0</v>
      </c>
      <c r="R386" s="3">
        <f t="shared" si="389"/>
        <v>0</v>
      </c>
      <c r="S386" s="3">
        <f t="shared" si="389"/>
        <v>0</v>
      </c>
      <c r="T386" s="3">
        <f t="shared" si="389"/>
        <v>0</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3.0227160952861959E-2</v>
      </c>
      <c r="C387" s="3">
        <f t="shared" si="390"/>
        <v>3.0226753057334757E-2</v>
      </c>
      <c r="D387" s="3">
        <f t="shared" si="390"/>
        <v>3.0222674404785894E-2</v>
      </c>
      <c r="E387" s="3">
        <f t="shared" si="390"/>
        <v>3.0181918136503061E-2</v>
      </c>
      <c r="F387" s="3">
        <f t="shared" si="390"/>
        <v>2.9777366121394006E-2</v>
      </c>
      <c r="G387" s="3">
        <f t="shared" si="390"/>
        <v>2.6018408016203406E-2</v>
      </c>
      <c r="H387" s="3">
        <f t="shared" si="390"/>
        <v>6.748777527597347E-3</v>
      </c>
      <c r="I387" s="3">
        <f t="shared" si="390"/>
        <v>9.3039856486160951E-9</v>
      </c>
      <c r="J387" s="3">
        <f t="shared" si="390"/>
        <v>2.3073221261275431E-67</v>
      </c>
      <c r="K387" s="3">
        <f t="shared" si="390"/>
        <v>0</v>
      </c>
      <c r="L387" s="3">
        <f t="shared" si="390"/>
        <v>0</v>
      </c>
      <c r="M387" s="3">
        <f t="shared" si="390"/>
        <v>0</v>
      </c>
      <c r="N387" s="3">
        <f t="shared" si="390"/>
        <v>0</v>
      </c>
      <c r="O387" s="3">
        <f t="shared" si="390"/>
        <v>0</v>
      </c>
      <c r="P387" s="3">
        <f t="shared" si="390"/>
        <v>0</v>
      </c>
      <c r="Q387" s="3">
        <f t="shared" si="390"/>
        <v>0</v>
      </c>
      <c r="R387" s="3">
        <f t="shared" si="390"/>
        <v>0</v>
      </c>
      <c r="S387" s="3">
        <f t="shared" si="390"/>
        <v>0</v>
      </c>
      <c r="T387" s="3">
        <f t="shared" si="390"/>
        <v>0</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3.7583948671242637E-2</v>
      </c>
      <c r="C388" s="3">
        <f t="shared" si="391"/>
        <v>3.7583897953883914E-2</v>
      </c>
      <c r="D388" s="3">
        <f t="shared" si="391"/>
        <v>3.7583390784060915E-2</v>
      </c>
      <c r="E388" s="3">
        <f t="shared" si="391"/>
        <v>3.7578319462231363E-2</v>
      </c>
      <c r="F388" s="3">
        <f t="shared" si="391"/>
        <v>3.7527643865190939E-2</v>
      </c>
      <c r="G388" s="3">
        <f t="shared" si="391"/>
        <v>3.7024631303852223E-2</v>
      </c>
      <c r="H388" s="3">
        <f t="shared" si="391"/>
        <v>3.2350811686498046E-2</v>
      </c>
      <c r="I388" s="3">
        <f t="shared" si="391"/>
        <v>8.3913062925834621E-3</v>
      </c>
      <c r="J388" s="3">
        <f t="shared" si="391"/>
        <v>1.1568405240813086E-8</v>
      </c>
      <c r="K388" s="3">
        <f t="shared" si="391"/>
        <v>2.868882045202642E-67</v>
      </c>
      <c r="L388" s="3">
        <f t="shared" si="391"/>
        <v>0</v>
      </c>
      <c r="M388" s="3">
        <f t="shared" si="391"/>
        <v>0</v>
      </c>
      <c r="N388" s="3">
        <f t="shared" si="391"/>
        <v>0</v>
      </c>
      <c r="O388" s="3">
        <f t="shared" si="391"/>
        <v>0</v>
      </c>
      <c r="P388" s="3">
        <f t="shared" si="391"/>
        <v>0</v>
      </c>
      <c r="Q388" s="3">
        <f t="shared" si="391"/>
        <v>0</v>
      </c>
      <c r="R388" s="3">
        <f t="shared" si="391"/>
        <v>0</v>
      </c>
      <c r="S388" s="3">
        <f t="shared" si="391"/>
        <v>0</v>
      </c>
      <c r="T388" s="3">
        <f t="shared" si="391"/>
        <v>0</v>
      </c>
      <c r="U388" s="3">
        <f t="shared" si="391"/>
        <v>0</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3.8796260499130243E-2</v>
      </c>
      <c r="C389" s="3">
        <f t="shared" si="392"/>
        <v>3.8796255263796743E-2</v>
      </c>
      <c r="D389" s="3">
        <f t="shared" si="392"/>
        <v>3.87962029105006E-2</v>
      </c>
      <c r="E389" s="3">
        <f t="shared" si="392"/>
        <v>3.8795679381424732E-2</v>
      </c>
      <c r="F389" s="3">
        <f t="shared" si="392"/>
        <v>3.8790444479207688E-2</v>
      </c>
      <c r="G389" s="3">
        <f t="shared" si="392"/>
        <v>3.8738134291802354E-2</v>
      </c>
      <c r="H389" s="3">
        <f t="shared" si="392"/>
        <v>3.8218896574092151E-2</v>
      </c>
      <c r="I389" s="3">
        <f t="shared" si="392"/>
        <v>3.3394318387326066E-2</v>
      </c>
      <c r="J389" s="3">
        <f t="shared" si="392"/>
        <v>8.6619759879798773E-3</v>
      </c>
      <c r="K389" s="3">
        <f t="shared" si="392"/>
        <v>1.1941555333727779E-8</v>
      </c>
      <c r="L389" s="3">
        <f t="shared" si="392"/>
        <v>2.9614206085952759E-67</v>
      </c>
      <c r="M389" s="3">
        <f t="shared" si="392"/>
        <v>0</v>
      </c>
      <c r="N389" s="3">
        <f t="shared" si="392"/>
        <v>0</v>
      </c>
      <c r="O389" s="3">
        <f t="shared" si="392"/>
        <v>0</v>
      </c>
      <c r="P389" s="3">
        <f t="shared" si="392"/>
        <v>0</v>
      </c>
      <c r="Q389" s="3">
        <f t="shared" si="392"/>
        <v>0</v>
      </c>
      <c r="R389" s="3">
        <f t="shared" si="392"/>
        <v>0</v>
      </c>
      <c r="S389" s="3">
        <f t="shared" si="392"/>
        <v>0</v>
      </c>
      <c r="T389" s="3">
        <f t="shared" si="392"/>
        <v>0</v>
      </c>
      <c r="U389" s="3">
        <f t="shared" si="392"/>
        <v>0</v>
      </c>
      <c r="V389" s="3">
        <f t="shared" si="392"/>
        <v>0</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4.4435908597990723E-2</v>
      </c>
      <c r="C390" s="3">
        <f t="shared" si="393"/>
        <v>4.4435907998353508E-2</v>
      </c>
      <c r="D390" s="3">
        <f t="shared" si="393"/>
        <v>4.4435902001981831E-2</v>
      </c>
      <c r="E390" s="3">
        <f t="shared" si="393"/>
        <v>4.4435842038309532E-2</v>
      </c>
      <c r="F390" s="3">
        <f t="shared" si="393"/>
        <v>4.4435242406036982E-2</v>
      </c>
      <c r="G390" s="3">
        <f t="shared" si="393"/>
        <v>4.4429246528333709E-2</v>
      </c>
      <c r="H390" s="3">
        <f t="shared" si="393"/>
        <v>4.4369332231310871E-2</v>
      </c>
      <c r="I390" s="3">
        <f t="shared" si="393"/>
        <v>4.3774615133410091E-2</v>
      </c>
      <c r="J390" s="3">
        <f t="shared" si="393"/>
        <v>3.8248708520766145E-2</v>
      </c>
      <c r="K390" s="3">
        <f t="shared" si="393"/>
        <v>9.9211306227426233E-3</v>
      </c>
      <c r="L390" s="3">
        <f t="shared" si="393"/>
        <v>1.3677448479310768E-8</v>
      </c>
      <c r="M390" s="3">
        <f t="shared" si="393"/>
        <v>3.3919097360148372E-67</v>
      </c>
      <c r="N390" s="3">
        <f t="shared" si="393"/>
        <v>0</v>
      </c>
      <c r="O390" s="3">
        <f t="shared" si="393"/>
        <v>0</v>
      </c>
      <c r="P390" s="3">
        <f t="shared" si="393"/>
        <v>0</v>
      </c>
      <c r="Q390" s="3">
        <f t="shared" si="393"/>
        <v>0</v>
      </c>
      <c r="R390" s="3">
        <f t="shared" si="393"/>
        <v>0</v>
      </c>
      <c r="S390" s="3">
        <f t="shared" si="393"/>
        <v>0</v>
      </c>
      <c r="T390" s="3">
        <f t="shared" si="393"/>
        <v>0</v>
      </c>
      <c r="U390" s="3">
        <f t="shared" si="393"/>
        <v>0</v>
      </c>
      <c r="V390" s="3">
        <f t="shared" si="393"/>
        <v>0</v>
      </c>
      <c r="W390" s="3">
        <f t="shared" si="393"/>
        <v>0</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5.2241280227574703E-2</v>
      </c>
      <c r="C391" s="3">
        <f t="shared" si="394"/>
        <v>5.2241280157078081E-2</v>
      </c>
      <c r="D391" s="3">
        <f t="shared" si="394"/>
        <v>5.2241279452111829E-2</v>
      </c>
      <c r="E391" s="3">
        <f t="shared" si="394"/>
        <v>5.2241272402449905E-2</v>
      </c>
      <c r="F391" s="3">
        <f t="shared" si="394"/>
        <v>5.2241201905882995E-2</v>
      </c>
      <c r="G391" s="3">
        <f t="shared" si="394"/>
        <v>5.2240496945446045E-2</v>
      </c>
      <c r="H391" s="3">
        <f t="shared" si="394"/>
        <v>5.2233447864268978E-2</v>
      </c>
      <c r="I391" s="3">
        <f t="shared" si="394"/>
        <v>5.2163009345626288E-2</v>
      </c>
      <c r="J391" s="3">
        <f t="shared" si="394"/>
        <v>5.1463827456341274E-2</v>
      </c>
      <c r="K391" s="3">
        <f t="shared" si="394"/>
        <v>4.4967269951809094E-2</v>
      </c>
      <c r="L391" s="3">
        <f t="shared" si="394"/>
        <v>1.1663822811110464E-2</v>
      </c>
      <c r="M391" s="3">
        <f t="shared" si="394"/>
        <v>1.6079955162073234E-8</v>
      </c>
      <c r="N391" s="3">
        <f t="shared" si="394"/>
        <v>3.9877142693259636E-67</v>
      </c>
      <c r="O391" s="3">
        <f t="shared" si="394"/>
        <v>0</v>
      </c>
      <c r="P391" s="3">
        <f t="shared" si="394"/>
        <v>0</v>
      </c>
      <c r="Q391" s="3">
        <f t="shared" si="394"/>
        <v>0</v>
      </c>
      <c r="R391" s="3">
        <f t="shared" si="394"/>
        <v>0</v>
      </c>
      <c r="S391" s="3">
        <f t="shared" si="394"/>
        <v>0</v>
      </c>
      <c r="T391" s="3">
        <f t="shared" si="394"/>
        <v>0</v>
      </c>
      <c r="U391" s="3">
        <f t="shared" si="394"/>
        <v>0</v>
      </c>
      <c r="V391" s="3">
        <f t="shared" si="394"/>
        <v>0</v>
      </c>
      <c r="W391" s="3">
        <f t="shared" si="394"/>
        <v>0</v>
      </c>
      <c r="X391" s="3">
        <f t="shared" si="394"/>
        <v>0</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5.7592946583792902E-2</v>
      </c>
      <c r="C392" s="3">
        <f t="shared" si="395"/>
        <v>5.7592946576021063E-2</v>
      </c>
      <c r="D392" s="3">
        <f t="shared" si="395"/>
        <v>5.7592946498302676E-2</v>
      </c>
      <c r="E392" s="3">
        <f t="shared" si="395"/>
        <v>5.7592945721118741E-2</v>
      </c>
      <c r="F392" s="3">
        <f t="shared" si="395"/>
        <v>5.7592937949280061E-2</v>
      </c>
      <c r="G392" s="3">
        <f t="shared" si="395"/>
        <v>5.7592860230950907E-2</v>
      </c>
      <c r="H392" s="3">
        <f t="shared" si="395"/>
        <v>5.7592083053427563E-2</v>
      </c>
      <c r="I392" s="3">
        <f t="shared" si="395"/>
        <v>5.7584311854983111E-2</v>
      </c>
      <c r="J392" s="3">
        <f t="shared" si="395"/>
        <v>5.7506657520644246E-2</v>
      </c>
      <c r="K392" s="3">
        <f t="shared" si="395"/>
        <v>5.6735850507089125E-2</v>
      </c>
      <c r="L392" s="3">
        <f t="shared" si="395"/>
        <v>4.9573776996320172E-2</v>
      </c>
      <c r="M392" s="3">
        <f t="shared" si="395"/>
        <v>1.2858680359787327E-2</v>
      </c>
      <c r="N392" s="3">
        <f t="shared" si="395"/>
        <v>1.7727207192469904E-8</v>
      </c>
      <c r="O392" s="3">
        <f t="shared" si="395"/>
        <v>4.3962210319743008E-67</v>
      </c>
      <c r="P392" s="3">
        <f t="shared" si="395"/>
        <v>0</v>
      </c>
      <c r="Q392" s="3">
        <f t="shared" si="395"/>
        <v>0</v>
      </c>
      <c r="R392" s="3">
        <f t="shared" si="395"/>
        <v>0</v>
      </c>
      <c r="S392" s="3">
        <f t="shared" si="395"/>
        <v>0</v>
      </c>
      <c r="T392" s="3">
        <f t="shared" si="395"/>
        <v>0</v>
      </c>
      <c r="U392" s="3">
        <f t="shared" si="395"/>
        <v>0</v>
      </c>
      <c r="V392" s="3">
        <f t="shared" si="395"/>
        <v>0</v>
      </c>
      <c r="W392" s="3">
        <f t="shared" si="395"/>
        <v>0</v>
      </c>
      <c r="X392" s="3">
        <f t="shared" si="395"/>
        <v>0</v>
      </c>
      <c r="Y392" s="3">
        <f t="shared" si="395"/>
        <v>0</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5.4172080221563411E-2</v>
      </c>
      <c r="C393" s="3">
        <f t="shared" si="396"/>
        <v>5.4172080220832391E-2</v>
      </c>
      <c r="D393" s="3">
        <f t="shared" si="396"/>
        <v>5.4172080213522184E-2</v>
      </c>
      <c r="E393" s="3">
        <f t="shared" si="396"/>
        <v>5.4172080140420055E-2</v>
      </c>
      <c r="F393" s="3">
        <f t="shared" si="396"/>
        <v>5.4172079409398763E-2</v>
      </c>
      <c r="G393" s="3">
        <f t="shared" si="396"/>
        <v>5.4172072099186425E-2</v>
      </c>
      <c r="H393" s="3">
        <f t="shared" si="396"/>
        <v>5.4171998997117311E-2</v>
      </c>
      <c r="I393" s="3">
        <f t="shared" si="396"/>
        <v>5.4171267981851769E-2</v>
      </c>
      <c r="J393" s="3">
        <f t="shared" si="396"/>
        <v>5.41639583717256E-2</v>
      </c>
      <c r="K393" s="3">
        <f t="shared" si="396"/>
        <v>5.4090916496308095E-2</v>
      </c>
      <c r="L393" s="3">
        <f t="shared" si="396"/>
        <v>5.3365893349379218E-2</v>
      </c>
      <c r="M393" s="3">
        <f t="shared" si="396"/>
        <v>4.6629227771618063E-2</v>
      </c>
      <c r="N393" s="3">
        <f t="shared" si="396"/>
        <v>1.2094909278013297E-2</v>
      </c>
      <c r="O393" s="3">
        <f t="shared" si="396"/>
        <v>1.6674258691116142E-8</v>
      </c>
      <c r="P393" s="3">
        <f t="shared" si="396"/>
        <v>4.1350973085936932E-67</v>
      </c>
      <c r="Q393" s="3">
        <f t="shared" si="396"/>
        <v>0</v>
      </c>
      <c r="R393" s="3">
        <f t="shared" si="396"/>
        <v>0</v>
      </c>
      <c r="S393" s="3">
        <f t="shared" si="396"/>
        <v>0</v>
      </c>
      <c r="T393" s="3">
        <f t="shared" si="396"/>
        <v>0</v>
      </c>
      <c r="U393" s="3">
        <f t="shared" si="396"/>
        <v>0</v>
      </c>
      <c r="V393" s="3">
        <f t="shared" si="396"/>
        <v>0</v>
      </c>
      <c r="W393" s="3">
        <f t="shared" si="396"/>
        <v>0</v>
      </c>
      <c r="X393" s="3">
        <f t="shared" si="396"/>
        <v>0</v>
      </c>
      <c r="Y393" s="3">
        <f t="shared" si="396"/>
        <v>0</v>
      </c>
      <c r="Z393" s="3">
        <f t="shared" si="396"/>
        <v>0</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3.8751330064366173E-2</v>
      </c>
      <c r="C394" s="3">
        <f t="shared" si="397"/>
        <v>3.8751330064313888E-2</v>
      </c>
      <c r="D394" s="3">
        <f t="shared" si="397"/>
        <v>3.8751330063790959E-2</v>
      </c>
      <c r="E394" s="3">
        <f t="shared" si="397"/>
        <v>3.8751330058561691E-2</v>
      </c>
      <c r="F394" s="3">
        <f t="shared" si="397"/>
        <v>3.8751330006268979E-2</v>
      </c>
      <c r="G394" s="3">
        <f t="shared" si="397"/>
        <v>3.8751329483341909E-2</v>
      </c>
      <c r="H394" s="3">
        <f t="shared" si="397"/>
        <v>3.8751324254071594E-2</v>
      </c>
      <c r="I394" s="3">
        <f t="shared" si="397"/>
        <v>3.8751271961407235E-2</v>
      </c>
      <c r="J394" s="3">
        <f t="shared" si="397"/>
        <v>3.875074903864479E-2</v>
      </c>
      <c r="K394" s="3">
        <f t="shared" si="397"/>
        <v>3.8745520199111906E-2</v>
      </c>
      <c r="L394" s="3">
        <f t="shared" si="397"/>
        <v>3.8693270593572603E-2</v>
      </c>
      <c r="M394" s="3">
        <f t="shared" si="397"/>
        <v>3.8174634219337061E-2</v>
      </c>
      <c r="N394" s="3">
        <f t="shared" si="397"/>
        <v>3.335564350919612E-2</v>
      </c>
      <c r="O394" s="3">
        <f t="shared" si="397"/>
        <v>8.6519443154715724E-3</v>
      </c>
      <c r="P394" s="3">
        <f t="shared" si="397"/>
        <v>1.1927725490223903E-8</v>
      </c>
      <c r="Q394" s="3">
        <f t="shared" si="397"/>
        <v>2.9579909059793837E-67</v>
      </c>
      <c r="R394" s="3">
        <f t="shared" si="397"/>
        <v>0</v>
      </c>
      <c r="S394" s="3">
        <f t="shared" si="397"/>
        <v>0</v>
      </c>
      <c r="T394" s="3">
        <f t="shared" si="397"/>
        <v>0</v>
      </c>
      <c r="U394" s="3">
        <f t="shared" si="397"/>
        <v>0</v>
      </c>
      <c r="V394" s="3">
        <f t="shared" si="397"/>
        <v>0</v>
      </c>
      <c r="W394" s="3">
        <f t="shared" si="397"/>
        <v>0</v>
      </c>
      <c r="X394" s="3">
        <f t="shared" si="397"/>
        <v>0</v>
      </c>
      <c r="Y394" s="3">
        <f t="shared" si="397"/>
        <v>0</v>
      </c>
      <c r="Z394" s="3">
        <f t="shared" si="397"/>
        <v>0</v>
      </c>
      <c r="AA394" s="3">
        <f t="shared" si="397"/>
        <v>0</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2.0828240532985973E-2</v>
      </c>
      <c r="C395" s="3">
        <f t="shared" si="398"/>
        <v>2.0828240532983162E-2</v>
      </c>
      <c r="D395" s="3">
        <f t="shared" si="398"/>
        <v>2.0828240532955056E-2</v>
      </c>
      <c r="E395" s="3">
        <f t="shared" si="398"/>
        <v>2.082824053267399E-2</v>
      </c>
      <c r="F395" s="3">
        <f t="shared" si="398"/>
        <v>2.0828240529863339E-2</v>
      </c>
      <c r="G395" s="3">
        <f t="shared" si="398"/>
        <v>2.0828240501756818E-2</v>
      </c>
      <c r="H395" s="3">
        <f t="shared" si="398"/>
        <v>2.0828240220691605E-2</v>
      </c>
      <c r="I395" s="3">
        <f t="shared" si="398"/>
        <v>2.0828237410039693E-2</v>
      </c>
      <c r="J395" s="3">
        <f t="shared" si="398"/>
        <v>2.0828209303541425E-2</v>
      </c>
      <c r="K395" s="3">
        <f t="shared" si="398"/>
        <v>2.0827928240644788E-2</v>
      </c>
      <c r="L395" s="3">
        <f t="shared" si="398"/>
        <v>2.0825117820271646E-2</v>
      </c>
      <c r="M395" s="3">
        <f t="shared" si="398"/>
        <v>2.079703446545212E-2</v>
      </c>
      <c r="N395" s="3">
        <f t="shared" si="398"/>
        <v>2.0518275436180365E-2</v>
      </c>
      <c r="O395" s="3">
        <f t="shared" si="398"/>
        <v>1.7928142466026566E-2</v>
      </c>
      <c r="P395" s="3">
        <f t="shared" si="398"/>
        <v>4.6502862477570996E-3</v>
      </c>
      <c r="Q395" s="3">
        <f t="shared" si="398"/>
        <v>6.4109679618513335E-9</v>
      </c>
      <c r="R395" s="3">
        <f t="shared" si="398"/>
        <v>1.589874359971161E-67</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2.9904702300268735E-2</v>
      </c>
      <c r="C396" s="3">
        <f t="shared" si="399"/>
        <v>2.9904702300268333E-2</v>
      </c>
      <c r="D396" s="3">
        <f t="shared" si="399"/>
        <v>2.9904702300264294E-2</v>
      </c>
      <c r="E396" s="3">
        <f t="shared" si="399"/>
        <v>2.9904702300223941E-2</v>
      </c>
      <c r="F396" s="3">
        <f t="shared" si="399"/>
        <v>2.9904702299820396E-2</v>
      </c>
      <c r="G396" s="3">
        <f t="shared" si="399"/>
        <v>2.9904702295784926E-2</v>
      </c>
      <c r="H396" s="3">
        <f t="shared" si="399"/>
        <v>2.9904702255430238E-2</v>
      </c>
      <c r="I396" s="3">
        <f t="shared" si="399"/>
        <v>2.9904701851883358E-2</v>
      </c>
      <c r="J396" s="3">
        <f t="shared" si="399"/>
        <v>2.990469781641485E-2</v>
      </c>
      <c r="K396" s="3">
        <f t="shared" si="399"/>
        <v>2.9904657461759732E-2</v>
      </c>
      <c r="L396" s="3">
        <f t="shared" si="399"/>
        <v>2.9904253918203651E-2</v>
      </c>
      <c r="M396" s="3">
        <f t="shared" si="399"/>
        <v>2.9900218782136147E-2</v>
      </c>
      <c r="N396" s="3">
        <f t="shared" si="399"/>
        <v>2.9859897355842806E-2</v>
      </c>
      <c r="O396" s="3">
        <f t="shared" si="399"/>
        <v>2.9459661638827659E-2</v>
      </c>
      <c r="P396" s="3">
        <f t="shared" si="399"/>
        <v>2.5740809090150338E-2</v>
      </c>
      <c r="Q396" s="3">
        <f t="shared" si="399"/>
        <v>6.6767726073629742E-3</v>
      </c>
      <c r="R396" s="3">
        <f t="shared" si="399"/>
        <v>9.2047183751357002E-9</v>
      </c>
      <c r="S396" s="3">
        <f t="shared" si="399"/>
        <v>2.2827045498379948E-67</v>
      </c>
      <c r="T396" s="3">
        <f t="shared" si="399"/>
        <v>0</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80">
        <f>AVERAGE(B397:AF397)</f>
        <v>6.3355788322798964E-2</v>
      </c>
      <c r="B397" s="81">
        <f>IF($A$64&lt;=B363,IF($B$64&gt;=B363,ABS((B365-B364)/B364),0),0)</f>
        <v>4.5075448184207232E-3</v>
      </c>
      <c r="C397" s="81">
        <f t="shared" ref="C397:AF397" si="400">IF($A$64&lt;=C363,IF($B$64&gt;=C363,ABS((C365-C364)/C364),0),0)</f>
        <v>1.0056256009639036E-2</v>
      </c>
      <c r="D397" s="81">
        <f t="shared" si="400"/>
        <v>3.541673813365725E-3</v>
      </c>
      <c r="E397" s="81">
        <f t="shared" si="400"/>
        <v>1.4655695387505727E-2</v>
      </c>
      <c r="F397" s="81">
        <f t="shared" si="400"/>
        <v>2.4692506745401858E-2</v>
      </c>
      <c r="G397" s="81">
        <f t="shared" si="400"/>
        <v>2.4052040456422813E-2</v>
      </c>
      <c r="H397" s="81">
        <f t="shared" si="400"/>
        <v>3.0084803419927697E-2</v>
      </c>
      <c r="I397" s="81">
        <f t="shared" si="400"/>
        <v>2.580682155612634E-2</v>
      </c>
      <c r="J397" s="81">
        <f t="shared" si="400"/>
        <v>1.6932346813943518E-2</v>
      </c>
      <c r="K397" s="81">
        <f t="shared" si="400"/>
        <v>1.6522042174786952E-3</v>
      </c>
      <c r="L397" s="81">
        <f t="shared" si="400"/>
        <v>2.9917423726068842E-2</v>
      </c>
      <c r="M397" s="81">
        <f t="shared" si="400"/>
        <v>6.4066750554301694E-2</v>
      </c>
      <c r="N397" s="81">
        <f t="shared" si="400"/>
        <v>8.3691537756078252E-2</v>
      </c>
      <c r="O397" s="81">
        <f t="shared" si="400"/>
        <v>8.7238954973150692E-2</v>
      </c>
      <c r="P397" s="81">
        <f t="shared" si="400"/>
        <v>4.6157389450598808E-2</v>
      </c>
      <c r="Q397" s="81">
        <f t="shared" si="400"/>
        <v>0.18221280766945769</v>
      </c>
      <c r="R397" s="81">
        <f t="shared" si="400"/>
        <v>0.23417815980112069</v>
      </c>
      <c r="S397" s="81">
        <f t="shared" si="400"/>
        <v>0.1832641772435295</v>
      </c>
      <c r="T397" s="81">
        <f t="shared" si="400"/>
        <v>0.1497139127765196</v>
      </c>
      <c r="U397" s="81">
        <f t="shared" si="400"/>
        <v>0.13168968614481266</v>
      </c>
      <c r="V397" s="81">
        <f t="shared" si="400"/>
        <v>8.0015212294283891E-2</v>
      </c>
      <c r="W397" s="81">
        <f t="shared" si="400"/>
        <v>5.9514803574217783E-2</v>
      </c>
      <c r="X397" s="81">
        <f t="shared" si="400"/>
        <v>5.6063133240288436E-2</v>
      </c>
      <c r="Y397" s="81">
        <f t="shared" si="400"/>
        <v>5.5613522272814429E-2</v>
      </c>
      <c r="Z397" s="81">
        <f t="shared" si="400"/>
        <v>5.4231276299797702E-2</v>
      </c>
      <c r="AA397" s="81">
        <f t="shared" si="400"/>
        <v>5.2700710976499796E-2</v>
      </c>
      <c r="AB397" s="81">
        <f t="shared" si="400"/>
        <v>5.221783348698638E-2</v>
      </c>
      <c r="AC397" s="81">
        <f t="shared" si="400"/>
        <v>5.1755350671410551E-2</v>
      </c>
      <c r="AD397" s="81">
        <f t="shared" si="400"/>
        <v>5.1364456825069162E-2</v>
      </c>
      <c r="AE397" s="81">
        <f t="shared" si="400"/>
        <v>5.1250417624333883E-2</v>
      </c>
      <c r="AF397" s="81">
        <f t="shared" si="400"/>
        <v>5.1190027407195679E-2</v>
      </c>
    </row>
    <row r="398" spans="1:34" x14ac:dyDescent="0.25">
      <c r="B398" s="21">
        <f>(B365-B364)^2</f>
        <v>241.59427818482175</v>
      </c>
      <c r="C398" s="21">
        <f t="shared" ref="C398:AF398" si="401">(C365-C364)^2</f>
        <v>1061.3371730408442</v>
      </c>
      <c r="D398" s="21">
        <f t="shared" si="401"/>
        <v>119.14440070173058</v>
      </c>
      <c r="E398" s="21">
        <f t="shared" si="401"/>
        <v>1837.8177099962172</v>
      </c>
      <c r="F398" s="21">
        <f t="shared" si="401"/>
        <v>4673.8537035055106</v>
      </c>
      <c r="G398" s="21">
        <f t="shared" si="401"/>
        <v>3874.2646418896406</v>
      </c>
      <c r="H398" s="21">
        <f t="shared" si="401"/>
        <v>5180.6824693790277</v>
      </c>
      <c r="I398" s="21">
        <f t="shared" si="401"/>
        <v>3144.1369815109279</v>
      </c>
      <c r="J398" s="21">
        <f t="shared" si="401"/>
        <v>1065.6935325294978</v>
      </c>
      <c r="K398" s="21">
        <f t="shared" si="401"/>
        <v>7.3751523442333005</v>
      </c>
      <c r="L398" s="21">
        <f t="shared" si="401"/>
        <v>1558.7618894859352</v>
      </c>
      <c r="M398" s="21">
        <f t="shared" si="401"/>
        <v>3971.1478300131057</v>
      </c>
      <c r="N398" s="21">
        <f t="shared" si="401"/>
        <v>3370.2158029644943</v>
      </c>
      <c r="O398" s="21">
        <f t="shared" si="401"/>
        <v>1797.1577284713992</v>
      </c>
      <c r="P398" s="21">
        <f t="shared" si="401"/>
        <v>287.54993458039849</v>
      </c>
      <c r="Q398" s="21">
        <f t="shared" si="401"/>
        <v>3132.7118461977229</v>
      </c>
      <c r="R398" s="21">
        <f t="shared" si="401"/>
        <v>4270.8486417788008</v>
      </c>
      <c r="S398" s="21">
        <f t="shared" si="401"/>
        <v>2299.686531158844</v>
      </c>
      <c r="T398" s="21">
        <f t="shared" si="401"/>
        <v>1416.0248125165226</v>
      </c>
      <c r="U398" s="21">
        <f t="shared" si="401"/>
        <v>1050.5828180510239</v>
      </c>
      <c r="V398" s="21">
        <f t="shared" si="401"/>
        <v>345.50991850346276</v>
      </c>
      <c r="W398" s="21">
        <f t="shared" si="401"/>
        <v>182.9038170656132</v>
      </c>
      <c r="X398" s="21">
        <f t="shared" si="401"/>
        <v>161.11854181124249</v>
      </c>
      <c r="Y398" s="21">
        <f t="shared" si="401"/>
        <v>158.39372475156418</v>
      </c>
      <c r="Z398" s="21">
        <f t="shared" si="401"/>
        <v>150.17804373874205</v>
      </c>
      <c r="AA398" s="21">
        <f t="shared" si="401"/>
        <v>141.36282436714913</v>
      </c>
      <c r="AB398" s="21">
        <f t="shared" si="401"/>
        <v>138.64279988975991</v>
      </c>
      <c r="AC398" s="21">
        <f t="shared" si="401"/>
        <v>136.06499100420274</v>
      </c>
      <c r="AD398" s="21">
        <f t="shared" si="401"/>
        <v>133.90700674079923</v>
      </c>
      <c r="AE398" s="21">
        <f t="shared" si="401"/>
        <v>133.28102060451778</v>
      </c>
      <c r="AF398" s="21">
        <f t="shared" si="401"/>
        <v>132.95018024346487</v>
      </c>
      <c r="AG398" s="3"/>
      <c r="AH398" s="3"/>
    </row>
    <row r="399" spans="1:34" x14ac:dyDescent="0.25">
      <c r="A399" s="72">
        <f>SUM(B399:AF399)</f>
        <v>46174.900747021216</v>
      </c>
      <c r="B399" s="60">
        <f>IF($A$64&lt;=B363,IF($B$64&gt;=B363,ABS(B398),0),0)</f>
        <v>241.59427818482175</v>
      </c>
      <c r="C399" s="60">
        <f t="shared" ref="C399" si="402">IF($A$64&lt;=C363,IF($B$64&gt;=C363,ABS(C398),0),0)</f>
        <v>1061.3371730408442</v>
      </c>
      <c r="D399" s="60">
        <f t="shared" ref="D399" si="403">IF($A$64&lt;=D363,IF($B$64&gt;=D363,ABS(D398),0),0)</f>
        <v>119.14440070173058</v>
      </c>
      <c r="E399" s="60">
        <f t="shared" ref="E399" si="404">IF($A$64&lt;=E363,IF($B$64&gt;=E363,ABS(E398),0),0)</f>
        <v>1837.8177099962172</v>
      </c>
      <c r="F399" s="60">
        <f t="shared" ref="F399" si="405">IF($A$64&lt;=F363,IF($B$64&gt;=F363,ABS(F398),0),0)</f>
        <v>4673.8537035055106</v>
      </c>
      <c r="G399" s="60">
        <f t="shared" ref="G399" si="406">IF($A$64&lt;=G363,IF($B$64&gt;=G363,ABS(G398),0),0)</f>
        <v>3874.2646418896406</v>
      </c>
      <c r="H399" s="60">
        <f t="shared" ref="H399" si="407">IF($A$64&lt;=H363,IF($B$64&gt;=H363,ABS(H398),0),0)</f>
        <v>5180.6824693790277</v>
      </c>
      <c r="I399" s="60">
        <f t="shared" ref="I399" si="408">IF($A$64&lt;=I363,IF($B$64&gt;=I363,ABS(I398),0),0)</f>
        <v>3144.1369815109279</v>
      </c>
      <c r="J399" s="60">
        <f t="shared" ref="J399" si="409">IF($A$64&lt;=J363,IF($B$64&gt;=J363,ABS(J398),0),0)</f>
        <v>1065.6935325294978</v>
      </c>
      <c r="K399" s="60">
        <f t="shared" ref="K399" si="410">IF($A$64&lt;=K363,IF($B$64&gt;=K363,ABS(K398),0),0)</f>
        <v>7.3751523442333005</v>
      </c>
      <c r="L399" s="60">
        <f t="shared" ref="L399" si="411">IF($A$64&lt;=L363,IF($B$64&gt;=L363,ABS(L398),0),0)</f>
        <v>1558.7618894859352</v>
      </c>
      <c r="M399" s="60">
        <f t="shared" ref="M399" si="412">IF($A$64&lt;=M363,IF($B$64&gt;=M363,ABS(M398),0),0)</f>
        <v>3971.1478300131057</v>
      </c>
      <c r="N399" s="60">
        <f t="shared" ref="N399" si="413">IF($A$64&lt;=N363,IF($B$64&gt;=N363,ABS(N398),0),0)</f>
        <v>3370.2158029644943</v>
      </c>
      <c r="O399" s="60">
        <f t="shared" ref="O399" si="414">IF($A$64&lt;=O363,IF($B$64&gt;=O363,ABS(O398),0),0)</f>
        <v>1797.1577284713992</v>
      </c>
      <c r="P399" s="60">
        <f t="shared" ref="P399" si="415">IF($A$64&lt;=P363,IF($B$64&gt;=P363,ABS(P398),0),0)</f>
        <v>287.54993458039849</v>
      </c>
      <c r="Q399" s="60">
        <f t="shared" ref="Q399" si="416">IF($A$64&lt;=Q363,IF($B$64&gt;=Q363,ABS(Q398),0),0)</f>
        <v>3132.7118461977229</v>
      </c>
      <c r="R399" s="60">
        <f t="shared" ref="R399" si="417">IF($A$64&lt;=R363,IF($B$64&gt;=R363,ABS(R398),0),0)</f>
        <v>4270.8486417788008</v>
      </c>
      <c r="S399" s="60">
        <f t="shared" ref="S399" si="418">IF($A$64&lt;=S363,IF($B$64&gt;=S363,ABS(S398),0),0)</f>
        <v>2299.686531158844</v>
      </c>
      <c r="T399" s="60">
        <f t="shared" ref="T399" si="419">IF($A$64&lt;=T363,IF($B$64&gt;=T363,ABS(T398),0),0)</f>
        <v>1416.0248125165226</v>
      </c>
      <c r="U399" s="60">
        <f t="shared" ref="U399" si="420">IF($A$64&lt;=U363,IF($B$64&gt;=U363,ABS(U398),0),0)</f>
        <v>1050.5828180510239</v>
      </c>
      <c r="V399" s="60">
        <f t="shared" ref="V399" si="421">IF($A$64&lt;=V363,IF($B$64&gt;=V363,ABS(V398),0),0)</f>
        <v>345.50991850346276</v>
      </c>
      <c r="W399" s="60">
        <f t="shared" ref="W399" si="422">IF($A$64&lt;=W363,IF($B$64&gt;=W363,ABS(W398),0),0)</f>
        <v>182.9038170656132</v>
      </c>
      <c r="X399" s="60">
        <f t="shared" ref="X399" si="423">IF($A$64&lt;=X363,IF($B$64&gt;=X363,ABS(X398),0),0)</f>
        <v>161.11854181124249</v>
      </c>
      <c r="Y399" s="60">
        <f t="shared" ref="Y399" si="424">IF($A$64&lt;=Y363,IF($B$64&gt;=Y363,ABS(Y398),0),0)</f>
        <v>158.39372475156418</v>
      </c>
      <c r="Z399" s="60">
        <f t="shared" ref="Z399" si="425">IF($A$64&lt;=Z363,IF($B$64&gt;=Z363,ABS(Z398),0),0)</f>
        <v>150.17804373874205</v>
      </c>
      <c r="AA399" s="60">
        <f t="shared" ref="AA399" si="426">IF($A$64&lt;=AA363,IF($B$64&gt;=AA363,ABS(AA398),0),0)</f>
        <v>141.36282436714913</v>
      </c>
      <c r="AB399" s="60">
        <f t="shared" ref="AB399" si="427">IF($A$64&lt;=AB363,IF($B$64&gt;=AB363,ABS(AB398),0),0)</f>
        <v>138.64279988975991</v>
      </c>
      <c r="AC399" s="60">
        <f t="shared" ref="AC399" si="428">IF($A$64&lt;=AC363,IF($B$64&gt;=AC363,ABS(AC398),0),0)</f>
        <v>136.06499100420274</v>
      </c>
      <c r="AD399" s="60">
        <f t="shared" ref="AD399" si="429">IF($A$64&lt;=AD363,IF($B$64&gt;=AD363,ABS(AD398),0),0)</f>
        <v>133.90700674079923</v>
      </c>
      <c r="AE399" s="60">
        <f t="shared" ref="AE399" si="430">IF($A$64&lt;=AE363,IF($B$64&gt;=AE363,ABS(AE398),0),0)</f>
        <v>133.28102060451778</v>
      </c>
      <c r="AF399" s="60">
        <f t="shared" ref="AF399" si="431">IF($A$64&lt;=AF363,IF($B$64&gt;=AF363,ABS(AF398),0),0)</f>
        <v>132.95018024346487</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8"/>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8"/>
      <c r="B402" s="22"/>
      <c r="C402" s="22"/>
      <c r="D402" s="22"/>
      <c r="E402" s="22"/>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c r="AD402" s="22"/>
      <c r="AE402" s="22"/>
      <c r="AF402" s="22"/>
      <c r="AG402" s="22"/>
      <c r="AH402" s="22"/>
    </row>
    <row r="403" spans="1:34" x14ac:dyDescent="0.25">
      <c r="A403" s="88"/>
      <c r="B403" s="22"/>
      <c r="C403" s="22"/>
      <c r="D403" s="22"/>
      <c r="E403" s="22"/>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c r="AD403" s="22"/>
      <c r="AE403" s="22"/>
      <c r="AF403" s="22"/>
      <c r="AG403" s="26"/>
      <c r="AH403" s="26"/>
    </row>
    <row r="404" spans="1:34" x14ac:dyDescent="0.25">
      <c r="A404" s="88"/>
      <c r="B404" s="22"/>
      <c r="C404" s="22"/>
      <c r="D404" s="22"/>
      <c r="E404" s="22"/>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c r="AD404" s="22"/>
      <c r="AE404" s="22"/>
      <c r="AF404" s="22"/>
      <c r="AG404" s="27"/>
      <c r="AH404" s="27"/>
    </row>
    <row r="405" spans="1:34" x14ac:dyDescent="0.25">
      <c r="A405" s="15"/>
      <c r="B405" s="42"/>
      <c r="C405" s="42"/>
      <c r="D405" s="42"/>
      <c r="E405" s="42"/>
      <c r="F405" s="42"/>
      <c r="G405" s="42"/>
      <c r="H405" s="42"/>
      <c r="I405" s="42"/>
      <c r="J405" s="42"/>
      <c r="K405" s="42"/>
      <c r="L405" s="42"/>
      <c r="M405" s="42"/>
      <c r="N405" s="42"/>
      <c r="O405" s="42"/>
      <c r="P405" s="42"/>
      <c r="Q405" s="42"/>
      <c r="R405" s="42"/>
      <c r="S405" s="42"/>
      <c r="T405" s="42"/>
      <c r="U405" s="42"/>
      <c r="V405" s="42"/>
      <c r="W405" s="42"/>
      <c r="X405" s="42"/>
      <c r="Y405" s="42"/>
      <c r="Z405" s="42"/>
      <c r="AA405" s="42"/>
      <c r="AB405" s="42"/>
      <c r="AC405" s="42"/>
      <c r="AD405" s="42"/>
      <c r="AE405" s="42"/>
      <c r="AF405" s="42"/>
      <c r="AG405" s="3"/>
      <c r="AH405" s="3"/>
    </row>
    <row r="406" spans="1:34" x14ac:dyDescent="0.25">
      <c r="A406" s="15"/>
      <c r="B406" s="42"/>
      <c r="C406" s="42"/>
      <c r="D406" s="42"/>
      <c r="E406" s="42"/>
      <c r="F406" s="42"/>
      <c r="G406" s="42"/>
      <c r="H406" s="42"/>
      <c r="I406" s="42"/>
      <c r="J406" s="42"/>
      <c r="K406" s="42"/>
      <c r="L406" s="42"/>
      <c r="M406" s="42"/>
      <c r="N406" s="42"/>
      <c r="O406" s="42"/>
      <c r="P406" s="42"/>
      <c r="Q406" s="42"/>
      <c r="R406" s="42"/>
      <c r="S406" s="42"/>
      <c r="T406" s="42"/>
      <c r="U406" s="42"/>
      <c r="V406" s="42"/>
      <c r="W406" s="42"/>
      <c r="X406" s="42"/>
      <c r="Y406" s="42"/>
      <c r="Z406" s="42"/>
      <c r="AA406" s="42"/>
      <c r="AB406" s="42"/>
      <c r="AC406" s="42"/>
      <c r="AD406" s="42"/>
      <c r="AE406" s="42"/>
      <c r="AF406" s="42"/>
      <c r="AG406" s="3"/>
      <c r="AH406" s="3"/>
    </row>
    <row r="407" spans="1:34" x14ac:dyDescent="0.25">
      <c r="A407" s="15"/>
      <c r="B407" s="42"/>
      <c r="C407" s="42"/>
      <c r="D407" s="42"/>
      <c r="E407" s="42"/>
      <c r="F407" s="42"/>
      <c r="G407" s="42"/>
      <c r="H407" s="42"/>
      <c r="I407" s="42"/>
      <c r="J407" s="42"/>
      <c r="K407" s="42"/>
      <c r="L407" s="42"/>
      <c r="M407" s="42"/>
      <c r="N407" s="42"/>
      <c r="O407" s="42"/>
      <c r="P407" s="42"/>
      <c r="Q407" s="42"/>
      <c r="R407" s="42"/>
      <c r="S407" s="42"/>
      <c r="T407" s="42"/>
      <c r="U407" s="42"/>
      <c r="V407" s="42"/>
      <c r="W407" s="42"/>
      <c r="X407" s="42"/>
      <c r="Y407" s="42"/>
      <c r="Z407" s="42"/>
      <c r="AA407" s="42"/>
      <c r="AB407" s="42"/>
      <c r="AC407" s="42"/>
      <c r="AD407" s="42"/>
      <c r="AE407" s="42"/>
      <c r="AF407" s="42"/>
      <c r="AG407" s="3"/>
      <c r="AH407" s="3"/>
    </row>
    <row r="408" spans="1:34" x14ac:dyDescent="0.25">
      <c r="A408" s="15"/>
      <c r="B408" s="42"/>
      <c r="C408" s="42"/>
      <c r="D408" s="42"/>
      <c r="E408" s="42"/>
      <c r="F408" s="42"/>
      <c r="G408" s="42"/>
      <c r="H408" s="42"/>
      <c r="I408" s="42"/>
      <c r="J408" s="42"/>
      <c r="K408" s="42"/>
      <c r="L408" s="42"/>
      <c r="M408" s="42"/>
      <c r="N408" s="42"/>
      <c r="O408" s="42"/>
      <c r="P408" s="42"/>
      <c r="Q408" s="42"/>
      <c r="R408" s="42"/>
      <c r="S408" s="42"/>
      <c r="T408" s="42"/>
      <c r="U408" s="42"/>
      <c r="V408" s="42"/>
      <c r="W408" s="42"/>
      <c r="X408" s="42"/>
      <c r="Y408" s="42"/>
      <c r="Z408" s="42"/>
      <c r="AA408" s="42"/>
      <c r="AB408" s="42"/>
      <c r="AC408" s="42"/>
      <c r="AD408" s="42"/>
      <c r="AE408" s="42"/>
      <c r="AF408" s="42"/>
      <c r="AG408" s="3"/>
      <c r="AH408" s="3"/>
    </row>
    <row r="409" spans="1:34" x14ac:dyDescent="0.25">
      <c r="A409" s="15"/>
      <c r="B409" s="42"/>
      <c r="C409" s="42"/>
      <c r="D409" s="42"/>
      <c r="E409" s="42"/>
      <c r="F409" s="42"/>
      <c r="G409" s="42"/>
      <c r="H409" s="42"/>
      <c r="I409" s="42"/>
      <c r="J409" s="42"/>
      <c r="K409" s="42"/>
      <c r="L409" s="42"/>
      <c r="M409" s="42"/>
      <c r="N409" s="42"/>
      <c r="O409" s="42"/>
      <c r="P409" s="42"/>
      <c r="Q409" s="42"/>
      <c r="R409" s="42"/>
      <c r="S409" s="42"/>
      <c r="T409" s="42"/>
      <c r="U409" s="42"/>
      <c r="V409" s="42"/>
      <c r="W409" s="42"/>
      <c r="X409" s="42"/>
      <c r="Y409" s="42"/>
      <c r="Z409" s="42"/>
      <c r="AA409" s="42"/>
      <c r="AB409" s="42"/>
      <c r="AC409" s="42"/>
      <c r="AD409" s="42"/>
      <c r="AE409" s="42"/>
      <c r="AF409" s="42"/>
      <c r="AG409" s="3"/>
      <c r="AH409" s="3"/>
    </row>
    <row r="410" spans="1:34" x14ac:dyDescent="0.25">
      <c r="A410" s="15"/>
      <c r="B410" s="42"/>
      <c r="C410" s="42"/>
      <c r="D410" s="42"/>
      <c r="E410" s="42"/>
      <c r="F410" s="42"/>
      <c r="G410" s="42"/>
      <c r="H410" s="42"/>
      <c r="I410" s="42"/>
      <c r="J410" s="42"/>
      <c r="K410" s="42"/>
      <c r="L410" s="42"/>
      <c r="M410" s="42"/>
      <c r="N410" s="42"/>
      <c r="O410" s="42"/>
      <c r="P410" s="42"/>
      <c r="Q410" s="42"/>
      <c r="R410" s="42"/>
      <c r="S410" s="42"/>
      <c r="T410" s="42"/>
      <c r="U410" s="42"/>
      <c r="V410" s="42"/>
      <c r="W410" s="42"/>
      <c r="X410" s="42"/>
      <c r="Y410" s="42"/>
      <c r="Z410" s="42"/>
      <c r="AA410" s="42"/>
      <c r="AB410" s="42"/>
      <c r="AC410" s="42"/>
      <c r="AD410" s="42"/>
      <c r="AE410" s="42"/>
      <c r="AF410" s="42"/>
      <c r="AG410" s="3"/>
      <c r="AH410" s="3"/>
    </row>
    <row r="411" spans="1:34" x14ac:dyDescent="0.25">
      <c r="A411" s="15"/>
      <c r="B411" s="42"/>
      <c r="C411" s="42"/>
      <c r="D411" s="42"/>
      <c r="E411" s="42"/>
      <c r="F411" s="42"/>
      <c r="G411" s="42"/>
      <c r="H411" s="42"/>
      <c r="I411" s="42"/>
      <c r="J411" s="42"/>
      <c r="K411" s="42"/>
      <c r="L411" s="42"/>
      <c r="M411" s="42"/>
      <c r="N411" s="42"/>
      <c r="O411" s="42"/>
      <c r="P411" s="42"/>
      <c r="Q411" s="42"/>
      <c r="R411" s="42"/>
      <c r="S411" s="42"/>
      <c r="T411" s="42"/>
      <c r="U411" s="42"/>
      <c r="V411" s="42"/>
      <c r="W411" s="42"/>
      <c r="X411" s="42"/>
      <c r="Y411" s="42"/>
      <c r="Z411" s="42"/>
      <c r="AA411" s="42"/>
      <c r="AB411" s="42"/>
      <c r="AC411" s="42"/>
      <c r="AD411" s="42"/>
      <c r="AE411" s="42"/>
      <c r="AF411" s="42"/>
      <c r="AG411" s="3"/>
      <c r="AH411" s="3"/>
    </row>
    <row r="412" spans="1:34" x14ac:dyDescent="0.25">
      <c r="A412" s="15"/>
      <c r="B412" s="42"/>
      <c r="C412" s="42"/>
      <c r="D412" s="42"/>
      <c r="E412" s="42"/>
      <c r="F412" s="42"/>
      <c r="G412" s="42"/>
      <c r="H412" s="42"/>
      <c r="I412" s="42"/>
      <c r="J412" s="42"/>
      <c r="K412" s="42"/>
      <c r="L412" s="42"/>
      <c r="M412" s="42"/>
      <c r="N412" s="42"/>
      <c r="O412" s="42"/>
      <c r="P412" s="42"/>
      <c r="Q412" s="42"/>
      <c r="R412" s="42"/>
      <c r="S412" s="42"/>
      <c r="T412" s="42"/>
      <c r="U412" s="42"/>
      <c r="V412" s="42"/>
      <c r="W412" s="42"/>
      <c r="X412" s="42"/>
      <c r="Y412" s="42"/>
      <c r="Z412" s="42"/>
      <c r="AA412" s="42"/>
      <c r="AB412" s="42"/>
      <c r="AC412" s="42"/>
      <c r="AD412" s="42"/>
      <c r="AE412" s="42"/>
      <c r="AF412" s="42"/>
      <c r="AG412" s="3"/>
      <c r="AH412" s="3"/>
    </row>
    <row r="413" spans="1:34" x14ac:dyDescent="0.25">
      <c r="A413" s="15"/>
      <c r="B413" s="42"/>
      <c r="C413" s="42"/>
      <c r="D413" s="42"/>
      <c r="E413" s="42"/>
      <c r="F413" s="42"/>
      <c r="G413" s="42"/>
      <c r="H413" s="42"/>
      <c r="I413" s="42"/>
      <c r="J413" s="42"/>
      <c r="K413" s="42"/>
      <c r="L413" s="42"/>
      <c r="M413" s="42"/>
      <c r="N413" s="42"/>
      <c r="O413" s="42"/>
      <c r="P413" s="42"/>
      <c r="Q413" s="42"/>
      <c r="R413" s="42"/>
      <c r="S413" s="42"/>
      <c r="T413" s="42"/>
      <c r="U413" s="42"/>
      <c r="V413" s="42"/>
      <c r="W413" s="42"/>
      <c r="X413" s="42"/>
      <c r="Y413" s="42"/>
      <c r="Z413" s="42"/>
      <c r="AA413" s="42"/>
      <c r="AB413" s="42"/>
      <c r="AC413" s="42"/>
      <c r="AD413" s="42"/>
      <c r="AE413" s="42"/>
      <c r="AF413" s="42"/>
      <c r="AG413" s="3"/>
      <c r="AH413" s="3"/>
    </row>
    <row r="414" spans="1:34" x14ac:dyDescent="0.25">
      <c r="A414" s="15"/>
      <c r="B414" s="42"/>
      <c r="C414" s="42"/>
      <c r="D414" s="42"/>
      <c r="E414" s="42"/>
      <c r="F414" s="42"/>
      <c r="G414" s="42"/>
      <c r="H414" s="42"/>
      <c r="I414" s="42"/>
      <c r="J414" s="42"/>
      <c r="K414" s="42"/>
      <c r="L414" s="42"/>
      <c r="M414" s="42"/>
      <c r="N414" s="42"/>
      <c r="O414" s="42"/>
      <c r="P414" s="42"/>
      <c r="Q414" s="42"/>
      <c r="R414" s="42"/>
      <c r="S414" s="42"/>
      <c r="T414" s="42"/>
      <c r="U414" s="42"/>
      <c r="V414" s="42"/>
      <c r="W414" s="42"/>
      <c r="X414" s="42"/>
      <c r="Y414" s="42"/>
      <c r="Z414" s="42"/>
      <c r="AA414" s="42"/>
      <c r="AB414" s="42"/>
      <c r="AC414" s="42"/>
      <c r="AD414" s="42"/>
      <c r="AE414" s="42"/>
      <c r="AF414" s="42"/>
      <c r="AG414" s="3"/>
      <c r="AH414" s="3"/>
    </row>
    <row r="415" spans="1:34" x14ac:dyDescent="0.25">
      <c r="A415" s="15"/>
      <c r="B415" s="42"/>
      <c r="C415" s="42"/>
      <c r="D415" s="42"/>
      <c r="E415" s="42"/>
      <c r="F415" s="42"/>
      <c r="G415" s="42"/>
      <c r="H415" s="42"/>
      <c r="I415" s="42"/>
      <c r="J415" s="42"/>
      <c r="K415" s="42"/>
      <c r="L415" s="42"/>
      <c r="M415" s="42"/>
      <c r="N415" s="42"/>
      <c r="O415" s="42"/>
      <c r="P415" s="42"/>
      <c r="Q415" s="42"/>
      <c r="R415" s="42"/>
      <c r="S415" s="42"/>
      <c r="T415" s="42"/>
      <c r="U415" s="42"/>
      <c r="V415" s="42"/>
      <c r="W415" s="42"/>
      <c r="X415" s="42"/>
      <c r="Y415" s="42"/>
      <c r="Z415" s="42"/>
      <c r="AA415" s="42"/>
      <c r="AB415" s="42"/>
      <c r="AC415" s="42"/>
      <c r="AD415" s="42"/>
      <c r="AE415" s="42"/>
      <c r="AF415" s="42"/>
      <c r="AG415" s="3"/>
      <c r="AH415" s="3"/>
    </row>
    <row r="416" spans="1:34" x14ac:dyDescent="0.25">
      <c r="A416" s="15"/>
      <c r="B416" s="42"/>
      <c r="C416" s="42"/>
      <c r="D416" s="42"/>
      <c r="E416" s="42"/>
      <c r="F416" s="42"/>
      <c r="G416" s="42"/>
      <c r="H416" s="42"/>
      <c r="I416" s="42"/>
      <c r="J416" s="42"/>
      <c r="K416" s="42"/>
      <c r="L416" s="42"/>
      <c r="M416" s="42"/>
      <c r="N416" s="42"/>
      <c r="O416" s="42"/>
      <c r="P416" s="42"/>
      <c r="Q416" s="42"/>
      <c r="R416" s="42"/>
      <c r="S416" s="42"/>
      <c r="T416" s="42"/>
      <c r="U416" s="42"/>
      <c r="V416" s="42"/>
      <c r="W416" s="42"/>
      <c r="X416" s="42"/>
      <c r="Y416" s="42"/>
      <c r="Z416" s="42"/>
      <c r="AA416" s="42"/>
      <c r="AB416" s="42"/>
      <c r="AC416" s="42"/>
      <c r="AD416" s="42"/>
      <c r="AE416" s="42"/>
      <c r="AF416" s="42"/>
      <c r="AG416" s="3"/>
      <c r="AH416" s="3"/>
    </row>
    <row r="417" spans="1:34" x14ac:dyDescent="0.25">
      <c r="A417" s="15"/>
      <c r="B417" s="42"/>
      <c r="C417" s="42"/>
      <c r="D417" s="42"/>
      <c r="E417" s="42"/>
      <c r="F417" s="42"/>
      <c r="G417" s="42"/>
      <c r="H417" s="42"/>
      <c r="I417" s="42"/>
      <c r="J417" s="42"/>
      <c r="K417" s="42"/>
      <c r="L417" s="42"/>
      <c r="M417" s="42"/>
      <c r="N417" s="42"/>
      <c r="O417" s="42"/>
      <c r="P417" s="42"/>
      <c r="Q417" s="42"/>
      <c r="R417" s="42"/>
      <c r="S417" s="42"/>
      <c r="T417" s="42"/>
      <c r="U417" s="42"/>
      <c r="V417" s="42"/>
      <c r="W417" s="42"/>
      <c r="X417" s="42"/>
      <c r="Y417" s="42"/>
      <c r="Z417" s="42"/>
      <c r="AA417" s="42"/>
      <c r="AB417" s="42"/>
      <c r="AC417" s="42"/>
      <c r="AD417" s="42"/>
      <c r="AE417" s="42"/>
      <c r="AF417" s="42"/>
      <c r="AG417" s="3"/>
      <c r="AH417" s="3"/>
    </row>
    <row r="418" spans="1:34" x14ac:dyDescent="0.25">
      <c r="A418" s="15"/>
      <c r="B418" s="42"/>
      <c r="C418" s="42"/>
      <c r="D418" s="42"/>
      <c r="E418" s="42"/>
      <c r="F418" s="42"/>
      <c r="G418" s="42"/>
      <c r="H418" s="42"/>
      <c r="I418" s="42"/>
      <c r="J418" s="42"/>
      <c r="K418" s="42"/>
      <c r="L418" s="42"/>
      <c r="M418" s="42"/>
      <c r="N418" s="42"/>
      <c r="O418" s="42"/>
      <c r="P418" s="42"/>
      <c r="Q418" s="42"/>
      <c r="R418" s="42"/>
      <c r="S418" s="42"/>
      <c r="T418" s="42"/>
      <c r="U418" s="42"/>
      <c r="V418" s="42"/>
      <c r="W418" s="42"/>
      <c r="X418" s="42"/>
      <c r="Y418" s="42"/>
      <c r="Z418" s="42"/>
      <c r="AA418" s="42"/>
      <c r="AB418" s="42"/>
      <c r="AC418" s="42"/>
      <c r="AD418" s="42"/>
      <c r="AE418" s="42"/>
      <c r="AF418" s="42"/>
      <c r="AG418" s="3"/>
      <c r="AH418" s="3"/>
    </row>
    <row r="419" spans="1:34" x14ac:dyDescent="0.25">
      <c r="A419" s="15"/>
      <c r="B419" s="42"/>
      <c r="C419" s="42"/>
      <c r="D419" s="42"/>
      <c r="E419" s="42"/>
      <c r="F419" s="42"/>
      <c r="G419" s="42"/>
      <c r="H419" s="42"/>
      <c r="I419" s="42"/>
      <c r="J419" s="42"/>
      <c r="K419" s="42"/>
      <c r="L419" s="42"/>
      <c r="M419" s="42"/>
      <c r="N419" s="42"/>
      <c r="O419" s="42"/>
      <c r="P419" s="42"/>
      <c r="Q419" s="42"/>
      <c r="R419" s="42"/>
      <c r="S419" s="42"/>
      <c r="T419" s="42"/>
      <c r="U419" s="42"/>
      <c r="V419" s="42"/>
      <c r="W419" s="42"/>
      <c r="X419" s="42"/>
      <c r="Y419" s="42"/>
      <c r="Z419" s="42"/>
      <c r="AA419" s="42"/>
      <c r="AB419" s="42"/>
      <c r="AC419" s="42"/>
      <c r="AD419" s="42"/>
      <c r="AE419" s="42"/>
      <c r="AF419" s="42"/>
      <c r="AG419" s="3"/>
      <c r="AH419" s="3"/>
    </row>
    <row r="420" spans="1:34" x14ac:dyDescent="0.25">
      <c r="A420" s="15"/>
      <c r="B420" s="42"/>
      <c r="C420" s="42"/>
      <c r="D420" s="42"/>
      <c r="E420" s="42"/>
      <c r="F420" s="42"/>
      <c r="G420" s="42"/>
      <c r="H420" s="42"/>
      <c r="I420" s="42"/>
      <c r="J420" s="42"/>
      <c r="K420" s="42"/>
      <c r="L420" s="42"/>
      <c r="M420" s="42"/>
      <c r="N420" s="42"/>
      <c r="O420" s="42"/>
      <c r="P420" s="42"/>
      <c r="Q420" s="42"/>
      <c r="R420" s="42"/>
      <c r="S420" s="42"/>
      <c r="T420" s="42"/>
      <c r="U420" s="42"/>
      <c r="V420" s="42"/>
      <c r="W420" s="42"/>
      <c r="X420" s="42"/>
      <c r="Y420" s="42"/>
      <c r="Z420" s="42"/>
      <c r="AA420" s="42"/>
      <c r="AB420" s="42"/>
      <c r="AC420" s="42"/>
      <c r="AD420" s="42"/>
      <c r="AE420" s="42"/>
      <c r="AF420" s="42"/>
      <c r="AG420" s="3"/>
      <c r="AH420" s="3"/>
    </row>
    <row r="421" spans="1:34" x14ac:dyDescent="0.25">
      <c r="A421" s="15"/>
      <c r="B421" s="42"/>
      <c r="C421" s="42"/>
      <c r="D421" s="42"/>
      <c r="E421" s="42"/>
      <c r="F421" s="42"/>
      <c r="G421" s="42"/>
      <c r="H421" s="42"/>
      <c r="I421" s="42"/>
      <c r="J421" s="42"/>
      <c r="K421" s="42"/>
      <c r="L421" s="42"/>
      <c r="M421" s="42"/>
      <c r="N421" s="42"/>
      <c r="O421" s="42"/>
      <c r="P421" s="42"/>
      <c r="Q421" s="42"/>
      <c r="R421" s="42"/>
      <c r="S421" s="42"/>
      <c r="T421" s="42"/>
      <c r="U421" s="42"/>
      <c r="V421" s="42"/>
      <c r="W421" s="42"/>
      <c r="X421" s="42"/>
      <c r="Y421" s="42"/>
      <c r="Z421" s="42"/>
      <c r="AA421" s="42"/>
      <c r="AB421" s="42"/>
      <c r="AC421" s="42"/>
      <c r="AD421" s="42"/>
      <c r="AE421" s="42"/>
      <c r="AF421" s="42"/>
      <c r="AG421" s="3"/>
      <c r="AH421" s="3"/>
    </row>
    <row r="422" spans="1:34" x14ac:dyDescent="0.25">
      <c r="A422" s="15"/>
      <c r="B422" s="42"/>
      <c r="C422" s="42"/>
      <c r="D422" s="42"/>
      <c r="E422" s="42"/>
      <c r="F422" s="42"/>
      <c r="G422" s="42"/>
      <c r="H422" s="42"/>
      <c r="I422" s="42"/>
      <c r="J422" s="42"/>
      <c r="K422" s="42"/>
      <c r="L422" s="42"/>
      <c r="M422" s="42"/>
      <c r="N422" s="42"/>
      <c r="O422" s="42"/>
      <c r="P422" s="42"/>
      <c r="Q422" s="42"/>
      <c r="R422" s="42"/>
      <c r="S422" s="42"/>
      <c r="T422" s="42"/>
      <c r="U422" s="42"/>
      <c r="V422" s="42"/>
      <c r="W422" s="42"/>
      <c r="X422" s="42"/>
      <c r="Y422" s="42"/>
      <c r="Z422" s="42"/>
      <c r="AA422" s="42"/>
      <c r="AB422" s="42"/>
      <c r="AC422" s="42"/>
      <c r="AD422" s="42"/>
      <c r="AE422" s="42"/>
      <c r="AF422" s="42"/>
      <c r="AG422" s="3"/>
      <c r="AH422" s="3"/>
    </row>
    <row r="423" spans="1:34" x14ac:dyDescent="0.25">
      <c r="A423" s="15"/>
      <c r="B423" s="42"/>
      <c r="C423" s="42"/>
      <c r="D423" s="42"/>
      <c r="E423" s="42"/>
      <c r="F423" s="42"/>
      <c r="G423" s="42"/>
      <c r="H423" s="42"/>
      <c r="I423" s="42"/>
      <c r="J423" s="42"/>
      <c r="K423" s="42"/>
      <c r="L423" s="42"/>
      <c r="M423" s="42"/>
      <c r="N423" s="42"/>
      <c r="O423" s="42"/>
      <c r="P423" s="42"/>
      <c r="Q423" s="42"/>
      <c r="R423" s="42"/>
      <c r="S423" s="42"/>
      <c r="T423" s="42"/>
      <c r="U423" s="42"/>
      <c r="V423" s="42"/>
      <c r="W423" s="42"/>
      <c r="X423" s="42"/>
      <c r="Y423" s="42"/>
      <c r="Z423" s="42"/>
      <c r="AA423" s="42"/>
      <c r="AB423" s="42"/>
      <c r="AC423" s="42"/>
      <c r="AD423" s="42"/>
      <c r="AE423" s="42"/>
      <c r="AF423" s="42"/>
      <c r="AG423" s="3"/>
      <c r="AH423" s="3"/>
    </row>
    <row r="424" spans="1:34" x14ac:dyDescent="0.25">
      <c r="A424" s="15"/>
      <c r="B424" s="42"/>
      <c r="C424" s="42"/>
      <c r="D424" s="42"/>
      <c r="E424" s="42"/>
      <c r="F424" s="42"/>
      <c r="G424" s="42"/>
      <c r="H424" s="42"/>
      <c r="I424" s="42"/>
      <c r="J424" s="42"/>
      <c r="K424" s="42"/>
      <c r="L424" s="42"/>
      <c r="M424" s="42"/>
      <c r="N424" s="42"/>
      <c r="O424" s="42"/>
      <c r="P424" s="42"/>
      <c r="Q424" s="42"/>
      <c r="R424" s="42"/>
      <c r="S424" s="42"/>
      <c r="T424" s="42"/>
      <c r="U424" s="42"/>
      <c r="V424" s="42"/>
      <c r="W424" s="42"/>
      <c r="X424" s="42"/>
      <c r="Y424" s="42"/>
      <c r="Z424" s="42"/>
      <c r="AA424" s="42"/>
      <c r="AB424" s="42"/>
      <c r="AC424" s="42"/>
      <c r="AD424" s="42"/>
      <c r="AE424" s="42"/>
      <c r="AF424" s="42"/>
      <c r="AG424" s="3"/>
      <c r="AH424" s="3"/>
    </row>
    <row r="425" spans="1:34" x14ac:dyDescent="0.25">
      <c r="A425" s="15"/>
      <c r="B425" s="42"/>
      <c r="C425" s="42"/>
      <c r="D425" s="42"/>
      <c r="E425" s="42"/>
      <c r="F425" s="42"/>
      <c r="G425" s="42"/>
      <c r="H425" s="42"/>
      <c r="I425" s="42"/>
      <c r="J425" s="42"/>
      <c r="K425" s="42"/>
      <c r="L425" s="42"/>
      <c r="M425" s="42"/>
      <c r="N425" s="42"/>
      <c r="O425" s="42"/>
      <c r="P425" s="42"/>
      <c r="Q425" s="42"/>
      <c r="R425" s="42"/>
      <c r="S425" s="42"/>
      <c r="T425" s="42"/>
      <c r="U425" s="42"/>
      <c r="V425" s="42"/>
      <c r="W425" s="42"/>
      <c r="X425" s="42"/>
      <c r="Y425" s="42"/>
      <c r="Z425" s="42"/>
      <c r="AA425" s="42"/>
      <c r="AB425" s="42"/>
      <c r="AC425" s="42"/>
      <c r="AD425" s="42"/>
      <c r="AE425" s="42"/>
      <c r="AF425" s="42"/>
      <c r="AG425" s="3"/>
      <c r="AH425" s="3"/>
    </row>
    <row r="426" spans="1:34" x14ac:dyDescent="0.25">
      <c r="A426" s="15"/>
      <c r="B426" s="42"/>
      <c r="C426" s="42"/>
      <c r="D426" s="42"/>
      <c r="E426" s="42"/>
      <c r="F426" s="42"/>
      <c r="G426" s="42"/>
      <c r="H426" s="42"/>
      <c r="I426" s="42"/>
      <c r="J426" s="42"/>
      <c r="K426" s="42"/>
      <c r="L426" s="42"/>
      <c r="M426" s="42"/>
      <c r="N426" s="42"/>
      <c r="O426" s="42"/>
      <c r="P426" s="42"/>
      <c r="Q426" s="42"/>
      <c r="R426" s="42"/>
      <c r="S426" s="42"/>
      <c r="T426" s="42"/>
      <c r="U426" s="42"/>
      <c r="V426" s="42"/>
      <c r="W426" s="42"/>
      <c r="X426" s="42"/>
      <c r="Y426" s="42"/>
      <c r="Z426" s="42"/>
      <c r="AA426" s="42"/>
      <c r="AB426" s="42"/>
      <c r="AC426" s="42"/>
      <c r="AD426" s="42"/>
      <c r="AE426" s="42"/>
      <c r="AF426" s="42"/>
      <c r="AG426" s="3"/>
      <c r="AH426" s="3"/>
    </row>
    <row r="427" spans="1:34" x14ac:dyDescent="0.25">
      <c r="A427" s="15"/>
      <c r="B427" s="42"/>
      <c r="C427" s="42"/>
      <c r="D427" s="42"/>
      <c r="E427" s="42"/>
      <c r="F427" s="42"/>
      <c r="G427" s="42"/>
      <c r="H427" s="42"/>
      <c r="I427" s="42"/>
      <c r="J427" s="42"/>
      <c r="K427" s="42"/>
      <c r="L427" s="42"/>
      <c r="M427" s="42"/>
      <c r="N427" s="42"/>
      <c r="O427" s="42"/>
      <c r="P427" s="42"/>
      <c r="Q427" s="42"/>
      <c r="R427" s="42"/>
      <c r="S427" s="42"/>
      <c r="T427" s="42"/>
      <c r="U427" s="42"/>
      <c r="V427" s="42"/>
      <c r="W427" s="42"/>
      <c r="X427" s="42"/>
      <c r="Y427" s="42"/>
      <c r="Z427" s="42"/>
      <c r="AA427" s="42"/>
      <c r="AB427" s="42"/>
      <c r="AC427" s="42"/>
      <c r="AD427" s="42"/>
      <c r="AE427" s="42"/>
      <c r="AF427" s="42"/>
      <c r="AG427" s="3"/>
      <c r="AH427" s="3"/>
    </row>
    <row r="428" spans="1:34" x14ac:dyDescent="0.25">
      <c r="A428" s="15"/>
      <c r="B428" s="42"/>
      <c r="C428" s="42"/>
      <c r="D428" s="42"/>
      <c r="E428" s="42"/>
      <c r="F428" s="42"/>
      <c r="G428" s="42"/>
      <c r="H428" s="42"/>
      <c r="I428" s="42"/>
      <c r="J428" s="42"/>
      <c r="K428" s="42"/>
      <c r="L428" s="42"/>
      <c r="M428" s="42"/>
      <c r="N428" s="42"/>
      <c r="O428" s="42"/>
      <c r="P428" s="42"/>
      <c r="Q428" s="42"/>
      <c r="R428" s="42"/>
      <c r="S428" s="42"/>
      <c r="T428" s="42"/>
      <c r="U428" s="42"/>
      <c r="V428" s="42"/>
      <c r="W428" s="42"/>
      <c r="X428" s="42"/>
      <c r="Y428" s="42"/>
      <c r="Z428" s="42"/>
      <c r="AA428" s="42"/>
      <c r="AB428" s="42"/>
      <c r="AC428" s="42"/>
      <c r="AD428" s="42"/>
      <c r="AE428" s="42"/>
      <c r="AF428" s="42"/>
      <c r="AG428" s="3"/>
      <c r="AH428" s="3"/>
    </row>
    <row r="429" spans="1:34" x14ac:dyDescent="0.25">
      <c r="A429" s="15"/>
      <c r="B429" s="42"/>
      <c r="C429" s="42"/>
      <c r="D429" s="42"/>
      <c r="E429" s="42"/>
      <c r="F429" s="42"/>
      <c r="G429" s="42"/>
      <c r="H429" s="42"/>
      <c r="I429" s="42"/>
      <c r="J429" s="42"/>
      <c r="K429" s="42"/>
      <c r="L429" s="42"/>
      <c r="M429" s="42"/>
      <c r="N429" s="42"/>
      <c r="O429" s="42"/>
      <c r="P429" s="42"/>
      <c r="Q429" s="42"/>
      <c r="R429" s="42"/>
      <c r="S429" s="42"/>
      <c r="T429" s="42"/>
      <c r="U429" s="42"/>
      <c r="V429" s="42"/>
      <c r="W429" s="42"/>
      <c r="X429" s="42"/>
      <c r="Y429" s="42"/>
      <c r="Z429" s="42"/>
      <c r="AA429" s="42"/>
      <c r="AB429" s="42"/>
      <c r="AC429" s="42"/>
      <c r="AD429" s="42"/>
      <c r="AE429" s="42"/>
      <c r="AF429" s="42"/>
      <c r="AG429" s="3"/>
      <c r="AH429" s="3"/>
    </row>
    <row r="430" spans="1:34" x14ac:dyDescent="0.25">
      <c r="A430" s="15"/>
      <c r="B430" s="42"/>
      <c r="C430" s="42"/>
      <c r="D430" s="42"/>
      <c r="E430" s="42"/>
      <c r="F430" s="42"/>
      <c r="G430" s="42"/>
      <c r="H430" s="42"/>
      <c r="I430" s="42"/>
      <c r="J430" s="42"/>
      <c r="K430" s="42"/>
      <c r="L430" s="42"/>
      <c r="M430" s="42"/>
      <c r="N430" s="42"/>
      <c r="O430" s="42"/>
      <c r="P430" s="42"/>
      <c r="Q430" s="42"/>
      <c r="R430" s="42"/>
      <c r="S430" s="42"/>
      <c r="T430" s="42"/>
      <c r="U430" s="42"/>
      <c r="V430" s="42"/>
      <c r="W430" s="42"/>
      <c r="X430" s="42"/>
      <c r="Y430" s="42"/>
      <c r="Z430" s="42"/>
      <c r="AA430" s="42"/>
      <c r="AB430" s="42"/>
      <c r="AC430" s="42"/>
      <c r="AD430" s="42"/>
      <c r="AE430" s="42"/>
      <c r="AF430" s="42"/>
      <c r="AG430" s="3"/>
      <c r="AH430" s="3"/>
    </row>
    <row r="431" spans="1:34" x14ac:dyDescent="0.25">
      <c r="A431" s="15"/>
      <c r="B431" s="42"/>
      <c r="C431" s="42"/>
      <c r="D431" s="42"/>
      <c r="E431" s="42"/>
      <c r="F431" s="42"/>
      <c r="G431" s="42"/>
      <c r="H431" s="42"/>
      <c r="I431" s="42"/>
      <c r="J431" s="42"/>
      <c r="K431" s="42"/>
      <c r="L431" s="42"/>
      <c r="M431" s="42"/>
      <c r="N431" s="42"/>
      <c r="O431" s="42"/>
      <c r="P431" s="42"/>
      <c r="Q431" s="42"/>
      <c r="R431" s="42"/>
      <c r="S431" s="42"/>
      <c r="T431" s="42"/>
      <c r="U431" s="42"/>
      <c r="V431" s="42"/>
      <c r="W431" s="42"/>
      <c r="X431" s="42"/>
      <c r="Y431" s="42"/>
      <c r="Z431" s="42"/>
      <c r="AA431" s="42"/>
      <c r="AB431" s="42"/>
      <c r="AC431" s="42"/>
      <c r="AD431" s="42"/>
      <c r="AE431" s="42"/>
      <c r="AF431" s="42"/>
      <c r="AG431" s="3"/>
      <c r="AH431" s="3"/>
    </row>
    <row r="432" spans="1:34" x14ac:dyDescent="0.25">
      <c r="A432" s="15"/>
      <c r="B432" s="42"/>
      <c r="C432" s="42"/>
      <c r="D432" s="42"/>
      <c r="E432" s="42"/>
      <c r="F432" s="42"/>
      <c r="G432" s="42"/>
      <c r="H432" s="42"/>
      <c r="I432" s="42"/>
      <c r="J432" s="42"/>
      <c r="K432" s="42"/>
      <c r="L432" s="42"/>
      <c r="M432" s="42"/>
      <c r="N432" s="42"/>
      <c r="O432" s="42"/>
      <c r="P432" s="42"/>
      <c r="Q432" s="42"/>
      <c r="R432" s="42"/>
      <c r="S432" s="42"/>
      <c r="T432" s="42"/>
      <c r="U432" s="42"/>
      <c r="V432" s="42"/>
      <c r="W432" s="42"/>
      <c r="X432" s="42"/>
      <c r="Y432" s="42"/>
      <c r="Z432" s="42"/>
      <c r="AA432" s="42"/>
      <c r="AB432" s="42"/>
      <c r="AC432" s="42"/>
      <c r="AD432" s="42"/>
      <c r="AE432" s="42"/>
      <c r="AF432" s="42"/>
      <c r="AG432" s="3"/>
      <c r="AH432" s="3"/>
    </row>
    <row r="433" spans="1:34" x14ac:dyDescent="0.25">
      <c r="A433" s="15"/>
      <c r="B433" s="42"/>
      <c r="C433" s="42"/>
      <c r="D433" s="42"/>
      <c r="E433" s="42"/>
      <c r="F433" s="42"/>
      <c r="G433" s="42"/>
      <c r="H433" s="42"/>
      <c r="I433" s="42"/>
      <c r="J433" s="42"/>
      <c r="K433" s="42"/>
      <c r="L433" s="42"/>
      <c r="M433" s="42"/>
      <c r="N433" s="42"/>
      <c r="O433" s="42"/>
      <c r="P433" s="42"/>
      <c r="Q433" s="42"/>
      <c r="R433" s="42"/>
      <c r="S433" s="42"/>
      <c r="T433" s="42"/>
      <c r="U433" s="42"/>
      <c r="V433" s="42"/>
      <c r="W433" s="42"/>
      <c r="X433" s="42"/>
      <c r="Y433" s="42"/>
      <c r="Z433" s="42"/>
      <c r="AA433" s="42"/>
      <c r="AB433" s="42"/>
      <c r="AC433" s="42"/>
      <c r="AD433" s="42"/>
      <c r="AE433" s="42"/>
      <c r="AF433" s="42"/>
      <c r="AG433" s="3"/>
      <c r="AH433" s="3"/>
    </row>
    <row r="434" spans="1:34" x14ac:dyDescent="0.25">
      <c r="A434" s="15"/>
      <c r="B434" s="42"/>
      <c r="C434" s="42"/>
      <c r="D434" s="42"/>
      <c r="E434" s="42"/>
      <c r="F434" s="42"/>
      <c r="G434" s="42"/>
      <c r="H434" s="42"/>
      <c r="I434" s="42"/>
      <c r="J434" s="42"/>
      <c r="K434" s="42"/>
      <c r="L434" s="42"/>
      <c r="M434" s="42"/>
      <c r="N434" s="42"/>
      <c r="O434" s="42"/>
      <c r="P434" s="42"/>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1"/>
      <c r="B436" s="74"/>
      <c r="C436" s="74"/>
      <c r="D436" s="74"/>
      <c r="E436" s="74"/>
      <c r="F436" s="74"/>
      <c r="G436" s="74"/>
      <c r="H436" s="74"/>
      <c r="I436" s="74"/>
      <c r="J436" s="74"/>
      <c r="K436" s="74"/>
      <c r="L436" s="74"/>
      <c r="M436" s="74"/>
      <c r="N436" s="74"/>
      <c r="O436" s="74"/>
      <c r="P436" s="74"/>
      <c r="Q436" s="74"/>
      <c r="R436" s="74"/>
      <c r="S436" s="74"/>
      <c r="T436" s="74"/>
      <c r="U436" s="74"/>
      <c r="V436" s="74"/>
      <c r="W436" s="74"/>
      <c r="X436" s="74"/>
      <c r="Y436" s="74"/>
      <c r="Z436" s="74"/>
      <c r="AA436" s="74"/>
      <c r="AB436" s="74"/>
      <c r="AC436" s="74"/>
      <c r="AD436" s="74"/>
      <c r="AE436" s="74"/>
      <c r="AF436" s="74"/>
    </row>
    <row r="437" spans="1:34" x14ac:dyDescent="0.25">
      <c r="A437" s="15"/>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3"/>
      <c r="AH437" s="3"/>
    </row>
    <row r="438" spans="1:34" x14ac:dyDescent="0.25">
      <c r="A438" s="93"/>
      <c r="B438" s="73"/>
      <c r="C438" s="73"/>
      <c r="D438" s="73"/>
      <c r="E438" s="73"/>
      <c r="F438" s="73"/>
      <c r="G438" s="73"/>
      <c r="H438" s="73"/>
      <c r="I438" s="73"/>
      <c r="J438" s="73"/>
      <c r="K438" s="73"/>
      <c r="L438" s="73"/>
      <c r="M438" s="73"/>
      <c r="N438" s="73"/>
      <c r="O438" s="73"/>
      <c r="P438" s="73"/>
      <c r="Q438" s="73"/>
      <c r="R438" s="73"/>
      <c r="S438" s="73"/>
      <c r="T438" s="73"/>
      <c r="U438" s="73"/>
      <c r="V438" s="73"/>
      <c r="W438" s="73"/>
      <c r="X438" s="73"/>
      <c r="Y438" s="73"/>
      <c r="Z438" s="73"/>
      <c r="AA438" s="73"/>
      <c r="AB438" s="73"/>
      <c r="AC438" s="73"/>
      <c r="AD438" s="73"/>
      <c r="AE438" s="73"/>
      <c r="AF438" s="73"/>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8"/>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8"/>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8"/>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8"/>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1"/>
      <c r="B475" s="74"/>
      <c r="C475" s="74"/>
      <c r="D475" s="74"/>
      <c r="E475" s="74"/>
      <c r="F475" s="74"/>
      <c r="G475" s="74"/>
      <c r="H475" s="74"/>
      <c r="I475" s="74"/>
      <c r="J475" s="74"/>
      <c r="K475" s="74"/>
      <c r="L475" s="74"/>
      <c r="M475" s="74"/>
      <c r="N475" s="74"/>
      <c r="O475" s="74"/>
      <c r="P475" s="74"/>
      <c r="Q475" s="74"/>
      <c r="R475" s="74"/>
      <c r="S475" s="74"/>
      <c r="T475" s="74"/>
      <c r="U475" s="74"/>
      <c r="V475" s="74"/>
      <c r="W475" s="74"/>
      <c r="X475" s="74"/>
      <c r="Y475" s="74"/>
      <c r="Z475" s="74"/>
      <c r="AA475" s="74"/>
      <c r="AB475" s="74"/>
      <c r="AC475" s="74"/>
      <c r="AD475" s="74"/>
      <c r="AE475" s="74"/>
      <c r="AF475" s="74"/>
    </row>
    <row r="476" spans="1:34" x14ac:dyDescent="0.25">
      <c r="A476" s="15"/>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3"/>
      <c r="AH476" s="3"/>
    </row>
    <row r="477" spans="1:34" x14ac:dyDescent="0.25">
      <c r="A477" s="93"/>
      <c r="B477" s="73"/>
      <c r="C477" s="73"/>
      <c r="D477" s="73"/>
      <c r="E477" s="73"/>
      <c r="F477" s="73"/>
      <c r="G477" s="73"/>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8"/>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8"/>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8"/>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8"/>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1"/>
      <c r="B514" s="74"/>
      <c r="C514" s="74"/>
      <c r="D514" s="74"/>
      <c r="E514" s="74"/>
      <c r="F514" s="74"/>
      <c r="G514" s="74"/>
      <c r="H514" s="74"/>
      <c r="I514" s="74"/>
      <c r="J514" s="74"/>
      <c r="K514" s="74"/>
      <c r="L514" s="74"/>
      <c r="M514" s="74"/>
      <c r="N514" s="74"/>
      <c r="O514" s="74"/>
      <c r="P514" s="74"/>
      <c r="Q514" s="74"/>
      <c r="R514" s="74"/>
      <c r="S514" s="74"/>
      <c r="T514" s="74"/>
      <c r="U514" s="74"/>
      <c r="V514" s="74"/>
      <c r="W514" s="74"/>
      <c r="X514" s="74"/>
      <c r="Y514" s="74"/>
      <c r="Z514" s="74"/>
      <c r="AA514" s="74"/>
      <c r="AB514" s="74"/>
      <c r="AC514" s="74"/>
      <c r="AD514" s="74"/>
      <c r="AE514" s="74"/>
      <c r="AF514" s="74"/>
    </row>
    <row r="515" spans="1:34" x14ac:dyDescent="0.25">
      <c r="A515" s="15"/>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3"/>
      <c r="AH515" s="3"/>
    </row>
    <row r="516" spans="1:34" x14ac:dyDescent="0.25">
      <c r="A516" s="93"/>
      <c r="B516" s="73"/>
      <c r="C516" s="73"/>
      <c r="D516" s="73"/>
      <c r="E516" s="73"/>
      <c r="F516" s="73"/>
      <c r="G516" s="73"/>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73"/>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06"/>
      <c r="B532" s="106"/>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07"/>
      <c r="B534" s="107"/>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8"/>
      <c r="C539" s="15"/>
      <c r="D539" s="88"/>
      <c r="E539" s="88"/>
      <c r="F539" s="88"/>
      <c r="G539" s="88"/>
      <c r="H539" s="88"/>
      <c r="I539" s="88"/>
      <c r="J539" s="88"/>
      <c r="K539" s="88"/>
      <c r="L539" s="88"/>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7"/>
      <c r="D550" s="15"/>
      <c r="E550" s="94"/>
      <c r="F550" s="94"/>
      <c r="G550" s="94"/>
      <c r="H550" s="94"/>
      <c r="I550" s="94"/>
      <c r="J550" s="94"/>
      <c r="K550" s="94"/>
      <c r="L550" s="94"/>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2">AF570+10</f>
        <v>10</v>
      </c>
      <c r="AH570" s="11">
        <f t="shared" si="432"/>
        <v>20</v>
      </c>
      <c r="AI570" s="11">
        <f t="shared" si="432"/>
        <v>30</v>
      </c>
      <c r="AJ570" s="11">
        <f t="shared" si="432"/>
        <v>40</v>
      </c>
      <c r="AK570" s="11">
        <f t="shared" si="432"/>
        <v>50</v>
      </c>
      <c r="AL570" s="11">
        <f t="shared" si="432"/>
        <v>60</v>
      </c>
      <c r="AM570" s="11">
        <f t="shared" si="432"/>
        <v>70</v>
      </c>
      <c r="AN570" s="11">
        <f t="shared" si="432"/>
        <v>80</v>
      </c>
      <c r="AO570" s="11">
        <f t="shared" si="432"/>
        <v>90</v>
      </c>
      <c r="AP570" s="11">
        <f t="shared" si="432"/>
        <v>100</v>
      </c>
      <c r="AQ570" s="11">
        <f t="shared" si="432"/>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3">AG570-$B$521</f>
        <v>10</v>
      </c>
      <c r="AH571" s="40">
        <f t="shared" si="433"/>
        <v>20</v>
      </c>
      <c r="AI571" s="40">
        <f t="shared" si="433"/>
        <v>30</v>
      </c>
      <c r="AJ571" s="40">
        <f t="shared" si="433"/>
        <v>40</v>
      </c>
      <c r="AK571" s="40">
        <f t="shared" si="433"/>
        <v>50</v>
      </c>
      <c r="AL571" s="40">
        <f t="shared" si="433"/>
        <v>60</v>
      </c>
      <c r="AM571" s="40">
        <f t="shared" si="433"/>
        <v>70</v>
      </c>
      <c r="AN571" s="40">
        <f t="shared" si="433"/>
        <v>80</v>
      </c>
      <c r="AO571" s="40">
        <f t="shared" si="433"/>
        <v>90</v>
      </c>
      <c r="AP571" s="40">
        <f t="shared" si="433"/>
        <v>100</v>
      </c>
      <c r="AQ571" s="40">
        <f t="shared" si="433"/>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4">$B572*AG$571^$A572</f>
        <v>0</v>
      </c>
      <c r="AH572" s="41">
        <f t="shared" si="434"/>
        <v>0</v>
      </c>
      <c r="AI572" s="41">
        <f t="shared" si="434"/>
        <v>0</v>
      </c>
      <c r="AJ572" s="41">
        <f t="shared" si="434"/>
        <v>0</v>
      </c>
      <c r="AK572" s="41">
        <f t="shared" si="434"/>
        <v>0</v>
      </c>
      <c r="AL572" s="41">
        <f t="shared" si="434"/>
        <v>0</v>
      </c>
      <c r="AM572" s="41">
        <f t="shared" si="434"/>
        <v>0</v>
      </c>
      <c r="AN572" s="41">
        <f t="shared" si="434"/>
        <v>0</v>
      </c>
      <c r="AO572" s="41">
        <f t="shared" si="434"/>
        <v>0</v>
      </c>
      <c r="AP572" s="41">
        <f t="shared" si="434"/>
        <v>0</v>
      </c>
      <c r="AQ572" s="41">
        <f t="shared" si="434"/>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4"/>
        <v>0</v>
      </c>
      <c r="AH573" s="41">
        <f t="shared" si="434"/>
        <v>0</v>
      </c>
      <c r="AI573" s="41">
        <f t="shared" si="434"/>
        <v>0</v>
      </c>
      <c r="AJ573" s="41">
        <f t="shared" si="434"/>
        <v>0</v>
      </c>
      <c r="AK573" s="41">
        <f t="shared" si="434"/>
        <v>0</v>
      </c>
      <c r="AL573" s="41">
        <f t="shared" si="434"/>
        <v>0</v>
      </c>
      <c r="AM573" s="41">
        <f t="shared" si="434"/>
        <v>0</v>
      </c>
      <c r="AN573" s="41">
        <f t="shared" si="434"/>
        <v>0</v>
      </c>
      <c r="AO573" s="41">
        <f t="shared" si="434"/>
        <v>0</v>
      </c>
      <c r="AP573" s="41">
        <f t="shared" si="434"/>
        <v>0</v>
      </c>
      <c r="AQ573" s="41">
        <f t="shared" si="434"/>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4"/>
        <v>0</v>
      </c>
      <c r="AH574" s="41">
        <f t="shared" si="434"/>
        <v>0</v>
      </c>
      <c r="AI574" s="41">
        <f t="shared" si="434"/>
        <v>0</v>
      </c>
      <c r="AJ574" s="41">
        <f t="shared" si="434"/>
        <v>0</v>
      </c>
      <c r="AK574" s="41">
        <f t="shared" si="434"/>
        <v>0</v>
      </c>
      <c r="AL574" s="41">
        <f t="shared" si="434"/>
        <v>0</v>
      </c>
      <c r="AM574" s="41">
        <f t="shared" si="434"/>
        <v>0</v>
      </c>
      <c r="AN574" s="41">
        <f t="shared" si="434"/>
        <v>0</v>
      </c>
      <c r="AO574" s="41">
        <f t="shared" si="434"/>
        <v>0</v>
      </c>
      <c r="AP574" s="41">
        <f t="shared" si="434"/>
        <v>0</v>
      </c>
      <c r="AQ574" s="41">
        <f t="shared" si="434"/>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4"/>
        <v>0</v>
      </c>
      <c r="AH575" s="41">
        <f t="shared" si="434"/>
        <v>0</v>
      </c>
      <c r="AI575" s="41">
        <f t="shared" si="434"/>
        <v>0</v>
      </c>
      <c r="AJ575" s="41">
        <f t="shared" si="434"/>
        <v>0</v>
      </c>
      <c r="AK575" s="41">
        <f t="shared" si="434"/>
        <v>0</v>
      </c>
      <c r="AL575" s="41">
        <f t="shared" si="434"/>
        <v>0</v>
      </c>
      <c r="AM575" s="41">
        <f t="shared" si="434"/>
        <v>0</v>
      </c>
      <c r="AN575" s="41">
        <f t="shared" si="434"/>
        <v>0</v>
      </c>
      <c r="AO575" s="41">
        <f t="shared" si="434"/>
        <v>0</v>
      </c>
      <c r="AP575" s="41">
        <f t="shared" si="434"/>
        <v>0</v>
      </c>
      <c r="AQ575" s="41">
        <f t="shared" si="434"/>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4"/>
        <v>0</v>
      </c>
      <c r="AH576" s="41">
        <f t="shared" si="434"/>
        <v>0</v>
      </c>
      <c r="AI576" s="41">
        <f t="shared" si="434"/>
        <v>0</v>
      </c>
      <c r="AJ576" s="41">
        <f t="shared" si="434"/>
        <v>0</v>
      </c>
      <c r="AK576" s="41">
        <f t="shared" si="434"/>
        <v>0</v>
      </c>
      <c r="AL576" s="41">
        <f t="shared" si="434"/>
        <v>0</v>
      </c>
      <c r="AM576" s="41">
        <f t="shared" si="434"/>
        <v>0</v>
      </c>
      <c r="AN576" s="41">
        <f t="shared" si="434"/>
        <v>0</v>
      </c>
      <c r="AO576" s="41">
        <f t="shared" si="434"/>
        <v>0</v>
      </c>
      <c r="AP576" s="41">
        <f t="shared" si="434"/>
        <v>0</v>
      </c>
      <c r="AQ576" s="41">
        <f t="shared" si="434"/>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4"/>
        <v>0</v>
      </c>
      <c r="AH577" s="41">
        <f t="shared" si="434"/>
        <v>0</v>
      </c>
      <c r="AI577" s="41">
        <f t="shared" si="434"/>
        <v>0</v>
      </c>
      <c r="AJ577" s="41">
        <f t="shared" si="434"/>
        <v>0</v>
      </c>
      <c r="AK577" s="41">
        <f t="shared" si="434"/>
        <v>0</v>
      </c>
      <c r="AL577" s="41">
        <f t="shared" si="434"/>
        <v>0</v>
      </c>
      <c r="AM577" s="41">
        <f t="shared" si="434"/>
        <v>0</v>
      </c>
      <c r="AN577" s="41">
        <f t="shared" si="434"/>
        <v>0</v>
      </c>
      <c r="AO577" s="41">
        <f t="shared" si="434"/>
        <v>0</v>
      </c>
      <c r="AP577" s="41">
        <f t="shared" si="434"/>
        <v>0</v>
      </c>
      <c r="AQ577" s="41">
        <f t="shared" si="434"/>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4"/>
        <v>0</v>
      </c>
      <c r="AH578" s="41">
        <f t="shared" si="434"/>
        <v>0</v>
      </c>
      <c r="AI578" s="41">
        <f t="shared" si="434"/>
        <v>0</v>
      </c>
      <c r="AJ578" s="41">
        <f t="shared" si="434"/>
        <v>0</v>
      </c>
      <c r="AK578" s="41">
        <f t="shared" si="434"/>
        <v>0</v>
      </c>
      <c r="AL578" s="41">
        <f t="shared" si="434"/>
        <v>0</v>
      </c>
      <c r="AM578" s="41">
        <f t="shared" si="434"/>
        <v>0</v>
      </c>
      <c r="AN578" s="41">
        <f t="shared" si="434"/>
        <v>0</v>
      </c>
      <c r="AO578" s="41">
        <f t="shared" si="434"/>
        <v>0</v>
      </c>
      <c r="AP578" s="41">
        <f t="shared" si="434"/>
        <v>0</v>
      </c>
      <c r="AQ578" s="41">
        <f t="shared" si="434"/>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4"/>
        <v>0</v>
      </c>
      <c r="AH579" s="41">
        <f t="shared" si="434"/>
        <v>0</v>
      </c>
      <c r="AI579" s="41">
        <f t="shared" si="434"/>
        <v>0</v>
      </c>
      <c r="AJ579" s="41">
        <f t="shared" si="434"/>
        <v>0</v>
      </c>
      <c r="AK579" s="41">
        <f t="shared" si="434"/>
        <v>0</v>
      </c>
      <c r="AL579" s="41">
        <f t="shared" si="434"/>
        <v>0</v>
      </c>
      <c r="AM579" s="41">
        <f t="shared" si="434"/>
        <v>0</v>
      </c>
      <c r="AN579" s="41">
        <f t="shared" si="434"/>
        <v>0</v>
      </c>
      <c r="AO579" s="41">
        <f t="shared" si="434"/>
        <v>0</v>
      </c>
      <c r="AP579" s="41">
        <f t="shared" si="434"/>
        <v>0</v>
      </c>
      <c r="AQ579" s="41">
        <f t="shared" si="434"/>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4"/>
        <v>0</v>
      </c>
      <c r="AH580" s="41">
        <f t="shared" si="434"/>
        <v>0</v>
      </c>
      <c r="AI580" s="41">
        <f t="shared" si="434"/>
        <v>0</v>
      </c>
      <c r="AJ580" s="41">
        <f t="shared" si="434"/>
        <v>0</v>
      </c>
      <c r="AK580" s="41">
        <f t="shared" si="434"/>
        <v>0</v>
      </c>
      <c r="AL580" s="41">
        <f t="shared" si="434"/>
        <v>0</v>
      </c>
      <c r="AM580" s="41">
        <f t="shared" si="434"/>
        <v>0</v>
      </c>
      <c r="AN580" s="41">
        <f t="shared" si="434"/>
        <v>0</v>
      </c>
      <c r="AO580" s="41">
        <f t="shared" si="434"/>
        <v>0</v>
      </c>
      <c r="AP580" s="41">
        <f t="shared" si="434"/>
        <v>0</v>
      </c>
      <c r="AQ580" s="41">
        <f t="shared" si="434"/>
        <v>0</v>
      </c>
      <c r="AR580" s="41"/>
      <c r="AS580" s="41"/>
      <c r="AT580" s="41"/>
      <c r="AU580" s="41"/>
    </row>
    <row r="581" spans="1:47" x14ac:dyDescent="0.25">
      <c r="A581" s="106"/>
      <c r="B581" s="106"/>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5">SUM(AG572:AG580)</f>
        <v>0</v>
      </c>
      <c r="AH581" s="41">
        <f t="shared" si="435"/>
        <v>0</v>
      </c>
      <c r="AI581" s="41">
        <f t="shared" si="435"/>
        <v>0</v>
      </c>
      <c r="AJ581" s="41">
        <f t="shared" si="435"/>
        <v>0</v>
      </c>
      <c r="AK581" s="41">
        <f t="shared" si="435"/>
        <v>0</v>
      </c>
      <c r="AL581" s="41">
        <f t="shared" si="435"/>
        <v>0</v>
      </c>
      <c r="AM581" s="41">
        <f t="shared" si="435"/>
        <v>0</v>
      </c>
      <c r="AN581" s="41">
        <f t="shared" si="435"/>
        <v>0</v>
      </c>
      <c r="AO581" s="41">
        <f t="shared" si="435"/>
        <v>0</v>
      </c>
      <c r="AP581" s="41">
        <f t="shared" si="435"/>
        <v>0</v>
      </c>
      <c r="AQ581" s="41">
        <f t="shared" si="435"/>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6">AF585+10</f>
        <v>10</v>
      </c>
      <c r="AH585" s="11">
        <f t="shared" si="436"/>
        <v>20</v>
      </c>
      <c r="AI585" s="11">
        <f t="shared" si="436"/>
        <v>30</v>
      </c>
      <c r="AJ585" s="11">
        <f t="shared" si="436"/>
        <v>40</v>
      </c>
      <c r="AK585" s="11">
        <f t="shared" si="436"/>
        <v>50</v>
      </c>
      <c r="AL585" s="11">
        <f t="shared" si="436"/>
        <v>60</v>
      </c>
      <c r="AM585" s="11">
        <f t="shared" si="436"/>
        <v>70</v>
      </c>
      <c r="AN585" s="11">
        <f t="shared" si="436"/>
        <v>80</v>
      </c>
      <c r="AO585" s="11">
        <f t="shared" si="436"/>
        <v>90</v>
      </c>
      <c r="AP585" s="11">
        <f t="shared" si="436"/>
        <v>100</v>
      </c>
      <c r="AQ585" s="11">
        <f t="shared" si="436"/>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37">AG585-$B$521</f>
        <v>10</v>
      </c>
      <c r="AH586" s="40">
        <f t="shared" si="437"/>
        <v>20</v>
      </c>
      <c r="AI586" s="40">
        <f t="shared" si="437"/>
        <v>30</v>
      </c>
      <c r="AJ586" s="40">
        <f t="shared" si="437"/>
        <v>40</v>
      </c>
      <c r="AK586" s="40">
        <f t="shared" si="437"/>
        <v>50</v>
      </c>
      <c r="AL586" s="40">
        <f t="shared" si="437"/>
        <v>60</v>
      </c>
      <c r="AM586" s="40">
        <f t="shared" si="437"/>
        <v>70</v>
      </c>
      <c r="AN586" s="40">
        <f t="shared" si="437"/>
        <v>80</v>
      </c>
      <c r="AO586" s="40">
        <f t="shared" si="437"/>
        <v>90</v>
      </c>
      <c r="AP586" s="40">
        <f t="shared" si="437"/>
        <v>100</v>
      </c>
      <c r="AQ586" s="40">
        <f t="shared" si="437"/>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38">$B587*AG$571^$A587</f>
        <v>0</v>
      </c>
      <c r="AH587" s="41">
        <f t="shared" si="438"/>
        <v>0</v>
      </c>
      <c r="AI587" s="41">
        <f t="shared" si="438"/>
        <v>0</v>
      </c>
      <c r="AJ587" s="41">
        <f t="shared" si="438"/>
        <v>0</v>
      </c>
      <c r="AK587" s="41">
        <f t="shared" si="438"/>
        <v>0</v>
      </c>
      <c r="AL587" s="41">
        <f t="shared" si="438"/>
        <v>0</v>
      </c>
      <c r="AM587" s="41">
        <f t="shared" si="438"/>
        <v>0</v>
      </c>
      <c r="AN587" s="41">
        <f t="shared" si="438"/>
        <v>0</v>
      </c>
      <c r="AO587" s="41">
        <f t="shared" si="438"/>
        <v>0</v>
      </c>
      <c r="AP587" s="41">
        <f t="shared" si="438"/>
        <v>0</v>
      </c>
      <c r="AQ587" s="41">
        <f t="shared" si="438"/>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38"/>
        <v>0</v>
      </c>
      <c r="AH588" s="41">
        <f t="shared" si="438"/>
        <v>0</v>
      </c>
      <c r="AI588" s="41">
        <f t="shared" si="438"/>
        <v>0</v>
      </c>
      <c r="AJ588" s="41">
        <f t="shared" si="438"/>
        <v>0</v>
      </c>
      <c r="AK588" s="41">
        <f t="shared" si="438"/>
        <v>0</v>
      </c>
      <c r="AL588" s="41">
        <f t="shared" si="438"/>
        <v>0</v>
      </c>
      <c r="AM588" s="41">
        <f t="shared" si="438"/>
        <v>0</v>
      </c>
      <c r="AN588" s="41">
        <f t="shared" si="438"/>
        <v>0</v>
      </c>
      <c r="AO588" s="41">
        <f t="shared" si="438"/>
        <v>0</v>
      </c>
      <c r="AP588" s="41">
        <f t="shared" si="438"/>
        <v>0</v>
      </c>
      <c r="AQ588" s="41">
        <f t="shared" si="438"/>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38"/>
        <v>0</v>
      </c>
      <c r="AH589" s="41">
        <f t="shared" si="438"/>
        <v>0</v>
      </c>
      <c r="AI589" s="41">
        <f t="shared" si="438"/>
        <v>0</v>
      </c>
      <c r="AJ589" s="41">
        <f t="shared" si="438"/>
        <v>0</v>
      </c>
      <c r="AK589" s="41">
        <f t="shared" si="438"/>
        <v>0</v>
      </c>
      <c r="AL589" s="41">
        <f t="shared" si="438"/>
        <v>0</v>
      </c>
      <c r="AM589" s="41">
        <f t="shared" si="438"/>
        <v>0</v>
      </c>
      <c r="AN589" s="41">
        <f t="shared" si="438"/>
        <v>0</v>
      </c>
      <c r="AO589" s="41">
        <f t="shared" si="438"/>
        <v>0</v>
      </c>
      <c r="AP589" s="41">
        <f t="shared" si="438"/>
        <v>0</v>
      </c>
      <c r="AQ589" s="41">
        <f t="shared" si="438"/>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38"/>
        <v>0</v>
      </c>
      <c r="AH590" s="41">
        <f t="shared" si="438"/>
        <v>0</v>
      </c>
      <c r="AI590" s="41">
        <f t="shared" si="438"/>
        <v>0</v>
      </c>
      <c r="AJ590" s="41">
        <f t="shared" si="438"/>
        <v>0</v>
      </c>
      <c r="AK590" s="41">
        <f t="shared" si="438"/>
        <v>0</v>
      </c>
      <c r="AL590" s="41">
        <f t="shared" si="438"/>
        <v>0</v>
      </c>
      <c r="AM590" s="41">
        <f t="shared" si="438"/>
        <v>0</v>
      </c>
      <c r="AN590" s="41">
        <f t="shared" si="438"/>
        <v>0</v>
      </c>
      <c r="AO590" s="41">
        <f t="shared" si="438"/>
        <v>0</v>
      </c>
      <c r="AP590" s="41">
        <f t="shared" si="438"/>
        <v>0</v>
      </c>
      <c r="AQ590" s="41">
        <f t="shared" si="438"/>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38"/>
        <v>0</v>
      </c>
      <c r="AH591" s="41">
        <f t="shared" si="438"/>
        <v>0</v>
      </c>
      <c r="AI591" s="41">
        <f t="shared" si="438"/>
        <v>0</v>
      </c>
      <c r="AJ591" s="41">
        <f t="shared" si="438"/>
        <v>0</v>
      </c>
      <c r="AK591" s="41">
        <f t="shared" si="438"/>
        <v>0</v>
      </c>
      <c r="AL591" s="41">
        <f t="shared" si="438"/>
        <v>0</v>
      </c>
      <c r="AM591" s="41">
        <f t="shared" si="438"/>
        <v>0</v>
      </c>
      <c r="AN591" s="41">
        <f t="shared" si="438"/>
        <v>0</v>
      </c>
      <c r="AO591" s="41">
        <f t="shared" si="438"/>
        <v>0</v>
      </c>
      <c r="AP591" s="41">
        <f t="shared" si="438"/>
        <v>0</v>
      </c>
      <c r="AQ591" s="41">
        <f t="shared" si="438"/>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38"/>
        <v>0</v>
      </c>
      <c r="AH592" s="41">
        <f t="shared" si="438"/>
        <v>0</v>
      </c>
      <c r="AI592" s="41">
        <f t="shared" si="438"/>
        <v>0</v>
      </c>
      <c r="AJ592" s="41">
        <f t="shared" si="438"/>
        <v>0</v>
      </c>
      <c r="AK592" s="41">
        <f t="shared" si="438"/>
        <v>0</v>
      </c>
      <c r="AL592" s="41">
        <f t="shared" si="438"/>
        <v>0</v>
      </c>
      <c r="AM592" s="41">
        <f t="shared" si="438"/>
        <v>0</v>
      </c>
      <c r="AN592" s="41">
        <f t="shared" si="438"/>
        <v>0</v>
      </c>
      <c r="AO592" s="41">
        <f t="shared" si="438"/>
        <v>0</v>
      </c>
      <c r="AP592" s="41">
        <f t="shared" si="438"/>
        <v>0</v>
      </c>
      <c r="AQ592" s="41">
        <f t="shared" si="438"/>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38"/>
        <v>0</v>
      </c>
      <c r="AH593" s="41">
        <f t="shared" si="438"/>
        <v>0</v>
      </c>
      <c r="AI593" s="41">
        <f t="shared" si="438"/>
        <v>0</v>
      </c>
      <c r="AJ593" s="41">
        <f t="shared" si="438"/>
        <v>0</v>
      </c>
      <c r="AK593" s="41">
        <f t="shared" si="438"/>
        <v>0</v>
      </c>
      <c r="AL593" s="41">
        <f t="shared" si="438"/>
        <v>0</v>
      </c>
      <c r="AM593" s="41">
        <f t="shared" si="438"/>
        <v>0</v>
      </c>
      <c r="AN593" s="41">
        <f t="shared" si="438"/>
        <v>0</v>
      </c>
      <c r="AO593" s="41">
        <f t="shared" si="438"/>
        <v>0</v>
      </c>
      <c r="AP593" s="41">
        <f t="shared" si="438"/>
        <v>0</v>
      </c>
      <c r="AQ593" s="41">
        <f t="shared" si="438"/>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38"/>
        <v>0</v>
      </c>
      <c r="AH594" s="41">
        <f t="shared" si="438"/>
        <v>0</v>
      </c>
      <c r="AI594" s="41">
        <f t="shared" si="438"/>
        <v>0</v>
      </c>
      <c r="AJ594" s="41">
        <f t="shared" si="438"/>
        <v>0</v>
      </c>
      <c r="AK594" s="41">
        <f t="shared" si="438"/>
        <v>0</v>
      </c>
      <c r="AL594" s="41">
        <f t="shared" si="438"/>
        <v>0</v>
      </c>
      <c r="AM594" s="41">
        <f t="shared" si="438"/>
        <v>0</v>
      </c>
      <c r="AN594" s="41">
        <f t="shared" si="438"/>
        <v>0</v>
      </c>
      <c r="AO594" s="41">
        <f t="shared" si="438"/>
        <v>0</v>
      </c>
      <c r="AP594" s="41">
        <f t="shared" si="438"/>
        <v>0</v>
      </c>
      <c r="AQ594" s="41">
        <f t="shared" si="438"/>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38"/>
        <v>0</v>
      </c>
      <c r="AH595" s="41">
        <f t="shared" si="438"/>
        <v>0</v>
      </c>
      <c r="AI595" s="41">
        <f t="shared" si="438"/>
        <v>0</v>
      </c>
      <c r="AJ595" s="41">
        <f t="shared" si="438"/>
        <v>0</v>
      </c>
      <c r="AK595" s="41">
        <f t="shared" si="438"/>
        <v>0</v>
      </c>
      <c r="AL595" s="41">
        <f t="shared" si="438"/>
        <v>0</v>
      </c>
      <c r="AM595" s="41">
        <f t="shared" si="438"/>
        <v>0</v>
      </c>
      <c r="AN595" s="41">
        <f t="shared" si="438"/>
        <v>0</v>
      </c>
      <c r="AO595" s="41">
        <f t="shared" si="438"/>
        <v>0</v>
      </c>
      <c r="AP595" s="41">
        <f t="shared" si="438"/>
        <v>0</v>
      </c>
      <c r="AQ595" s="41">
        <f t="shared" si="438"/>
        <v>0</v>
      </c>
    </row>
    <row r="596" spans="1:43" x14ac:dyDescent="0.25">
      <c r="A596" s="106"/>
      <c r="B596" s="106"/>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39">SUM(AG587:AG595)</f>
        <v>0</v>
      </c>
      <c r="AH596" s="41">
        <f t="shared" si="439"/>
        <v>0</v>
      </c>
      <c r="AI596" s="41">
        <f t="shared" si="439"/>
        <v>0</v>
      </c>
      <c r="AJ596" s="41">
        <f t="shared" si="439"/>
        <v>0</v>
      </c>
      <c r="AK596" s="41">
        <f t="shared" si="439"/>
        <v>0</v>
      </c>
      <c r="AL596" s="41">
        <f t="shared" si="439"/>
        <v>0</v>
      </c>
      <c r="AM596" s="41">
        <f t="shared" si="439"/>
        <v>0</v>
      </c>
      <c r="AN596" s="41">
        <f t="shared" si="439"/>
        <v>0</v>
      </c>
      <c r="AO596" s="41">
        <f t="shared" si="439"/>
        <v>0</v>
      </c>
      <c r="AP596" s="41">
        <f t="shared" si="439"/>
        <v>0</v>
      </c>
      <c r="AQ596" s="41">
        <f t="shared" si="439"/>
        <v>0</v>
      </c>
    </row>
    <row r="597" spans="1:43" x14ac:dyDescent="0.25">
      <c r="A597" s="107"/>
      <c r="B597" s="107"/>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0">(AG581-AG596)^2</f>
        <v>0</v>
      </c>
      <c r="AH597" s="41">
        <f t="shared" si="440"/>
        <v>0</v>
      </c>
      <c r="AI597" s="41">
        <f t="shared" si="440"/>
        <v>0</v>
      </c>
      <c r="AJ597" s="41">
        <f t="shared" si="440"/>
        <v>0</v>
      </c>
      <c r="AK597" s="41">
        <f t="shared" si="440"/>
        <v>0</v>
      </c>
      <c r="AL597" s="41">
        <f t="shared" si="440"/>
        <v>0</v>
      </c>
      <c r="AM597" s="41">
        <f t="shared" si="440"/>
        <v>0</v>
      </c>
      <c r="AN597" s="41">
        <f t="shared" si="440"/>
        <v>0</v>
      </c>
      <c r="AO597" s="41">
        <f t="shared" si="440"/>
        <v>0</v>
      </c>
      <c r="AP597" s="41">
        <f t="shared" si="440"/>
        <v>0</v>
      </c>
      <c r="AQ597" s="41">
        <f t="shared" si="440"/>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07"/>
      <c r="B626" s="107"/>
      <c r="C626" s="43"/>
      <c r="D626" s="15"/>
      <c r="E626" s="9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07"/>
      <c r="B627" s="107"/>
      <c r="C627" s="96"/>
      <c r="D627" s="15"/>
      <c r="E627" s="97"/>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06"/>
      <c r="B650" s="106"/>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07"/>
      <c r="B651" s="107"/>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07"/>
      <c r="B652" s="107"/>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07"/>
      <c r="B653" s="107"/>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07"/>
      <c r="B654" s="107"/>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3"/>
      <c r="D656" s="73"/>
      <c r="E656" s="73"/>
      <c r="F656" s="73"/>
      <c r="G656" s="73"/>
      <c r="H656" s="73"/>
      <c r="I656" s="73"/>
      <c r="J656" s="73"/>
      <c r="K656" s="73"/>
      <c r="L656" s="73"/>
      <c r="M656" s="15"/>
      <c r="N656" s="15"/>
      <c r="O656" s="97"/>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7">
    <mergeCell ref="A627:B627"/>
    <mergeCell ref="A15:C15"/>
    <mergeCell ref="E53:F53"/>
    <mergeCell ref="C63:I63"/>
    <mergeCell ref="A100:A101"/>
    <mergeCell ref="A123:B123"/>
    <mergeCell ref="A532:B532"/>
    <mergeCell ref="A534:B534"/>
    <mergeCell ref="A581:B581"/>
    <mergeCell ref="A596:B596"/>
    <mergeCell ref="A597:B597"/>
    <mergeCell ref="A626:B626"/>
    <mergeCell ref="A650:B650"/>
    <mergeCell ref="A651:B651"/>
    <mergeCell ref="A652:B652"/>
    <mergeCell ref="A653:B653"/>
    <mergeCell ref="A654:B654"/>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-23.551328837701199</v>
      </c>
      <c r="M1" s="54">
        <v>1</v>
      </c>
      <c r="N1" s="56">
        <f>INDEX($H$217:$P$217,1,Q1)</f>
        <v>0.1931800707257747</v>
      </c>
      <c r="O1" s="11"/>
      <c r="P1" s="55">
        <v>1</v>
      </c>
      <c r="Q1" s="11">
        <v>2</v>
      </c>
    </row>
    <row r="2" spans="1:17" x14ac:dyDescent="0.25">
      <c r="A2" s="11">
        <f>'Mastercurve bestimmen'!M119</f>
        <v>0</v>
      </c>
      <c r="B2" s="11">
        <f>'Mastercurve bestimmen'!N119</f>
        <v>-11.169577522833219</v>
      </c>
      <c r="M2" s="54">
        <v>2</v>
      </c>
      <c r="N2" s="56">
        <f t="shared" ref="N2:N9" si="0">INDEX($H$217:$P$217,1,Q2)</f>
        <v>4.8265232005547759E-4</v>
      </c>
      <c r="O2" s="11"/>
      <c r="P2" s="55">
        <v>2</v>
      </c>
      <c r="Q2" s="11">
        <f>Q1+1</f>
        <v>3</v>
      </c>
    </row>
    <row r="3" spans="1:17" x14ac:dyDescent="0.25">
      <c r="A3" s="11">
        <f>'Mastercurve bestimmen'!M120</f>
        <v>25</v>
      </c>
      <c r="B3" s="11">
        <f>'Mastercurve bestimmen'!N120</f>
        <v>-5.0373219774019731</v>
      </c>
      <c r="M3" s="54">
        <v>3</v>
      </c>
      <c r="N3" s="56">
        <f t="shared" si="0"/>
        <v>3.0002170844549274E-5</v>
      </c>
      <c r="O3" s="11"/>
      <c r="P3" s="55">
        <v>3</v>
      </c>
      <c r="Q3" s="11">
        <f t="shared" ref="Q3:Q8" si="1">Q2+1</f>
        <v>4</v>
      </c>
    </row>
    <row r="4" spans="1:17" x14ac:dyDescent="0.25">
      <c r="A4" s="11">
        <f>'Mastercurve bestimmen'!M121</f>
        <v>50</v>
      </c>
      <c r="B4" s="11">
        <f>'Mastercurve bestimmen'!N121</f>
        <v>0</v>
      </c>
      <c r="M4" s="54">
        <v>4</v>
      </c>
      <c r="N4" s="56">
        <f t="shared" si="0"/>
        <v>-8.7073576756865787E-8</v>
      </c>
      <c r="O4" s="11"/>
      <c r="P4" s="55">
        <v>4</v>
      </c>
      <c r="Q4" s="11">
        <f t="shared" si="1"/>
        <v>5</v>
      </c>
    </row>
    <row r="5" spans="1:17" x14ac:dyDescent="0.25">
      <c r="A5" s="11">
        <f>'Mastercurve bestimmen'!M122</f>
        <v>80</v>
      </c>
      <c r="B5" s="11">
        <f>'Mastercurve bestimmen'!N122</f>
        <v>6.8739854636296629</v>
      </c>
      <c r="M5" s="54">
        <v>5</v>
      </c>
      <c r="N5" s="56">
        <f t="shared" si="0"/>
        <v>-2.8587851564865253E-9</v>
      </c>
      <c r="O5" s="11"/>
      <c r="P5" s="55">
        <v>5</v>
      </c>
      <c r="Q5" s="11">
        <f t="shared" si="1"/>
        <v>6</v>
      </c>
    </row>
    <row r="6" spans="1:17" x14ac:dyDescent="0.25">
      <c r="A6" s="11">
        <f>'Mastercurve bestimmen'!M123</f>
        <v>125</v>
      </c>
      <c r="B6" s="11">
        <f>'Mastercurve bestimmen'!N123</f>
        <v>23.131017450678211</v>
      </c>
      <c r="M6" s="54">
        <v>6</v>
      </c>
      <c r="N6" s="56">
        <f t="shared" si="0"/>
        <v>1.1713579986778808E-11</v>
      </c>
      <c r="O6" s="11"/>
      <c r="P6" s="55">
        <v>6</v>
      </c>
      <c r="Q6" s="11">
        <f t="shared" si="1"/>
        <v>7</v>
      </c>
    </row>
    <row r="7" spans="1:17" x14ac:dyDescent="0.25">
      <c r="A7" s="11">
        <f>'Mastercurve bestimmen'!M124</f>
        <v>160</v>
      </c>
      <c r="B7" s="11">
        <f>'Mastercurve bestimmen'!N124</f>
        <v>37.246413849119072</v>
      </c>
      <c r="M7" s="54">
        <v>7</v>
      </c>
      <c r="N7" s="56">
        <f t="shared" si="0"/>
        <v>8.1781520838060453E-14</v>
      </c>
      <c r="O7" s="11"/>
      <c r="P7" s="55">
        <v>7</v>
      </c>
      <c r="Q7" s="11">
        <f t="shared" si="1"/>
        <v>8</v>
      </c>
    </row>
    <row r="8" spans="1:17" x14ac:dyDescent="0.25">
      <c r="A8" s="11"/>
      <c r="B8" s="11"/>
      <c r="M8" s="54">
        <v>8</v>
      </c>
      <c r="N8" s="56">
        <f t="shared" si="0"/>
        <v>-3.5613289780438361E-16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-23.551328837701199</v>
      </c>
      <c r="E15" s="11">
        <f>A15-'Mastercurve bestimmen'!$B$2</f>
        <v>-90</v>
      </c>
      <c r="F15" s="11">
        <f>B15</f>
        <v>-23.551328837701199</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-23.306988035278767</v>
      </c>
      <c r="E16" s="11">
        <f>A16-'Mastercurve bestimmen'!$B$2</f>
        <v>-89</v>
      </c>
      <c r="F16" s="11">
        <f t="shared" ref="F16:F79" si="4">B16</f>
        <v>-23.306988035278767</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-23.062402568764593</v>
      </c>
      <c r="E17" s="11">
        <f>A17-'Mastercurve bestimmen'!$B$2</f>
        <v>-88</v>
      </c>
      <c r="F17" s="11">
        <f t="shared" si="4"/>
        <v>-23.062402568764593</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-22.817327774066928</v>
      </c>
      <c r="E18" s="11">
        <f>A18-'Mastercurve bestimmen'!$B$2</f>
        <v>-87</v>
      </c>
      <c r="F18" s="11">
        <f t="shared" si="4"/>
        <v>-22.817327774066928</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-22.571518987094045</v>
      </c>
      <c r="E19" s="11">
        <f>A19-'Mastercurve bestimmen'!$B$2</f>
        <v>-86</v>
      </c>
      <c r="F19" s="11">
        <f t="shared" si="4"/>
        <v>-22.571518987094045</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-22.32473154375419</v>
      </c>
      <c r="E20" s="11">
        <f>A20-'Mastercurve bestimmen'!$B$2</f>
        <v>-85</v>
      </c>
      <c r="F20" s="11">
        <f t="shared" si="4"/>
        <v>-22.32473154375419</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-22.076720779955625</v>
      </c>
      <c r="E21" s="11">
        <f>A21-'Mastercurve bestimmen'!$B$2</f>
        <v>-84</v>
      </c>
      <c r="F21" s="11">
        <f t="shared" si="4"/>
        <v>-22.076720779955625</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-21.827242031606612</v>
      </c>
      <c r="E22" s="11">
        <f>A22-'Mastercurve bestimmen'!$B$2</f>
        <v>-83</v>
      </c>
      <c r="F22" s="11">
        <f t="shared" si="4"/>
        <v>-21.827242031606612</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-21.576050634615395</v>
      </c>
      <c r="E23" s="11">
        <f>A23-'Mastercurve bestimmen'!$B$2</f>
        <v>-82</v>
      </c>
      <c r="F23" s="11">
        <f t="shared" si="4"/>
        <v>-21.576050634615395</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-21.322901924890246</v>
      </c>
      <c r="E24" s="11">
        <f>A24-'Mastercurve bestimmen'!$B$2</f>
        <v>-81</v>
      </c>
      <c r="F24" s="11">
        <f t="shared" si="4"/>
        <v>-21.322901924890246</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-21.067551238339423</v>
      </c>
      <c r="E25" s="11">
        <f>A25-'Mastercurve bestimmen'!$B$2</f>
        <v>-80</v>
      </c>
      <c r="F25" s="11">
        <f t="shared" si="4"/>
        <v>-21.067551238339423</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-20.809753910871173</v>
      </c>
      <c r="E26" s="11">
        <f>A26-'Mastercurve bestimmen'!$B$2</f>
        <v>-79</v>
      </c>
      <c r="F26" s="11">
        <f t="shared" si="4"/>
        <v>-20.809753910871173</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-20.549265278393761</v>
      </c>
      <c r="E27" s="11">
        <f>A27-'Mastercurve bestimmen'!$B$2</f>
        <v>-78</v>
      </c>
      <c r="F27" s="11">
        <f t="shared" si="4"/>
        <v>-20.549265278393761</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-20.285840676815447</v>
      </c>
      <c r="E28" s="11">
        <f>A28-'Mastercurve bestimmen'!$B$2</f>
        <v>-77</v>
      </c>
      <c r="F28" s="11">
        <f t="shared" si="4"/>
        <v>-20.285840676815447</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-20.019235442044483</v>
      </c>
      <c r="E29" s="11">
        <f>A29-'Mastercurve bestimmen'!$B$2</f>
        <v>-76</v>
      </c>
      <c r="F29" s="11">
        <f t="shared" si="4"/>
        <v>-20.019235442044483</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-19.749204909989132</v>
      </c>
      <c r="E30" s="11">
        <f>A30-'Mastercurve bestimmen'!$B$2</f>
        <v>-75</v>
      </c>
      <c r="F30" s="11">
        <f t="shared" si="4"/>
        <v>-19.749204909989132</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-19.475504416557648</v>
      </c>
      <c r="E31" s="11">
        <f>A31-'Mastercurve bestimmen'!$B$2</f>
        <v>-74</v>
      </c>
      <c r="F31" s="11">
        <f t="shared" si="4"/>
        <v>-19.475504416557648</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-19.197889297658289</v>
      </c>
      <c r="E32" s="11">
        <f>A32-'Mastercurve bestimmen'!$B$2</f>
        <v>-73</v>
      </c>
      <c r="F32" s="11">
        <f t="shared" si="4"/>
        <v>-19.197889297658289</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-18.916114889199317</v>
      </c>
      <c r="E33" s="11">
        <f>A33-'Mastercurve bestimmen'!$B$2</f>
        <v>-72</v>
      </c>
      <c r="F33" s="11">
        <f t="shared" si="4"/>
        <v>-18.916114889199317</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-18.629936527088987</v>
      </c>
      <c r="E34" s="11">
        <f>A34-'Mastercurve bestimmen'!$B$2</f>
        <v>-71</v>
      </c>
      <c r="F34" s="11">
        <f t="shared" si="4"/>
        <v>-18.629936527088987</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-18.339109547235555</v>
      </c>
      <c r="E35" s="11">
        <f>A35-'Mastercurve bestimmen'!$B$2</f>
        <v>-70</v>
      </c>
      <c r="F35" s="11">
        <f t="shared" si="4"/>
        <v>-18.339109547235555</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-18.043389285547285</v>
      </c>
      <c r="E36" s="11">
        <f>A36-'Mastercurve bestimmen'!$B$2</f>
        <v>-69</v>
      </c>
      <c r="F36" s="11">
        <f t="shared" si="4"/>
        <v>-18.043389285547285</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-17.74253107793243</v>
      </c>
      <c r="E37" s="11">
        <f>A37-'Mastercurve bestimmen'!$B$2</f>
        <v>-68</v>
      </c>
      <c r="F37" s="11">
        <f t="shared" si="4"/>
        <v>-17.74253107793243</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-17.436290260299245</v>
      </c>
      <c r="E38" s="11">
        <f>A38-'Mastercurve bestimmen'!$B$2</f>
        <v>-67</v>
      </c>
      <c r="F38" s="11">
        <f t="shared" si="4"/>
        <v>-17.436290260299245</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-17.124422168555999</v>
      </c>
      <c r="E39" s="11">
        <f>A39-'Mastercurve bestimmen'!$B$2</f>
        <v>-66</v>
      </c>
      <c r="F39" s="11">
        <f t="shared" si="4"/>
        <v>-17.124422168555999</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-16.806682138610938</v>
      </c>
      <c r="E40" s="11">
        <f>A40-'Mastercurve bestimmen'!$B$2</f>
        <v>-65</v>
      </c>
      <c r="F40" s="11">
        <f t="shared" si="4"/>
        <v>-16.806682138610938</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-16.482825506372329</v>
      </c>
      <c r="E41" s="11">
        <f>A41-'Mastercurve bestimmen'!$B$2</f>
        <v>-64</v>
      </c>
      <c r="F41" s="11">
        <f t="shared" si="4"/>
        <v>-16.482825506372329</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-16.152607607748422</v>
      </c>
      <c r="E42" s="11">
        <f>A42-'Mastercurve bestimmen'!$B$2</f>
        <v>-63</v>
      </c>
      <c r="F42" s="11">
        <f t="shared" si="4"/>
        <v>-16.152607607748422</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-15.815783778647479</v>
      </c>
      <c r="E43" s="11">
        <f>A43-'Mastercurve bestimmen'!$B$2</f>
        <v>-62</v>
      </c>
      <c r="F43" s="11">
        <f t="shared" si="4"/>
        <v>-15.815783778647479</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-15.472109354977759</v>
      </c>
      <c r="E44" s="11">
        <f>A44-'Mastercurve bestimmen'!$B$2</f>
        <v>-61</v>
      </c>
      <c r="F44" s="11">
        <f t="shared" si="4"/>
        <v>-15.472109354977759</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-15.121339672647515</v>
      </c>
      <c r="E45" s="11">
        <f>A45-'Mastercurve bestimmen'!$B$2</f>
        <v>-60</v>
      </c>
      <c r="F45" s="11">
        <f t="shared" si="4"/>
        <v>-15.121339672647515</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-14.763230067565013</v>
      </c>
      <c r="E46" s="11">
        <f>A46-'Mastercurve bestimmen'!$B$2</f>
        <v>-59</v>
      </c>
      <c r="F46" s="11">
        <f t="shared" si="4"/>
        <v>-14.763230067565013</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-14.397535875638503</v>
      </c>
      <c r="E47" s="11">
        <f>A47-'Mastercurve bestimmen'!$B$2</f>
        <v>-58</v>
      </c>
      <c r="F47" s="11">
        <f t="shared" si="4"/>
        <v>-14.397535875638503</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-14.024012432776249</v>
      </c>
      <c r="E48" s="11">
        <f>A48-'Mastercurve bestimmen'!$B$2</f>
        <v>-57</v>
      </c>
      <c r="F48" s="11">
        <f t="shared" si="4"/>
        <v>-14.024012432776249</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-13.642415074886507</v>
      </c>
      <c r="E49" s="11">
        <f>A49-'Mastercurve bestimmen'!$B$2</f>
        <v>-56</v>
      </c>
      <c r="F49" s="11">
        <f t="shared" si="4"/>
        <v>-13.642415074886507</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-13.25249913787753</v>
      </c>
      <c r="E50" s="11">
        <f>A50-'Mastercurve bestimmen'!$B$2</f>
        <v>-55</v>
      </c>
      <c r="F50" s="11">
        <f t="shared" si="4"/>
        <v>-13.25249913787753</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-12.854019957657583</v>
      </c>
      <c r="E51" s="11">
        <f>A51-'Mastercurve bestimmen'!$B$2</f>
        <v>-54</v>
      </c>
      <c r="F51" s="11">
        <f t="shared" si="4"/>
        <v>-12.854019957657583</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-12.44673287013492</v>
      </c>
      <c r="E52" s="11">
        <f>A52-'Mastercurve bestimmen'!$B$2</f>
        <v>-53</v>
      </c>
      <c r="F52" s="11">
        <f t="shared" si="4"/>
        <v>-12.44673287013492</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-12.030393211217797</v>
      </c>
      <c r="E53" s="11">
        <f>A53-'Mastercurve bestimmen'!$B$2</f>
        <v>-52</v>
      </c>
      <c r="F53" s="11">
        <f t="shared" si="4"/>
        <v>-12.030393211217797</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-11.604756316814479</v>
      </c>
      <c r="E54" s="11">
        <f>A54-'Mastercurve bestimmen'!$B$2</f>
        <v>-51</v>
      </c>
      <c r="F54" s="11">
        <f t="shared" si="4"/>
        <v>-11.604756316814479</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-11.169577522833219</v>
      </c>
      <c r="E55" s="11">
        <f>A55-'Mastercurve bestimmen'!$B$2</f>
        <v>-50</v>
      </c>
      <c r="F55" s="11">
        <f t="shared" si="4"/>
        <v>-11.169577522833219</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-10.978459403690659</v>
      </c>
      <c r="E56" s="11">
        <f>A56-'Mastercurve bestimmen'!$B$2</f>
        <v>-49</v>
      </c>
      <c r="F56" s="11">
        <f t="shared" si="4"/>
        <v>-10.978459403690659</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-10.778163054160741</v>
      </c>
      <c r="E57" s="11">
        <f>A57-'Mastercurve bestimmen'!$B$2</f>
        <v>-48</v>
      </c>
      <c r="F57" s="11">
        <f t="shared" si="4"/>
        <v>-10.778163054160741</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-10.569296807525783</v>
      </c>
      <c r="E58" s="11">
        <f>A58-'Mastercurve bestimmen'!$B$2</f>
        <v>-47</v>
      </c>
      <c r="F58" s="11">
        <f t="shared" si="4"/>
        <v>-10.569296807525783</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-10.352468997068108</v>
      </c>
      <c r="E59" s="11">
        <f>A59-'Mastercurve bestimmen'!$B$2</f>
        <v>-46</v>
      </c>
      <c r="F59" s="11">
        <f t="shared" si="4"/>
        <v>-10.352468997068108</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-10.128287956070038</v>
      </c>
      <c r="E60" s="11">
        <f>A60-'Mastercurve bestimmen'!$B$2</f>
        <v>-45</v>
      </c>
      <c r="F60" s="11">
        <f t="shared" si="4"/>
        <v>-10.128287956070038</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-9.8973620178138972</v>
      </c>
      <c r="E61" s="11">
        <f>A61-'Mastercurve bestimmen'!$B$2</f>
        <v>-44</v>
      </c>
      <c r="F61" s="11">
        <f t="shared" si="4"/>
        <v>-9.8973620178138972</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-9.6602995155820022</v>
      </c>
      <c r="E62" s="11">
        <f>A62-'Mastercurve bestimmen'!$B$2</f>
        <v>-43</v>
      </c>
      <c r="F62" s="11">
        <f t="shared" si="4"/>
        <v>-9.6602995155820022</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-9.4177087826566837</v>
      </c>
      <c r="E63" s="11">
        <f>A63-'Mastercurve bestimmen'!$B$2</f>
        <v>-42</v>
      </c>
      <c r="F63" s="11">
        <f t="shared" si="4"/>
        <v>-9.4177087826566837</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-9.1701981523202569</v>
      </c>
      <c r="E64" s="11">
        <f>A64-'Mastercurve bestimmen'!$B$2</f>
        <v>-41</v>
      </c>
      <c r="F64" s="11">
        <f t="shared" si="4"/>
        <v>-9.1701981523202569</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-8.9183759578550479</v>
      </c>
      <c r="E65" s="11">
        <f>A65-'Mastercurve bestimmen'!$B$2</f>
        <v>-40</v>
      </c>
      <c r="F65" s="11">
        <f t="shared" si="4"/>
        <v>-8.9183759578550479</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-8.6628505325433771</v>
      </c>
      <c r="E66" s="11">
        <f>A66-'Mastercurve bestimmen'!$B$2</f>
        <v>-39</v>
      </c>
      <c r="F66" s="11">
        <f t="shared" si="4"/>
        <v>-8.6628505325433771</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-8.4042302096675652</v>
      </c>
      <c r="E67" s="11">
        <f>A67-'Mastercurve bestimmen'!$B$2</f>
        <v>-38</v>
      </c>
      <c r="F67" s="11">
        <f t="shared" si="4"/>
        <v>-8.4042302096675652</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-8.1431233225099398</v>
      </c>
      <c r="E68" s="11">
        <f>A68-'Mastercurve bestimmen'!$B$2</f>
        <v>-37</v>
      </c>
      <c r="F68" s="11">
        <f t="shared" si="4"/>
        <v>-8.1431233225099398</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-7.880138204352817</v>
      </c>
      <c r="E69" s="11">
        <f>A69-'Mastercurve bestimmen'!$B$2</f>
        <v>-36</v>
      </c>
      <c r="F69" s="11">
        <f t="shared" si="4"/>
        <v>-7.880138204352817</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-7.6158831884785219</v>
      </c>
      <c r="E70" s="11">
        <f>A70-'Mastercurve bestimmen'!$B$2</f>
        <v>-35</v>
      </c>
      <c r="F70" s="11">
        <f t="shared" si="4"/>
        <v>-7.6158831884785219</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-7.3509666081693776</v>
      </c>
      <c r="E71" s="11">
        <f>A71-'Mastercurve bestimmen'!$B$2</f>
        <v>-34</v>
      </c>
      <c r="F71" s="11">
        <f t="shared" si="4"/>
        <v>-7.3509666081693776</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-7.0859967967077049</v>
      </c>
      <c r="E72" s="11">
        <f>A72-'Mastercurve bestimmen'!$B$2</f>
        <v>-33</v>
      </c>
      <c r="F72" s="11">
        <f t="shared" si="4"/>
        <v>-7.0859967967077049</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-6.8215820873758259</v>
      </c>
      <c r="E73" s="11">
        <f>A73-'Mastercurve bestimmen'!$B$2</f>
        <v>-32</v>
      </c>
      <c r="F73" s="11">
        <f t="shared" si="4"/>
        <v>-6.8215820873758259</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-6.5583308134560632</v>
      </c>
      <c r="E74" s="11">
        <f>A74-'Mastercurve bestimmen'!$B$2</f>
        <v>-31</v>
      </c>
      <c r="F74" s="11">
        <f t="shared" si="4"/>
        <v>-6.5583308134560632</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-6.2968513082307389</v>
      </c>
      <c r="E75" s="11">
        <f>A75-'Mastercurve bestimmen'!$B$2</f>
        <v>-30</v>
      </c>
      <c r="F75" s="11">
        <f t="shared" si="4"/>
        <v>-6.2968513082307389</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-6.0377519049821755</v>
      </c>
      <c r="E76" s="11">
        <f>A76-'Mastercurve bestimmen'!$B$2</f>
        <v>-29</v>
      </c>
      <c r="F76" s="11">
        <f t="shared" si="4"/>
        <v>-6.0377519049821755</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-5.7816409369926944</v>
      </c>
      <c r="E77" s="11">
        <f>A77-'Mastercurve bestimmen'!$B$2</f>
        <v>-28</v>
      </c>
      <c r="F77" s="11">
        <f t="shared" si="4"/>
        <v>-5.7816409369926944</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-5.5291267375446189</v>
      </c>
      <c r="E78" s="11">
        <f>A78-'Mastercurve bestimmen'!$B$2</f>
        <v>-27</v>
      </c>
      <c r="F78" s="11">
        <f t="shared" si="4"/>
        <v>-5.5291267375446189</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-5.2808176399202713</v>
      </c>
      <c r="E79" s="11">
        <f>A79-'Mastercurve bestimmen'!$B$2</f>
        <v>-26</v>
      </c>
      <c r="F79" s="11">
        <f t="shared" si="4"/>
        <v>-5.2808176399202713</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-5.0373219774019731</v>
      </c>
      <c r="E80" s="11">
        <f>A80-'Mastercurve bestimmen'!$B$2</f>
        <v>-25</v>
      </c>
      <c r="F80" s="11">
        <f t="shared" ref="F80:F143" si="10">B80</f>
        <v>-5.0373219774019731</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-4.7991012882848647</v>
      </c>
      <c r="E81" s="11">
        <f>A81-'Mastercurve bestimmen'!$B$2</f>
        <v>-24</v>
      </c>
      <c r="F81" s="11">
        <f t="shared" si="10"/>
        <v>-4.7991012882848647</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-4.5660299309153656</v>
      </c>
      <c r="E82" s="11">
        <f>A82-'Mastercurve bestimmen'!$B$2</f>
        <v>-23</v>
      </c>
      <c r="F82" s="11">
        <f t="shared" si="10"/>
        <v>-4.5660299309153656</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-4.3378354686527096</v>
      </c>
      <c r="E83" s="11">
        <f>A83-'Mastercurve bestimmen'!$B$2</f>
        <v>-22</v>
      </c>
      <c r="F83" s="11">
        <f t="shared" si="10"/>
        <v>-4.3378354686527096</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-4.1142454648561344</v>
      </c>
      <c r="E84" s="11">
        <f>A84-'Mastercurve bestimmen'!$B$2</f>
        <v>-21</v>
      </c>
      <c r="F84" s="11">
        <f t="shared" si="10"/>
        <v>-4.1142454648561344</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-3.8949874828848761</v>
      </c>
      <c r="E85" s="11">
        <f>A85-'Mastercurve bestimmen'!$B$2</f>
        <v>-20</v>
      </c>
      <c r="F85" s="11">
        <f t="shared" si="10"/>
        <v>-3.8949874828848761</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-3.6797890860981703</v>
      </c>
      <c r="E86" s="11">
        <f>A86-'Mastercurve bestimmen'!$B$2</f>
        <v>-19</v>
      </c>
      <c r="F86" s="11">
        <f t="shared" si="10"/>
        <v>-3.6797890860981703</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-3.4683778378552543</v>
      </c>
      <c r="E87" s="11">
        <f>A87-'Mastercurve bestimmen'!$B$2</f>
        <v>-18</v>
      </c>
      <c r="F87" s="11">
        <f t="shared" si="10"/>
        <v>-3.4683778378552543</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-3.2604813015153629</v>
      </c>
      <c r="E88" s="11">
        <f>A88-'Mastercurve bestimmen'!$B$2</f>
        <v>-17</v>
      </c>
      <c r="F88" s="11">
        <f t="shared" si="10"/>
        <v>-3.2604813015153629</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-3.055827040437733</v>
      </c>
      <c r="E89" s="11">
        <f>A89-'Mastercurve bestimmen'!$B$2</f>
        <v>-16</v>
      </c>
      <c r="F89" s="11">
        <f t="shared" si="10"/>
        <v>-3.055827040437733</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-2.8541426179816014</v>
      </c>
      <c r="E90" s="11">
        <f>A90-'Mastercurve bestimmen'!$B$2</f>
        <v>-15</v>
      </c>
      <c r="F90" s="11">
        <f t="shared" si="10"/>
        <v>-2.8541426179816014</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-2.6551555975062038</v>
      </c>
      <c r="E91" s="11">
        <f>A91-'Mastercurve bestimmen'!$B$2</f>
        <v>-14</v>
      </c>
      <c r="F91" s="11">
        <f t="shared" si="10"/>
        <v>-2.6551555975062038</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-2.4585935423707763</v>
      </c>
      <c r="E92" s="11">
        <f>A92-'Mastercurve bestimmen'!$B$2</f>
        <v>-13</v>
      </c>
      <c r="F92" s="11">
        <f t="shared" si="10"/>
        <v>-2.4585935423707763</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-2.2641840159345556</v>
      </c>
      <c r="E93" s="11">
        <f>A93-'Mastercurve bestimmen'!$B$2</f>
        <v>-12</v>
      </c>
      <c r="F93" s="11">
        <f t="shared" si="10"/>
        <v>-2.2641840159345556</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-2.0716545815567775</v>
      </c>
      <c r="E94" s="11">
        <f>A94-'Mastercurve bestimmen'!$B$2</f>
        <v>-11</v>
      </c>
      <c r="F94" s="11">
        <f t="shared" si="10"/>
        <v>-2.0716545815567775</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-1.8807328025966783</v>
      </c>
      <c r="E95" s="11">
        <f>A95-'Mastercurve bestimmen'!$B$2</f>
        <v>-10</v>
      </c>
      <c r="F95" s="11">
        <f t="shared" si="10"/>
        <v>-1.8807328025966783</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-1.6911462424134944</v>
      </c>
      <c r="E96" s="11">
        <f>A96-'Mastercurve bestimmen'!$B$2</f>
        <v>-9</v>
      </c>
      <c r="F96" s="11">
        <f t="shared" si="10"/>
        <v>-1.6911462424134944</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-1.5026224643664616</v>
      </c>
      <c r="E97" s="11">
        <f>A97-'Mastercurve bestimmen'!$B$2</f>
        <v>-8</v>
      </c>
      <c r="F97" s="11">
        <f t="shared" si="10"/>
        <v>-1.5026224643664616</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-1.3148890318148168</v>
      </c>
      <c r="E98" s="11">
        <f>A98-'Mastercurve bestimmen'!$B$2</f>
        <v>-7</v>
      </c>
      <c r="F98" s="11">
        <f t="shared" si="10"/>
        <v>-1.3148890318148168</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-1.1276735081177958</v>
      </c>
      <c r="E99" s="11">
        <f>A99-'Mastercurve bestimmen'!$B$2</f>
        <v>-6</v>
      </c>
      <c r="F99" s="11">
        <f t="shared" si="10"/>
        <v>-1.1276735081177958</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-0.94070345663463484</v>
      </c>
      <c r="E100" s="11">
        <f>A100-'Mastercurve bestimmen'!$B$2</f>
        <v>-5</v>
      </c>
      <c r="F100" s="11">
        <f t="shared" si="10"/>
        <v>-0.94070345663463484</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-0.75370644072457027</v>
      </c>
      <c r="E101" s="11">
        <f>A101-'Mastercurve bestimmen'!$B$2</f>
        <v>-4</v>
      </c>
      <c r="F101" s="11">
        <f t="shared" si="10"/>
        <v>-0.75370644072457027</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-0.56641002374683824</v>
      </c>
      <c r="E102" s="11">
        <f>A102-'Mastercurve bestimmen'!$B$2</f>
        <v>-3</v>
      </c>
      <c r="F102" s="11">
        <f t="shared" si="10"/>
        <v>-0.56641002374683824</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-0.37854176906067505</v>
      </c>
      <c r="E103" s="11">
        <f>A103-'Mastercurve bestimmen'!$B$2</f>
        <v>-2</v>
      </c>
      <c r="F103" s="11">
        <f t="shared" si="10"/>
        <v>-0.37854176906067505</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-0.1898292400253169</v>
      </c>
      <c r="E104" s="11">
        <f>A104-'Mastercurve bestimmen'!$B$2</f>
        <v>-1</v>
      </c>
      <c r="F104" s="11">
        <f t="shared" si="10"/>
        <v>-0.1898292400253169</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0</v>
      </c>
      <c r="E105" s="11">
        <f>A105-'Mastercurve bestimmen'!$B$2</f>
        <v>0</v>
      </c>
      <c r="F105" s="11">
        <f t="shared" si="10"/>
        <v>0</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0.19119277846768198</v>
      </c>
      <c r="E106" s="11">
        <f>A106-'Mastercurve bestimmen'!$B$2</f>
        <v>1</v>
      </c>
      <c r="F106" s="11">
        <f t="shared" si="10"/>
        <v>0.19119277846768198</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0.38389348607670604</v>
      </c>
      <c r="E107" s="11">
        <f>A107-'Mastercurve bestimmen'!$B$2</f>
        <v>2</v>
      </c>
      <c r="F107" s="11">
        <f t="shared" si="10"/>
        <v>0.38389348607670604</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0.57822090433769169</v>
      </c>
      <c r="E108" s="11">
        <f>A108-'Mastercurve bestimmen'!$B$2</f>
        <v>3</v>
      </c>
      <c r="F108" s="11">
        <f t="shared" si="10"/>
        <v>0.57822090433769169</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0.77429381476125858</v>
      </c>
      <c r="E109" s="11">
        <f>A109-'Mastercurve bestimmen'!$B$2</f>
        <v>4</v>
      </c>
      <c r="F109" s="11">
        <f t="shared" si="10"/>
        <v>0.77429381476125858</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0.972230998858026</v>
      </c>
      <c r="E110" s="11">
        <f>A110-'Mastercurve bestimmen'!$B$2</f>
        <v>5</v>
      </c>
      <c r="F110" s="11">
        <f t="shared" si="10"/>
        <v>0.972230998858026</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1.1721512381386139</v>
      </c>
      <c r="E111" s="11">
        <f>A111-'Mastercurve bestimmen'!$B$2</f>
        <v>6</v>
      </c>
      <c r="F111" s="11">
        <f t="shared" si="10"/>
        <v>1.1721512381386139</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1.3741733141136416</v>
      </c>
      <c r="E112" s="11">
        <f>A112-'Mastercurve bestimmen'!$B$2</f>
        <v>7</v>
      </c>
      <c r="F112" s="11">
        <f t="shared" si="10"/>
        <v>1.3741733141136416</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1.5784160082937289</v>
      </c>
      <c r="E113" s="11">
        <f>A113-'Mastercurve bestimmen'!$B$2</f>
        <v>8</v>
      </c>
      <c r="F113" s="11">
        <f t="shared" si="10"/>
        <v>1.5784160082937289</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1.784998102189495</v>
      </c>
      <c r="E114" s="11">
        <f>A114-'Mastercurve bestimmen'!$B$2</f>
        <v>9</v>
      </c>
      <c r="F114" s="11">
        <f t="shared" si="10"/>
        <v>1.784998102189495</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1.9940383773115595</v>
      </c>
      <c r="E115" s="11">
        <f>A115-'Mastercurve bestimmen'!$B$2</f>
        <v>10</v>
      </c>
      <c r="F115" s="11">
        <f t="shared" si="10"/>
        <v>1.9940383773115595</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2.2056556151705426</v>
      </c>
      <c r="E116" s="11">
        <f>A116-'Mastercurve bestimmen'!$B$2</f>
        <v>11</v>
      </c>
      <c r="F116" s="11">
        <f t="shared" si="10"/>
        <v>2.2056556151705426</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2.4199685972770628</v>
      </c>
      <c r="E117" s="11">
        <f>A117-'Mastercurve bestimmen'!$B$2</f>
        <v>12</v>
      </c>
      <c r="F117" s="11">
        <f t="shared" si="10"/>
        <v>2.4199685972770628</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2.6370961051417403</v>
      </c>
      <c r="E118" s="11">
        <f>A118-'Mastercurve bestimmen'!$B$2</f>
        <v>13</v>
      </c>
      <c r="F118" s="11">
        <f t="shared" si="10"/>
        <v>2.6370961051417403</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2.8571569202751945</v>
      </c>
      <c r="E119" s="11">
        <f>A119-'Mastercurve bestimmen'!$B$2</f>
        <v>14</v>
      </c>
      <c r="F119" s="11">
        <f t="shared" si="10"/>
        <v>2.8571569202751945</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3.0802698241880457</v>
      </c>
      <c r="E120" s="11">
        <f>A120-'Mastercurve bestimmen'!$B$2</f>
        <v>15</v>
      </c>
      <c r="F120" s="11">
        <f t="shared" si="10"/>
        <v>3.0802698241880457</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3.306553598390912</v>
      </c>
      <c r="E121" s="11">
        <f>A121-'Mastercurve bestimmen'!$B$2</f>
        <v>16</v>
      </c>
      <c r="F121" s="11">
        <f t="shared" si="10"/>
        <v>3.306553598390912</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3.5361270243944136</v>
      </c>
      <c r="E122" s="11">
        <f>A122-'Mastercurve bestimmen'!$B$2</f>
        <v>17</v>
      </c>
      <c r="F122" s="11">
        <f t="shared" si="10"/>
        <v>3.5361270243944136</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3.7691088837091709</v>
      </c>
      <c r="E123" s="11">
        <f>A123-'Mastercurve bestimmen'!$B$2</f>
        <v>18</v>
      </c>
      <c r="F123" s="11">
        <f t="shared" si="10"/>
        <v>3.7691088837091709</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4.0056179578458018</v>
      </c>
      <c r="E124" s="11">
        <f>A124-'Mastercurve bestimmen'!$B$2</f>
        <v>19</v>
      </c>
      <c r="F124" s="11">
        <f t="shared" si="10"/>
        <v>4.0056179578458018</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4.245773028314928</v>
      </c>
      <c r="E125" s="11">
        <f>A125-'Mastercurve bestimmen'!$B$2</f>
        <v>20</v>
      </c>
      <c r="F125" s="11">
        <f t="shared" si="10"/>
        <v>4.245773028314928</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4.4896928766271671</v>
      </c>
      <c r="E126" s="11">
        <f>A126-'Mastercurve bestimmen'!$B$2</f>
        <v>21</v>
      </c>
      <c r="F126" s="11">
        <f t="shared" si="10"/>
        <v>4.4896928766271671</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4.7374962842931403</v>
      </c>
      <c r="E127" s="11">
        <f>A127-'Mastercurve bestimmen'!$B$2</f>
        <v>22</v>
      </c>
      <c r="F127" s="11">
        <f t="shared" si="10"/>
        <v>4.7374962842931403</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4.9893020328234652</v>
      </c>
      <c r="E128" s="11">
        <f>A128-'Mastercurve bestimmen'!$B$2</f>
        <v>23</v>
      </c>
      <c r="F128" s="11">
        <f t="shared" si="10"/>
        <v>4.9893020328234652</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5.245228903728762</v>
      </c>
      <c r="E129" s="11">
        <f>A129-'Mastercurve bestimmen'!$B$2</f>
        <v>24</v>
      </c>
      <c r="F129" s="11">
        <f t="shared" si="10"/>
        <v>5.245228903728762</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5.5053956785196521</v>
      </c>
      <c r="E130" s="11">
        <f>A130-'Mastercurve bestimmen'!$B$2</f>
        <v>25</v>
      </c>
      <c r="F130" s="11">
        <f t="shared" si="10"/>
        <v>5.5053956785196521</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5.7699211387067537</v>
      </c>
      <c r="E131" s="11">
        <f>A131-'Mastercurve bestimmen'!$B$2</f>
        <v>26</v>
      </c>
      <c r="F131" s="11">
        <f t="shared" si="10"/>
        <v>5.7699211387067537</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6.0389240658006846</v>
      </c>
      <c r="E132" s="11">
        <f>A132-'Mastercurve bestimmen'!$B$2</f>
        <v>27</v>
      </c>
      <c r="F132" s="11">
        <f t="shared" si="10"/>
        <v>6.0389240658006846</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6.3125232413120678</v>
      </c>
      <c r="E133" s="11">
        <f>A133-'Mastercurve bestimmen'!$B$2</f>
        <v>28</v>
      </c>
      <c r="F133" s="11">
        <f t="shared" si="10"/>
        <v>6.3125232413120678</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6.5908374467515207</v>
      </c>
      <c r="E134" s="11">
        <f>A134-'Mastercurve bestimmen'!$B$2</f>
        <v>29</v>
      </c>
      <c r="F134" s="11">
        <f t="shared" si="10"/>
        <v>6.5908374467515207</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6.8739854636296638</v>
      </c>
      <c r="E135" s="11">
        <f>A135-'Mastercurve bestimmen'!$B$2</f>
        <v>30</v>
      </c>
      <c r="F135" s="11">
        <f t="shared" si="10"/>
        <v>6.8739854636296638</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7.1620486121039599</v>
      </c>
      <c r="E136" s="11">
        <f>A136-'Mastercurve bestimmen'!$B$2</f>
        <v>31</v>
      </c>
      <c r="F136" s="11">
        <f t="shared" si="10"/>
        <v>7.1620486121039599</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7.4549583669192589</v>
      </c>
      <c r="E137" s="11">
        <f>A137-'Mastercurve bestimmen'!$B$2</f>
        <v>32</v>
      </c>
      <c r="F137" s="11">
        <f t="shared" si="10"/>
        <v>7.4549583669192589</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7.7526087414672515</v>
      </c>
      <c r="E138" s="11">
        <f>A138-'Mastercurve bestimmen'!$B$2</f>
        <v>33</v>
      </c>
      <c r="F138" s="11">
        <f t="shared" si="10"/>
        <v>7.7526087414672515</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8.0548937491396302</v>
      </c>
      <c r="E139" s="11">
        <f>A139-'Mastercurve bestimmen'!$B$2</f>
        <v>34</v>
      </c>
      <c r="F139" s="11">
        <f t="shared" si="10"/>
        <v>8.0548937491396302</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8.3617074033280865</v>
      </c>
      <c r="E140" s="11">
        <f>A140-'Mastercurve bestimmen'!$B$2</f>
        <v>35</v>
      </c>
      <c r="F140" s="11">
        <f t="shared" si="10"/>
        <v>8.3617074033280865</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8.6729437174243138</v>
      </c>
      <c r="E141" s="11">
        <f>A141-'Mastercurve bestimmen'!$B$2</f>
        <v>36</v>
      </c>
      <c r="F141" s="11">
        <f t="shared" si="10"/>
        <v>8.6729437174243138</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8.9884967048200046</v>
      </c>
      <c r="E142" s="11">
        <f>A142-'Mastercurve bestimmen'!$B$2</f>
        <v>37</v>
      </c>
      <c r="F142" s="11">
        <f t="shared" si="10"/>
        <v>8.9884967048200046</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9.3082603789068514</v>
      </c>
      <c r="E143" s="11">
        <f>A143-'Mastercurve bestimmen'!$B$2</f>
        <v>38</v>
      </c>
      <c r="F143" s="11">
        <f t="shared" si="10"/>
        <v>9.3082603789068514</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9.6321287530765449</v>
      </c>
      <c r="E144" s="11">
        <f>A144-'Mastercurve bestimmen'!$B$2</f>
        <v>39</v>
      </c>
      <c r="F144" s="11">
        <f t="shared" ref="F144:F207" si="15">B144</f>
        <v>9.6321287530765449</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9.9599958407207794</v>
      </c>
      <c r="E145" s="11">
        <f>A145-'Mastercurve bestimmen'!$B$2</f>
        <v>40</v>
      </c>
      <c r="F145" s="11">
        <f t="shared" si="15"/>
        <v>9.9599958407207794</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10.291755655231245</v>
      </c>
      <c r="E146" s="11">
        <f>A146-'Mastercurve bestimmen'!$B$2</f>
        <v>41</v>
      </c>
      <c r="F146" s="11">
        <f t="shared" si="15"/>
        <v>10.291755655231245</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10.627302209999634</v>
      </c>
      <c r="E147" s="11">
        <f>A147-'Mastercurve bestimmen'!$B$2</f>
        <v>42</v>
      </c>
      <c r="F147" s="11">
        <f t="shared" si="15"/>
        <v>10.627302209999634</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10.966529518417641</v>
      </c>
      <c r="E148" s="11">
        <f>A148-'Mastercurve bestimmen'!$B$2</f>
        <v>43</v>
      </c>
      <c r="F148" s="11">
        <f t="shared" si="15"/>
        <v>10.966529518417641</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11.309331593876959</v>
      </c>
      <c r="E149" s="11">
        <f>A149-'Mastercurve bestimmen'!$B$2</f>
        <v>44</v>
      </c>
      <c r="F149" s="11">
        <f t="shared" si="15"/>
        <v>11.309331593876959</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11.655602449769276</v>
      </c>
      <c r="E150" s="11">
        <f>A150-'Mastercurve bestimmen'!$B$2</f>
        <v>45</v>
      </c>
      <c r="F150" s="11">
        <f t="shared" si="15"/>
        <v>11.655602449769276</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12.005236099486286</v>
      </c>
      <c r="E151" s="11">
        <f>A151-'Mastercurve bestimmen'!$B$2</f>
        <v>46</v>
      </c>
      <c r="F151" s="11">
        <f t="shared" si="15"/>
        <v>12.005236099486286</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12.358126556419684</v>
      </c>
      <c r="E152" s="11">
        <f>A152-'Mastercurve bestimmen'!$B$2</f>
        <v>47</v>
      </c>
      <c r="F152" s="11">
        <f t="shared" si="15"/>
        <v>12.358126556419684</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12.714167833961158</v>
      </c>
      <c r="E153" s="11">
        <f>A153-'Mastercurve bestimmen'!$B$2</f>
        <v>48</v>
      </c>
      <c r="F153" s="11">
        <f t="shared" si="15"/>
        <v>12.714167833961158</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13.073253945502405</v>
      </c>
      <c r="E154" s="11">
        <f>A154-'Mastercurve bestimmen'!$B$2</f>
        <v>49</v>
      </c>
      <c r="F154" s="11">
        <f t="shared" si="15"/>
        <v>13.073253945502405</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13.435278904435114</v>
      </c>
      <c r="E155" s="11">
        <f>A155-'Mastercurve bestimmen'!$B$2</f>
        <v>50</v>
      </c>
      <c r="F155" s="11">
        <f t="shared" si="15"/>
        <v>13.435278904435114</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13.800136724150976</v>
      </c>
      <c r="E156" s="11">
        <f>A156-'Mastercurve bestimmen'!$B$2</f>
        <v>51</v>
      </c>
      <c r="F156" s="11">
        <f t="shared" si="15"/>
        <v>13.800136724150976</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14.167721418041687</v>
      </c>
      <c r="E157" s="11">
        <f>A157-'Mastercurve bestimmen'!$B$2</f>
        <v>52</v>
      </c>
      <c r="F157" s="11">
        <f t="shared" si="15"/>
        <v>14.167721418041687</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14.537926999498939</v>
      </c>
      <c r="E158" s="11">
        <f>A158-'Mastercurve bestimmen'!$B$2</f>
        <v>53</v>
      </c>
      <c r="F158" s="11">
        <f t="shared" si="15"/>
        <v>14.537926999498939</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14.91064748191442</v>
      </c>
      <c r="E159" s="11">
        <f>A159-'Mastercurve bestimmen'!$B$2</f>
        <v>54</v>
      </c>
      <c r="F159" s="11">
        <f t="shared" si="15"/>
        <v>14.91064748191442</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15.28577687867983</v>
      </c>
      <c r="E160" s="11">
        <f>A160-'Mastercurve bestimmen'!$B$2</f>
        <v>55</v>
      </c>
      <c r="F160" s="11">
        <f t="shared" si="15"/>
        <v>15.28577687867983</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15.663209203186852</v>
      </c>
      <c r="E161" s="11">
        <f>A161-'Mastercurve bestimmen'!$B$2</f>
        <v>56</v>
      </c>
      <c r="F161" s="11">
        <f t="shared" si="15"/>
        <v>15.663209203186852</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16.042838468827185</v>
      </c>
      <c r="E162" s="11">
        <f>A162-'Mastercurve bestimmen'!$B$2</f>
        <v>57</v>
      </c>
      <c r="F162" s="11">
        <f t="shared" si="15"/>
        <v>16.042838468827185</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16.424558688992519</v>
      </c>
      <c r="E163" s="11">
        <f>A163-'Mastercurve bestimmen'!$B$2</f>
        <v>58</v>
      </c>
      <c r="F163" s="11">
        <f t="shared" si="15"/>
        <v>16.424558688992519</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16.808263877074548</v>
      </c>
      <c r="E164" s="11">
        <f>A164-'Mastercurve bestimmen'!$B$2</f>
        <v>59</v>
      </c>
      <c r="F164" s="11">
        <f t="shared" si="15"/>
        <v>16.808263877074548</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17.193848046464961</v>
      </c>
      <c r="E165" s="11">
        <f>A165-'Mastercurve bestimmen'!$B$2</f>
        <v>60</v>
      </c>
      <c r="F165" s="11">
        <f t="shared" si="15"/>
        <v>17.193848046464961</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17.581205210555449</v>
      </c>
      <c r="E166" s="11">
        <f>A166-'Mastercurve bestimmen'!$B$2</f>
        <v>61</v>
      </c>
      <c r="F166" s="11">
        <f t="shared" si="15"/>
        <v>17.581205210555449</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17.970229382737713</v>
      </c>
      <c r="E167" s="11">
        <f>A167-'Mastercurve bestimmen'!$B$2</f>
        <v>62</v>
      </c>
      <c r="F167" s="11">
        <f t="shared" si="15"/>
        <v>17.970229382737713</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18.360814576403438</v>
      </c>
      <c r="E168" s="11">
        <f>A168-'Mastercurve bestimmen'!$B$2</f>
        <v>63</v>
      </c>
      <c r="F168" s="11">
        <f t="shared" si="15"/>
        <v>18.360814576403438</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18.752854804944317</v>
      </c>
      <c r="E169" s="11">
        <f>A169-'Mastercurve bestimmen'!$B$2</f>
        <v>64</v>
      </c>
      <c r="F169" s="11">
        <f t="shared" si="15"/>
        <v>18.752854804944317</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19.146244081752045</v>
      </c>
      <c r="E170" s="11">
        <f>A170-'Mastercurve bestimmen'!$B$2</f>
        <v>65</v>
      </c>
      <c r="F170" s="11">
        <f t="shared" si="15"/>
        <v>19.146244081752045</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19.540876420218307</v>
      </c>
      <c r="E171" s="11">
        <f>A171-'Mastercurve bestimmen'!$B$2</f>
        <v>66</v>
      </c>
      <c r="F171" s="11">
        <f t="shared" si="15"/>
        <v>19.540876420218307</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19.936645833734804</v>
      </c>
      <c r="E172" s="11">
        <f>A172-'Mastercurve bestimmen'!$B$2</f>
        <v>67</v>
      </c>
      <c r="F172" s="11">
        <f t="shared" si="15"/>
        <v>19.936645833734804</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20.333446335693228</v>
      </c>
      <c r="E173" s="11">
        <f>A173-'Mastercurve bestimmen'!$B$2</f>
        <v>68</v>
      </c>
      <c r="F173" s="11">
        <f t="shared" si="15"/>
        <v>20.333446335693228</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20.731171939485268</v>
      </c>
      <c r="E174" s="11">
        <f>A174-'Mastercurve bestimmen'!$B$2</f>
        <v>69</v>
      </c>
      <c r="F174" s="11">
        <f t="shared" si="15"/>
        <v>20.731171939485268</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21.129716658502616</v>
      </c>
      <c r="E175" s="11">
        <f>A175-'Mastercurve bestimmen'!$B$2</f>
        <v>70</v>
      </c>
      <c r="F175" s="11">
        <f t="shared" si="15"/>
        <v>21.129716658502616</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21.528974506136965</v>
      </c>
      <c r="E176" s="11">
        <f>A176-'Mastercurve bestimmen'!$B$2</f>
        <v>71</v>
      </c>
      <c r="F176" s="11">
        <f t="shared" si="15"/>
        <v>21.528974506136965</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21.928839495780004</v>
      </c>
      <c r="E177" s="11">
        <f>A177-'Mastercurve bestimmen'!$B$2</f>
        <v>72</v>
      </c>
      <c r="F177" s="11">
        <f t="shared" si="15"/>
        <v>21.928839495780004</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22.329205640823428</v>
      </c>
      <c r="E178" s="11">
        <f>A178-'Mastercurve bestimmen'!$B$2</f>
        <v>73</v>
      </c>
      <c r="F178" s="11">
        <f t="shared" si="15"/>
        <v>22.329205640823428</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22.729966954658934</v>
      </c>
      <c r="E179" s="11">
        <f>A179-'Mastercurve bestimmen'!$B$2</f>
        <v>74</v>
      </c>
      <c r="F179" s="11">
        <f t="shared" si="15"/>
        <v>22.729966954658934</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23.131017450678211</v>
      </c>
      <c r="E180" s="11">
        <f>A180-'Mastercurve bestimmen'!$B$2</f>
        <v>75</v>
      </c>
      <c r="F180" s="11">
        <f t="shared" si="15"/>
        <v>23.131017450678211</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23.532267934347782</v>
      </c>
      <c r="E181" s="11">
        <f>A181-'Mastercurve bestimmen'!$B$2</f>
        <v>76</v>
      </c>
      <c r="F181" s="11">
        <f t="shared" si="15"/>
        <v>23.532267934347782</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23.93369637943352</v>
      </c>
      <c r="E182" s="11">
        <f>A182-'Mastercurve bestimmen'!$B$2</f>
        <v>77</v>
      </c>
      <c r="F182" s="11">
        <f t="shared" si="15"/>
        <v>23.93369637943352</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24.335297551776122</v>
      </c>
      <c r="E183" s="11">
        <f>A183-'Mastercurve bestimmen'!$B$2</f>
        <v>78</v>
      </c>
      <c r="F183" s="11">
        <f t="shared" si="15"/>
        <v>24.335297551776122</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24.737066217216288</v>
      </c>
      <c r="E184" s="11">
        <f>A184-'Mastercurve bestimmen'!$B$2</f>
        <v>79</v>
      </c>
      <c r="F184" s="11">
        <f t="shared" si="15"/>
        <v>24.737066217216288</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25.138997141594722</v>
      </c>
      <c r="E185" s="11">
        <f>A185-'Mastercurve bestimmen'!$B$2</f>
        <v>80</v>
      </c>
      <c r="F185" s="11">
        <f t="shared" si="15"/>
        <v>25.138997141594722</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25.541085090752116</v>
      </c>
      <c r="E186" s="11">
        <f>A186-'Mastercurve bestimmen'!$B$2</f>
        <v>81</v>
      </c>
      <c r="F186" s="11">
        <f t="shared" si="15"/>
        <v>25.541085090752116</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25.943324830529189</v>
      </c>
      <c r="E187" s="11">
        <f>A187-'Mastercurve bestimmen'!$B$2</f>
        <v>82</v>
      </c>
      <c r="F187" s="11">
        <f t="shared" si="15"/>
        <v>25.943324830529189</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26.345711126766631</v>
      </c>
      <c r="E188" s="11">
        <f>A188-'Mastercurve bestimmen'!$B$2</f>
        <v>83</v>
      </c>
      <c r="F188" s="11">
        <f t="shared" si="15"/>
        <v>26.345711126766631</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26.748238745305141</v>
      </c>
      <c r="E189" s="11">
        <f>A189-'Mastercurve bestimmen'!$B$2</f>
        <v>84</v>
      </c>
      <c r="F189" s="11">
        <f t="shared" si="15"/>
        <v>26.748238745305141</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27.15090245198542</v>
      </c>
      <c r="E190" s="11">
        <f>A190-'Mastercurve bestimmen'!$B$2</f>
        <v>85</v>
      </c>
      <c r="F190" s="11">
        <f t="shared" si="15"/>
        <v>27.15090245198542</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27.553697012648179</v>
      </c>
      <c r="E191" s="11">
        <f>A191-'Mastercurve bestimmen'!$B$2</f>
        <v>86</v>
      </c>
      <c r="F191" s="11">
        <f t="shared" si="15"/>
        <v>27.553697012648179</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27.956617193134107</v>
      </c>
      <c r="E192" s="11">
        <f>A192-'Mastercurve bestimmen'!$B$2</f>
        <v>87</v>
      </c>
      <c r="F192" s="11">
        <f t="shared" si="15"/>
        <v>27.956617193134107</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28.359657759283916</v>
      </c>
      <c r="E193" s="11">
        <f>A193-'Mastercurve bestimmen'!$B$2</f>
        <v>88</v>
      </c>
      <c r="F193" s="11">
        <f t="shared" si="15"/>
        <v>28.359657759283916</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28.762813476938295</v>
      </c>
      <c r="E194" s="11">
        <f>A194-'Mastercurve bestimmen'!$B$2</f>
        <v>89</v>
      </c>
      <c r="F194" s="11">
        <f t="shared" si="15"/>
        <v>28.762813476938295</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29.166079111937954</v>
      </c>
      <c r="E195" s="11">
        <f>A195-'Mastercurve bestimmen'!$B$2</f>
        <v>90</v>
      </c>
      <c r="F195" s="11">
        <f t="shared" si="15"/>
        <v>29.166079111937954</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29.569449430123594</v>
      </c>
      <c r="E196" s="11">
        <f>A196-'Mastercurve bestimmen'!$B$2</f>
        <v>91</v>
      </c>
      <c r="F196" s="11">
        <f t="shared" si="15"/>
        <v>29.569449430123594</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29.972919197335912</v>
      </c>
      <c r="E197" s="11">
        <f>A197-'Mastercurve bestimmen'!$B$2</f>
        <v>92</v>
      </c>
      <c r="F197" s="11">
        <f t="shared" si="15"/>
        <v>29.972919197335912</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30.376483179415608</v>
      </c>
      <c r="E198" s="11">
        <f>A198-'Mastercurve bestimmen'!$B$2</f>
        <v>93</v>
      </c>
      <c r="F198" s="11">
        <f t="shared" si="15"/>
        <v>30.376483179415608</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30.780136142203393</v>
      </c>
      <c r="E199" s="11">
        <f>A199-'Mastercurve bestimmen'!$B$2</f>
        <v>94</v>
      </c>
      <c r="F199" s="11">
        <f t="shared" si="15"/>
        <v>30.780136142203393</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31.183872851539956</v>
      </c>
      <c r="E200" s="11">
        <f>A200-'Mastercurve bestimmen'!$B$2</f>
        <v>95</v>
      </c>
      <c r="F200" s="11">
        <f t="shared" si="15"/>
        <v>31.183872851539956</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31.587688073266001</v>
      </c>
      <c r="E201" s="11">
        <f>A201-'Mastercurve bestimmen'!$B$2</f>
        <v>96</v>
      </c>
      <c r="F201" s="11">
        <f t="shared" si="15"/>
        <v>31.587688073266001</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31.991576573222233</v>
      </c>
      <c r="E202" s="11">
        <f>A202-'Mastercurve bestimmen'!$B$2</f>
        <v>97</v>
      </c>
      <c r="F202" s="11">
        <f t="shared" si="15"/>
        <v>31.991576573222233</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32.39553311724935</v>
      </c>
      <c r="E203" s="11">
        <f>A203-'Mastercurve bestimmen'!$B$2</f>
        <v>98</v>
      </c>
      <c r="F203" s="11">
        <f t="shared" si="15"/>
        <v>32.39553311724935</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32.799552471188058</v>
      </c>
      <c r="E204" s="11">
        <f>A204-'Mastercurve bestimmen'!$B$2</f>
        <v>99</v>
      </c>
      <c r="F204" s="11">
        <f t="shared" si="15"/>
        <v>32.799552471188058</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33.203629400879052</v>
      </c>
      <c r="E205" s="11">
        <f>A205-'Mastercurve bestimmen'!$B$2</f>
        <v>100</v>
      </c>
      <c r="F205" s="11">
        <f t="shared" si="15"/>
        <v>33.203629400879052</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33.60775867216303</v>
      </c>
      <c r="E206" s="11">
        <f>A206-'Mastercurve bestimmen'!$B$2</f>
        <v>101</v>
      </c>
      <c r="F206" s="11">
        <f t="shared" si="15"/>
        <v>33.60775867216303</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34.011935050880709</v>
      </c>
      <c r="E207" s="11">
        <f>A207-'Mastercurve bestimmen'!$B$2</f>
        <v>102</v>
      </c>
      <c r="F207" s="11">
        <f t="shared" si="15"/>
        <v>34.011935050880709</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34.416153302872772</v>
      </c>
      <c r="E208" s="11">
        <f>A208-'Mastercurve bestimmen'!$B$2</f>
        <v>103</v>
      </c>
      <c r="F208" s="11">
        <f t="shared" ref="F208:F215" si="21">B208</f>
        <v>34.416153302872772</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34.820408193979922</v>
      </c>
      <c r="E209" s="11">
        <f>A209-'Mastercurve bestimmen'!$B$2</f>
        <v>104</v>
      </c>
      <c r="F209" s="11">
        <f t="shared" si="21"/>
        <v>34.820408193979922</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35.224694490042879</v>
      </c>
      <c r="E210" s="11">
        <f>A210-'Mastercurve bestimmen'!$B$2</f>
        <v>105</v>
      </c>
      <c r="F210" s="11">
        <f t="shared" si="21"/>
        <v>35.224694490042879</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35.629006956902323</v>
      </c>
      <c r="E211" s="11">
        <f>A211-'Mastercurve bestimmen'!$B$2</f>
        <v>106</v>
      </c>
      <c r="F211" s="11">
        <f t="shared" si="21"/>
        <v>35.629006956902323</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36.033340360398967</v>
      </c>
      <c r="E212" s="11">
        <f>A212-'Mastercurve bestimmen'!$B$2</f>
        <v>107</v>
      </c>
      <c r="F212" s="11">
        <f t="shared" si="21"/>
        <v>36.033340360398967</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36.437689466373499</v>
      </c>
      <c r="E213" s="11">
        <f>A213-'Mastercurve bestimmen'!$B$2</f>
        <v>108</v>
      </c>
      <c r="F213" s="11">
        <f t="shared" si="21"/>
        <v>36.437689466373499</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36.842049040666637</v>
      </c>
      <c r="E214" s="11">
        <f>A214-'Mastercurve bestimmen'!$B$2</f>
        <v>109</v>
      </c>
      <c r="F214" s="11">
        <f t="shared" si="21"/>
        <v>36.842049040666637</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37.246413849119072</v>
      </c>
      <c r="E215" s="11">
        <f>A215-'Mastercurve bestimmen'!$B$2</f>
        <v>110</v>
      </c>
      <c r="F215" s="11">
        <f t="shared" si="21"/>
        <v>37.246413849119072</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8" t="s">
        <v>138</v>
      </c>
      <c r="J216" s="98" t="s">
        <v>139</v>
      </c>
      <c r="K216" s="98" t="s">
        <v>140</v>
      </c>
      <c r="L216" s="98" t="s">
        <v>141</v>
      </c>
      <c r="M216" s="98" t="s">
        <v>142</v>
      </c>
      <c r="N216" s="98" t="s">
        <v>143</v>
      </c>
      <c r="O216" s="98" t="s">
        <v>144</v>
      </c>
      <c r="P216" s="98" t="s">
        <v>145</v>
      </c>
    </row>
    <row r="217" spans="1:16" x14ac:dyDescent="0.25">
      <c r="G217" s="35" t="s">
        <v>146</v>
      </c>
      <c r="H217" s="99">
        <f t="array" ref="H217:P219">LINEST(F15:F215,H15:P215,FALSE,TRUE)</f>
        <v>0</v>
      </c>
      <c r="I217" s="99">
        <v>0.1931800707257747</v>
      </c>
      <c r="J217" s="99">
        <v>4.8265232005547759E-4</v>
      </c>
      <c r="K217" s="99">
        <v>3.0002170844549274E-5</v>
      </c>
      <c r="L217" s="99">
        <v>-8.7073576756865787E-8</v>
      </c>
      <c r="M217" s="99">
        <v>-2.8587851564865253E-9</v>
      </c>
      <c r="N217" s="99">
        <v>1.1713579986778808E-11</v>
      </c>
      <c r="O217" s="99">
        <v>8.1781520838060453E-14</v>
      </c>
      <c r="P217" s="99">
        <v>-3.5613289780438361E-16</v>
      </c>
    </row>
    <row r="218" spans="1:16" x14ac:dyDescent="0.25">
      <c r="G218" s="11"/>
      <c r="H218" s="11">
        <v>0</v>
      </c>
      <c r="I218" s="11">
        <v>9.2163472369306983E-4</v>
      </c>
      <c r="J218" s="11">
        <v>2.0699993526357589E-5</v>
      </c>
      <c r="K218" s="3">
        <v>7.741232536104794E-7</v>
      </c>
      <c r="L218" s="3">
        <v>1.1621692202727396E-8</v>
      </c>
      <c r="M218" s="3">
        <v>1.8900943152813142E-10</v>
      </c>
      <c r="N218" s="3">
        <v>2.1852577451563367E-12</v>
      </c>
      <c r="O218" s="11">
        <v>1.3687728985644014E-14</v>
      </c>
      <c r="P218" s="11">
        <v>1.3816015933752736E-16</v>
      </c>
    </row>
    <row r="219" spans="1:16" x14ac:dyDescent="0.25">
      <c r="G219" s="11"/>
      <c r="H219" s="11">
        <v>0.99996578199516484</v>
      </c>
      <c r="I219" s="11">
        <v>0.10328737457667561</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-23.399905495757395</v>
      </c>
      <c r="G222">
        <f>F15</f>
        <v>-23.551328837701199</v>
      </c>
    </row>
    <row r="223" spans="1:16" x14ac:dyDescent="0.25">
      <c r="E223" s="11">
        <f t="shared" ref="E223:E286" si="25">E16</f>
        <v>-89</v>
      </c>
      <c r="F223" s="11">
        <f t="shared" ref="F223:F286" si="26">$H$217*0+E223*$I$217+E223^2*$J$217+E223^3*$K$217+E223^4*$L$217+E223^5*$M$217+E223^6*$N$217+E223^7*$O$217+E223^8*$P$217</f>
        <v>-23.217927229105968</v>
      </c>
      <c r="G223" s="11">
        <f t="shared" ref="G223:G286" si="27">F16</f>
        <v>-23.306988035278767</v>
      </c>
    </row>
    <row r="224" spans="1:16" x14ac:dyDescent="0.25">
      <c r="E224" s="11">
        <f t="shared" si="25"/>
        <v>-88</v>
      </c>
      <c r="F224" s="11">
        <f t="shared" si="26"/>
        <v>-23.026019937601596</v>
      </c>
      <c r="G224" s="11">
        <f t="shared" si="27"/>
        <v>-23.062402568764593</v>
      </c>
    </row>
    <row r="225" spans="5:7" x14ac:dyDescent="0.25">
      <c r="E225" s="11">
        <f t="shared" si="25"/>
        <v>-87</v>
      </c>
      <c r="F225" s="11">
        <f t="shared" si="26"/>
        <v>-22.824432988086471</v>
      </c>
      <c r="G225" s="11">
        <f t="shared" si="27"/>
        <v>-22.817327774066928</v>
      </c>
    </row>
    <row r="226" spans="5:7" x14ac:dyDescent="0.25">
      <c r="E226" s="11">
        <f t="shared" si="25"/>
        <v>-86</v>
      </c>
      <c r="F226" s="11">
        <f t="shared" si="26"/>
        <v>-22.613437701412224</v>
      </c>
      <c r="G226" s="11">
        <f t="shared" si="27"/>
        <v>-22.571518987094045</v>
      </c>
    </row>
    <row r="227" spans="5:7" x14ac:dyDescent="0.25">
      <c r="E227" s="11">
        <f t="shared" si="25"/>
        <v>-85</v>
      </c>
      <c r="F227" s="11">
        <f t="shared" si="26"/>
        <v>-22.393325251964022</v>
      </c>
      <c r="G227" s="11">
        <f t="shared" si="27"/>
        <v>-22.32473154375419</v>
      </c>
    </row>
    <row r="228" spans="5:7" x14ac:dyDescent="0.25">
      <c r="E228" s="11">
        <f t="shared" si="25"/>
        <v>-84</v>
      </c>
      <c r="F228" s="11">
        <f t="shared" si="26"/>
        <v>-22.164404648956751</v>
      </c>
      <c r="G228" s="11">
        <f t="shared" si="27"/>
        <v>-22.076720779955625</v>
      </c>
    </row>
    <row r="229" spans="5:7" x14ac:dyDescent="0.25">
      <c r="E229" s="11">
        <f t="shared" si="25"/>
        <v>-83</v>
      </c>
      <c r="F229" s="11">
        <f t="shared" si="26"/>
        <v>-21.927000797849075</v>
      </c>
      <c r="G229" s="11">
        <f t="shared" si="27"/>
        <v>-21.827242031606612</v>
      </c>
    </row>
    <row r="230" spans="5:7" x14ac:dyDescent="0.25">
      <c r="E230" s="11">
        <f t="shared" si="25"/>
        <v>-82</v>
      </c>
      <c r="F230" s="11">
        <f t="shared" si="26"/>
        <v>-21.681452640235214</v>
      </c>
      <c r="G230" s="11">
        <f t="shared" si="27"/>
        <v>-21.576050634615395</v>
      </c>
    </row>
    <row r="231" spans="5:7" x14ac:dyDescent="0.25">
      <c r="E231" s="11">
        <f t="shared" si="25"/>
        <v>-81</v>
      </c>
      <c r="F231" s="11">
        <f t="shared" si="26"/>
        <v>-21.428111370589356</v>
      </c>
      <c r="G231" s="11">
        <f t="shared" si="27"/>
        <v>-21.322901924890246</v>
      </c>
    </row>
    <row r="232" spans="5:7" x14ac:dyDescent="0.25">
      <c r="E232" s="11">
        <f t="shared" si="25"/>
        <v>-80</v>
      </c>
      <c r="F232" s="11">
        <f t="shared" si="26"/>
        <v>-21.167338728250989</v>
      </c>
      <c r="G232" s="11">
        <f t="shared" si="27"/>
        <v>-21.067551238339423</v>
      </c>
    </row>
    <row r="233" spans="5:7" x14ac:dyDescent="0.25">
      <c r="E233" s="11">
        <f t="shared" si="25"/>
        <v>-79</v>
      </c>
      <c r="F233" s="11">
        <f t="shared" si="26"/>
        <v>-20.89950536305485</v>
      </c>
      <c r="G233" s="11">
        <f t="shared" si="27"/>
        <v>-20.809753910871173</v>
      </c>
    </row>
    <row r="234" spans="5:7" x14ac:dyDescent="0.25">
      <c r="E234" s="11">
        <f t="shared" si="25"/>
        <v>-78</v>
      </c>
      <c r="F234" s="11">
        <f t="shared" si="26"/>
        <v>-20.624989273022607</v>
      </c>
      <c r="G234" s="11">
        <f t="shared" si="27"/>
        <v>-20.549265278393761</v>
      </c>
    </row>
    <row r="235" spans="5:7" x14ac:dyDescent="0.25">
      <c r="E235" s="11">
        <f t="shared" si="25"/>
        <v>-77</v>
      </c>
      <c r="F235" s="11">
        <f t="shared" si="26"/>
        <v>-20.344174312548436</v>
      </c>
      <c r="G235" s="11">
        <f t="shared" si="27"/>
        <v>-20.285840676815447</v>
      </c>
    </row>
    <row r="236" spans="5:7" x14ac:dyDescent="0.25">
      <c r="E236" s="11">
        <f t="shared" si="25"/>
        <v>-76</v>
      </c>
      <c r="F236" s="11">
        <f t="shared" si="26"/>
        <v>-20.057448769524687</v>
      </c>
      <c r="G236" s="11">
        <f t="shared" si="27"/>
        <v>-20.019235442044483</v>
      </c>
    </row>
    <row r="237" spans="5:7" x14ac:dyDescent="0.25">
      <c r="E237" s="11">
        <f t="shared" si="25"/>
        <v>-75</v>
      </c>
      <c r="F237" s="11">
        <f t="shared" si="26"/>
        <v>-19.765204009868167</v>
      </c>
      <c r="G237" s="11">
        <f t="shared" si="27"/>
        <v>-19.749204909989132</v>
      </c>
    </row>
    <row r="238" spans="5:7" x14ac:dyDescent="0.25">
      <c r="E238" s="11">
        <f t="shared" si="25"/>
        <v>-74</v>
      </c>
      <c r="F238" s="11">
        <f t="shared" si="26"/>
        <v>-19.46783318792215</v>
      </c>
      <c r="G238" s="11">
        <f t="shared" si="27"/>
        <v>-19.475504416557648</v>
      </c>
    </row>
    <row r="239" spans="5:7" x14ac:dyDescent="0.25">
      <c r="E239" s="11">
        <f t="shared" si="25"/>
        <v>-73</v>
      </c>
      <c r="F239" s="11">
        <f t="shared" si="26"/>
        <v>-19.165730021223371</v>
      </c>
      <c r="G239" s="11">
        <f t="shared" si="27"/>
        <v>-19.197889297658289</v>
      </c>
    </row>
    <row r="240" spans="5:7" x14ac:dyDescent="0.25">
      <c r="E240" s="11">
        <f t="shared" si="25"/>
        <v>-72</v>
      </c>
      <c r="F240" s="11">
        <f t="shared" si="26"/>
        <v>-18.85928762813769</v>
      </c>
      <c r="G240" s="11">
        <f t="shared" si="27"/>
        <v>-18.916114889199317</v>
      </c>
    </row>
    <row r="241" spans="5:7" x14ac:dyDescent="0.25">
      <c r="E241" s="11">
        <f t="shared" si="25"/>
        <v>-71</v>
      </c>
      <c r="F241" s="11">
        <f t="shared" si="26"/>
        <v>-18.548897426882561</v>
      </c>
      <c r="G241" s="11">
        <f t="shared" si="27"/>
        <v>-18.629936527088987</v>
      </c>
    </row>
    <row r="242" spans="5:7" x14ac:dyDescent="0.25">
      <c r="E242" s="11">
        <f t="shared" si="25"/>
        <v>-70</v>
      </c>
      <c r="F242" s="11">
        <f t="shared" si="26"/>
        <v>-18.234948094468642</v>
      </c>
      <c r="G242" s="11">
        <f t="shared" si="27"/>
        <v>-18.339109547235555</v>
      </c>
    </row>
    <row r="243" spans="5:7" x14ac:dyDescent="0.25">
      <c r="E243" s="11">
        <f t="shared" si="25"/>
        <v>-69</v>
      </c>
      <c r="F243" s="11">
        <f t="shared" si="26"/>
        <v>-17.917824584107315</v>
      </c>
      <c r="G243" s="11">
        <f t="shared" si="27"/>
        <v>-18.043389285547285</v>
      </c>
    </row>
    <row r="244" spans="5:7" x14ac:dyDescent="0.25">
      <c r="E244" s="11">
        <f t="shared" si="25"/>
        <v>-68</v>
      </c>
      <c r="F244" s="11">
        <f t="shared" si="26"/>
        <v>-17.597907199645334</v>
      </c>
      <c r="G244" s="11">
        <f t="shared" si="27"/>
        <v>-17.74253107793243</v>
      </c>
    </row>
    <row r="245" spans="5:7" x14ac:dyDescent="0.25">
      <c r="E245" s="11">
        <f t="shared" si="25"/>
        <v>-67</v>
      </c>
      <c r="F245" s="11">
        <f t="shared" si="26"/>
        <v>-17.275570725602002</v>
      </c>
      <c r="G245" s="11">
        <f t="shared" si="27"/>
        <v>-17.436290260299245</v>
      </c>
    </row>
    <row r="246" spans="5:7" x14ac:dyDescent="0.25">
      <c r="E246" s="11">
        <f t="shared" si="25"/>
        <v>-66</v>
      </c>
      <c r="F246" s="11">
        <f t="shared" si="26"/>
        <v>-16.951183611398761</v>
      </c>
      <c r="G246" s="11">
        <f t="shared" si="27"/>
        <v>-17.124422168555999</v>
      </c>
    </row>
    <row r="247" spans="5:7" x14ac:dyDescent="0.25">
      <c r="E247" s="11">
        <f t="shared" si="25"/>
        <v>-65</v>
      </c>
      <c r="F247" s="11">
        <f t="shared" si="26"/>
        <v>-16.62510720838544</v>
      </c>
      <c r="G247" s="11">
        <f t="shared" si="27"/>
        <v>-16.806682138610938</v>
      </c>
    </row>
    <row r="248" spans="5:7" x14ac:dyDescent="0.25">
      <c r="E248" s="11">
        <f t="shared" si="25"/>
        <v>-64</v>
      </c>
      <c r="F248" s="11">
        <f t="shared" si="26"/>
        <v>-16.297695058281697</v>
      </c>
      <c r="G248" s="11">
        <f t="shared" si="27"/>
        <v>-16.482825506372329</v>
      </c>
    </row>
    <row r="249" spans="5:7" x14ac:dyDescent="0.25">
      <c r="E249" s="11">
        <f t="shared" si="25"/>
        <v>-63</v>
      </c>
      <c r="F249" s="11">
        <f t="shared" si="26"/>
        <v>-15.969292231666511</v>
      </c>
      <c r="G249" s="11">
        <f t="shared" si="27"/>
        <v>-16.152607607748422</v>
      </c>
    </row>
    <row r="250" spans="5:7" x14ac:dyDescent="0.25">
      <c r="E250" s="11">
        <f t="shared" si="25"/>
        <v>-62</v>
      </c>
      <c r="F250" s="11">
        <f t="shared" si="26"/>
        <v>-15.640234715163208</v>
      </c>
      <c r="G250" s="11">
        <f t="shared" si="27"/>
        <v>-15.815783778647479</v>
      </c>
    </row>
    <row r="251" spans="5:7" x14ac:dyDescent="0.25">
      <c r="E251" s="11">
        <f t="shared" si="25"/>
        <v>-61</v>
      </c>
      <c r="F251" s="11">
        <f t="shared" si="26"/>
        <v>-15.310848845981464</v>
      </c>
      <c r="G251" s="11">
        <f t="shared" si="27"/>
        <v>-15.472109354977759</v>
      </c>
    </row>
    <row r="252" spans="5:7" x14ac:dyDescent="0.25">
      <c r="E252" s="11">
        <f t="shared" si="25"/>
        <v>-60</v>
      </c>
      <c r="F252" s="11">
        <f t="shared" si="26"/>
        <v>-14.981450792492407</v>
      </c>
      <c r="G252" s="11">
        <f t="shared" si="27"/>
        <v>-15.121339672647515</v>
      </c>
    </row>
    <row r="253" spans="5:7" x14ac:dyDescent="0.25">
      <c r="E253" s="11">
        <f t="shared" si="25"/>
        <v>-59</v>
      </c>
      <c r="F253" s="11">
        <f t="shared" si="26"/>
        <v>-14.652346079527131</v>
      </c>
      <c r="G253" s="11">
        <f t="shared" si="27"/>
        <v>-14.763230067565013</v>
      </c>
    </row>
    <row r="254" spans="5:7" x14ac:dyDescent="0.25">
      <c r="E254" s="11">
        <f t="shared" si="25"/>
        <v>-58</v>
      </c>
      <c r="F254" s="11">
        <f t="shared" si="26"/>
        <v>-14.323829157103425</v>
      </c>
      <c r="G254" s="11">
        <f t="shared" si="27"/>
        <v>-14.397535875638503</v>
      </c>
    </row>
    <row r="255" spans="5:7" x14ac:dyDescent="0.25">
      <c r="E255" s="11">
        <f t="shared" si="25"/>
        <v>-57</v>
      </c>
      <c r="F255" s="11">
        <f t="shared" si="26"/>
        <v>-13.996183011299664</v>
      </c>
      <c r="G255" s="11">
        <f t="shared" si="27"/>
        <v>-14.024012432776249</v>
      </c>
    </row>
    <row r="256" spans="5:7" x14ac:dyDescent="0.25">
      <c r="E256" s="11">
        <f t="shared" si="25"/>
        <v>-56</v>
      </c>
      <c r="F256" s="11">
        <f t="shared" si="26"/>
        <v>-13.669678816009476</v>
      </c>
      <c r="G256" s="11">
        <f t="shared" si="27"/>
        <v>-13.642415074886507</v>
      </c>
    </row>
    <row r="257" spans="5:7" x14ac:dyDescent="0.25">
      <c r="E257" s="11">
        <f t="shared" si="25"/>
        <v>-55</v>
      </c>
      <c r="F257" s="11">
        <f t="shared" si="26"/>
        <v>-13.344575624324852</v>
      </c>
      <c r="G257" s="11">
        <f t="shared" si="27"/>
        <v>-13.25249913787753</v>
      </c>
    </row>
    <row r="258" spans="5:7" x14ac:dyDescent="0.25">
      <c r="E258" s="11">
        <f t="shared" si="25"/>
        <v>-54</v>
      </c>
      <c r="F258" s="11">
        <f t="shared" si="26"/>
        <v>-13.021120098309893</v>
      </c>
      <c r="G258" s="11">
        <f t="shared" si="27"/>
        <v>-12.854019957657583</v>
      </c>
    </row>
    <row r="259" spans="5:7" x14ac:dyDescent="0.25">
      <c r="E259" s="11">
        <f t="shared" si="25"/>
        <v>-53</v>
      </c>
      <c r="F259" s="11">
        <f t="shared" si="26"/>
        <v>-12.699546275941803</v>
      </c>
      <c r="G259" s="11">
        <f t="shared" si="27"/>
        <v>-12.44673287013492</v>
      </c>
    </row>
    <row r="260" spans="5:7" x14ac:dyDescent="0.25">
      <c r="E260" s="11">
        <f t="shared" si="25"/>
        <v>-52</v>
      </c>
      <c r="F260" s="11">
        <f t="shared" si="26"/>
        <v>-12.380075374009868</v>
      </c>
      <c r="G260" s="11">
        <f t="shared" si="27"/>
        <v>-12.030393211217797</v>
      </c>
    </row>
    <row r="261" spans="5:7" x14ac:dyDescent="0.25">
      <c r="E261" s="11">
        <f t="shared" si="25"/>
        <v>-51</v>
      </c>
      <c r="F261" s="11">
        <f t="shared" si="26"/>
        <v>-12.062915625777789</v>
      </c>
      <c r="G261" s="11">
        <f t="shared" si="27"/>
        <v>-11.604756316814479</v>
      </c>
    </row>
    <row r="262" spans="5:7" x14ac:dyDescent="0.25">
      <c r="E262" s="11">
        <f t="shared" si="25"/>
        <v>-50</v>
      </c>
      <c r="F262" s="11">
        <f t="shared" si="26"/>
        <v>-11.748262152228872</v>
      </c>
      <c r="G262" s="11">
        <f t="shared" si="27"/>
        <v>-11.169577522833219</v>
      </c>
    </row>
    <row r="263" spans="5:7" x14ac:dyDescent="0.25">
      <c r="E263" s="11">
        <f t="shared" si="25"/>
        <v>-49</v>
      </c>
      <c r="F263" s="11">
        <f t="shared" si="26"/>
        <v>-11.436296865728105</v>
      </c>
      <c r="G263" s="11">
        <f t="shared" si="27"/>
        <v>-10.978459403690659</v>
      </c>
    </row>
    <row r="264" spans="5:7" x14ac:dyDescent="0.25">
      <c r="E264" s="11">
        <f t="shared" si="25"/>
        <v>-48</v>
      </c>
      <c r="F264" s="11">
        <f t="shared" si="26"/>
        <v>-11.127188404949393</v>
      </c>
      <c r="G264" s="11">
        <f t="shared" si="27"/>
        <v>-10.778163054160741</v>
      </c>
    </row>
    <row r="265" spans="5:7" x14ac:dyDescent="0.25">
      <c r="E265" s="11">
        <f t="shared" si="25"/>
        <v>-47</v>
      </c>
      <c r="F265" s="11">
        <f t="shared" si="26"/>
        <v>-10.821092099930658</v>
      </c>
      <c r="G265" s="11">
        <f t="shared" si="27"/>
        <v>-10.569296807525783</v>
      </c>
    </row>
    <row r="266" spans="5:7" x14ac:dyDescent="0.25">
      <c r="E266" s="11">
        <f t="shared" si="25"/>
        <v>-46</v>
      </c>
      <c r="F266" s="11">
        <f t="shared" si="26"/>
        <v>-10.518149966133828</v>
      </c>
      <c r="G266" s="11">
        <f t="shared" si="27"/>
        <v>-10.352468997068108</v>
      </c>
    </row>
    <row r="267" spans="5:7" x14ac:dyDescent="0.25">
      <c r="E267" s="11">
        <f t="shared" si="25"/>
        <v>-45</v>
      </c>
      <c r="F267" s="11">
        <f t="shared" si="26"/>
        <v>-10.218490726401098</v>
      </c>
      <c r="G267" s="11">
        <f t="shared" si="27"/>
        <v>-10.128287956070038</v>
      </c>
    </row>
    <row r="268" spans="5:7" x14ac:dyDescent="0.25">
      <c r="E268" s="11">
        <f t="shared" si="25"/>
        <v>-44</v>
      </c>
      <c r="F268" s="11">
        <f t="shared" si="26"/>
        <v>-9.9222298597132532</v>
      </c>
      <c r="G268" s="11">
        <f t="shared" si="27"/>
        <v>-9.8973620178138972</v>
      </c>
    </row>
    <row r="269" spans="5:7" x14ac:dyDescent="0.25">
      <c r="E269" s="11">
        <f t="shared" si="25"/>
        <v>-43</v>
      </c>
      <c r="F269" s="11">
        <f t="shared" si="26"/>
        <v>-9.629469675670137</v>
      </c>
      <c r="G269" s="11">
        <f t="shared" si="27"/>
        <v>-9.6602995155820022</v>
      </c>
    </row>
    <row r="270" spans="5:7" x14ac:dyDescent="0.25">
      <c r="E270" s="11">
        <f t="shared" si="25"/>
        <v>-42</v>
      </c>
      <c r="F270" s="11">
        <f t="shared" si="26"/>
        <v>-9.340299413627756</v>
      </c>
      <c r="G270" s="11">
        <f t="shared" si="27"/>
        <v>-9.4177087826566837</v>
      </c>
    </row>
    <row r="271" spans="5:7" x14ac:dyDescent="0.25">
      <c r="E271" s="11">
        <f t="shared" si="25"/>
        <v>-41</v>
      </c>
      <c r="F271" s="11">
        <f t="shared" si="26"/>
        <v>-9.05479536544083</v>
      </c>
      <c r="G271" s="11">
        <f t="shared" si="27"/>
        <v>-9.1701981523202569</v>
      </c>
    </row>
    <row r="272" spans="5:7" x14ac:dyDescent="0.25">
      <c r="E272" s="11">
        <f t="shared" si="25"/>
        <v>-40</v>
      </c>
      <c r="F272" s="11">
        <f t="shared" si="26"/>
        <v>-8.7730210207740456</v>
      </c>
      <c r="G272" s="11">
        <f t="shared" si="27"/>
        <v>-8.9183759578550479</v>
      </c>
    </row>
    <row r="273" spans="5:7" x14ac:dyDescent="0.25">
      <c r="E273" s="11">
        <f t="shared" si="25"/>
        <v>-39</v>
      </c>
      <c r="F273" s="11">
        <f t="shared" si="26"/>
        <v>-8.4950272339594495</v>
      </c>
      <c r="G273" s="11">
        <f t="shared" si="27"/>
        <v>-8.6628505325433771</v>
      </c>
    </row>
    <row r="274" spans="5:7" x14ac:dyDescent="0.25">
      <c r="E274" s="11">
        <f t="shared" si="25"/>
        <v>-38</v>
      </c>
      <c r="F274" s="11">
        <f t="shared" si="26"/>
        <v>-8.2208524113920181</v>
      </c>
      <c r="G274" s="11">
        <f t="shared" si="27"/>
        <v>-8.4042302096675652</v>
      </c>
    </row>
    <row r="275" spans="5:7" x14ac:dyDescent="0.25">
      <c r="E275" s="11">
        <f t="shared" si="25"/>
        <v>-37</v>
      </c>
      <c r="F275" s="11">
        <f t="shared" si="26"/>
        <v>-7.9505227184695926</v>
      </c>
      <c r="G275" s="11">
        <f t="shared" si="27"/>
        <v>-8.1431233225099398</v>
      </c>
    </row>
    <row r="276" spans="5:7" x14ac:dyDescent="0.25">
      <c r="E276" s="11">
        <f t="shared" si="25"/>
        <v>-36</v>
      </c>
      <c r="F276" s="11">
        <f t="shared" si="26"/>
        <v>-7.6840523050978371</v>
      </c>
      <c r="G276" s="11">
        <f t="shared" si="27"/>
        <v>-7.880138204352817</v>
      </c>
    </row>
    <row r="277" spans="5:7" x14ac:dyDescent="0.25">
      <c r="E277" s="11">
        <f t="shared" si="25"/>
        <v>-35</v>
      </c>
      <c r="F277" s="11">
        <f t="shared" si="26"/>
        <v>-7.4214435487951995</v>
      </c>
      <c r="G277" s="11">
        <f t="shared" si="27"/>
        <v>-7.6158831884785219</v>
      </c>
    </row>
    <row r="278" spans="5:7" x14ac:dyDescent="0.25">
      <c r="E278" s="11">
        <f t="shared" si="25"/>
        <v>-34</v>
      </c>
      <c r="F278" s="11">
        <f t="shared" si="26"/>
        <v>-7.1626873144472363</v>
      </c>
      <c r="G278" s="11">
        <f t="shared" si="27"/>
        <v>-7.3509666081693776</v>
      </c>
    </row>
    <row r="279" spans="5:7" x14ac:dyDescent="0.25">
      <c r="E279" s="11">
        <f t="shared" si="25"/>
        <v>-33</v>
      </c>
      <c r="F279" s="11">
        <f t="shared" si="26"/>
        <v>-6.907763229774007</v>
      </c>
      <c r="G279" s="11">
        <f t="shared" si="27"/>
        <v>-7.0859967967077049</v>
      </c>
    </row>
    <row r="280" spans="5:7" x14ac:dyDescent="0.25">
      <c r="E280" s="11">
        <f t="shared" si="25"/>
        <v>-32</v>
      </c>
      <c r="F280" s="11">
        <f t="shared" si="26"/>
        <v>-6.656639975588571</v>
      </c>
      <c r="G280" s="11">
        <f t="shared" si="27"/>
        <v>-6.8215820873758259</v>
      </c>
    </row>
    <row r="281" spans="5:7" x14ac:dyDescent="0.25">
      <c r="E281" s="11">
        <f t="shared" si="25"/>
        <v>-31</v>
      </c>
      <c r="F281" s="11">
        <f t="shared" si="26"/>
        <v>-6.4092755899390843</v>
      </c>
      <c r="G281" s="11">
        <f t="shared" si="27"/>
        <v>-6.5583308134560632</v>
      </c>
    </row>
    <row r="282" spans="5:7" x14ac:dyDescent="0.25">
      <c r="E282" s="11">
        <f t="shared" si="25"/>
        <v>-30</v>
      </c>
      <c r="F282" s="11">
        <f t="shared" si="26"/>
        <v>-6.1656177852411949</v>
      </c>
      <c r="G282" s="11">
        <f t="shared" si="27"/>
        <v>-6.2968513082307389</v>
      </c>
    </row>
    <row r="283" spans="5:7" x14ac:dyDescent="0.25">
      <c r="E283" s="11">
        <f t="shared" si="25"/>
        <v>-29</v>
      </c>
      <c r="F283" s="11">
        <f t="shared" si="26"/>
        <v>-5.92560427752196</v>
      </c>
      <c r="G283" s="11">
        <f t="shared" si="27"/>
        <v>-6.0377519049821755</v>
      </c>
    </row>
    <row r="284" spans="5:7" x14ac:dyDescent="0.25">
      <c r="E284" s="11">
        <f t="shared" si="25"/>
        <v>-28</v>
      </c>
      <c r="F284" s="11">
        <f t="shared" si="26"/>
        <v>-5.6891631269107181</v>
      </c>
      <c r="G284" s="11">
        <f t="shared" si="27"/>
        <v>-5.7816409369926944</v>
      </c>
    </row>
    <row r="285" spans="5:7" x14ac:dyDescent="0.25">
      <c r="E285" s="11">
        <f t="shared" si="25"/>
        <v>-27</v>
      </c>
      <c r="F285" s="11">
        <f t="shared" si="26"/>
        <v>-5.456213088526856</v>
      </c>
      <c r="G285" s="11">
        <f t="shared" si="27"/>
        <v>-5.5291267375446189</v>
      </c>
    </row>
    <row r="286" spans="5:7" x14ac:dyDescent="0.25">
      <c r="E286" s="11">
        <f t="shared" si="25"/>
        <v>-26</v>
      </c>
      <c r="F286" s="11">
        <f t="shared" si="26"/>
        <v>-5.2266639729286171</v>
      </c>
      <c r="G286" s="11">
        <f t="shared" si="27"/>
        <v>-5.2808176399202713</v>
      </c>
    </row>
    <row r="287" spans="5:7" x14ac:dyDescent="0.25">
      <c r="E287" s="11">
        <f t="shared" ref="E287:E350" si="28">E80</f>
        <v>-25</v>
      </c>
      <c r="F287" s="11">
        <f t="shared" ref="F287:F350" si="29">$H$217*0+E287*$I$217+E287^2*$J$217+E287^3*$K$217+E287^4*$L$217+E287^5*$M$217+E287^6*$N$217+E287^7*$O$217+E287^8*$P$217</f>
        <v>-5.0004170153015828</v>
      </c>
      <c r="G287" s="11">
        <f t="shared" ref="G287:G350" si="30">F80</f>
        <v>-5.0373219774019731</v>
      </c>
    </row>
    <row r="288" spans="5:7" x14ac:dyDescent="0.25">
      <c r="E288" s="11">
        <f t="shared" si="28"/>
        <v>-24</v>
      </c>
      <c r="F288" s="11">
        <f t="shared" si="29"/>
        <v>-4.7773652525797514</v>
      </c>
      <c r="G288" s="11">
        <f t="shared" si="30"/>
        <v>-4.7991012882848647</v>
      </c>
    </row>
    <row r="289" spans="5:7" x14ac:dyDescent="0.25">
      <c r="E289" s="11">
        <f t="shared" si="28"/>
        <v>-23</v>
      </c>
      <c r="F289" s="11">
        <f t="shared" si="29"/>
        <v>-4.5573939077065102</v>
      </c>
      <c r="G289" s="11">
        <f t="shared" si="30"/>
        <v>-4.5660299309153656</v>
      </c>
    </row>
    <row r="290" spans="5:7" x14ac:dyDescent="0.25">
      <c r="E290" s="11">
        <f t="shared" si="28"/>
        <v>-22</v>
      </c>
      <c r="F290" s="11">
        <f t="shared" si="29"/>
        <v>-4.3403807802571759</v>
      </c>
      <c r="G290" s="11">
        <f t="shared" si="30"/>
        <v>-4.3378354686527096</v>
      </c>
    </row>
    <row r="291" spans="5:7" x14ac:dyDescent="0.25">
      <c r="E291" s="11">
        <f t="shared" si="28"/>
        <v>-21</v>
      </c>
      <c r="F291" s="11">
        <f t="shared" si="29"/>
        <v>-4.1261966426590986</v>
      </c>
      <c r="G291" s="11">
        <f t="shared" si="30"/>
        <v>-4.1142454648561344</v>
      </c>
    </row>
    <row r="292" spans="5:7" x14ac:dyDescent="0.25">
      <c r="E292" s="11">
        <f t="shared" si="28"/>
        <v>-20</v>
      </c>
      <c r="F292" s="11">
        <f t="shared" si="29"/>
        <v>-3.9147056412597414</v>
      </c>
      <c r="G292" s="11">
        <f t="shared" si="30"/>
        <v>-3.8949874828848761</v>
      </c>
    </row>
    <row r="293" spans="5:7" x14ac:dyDescent="0.25">
      <c r="E293" s="11">
        <f t="shared" si="28"/>
        <v>-19</v>
      </c>
      <c r="F293" s="11">
        <f t="shared" si="29"/>
        <v>-3.7057657015074246</v>
      </c>
      <c r="G293" s="11">
        <f t="shared" si="30"/>
        <v>-3.6797890860981703</v>
      </c>
    </row>
    <row r="294" spans="5:7" x14ac:dyDescent="0.25">
      <c r="E294" s="11">
        <f t="shared" si="28"/>
        <v>-18</v>
      </c>
      <c r="F294" s="11">
        <f t="shared" si="29"/>
        <v>-3.4992289365238842</v>
      </c>
      <c r="G294" s="11">
        <f t="shared" si="30"/>
        <v>-3.4683778378552543</v>
      </c>
    </row>
    <row r="295" spans="5:7" x14ac:dyDescent="0.25">
      <c r="E295" s="11">
        <f t="shared" si="28"/>
        <v>-17</v>
      </c>
      <c r="F295" s="11">
        <f t="shared" si="29"/>
        <v>-3.2949420583620643</v>
      </c>
      <c r="G295" s="11">
        <f t="shared" si="30"/>
        <v>-3.2604813015153629</v>
      </c>
    </row>
    <row r="296" spans="5:7" x14ac:dyDescent="0.25">
      <c r="E296" s="11">
        <f t="shared" si="28"/>
        <v>-16</v>
      </c>
      <c r="F296" s="11">
        <f t="shared" si="29"/>
        <v>-3.0927467912569724</v>
      </c>
      <c r="G296" s="11">
        <f t="shared" si="30"/>
        <v>-3.055827040437733</v>
      </c>
    </row>
    <row r="297" spans="5:7" x14ac:dyDescent="0.25">
      <c r="E297" s="11">
        <f t="shared" si="28"/>
        <v>-15</v>
      </c>
      <c r="F297" s="11">
        <f t="shared" si="29"/>
        <v>-2.8924802861917667</v>
      </c>
      <c r="G297" s="11">
        <f t="shared" si="30"/>
        <v>-2.8541426179816014</v>
      </c>
    </row>
    <row r="298" spans="5:7" x14ac:dyDescent="0.25">
      <c r="E298" s="11">
        <f t="shared" si="28"/>
        <v>-14</v>
      </c>
      <c r="F298" s="11">
        <f t="shared" si="29"/>
        <v>-2.6939755361156124</v>
      </c>
      <c r="G298" s="11">
        <f t="shared" si="30"/>
        <v>-2.6551555975062038</v>
      </c>
    </row>
    <row r="299" spans="5:7" x14ac:dyDescent="0.25">
      <c r="E299" s="11">
        <f t="shared" si="28"/>
        <v>-13</v>
      </c>
      <c r="F299" s="11">
        <f t="shared" si="29"/>
        <v>-2.4970617911642097</v>
      </c>
      <c r="G299" s="11">
        <f t="shared" si="30"/>
        <v>-2.4585935423707763</v>
      </c>
    </row>
    <row r="300" spans="5:7" x14ac:dyDescent="0.25">
      <c r="E300" s="11">
        <f t="shared" si="28"/>
        <v>-12</v>
      </c>
      <c r="F300" s="11">
        <f t="shared" si="29"/>
        <v>-2.3015649732482166</v>
      </c>
      <c r="G300" s="11">
        <f t="shared" si="30"/>
        <v>-2.2641840159345556</v>
      </c>
    </row>
    <row r="301" spans="5:7" x14ac:dyDescent="0.25">
      <c r="E301" s="11">
        <f t="shared" si="28"/>
        <v>-11</v>
      </c>
      <c r="F301" s="11">
        <f t="shared" si="29"/>
        <v>-2.1073080893892202</v>
      </c>
      <c r="G301" s="11">
        <f t="shared" si="30"/>
        <v>-2.0716545815567775</v>
      </c>
    </row>
    <row r="302" spans="5:7" x14ac:dyDescent="0.25">
      <c r="E302" s="11">
        <f t="shared" si="28"/>
        <v>-10</v>
      </c>
      <c r="F302" s="11">
        <f t="shared" si="29"/>
        <v>-1.9141116431971799</v>
      </c>
      <c r="G302" s="11">
        <f t="shared" si="30"/>
        <v>-1.8807328025966783</v>
      </c>
    </row>
    <row r="303" spans="5:7" x14ac:dyDescent="0.25">
      <c r="E303" s="11">
        <f t="shared" si="28"/>
        <v>-9</v>
      </c>
      <c r="F303" s="11">
        <f t="shared" si="29"/>
        <v>-1.7217940438977219</v>
      </c>
      <c r="G303" s="11">
        <f t="shared" si="30"/>
        <v>-1.6911462424134944</v>
      </c>
    </row>
    <row r="304" spans="5:7" x14ac:dyDescent="0.25">
      <c r="E304" s="11">
        <f t="shared" si="28"/>
        <v>-8</v>
      </c>
      <c r="F304" s="11">
        <f t="shared" si="29"/>
        <v>-1.5301720123319311</v>
      </c>
      <c r="G304" s="11">
        <f t="shared" si="30"/>
        <v>-1.5026224643664616</v>
      </c>
    </row>
    <row r="305" spans="5:7" x14ac:dyDescent="0.25">
      <c r="E305" s="11">
        <f t="shared" si="28"/>
        <v>-7</v>
      </c>
      <c r="F305" s="11">
        <f t="shared" si="29"/>
        <v>-1.3390609833657157</v>
      </c>
      <c r="G305" s="11">
        <f t="shared" si="30"/>
        <v>-1.3148890318148168</v>
      </c>
    </row>
    <row r="306" spans="5:7" x14ac:dyDescent="0.25">
      <c r="E306" s="11">
        <f t="shared" si="28"/>
        <v>-6</v>
      </c>
      <c r="F306" s="11">
        <f t="shared" si="29"/>
        <v>-1.1482755041601445</v>
      </c>
      <c r="G306" s="11">
        <f t="shared" si="30"/>
        <v>-1.1276735081177958</v>
      </c>
    </row>
    <row r="307" spans="5:7" x14ac:dyDescent="0.25">
      <c r="E307" s="11">
        <f t="shared" si="28"/>
        <v>-5</v>
      </c>
      <c r="F307" s="11">
        <f t="shared" si="29"/>
        <v>-0.95762962776852267</v>
      </c>
      <c r="G307" s="11">
        <f t="shared" si="30"/>
        <v>-0.94070345663463484</v>
      </c>
    </row>
    <row r="308" spans="5:7" x14ac:dyDescent="0.25">
      <c r="E308" s="11">
        <f t="shared" si="28"/>
        <v>-4</v>
      </c>
      <c r="F308" s="11">
        <f t="shared" si="29"/>
        <v>-0.76693730154033624</v>
      </c>
      <c r="G308" s="11">
        <f t="shared" si="30"/>
        <v>-0.75370644072457027</v>
      </c>
    </row>
    <row r="309" spans="5:7" x14ac:dyDescent="0.25">
      <c r="E309" s="11">
        <f t="shared" si="28"/>
        <v>-3</v>
      </c>
      <c r="F309" s="11">
        <f t="shared" si="29"/>
        <v>-0.57601274982654482</v>
      </c>
      <c r="G309" s="11">
        <f t="shared" si="30"/>
        <v>-0.56641002374683824</v>
      </c>
    </row>
    <row r="310" spans="5:7" x14ac:dyDescent="0.25">
      <c r="E310" s="11">
        <f t="shared" si="28"/>
        <v>-2</v>
      </c>
      <c r="F310" s="11">
        <f t="shared" si="29"/>
        <v>-0.38467085049507704</v>
      </c>
      <c r="G310" s="11">
        <f t="shared" si="30"/>
        <v>-0.37854176906067505</v>
      </c>
    </row>
    <row r="311" spans="5:7" x14ac:dyDescent="0.25">
      <c r="E311" s="11">
        <f t="shared" si="28"/>
        <v>-1</v>
      </c>
      <c r="F311" s="11">
        <f t="shared" si="29"/>
        <v>-0.19272750477972395</v>
      </c>
      <c r="G311" s="11">
        <f t="shared" si="30"/>
        <v>-0.1898292400253169</v>
      </c>
    </row>
    <row r="312" spans="5:7" x14ac:dyDescent="0.25">
      <c r="E312" s="11">
        <f t="shared" si="28"/>
        <v>0</v>
      </c>
      <c r="F312" s="11">
        <f t="shared" si="29"/>
        <v>0</v>
      </c>
      <c r="G312" s="11">
        <f t="shared" si="30"/>
        <v>0</v>
      </c>
    </row>
    <row r="313" spans="5:7" x14ac:dyDescent="0.25">
      <c r="E313" s="11">
        <f t="shared" si="28"/>
        <v>1</v>
      </c>
      <c r="F313" s="11">
        <f t="shared" si="29"/>
        <v>0.19369263529610781</v>
      </c>
      <c r="G313" s="11">
        <f t="shared" si="30"/>
        <v>0.19119277846768198</v>
      </c>
    </row>
    <row r="314" spans="5:7" x14ac:dyDescent="0.25">
      <c r="E314" s="11">
        <f t="shared" si="28"/>
        <v>2</v>
      </c>
      <c r="F314" s="11">
        <f t="shared" si="29"/>
        <v>0.38852928420022054</v>
      </c>
      <c r="G314" s="11">
        <f t="shared" si="30"/>
        <v>0.38389348607670604</v>
      </c>
    </row>
    <row r="315" spans="5:7" x14ac:dyDescent="0.25">
      <c r="E315" s="11">
        <f t="shared" si="28"/>
        <v>3</v>
      </c>
      <c r="F315" s="11">
        <f t="shared" si="29"/>
        <v>0.58468640274183525</v>
      </c>
      <c r="G315" s="11">
        <f t="shared" si="30"/>
        <v>0.57822090433769169</v>
      </c>
    </row>
    <row r="316" spans="5:7" x14ac:dyDescent="0.25">
      <c r="E316" s="11">
        <f t="shared" si="28"/>
        <v>4</v>
      </c>
      <c r="F316" s="11">
        <f t="shared" si="29"/>
        <v>0.78233769002178</v>
      </c>
      <c r="G316" s="11">
        <f t="shared" si="30"/>
        <v>0.77429381476125858</v>
      </c>
    </row>
    <row r="317" spans="5:7" x14ac:dyDescent="0.25">
      <c r="E317" s="11">
        <f t="shared" si="28"/>
        <v>5</v>
      </c>
      <c r="F317" s="11">
        <f t="shared" si="29"/>
        <v>0.98165376757149636</v>
      </c>
      <c r="G317" s="11">
        <f t="shared" si="30"/>
        <v>0.972230998858026</v>
      </c>
    </row>
    <row r="318" spans="5:7" x14ac:dyDescent="0.25">
      <c r="E318" s="11">
        <f t="shared" si="28"/>
        <v>6</v>
      </c>
      <c r="F318" s="11">
        <f t="shared" si="29"/>
        <v>1.1828018683144277</v>
      </c>
      <c r="G318" s="11">
        <f t="shared" si="30"/>
        <v>1.1721512381386139</v>
      </c>
    </row>
    <row r="319" spans="5:7" x14ac:dyDescent="0.25">
      <c r="E319" s="11">
        <f t="shared" si="28"/>
        <v>7</v>
      </c>
      <c r="F319" s="11">
        <f t="shared" si="29"/>
        <v>1.385945535491439</v>
      </c>
      <c r="G319" s="11">
        <f t="shared" si="30"/>
        <v>1.3741733141136416</v>
      </c>
    </row>
    <row r="320" spans="5:7" x14ac:dyDescent="0.25">
      <c r="E320" s="11">
        <f t="shared" si="28"/>
        <v>8</v>
      </c>
      <c r="F320" s="11">
        <f t="shared" si="29"/>
        <v>1.5912443318978273</v>
      </c>
      <c r="G320" s="11">
        <f t="shared" si="30"/>
        <v>1.5784160082937289</v>
      </c>
    </row>
    <row r="321" spans="5:7" x14ac:dyDescent="0.25">
      <c r="E321" s="11">
        <f t="shared" si="28"/>
        <v>9</v>
      </c>
      <c r="F321" s="11">
        <f t="shared" si="29"/>
        <v>1.7988535597651225</v>
      </c>
      <c r="G321" s="11">
        <f t="shared" si="30"/>
        <v>1.784998102189495</v>
      </c>
    </row>
    <row r="322" spans="5:7" x14ac:dyDescent="0.25">
      <c r="E322" s="11">
        <f t="shared" si="28"/>
        <v>10</v>
      </c>
      <c r="F322" s="11">
        <f t="shared" si="29"/>
        <v>2.0089239916065327</v>
      </c>
      <c r="G322" s="11">
        <f t="shared" si="30"/>
        <v>1.9940383773115595</v>
      </c>
    </row>
    <row r="323" spans="5:7" x14ac:dyDescent="0.25">
      <c r="E323" s="11">
        <f t="shared" si="28"/>
        <v>11</v>
      </c>
      <c r="F323" s="11">
        <f t="shared" si="29"/>
        <v>2.2216016123305016</v>
      </c>
      <c r="G323" s="11">
        <f t="shared" si="30"/>
        <v>2.2056556151705426</v>
      </c>
    </row>
    <row r="324" spans="5:7" x14ac:dyDescent="0.25">
      <c r="E324" s="11">
        <f t="shared" si="28"/>
        <v>12</v>
      </c>
      <c r="F324" s="11">
        <f t="shared" si="29"/>
        <v>2.4370273729125258</v>
      </c>
      <c r="G324" s="11">
        <f t="shared" si="30"/>
        <v>2.4199685972770628</v>
      </c>
    </row>
    <row r="325" spans="5:7" x14ac:dyDescent="0.25">
      <c r="E325" s="11">
        <f t="shared" si="28"/>
        <v>13</v>
      </c>
      <c r="F325" s="11">
        <f t="shared" si="29"/>
        <v>2.6553369559009679</v>
      </c>
      <c r="G325" s="11">
        <f t="shared" si="30"/>
        <v>2.6370961051417403</v>
      </c>
    </row>
    <row r="326" spans="5:7" x14ac:dyDescent="0.25">
      <c r="E326" s="11">
        <f t="shared" si="28"/>
        <v>14</v>
      </c>
      <c r="F326" s="11">
        <f t="shared" si="29"/>
        <v>2.8766605530183087</v>
      </c>
      <c r="G326" s="11">
        <f t="shared" si="30"/>
        <v>2.8571569202751945</v>
      </c>
    </row>
    <row r="327" spans="5:7" x14ac:dyDescent="0.25">
      <c r="E327" s="11">
        <f t="shared" si="28"/>
        <v>15</v>
      </c>
      <c r="F327" s="11">
        <f t="shared" si="29"/>
        <v>3.1011226551048421</v>
      </c>
      <c r="G327" s="11">
        <f t="shared" si="30"/>
        <v>3.0802698241880457</v>
      </c>
    </row>
    <row r="328" spans="5:7" x14ac:dyDescent="0.25">
      <c r="E328" s="11">
        <f t="shared" si="28"/>
        <v>16</v>
      </c>
      <c r="F328" s="11">
        <f t="shared" si="29"/>
        <v>3.3288418546375458</v>
      </c>
      <c r="G328" s="11">
        <f t="shared" si="30"/>
        <v>3.306553598390912</v>
      </c>
    </row>
    <row r="329" spans="5:7" x14ac:dyDescent="0.25">
      <c r="E329" s="11">
        <f t="shared" si="28"/>
        <v>17</v>
      </c>
      <c r="F329" s="11">
        <f t="shared" si="29"/>
        <v>3.5599306610424222</v>
      </c>
      <c r="G329" s="11">
        <f t="shared" si="30"/>
        <v>3.5361270243944136</v>
      </c>
    </row>
    <row r="330" spans="5:7" x14ac:dyDescent="0.25">
      <c r="E330" s="11">
        <f t="shared" si="28"/>
        <v>18</v>
      </c>
      <c r="F330" s="11">
        <f t="shared" si="29"/>
        <v>3.7944953290042931</v>
      </c>
      <c r="G330" s="11">
        <f t="shared" si="30"/>
        <v>3.7691088837091709</v>
      </c>
    </row>
    <row r="331" spans="5:7" x14ac:dyDescent="0.25">
      <c r="E331" s="11">
        <f t="shared" si="28"/>
        <v>19</v>
      </c>
      <c r="F331" s="11">
        <f t="shared" si="29"/>
        <v>4.0326356999636594</v>
      </c>
      <c r="G331" s="11">
        <f t="shared" si="30"/>
        <v>4.0056179578458018</v>
      </c>
    </row>
    <row r="332" spans="5:7" x14ac:dyDescent="0.25">
      <c r="E332" s="11">
        <f t="shared" si="28"/>
        <v>20</v>
      </c>
      <c r="F332" s="11">
        <f t="shared" si="29"/>
        <v>4.2744450569758667</v>
      </c>
      <c r="G332" s="11">
        <f t="shared" si="30"/>
        <v>4.245773028314928</v>
      </c>
    </row>
    <row r="333" spans="5:7" x14ac:dyDescent="0.25">
      <c r="E333" s="11">
        <f t="shared" si="28"/>
        <v>21</v>
      </c>
      <c r="F333" s="11">
        <f t="shared" si="29"/>
        <v>4.5200099930934909</v>
      </c>
      <c r="G333" s="11">
        <f t="shared" si="30"/>
        <v>4.4896928766271671</v>
      </c>
    </row>
    <row r="334" spans="5:7" x14ac:dyDescent="0.25">
      <c r="E334" s="11">
        <f t="shared" si="28"/>
        <v>22</v>
      </c>
      <c r="F334" s="11">
        <f t="shared" si="29"/>
        <v>4.769410293418435</v>
      </c>
      <c r="G334" s="11">
        <f t="shared" si="30"/>
        <v>4.7374962842931403</v>
      </c>
    </row>
    <row r="335" spans="5:7" x14ac:dyDescent="0.25">
      <c r="E335" s="11">
        <f t="shared" si="28"/>
        <v>23</v>
      </c>
      <c r="F335" s="11">
        <f t="shared" si="29"/>
        <v>5.0227188309559647</v>
      </c>
      <c r="G335" s="11">
        <f t="shared" si="30"/>
        <v>4.9893020328234652</v>
      </c>
    </row>
    <row r="336" spans="5:7" x14ac:dyDescent="0.25">
      <c r="E336" s="11">
        <f t="shared" si="28"/>
        <v>24</v>
      </c>
      <c r="F336" s="11">
        <f t="shared" si="29"/>
        <v>5.2800014763884358</v>
      </c>
      <c r="G336" s="11">
        <f t="shared" si="30"/>
        <v>5.245228903728762</v>
      </c>
    </row>
    <row r="337" spans="5:7" x14ac:dyDescent="0.25">
      <c r="E337" s="11">
        <f t="shared" si="28"/>
        <v>25</v>
      </c>
      <c r="F337" s="11">
        <f t="shared" si="29"/>
        <v>5.5413170218722314</v>
      </c>
      <c r="G337" s="11">
        <f t="shared" si="30"/>
        <v>5.5053956785196521</v>
      </c>
    </row>
    <row r="338" spans="5:7" x14ac:dyDescent="0.25">
      <c r="E338" s="11">
        <f t="shared" si="28"/>
        <v>26</v>
      </c>
      <c r="F338" s="11">
        <f t="shared" si="29"/>
        <v>5.8067171189469446</v>
      </c>
      <c r="G338" s="11">
        <f t="shared" si="30"/>
        <v>5.7699211387067537</v>
      </c>
    </row>
    <row r="339" spans="5:7" x14ac:dyDescent="0.25">
      <c r="E339" s="11">
        <f t="shared" si="28"/>
        <v>27</v>
      </c>
      <c r="F339" s="11">
        <f t="shared" si="29"/>
        <v>6.0762462306315834</v>
      </c>
      <c r="G339" s="11">
        <f t="shared" si="30"/>
        <v>6.0389240658006846</v>
      </c>
    </row>
    <row r="340" spans="5:7" x14ac:dyDescent="0.25">
      <c r="E340" s="11">
        <f t="shared" si="28"/>
        <v>28</v>
      </c>
      <c r="F340" s="11">
        <f t="shared" si="29"/>
        <v>6.349941597768157</v>
      </c>
      <c r="G340" s="11">
        <f t="shared" si="30"/>
        <v>6.3125232413120678</v>
      </c>
    </row>
    <row r="341" spans="5:7" x14ac:dyDescent="0.25">
      <c r="E341" s="11">
        <f t="shared" si="28"/>
        <v>29</v>
      </c>
      <c r="F341" s="11">
        <f t="shared" si="29"/>
        <v>6.627833219658668</v>
      </c>
      <c r="G341" s="11">
        <f t="shared" si="30"/>
        <v>6.5908374467515207</v>
      </c>
    </row>
    <row r="342" spans="5:7" x14ac:dyDescent="0.25">
      <c r="E342" s="11">
        <f t="shared" si="28"/>
        <v>30</v>
      </c>
      <c r="F342" s="11">
        <f t="shared" si="29"/>
        <v>6.909943849027159</v>
      </c>
      <c r="G342" s="11">
        <f t="shared" si="30"/>
        <v>6.8739854636296638</v>
      </c>
    </row>
    <row r="343" spans="5:7" x14ac:dyDescent="0.25">
      <c r="E343" s="11">
        <f t="shared" si="28"/>
        <v>31</v>
      </c>
      <c r="F343" s="11">
        <f t="shared" si="29"/>
        <v>7.1962890013241152</v>
      </c>
      <c r="G343" s="11">
        <f t="shared" si="30"/>
        <v>7.1620486121039599</v>
      </c>
    </row>
    <row r="344" spans="5:7" x14ac:dyDescent="0.25">
      <c r="E344" s="11">
        <f t="shared" si="28"/>
        <v>32</v>
      </c>
      <c r="F344" s="11">
        <f t="shared" si="29"/>
        <v>7.4868769783761833</v>
      </c>
      <c r="G344" s="11">
        <f t="shared" si="30"/>
        <v>7.4549583669192589</v>
      </c>
    </row>
    <row r="345" spans="5:7" x14ac:dyDescent="0.25">
      <c r="E345" s="11">
        <f t="shared" si="28"/>
        <v>33</v>
      </c>
      <c r="F345" s="11">
        <f t="shared" si="29"/>
        <v>7.7817089063697438</v>
      </c>
      <c r="G345" s="11">
        <f t="shared" si="30"/>
        <v>7.7526087414672515</v>
      </c>
    </row>
    <row r="346" spans="5:7" x14ac:dyDescent="0.25">
      <c r="E346" s="11">
        <f t="shared" si="28"/>
        <v>34</v>
      </c>
      <c r="F346" s="11">
        <f t="shared" si="29"/>
        <v>8.0807787881426023</v>
      </c>
      <c r="G346" s="11">
        <f t="shared" si="30"/>
        <v>8.0548937491396302</v>
      </c>
    </row>
    <row r="347" spans="5:7" x14ac:dyDescent="0.25">
      <c r="E347" s="11">
        <f t="shared" si="28"/>
        <v>35</v>
      </c>
      <c r="F347" s="11">
        <f t="shared" si="29"/>
        <v>8.3840735697436291</v>
      </c>
      <c r="G347" s="11">
        <f t="shared" si="30"/>
        <v>8.3617074033280865</v>
      </c>
    </row>
    <row r="348" spans="5:7" x14ac:dyDescent="0.25">
      <c r="E348" s="11">
        <f t="shared" si="28"/>
        <v>36</v>
      </c>
      <c r="F348" s="11">
        <f t="shared" si="29"/>
        <v>8.6915732212058678</v>
      </c>
      <c r="G348" s="11">
        <f t="shared" si="30"/>
        <v>8.6729437174243138</v>
      </c>
    </row>
    <row r="349" spans="5:7" x14ac:dyDescent="0.25">
      <c r="E349" s="11">
        <f t="shared" si="28"/>
        <v>37</v>
      </c>
      <c r="F349" s="11">
        <f t="shared" si="29"/>
        <v>9.0032508314642623</v>
      </c>
      <c r="G349" s="11">
        <f t="shared" si="30"/>
        <v>8.9884967048200046</v>
      </c>
    </row>
    <row r="350" spans="5:7" x14ac:dyDescent="0.25">
      <c r="E350" s="11">
        <f t="shared" si="28"/>
        <v>38</v>
      </c>
      <c r="F350" s="11">
        <f t="shared" si="29"/>
        <v>9.3190727173347359</v>
      </c>
      <c r="G350" s="11">
        <f t="shared" si="30"/>
        <v>9.3082603789068514</v>
      </c>
    </row>
    <row r="351" spans="5:7" x14ac:dyDescent="0.25">
      <c r="E351" s="11">
        <f t="shared" ref="E351:E414" si="31">E144</f>
        <v>39</v>
      </c>
      <c r="F351" s="11">
        <f t="shared" ref="F351:F414" si="32">$H$217*0+E351*$I$217+E351^2*$J$217+E351^3*$K$217+E351^4*$L$217+E351^5*$M$217+E351^6*$N$217+E351^7*$O$217+E351^8*$P$217</f>
        <v>9.6389985464571364</v>
      </c>
      <c r="G351" s="11">
        <f t="shared" ref="G351:G414" si="33">F144</f>
        <v>9.6321287530765449</v>
      </c>
    </row>
    <row r="352" spans="5:7" x14ac:dyDescent="0.25">
      <c r="E352" s="11">
        <f t="shared" si="31"/>
        <v>40</v>
      </c>
      <c r="F352" s="11">
        <f t="shared" si="32"/>
        <v>9.9629814740900109</v>
      </c>
      <c r="G352" s="11">
        <f t="shared" si="33"/>
        <v>9.9599958407207794</v>
      </c>
    </row>
    <row r="353" spans="5:7" x14ac:dyDescent="0.25">
      <c r="E353" s="11">
        <f t="shared" si="31"/>
        <v>41</v>
      </c>
      <c r="F353" s="11">
        <f t="shared" si="32"/>
        <v>10.290968293631018</v>
      </c>
      <c r="G353" s="11">
        <f t="shared" si="33"/>
        <v>10.291755655231245</v>
      </c>
    </row>
    <row r="354" spans="5:7" x14ac:dyDescent="0.25">
      <c r="E354" s="11">
        <f t="shared" si="31"/>
        <v>42</v>
      </c>
      <c r="F354" s="11">
        <f t="shared" si="32"/>
        <v>10.622899600722207</v>
      </c>
      <c r="G354" s="11">
        <f t="shared" si="33"/>
        <v>10.627302209999634</v>
      </c>
    </row>
    <row r="355" spans="5:7" x14ac:dyDescent="0.25">
      <c r="E355" s="11">
        <f t="shared" si="31"/>
        <v>43</v>
      </c>
      <c r="F355" s="11">
        <f t="shared" si="32"/>
        <v>10.958709970785293</v>
      </c>
      <c r="G355" s="11">
        <f t="shared" si="33"/>
        <v>10.966529518417641</v>
      </c>
    </row>
    <row r="356" spans="5:7" x14ac:dyDescent="0.25">
      <c r="E356" s="11">
        <f t="shared" si="31"/>
        <v>44</v>
      </c>
      <c r="F356" s="11">
        <f t="shared" si="32"/>
        <v>11.298328149817413</v>
      </c>
      <c r="G356" s="11">
        <f t="shared" si="33"/>
        <v>11.309331593876959</v>
      </c>
    </row>
    <row r="357" spans="5:7" x14ac:dyDescent="0.25">
      <c r="E357" s="11">
        <f t="shared" si="31"/>
        <v>45</v>
      </c>
      <c r="F357" s="11">
        <f t="shared" si="32"/>
        <v>11.641677258263726</v>
      </c>
      <c r="G357" s="11">
        <f t="shared" si="33"/>
        <v>11.655602449769276</v>
      </c>
    </row>
    <row r="358" spans="5:7" x14ac:dyDescent="0.25">
      <c r="E358" s="11">
        <f t="shared" si="31"/>
        <v>46</v>
      </c>
      <c r="F358" s="11">
        <f t="shared" si="32"/>
        <v>11.988675007768768</v>
      </c>
      <c r="G358" s="11">
        <f t="shared" si="33"/>
        <v>12.005236099486286</v>
      </c>
    </row>
    <row r="359" spans="5:7" x14ac:dyDescent="0.25">
      <c r="E359" s="11">
        <f t="shared" si="31"/>
        <v>47</v>
      </c>
      <c r="F359" s="11">
        <f t="shared" si="32"/>
        <v>12.339233930594018</v>
      </c>
      <c r="G359" s="11">
        <f t="shared" si="33"/>
        <v>12.358126556419684</v>
      </c>
    </row>
    <row r="360" spans="5:7" x14ac:dyDescent="0.25">
      <c r="E360" s="11">
        <f t="shared" si="31"/>
        <v>48</v>
      </c>
      <c r="F360" s="11">
        <f t="shared" si="32"/>
        <v>12.693261621474996</v>
      </c>
      <c r="G360" s="11">
        <f t="shared" si="33"/>
        <v>12.714167833961158</v>
      </c>
    </row>
    <row r="361" spans="5:7" x14ac:dyDescent="0.25">
      <c r="E361" s="11">
        <f t="shared" si="31"/>
        <v>49</v>
      </c>
      <c r="F361" s="11">
        <f t="shared" si="32"/>
        <v>13.05066099167661</v>
      </c>
      <c r="G361" s="11">
        <f t="shared" si="33"/>
        <v>13.073253945502405</v>
      </c>
    </row>
    <row r="362" spans="5:7" x14ac:dyDescent="0.25">
      <c r="E362" s="11">
        <f t="shared" si="31"/>
        <v>50</v>
      </c>
      <c r="F362" s="11">
        <f t="shared" si="32"/>
        <v>13.411330534991304</v>
      </c>
      <c r="G362" s="11">
        <f t="shared" si="33"/>
        <v>13.435278904435114</v>
      </c>
    </row>
    <row r="363" spans="5:7" x14ac:dyDescent="0.25">
      <c r="E363" s="11">
        <f t="shared" si="31"/>
        <v>51</v>
      </c>
      <c r="F363" s="11">
        <f t="shared" si="32"/>
        <v>13.775164605410106</v>
      </c>
      <c r="G363" s="11">
        <f t="shared" si="33"/>
        <v>13.800136724150976</v>
      </c>
    </row>
    <row r="364" spans="5:7" x14ac:dyDescent="0.25">
      <c r="E364" s="11">
        <f t="shared" si="31"/>
        <v>52</v>
      </c>
      <c r="F364" s="11">
        <f t="shared" si="32"/>
        <v>14.14205370618224</v>
      </c>
      <c r="G364" s="11">
        <f t="shared" si="33"/>
        <v>14.167721418041687</v>
      </c>
    </row>
    <row r="365" spans="5:7" x14ac:dyDescent="0.25">
      <c r="E365" s="11">
        <f t="shared" si="31"/>
        <v>53</v>
      </c>
      <c r="F365" s="11">
        <f t="shared" si="32"/>
        <v>14.511884789964874</v>
      </c>
      <c r="G365" s="11">
        <f t="shared" si="33"/>
        <v>14.537926999498939</v>
      </c>
    </row>
    <row r="366" spans="5:7" x14ac:dyDescent="0.25">
      <c r="E366" s="11">
        <f t="shared" si="31"/>
        <v>54</v>
      </c>
      <c r="F366" s="11">
        <f t="shared" si="32"/>
        <v>14.884541569749853</v>
      </c>
      <c r="G366" s="11">
        <f t="shared" si="33"/>
        <v>14.91064748191442</v>
      </c>
    </row>
    <row r="367" spans="5:7" x14ac:dyDescent="0.25">
      <c r="E367" s="11">
        <f t="shared" si="31"/>
        <v>55</v>
      </c>
      <c r="F367" s="11">
        <f t="shared" si="32"/>
        <v>15.259904840240212</v>
      </c>
      <c r="G367" s="11">
        <f t="shared" si="33"/>
        <v>15.28577687867983</v>
      </c>
    </row>
    <row r="368" spans="5:7" x14ac:dyDescent="0.25">
      <c r="E368" s="11">
        <f t="shared" si="31"/>
        <v>56</v>
      </c>
      <c r="F368" s="11">
        <f t="shared" si="32"/>
        <v>15.637852809334763</v>
      </c>
      <c r="G368" s="11">
        <f t="shared" si="33"/>
        <v>15.663209203186852</v>
      </c>
    </row>
    <row r="369" spans="5:7" x14ac:dyDescent="0.25">
      <c r="E369" s="11">
        <f t="shared" si="31"/>
        <v>57</v>
      </c>
      <c r="F369" s="11">
        <f t="shared" si="32"/>
        <v>16.018261439364665</v>
      </c>
      <c r="G369" s="11">
        <f t="shared" si="33"/>
        <v>16.042838468827185</v>
      </c>
    </row>
    <row r="370" spans="5:7" x14ac:dyDescent="0.25">
      <c r="E370" s="11">
        <f t="shared" si="31"/>
        <v>58</v>
      </c>
      <c r="F370" s="11">
        <f t="shared" si="32"/>
        <v>16.401004797711625</v>
      </c>
      <c r="G370" s="11">
        <f t="shared" si="33"/>
        <v>16.424558688992519</v>
      </c>
    </row>
    <row r="371" spans="5:7" x14ac:dyDescent="0.25">
      <c r="E371" s="11">
        <f t="shared" si="31"/>
        <v>59</v>
      </c>
      <c r="F371" s="11">
        <f t="shared" si="32"/>
        <v>16.785955416422976</v>
      </c>
      <c r="G371" s="11">
        <f t="shared" si="33"/>
        <v>16.808263877074548</v>
      </c>
    </row>
    <row r="372" spans="5:7" x14ac:dyDescent="0.25">
      <c r="E372" s="11">
        <f t="shared" si="31"/>
        <v>60</v>
      </c>
      <c r="F372" s="11">
        <f t="shared" si="32"/>
        <v>17.172984660424468</v>
      </c>
      <c r="G372" s="11">
        <f t="shared" si="33"/>
        <v>17.193848046464961</v>
      </c>
    </row>
    <row r="373" spans="5:7" x14ac:dyDescent="0.25">
      <c r="E373" s="11">
        <f t="shared" si="31"/>
        <v>61</v>
      </c>
      <c r="F373" s="11">
        <f t="shared" si="32"/>
        <v>17.561963103917311</v>
      </c>
      <c r="G373" s="11">
        <f t="shared" si="33"/>
        <v>17.581205210555449</v>
      </c>
    </row>
    <row r="374" spans="5:7" x14ac:dyDescent="0.25">
      <c r="E374" s="11">
        <f t="shared" si="31"/>
        <v>62</v>
      </c>
      <c r="F374" s="11">
        <f t="shared" si="32"/>
        <v>17.952760914531634</v>
      </c>
      <c r="G374" s="11">
        <f t="shared" si="33"/>
        <v>17.970229382737713</v>
      </c>
    </row>
    <row r="375" spans="5:7" x14ac:dyDescent="0.25">
      <c r="E375" s="11">
        <f t="shared" si="31"/>
        <v>63</v>
      </c>
      <c r="F375" s="11">
        <f t="shared" si="32"/>
        <v>18.345248244794231</v>
      </c>
      <c r="G375" s="11">
        <f t="shared" si="33"/>
        <v>18.360814576403438</v>
      </c>
    </row>
    <row r="376" spans="5:7" x14ac:dyDescent="0.25">
      <c r="E376" s="11">
        <f t="shared" si="31"/>
        <v>64</v>
      </c>
      <c r="F376" s="11">
        <f t="shared" si="32"/>
        <v>18.739295630453803</v>
      </c>
      <c r="G376" s="11">
        <f t="shared" si="33"/>
        <v>18.752854804944317</v>
      </c>
    </row>
    <row r="377" spans="5:7" x14ac:dyDescent="0.25">
      <c r="E377" s="11">
        <f t="shared" si="31"/>
        <v>65</v>
      </c>
      <c r="F377" s="11">
        <f t="shared" si="32"/>
        <v>19.134774395193148</v>
      </c>
      <c r="G377" s="11">
        <f t="shared" si="33"/>
        <v>19.146244081752045</v>
      </c>
    </row>
    <row r="378" spans="5:7" x14ac:dyDescent="0.25">
      <c r="E378" s="11">
        <f t="shared" si="31"/>
        <v>66</v>
      </c>
      <c r="F378" s="11">
        <f t="shared" si="32"/>
        <v>19.531557061242669</v>
      </c>
      <c r="G378" s="11">
        <f t="shared" si="33"/>
        <v>19.540876420218307</v>
      </c>
    </row>
    <row r="379" spans="5:7" x14ac:dyDescent="0.25">
      <c r="E379" s="11">
        <f t="shared" si="31"/>
        <v>67</v>
      </c>
      <c r="F379" s="11">
        <f t="shared" si="32"/>
        <v>19.929517765395786</v>
      </c>
      <c r="G379" s="11">
        <f t="shared" si="33"/>
        <v>19.936645833734804</v>
      </c>
    </row>
    <row r="380" spans="5:7" x14ac:dyDescent="0.25">
      <c r="E380" s="11">
        <f t="shared" si="31"/>
        <v>68</v>
      </c>
      <c r="F380" s="11">
        <f t="shared" si="32"/>
        <v>20.328532679912161</v>
      </c>
      <c r="G380" s="11">
        <f t="shared" si="33"/>
        <v>20.333446335693228</v>
      </c>
    </row>
    <row r="381" spans="5:7" x14ac:dyDescent="0.25">
      <c r="E381" s="11">
        <f t="shared" si="31"/>
        <v>69</v>
      </c>
      <c r="F381" s="11">
        <f t="shared" si="32"/>
        <v>20.728480437780405</v>
      </c>
      <c r="G381" s="11">
        <f t="shared" si="33"/>
        <v>20.731171939485268</v>
      </c>
    </row>
    <row r="382" spans="5:7" x14ac:dyDescent="0.25">
      <c r="E382" s="11">
        <f t="shared" si="31"/>
        <v>70</v>
      </c>
      <c r="F382" s="11">
        <f t="shared" si="32"/>
        <v>21.129242561797589</v>
      </c>
      <c r="G382" s="11">
        <f t="shared" si="33"/>
        <v>21.129716658502616</v>
      </c>
    </row>
    <row r="383" spans="5:7" x14ac:dyDescent="0.25">
      <c r="E383" s="11">
        <f t="shared" si="31"/>
        <v>71</v>
      </c>
      <c r="F383" s="11">
        <f t="shared" si="32"/>
        <v>21.530703896908395</v>
      </c>
      <c r="G383" s="11">
        <f t="shared" si="33"/>
        <v>21.528974506136965</v>
      </c>
    </row>
    <row r="384" spans="5:7" x14ac:dyDescent="0.25">
      <c r="E384" s="11">
        <f t="shared" si="31"/>
        <v>72</v>
      </c>
      <c r="F384" s="11">
        <f t="shared" si="32"/>
        <v>21.932753045232609</v>
      </c>
      <c r="G384" s="11">
        <f t="shared" si="33"/>
        <v>21.928839495780004</v>
      </c>
    </row>
    <row r="385" spans="5:7" x14ac:dyDescent="0.25">
      <c r="E385" s="11">
        <f t="shared" si="31"/>
        <v>73</v>
      </c>
      <c r="F385" s="11">
        <f t="shared" si="32"/>
        <v>22.335282803195017</v>
      </c>
      <c r="G385" s="11">
        <f t="shared" si="33"/>
        <v>22.329205640823428</v>
      </c>
    </row>
    <row r="386" spans="5:7" x14ac:dyDescent="0.25">
      <c r="E386" s="11">
        <f t="shared" si="31"/>
        <v>74</v>
      </c>
      <c r="F386" s="11">
        <f t="shared" si="32"/>
        <v>22.738190600157669</v>
      </c>
      <c r="G386" s="11">
        <f t="shared" si="33"/>
        <v>22.729966954658934</v>
      </c>
    </row>
    <row r="387" spans="5:7" x14ac:dyDescent="0.25">
      <c r="E387" s="11">
        <f t="shared" si="31"/>
        <v>75</v>
      </c>
      <c r="F387" s="11">
        <f t="shared" si="32"/>
        <v>23.141378937939965</v>
      </c>
      <c r="G387" s="11">
        <f t="shared" si="33"/>
        <v>23.131017450678211</v>
      </c>
    </row>
    <row r="388" spans="5:7" x14ac:dyDescent="0.25">
      <c r="E388" s="11">
        <f t="shared" si="31"/>
        <v>76</v>
      </c>
      <c r="F388" s="11">
        <f t="shared" si="32"/>
        <v>23.544755830597655</v>
      </c>
      <c r="G388" s="11">
        <f t="shared" si="33"/>
        <v>23.532267934347782</v>
      </c>
    </row>
    <row r="389" spans="5:7" x14ac:dyDescent="0.25">
      <c r="E389" s="11">
        <f t="shared" si="31"/>
        <v>77</v>
      </c>
      <c r="F389" s="11">
        <f t="shared" si="32"/>
        <v>23.948235243817589</v>
      </c>
      <c r="G389" s="11">
        <f t="shared" si="33"/>
        <v>23.93369637943352</v>
      </c>
    </row>
    <row r="390" spans="5:7" x14ac:dyDescent="0.25">
      <c r="E390" s="11">
        <f t="shared" si="31"/>
        <v>78</v>
      </c>
      <c r="F390" s="11">
        <f t="shared" si="32"/>
        <v>24.351737533270558</v>
      </c>
      <c r="G390" s="11">
        <f t="shared" si="33"/>
        <v>24.335297551776122</v>
      </c>
    </row>
    <row r="391" spans="5:7" x14ac:dyDescent="0.25">
      <c r="E391" s="11">
        <f t="shared" si="31"/>
        <v>79</v>
      </c>
      <c r="F391" s="11">
        <f t="shared" si="32"/>
        <v>24.755189881250409</v>
      </c>
      <c r="G391" s="11">
        <f t="shared" si="33"/>
        <v>24.737066217216288</v>
      </c>
    </row>
    <row r="392" spans="5:7" x14ac:dyDescent="0.25">
      <c r="E392" s="11">
        <f t="shared" si="31"/>
        <v>80</v>
      </c>
      <c r="F392" s="11">
        <f t="shared" si="32"/>
        <v>25.158526730912929</v>
      </c>
      <c r="G392" s="11">
        <f t="shared" si="33"/>
        <v>25.138997141594722</v>
      </c>
    </row>
    <row r="393" spans="5:7" x14ac:dyDescent="0.25">
      <c r="E393" s="11">
        <f t="shared" si="31"/>
        <v>81</v>
      </c>
      <c r="F393" s="11">
        <f t="shared" si="32"/>
        <v>25.561690217414004</v>
      </c>
      <c r="G393" s="11">
        <f t="shared" si="33"/>
        <v>25.541085090752116</v>
      </c>
    </row>
    <row r="394" spans="5:7" x14ac:dyDescent="0.25">
      <c r="E394" s="11">
        <f t="shared" si="31"/>
        <v>82</v>
      </c>
      <c r="F394" s="11">
        <f t="shared" si="32"/>
        <v>25.964630595231974</v>
      </c>
      <c r="G394" s="11">
        <f t="shared" si="33"/>
        <v>25.943324830529189</v>
      </c>
    </row>
    <row r="395" spans="5:7" x14ac:dyDescent="0.25">
      <c r="E395" s="11">
        <f t="shared" si="31"/>
        <v>83</v>
      </c>
      <c r="F395" s="11">
        <f t="shared" si="32"/>
        <v>26.367306660944749</v>
      </c>
      <c r="G395" s="11">
        <f t="shared" si="33"/>
        <v>26.345711126766631</v>
      </c>
    </row>
    <row r="396" spans="5:7" x14ac:dyDescent="0.25">
      <c r="E396" s="11">
        <f t="shared" si="31"/>
        <v>84</v>
      </c>
      <c r="F396" s="11">
        <f t="shared" si="32"/>
        <v>26.769686170718057</v>
      </c>
      <c r="G396" s="11">
        <f t="shared" si="33"/>
        <v>26.748238745305141</v>
      </c>
    </row>
    <row r="397" spans="5:7" x14ac:dyDescent="0.25">
      <c r="E397" s="11">
        <f t="shared" si="31"/>
        <v>85</v>
      </c>
      <c r="F397" s="11">
        <f t="shared" si="32"/>
        <v>27.17174625174659</v>
      </c>
      <c r="G397" s="11">
        <f t="shared" si="33"/>
        <v>27.15090245198542</v>
      </c>
    </row>
    <row r="398" spans="5:7" x14ac:dyDescent="0.25">
      <c r="E398" s="11">
        <f t="shared" si="31"/>
        <v>86</v>
      </c>
      <c r="F398" s="11">
        <f t="shared" si="32"/>
        <v>27.573473806875647</v>
      </c>
      <c r="G398" s="11">
        <f t="shared" si="33"/>
        <v>27.553697012648179</v>
      </c>
    </row>
    <row r="399" spans="5:7" x14ac:dyDescent="0.25">
      <c r="E399" s="11">
        <f t="shared" si="31"/>
        <v>87</v>
      </c>
      <c r="F399" s="11">
        <f t="shared" si="32"/>
        <v>27.974865911616533</v>
      </c>
      <c r="G399" s="11">
        <f t="shared" si="33"/>
        <v>27.956617193134107</v>
      </c>
    </row>
    <row r="400" spans="5:7" x14ac:dyDescent="0.25">
      <c r="E400" s="11">
        <f t="shared" si="31"/>
        <v>88</v>
      </c>
      <c r="F400" s="11">
        <f t="shared" si="32"/>
        <v>28.375930202754368</v>
      </c>
      <c r="G400" s="11">
        <f t="shared" si="33"/>
        <v>28.359657759283916</v>
      </c>
    </row>
    <row r="401" spans="5:7" x14ac:dyDescent="0.25">
      <c r="E401" s="11">
        <f t="shared" si="31"/>
        <v>89</v>
      </c>
      <c r="F401" s="11">
        <f t="shared" si="32"/>
        <v>28.776685257732865</v>
      </c>
      <c r="G401" s="11">
        <f t="shared" si="33"/>
        <v>28.762813476938295</v>
      </c>
    </row>
    <row r="402" spans="5:7" x14ac:dyDescent="0.25">
      <c r="E402" s="11">
        <f t="shared" si="31"/>
        <v>90</v>
      </c>
      <c r="F402" s="11">
        <f t="shared" si="32"/>
        <v>29.177160963986267</v>
      </c>
      <c r="G402" s="11">
        <f t="shared" si="33"/>
        <v>29.166079111937954</v>
      </c>
    </row>
    <row r="403" spans="5:7" x14ac:dyDescent="0.25">
      <c r="E403" s="11">
        <f t="shared" si="31"/>
        <v>91</v>
      </c>
      <c r="F403" s="11">
        <f t="shared" si="32"/>
        <v>29.577398877373948</v>
      </c>
      <c r="G403" s="11">
        <f t="shared" si="33"/>
        <v>29.569449430123594</v>
      </c>
    </row>
    <row r="404" spans="5:7" x14ac:dyDescent="0.25">
      <c r="E404" s="11">
        <f t="shared" si="31"/>
        <v>92</v>
      </c>
      <c r="F404" s="11">
        <f t="shared" si="32"/>
        <v>29.97745256885926</v>
      </c>
      <c r="G404" s="11">
        <f t="shared" si="33"/>
        <v>29.972919197335912</v>
      </c>
    </row>
    <row r="405" spans="5:7" x14ac:dyDescent="0.25">
      <c r="E405" s="11">
        <f t="shared" si="31"/>
        <v>93</v>
      </c>
      <c r="F405" s="11">
        <f t="shared" si="32"/>
        <v>30.377387958559609</v>
      </c>
      <c r="G405" s="11">
        <f t="shared" si="33"/>
        <v>30.376483179415608</v>
      </c>
    </row>
    <row r="406" spans="5:7" x14ac:dyDescent="0.25">
      <c r="E406" s="11">
        <f t="shared" si="31"/>
        <v>94</v>
      </c>
      <c r="F406" s="11">
        <f t="shared" si="32"/>
        <v>30.777283636280401</v>
      </c>
      <c r="G406" s="11">
        <f t="shared" si="33"/>
        <v>30.780136142203393</v>
      </c>
    </row>
    <row r="407" spans="5:7" x14ac:dyDescent="0.25">
      <c r="E407" s="11">
        <f t="shared" si="31"/>
        <v>95</v>
      </c>
      <c r="F407" s="11">
        <f t="shared" si="32"/>
        <v>31.177231167631152</v>
      </c>
      <c r="G407" s="11">
        <f t="shared" si="33"/>
        <v>31.183872851539956</v>
      </c>
    </row>
    <row r="408" spans="5:7" x14ac:dyDescent="0.25">
      <c r="E408" s="11">
        <f t="shared" si="31"/>
        <v>96</v>
      </c>
      <c r="F408" s="11">
        <f t="shared" si="32"/>
        <v>31.577335384807604</v>
      </c>
      <c r="G408" s="11">
        <f t="shared" si="33"/>
        <v>31.587688073266001</v>
      </c>
    </row>
    <row r="409" spans="5:7" x14ac:dyDescent="0.25">
      <c r="E409" s="11">
        <f t="shared" si="31"/>
        <v>97</v>
      </c>
      <c r="F409" s="11">
        <f t="shared" si="32"/>
        <v>31.977714661109832</v>
      </c>
      <c r="G409" s="11">
        <f t="shared" si="33"/>
        <v>31.991576573222233</v>
      </c>
    </row>
    <row r="410" spans="5:7" x14ac:dyDescent="0.25">
      <c r="E410" s="11">
        <f t="shared" si="31"/>
        <v>98</v>
      </c>
      <c r="F410" s="11">
        <f t="shared" si="32"/>
        <v>32.378501168250985</v>
      </c>
      <c r="G410" s="11">
        <f t="shared" si="33"/>
        <v>32.39553311724935</v>
      </c>
    </row>
    <row r="411" spans="5:7" x14ac:dyDescent="0.25">
      <c r="E411" s="11">
        <f t="shared" si="31"/>
        <v>99</v>
      </c>
      <c r="F411" s="11">
        <f t="shared" si="32"/>
        <v>32.77984111549803</v>
      </c>
      <c r="G411" s="11">
        <f t="shared" si="33"/>
        <v>32.799552471188058</v>
      </c>
    </row>
    <row r="412" spans="5:7" x14ac:dyDescent="0.25">
      <c r="E412" s="11">
        <f t="shared" si="31"/>
        <v>100</v>
      </c>
      <c r="F412" s="11">
        <f t="shared" si="32"/>
        <v>33.181894969670701</v>
      </c>
      <c r="G412" s="11">
        <f t="shared" si="33"/>
        <v>33.203629400879052</v>
      </c>
    </row>
    <row r="413" spans="5:7" x14ac:dyDescent="0.25">
      <c r="E413" s="11">
        <f t="shared" si="31"/>
        <v>101</v>
      </c>
      <c r="F413" s="11">
        <f t="shared" si="32"/>
        <v>33.584837655011015</v>
      </c>
      <c r="G413" s="11">
        <f t="shared" si="33"/>
        <v>33.60775867216303</v>
      </c>
    </row>
    <row r="414" spans="5:7" x14ac:dyDescent="0.25">
      <c r="E414" s="11">
        <f t="shared" si="31"/>
        <v>102</v>
      </c>
      <c r="F414" s="11">
        <f t="shared" si="32"/>
        <v>33.988858731920871</v>
      </c>
      <c r="G414" s="11">
        <f t="shared" si="33"/>
        <v>34.011935050880709</v>
      </c>
    </row>
    <row r="415" spans="5:7" x14ac:dyDescent="0.25">
      <c r="E415" s="11">
        <f t="shared" ref="E415:E422" si="34">E208</f>
        <v>103</v>
      </c>
      <c r="F415" s="11">
        <f t="shared" ref="F415:F422" si="35">$H$217*0+E415*$I$217+E415^2*$J$217+E415^3*$K$217+E415^4*$L$217+E415^5*$M$217+E415^6*$N$217+E415^7*$O$217+E415^8*$P$217</f>
        <v>34.394162553551503</v>
      </c>
      <c r="G415" s="11">
        <f t="shared" ref="G415:G422" si="36">F208</f>
        <v>34.416153302872772</v>
      </c>
    </row>
    <row r="416" spans="5:7" x14ac:dyDescent="0.25">
      <c r="E416" s="11">
        <f t="shared" si="34"/>
        <v>104</v>
      </c>
      <c r="F416" s="11">
        <f t="shared" si="35"/>
        <v>34.800968399213644</v>
      </c>
      <c r="G416" s="11">
        <f t="shared" si="36"/>
        <v>34.820408193979922</v>
      </c>
    </row>
    <row r="417" spans="5:7" x14ac:dyDescent="0.25">
      <c r="E417" s="11">
        <f t="shared" si="34"/>
        <v>105</v>
      </c>
      <c r="F417" s="11">
        <f t="shared" si="35"/>
        <v>35.209510583563024</v>
      </c>
      <c r="G417" s="11">
        <f t="shared" si="36"/>
        <v>35.224694490042879</v>
      </c>
    </row>
    <row r="418" spans="5:7" x14ac:dyDescent="0.25">
      <c r="E418" s="11">
        <f t="shared" si="34"/>
        <v>106</v>
      </c>
      <c r="F418" s="11">
        <f t="shared" si="35"/>
        <v>35.620038540501923</v>
      </c>
      <c r="G418" s="11">
        <f t="shared" si="36"/>
        <v>35.629006956902323</v>
      </c>
    </row>
    <row r="419" spans="5:7" x14ac:dyDescent="0.25">
      <c r="E419" s="11">
        <f t="shared" si="34"/>
        <v>107</v>
      </c>
      <c r="F419" s="11">
        <f t="shared" si="35"/>
        <v>36.032816880722258</v>
      </c>
      <c r="G419" s="11">
        <f t="shared" si="36"/>
        <v>36.033340360398967</v>
      </c>
    </row>
    <row r="420" spans="5:7" x14ac:dyDescent="0.25">
      <c r="E420" s="11">
        <f t="shared" si="34"/>
        <v>108</v>
      </c>
      <c r="F420" s="11">
        <f t="shared" si="35"/>
        <v>36.448125421802402</v>
      </c>
      <c r="G420" s="11">
        <f t="shared" si="36"/>
        <v>36.437689466373499</v>
      </c>
    </row>
    <row r="421" spans="5:7" x14ac:dyDescent="0.25">
      <c r="E421" s="11">
        <f t="shared" si="34"/>
        <v>109</v>
      </c>
      <c r="F421" s="11">
        <f t="shared" si="35"/>
        <v>36.866259189754516</v>
      </c>
      <c r="G421" s="11">
        <f t="shared" si="36"/>
        <v>36.842049040666637</v>
      </c>
    </row>
    <row r="422" spans="5:7" x14ac:dyDescent="0.25">
      <c r="E422" s="11">
        <f t="shared" si="34"/>
        <v>110</v>
      </c>
      <c r="F422" s="11">
        <f t="shared" si="35"/>
        <v>37.287528390905536</v>
      </c>
      <c r="G422" s="11">
        <f t="shared" si="36"/>
        <v>37.246413849119072</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9.2579999999999998E-5</v>
      </c>
      <c r="C3" s="2">
        <v>1.818E-4</v>
      </c>
      <c r="D3" s="2">
        <v>-5.6130000000000004E-4</v>
      </c>
      <c r="E3" s="2">
        <v>0</v>
      </c>
      <c r="F3" s="2">
        <v>0</v>
      </c>
      <c r="G3" s="2">
        <v>0</v>
      </c>
      <c r="H3" s="2">
        <v>8.1911684999999996E-5</v>
      </c>
      <c r="I3" s="2">
        <v>1.9397290000000001E-5</v>
      </c>
      <c r="J3" s="2">
        <v>-2.2904438E-4</v>
      </c>
      <c r="K3" s="3"/>
      <c r="L3" s="3">
        <f>-B3/D3</f>
        <v>0.16493853554249063</v>
      </c>
      <c r="M3" s="3"/>
      <c r="N3" s="2">
        <f>IF('Modell einstellen'!$B$1="Voll",H3/0.35,H3/0.35*2)</f>
        <v>2.3403338571428571E-4</v>
      </c>
      <c r="O3" s="2">
        <f>IF('Modell einstellen'!$B$1="Voll",J3/0.35,J3/0.35*2)</f>
        <v>-6.5441251428571432E-4</v>
      </c>
      <c r="P3" s="3">
        <f>-N3/O3</f>
        <v>0.35762364044906925</v>
      </c>
      <c r="Q3" s="3"/>
      <c r="R3" s="3"/>
      <c r="S3" s="3"/>
      <c r="T3" s="3"/>
      <c r="U3" s="3"/>
      <c r="V3" s="3"/>
      <c r="W3" s="3"/>
    </row>
    <row r="4" spans="1:23" x14ac:dyDescent="0.25">
      <c r="A4" s="2">
        <v>1E-14</v>
      </c>
      <c r="B4" s="2">
        <v>9.2579999999999998E-5</v>
      </c>
      <c r="C4" s="2">
        <v>1.818E-4</v>
      </c>
      <c r="D4" s="2">
        <v>-5.6130000000000004E-4</v>
      </c>
      <c r="E4" s="2">
        <v>0</v>
      </c>
      <c r="F4" s="2">
        <v>0</v>
      </c>
      <c r="G4" s="2">
        <v>0</v>
      </c>
      <c r="H4" s="2">
        <v>8.1913908000000004E-5</v>
      </c>
      <c r="I4" s="2">
        <v>1.9397893E-5</v>
      </c>
      <c r="J4" s="2">
        <v>-2.2904034000000001E-4</v>
      </c>
      <c r="K4" s="3"/>
      <c r="L4" s="3">
        <f t="shared" ref="L4:L33" si="0">-B4/D4</f>
        <v>0.16493853554249063</v>
      </c>
      <c r="M4" s="3"/>
      <c r="N4" s="2">
        <f>IF('Modell einstellen'!$B$1="Voll",H4/0.35,H4/0.35*2)</f>
        <v>2.3403973714285716E-4</v>
      </c>
      <c r="O4" s="2">
        <f>IF('Modell einstellen'!$B$1="Voll",J4/0.35,J4/0.35*2)</f>
        <v>-6.5440097142857156E-4</v>
      </c>
      <c r="P4" s="3">
        <f t="shared" ref="P4:P33" si="1">-N4/O4</f>
        <v>0.3576396542198636</v>
      </c>
      <c r="Q4" s="3"/>
      <c r="R4" s="3"/>
      <c r="S4" s="3"/>
      <c r="T4" s="3"/>
      <c r="U4" s="3"/>
      <c r="V4" s="3"/>
      <c r="W4" s="3"/>
    </row>
    <row r="5" spans="1:23" x14ac:dyDescent="0.25">
      <c r="A5" s="2">
        <v>1E-13</v>
      </c>
      <c r="B5" s="2">
        <v>9.2579999999999998E-5</v>
      </c>
      <c r="C5" s="2">
        <v>1.818E-4</v>
      </c>
      <c r="D5" s="2">
        <v>-5.6130000000000004E-4</v>
      </c>
      <c r="E5" s="2">
        <v>0</v>
      </c>
      <c r="F5" s="2">
        <v>0</v>
      </c>
      <c r="G5" s="2">
        <v>0</v>
      </c>
      <c r="H5" s="2">
        <v>8.1914210999999999E-5</v>
      </c>
      <c r="I5" s="2">
        <v>1.9398029999999998E-5</v>
      </c>
      <c r="J5" s="2">
        <v>-2.2904115999999999E-4</v>
      </c>
      <c r="K5" s="3"/>
      <c r="L5" s="3">
        <f t="shared" si="0"/>
        <v>0.16493853554249063</v>
      </c>
      <c r="M5" s="3"/>
      <c r="N5" s="2">
        <f>IF('Modell einstellen'!$B$1="Voll",H5/0.35,H5/0.35*2)</f>
        <v>2.3404060285714287E-4</v>
      </c>
      <c r="O5" s="2">
        <f>IF('Modell einstellen'!$B$1="Voll",J5/0.35,J5/0.35*2)</f>
        <v>-6.5440331428571433E-4</v>
      </c>
      <c r="P5" s="3">
        <f t="shared" si="1"/>
        <v>0.35763969672525237</v>
      </c>
      <c r="Q5" s="3"/>
      <c r="R5" s="3"/>
      <c r="S5" s="3"/>
      <c r="T5" s="3"/>
      <c r="U5" s="3"/>
      <c r="V5" s="3"/>
      <c r="W5" s="3"/>
    </row>
    <row r="6" spans="1:23" x14ac:dyDescent="0.25">
      <c r="A6" s="2">
        <v>9.9999999999999998E-13</v>
      </c>
      <c r="B6" s="2">
        <v>9.2579999999999998E-5</v>
      </c>
      <c r="C6" s="2">
        <v>1.818E-4</v>
      </c>
      <c r="D6" s="2">
        <v>-5.6130000000000004E-4</v>
      </c>
      <c r="E6" s="2">
        <v>0</v>
      </c>
      <c r="F6" s="2">
        <v>0</v>
      </c>
      <c r="G6" s="2">
        <v>0</v>
      </c>
      <c r="H6" s="2">
        <v>8.1914309999999997E-5</v>
      </c>
      <c r="I6" s="2">
        <v>1.9398066E-5</v>
      </c>
      <c r="J6" s="2">
        <v>-2.2904140999999999E-4</v>
      </c>
      <c r="K6" s="3"/>
      <c r="L6" s="3">
        <f t="shared" si="0"/>
        <v>0.16493853554249063</v>
      </c>
      <c r="M6" s="3"/>
      <c r="N6" s="2">
        <f>IF('Modell einstellen'!$B$1="Voll",H6/0.35,H6/0.35*2)</f>
        <v>2.3404088571428572E-4</v>
      </c>
      <c r="O6" s="2">
        <f>IF('Modell einstellen'!$B$1="Voll",J6/0.35,J6/0.35*2)</f>
        <v>-6.5440402857142857E-4</v>
      </c>
      <c r="P6" s="3">
        <f t="shared" si="1"/>
        <v>0.35763973859574127</v>
      </c>
      <c r="Q6" s="3"/>
      <c r="R6" s="3"/>
      <c r="S6" s="3"/>
      <c r="T6" s="3"/>
      <c r="U6" s="3"/>
      <c r="V6" s="3"/>
      <c r="W6" s="3"/>
    </row>
    <row r="7" spans="1:23" x14ac:dyDescent="0.25">
      <c r="A7" s="2">
        <v>9.9999999999999994E-12</v>
      </c>
      <c r="B7" s="2">
        <v>9.2579999999999998E-5</v>
      </c>
      <c r="C7" s="2">
        <v>1.818E-4</v>
      </c>
      <c r="D7" s="2">
        <v>-5.6130000000000004E-4</v>
      </c>
      <c r="E7" s="2">
        <v>0</v>
      </c>
      <c r="F7" s="2">
        <v>0</v>
      </c>
      <c r="G7" s="2">
        <v>0</v>
      </c>
      <c r="H7" s="2">
        <v>8.1914343E-5</v>
      </c>
      <c r="I7" s="2">
        <v>1.9398076000000001E-5</v>
      </c>
      <c r="J7" s="2">
        <v>-2.2904148000000001E-4</v>
      </c>
      <c r="K7" s="3"/>
      <c r="L7" s="3">
        <f t="shared" si="0"/>
        <v>0.16493853554249063</v>
      </c>
      <c r="M7" s="3"/>
      <c r="N7" s="2">
        <f>IF('Modell einstellen'!$B$1="Voll",H7/0.35,H7/0.35*2)</f>
        <v>2.3404098000000002E-4</v>
      </c>
      <c r="O7" s="2">
        <f>IF('Modell einstellen'!$B$1="Voll",J7/0.35,J7/0.35*2)</f>
        <v>-6.5440422857142863E-4</v>
      </c>
      <c r="P7" s="3">
        <f t="shared" si="1"/>
        <v>0.35763977337205471</v>
      </c>
      <c r="Q7" s="3"/>
      <c r="R7" s="3"/>
      <c r="S7" s="3"/>
      <c r="T7" s="3"/>
      <c r="U7" s="3"/>
      <c r="V7" s="3"/>
      <c r="W7" s="3"/>
    </row>
    <row r="8" spans="1:23" x14ac:dyDescent="0.25">
      <c r="A8" s="2">
        <v>1E-10</v>
      </c>
      <c r="B8" s="2">
        <v>9.2579999999999998E-5</v>
      </c>
      <c r="C8" s="2">
        <v>1.818E-4</v>
      </c>
      <c r="D8" s="2">
        <v>-5.6130000000000004E-4</v>
      </c>
      <c r="E8" s="2">
        <v>0</v>
      </c>
      <c r="F8" s="2">
        <v>0</v>
      </c>
      <c r="G8" s="2">
        <v>0</v>
      </c>
      <c r="H8" s="2">
        <v>8.1914353999999997E-5</v>
      </c>
      <c r="I8" s="2">
        <v>1.9398078999999999E-5</v>
      </c>
      <c r="J8" s="2">
        <v>-2.2904151E-4</v>
      </c>
      <c r="K8" s="3"/>
      <c r="L8" s="3">
        <f t="shared" si="0"/>
        <v>0.16493853554249063</v>
      </c>
      <c r="M8" s="3"/>
      <c r="N8" s="2">
        <f>IF('Modell einstellen'!$B$1="Voll",H8/0.35,H8/0.35*2)</f>
        <v>2.3404101142857143E-4</v>
      </c>
      <c r="O8" s="2">
        <f>IF('Modell einstellen'!$B$1="Voll",J8/0.35,J8/0.35*2)</f>
        <v>-6.5440431428571435E-4</v>
      </c>
      <c r="P8" s="3">
        <f t="shared" si="1"/>
        <v>0.35763977455440282</v>
      </c>
      <c r="Q8" s="3"/>
      <c r="R8" s="3"/>
      <c r="S8" s="3"/>
      <c r="T8" s="3"/>
      <c r="U8" s="3"/>
      <c r="V8" s="3"/>
      <c r="W8" s="3"/>
    </row>
    <row r="9" spans="1:23" x14ac:dyDescent="0.25">
      <c r="A9" s="2">
        <v>1.0000000000000001E-9</v>
      </c>
      <c r="B9" s="2">
        <v>9.2579999999999998E-5</v>
      </c>
      <c r="C9" s="2">
        <v>1.818E-4</v>
      </c>
      <c r="D9" s="2">
        <v>-5.6130000000000004E-4</v>
      </c>
      <c r="E9" s="2">
        <v>0</v>
      </c>
      <c r="F9" s="2">
        <v>0</v>
      </c>
      <c r="G9" s="2">
        <v>0</v>
      </c>
      <c r="H9" s="2">
        <v>8.1914357999999995E-5</v>
      </c>
      <c r="I9" s="2">
        <v>1.9398079999999998E-5</v>
      </c>
      <c r="J9" s="2">
        <v>-2.2904151E-4</v>
      </c>
      <c r="K9" s="3"/>
      <c r="L9" s="3">
        <f t="shared" si="0"/>
        <v>0.16493853554249063</v>
      </c>
      <c r="M9" s="3"/>
      <c r="N9" s="2">
        <f>IF('Modell einstellen'!$B$1="Voll",H9/0.35,H9/0.35*2)</f>
        <v>2.3404102285714285E-4</v>
      </c>
      <c r="O9" s="2">
        <f>IF('Modell einstellen'!$B$1="Voll",J9/0.35,J9/0.35*2)</f>
        <v>-6.5440431428571435E-4</v>
      </c>
      <c r="P9" s="3">
        <f t="shared" si="1"/>
        <v>0.35763979201848606</v>
      </c>
      <c r="Q9" s="3"/>
      <c r="R9" s="3"/>
      <c r="S9" s="3"/>
      <c r="T9" s="3"/>
      <c r="U9" s="3"/>
      <c r="V9" s="3"/>
      <c r="W9" s="3"/>
    </row>
    <row r="10" spans="1:23" x14ac:dyDescent="0.25">
      <c r="A10" s="2">
        <v>1E-8</v>
      </c>
      <c r="B10" s="2">
        <v>9.2579999999999998E-5</v>
      </c>
      <c r="C10" s="2">
        <v>1.818E-4</v>
      </c>
      <c r="D10" s="2">
        <v>-5.6130000000000004E-4</v>
      </c>
      <c r="E10" s="2">
        <v>0</v>
      </c>
      <c r="F10" s="2">
        <v>0</v>
      </c>
      <c r="G10" s="2">
        <v>0</v>
      </c>
      <c r="H10" s="2">
        <v>8.1914359000000004E-5</v>
      </c>
      <c r="I10" s="2">
        <v>1.9398079999999998E-5</v>
      </c>
      <c r="J10" s="2">
        <v>-2.2904151999999999E-4</v>
      </c>
      <c r="K10" s="3"/>
      <c r="L10" s="3">
        <f t="shared" si="0"/>
        <v>0.16493853554249063</v>
      </c>
      <c r="M10" s="3"/>
      <c r="N10" s="2">
        <f>IF('Modell einstellen'!$B$1="Voll",H10/0.35,H10/0.35*2)</f>
        <v>2.3404102571428575E-4</v>
      </c>
      <c r="O10" s="2">
        <f>IF('Modell einstellen'!$B$1="Voll",J10/0.35,J10/0.35*2)</f>
        <v>-6.5440434285714288E-4</v>
      </c>
      <c r="P10" s="3">
        <f t="shared" si="1"/>
        <v>0.35763978076987968</v>
      </c>
      <c r="Q10" s="3"/>
      <c r="R10" s="3"/>
      <c r="S10" s="3"/>
      <c r="T10" s="3"/>
      <c r="U10" s="3"/>
      <c r="V10" s="3"/>
      <c r="W10" s="3"/>
    </row>
    <row r="11" spans="1:23" x14ac:dyDescent="0.25">
      <c r="A11" s="2">
        <v>9.9999999999999995E-8</v>
      </c>
      <c r="B11" s="2">
        <v>9.2579999999999998E-5</v>
      </c>
      <c r="C11" s="2">
        <v>1.818E-4</v>
      </c>
      <c r="D11" s="2">
        <v>-5.6130000000000004E-4</v>
      </c>
      <c r="E11" s="2">
        <v>0</v>
      </c>
      <c r="F11" s="2">
        <v>0</v>
      </c>
      <c r="G11" s="2">
        <v>0</v>
      </c>
      <c r="H11" s="2">
        <v>8.1914363000000002E-5</v>
      </c>
      <c r="I11" s="2">
        <v>1.9398081000000001E-5</v>
      </c>
      <c r="J11" s="2">
        <v>-2.2904151999999999E-4</v>
      </c>
      <c r="K11" s="3"/>
      <c r="L11" s="3">
        <f t="shared" si="0"/>
        <v>0.16493853554249063</v>
      </c>
      <c r="M11" s="3"/>
      <c r="N11" s="2">
        <f>IF('Modell einstellen'!$B$1="Voll",H11/0.35,H11/0.35*2)</f>
        <v>2.3404103714285717E-4</v>
      </c>
      <c r="O11" s="2">
        <f>IF('Modell einstellen'!$B$1="Voll",J11/0.35,J11/0.35*2)</f>
        <v>-6.5440434285714288E-4</v>
      </c>
      <c r="P11" s="3">
        <f t="shared" si="1"/>
        <v>0.35763979823396214</v>
      </c>
      <c r="Q11" s="3"/>
      <c r="R11" s="3"/>
      <c r="S11" s="3"/>
      <c r="T11" s="3"/>
      <c r="U11" s="3"/>
      <c r="V11" s="3"/>
      <c r="W11" s="3"/>
    </row>
    <row r="12" spans="1:23" x14ac:dyDescent="0.25">
      <c r="A12" s="2">
        <v>9.9999999999999995E-7</v>
      </c>
      <c r="B12" s="2">
        <v>9.2579999999999998E-5</v>
      </c>
      <c r="C12" s="2">
        <v>1.818E-4</v>
      </c>
      <c r="D12" s="2">
        <v>-5.6130000000000004E-4</v>
      </c>
      <c r="E12" s="2">
        <v>0</v>
      </c>
      <c r="F12" s="2">
        <v>0</v>
      </c>
      <c r="G12" s="2">
        <v>0</v>
      </c>
      <c r="H12" s="2">
        <v>8.1914389000000006E-5</v>
      </c>
      <c r="I12" s="2">
        <v>1.9398086000000002E-5</v>
      </c>
      <c r="J12" s="2">
        <v>-2.2904157E-4</v>
      </c>
      <c r="K12" s="3"/>
      <c r="L12" s="3">
        <f t="shared" si="0"/>
        <v>0.16493853554249063</v>
      </c>
      <c r="M12" s="3"/>
      <c r="N12" s="2">
        <f>IF('Modell einstellen'!$B$1="Voll",H12/0.35,H12/0.35*2)</f>
        <v>2.3404111142857147E-4</v>
      </c>
      <c r="O12" s="2">
        <f>IF('Modell einstellen'!$B$1="Voll",J12/0.35,J12/0.35*2)</f>
        <v>-6.5440448571428577E-4</v>
      </c>
      <c r="P12" s="3">
        <f t="shared" si="1"/>
        <v>0.35763983367735386</v>
      </c>
      <c r="Q12" s="3"/>
      <c r="R12" s="3"/>
      <c r="S12" s="3"/>
      <c r="T12" s="3"/>
      <c r="U12" s="3"/>
      <c r="V12" s="3"/>
      <c r="W12" s="3"/>
    </row>
    <row r="13" spans="1:23" x14ac:dyDescent="0.25">
      <c r="A13" s="2">
        <v>1.0000000000000001E-5</v>
      </c>
      <c r="B13" s="2">
        <v>9.2579999999999998E-5</v>
      </c>
      <c r="C13" s="2">
        <v>1.818E-4</v>
      </c>
      <c r="D13" s="2">
        <v>-5.6130000000000004E-4</v>
      </c>
      <c r="E13" s="2">
        <v>0</v>
      </c>
      <c r="F13" s="2">
        <v>0</v>
      </c>
      <c r="G13" s="2">
        <v>0</v>
      </c>
      <c r="H13" s="2">
        <v>8.1914655E-5</v>
      </c>
      <c r="I13" s="2">
        <v>1.9398133E-5</v>
      </c>
      <c r="J13" s="2">
        <v>-2.2904204E-4</v>
      </c>
      <c r="K13" s="3"/>
      <c r="L13" s="3">
        <f t="shared" si="0"/>
        <v>0.16493853554249063</v>
      </c>
      <c r="M13" s="3"/>
      <c r="N13" s="2">
        <f>IF('Modell einstellen'!$B$1="Voll",H13/0.35,H13/0.35*2)</f>
        <v>2.3404187142857144E-4</v>
      </c>
      <c r="O13" s="2">
        <f>IF('Modell einstellen'!$B$1="Voll",J13/0.35,J13/0.35*2)</f>
        <v>-6.5440582857142864E-4</v>
      </c>
      <c r="P13" s="3">
        <f t="shared" si="1"/>
        <v>0.35764026115031106</v>
      </c>
      <c r="Q13" s="3"/>
      <c r="R13" s="3"/>
      <c r="S13" s="3"/>
      <c r="T13" s="3"/>
      <c r="U13" s="3"/>
      <c r="V13" s="3"/>
      <c r="W13" s="3"/>
    </row>
    <row r="14" spans="1:23" x14ac:dyDescent="0.25">
      <c r="A14" s="2">
        <v>1E-4</v>
      </c>
      <c r="B14" s="2">
        <v>9.2579999999999998E-5</v>
      </c>
      <c r="C14" s="2">
        <v>1.818E-4</v>
      </c>
      <c r="D14" s="2">
        <v>-5.6130000000000004E-4</v>
      </c>
      <c r="E14" s="2">
        <v>0</v>
      </c>
      <c r="F14" s="2">
        <v>0</v>
      </c>
      <c r="G14" s="2">
        <v>0</v>
      </c>
      <c r="H14" s="2">
        <v>8.1917310000000003E-5</v>
      </c>
      <c r="I14" s="2">
        <v>1.9398602E-5</v>
      </c>
      <c r="J14" s="2">
        <v>-2.2904669000000001E-4</v>
      </c>
      <c r="K14" s="3"/>
      <c r="L14" s="3">
        <f t="shared" si="0"/>
        <v>0.16493853554249063</v>
      </c>
      <c r="M14" s="3"/>
      <c r="N14" s="2">
        <f>IF('Modell einstellen'!$B$1="Voll",H14/0.35,H14/0.35*2)</f>
        <v>2.3404945714285716E-4</v>
      </c>
      <c r="O14" s="2">
        <f>IF('Modell einstellen'!$B$1="Voll",J14/0.35,J14/0.35*2)</f>
        <v>-6.5441911428571441E-4</v>
      </c>
      <c r="P14" s="3">
        <f t="shared" si="1"/>
        <v>0.35764459202619342</v>
      </c>
      <c r="Q14" s="3"/>
      <c r="R14" s="3"/>
      <c r="S14" s="3"/>
      <c r="T14" s="3"/>
      <c r="U14" s="3"/>
      <c r="V14" s="3"/>
      <c r="W14" s="3"/>
    </row>
    <row r="15" spans="1:23" x14ac:dyDescent="0.25">
      <c r="A15" s="2">
        <v>1E-3</v>
      </c>
      <c r="B15" s="2">
        <v>9.2570000000000003E-5</v>
      </c>
      <c r="C15" s="2">
        <v>1.819E-4</v>
      </c>
      <c r="D15" s="2">
        <v>-5.6130000000000004E-4</v>
      </c>
      <c r="E15" s="2">
        <v>0</v>
      </c>
      <c r="F15" s="2">
        <v>0</v>
      </c>
      <c r="G15" s="2">
        <v>0</v>
      </c>
      <c r="H15" s="2">
        <v>8.1943639000000006E-5</v>
      </c>
      <c r="I15" s="2">
        <v>1.9403253999999999E-5</v>
      </c>
      <c r="J15" s="2">
        <v>-2.2909286E-4</v>
      </c>
      <c r="K15" s="3"/>
      <c r="L15" s="3">
        <f t="shared" si="0"/>
        <v>0.16492071975770531</v>
      </c>
      <c r="M15" s="3"/>
      <c r="N15" s="2">
        <f>IF('Modell einstellen'!$B$1="Voll",H15/0.35,H15/0.35*2)</f>
        <v>2.341246828571429E-4</v>
      </c>
      <c r="O15" s="2">
        <f>IF('Modell einstellen'!$B$1="Voll",J15/0.35,J15/0.35*2)</f>
        <v>-6.545510285714286E-4</v>
      </c>
      <c r="P15" s="3">
        <f t="shared" si="1"/>
        <v>0.35768744167758004</v>
      </c>
      <c r="Q15" s="3"/>
      <c r="R15" s="3"/>
      <c r="S15" s="3"/>
      <c r="T15" s="3"/>
      <c r="U15" s="3"/>
      <c r="V15" s="3"/>
      <c r="W15" s="3"/>
    </row>
    <row r="16" spans="1:23" x14ac:dyDescent="0.25">
      <c r="A16" s="2">
        <v>0.01</v>
      </c>
      <c r="B16" s="2">
        <v>9.2499999999999999E-5</v>
      </c>
      <c r="C16" s="2">
        <v>1.8220000000000001E-4</v>
      </c>
      <c r="D16" s="2">
        <v>-5.6179999999999999E-4</v>
      </c>
      <c r="E16" s="2">
        <v>0</v>
      </c>
      <c r="F16" s="2">
        <v>0</v>
      </c>
      <c r="G16" s="2">
        <v>0</v>
      </c>
      <c r="H16" s="2">
        <v>8.2195656999999999E-5</v>
      </c>
      <c r="I16" s="2">
        <v>1.9447761E-5</v>
      </c>
      <c r="J16" s="2">
        <v>-2.2953473E-4</v>
      </c>
      <c r="K16" s="3"/>
      <c r="L16" s="3">
        <f t="shared" si="0"/>
        <v>0.16464934140263437</v>
      </c>
      <c r="M16" s="3"/>
      <c r="N16" s="2">
        <f>IF('Modell einstellen'!$B$1="Voll",H16/0.35,H16/0.35*2)</f>
        <v>2.3484473428571429E-4</v>
      </c>
      <c r="O16" s="2">
        <f>IF('Modell einstellen'!$B$1="Voll",J16/0.35,J16/0.35*2)</f>
        <v>-6.5581351428571437E-4</v>
      </c>
      <c r="P16" s="3">
        <f t="shared" si="1"/>
        <v>0.35809682046808339</v>
      </c>
      <c r="Q16" s="3"/>
      <c r="R16" s="3"/>
      <c r="S16" s="3"/>
      <c r="T16" s="3"/>
      <c r="U16" s="3"/>
      <c r="V16" s="3"/>
      <c r="W16" s="3"/>
    </row>
    <row r="17" spans="1:23" x14ac:dyDescent="0.25">
      <c r="A17" s="2">
        <v>0.1</v>
      </c>
      <c r="B17" s="2">
        <v>9.2509999999999993E-5</v>
      </c>
      <c r="C17" s="2">
        <v>1.853E-4</v>
      </c>
      <c r="D17" s="2">
        <v>-5.6599999999999999E-4</v>
      </c>
      <c r="E17" s="2">
        <v>0</v>
      </c>
      <c r="F17" s="2">
        <v>0</v>
      </c>
      <c r="G17" s="2">
        <v>0</v>
      </c>
      <c r="H17" s="2">
        <v>8.4157211999999994E-5</v>
      </c>
      <c r="I17" s="2">
        <v>1.9808870000000001E-5</v>
      </c>
      <c r="J17" s="2">
        <v>-2.3302018E-4</v>
      </c>
      <c r="K17" s="3"/>
      <c r="L17" s="3">
        <f t="shared" si="0"/>
        <v>0.1634452296819788</v>
      </c>
      <c r="M17" s="3"/>
      <c r="N17" s="2">
        <f>IF('Modell einstellen'!$B$1="Voll",H17/0.35,H17/0.35*2)</f>
        <v>2.4044917714285713E-4</v>
      </c>
      <c r="O17" s="2">
        <f>IF('Modell einstellen'!$B$1="Voll",J17/0.35,J17/0.35*2)</f>
        <v>-6.6577194285714295E-4</v>
      </c>
      <c r="P17" s="3">
        <f t="shared" si="1"/>
        <v>0.36115847133926332</v>
      </c>
      <c r="Q17" s="3"/>
      <c r="R17" s="3"/>
      <c r="S17" s="3"/>
      <c r="T17" s="3"/>
      <c r="U17" s="3"/>
      <c r="V17" s="3"/>
      <c r="W17" s="3"/>
    </row>
    <row r="18" spans="1:23" x14ac:dyDescent="0.25">
      <c r="A18" s="2">
        <v>1</v>
      </c>
      <c r="B18" s="2">
        <v>9.2150000000000004E-5</v>
      </c>
      <c r="C18" s="2">
        <v>1.9029999999999999E-4</v>
      </c>
      <c r="D18" s="2">
        <v>-5.7269999999999999E-4</v>
      </c>
      <c r="E18" s="2">
        <v>0</v>
      </c>
      <c r="F18" s="2">
        <v>0</v>
      </c>
      <c r="G18" s="2">
        <v>0</v>
      </c>
      <c r="H18" s="2">
        <v>8.7515288000000006E-5</v>
      </c>
      <c r="I18" s="2">
        <v>2.0412704E-5</v>
      </c>
      <c r="J18" s="2">
        <v>-2.3892124999999999E-4</v>
      </c>
      <c r="K18" s="3"/>
      <c r="L18" s="3">
        <f t="shared" si="0"/>
        <v>0.16090448751527853</v>
      </c>
      <c r="M18" s="3"/>
      <c r="N18" s="2">
        <f>IF('Modell einstellen'!$B$1="Voll",H18/0.35,H18/0.35*2)</f>
        <v>2.5004368000000003E-4</v>
      </c>
      <c r="O18" s="2">
        <f>IF('Modell einstellen'!$B$1="Voll",J18/0.35,J18/0.35*2)</f>
        <v>-6.8263214285714286E-4</v>
      </c>
      <c r="P18" s="3">
        <f t="shared" si="1"/>
        <v>0.36629344606224856</v>
      </c>
      <c r="Q18" s="3"/>
      <c r="R18" s="3"/>
      <c r="S18" s="3"/>
      <c r="T18" s="3"/>
      <c r="U18" s="3"/>
      <c r="V18" s="3"/>
      <c r="W18" s="3"/>
    </row>
    <row r="19" spans="1:23" x14ac:dyDescent="0.25">
      <c r="A19" s="2">
        <v>10</v>
      </c>
      <c r="B19" s="2">
        <v>9.1700000000000006E-5</v>
      </c>
      <c r="C19" s="2">
        <v>1.939E-4</v>
      </c>
      <c r="D19" s="2">
        <v>-5.7729999999999999E-4</v>
      </c>
      <c r="E19" s="2">
        <v>0</v>
      </c>
      <c r="F19" s="2">
        <v>0</v>
      </c>
      <c r="G19" s="2">
        <v>0</v>
      </c>
      <c r="H19" s="2">
        <v>9.0025809999999995E-5</v>
      </c>
      <c r="I19" s="2">
        <v>2.0855420000000002E-5</v>
      </c>
      <c r="J19" s="2">
        <v>-2.4329135000000001E-4</v>
      </c>
      <c r="K19" s="3"/>
      <c r="L19" s="3">
        <f t="shared" si="0"/>
        <v>0.15884288931231597</v>
      </c>
      <c r="M19" s="3"/>
      <c r="N19" s="2">
        <f>IF('Modell einstellen'!$B$1="Voll",H19/0.35,H19/0.35*2)</f>
        <v>2.5721659999999999E-4</v>
      </c>
      <c r="O19" s="2">
        <f>IF('Modell einstellen'!$B$1="Voll",J19/0.35,J19/0.35*2)</f>
        <v>-6.9511814285714288E-4</v>
      </c>
      <c r="P19" s="3">
        <f t="shared" si="1"/>
        <v>0.37003292554379758</v>
      </c>
      <c r="Q19" s="3"/>
      <c r="R19" s="3"/>
      <c r="S19" s="3"/>
      <c r="T19" s="3"/>
      <c r="U19" s="3"/>
      <c r="V19" s="3"/>
      <c r="W19" s="3"/>
    </row>
    <row r="20" spans="1:23" x14ac:dyDescent="0.25">
      <c r="A20" s="2">
        <v>100</v>
      </c>
      <c r="B20" s="2">
        <v>9.1089999999999997E-5</v>
      </c>
      <c r="C20" s="2">
        <v>1.9770000000000001E-4</v>
      </c>
      <c r="D20" s="2">
        <v>-5.8200000000000005E-4</v>
      </c>
      <c r="E20" s="2">
        <v>0</v>
      </c>
      <c r="F20" s="2">
        <v>0</v>
      </c>
      <c r="G20" s="2">
        <v>0</v>
      </c>
      <c r="H20" s="2">
        <v>9.2675169000000005E-5</v>
      </c>
      <c r="I20" s="2">
        <v>2.1316124E-5</v>
      </c>
      <c r="J20" s="2">
        <v>-2.4787277999999997E-4</v>
      </c>
      <c r="K20" s="3"/>
      <c r="L20" s="3">
        <f t="shared" si="0"/>
        <v>0.15651202749140891</v>
      </c>
      <c r="M20" s="3"/>
      <c r="N20" s="2">
        <f>IF('Modell einstellen'!$B$1="Voll",H20/0.35,H20/0.35*2)</f>
        <v>2.647861971428572E-4</v>
      </c>
      <c r="O20" s="2">
        <f>IF('Modell einstellen'!$B$1="Voll",J20/0.35,J20/0.35*2)</f>
        <v>-7.0820794285714282E-4</v>
      </c>
      <c r="P20" s="3">
        <f t="shared" si="1"/>
        <v>0.37388199301270603</v>
      </c>
      <c r="Q20" s="3"/>
      <c r="R20" s="3"/>
      <c r="S20" s="3"/>
      <c r="T20" s="3"/>
      <c r="U20" s="3"/>
      <c r="V20" s="3"/>
      <c r="W20" s="3"/>
    </row>
    <row r="21" spans="1:23" x14ac:dyDescent="0.25">
      <c r="A21" s="2">
        <v>1000</v>
      </c>
      <c r="B21" s="2">
        <v>9.0240000000000003E-5</v>
      </c>
      <c r="C21" s="2">
        <v>2.02E-4</v>
      </c>
      <c r="D21" s="2">
        <v>-5.8710000000000001E-4</v>
      </c>
      <c r="E21" s="2">
        <v>0</v>
      </c>
      <c r="F21" s="2">
        <v>0</v>
      </c>
      <c r="G21" s="2">
        <v>0</v>
      </c>
      <c r="H21" s="2">
        <v>9.5744999999999999E-5</v>
      </c>
      <c r="I21" s="2">
        <v>2.1847111999999999E-5</v>
      </c>
      <c r="J21" s="2">
        <v>-2.5315632000000001E-4</v>
      </c>
      <c r="K21" s="3"/>
      <c r="L21" s="3">
        <f t="shared" si="0"/>
        <v>0.15370464997445069</v>
      </c>
      <c r="M21" s="3"/>
      <c r="N21" s="2">
        <f>IF('Modell einstellen'!$B$1="Voll",H21/0.35,H21/0.35*2)</f>
        <v>2.7355714285714285E-4</v>
      </c>
      <c r="O21" s="2">
        <f>IF('Modell einstellen'!$B$1="Voll",J21/0.35,J21/0.35*2)</f>
        <v>-7.2330377142857153E-4</v>
      </c>
      <c r="P21" s="3">
        <f t="shared" si="1"/>
        <v>0.37820505527967851</v>
      </c>
      <c r="Q21" s="3"/>
      <c r="R21" s="3"/>
      <c r="S21" s="3"/>
      <c r="T21" s="3"/>
      <c r="U21" s="3"/>
      <c r="V21" s="3"/>
      <c r="W21" s="3"/>
    </row>
    <row r="22" spans="1:23" x14ac:dyDescent="0.25">
      <c r="A22" s="2">
        <v>10000</v>
      </c>
      <c r="B22" s="2">
        <v>8.9439999999999997E-5</v>
      </c>
      <c r="C22" s="2">
        <v>2.074E-4</v>
      </c>
      <c r="D22" s="2">
        <v>-5.9329999999999995E-4</v>
      </c>
      <c r="E22" s="2">
        <v>0</v>
      </c>
      <c r="F22" s="2">
        <v>0</v>
      </c>
      <c r="G22" s="2">
        <v>0</v>
      </c>
      <c r="H22" s="2">
        <v>9.9220661000000004E-5</v>
      </c>
      <c r="I22" s="2">
        <v>2.2509622999999998E-5</v>
      </c>
      <c r="J22" s="2">
        <v>-2.5928518999999999E-4</v>
      </c>
      <c r="K22" s="3"/>
      <c r="L22" s="3">
        <f t="shared" si="0"/>
        <v>0.15075004213719873</v>
      </c>
      <c r="M22" s="3"/>
      <c r="N22" s="2">
        <f>IF('Modell einstellen'!$B$1="Voll",H22/0.35,H22/0.35*2)</f>
        <v>2.8348760285714286E-4</v>
      </c>
      <c r="O22" s="2">
        <f>IF('Modell einstellen'!$B$1="Voll",J22/0.35,J22/0.35*2)</f>
        <v>-7.408148285714286E-4</v>
      </c>
      <c r="P22" s="3">
        <f t="shared" si="1"/>
        <v>0.38266998975143934</v>
      </c>
      <c r="Q22" s="3"/>
      <c r="R22" s="3"/>
      <c r="S22" s="3"/>
      <c r="T22" s="3"/>
      <c r="U22" s="3"/>
      <c r="V22" s="3"/>
      <c r="W22" s="3"/>
    </row>
    <row r="23" spans="1:23" x14ac:dyDescent="0.25">
      <c r="A23" s="2">
        <v>100000</v>
      </c>
      <c r="B23" s="2">
        <v>9.0779999999999995E-5</v>
      </c>
      <c r="C23" s="2">
        <v>2.1800000000000001E-4</v>
      </c>
      <c r="D23" s="2">
        <v>-6.0579999999999998E-4</v>
      </c>
      <c r="E23" s="2">
        <v>0</v>
      </c>
      <c r="F23" s="2">
        <v>0</v>
      </c>
      <c r="G23" s="2">
        <v>0</v>
      </c>
      <c r="H23" s="2">
        <v>1.0332945E-4</v>
      </c>
      <c r="I23" s="2">
        <v>2.3768475999999999E-5</v>
      </c>
      <c r="J23" s="2">
        <v>-2.6781461000000001E-4</v>
      </c>
      <c r="K23" s="3"/>
      <c r="L23" s="3">
        <f t="shared" si="0"/>
        <v>0.14985143611753055</v>
      </c>
      <c r="M23" s="3"/>
      <c r="N23" s="2">
        <f>IF('Modell einstellen'!$B$1="Voll",H23/0.35,H23/0.35*2)</f>
        <v>2.9522700000000001E-4</v>
      </c>
      <c r="O23" s="2">
        <f>IF('Modell einstellen'!$B$1="Voll",J23/0.35,J23/0.35*2)</f>
        <v>-7.6518460000000012E-4</v>
      </c>
      <c r="P23" s="3">
        <f t="shared" si="1"/>
        <v>0.38582454482225592</v>
      </c>
      <c r="Q23" s="3"/>
      <c r="R23" s="3"/>
      <c r="S23" s="3"/>
      <c r="T23" s="3"/>
      <c r="U23" s="3"/>
      <c r="V23" s="3"/>
      <c r="W23" s="3"/>
    </row>
    <row r="24" spans="1:23" x14ac:dyDescent="0.25">
      <c r="A24" s="2">
        <v>1000000</v>
      </c>
      <c r="B24" s="2">
        <v>9.8510000000000004E-5</v>
      </c>
      <c r="C24" s="2">
        <v>2.3949999999999999E-4</v>
      </c>
      <c r="D24" s="2">
        <v>-6.3270000000000004E-4</v>
      </c>
      <c r="E24" s="2">
        <v>0</v>
      </c>
      <c r="F24" s="2">
        <v>0</v>
      </c>
      <c r="G24" s="2">
        <v>0</v>
      </c>
      <c r="H24" s="2">
        <v>1.0807431E-4</v>
      </c>
      <c r="I24" s="2">
        <v>2.6286774999999999E-5</v>
      </c>
      <c r="J24" s="2">
        <v>-2.8058488999999998E-4</v>
      </c>
      <c r="K24" s="3"/>
      <c r="L24" s="3">
        <f t="shared" si="0"/>
        <v>0.15569780306622411</v>
      </c>
      <c r="M24" s="3"/>
      <c r="N24" s="2">
        <f>IF('Modell einstellen'!$B$1="Voll",H24/0.35,H24/0.35*2)</f>
        <v>3.0878374285714291E-4</v>
      </c>
      <c r="O24" s="2">
        <f>IF('Modell einstellen'!$B$1="Voll",J24/0.35,J24/0.35*2)</f>
        <v>-8.0167111428571425E-4</v>
      </c>
      <c r="P24" s="3">
        <f t="shared" si="1"/>
        <v>0.38517508907910197</v>
      </c>
      <c r="Q24" s="3"/>
      <c r="R24" s="3"/>
      <c r="S24" s="3"/>
      <c r="T24" s="3"/>
      <c r="U24" s="3"/>
      <c r="V24" s="3"/>
      <c r="W24" s="3"/>
    </row>
    <row r="25" spans="1:23" x14ac:dyDescent="0.25">
      <c r="A25" s="2">
        <v>10000000</v>
      </c>
      <c r="B25" s="2">
        <v>1.1120000000000001E-4</v>
      </c>
      <c r="C25" s="2">
        <v>2.675E-4</v>
      </c>
      <c r="D25" s="2">
        <v>-6.6969999999999996E-4</v>
      </c>
      <c r="E25" s="2">
        <v>0</v>
      </c>
      <c r="F25" s="2">
        <v>0</v>
      </c>
      <c r="G25" s="2">
        <v>0</v>
      </c>
      <c r="H25" s="2">
        <v>1.1333369E-4</v>
      </c>
      <c r="I25" s="2">
        <v>2.957988E-5</v>
      </c>
      <c r="J25" s="2">
        <v>-2.9617479E-4</v>
      </c>
      <c r="K25" s="3"/>
      <c r="L25" s="3">
        <f t="shared" si="0"/>
        <v>0.16604449753621026</v>
      </c>
      <c r="M25" s="3"/>
      <c r="N25" s="2">
        <f>IF('Modell einstellen'!$B$1="Voll",H25/0.35,H25/0.35*2)</f>
        <v>3.2381054285714287E-4</v>
      </c>
      <c r="O25" s="2">
        <f>IF('Modell einstellen'!$B$1="Voll",J25/0.35,J25/0.35*2)</f>
        <v>-8.4621368571428577E-4</v>
      </c>
      <c r="P25" s="3">
        <f t="shared" si="1"/>
        <v>0.38265812562912593</v>
      </c>
      <c r="Q25" s="3"/>
      <c r="R25" s="3"/>
      <c r="S25" s="3"/>
      <c r="T25" s="3"/>
      <c r="U25" s="3"/>
      <c r="V25" s="3"/>
      <c r="W25" s="3"/>
    </row>
    <row r="26" spans="1:23" x14ac:dyDescent="0.25">
      <c r="A26" s="2">
        <v>100000000</v>
      </c>
      <c r="B26" s="2">
        <v>1.2540000000000001E-4</v>
      </c>
      <c r="C26" s="2">
        <v>2.9460000000000001E-4</v>
      </c>
      <c r="D26" s="2">
        <v>-7.0790000000000002E-4</v>
      </c>
      <c r="E26" s="2">
        <v>0</v>
      </c>
      <c r="F26" s="2">
        <v>0</v>
      </c>
      <c r="G26" s="2">
        <v>0</v>
      </c>
      <c r="H26" s="2">
        <v>1.1901256E-4</v>
      </c>
      <c r="I26" s="2">
        <v>3.2821955999999998E-5</v>
      </c>
      <c r="J26" s="2">
        <v>-3.1218685999999997E-4</v>
      </c>
      <c r="K26" s="3"/>
      <c r="L26" s="3">
        <f t="shared" si="0"/>
        <v>0.17714366435937282</v>
      </c>
      <c r="M26" s="3"/>
      <c r="N26" s="2">
        <f>IF('Modell einstellen'!$B$1="Voll",H26/0.35,H26/0.35*2)</f>
        <v>3.4003588571428575E-4</v>
      </c>
      <c r="O26" s="2">
        <f>IF('Modell einstellen'!$B$1="Voll",J26/0.35,J26/0.35*2)</f>
        <v>-8.9196245714285715E-4</v>
      </c>
      <c r="P26" s="3">
        <f t="shared" si="1"/>
        <v>0.38122219493799325</v>
      </c>
      <c r="Q26" s="3"/>
      <c r="R26" s="3"/>
      <c r="S26" s="3"/>
      <c r="T26" s="3"/>
      <c r="U26" s="3"/>
      <c r="V26" s="3"/>
      <c r="W26" s="3"/>
    </row>
    <row r="27" spans="1:23" x14ac:dyDescent="0.25">
      <c r="A27" s="2">
        <v>1000000000</v>
      </c>
      <c r="B27" s="2">
        <v>1.3669999999999999E-4</v>
      </c>
      <c r="C27" s="2">
        <v>3.1960000000000002E-4</v>
      </c>
      <c r="D27" s="2">
        <v>-7.427E-4</v>
      </c>
      <c r="E27" s="2">
        <v>0</v>
      </c>
      <c r="F27" s="2">
        <v>0</v>
      </c>
      <c r="G27" s="2">
        <v>0</v>
      </c>
      <c r="H27" s="2">
        <v>1.2569493E-4</v>
      </c>
      <c r="I27" s="2">
        <v>3.5890207000000003E-5</v>
      </c>
      <c r="J27" s="2">
        <v>-3.2901679E-4</v>
      </c>
      <c r="K27" s="3"/>
      <c r="L27" s="3">
        <f t="shared" si="0"/>
        <v>0.18405816615053183</v>
      </c>
      <c r="M27" s="3"/>
      <c r="N27" s="2">
        <f>IF('Modell einstellen'!$B$1="Voll",H27/0.35,H27/0.35*2)</f>
        <v>3.5912837142857145E-4</v>
      </c>
      <c r="O27" s="2">
        <f>IF('Modell einstellen'!$B$1="Voll",J27/0.35,J27/0.35*2)</f>
        <v>-9.4004797142857143E-4</v>
      </c>
      <c r="P27" s="3">
        <f t="shared" si="1"/>
        <v>0.38203196256336952</v>
      </c>
      <c r="Q27" s="3"/>
      <c r="R27" s="3"/>
      <c r="S27" s="3"/>
      <c r="T27" s="3"/>
      <c r="U27" s="3"/>
      <c r="V27" s="3"/>
      <c r="W27" s="3"/>
    </row>
    <row r="28" spans="1:23" x14ac:dyDescent="0.25">
      <c r="A28" s="2">
        <v>10000000000</v>
      </c>
      <c r="B28" s="2">
        <v>1.44E-4</v>
      </c>
      <c r="C28" s="2">
        <v>3.4459999999999997E-4</v>
      </c>
      <c r="D28" s="2">
        <v>-7.7539999999999998E-4</v>
      </c>
      <c r="E28" s="2">
        <v>0</v>
      </c>
      <c r="F28" s="2">
        <v>0</v>
      </c>
      <c r="G28" s="2">
        <v>0</v>
      </c>
      <c r="H28" s="2">
        <v>1.3429652000000001E-4</v>
      </c>
      <c r="I28" s="2">
        <v>3.9065656000000001E-5</v>
      </c>
      <c r="J28" s="2">
        <v>-3.4860113E-4</v>
      </c>
      <c r="K28" s="3"/>
      <c r="L28" s="3">
        <f t="shared" si="0"/>
        <v>0.18571060098013928</v>
      </c>
      <c r="M28" s="3"/>
      <c r="N28" s="2">
        <f>IF('Modell einstellen'!$B$1="Voll",H28/0.35,H28/0.35*2)</f>
        <v>3.8370434285714292E-4</v>
      </c>
      <c r="O28" s="2">
        <f>IF('Modell einstellen'!$B$1="Voll",J28/0.35,J28/0.35*2)</f>
        <v>-9.9600322857142857E-4</v>
      </c>
      <c r="P28" s="3">
        <f t="shared" si="1"/>
        <v>0.38524407537061056</v>
      </c>
      <c r="Q28" s="3"/>
      <c r="R28" s="3"/>
      <c r="S28" s="3"/>
      <c r="T28" s="3"/>
      <c r="U28" s="3"/>
      <c r="V28" s="3"/>
      <c r="W28" s="3"/>
    </row>
    <row r="29" spans="1:23" x14ac:dyDescent="0.25">
      <c r="A29" s="2">
        <v>100000000000</v>
      </c>
      <c r="B29" s="2">
        <v>1.47E-4</v>
      </c>
      <c r="C29" s="2">
        <v>3.6949999999999998E-4</v>
      </c>
      <c r="D29" s="2">
        <v>-8.0480000000000005E-4</v>
      </c>
      <c r="E29" s="2">
        <v>0</v>
      </c>
      <c r="F29" s="2">
        <v>0</v>
      </c>
      <c r="G29" s="2">
        <v>0</v>
      </c>
      <c r="H29" s="2">
        <v>1.4406649000000001E-4</v>
      </c>
      <c r="I29" s="2">
        <v>4.2331096999999997E-5</v>
      </c>
      <c r="J29" s="2">
        <v>-3.6995224999999997E-4</v>
      </c>
      <c r="K29" s="3"/>
      <c r="L29" s="3">
        <f t="shared" si="0"/>
        <v>0.18265407554671967</v>
      </c>
      <c r="M29" s="3"/>
      <c r="N29" s="2">
        <f>IF('Modell einstellen'!$B$1="Voll",H29/0.35,H29/0.35*2)</f>
        <v>4.1161854285714291E-4</v>
      </c>
      <c r="O29" s="2">
        <f>IF('Modell einstellen'!$B$1="Voll",J29/0.35,J29/0.35*2)</f>
        <v>-1.0570064285714287E-3</v>
      </c>
      <c r="P29" s="3">
        <f t="shared" si="1"/>
        <v>0.3894191480116691</v>
      </c>
      <c r="Q29" s="3"/>
      <c r="R29" s="3"/>
      <c r="S29" s="3"/>
      <c r="T29" s="3"/>
      <c r="U29" s="3"/>
      <c r="V29" s="3"/>
      <c r="W29" s="3"/>
    </row>
    <row r="30" spans="1:23" x14ac:dyDescent="0.25">
      <c r="A30" s="2">
        <v>1000000000000</v>
      </c>
      <c r="B30" s="2">
        <v>1.45E-4</v>
      </c>
      <c r="C30" s="2">
        <v>3.9179999999999998E-4</v>
      </c>
      <c r="D30" s="2">
        <v>-8.2660000000000003E-4</v>
      </c>
      <c r="E30" s="2">
        <v>0</v>
      </c>
      <c r="F30" s="2">
        <v>0</v>
      </c>
      <c r="G30" s="2">
        <v>0</v>
      </c>
      <c r="H30" s="2">
        <v>1.5305127E-4</v>
      </c>
      <c r="I30" s="2">
        <v>4.5313260000000003E-5</v>
      </c>
      <c r="J30" s="2">
        <v>-3.8960635999999999E-4</v>
      </c>
      <c r="K30" s="3"/>
      <c r="L30" s="3">
        <f t="shared" si="0"/>
        <v>0.17541737236873942</v>
      </c>
      <c r="M30" s="3"/>
      <c r="N30" s="2">
        <f>IF('Modell einstellen'!$B$1="Voll",H30/0.35,H30/0.35*2)</f>
        <v>4.372893428571429E-4</v>
      </c>
      <c r="O30" s="2">
        <f>IF('Modell einstellen'!$B$1="Voll",J30/0.35,J30/0.35*2)</f>
        <v>-1.1131610285714285E-3</v>
      </c>
      <c r="P30" s="3">
        <f t="shared" si="1"/>
        <v>0.39283565596824449</v>
      </c>
      <c r="Q30" s="3"/>
      <c r="R30" s="3"/>
      <c r="S30" s="3"/>
      <c r="T30" s="3"/>
      <c r="U30" s="3"/>
      <c r="V30" s="3"/>
      <c r="W30" s="3"/>
    </row>
    <row r="31" spans="1:23" x14ac:dyDescent="0.25">
      <c r="A31" s="2">
        <v>10000000000000</v>
      </c>
      <c r="B31" s="2">
        <v>1.4109999999999999E-4</v>
      </c>
      <c r="C31" s="2">
        <v>4.126E-4</v>
      </c>
      <c r="D31" s="2">
        <v>-8.451E-4</v>
      </c>
      <c r="E31" s="2">
        <v>0</v>
      </c>
      <c r="F31" s="2">
        <v>0</v>
      </c>
      <c r="G31" s="2">
        <v>0</v>
      </c>
      <c r="H31" s="2">
        <v>1.6180456E-4</v>
      </c>
      <c r="I31" s="2">
        <v>4.8146841999999999E-5</v>
      </c>
      <c r="J31" s="2">
        <v>-4.0856607000000001E-4</v>
      </c>
      <c r="K31" s="3"/>
      <c r="L31" s="3">
        <f t="shared" si="0"/>
        <v>0.1669624896461957</v>
      </c>
      <c r="M31" s="3"/>
      <c r="N31" s="2">
        <f>IF('Modell einstellen'!$B$1="Voll",H31/0.35,H31/0.35*2)</f>
        <v>4.6229874285714286E-4</v>
      </c>
      <c r="O31" s="2">
        <f>IF('Modell einstellen'!$B$1="Voll",J31/0.35,J31/0.35*2)</f>
        <v>-1.1673316285714286E-3</v>
      </c>
      <c r="P31" s="3">
        <f t="shared" si="1"/>
        <v>0.39603034094338768</v>
      </c>
      <c r="Q31" s="3"/>
      <c r="R31" s="3"/>
      <c r="S31" s="3"/>
      <c r="T31" s="3"/>
      <c r="U31" s="3"/>
      <c r="V31" s="3"/>
      <c r="W31" s="3"/>
    </row>
    <row r="32" spans="1:23" x14ac:dyDescent="0.25">
      <c r="A32" s="2">
        <v>100000000000000</v>
      </c>
      <c r="B32" s="2">
        <v>1.338E-4</v>
      </c>
      <c r="C32" s="2">
        <v>4.3399999999999998E-4</v>
      </c>
      <c r="D32" s="2">
        <v>-8.6109999999999995E-4</v>
      </c>
      <c r="E32" s="2">
        <v>0</v>
      </c>
      <c r="F32" s="2">
        <v>0</v>
      </c>
      <c r="G32" s="2">
        <v>0</v>
      </c>
      <c r="H32" s="2">
        <v>1.7129524000000001E-4</v>
      </c>
      <c r="I32" s="2">
        <v>5.1122758999999999E-5</v>
      </c>
      <c r="J32" s="2">
        <v>-4.2885854999999998E-4</v>
      </c>
      <c r="K32" s="3"/>
      <c r="L32" s="3">
        <f t="shared" si="0"/>
        <v>0.15538265009871097</v>
      </c>
      <c r="M32" s="3"/>
      <c r="N32" s="2">
        <f>IF('Modell einstellen'!$B$1="Voll",H32/0.35,H32/0.35*2)</f>
        <v>4.8941497142857145E-4</v>
      </c>
      <c r="O32" s="2">
        <f>IF('Modell einstellen'!$B$1="Voll",J32/0.35,J32/0.35*2)</f>
        <v>-1.2253101428571429E-3</v>
      </c>
      <c r="P32" s="3">
        <f t="shared" si="1"/>
        <v>0.39942130103270651</v>
      </c>
      <c r="Q32" s="3"/>
      <c r="R32" s="3"/>
      <c r="S32" s="3"/>
      <c r="T32" s="3"/>
      <c r="U32" s="3"/>
      <c r="V32" s="3"/>
      <c r="W32" s="3"/>
    </row>
    <row r="33" spans="1:23" x14ac:dyDescent="0.25">
      <c r="A33" s="2">
        <v>1000000000000000</v>
      </c>
      <c r="B33" s="2">
        <v>1.2449999999999999E-4</v>
      </c>
      <c r="C33" s="2">
        <v>4.5590000000000002E-4</v>
      </c>
      <c r="D33" s="2">
        <v>-8.7569999999999998E-4</v>
      </c>
      <c r="E33" s="2">
        <v>0</v>
      </c>
      <c r="F33" s="2">
        <v>0</v>
      </c>
      <c r="G33" s="2">
        <v>0</v>
      </c>
      <c r="H33" s="2">
        <v>1.8134993E-4</v>
      </c>
      <c r="I33" s="2">
        <v>5.4219718000000001E-5</v>
      </c>
      <c r="J33" s="2">
        <v>-4.5018834999999998E-4</v>
      </c>
      <c r="K33" s="3"/>
      <c r="L33" s="3">
        <f t="shared" si="0"/>
        <v>0.14217197670435081</v>
      </c>
      <c r="M33" s="3"/>
      <c r="N33" s="2">
        <f>IF('Modell einstellen'!$B$1="Voll",H33/0.35,H33/0.35*2)</f>
        <v>5.1814265714285714E-4</v>
      </c>
      <c r="O33" s="2">
        <f>IF('Modell einstellen'!$B$1="Voll",J33/0.35,J33/0.35*2)</f>
        <v>-1.2862524285714287E-3</v>
      </c>
      <c r="P33" s="3">
        <f t="shared" si="1"/>
        <v>0.40283123719216629</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9.3599999999999998E-5</v>
      </c>
      <c r="C3" s="3">
        <v>1.8310000000000001E-4</v>
      </c>
      <c r="D3" s="3">
        <v>-5.6309999999999997E-4</v>
      </c>
      <c r="E3" s="3">
        <v>0</v>
      </c>
      <c r="F3" s="3">
        <v>0</v>
      </c>
      <c r="G3" s="3">
        <v>0</v>
      </c>
      <c r="H3" s="3">
        <v>8.1955227999999994E-5</v>
      </c>
      <c r="I3" s="3">
        <v>1.9533068E-5</v>
      </c>
      <c r="J3" s="3">
        <v>-2.2945855000000001E-4</v>
      </c>
      <c r="L3" s="3">
        <f>-B3/D3</f>
        <v>0.16622269579115612</v>
      </c>
      <c r="M3" s="3"/>
      <c r="N3" s="2">
        <f>IF('Modell einstellen'!$B$1="Voll",H3/0.35,H3/0.35*2)</f>
        <v>2.341577942857143E-4</v>
      </c>
      <c r="O3" s="2">
        <f>IF('Modell einstellen'!$B$1="Voll",J3/0.35,J3/0.35*2)</f>
        <v>-6.5559585714285726E-4</v>
      </c>
      <c r="P3" s="3">
        <f>-N3/O3</f>
        <v>0.35716789808006716</v>
      </c>
    </row>
    <row r="4" spans="1:16" x14ac:dyDescent="0.25">
      <c r="A4" s="3">
        <v>1E-14</v>
      </c>
      <c r="B4" s="3">
        <v>9.3599999999999998E-5</v>
      </c>
      <c r="C4" s="3">
        <v>1.8310000000000001E-4</v>
      </c>
      <c r="D4" s="3">
        <v>-5.6309999999999997E-4</v>
      </c>
      <c r="E4" s="3">
        <v>0</v>
      </c>
      <c r="F4" s="3">
        <v>0</v>
      </c>
      <c r="G4" s="3">
        <v>0</v>
      </c>
      <c r="H4" s="3">
        <v>8.1957495999999998E-5</v>
      </c>
      <c r="I4" s="3">
        <v>1.9533641000000001E-5</v>
      </c>
      <c r="J4" s="3">
        <v>-2.2945446000000001E-4</v>
      </c>
      <c r="L4" s="3">
        <f t="shared" ref="L4:L33" si="0">-B4/D4</f>
        <v>0.16622269579115612</v>
      </c>
      <c r="M4" s="3"/>
      <c r="N4" s="2">
        <f>IF('Modell einstellen'!$B$1="Voll",H4/0.35,H4/0.35*2)</f>
        <v>2.3416427428571429E-4</v>
      </c>
      <c r="O4" s="2">
        <f>IF('Modell einstellen'!$B$1="Voll",J4/0.35,J4/0.35*2)</f>
        <v>-6.555841714285715E-4</v>
      </c>
      <c r="P4" s="3">
        <f t="shared" ref="P4:P33" si="1">-N4/O4</f>
        <v>0.35718414887206806</v>
      </c>
    </row>
    <row r="5" spans="1:16" x14ac:dyDescent="0.25">
      <c r="A5" s="3">
        <v>1E-13</v>
      </c>
      <c r="B5" s="3">
        <v>9.3599999999999998E-5</v>
      </c>
      <c r="C5" s="3">
        <v>1.8310000000000001E-4</v>
      </c>
      <c r="D5" s="3">
        <v>-5.6309999999999997E-4</v>
      </c>
      <c r="E5" s="3">
        <v>0</v>
      </c>
      <c r="F5" s="3">
        <v>0</v>
      </c>
      <c r="G5" s="3">
        <v>0</v>
      </c>
      <c r="H5" s="3">
        <v>8.1957801999999995E-5</v>
      </c>
      <c r="I5" s="3">
        <v>1.9533777E-5</v>
      </c>
      <c r="J5" s="3">
        <v>-2.2945529E-4</v>
      </c>
      <c r="L5" s="3">
        <f t="shared" si="0"/>
        <v>0.16622269579115612</v>
      </c>
      <c r="M5" s="3"/>
      <c r="N5" s="2">
        <f>IF('Modell einstellen'!$B$1="Voll",H5/0.35,H5/0.35*2)</f>
        <v>2.3416514857142856E-4</v>
      </c>
      <c r="O5" s="2">
        <f>IF('Modell einstellen'!$B$1="Voll",J5/0.35,J5/0.35*2)</f>
        <v>-6.5558654285714291E-4</v>
      </c>
      <c r="P5" s="3">
        <f t="shared" si="1"/>
        <v>0.35718419043640259</v>
      </c>
    </row>
    <row r="6" spans="1:16" x14ac:dyDescent="0.25">
      <c r="A6" s="3">
        <v>9.9999999999999998E-13</v>
      </c>
      <c r="B6" s="3">
        <v>9.3599999999999998E-5</v>
      </c>
      <c r="C6" s="3">
        <v>1.8310000000000001E-4</v>
      </c>
      <c r="D6" s="3">
        <v>-5.6309999999999997E-4</v>
      </c>
      <c r="E6" s="3">
        <v>0</v>
      </c>
      <c r="F6" s="3">
        <v>0</v>
      </c>
      <c r="G6" s="3">
        <v>0</v>
      </c>
      <c r="H6" s="3">
        <v>8.1957919999999998E-5</v>
      </c>
      <c r="I6" s="3">
        <v>1.9533816E-5</v>
      </c>
      <c r="J6" s="3">
        <v>-2.2945556999999999E-4</v>
      </c>
      <c r="L6" s="3">
        <f t="shared" si="0"/>
        <v>0.16622269579115612</v>
      </c>
      <c r="M6" s="3"/>
      <c r="N6" s="2">
        <f>IF('Modell einstellen'!$B$1="Voll",H6/0.35,H6/0.35*2)</f>
        <v>2.3416548571428573E-4</v>
      </c>
      <c r="O6" s="2">
        <f>IF('Modell einstellen'!$B$1="Voll",J6/0.35,J6/0.35*2)</f>
        <v>-6.5558734285714286E-4</v>
      </c>
      <c r="P6" s="3">
        <f t="shared" si="1"/>
        <v>0.35718426883252391</v>
      </c>
    </row>
    <row r="7" spans="1:16" x14ac:dyDescent="0.25">
      <c r="A7" s="3">
        <v>9.9999999999999994E-12</v>
      </c>
      <c r="B7" s="3">
        <v>9.3599999999999998E-5</v>
      </c>
      <c r="C7" s="3">
        <v>1.8310000000000001E-4</v>
      </c>
      <c r="D7" s="3">
        <v>-5.6309999999999997E-4</v>
      </c>
      <c r="E7" s="3">
        <v>0</v>
      </c>
      <c r="F7" s="3">
        <v>0</v>
      </c>
      <c r="G7" s="3">
        <v>0</v>
      </c>
      <c r="H7" s="3">
        <v>8.1958139000000004E-5</v>
      </c>
      <c r="I7" s="3">
        <v>1.953386E-5</v>
      </c>
      <c r="J7" s="3">
        <v>-2.2945596999999999E-4</v>
      </c>
      <c r="L7" s="3">
        <f t="shared" si="0"/>
        <v>0.16622269579115612</v>
      </c>
      <c r="M7" s="3"/>
      <c r="N7" s="2">
        <f>IF('Modell einstellen'!$B$1="Voll",H7/0.35,H7/0.35*2)</f>
        <v>2.3416611142857146E-4</v>
      </c>
      <c r="O7" s="2">
        <f>IF('Modell einstellen'!$B$1="Voll",J7/0.35,J7/0.35*2)</f>
        <v>-6.5558848571428577E-4</v>
      </c>
      <c r="P7" s="3">
        <f t="shared" si="1"/>
        <v>0.35718460060115237</v>
      </c>
    </row>
    <row r="8" spans="1:16" x14ac:dyDescent="0.25">
      <c r="A8" s="3">
        <v>1E-10</v>
      </c>
      <c r="B8" s="3">
        <v>9.3599999999999998E-5</v>
      </c>
      <c r="C8" s="3">
        <v>1.8310000000000001E-4</v>
      </c>
      <c r="D8" s="3">
        <v>-5.6309999999999997E-4</v>
      </c>
      <c r="E8" s="3">
        <v>0</v>
      </c>
      <c r="F8" s="3">
        <v>0</v>
      </c>
      <c r="G8" s="3">
        <v>0</v>
      </c>
      <c r="H8" s="3">
        <v>8.1960015000000002E-5</v>
      </c>
      <c r="I8" s="3">
        <v>1.9534198000000001E-5</v>
      </c>
      <c r="J8" s="3">
        <v>-2.2945927999999999E-4</v>
      </c>
      <c r="L8" s="3">
        <f t="shared" si="0"/>
        <v>0.16622269579115612</v>
      </c>
      <c r="M8" s="3"/>
      <c r="N8" s="2">
        <f>IF('Modell einstellen'!$B$1="Voll",H8/0.35,H8/0.35*2)</f>
        <v>2.3417147142857145E-4</v>
      </c>
      <c r="O8" s="2">
        <f>IF('Modell einstellen'!$B$1="Voll",J8/0.35,J8/0.35*2)</f>
        <v>-6.555979428571429E-4</v>
      </c>
      <c r="P8" s="3">
        <f t="shared" si="1"/>
        <v>0.35718762387818875</v>
      </c>
    </row>
    <row r="9" spans="1:16" x14ac:dyDescent="0.25">
      <c r="A9" s="3">
        <v>1.0000000000000001E-9</v>
      </c>
      <c r="B9" s="3">
        <v>9.3599999999999998E-5</v>
      </c>
      <c r="C9" s="3">
        <v>1.8310000000000001E-4</v>
      </c>
      <c r="D9" s="3">
        <v>-5.6309999999999997E-4</v>
      </c>
      <c r="E9" s="3">
        <v>0</v>
      </c>
      <c r="F9" s="3">
        <v>0</v>
      </c>
      <c r="G9" s="3">
        <v>0</v>
      </c>
      <c r="H9" s="3">
        <v>8.1978550000000005E-5</v>
      </c>
      <c r="I9" s="3">
        <v>1.9537529999999999E-5</v>
      </c>
      <c r="J9" s="3">
        <v>-2.2949194999999999E-4</v>
      </c>
      <c r="L9" s="3">
        <f t="shared" si="0"/>
        <v>0.16622269579115612</v>
      </c>
      <c r="M9" s="3"/>
      <c r="N9" s="2">
        <f>IF('Modell einstellen'!$B$1="Voll",H9/0.35,H9/0.35*2)</f>
        <v>2.3422442857142859E-4</v>
      </c>
      <c r="O9" s="2">
        <f>IF('Modell einstellen'!$B$1="Voll",J9/0.35,J9/0.35*2)</f>
        <v>-6.5569128571428569E-4</v>
      </c>
      <c r="P9" s="3">
        <f t="shared" si="1"/>
        <v>0.35721754074598261</v>
      </c>
    </row>
    <row r="10" spans="1:16" x14ac:dyDescent="0.25">
      <c r="A10" s="3">
        <v>1E-8</v>
      </c>
      <c r="B10" s="3">
        <v>9.3540000000000002E-5</v>
      </c>
      <c r="C10" s="3">
        <v>1.8340000000000001E-4</v>
      </c>
      <c r="D10" s="3">
        <v>-5.6349999999999998E-4</v>
      </c>
      <c r="E10" s="3">
        <v>0</v>
      </c>
      <c r="F10" s="3">
        <v>0</v>
      </c>
      <c r="G10" s="3">
        <v>0</v>
      </c>
      <c r="H10" s="3">
        <v>8.2157547000000003E-5</v>
      </c>
      <c r="I10" s="3">
        <v>1.9569695999999999E-5</v>
      </c>
      <c r="J10" s="3">
        <v>-2.2980738999999999E-4</v>
      </c>
      <c r="L10" s="3">
        <f t="shared" si="0"/>
        <v>0.16599822537710737</v>
      </c>
      <c r="M10" s="3"/>
      <c r="N10" s="2">
        <f>IF('Modell einstellen'!$B$1="Voll",H10/0.35,H10/0.35*2)</f>
        <v>2.3473584857142859E-4</v>
      </c>
      <c r="O10" s="2">
        <f>IF('Modell einstellen'!$B$1="Voll",J10/0.35,J10/0.35*2)</f>
        <v>-6.5659254285714292E-4</v>
      </c>
      <c r="P10" s="3">
        <f t="shared" si="1"/>
        <v>0.35750611414193423</v>
      </c>
    </row>
    <row r="11" spans="1:16" x14ac:dyDescent="0.25">
      <c r="A11" s="3">
        <v>9.9999999999999995E-8</v>
      </c>
      <c r="B11" s="3">
        <v>9.3560000000000005E-5</v>
      </c>
      <c r="C11" s="3">
        <v>1.8569999999999999E-4</v>
      </c>
      <c r="D11" s="3">
        <v>-5.6680000000000001E-4</v>
      </c>
      <c r="E11" s="3">
        <v>0</v>
      </c>
      <c r="F11" s="3">
        <v>0</v>
      </c>
      <c r="G11" s="3">
        <v>0</v>
      </c>
      <c r="H11" s="3">
        <v>8.3673480000000003E-5</v>
      </c>
      <c r="I11" s="3">
        <v>1.9853087999999999E-5</v>
      </c>
      <c r="J11" s="3">
        <v>-2.3251451000000001E-4</v>
      </c>
      <c r="L11" s="3">
        <f t="shared" si="0"/>
        <v>0.16506704304869443</v>
      </c>
      <c r="M11" s="3"/>
      <c r="N11" s="2">
        <f>IF('Modell einstellen'!$B$1="Voll",H11/0.35,H11/0.35*2)</f>
        <v>2.3906708571428575E-4</v>
      </c>
      <c r="O11" s="2">
        <f>IF('Modell einstellen'!$B$1="Voll",J11/0.35,J11/0.35*2)</f>
        <v>-6.6432717142857146E-4</v>
      </c>
      <c r="P11" s="3">
        <f t="shared" si="1"/>
        <v>0.35986347690731219</v>
      </c>
    </row>
    <row r="12" spans="1:16" x14ac:dyDescent="0.25">
      <c r="A12" s="3">
        <v>9.9999999999999995E-7</v>
      </c>
      <c r="B12" s="3">
        <v>9.3239999999999995E-5</v>
      </c>
      <c r="C12" s="3">
        <v>1.9110000000000001E-4</v>
      </c>
      <c r="D12" s="3">
        <v>-5.7390000000000002E-4</v>
      </c>
      <c r="E12" s="3">
        <v>0</v>
      </c>
      <c r="F12" s="3">
        <v>0</v>
      </c>
      <c r="G12" s="3">
        <v>0</v>
      </c>
      <c r="H12" s="3">
        <v>8.7166915999999998E-5</v>
      </c>
      <c r="I12" s="3">
        <v>2.0493314000000001E-5</v>
      </c>
      <c r="J12" s="3">
        <v>-2.3869339000000001E-4</v>
      </c>
      <c r="L12" s="3">
        <f t="shared" si="0"/>
        <v>0.16246732880292733</v>
      </c>
      <c r="M12" s="3"/>
      <c r="N12" s="2">
        <f>IF('Modell einstellen'!$B$1="Voll",H12/0.35,H12/0.35*2)</f>
        <v>2.4904833142857141E-4</v>
      </c>
      <c r="O12" s="2">
        <f>IF('Modell einstellen'!$B$1="Voll",J12/0.35,J12/0.35*2)</f>
        <v>-6.8198111428571437E-4</v>
      </c>
      <c r="P12" s="3">
        <f t="shared" si="1"/>
        <v>0.36518361903528196</v>
      </c>
    </row>
    <row r="13" spans="1:16" x14ac:dyDescent="0.25">
      <c r="A13" s="3">
        <v>1.0000000000000001E-5</v>
      </c>
      <c r="B13" s="3">
        <v>9.2800000000000006E-5</v>
      </c>
      <c r="C13" s="3">
        <v>1.9479999999999999E-4</v>
      </c>
      <c r="D13" s="3">
        <v>-5.7870000000000003E-4</v>
      </c>
      <c r="E13" s="3">
        <v>0</v>
      </c>
      <c r="F13" s="3">
        <v>0</v>
      </c>
      <c r="G13" s="3">
        <v>0</v>
      </c>
      <c r="H13" s="3">
        <v>8.9703693999999997E-5</v>
      </c>
      <c r="I13" s="3">
        <v>2.0948508999999999E-5</v>
      </c>
      <c r="J13" s="3">
        <v>-2.4313414999999999E-4</v>
      </c>
      <c r="L13" s="3">
        <f t="shared" si="0"/>
        <v>0.16035942630032832</v>
      </c>
      <c r="M13" s="3"/>
      <c r="N13" s="2">
        <f>IF('Modell einstellen'!$B$1="Voll",H13/0.35,H13/0.35*2)</f>
        <v>2.5629626857142859E-4</v>
      </c>
      <c r="O13" s="2">
        <f>IF('Modell einstellen'!$B$1="Voll",J13/0.35,J13/0.35*2)</f>
        <v>-6.9466899999999997E-4</v>
      </c>
      <c r="P13" s="3">
        <f t="shared" si="1"/>
        <v>0.36894732393618918</v>
      </c>
    </row>
    <row r="14" spans="1:16" x14ac:dyDescent="0.25">
      <c r="A14" s="3">
        <v>1E-4</v>
      </c>
      <c r="B14" s="3">
        <v>9.2219999999999995E-5</v>
      </c>
      <c r="C14" s="3">
        <v>1.986E-4</v>
      </c>
      <c r="D14" s="3">
        <v>-5.8330000000000003E-4</v>
      </c>
      <c r="E14" s="3">
        <v>0</v>
      </c>
      <c r="F14" s="3">
        <v>0</v>
      </c>
      <c r="G14" s="3">
        <v>0</v>
      </c>
      <c r="H14" s="3">
        <v>9.2273075000000001E-5</v>
      </c>
      <c r="I14" s="3">
        <v>2.1402851000000001E-5</v>
      </c>
      <c r="J14" s="3">
        <v>-2.4760188000000002E-4</v>
      </c>
      <c r="L14" s="3">
        <f t="shared" si="0"/>
        <v>0.15810046288359333</v>
      </c>
      <c r="M14" s="3"/>
      <c r="N14" s="2">
        <f>IF('Modell einstellen'!$B$1="Voll",H14/0.35,H14/0.35*2)</f>
        <v>2.6363735714285717E-4</v>
      </c>
      <c r="O14" s="2">
        <f>IF('Modell einstellen'!$B$1="Voll",J14/0.35,J14/0.35*2)</f>
        <v>-7.0743394285714299E-4</v>
      </c>
      <c r="P14" s="3">
        <f t="shared" si="1"/>
        <v>0.37266710171990614</v>
      </c>
    </row>
    <row r="15" spans="1:16" x14ac:dyDescent="0.25">
      <c r="A15" s="3">
        <v>1E-3</v>
      </c>
      <c r="B15" s="3">
        <v>9.1370000000000001E-5</v>
      </c>
      <c r="C15" s="3">
        <v>2.028E-4</v>
      </c>
      <c r="D15" s="3">
        <v>-5.8830000000000004E-4</v>
      </c>
      <c r="E15" s="3">
        <v>0</v>
      </c>
      <c r="F15" s="3">
        <v>0</v>
      </c>
      <c r="G15" s="3">
        <v>0</v>
      </c>
      <c r="H15" s="3">
        <v>9.5300729999999996E-5</v>
      </c>
      <c r="I15" s="3">
        <v>2.1928888999999999E-5</v>
      </c>
      <c r="J15" s="3">
        <v>-2.5282488999999998E-4</v>
      </c>
      <c r="L15" s="3">
        <f t="shared" si="0"/>
        <v>0.15531191568927416</v>
      </c>
      <c r="M15" s="3"/>
      <c r="N15" s="2">
        <f>IF('Modell einstellen'!$B$1="Voll",H15/0.35,H15/0.35*2)</f>
        <v>2.7228780000000002E-4</v>
      </c>
      <c r="O15" s="2">
        <f>IF('Modell einstellen'!$B$1="Voll",J15/0.35,J15/0.35*2)</f>
        <v>-7.2235682857142854E-4</v>
      </c>
      <c r="P15" s="3">
        <f t="shared" si="1"/>
        <v>0.37694362291624062</v>
      </c>
    </row>
    <row r="16" spans="1:16" x14ac:dyDescent="0.25">
      <c r="A16" s="3">
        <v>0.01</v>
      </c>
      <c r="B16" s="3">
        <v>9.0190000000000002E-5</v>
      </c>
      <c r="C16" s="3">
        <v>2.075E-4</v>
      </c>
      <c r="D16" s="3">
        <v>-5.9360000000000001E-4</v>
      </c>
      <c r="E16" s="3">
        <v>0</v>
      </c>
      <c r="F16" s="3">
        <v>0</v>
      </c>
      <c r="G16" s="3">
        <v>0</v>
      </c>
      <c r="H16" s="3">
        <v>9.8677099000000002E-5</v>
      </c>
      <c r="I16" s="3">
        <v>2.2503769000000001E-5</v>
      </c>
      <c r="J16" s="3">
        <v>-2.5859754999999998E-4</v>
      </c>
      <c r="L16" s="3">
        <f t="shared" si="0"/>
        <v>0.15193733153638814</v>
      </c>
      <c r="M16" s="3"/>
      <c r="N16" s="2">
        <f>IF('Modell einstellen'!$B$1="Voll",H16/0.35,H16/0.35*2)</f>
        <v>2.8193456857142861E-4</v>
      </c>
      <c r="O16" s="2">
        <f>IF('Modell einstellen'!$B$1="Voll",J16/0.35,J16/0.35*2)</f>
        <v>-7.3885014285714288E-4</v>
      </c>
      <c r="P16" s="3">
        <f t="shared" si="1"/>
        <v>0.38158559120146346</v>
      </c>
    </row>
    <row r="17" spans="1:16" x14ac:dyDescent="0.25">
      <c r="A17" s="3">
        <v>0.1</v>
      </c>
      <c r="B17" s="3">
        <v>8.8490000000000001E-5</v>
      </c>
      <c r="C17" s="3">
        <v>2.129E-4</v>
      </c>
      <c r="D17" s="3">
        <v>-5.9929999999999998E-4</v>
      </c>
      <c r="E17" s="3">
        <v>0</v>
      </c>
      <c r="F17" s="3">
        <v>0</v>
      </c>
      <c r="G17" s="3">
        <v>0</v>
      </c>
      <c r="H17" s="3">
        <v>1.0272073E-4</v>
      </c>
      <c r="I17" s="3">
        <v>2.3176527000000001E-5</v>
      </c>
      <c r="J17" s="3">
        <v>-2.6544246000000002E-4</v>
      </c>
      <c r="L17" s="3">
        <f t="shared" si="0"/>
        <v>0.14765559819789756</v>
      </c>
      <c r="M17" s="3"/>
      <c r="N17" s="2">
        <f>IF('Modell einstellen'!$B$1="Voll",H17/0.35,H17/0.35*2)</f>
        <v>2.9348780000000005E-4</v>
      </c>
      <c r="O17" s="2">
        <f>IF('Modell einstellen'!$B$1="Voll",J17/0.35,J17/0.35*2)</f>
        <v>-7.5840702857142865E-4</v>
      </c>
      <c r="P17" s="3">
        <f t="shared" si="1"/>
        <v>0.38697927226864914</v>
      </c>
    </row>
    <row r="18" spans="1:16" x14ac:dyDescent="0.25">
      <c r="A18" s="3">
        <v>1</v>
      </c>
      <c r="B18" s="3">
        <v>8.6139999999999999E-5</v>
      </c>
      <c r="C18" s="3">
        <v>2.1880000000000001E-4</v>
      </c>
      <c r="D18" s="3">
        <v>-6.0530000000000002E-4</v>
      </c>
      <c r="E18" s="3">
        <v>0</v>
      </c>
      <c r="F18" s="3">
        <v>0</v>
      </c>
      <c r="G18" s="3">
        <v>0</v>
      </c>
      <c r="H18" s="3">
        <v>1.0739275E-4</v>
      </c>
      <c r="I18" s="3">
        <v>2.3933487000000002E-5</v>
      </c>
      <c r="J18" s="3">
        <v>-2.7326219999999999E-4</v>
      </c>
      <c r="L18" s="3">
        <f t="shared" si="0"/>
        <v>0.14230959854617545</v>
      </c>
      <c r="M18" s="3"/>
      <c r="N18" s="2">
        <f>IF('Modell einstellen'!$B$1="Voll",H18/0.35,H18/0.35*2)</f>
        <v>3.0683642857142862E-4</v>
      </c>
      <c r="O18" s="2">
        <f>IF('Modell einstellen'!$B$1="Voll",J18/0.35,J18/0.35*2)</f>
        <v>-7.8074914285714285E-4</v>
      </c>
      <c r="P18" s="3">
        <f t="shared" si="1"/>
        <v>0.39300258140350192</v>
      </c>
    </row>
    <row r="19" spans="1:16" x14ac:dyDescent="0.25">
      <c r="A19" s="3">
        <v>10</v>
      </c>
      <c r="B19" s="3">
        <v>8.3109999999999995E-5</v>
      </c>
      <c r="C19" s="3">
        <v>2.252E-4</v>
      </c>
      <c r="D19" s="3">
        <v>-6.11E-4</v>
      </c>
      <c r="E19" s="3">
        <v>0</v>
      </c>
      <c r="F19" s="3">
        <v>0</v>
      </c>
      <c r="G19" s="3">
        <v>0</v>
      </c>
      <c r="H19" s="3">
        <v>1.1255491E-4</v>
      </c>
      <c r="I19" s="3">
        <v>2.4751402E-5</v>
      </c>
      <c r="J19" s="3">
        <v>-2.8181301000000002E-4</v>
      </c>
      <c r="L19" s="3">
        <f t="shared" si="0"/>
        <v>0.13602291325695581</v>
      </c>
      <c r="M19" s="3"/>
      <c r="N19" s="2">
        <f>IF('Modell einstellen'!$B$1="Voll",H19/0.35,H19/0.35*2)</f>
        <v>3.215854571428572E-4</v>
      </c>
      <c r="O19" s="2">
        <f>IF('Modell einstellen'!$B$1="Voll",J19/0.35,J19/0.35*2)</f>
        <v>-8.0518002857142871E-4</v>
      </c>
      <c r="P19" s="3">
        <f t="shared" si="1"/>
        <v>0.39939571987822703</v>
      </c>
    </row>
    <row r="20" spans="1:16" x14ac:dyDescent="0.25">
      <c r="A20" s="3">
        <v>100</v>
      </c>
      <c r="B20" s="3">
        <v>7.9820000000000005E-5</v>
      </c>
      <c r="C20" s="3">
        <v>2.3220000000000001E-4</v>
      </c>
      <c r="D20" s="3">
        <v>-6.1689999999999998E-4</v>
      </c>
      <c r="E20" s="3">
        <v>0</v>
      </c>
      <c r="F20" s="3">
        <v>0</v>
      </c>
      <c r="G20" s="3">
        <v>0</v>
      </c>
      <c r="H20" s="3">
        <v>1.1787978E-4</v>
      </c>
      <c r="I20" s="3">
        <v>2.5645718999999999E-5</v>
      </c>
      <c r="J20" s="3">
        <v>-2.9074116999999998E-4</v>
      </c>
      <c r="L20" s="3">
        <f t="shared" si="0"/>
        <v>0.12938887988328743</v>
      </c>
      <c r="M20" s="3"/>
      <c r="N20" s="2">
        <f>IF('Modell einstellen'!$B$1="Voll",H20/0.35,H20/0.35*2)</f>
        <v>3.3679937142857148E-4</v>
      </c>
      <c r="O20" s="2">
        <f>IF('Modell einstellen'!$B$1="Voll",J20/0.35,J20/0.35*2)</f>
        <v>-8.3068905714285719E-4</v>
      </c>
      <c r="P20" s="3">
        <f t="shared" si="1"/>
        <v>0.40544577845648766</v>
      </c>
    </row>
    <row r="21" spans="1:16" x14ac:dyDescent="0.25">
      <c r="A21" s="3">
        <v>1000</v>
      </c>
      <c r="B21" s="3">
        <v>7.7789999999999999E-5</v>
      </c>
      <c r="C21" s="3">
        <v>2.4469999999999998E-4</v>
      </c>
      <c r="D21" s="3">
        <v>-6.2859999999999999E-4</v>
      </c>
      <c r="E21" s="3">
        <v>0</v>
      </c>
      <c r="F21" s="3">
        <v>0</v>
      </c>
      <c r="G21" s="3">
        <v>0</v>
      </c>
      <c r="H21" s="3">
        <v>1.2393308000000001E-4</v>
      </c>
      <c r="I21" s="3">
        <v>2.7201287000000001E-5</v>
      </c>
      <c r="J21" s="3">
        <v>-3.0241048000000001E-4</v>
      </c>
      <c r="L21" s="3">
        <f t="shared" si="0"/>
        <v>0.1237511931275851</v>
      </c>
      <c r="M21" s="3"/>
      <c r="N21" s="2">
        <f>IF('Modell einstellen'!$B$1="Voll",H21/0.35,H21/0.35*2)</f>
        <v>3.5409451428571433E-4</v>
      </c>
      <c r="O21" s="2">
        <f>IF('Modell einstellen'!$B$1="Voll",J21/0.35,J21/0.35*2)</f>
        <v>-8.6402994285714294E-4</v>
      </c>
      <c r="P21" s="3">
        <f t="shared" si="1"/>
        <v>0.40981741108972153</v>
      </c>
    </row>
    <row r="22" spans="1:16" x14ac:dyDescent="0.25">
      <c r="A22" s="3">
        <v>10000</v>
      </c>
      <c r="B22" s="3">
        <v>8.0320000000000003E-5</v>
      </c>
      <c r="C22" s="3">
        <v>2.721E-4</v>
      </c>
      <c r="D22" s="3">
        <v>-6.5720000000000004E-4</v>
      </c>
      <c r="E22" s="3">
        <v>0</v>
      </c>
      <c r="F22" s="3">
        <v>0</v>
      </c>
      <c r="G22" s="3">
        <v>0</v>
      </c>
      <c r="H22" s="3">
        <v>1.3165635E-4</v>
      </c>
      <c r="I22" s="3">
        <v>3.055943E-5</v>
      </c>
      <c r="J22" s="3">
        <v>-3.2128613999999998E-4</v>
      </c>
      <c r="L22" s="3">
        <f t="shared" si="0"/>
        <v>0.12221545952525867</v>
      </c>
      <c r="M22" s="3"/>
      <c r="N22" s="2">
        <f>IF('Modell einstellen'!$B$1="Voll",H22/0.35,H22/0.35*2)</f>
        <v>3.7616100000000002E-4</v>
      </c>
      <c r="O22" s="2">
        <f>IF('Modell einstellen'!$B$1="Voll",J22/0.35,J22/0.35*2)</f>
        <v>-9.1796040000000003E-4</v>
      </c>
      <c r="P22" s="3">
        <f t="shared" si="1"/>
        <v>0.40977911465461908</v>
      </c>
    </row>
    <row r="23" spans="1:16" x14ac:dyDescent="0.25">
      <c r="A23" s="3">
        <v>100000</v>
      </c>
      <c r="B23" s="3">
        <v>8.7390000000000002E-5</v>
      </c>
      <c r="C23" s="3">
        <v>3.1129999999999998E-4</v>
      </c>
      <c r="D23" s="3">
        <v>-7.0029999999999995E-4</v>
      </c>
      <c r="E23" s="3">
        <v>0</v>
      </c>
      <c r="F23" s="3">
        <v>0</v>
      </c>
      <c r="G23" s="3">
        <v>0</v>
      </c>
      <c r="H23" s="3">
        <v>1.4079831000000001E-4</v>
      </c>
      <c r="I23" s="3">
        <v>3.5380185000000003E-5</v>
      </c>
      <c r="J23" s="3">
        <v>-3.4624234000000002E-4</v>
      </c>
      <c r="L23" s="3">
        <f t="shared" si="0"/>
        <v>0.12478937598172213</v>
      </c>
      <c r="M23" s="3"/>
      <c r="N23" s="2">
        <f>IF('Modell einstellen'!$B$1="Voll",H23/0.35,H23/0.35*2)</f>
        <v>4.0228088571428575E-4</v>
      </c>
      <c r="O23" s="2">
        <f>IF('Modell einstellen'!$B$1="Voll",J23/0.35,J23/0.35*2)</f>
        <v>-9.8926382857142869E-4</v>
      </c>
      <c r="P23" s="3">
        <f t="shared" si="1"/>
        <v>0.40664671455258761</v>
      </c>
    </row>
    <row r="24" spans="1:16" x14ac:dyDescent="0.25">
      <c r="A24" s="3">
        <v>1000000</v>
      </c>
      <c r="B24" s="3">
        <v>9.4430000000000002E-5</v>
      </c>
      <c r="C24" s="3">
        <v>3.501E-4</v>
      </c>
      <c r="D24" s="3">
        <v>-7.4330000000000002E-4</v>
      </c>
      <c r="E24" s="3">
        <v>0</v>
      </c>
      <c r="F24" s="3">
        <v>0</v>
      </c>
      <c r="G24" s="3">
        <v>0</v>
      </c>
      <c r="H24" s="3">
        <v>1.4962828999999999E-4</v>
      </c>
      <c r="I24" s="3">
        <v>4.0248442000000001E-5</v>
      </c>
      <c r="J24" s="3">
        <v>-3.7113248000000002E-4</v>
      </c>
      <c r="L24" s="3">
        <f t="shared" si="0"/>
        <v>0.12704157137091349</v>
      </c>
      <c r="M24" s="3"/>
      <c r="N24" s="2">
        <f>IF('Modell einstellen'!$B$1="Voll",H24/0.35,H24/0.35*2)</f>
        <v>4.2750939999999999E-4</v>
      </c>
      <c r="O24" s="2">
        <f>IF('Modell einstellen'!$B$1="Voll",J24/0.35,J24/0.35*2)</f>
        <v>-1.0603785142857143E-3</v>
      </c>
      <c r="P24" s="3">
        <f t="shared" si="1"/>
        <v>0.40316678831235681</v>
      </c>
    </row>
    <row r="25" spans="1:16" x14ac:dyDescent="0.25">
      <c r="A25" s="3">
        <v>10000000</v>
      </c>
      <c r="B25" s="3">
        <v>1.002E-4</v>
      </c>
      <c r="C25" s="3">
        <v>3.836E-4</v>
      </c>
      <c r="D25" s="3">
        <v>-7.8080000000000001E-4</v>
      </c>
      <c r="E25" s="3">
        <v>0</v>
      </c>
      <c r="F25" s="3">
        <v>0</v>
      </c>
      <c r="G25" s="3">
        <v>0</v>
      </c>
      <c r="H25" s="3">
        <v>1.5814051E-4</v>
      </c>
      <c r="I25" s="3">
        <v>4.4549606000000001E-5</v>
      </c>
      <c r="J25" s="3">
        <v>-3.9404224000000001E-4</v>
      </c>
      <c r="L25" s="3">
        <f t="shared" si="0"/>
        <v>0.12832991803278687</v>
      </c>
      <c r="M25" s="3"/>
      <c r="N25" s="2">
        <f>IF('Modell einstellen'!$B$1="Voll",H25/0.35,H25/0.35*2)</f>
        <v>4.518300285714286E-4</v>
      </c>
      <c r="O25" s="2">
        <f>IF('Modell einstellen'!$B$1="Voll",J25/0.35,J25/0.35*2)</f>
        <v>-1.1258349714285715E-3</v>
      </c>
      <c r="P25" s="3">
        <f t="shared" si="1"/>
        <v>0.4013288270820915</v>
      </c>
    </row>
    <row r="26" spans="1:16" x14ac:dyDescent="0.25">
      <c r="A26" s="3">
        <v>100000000</v>
      </c>
      <c r="B26" s="3">
        <v>1.02E-4</v>
      </c>
      <c r="C26" s="3">
        <v>4.1389999999999998E-4</v>
      </c>
      <c r="D26" s="3">
        <v>-8.1269999999999997E-4</v>
      </c>
      <c r="E26" s="3">
        <v>0</v>
      </c>
      <c r="F26" s="3">
        <v>0</v>
      </c>
      <c r="G26" s="3">
        <v>0</v>
      </c>
      <c r="H26" s="3">
        <v>1.6787633E-4</v>
      </c>
      <c r="I26" s="3">
        <v>4.8578407000000001E-5</v>
      </c>
      <c r="J26" s="3">
        <v>-4.1763719E-4</v>
      </c>
      <c r="L26" s="3">
        <f t="shared" si="0"/>
        <v>0.12550756736803248</v>
      </c>
      <c r="M26" s="3"/>
      <c r="N26" s="2">
        <f>IF('Modell einstellen'!$B$1="Voll",H26/0.35,H26/0.35*2)</f>
        <v>4.7964665714285719E-4</v>
      </c>
      <c r="O26" s="2">
        <f>IF('Modell einstellen'!$B$1="Voll",J26/0.35,J26/0.35*2)</f>
        <v>-1.1932491142857143E-3</v>
      </c>
      <c r="P26" s="3">
        <f t="shared" si="1"/>
        <v>0.40196690816734976</v>
      </c>
    </row>
    <row r="27" spans="1:16" x14ac:dyDescent="0.25">
      <c r="A27" s="3">
        <v>1000000000</v>
      </c>
      <c r="B27" s="3">
        <v>1.002E-4</v>
      </c>
      <c r="C27" s="3">
        <v>4.4109999999999999E-4</v>
      </c>
      <c r="D27" s="3">
        <v>-8.3869999999999995E-4</v>
      </c>
      <c r="E27" s="3">
        <v>0</v>
      </c>
      <c r="F27" s="3">
        <v>0</v>
      </c>
      <c r="G27" s="3">
        <v>0</v>
      </c>
      <c r="H27" s="3">
        <v>1.7806184999999999E-4</v>
      </c>
      <c r="I27" s="3">
        <v>5.2298288999999997E-5</v>
      </c>
      <c r="J27" s="3">
        <v>-4.4086806E-4</v>
      </c>
      <c r="L27" s="3">
        <f t="shared" si="0"/>
        <v>0.11947060927626088</v>
      </c>
      <c r="M27" s="3"/>
      <c r="N27" s="2">
        <f>IF('Modell einstellen'!$B$1="Voll",H27/0.35,H27/0.35*2)</f>
        <v>5.0874814285714284E-4</v>
      </c>
      <c r="O27" s="2">
        <f>IF('Modell einstellen'!$B$1="Voll",J27/0.35,J27/0.35*2)</f>
        <v>-1.2596230285714287E-3</v>
      </c>
      <c r="P27" s="3">
        <f t="shared" si="1"/>
        <v>0.40388920440278658</v>
      </c>
    </row>
    <row r="28" spans="1:16" x14ac:dyDescent="0.25">
      <c r="A28" s="3">
        <v>10000000000</v>
      </c>
      <c r="B28" s="3">
        <v>9.2930000000000006E-5</v>
      </c>
      <c r="C28" s="3">
        <v>4.6779999999999999E-4</v>
      </c>
      <c r="D28" s="3">
        <v>-8.5959999999999997E-4</v>
      </c>
      <c r="E28" s="3">
        <v>0</v>
      </c>
      <c r="F28" s="3">
        <v>0</v>
      </c>
      <c r="G28" s="3">
        <v>0</v>
      </c>
      <c r="H28" s="3">
        <v>1.895449E-4</v>
      </c>
      <c r="I28" s="3">
        <v>5.6077069999999997E-5</v>
      </c>
      <c r="J28" s="3">
        <v>-4.6584391000000001E-4</v>
      </c>
      <c r="L28" s="3">
        <f t="shared" si="0"/>
        <v>0.10810842252210331</v>
      </c>
      <c r="M28" s="3"/>
      <c r="N28" s="2">
        <f>IF('Modell einstellen'!$B$1="Voll",H28/0.35,H28/0.35*2)</f>
        <v>5.4155685714285713E-4</v>
      </c>
      <c r="O28" s="2">
        <f>IF('Modell einstellen'!$B$1="Voll",J28/0.35,J28/0.35*2)</f>
        <v>-1.3309826000000001E-3</v>
      </c>
      <c r="P28" s="3">
        <f t="shared" si="1"/>
        <v>0.40688500145896506</v>
      </c>
    </row>
    <row r="29" spans="1:16" x14ac:dyDescent="0.25">
      <c r="A29" s="3">
        <v>100000000000</v>
      </c>
      <c r="B29" s="3">
        <v>7.627E-5</v>
      </c>
      <c r="C29" s="3">
        <v>4.9540000000000001E-4</v>
      </c>
      <c r="D29" s="3">
        <v>-8.7259999999999996E-4</v>
      </c>
      <c r="E29" s="3">
        <v>0</v>
      </c>
      <c r="F29" s="3">
        <v>0</v>
      </c>
      <c r="G29" s="3">
        <v>0</v>
      </c>
      <c r="H29" s="3">
        <v>2.0242649000000001E-4</v>
      </c>
      <c r="I29" s="3">
        <v>6.0094855000000003E-5</v>
      </c>
      <c r="J29" s="3">
        <v>-4.9324331000000004E-4</v>
      </c>
      <c r="L29" s="3">
        <f t="shared" si="0"/>
        <v>8.7405454962181994E-2</v>
      </c>
      <c r="M29" s="3"/>
      <c r="N29" s="2">
        <f>IF('Modell einstellen'!$B$1="Voll",H29/0.35,H29/0.35*2)</f>
        <v>5.7836140000000003E-4</v>
      </c>
      <c r="O29" s="2">
        <f>IF('Modell einstellen'!$B$1="Voll",J29/0.35,J29/0.35*2)</f>
        <v>-1.4092666000000002E-3</v>
      </c>
      <c r="P29" s="3">
        <f t="shared" si="1"/>
        <v>0.41039885568848361</v>
      </c>
    </row>
    <row r="30" spans="1:16" x14ac:dyDescent="0.25">
      <c r="A30" s="3">
        <v>1000000000000</v>
      </c>
      <c r="B30" s="3">
        <v>5.257E-5</v>
      </c>
      <c r="C30" s="3">
        <v>5.3050000000000005E-4</v>
      </c>
      <c r="D30" s="3">
        <v>-8.8670000000000003E-4</v>
      </c>
      <c r="E30" s="3">
        <v>0</v>
      </c>
      <c r="F30" s="3">
        <v>0</v>
      </c>
      <c r="G30" s="3">
        <v>0</v>
      </c>
      <c r="H30" s="3">
        <v>2.1961901000000001E-4</v>
      </c>
      <c r="I30" s="3">
        <v>6.5283808999999998E-5</v>
      </c>
      <c r="J30" s="3">
        <v>-5.2929726999999998E-4</v>
      </c>
      <c r="L30" s="3">
        <f t="shared" si="0"/>
        <v>5.9287244840419528E-2</v>
      </c>
      <c r="M30" s="3"/>
      <c r="N30" s="2">
        <f>IF('Modell einstellen'!$B$1="Voll",H30/0.35,H30/0.35*2)</f>
        <v>6.2748288571428583E-4</v>
      </c>
      <c r="O30" s="2">
        <f>IF('Modell einstellen'!$B$1="Voll",J30/0.35,J30/0.35*2)</f>
        <v>-1.5122779142857142E-3</v>
      </c>
      <c r="P30" s="3">
        <f t="shared" si="1"/>
        <v>0.41492564282449457</v>
      </c>
    </row>
    <row r="31" spans="1:16" x14ac:dyDescent="0.25">
      <c r="A31" s="3">
        <v>10000000000000</v>
      </c>
      <c r="B31" s="3">
        <v>1.1430000000000001E-5</v>
      </c>
      <c r="C31" s="3">
        <v>5.7070000000000005E-4</v>
      </c>
      <c r="D31" s="3">
        <v>-8.8909999999999998E-4</v>
      </c>
      <c r="E31" s="3">
        <v>0</v>
      </c>
      <c r="F31" s="3">
        <v>0</v>
      </c>
      <c r="G31" s="3">
        <v>0</v>
      </c>
      <c r="H31" s="3">
        <v>2.4078372E-4</v>
      </c>
      <c r="I31" s="3">
        <v>7.1471758999999997E-5</v>
      </c>
      <c r="J31" s="3">
        <v>-5.7303024E-4</v>
      </c>
      <c r="L31" s="3">
        <f t="shared" si="0"/>
        <v>1.2855696772016647E-2</v>
      </c>
      <c r="M31" s="3"/>
      <c r="N31" s="2">
        <f>IF('Modell einstellen'!$B$1="Voll",H31/0.35,H31/0.35*2)</f>
        <v>6.8795348571428579E-4</v>
      </c>
      <c r="O31" s="2">
        <f>IF('Modell einstellen'!$B$1="Voll",J31/0.35,J31/0.35*2)</f>
        <v>-1.6372292571428572E-3</v>
      </c>
      <c r="P31" s="3">
        <f t="shared" si="1"/>
        <v>0.42019374056070763</v>
      </c>
    </row>
    <row r="32" spans="1:16" x14ac:dyDescent="0.25">
      <c r="A32" s="3">
        <v>100000000000000</v>
      </c>
      <c r="B32" s="3">
        <v>-5.2630000000000003E-5</v>
      </c>
      <c r="C32" s="3">
        <v>6.2339999999999997E-4</v>
      </c>
      <c r="D32" s="3">
        <v>-8.8190000000000002E-4</v>
      </c>
      <c r="E32" s="3">
        <v>0</v>
      </c>
      <c r="F32" s="3">
        <v>0</v>
      </c>
      <c r="G32" s="3">
        <v>0</v>
      </c>
      <c r="H32" s="3">
        <v>2.6960605E-4</v>
      </c>
      <c r="I32" s="3">
        <v>7.9784727999999999E-5</v>
      </c>
      <c r="J32" s="3">
        <v>-6.3221532000000001E-4</v>
      </c>
      <c r="L32" s="3">
        <f t="shared" si="0"/>
        <v>-5.9677968023585444E-2</v>
      </c>
      <c r="M32" s="3"/>
      <c r="N32" s="2">
        <f>IF('Modell einstellen'!$B$1="Voll",H32/0.35,H32/0.35*2)</f>
        <v>7.7030300000000007E-4</v>
      </c>
      <c r="O32" s="2">
        <f>IF('Modell einstellen'!$B$1="Voll",J32/0.35,J32/0.35*2)</f>
        <v>-1.8063294857142858E-3</v>
      </c>
      <c r="P32" s="3">
        <f t="shared" si="1"/>
        <v>0.4264465625413823</v>
      </c>
    </row>
    <row r="33" spans="1:16" x14ac:dyDescent="0.25">
      <c r="A33" s="3">
        <v>1000000000000000</v>
      </c>
      <c r="B33" s="3">
        <v>-1.5200000000000001E-4</v>
      </c>
      <c r="C33" s="3">
        <v>6.9640000000000001E-4</v>
      </c>
      <c r="D33" s="3">
        <v>-8.6039999999999999E-4</v>
      </c>
      <c r="E33" s="3">
        <v>0</v>
      </c>
      <c r="F33" s="3">
        <v>0</v>
      </c>
      <c r="G33" s="3">
        <v>0</v>
      </c>
      <c r="H33" s="3">
        <v>3.1094318999999999E-4</v>
      </c>
      <c r="I33" s="3">
        <v>9.1547810999999995E-5</v>
      </c>
      <c r="J33" s="3">
        <v>-7.1653291000000003E-4</v>
      </c>
      <c r="L33" s="3">
        <f t="shared" si="0"/>
        <v>-0.17666201766620176</v>
      </c>
      <c r="M33" s="3"/>
      <c r="N33" s="2">
        <f>IF('Modell einstellen'!$B$1="Voll",H33/0.35,H33/0.35*2)</f>
        <v>8.884091142857143E-4</v>
      </c>
      <c r="O33" s="2">
        <f>IF('Modell einstellen'!$B$1="Voll",J33/0.35,J33/0.35*2)</f>
        <v>-2.0472368857142858E-3</v>
      </c>
      <c r="P33" s="3">
        <f t="shared" si="1"/>
        <v>0.433955210794156</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9.4270000000000004E-5</v>
      </c>
      <c r="C3" s="3">
        <v>1.839E-4</v>
      </c>
      <c r="D3" s="3">
        <v>-5.643E-4</v>
      </c>
      <c r="E3" s="3">
        <v>0</v>
      </c>
      <c r="F3" s="3">
        <v>0</v>
      </c>
      <c r="G3" s="3">
        <v>0</v>
      </c>
      <c r="H3" s="3">
        <v>8.1984952999999993E-5</v>
      </c>
      <c r="I3" s="3">
        <v>1.9620347000000001E-5</v>
      </c>
      <c r="J3" s="3">
        <v>-2.2972688000000001E-4</v>
      </c>
      <c r="K3" s="3"/>
      <c r="L3" s="3">
        <f>-B3/D3</f>
        <v>0.16705653021442496</v>
      </c>
      <c r="M3" s="3"/>
      <c r="N3" s="2">
        <f>IF('Modell einstellen'!$B$1="Voll",H3/0.35,H3/0.35*2)</f>
        <v>2.3424272285714286E-4</v>
      </c>
      <c r="O3" s="2">
        <f>IF('Modell einstellen'!$B$1="Voll",J3/0.35,J3/0.35*2)</f>
        <v>-6.5636251428571434E-4</v>
      </c>
      <c r="P3" s="3">
        <f>-N3/O3</f>
        <v>0.35688010475744064</v>
      </c>
      <c r="Q3" s="3"/>
      <c r="R3" s="3"/>
      <c r="S3" s="3"/>
      <c r="T3" s="3"/>
      <c r="U3" s="3"/>
    </row>
    <row r="4" spans="1:21" x14ac:dyDescent="0.25">
      <c r="A4" s="3">
        <v>1E-14</v>
      </c>
      <c r="B4" s="3">
        <v>9.4270000000000004E-5</v>
      </c>
      <c r="C4" s="3">
        <v>1.839E-4</v>
      </c>
      <c r="D4" s="3">
        <v>-5.643E-4</v>
      </c>
      <c r="E4" s="3">
        <v>0</v>
      </c>
      <c r="F4" s="3">
        <v>0</v>
      </c>
      <c r="G4" s="3">
        <v>0</v>
      </c>
      <c r="H4" s="3">
        <v>8.1987362000000003E-5</v>
      </c>
      <c r="I4" s="3">
        <v>1.9620921000000001E-5</v>
      </c>
      <c r="J4" s="3">
        <v>-2.2972296000000001E-4</v>
      </c>
      <c r="K4" s="3"/>
      <c r="L4" s="3">
        <f t="shared" ref="L4:L33" si="0">-B4/D4</f>
        <v>0.16705653021442496</v>
      </c>
      <c r="M4" s="3"/>
      <c r="N4" s="2">
        <f>IF('Modell einstellen'!$B$1="Voll",H4/0.35,H4/0.35*2)</f>
        <v>2.3424960571428574E-4</v>
      </c>
      <c r="O4" s="2">
        <f>IF('Modell einstellen'!$B$1="Voll",J4/0.35,J4/0.35*2)</f>
        <v>-6.5635131428571432E-4</v>
      </c>
      <c r="P4" s="3">
        <f t="shared" ref="P4:P33" si="1">-N4/O4</f>
        <v>0.35689668111537481</v>
      </c>
      <c r="Q4" s="3"/>
      <c r="R4" s="3"/>
      <c r="S4" s="3"/>
      <c r="T4" s="3"/>
      <c r="U4" s="3"/>
    </row>
    <row r="5" spans="1:21" x14ac:dyDescent="0.25">
      <c r="A5" s="3">
        <v>1E-13</v>
      </c>
      <c r="B5" s="3">
        <v>9.4270000000000004E-5</v>
      </c>
      <c r="C5" s="3">
        <v>1.839E-4</v>
      </c>
      <c r="D5" s="3">
        <v>-5.643E-4</v>
      </c>
      <c r="E5" s="3">
        <v>0</v>
      </c>
      <c r="F5" s="3">
        <v>0</v>
      </c>
      <c r="G5" s="3">
        <v>0</v>
      </c>
      <c r="H5" s="3">
        <v>8.1988794999999996E-5</v>
      </c>
      <c r="I5" s="3">
        <v>1.9621262000000001E-5</v>
      </c>
      <c r="J5" s="3">
        <v>-2.2972579E-4</v>
      </c>
      <c r="K5" s="3"/>
      <c r="L5" s="3">
        <f t="shared" si="0"/>
        <v>0.16705653021442496</v>
      </c>
      <c r="M5" s="3"/>
      <c r="N5" s="2">
        <f>IF('Modell einstellen'!$B$1="Voll",H5/0.35,H5/0.35*2)</f>
        <v>2.3425370000000002E-4</v>
      </c>
      <c r="O5" s="2">
        <f>IF('Modell einstellen'!$B$1="Voll",J5/0.35,J5/0.35*2)</f>
        <v>-6.5635940000000005E-4</v>
      </c>
      <c r="P5" s="3">
        <f t="shared" si="1"/>
        <v>0.3568985223644241</v>
      </c>
      <c r="Q5" s="3"/>
      <c r="R5" s="3"/>
      <c r="S5" s="3"/>
      <c r="T5" s="3"/>
      <c r="U5" s="3"/>
    </row>
    <row r="6" spans="1:21" x14ac:dyDescent="0.25">
      <c r="A6" s="3">
        <v>9.9999999999999998E-13</v>
      </c>
      <c r="B6" s="3">
        <v>9.4270000000000004E-5</v>
      </c>
      <c r="C6" s="3">
        <v>1.839E-4</v>
      </c>
      <c r="D6" s="3">
        <v>-5.643E-4</v>
      </c>
      <c r="E6" s="3">
        <v>0</v>
      </c>
      <c r="F6" s="3">
        <v>0</v>
      </c>
      <c r="G6" s="3">
        <v>0</v>
      </c>
      <c r="H6" s="3">
        <v>8.2000125999999999E-5</v>
      </c>
      <c r="I6" s="3">
        <v>1.9623338999999999E-5</v>
      </c>
      <c r="J6" s="3">
        <v>-2.2974589E-4</v>
      </c>
      <c r="K6" s="3"/>
      <c r="L6" s="3">
        <f t="shared" si="0"/>
        <v>0.16705653021442496</v>
      </c>
      <c r="M6" s="3"/>
      <c r="N6" s="2">
        <f>IF('Modell einstellen'!$B$1="Voll",H6/0.35,H6/0.35*2)</f>
        <v>2.342860742857143E-4</v>
      </c>
      <c r="O6" s="2">
        <f>IF('Modell einstellen'!$B$1="Voll",J6/0.35,J6/0.35*2)</f>
        <v>-6.5641682857142864E-4</v>
      </c>
      <c r="P6" s="3">
        <f t="shared" si="1"/>
        <v>0.35691661774667655</v>
      </c>
      <c r="Q6" s="3"/>
      <c r="R6" s="3"/>
      <c r="S6" s="3"/>
      <c r="T6" s="3"/>
      <c r="U6" s="3"/>
    </row>
    <row r="7" spans="1:21" x14ac:dyDescent="0.25">
      <c r="A7" s="3">
        <v>9.9999999999999994E-12</v>
      </c>
      <c r="B7" s="3">
        <v>9.4240000000000006E-5</v>
      </c>
      <c r="C7" s="3">
        <v>1.841E-4</v>
      </c>
      <c r="D7" s="3">
        <v>-5.6450000000000001E-4</v>
      </c>
      <c r="E7" s="3">
        <v>0</v>
      </c>
      <c r="F7" s="3">
        <v>0</v>
      </c>
      <c r="G7" s="3">
        <v>0</v>
      </c>
      <c r="H7" s="3">
        <v>8.2109698999999995E-5</v>
      </c>
      <c r="I7" s="3">
        <v>1.9643254E-5</v>
      </c>
      <c r="J7" s="3">
        <v>-2.2993964000000001E-4</v>
      </c>
      <c r="K7" s="3"/>
      <c r="L7" s="3">
        <f t="shared" si="0"/>
        <v>0.16694419840566874</v>
      </c>
      <c r="M7" s="3"/>
      <c r="N7" s="2">
        <f>IF('Modell einstellen'!$B$1="Voll",H7/0.35,H7/0.35*2)</f>
        <v>2.3459914E-4</v>
      </c>
      <c r="O7" s="2">
        <f>IF('Modell einstellen'!$B$1="Voll",J7/0.35,J7/0.35*2)</f>
        <v>-6.5697040000000013E-4</v>
      </c>
      <c r="P7" s="3">
        <f t="shared" si="1"/>
        <v>0.3570924047719653</v>
      </c>
      <c r="Q7" s="3"/>
      <c r="R7" s="3"/>
      <c r="S7" s="3"/>
      <c r="T7" s="3"/>
      <c r="U7" s="3"/>
    </row>
    <row r="8" spans="1:21" x14ac:dyDescent="0.25">
      <c r="A8" s="3">
        <v>1E-10</v>
      </c>
      <c r="B8" s="3">
        <v>9.3960000000000002E-5</v>
      </c>
      <c r="C8" s="3">
        <v>1.8540000000000001E-4</v>
      </c>
      <c r="D8" s="3">
        <v>-5.6630000000000005E-4</v>
      </c>
      <c r="E8" s="3">
        <v>0</v>
      </c>
      <c r="F8" s="3">
        <v>0</v>
      </c>
      <c r="G8" s="3">
        <v>0</v>
      </c>
      <c r="H8" s="3">
        <v>8.3063505000000002E-5</v>
      </c>
      <c r="I8" s="3">
        <v>1.9816264E-5</v>
      </c>
      <c r="J8" s="3">
        <v>-2.316246E-4</v>
      </c>
      <c r="K8" s="3"/>
      <c r="L8" s="3">
        <f t="shared" si="0"/>
        <v>0.16591912413914886</v>
      </c>
      <c r="M8" s="3"/>
      <c r="N8" s="2">
        <f>IF('Modell einstellen'!$B$1="Voll",H8/0.35,H8/0.35*2)</f>
        <v>2.3732430000000001E-4</v>
      </c>
      <c r="O8" s="2">
        <f>IF('Modell einstellen'!$B$1="Voll",J8/0.35,J8/0.35*2)</f>
        <v>-6.6178457142857146E-4</v>
      </c>
      <c r="P8" s="3">
        <f t="shared" si="1"/>
        <v>0.35861262145730638</v>
      </c>
      <c r="Q8" s="3"/>
      <c r="R8" s="3"/>
      <c r="S8" s="3"/>
      <c r="T8" s="3"/>
      <c r="U8" s="3"/>
    </row>
    <row r="9" spans="1:21" x14ac:dyDescent="0.25">
      <c r="A9" s="3">
        <v>1.0000000000000001E-9</v>
      </c>
      <c r="B9" s="3">
        <v>9.3999999999999994E-5</v>
      </c>
      <c r="C9" s="3">
        <v>1.9110000000000001E-4</v>
      </c>
      <c r="D9" s="3">
        <v>-5.7399999999999997E-4</v>
      </c>
      <c r="E9" s="3">
        <v>0</v>
      </c>
      <c r="F9" s="3">
        <v>0</v>
      </c>
      <c r="G9" s="3">
        <v>0</v>
      </c>
      <c r="H9" s="3">
        <v>8.6612844000000006E-5</v>
      </c>
      <c r="I9" s="3">
        <v>2.0483329E-5</v>
      </c>
      <c r="J9" s="3">
        <v>-2.3796004000000001E-4</v>
      </c>
      <c r="K9" s="3"/>
      <c r="L9" s="3">
        <f t="shared" si="0"/>
        <v>0.16376306620209058</v>
      </c>
      <c r="M9" s="3"/>
      <c r="N9" s="2">
        <f>IF('Modell einstellen'!$B$1="Voll",H9/0.35,H9/0.35*2)</f>
        <v>2.474652685714286E-4</v>
      </c>
      <c r="O9" s="2">
        <f>IF('Modell einstellen'!$B$1="Voll",J9/0.35,J9/0.35*2)</f>
        <v>-6.7988582857142867E-4</v>
      </c>
      <c r="P9" s="3">
        <f t="shared" si="1"/>
        <v>0.36398062464605402</v>
      </c>
      <c r="Q9" s="3"/>
      <c r="R9" s="3"/>
      <c r="S9" s="3"/>
      <c r="T9" s="3"/>
      <c r="U9" s="3"/>
    </row>
    <row r="10" spans="1:21" x14ac:dyDescent="0.25">
      <c r="A10" s="3">
        <v>1E-8</v>
      </c>
      <c r="B10" s="3">
        <v>9.357E-5</v>
      </c>
      <c r="C10" s="3">
        <v>1.95E-4</v>
      </c>
      <c r="D10" s="3">
        <v>-5.7899999999999998E-4</v>
      </c>
      <c r="E10" s="3">
        <v>0</v>
      </c>
      <c r="F10" s="3">
        <v>0</v>
      </c>
      <c r="G10" s="3">
        <v>0</v>
      </c>
      <c r="H10" s="3">
        <v>8.9243918000000004E-5</v>
      </c>
      <c r="I10" s="3">
        <v>2.0961572999999999E-5</v>
      </c>
      <c r="J10" s="3">
        <v>-2.4258634000000001E-4</v>
      </c>
      <c r="K10" s="3"/>
      <c r="L10" s="3">
        <f t="shared" si="0"/>
        <v>0.16160621761658031</v>
      </c>
      <c r="M10" s="3"/>
      <c r="N10" s="2">
        <f>IF('Modell einstellen'!$B$1="Voll",H10/0.35,H10/0.35*2)</f>
        <v>2.5498262285714288E-4</v>
      </c>
      <c r="O10" s="2">
        <f>IF('Modell einstellen'!$B$1="Voll",J10/0.35,J10/0.35*2)</f>
        <v>-6.9310382857142863E-4</v>
      </c>
      <c r="P10" s="3">
        <f t="shared" si="1"/>
        <v>0.36788517440841889</v>
      </c>
      <c r="Q10" s="3"/>
      <c r="R10" s="3"/>
      <c r="S10" s="3"/>
      <c r="T10" s="3"/>
      <c r="U10" s="3"/>
    </row>
    <row r="11" spans="1:21" x14ac:dyDescent="0.25">
      <c r="A11" s="3">
        <v>9.9999999999999995E-8</v>
      </c>
      <c r="B11" s="3">
        <v>9.3029999999999995E-5</v>
      </c>
      <c r="C11" s="3">
        <v>1.9870000000000001E-4</v>
      </c>
      <c r="D11" s="3">
        <v>-5.8359999999999998E-4</v>
      </c>
      <c r="E11" s="3">
        <v>0</v>
      </c>
      <c r="F11" s="3">
        <v>0</v>
      </c>
      <c r="G11" s="3">
        <v>0</v>
      </c>
      <c r="H11" s="3">
        <v>9.1737235999999998E-5</v>
      </c>
      <c r="I11" s="3">
        <v>2.140831E-5</v>
      </c>
      <c r="J11" s="3">
        <v>-2.4694141000000002E-4</v>
      </c>
      <c r="K11" s="3"/>
      <c r="L11" s="3">
        <f t="shared" si="0"/>
        <v>0.15940712816997943</v>
      </c>
      <c r="M11" s="3"/>
      <c r="N11" s="2">
        <f>IF('Modell einstellen'!$B$1="Voll",H11/0.35,H11/0.35*2)</f>
        <v>2.6210638857142857E-4</v>
      </c>
      <c r="O11" s="2">
        <f>IF('Modell einstellen'!$B$1="Voll",J11/0.35,J11/0.35*2)</f>
        <v>-7.0554688571428581E-4</v>
      </c>
      <c r="P11" s="3">
        <f t="shared" si="1"/>
        <v>0.37149393453289181</v>
      </c>
      <c r="Q11" s="3"/>
      <c r="R11" s="3"/>
      <c r="S11" s="3"/>
      <c r="T11" s="3"/>
      <c r="U11" s="3"/>
    </row>
    <row r="12" spans="1:21" x14ac:dyDescent="0.25">
      <c r="A12" s="3">
        <v>9.9999999999999995E-7</v>
      </c>
      <c r="B12" s="3">
        <v>9.2239999999999998E-5</v>
      </c>
      <c r="C12" s="3">
        <v>2.03E-4</v>
      </c>
      <c r="D12" s="3">
        <v>-5.8870000000000005E-4</v>
      </c>
      <c r="E12" s="3">
        <v>0</v>
      </c>
      <c r="F12" s="3">
        <v>0</v>
      </c>
      <c r="G12" s="3">
        <v>0</v>
      </c>
      <c r="H12" s="3">
        <v>9.4699802999999999E-5</v>
      </c>
      <c r="I12" s="3">
        <v>2.1930477999999999E-5</v>
      </c>
      <c r="J12" s="3">
        <v>-2.5207767E-4</v>
      </c>
      <c r="K12" s="3"/>
      <c r="L12" s="3">
        <f t="shared" si="0"/>
        <v>0.15668421946662134</v>
      </c>
      <c r="M12" s="3"/>
      <c r="N12" s="2">
        <f>IF('Modell einstellen'!$B$1="Voll",H12/0.35,H12/0.35*2)</f>
        <v>2.7057086571428572E-4</v>
      </c>
      <c r="O12" s="2">
        <f>IF('Modell einstellen'!$B$1="Voll",J12/0.35,J12/0.35*2)</f>
        <v>-7.2022191428571436E-4</v>
      </c>
      <c r="P12" s="3">
        <f t="shared" si="1"/>
        <v>0.37567708000474614</v>
      </c>
      <c r="Q12" s="3"/>
      <c r="R12" s="3"/>
      <c r="S12" s="3"/>
      <c r="T12" s="3"/>
      <c r="U12" s="3"/>
    </row>
    <row r="13" spans="1:21" x14ac:dyDescent="0.25">
      <c r="A13" s="3">
        <v>1.0000000000000001E-5</v>
      </c>
      <c r="B13" s="3">
        <v>9.1139999999999998E-5</v>
      </c>
      <c r="C13" s="3">
        <v>2.075E-4</v>
      </c>
      <c r="D13" s="3">
        <v>-5.9389999999999996E-4</v>
      </c>
      <c r="E13" s="3">
        <v>0</v>
      </c>
      <c r="F13" s="3">
        <v>0</v>
      </c>
      <c r="G13" s="3">
        <v>0</v>
      </c>
      <c r="H13" s="3">
        <v>9.7961513000000003E-5</v>
      </c>
      <c r="I13" s="3">
        <v>2.2494116999999998E-5</v>
      </c>
      <c r="J13" s="3">
        <v>-2.5768277999999999E-4</v>
      </c>
      <c r="K13" s="3"/>
      <c r="L13" s="3">
        <f t="shared" si="0"/>
        <v>0.15346017848122581</v>
      </c>
      <c r="M13" s="3"/>
      <c r="N13" s="2">
        <f>IF('Modell einstellen'!$B$1="Voll",H13/0.35,H13/0.35*2)</f>
        <v>2.7989003714285718E-4</v>
      </c>
      <c r="O13" s="2">
        <f>IF('Modell einstellen'!$B$1="Voll",J13/0.35,J13/0.35*2)</f>
        <v>-7.3623651428571431E-4</v>
      </c>
      <c r="P13" s="3">
        <f t="shared" si="1"/>
        <v>0.38016321075083098</v>
      </c>
      <c r="Q13" s="3"/>
      <c r="R13" s="3"/>
      <c r="S13" s="3"/>
      <c r="T13" s="3"/>
      <c r="U13" s="3"/>
    </row>
    <row r="14" spans="1:21" x14ac:dyDescent="0.25">
      <c r="A14" s="3">
        <v>1E-4</v>
      </c>
      <c r="B14" s="3">
        <v>8.9549999999999995E-5</v>
      </c>
      <c r="C14" s="3">
        <v>2.128E-4</v>
      </c>
      <c r="D14" s="3">
        <v>-5.9960000000000005E-4</v>
      </c>
      <c r="E14" s="3">
        <v>0</v>
      </c>
      <c r="F14" s="3">
        <v>0</v>
      </c>
      <c r="G14" s="3">
        <v>0</v>
      </c>
      <c r="H14" s="3">
        <v>1.0187331E-4</v>
      </c>
      <c r="I14" s="3">
        <v>2.3155398E-5</v>
      </c>
      <c r="J14" s="3">
        <v>-2.6434111000000002E-4</v>
      </c>
      <c r="K14" s="3"/>
      <c r="L14" s="3">
        <f t="shared" si="0"/>
        <v>0.14934956637758504</v>
      </c>
      <c r="M14" s="3"/>
      <c r="N14" s="2">
        <f>IF('Modell einstellen'!$B$1="Voll",H14/0.35,H14/0.35*2)</f>
        <v>2.9106660000000002E-4</v>
      </c>
      <c r="O14" s="2">
        <f>IF('Modell einstellen'!$B$1="Voll",J14/0.35,J14/0.35*2)</f>
        <v>-7.5526031428571443E-4</v>
      </c>
      <c r="P14" s="3">
        <f t="shared" si="1"/>
        <v>0.38538579943165097</v>
      </c>
      <c r="Q14" s="3"/>
      <c r="R14" s="3"/>
      <c r="S14" s="3"/>
      <c r="T14" s="3"/>
      <c r="U14" s="3"/>
    </row>
    <row r="15" spans="1:21" x14ac:dyDescent="0.25">
      <c r="A15" s="3">
        <v>1E-3</v>
      </c>
      <c r="B15" s="3">
        <v>8.7340000000000001E-5</v>
      </c>
      <c r="C15" s="3">
        <v>2.187E-4</v>
      </c>
      <c r="D15" s="3">
        <v>-6.0559999999999998E-4</v>
      </c>
      <c r="E15" s="3">
        <v>0</v>
      </c>
      <c r="F15" s="3">
        <v>0</v>
      </c>
      <c r="G15" s="3">
        <v>0</v>
      </c>
      <c r="H15" s="3">
        <v>1.06412E-4</v>
      </c>
      <c r="I15" s="3">
        <v>2.3902752E-5</v>
      </c>
      <c r="J15" s="3">
        <v>-2.7198047999999999E-4</v>
      </c>
      <c r="K15" s="3"/>
      <c r="L15" s="3">
        <f t="shared" si="0"/>
        <v>0.14422060766182299</v>
      </c>
      <c r="M15" s="3"/>
      <c r="N15" s="2">
        <f>IF('Modell einstellen'!$B$1="Voll",H15/0.35,H15/0.35*2)</f>
        <v>3.0403428571428574E-4</v>
      </c>
      <c r="O15" s="2">
        <f>IF('Modell einstellen'!$B$1="Voll",J15/0.35,J15/0.35*2)</f>
        <v>-7.7708708571428569E-4</v>
      </c>
      <c r="P15" s="3">
        <f t="shared" si="1"/>
        <v>0.39124866608074232</v>
      </c>
      <c r="Q15" s="3"/>
      <c r="R15" s="3"/>
      <c r="S15" s="3"/>
      <c r="T15" s="3"/>
      <c r="U15" s="3"/>
    </row>
    <row r="16" spans="1:21" x14ac:dyDescent="0.25">
      <c r="A16" s="3">
        <v>0.01</v>
      </c>
      <c r="B16" s="3">
        <v>8.4389999999999997E-5</v>
      </c>
      <c r="C16" s="3">
        <v>2.251E-4</v>
      </c>
      <c r="D16" s="3">
        <v>-6.1140000000000001E-4</v>
      </c>
      <c r="E16" s="3">
        <v>0</v>
      </c>
      <c r="F16" s="3">
        <v>0</v>
      </c>
      <c r="G16" s="3">
        <v>0</v>
      </c>
      <c r="H16" s="3">
        <v>1.1151769E-4</v>
      </c>
      <c r="I16" s="3">
        <v>2.4718829000000001E-5</v>
      </c>
      <c r="J16" s="3">
        <v>-2.8046849000000002E-4</v>
      </c>
      <c r="K16" s="3"/>
      <c r="L16" s="3">
        <f t="shared" si="0"/>
        <v>0.13802747791952893</v>
      </c>
      <c r="M16" s="3"/>
      <c r="N16" s="2">
        <f>IF('Modell einstellen'!$B$1="Voll",H16/0.35,H16/0.35*2)</f>
        <v>3.1862197142857148E-4</v>
      </c>
      <c r="O16" s="2">
        <f>IF('Modell einstellen'!$B$1="Voll",J16/0.35,J16/0.35*2)</f>
        <v>-8.0133854285714299E-4</v>
      </c>
      <c r="P16" s="3">
        <f t="shared" si="1"/>
        <v>0.39761218809285848</v>
      </c>
      <c r="Q16" s="3"/>
      <c r="R16" s="3"/>
      <c r="S16" s="3"/>
      <c r="T16" s="3"/>
      <c r="U16" s="3"/>
    </row>
    <row r="17" spans="1:25" x14ac:dyDescent="0.25">
      <c r="A17" s="3">
        <v>0.1</v>
      </c>
      <c r="B17" s="3">
        <v>8.0870000000000003E-5</v>
      </c>
      <c r="C17" s="3">
        <v>2.3139999999999999E-4</v>
      </c>
      <c r="D17" s="3">
        <v>-6.1660000000000003E-4</v>
      </c>
      <c r="E17" s="3">
        <v>0</v>
      </c>
      <c r="F17" s="3">
        <v>0</v>
      </c>
      <c r="G17" s="3">
        <v>0</v>
      </c>
      <c r="H17" s="3">
        <v>1.1678687E-4</v>
      </c>
      <c r="I17" s="3">
        <v>2.5535082E-5</v>
      </c>
      <c r="J17" s="3">
        <v>-2.8911687000000001E-4</v>
      </c>
      <c r="K17" s="3"/>
      <c r="L17" s="3">
        <f t="shared" si="0"/>
        <v>0.13115471942912749</v>
      </c>
      <c r="M17" s="3"/>
      <c r="N17" s="2">
        <f>IF('Modell einstellen'!$B$1="Voll",H17/0.35,H17/0.35*2)</f>
        <v>3.3367677142857145E-4</v>
      </c>
      <c r="O17" s="2">
        <f>IF('Modell einstellen'!$B$1="Voll",J17/0.35,J17/0.35*2)</f>
        <v>-8.2604820000000008E-4</v>
      </c>
      <c r="P17" s="3">
        <f t="shared" si="1"/>
        <v>0.40394346410847626</v>
      </c>
      <c r="Q17" s="3"/>
      <c r="R17" s="3"/>
      <c r="S17" s="3"/>
      <c r="T17" s="3"/>
      <c r="U17" s="3"/>
      <c r="V17" s="3"/>
      <c r="W17" s="3"/>
      <c r="X17" s="3"/>
      <c r="Y17" s="3"/>
    </row>
    <row r="18" spans="1:25" x14ac:dyDescent="0.25">
      <c r="A18" s="3">
        <v>1</v>
      </c>
      <c r="B18" s="3">
        <v>7.6440000000000007E-5</v>
      </c>
      <c r="C18" s="3">
        <v>2.3819999999999999E-4</v>
      </c>
      <c r="D18" s="3">
        <v>-6.2149999999999998E-4</v>
      </c>
      <c r="E18" s="3">
        <v>0</v>
      </c>
      <c r="F18" s="3">
        <v>0</v>
      </c>
      <c r="G18" s="3">
        <v>0</v>
      </c>
      <c r="H18" s="3">
        <v>1.2269808999999999E-4</v>
      </c>
      <c r="I18" s="3">
        <v>2.6428377999999999E-5</v>
      </c>
      <c r="J18" s="3">
        <v>-2.9871558999999999E-4</v>
      </c>
      <c r="K18" s="3"/>
      <c r="L18" s="3">
        <f t="shared" si="0"/>
        <v>0.12299275945293646</v>
      </c>
      <c r="M18" s="3"/>
      <c r="N18" s="2">
        <f>IF('Modell einstellen'!$B$1="Voll",H18/0.35,H18/0.35*2)</f>
        <v>3.5056597142857143E-4</v>
      </c>
      <c r="O18" s="2">
        <f>IF('Modell einstellen'!$B$1="Voll",J18/0.35,J18/0.35*2)</f>
        <v>-8.5347311428571435E-4</v>
      </c>
      <c r="P18" s="3">
        <f t="shared" si="1"/>
        <v>0.41075221417134605</v>
      </c>
      <c r="Q18" s="3"/>
      <c r="R18" s="3"/>
      <c r="S18" s="3"/>
      <c r="T18" s="3"/>
      <c r="U18" s="3"/>
      <c r="V18" s="3"/>
      <c r="W18" s="3"/>
      <c r="X18" s="3"/>
      <c r="Y18" s="3"/>
    </row>
    <row r="19" spans="1:25" x14ac:dyDescent="0.25">
      <c r="A19" s="3">
        <v>10</v>
      </c>
      <c r="B19" s="3">
        <v>7.0010000000000002E-5</v>
      </c>
      <c r="C19" s="3">
        <v>2.475E-4</v>
      </c>
      <c r="D19" s="3">
        <v>-6.2739999999999996E-4</v>
      </c>
      <c r="E19" s="3">
        <v>0</v>
      </c>
      <c r="F19" s="3">
        <v>0</v>
      </c>
      <c r="G19" s="3">
        <v>0</v>
      </c>
      <c r="H19" s="3">
        <v>1.3058692000000001E-4</v>
      </c>
      <c r="I19" s="3">
        <v>2.7651624E-5</v>
      </c>
      <c r="J19" s="3">
        <v>-3.1155963999999998E-4</v>
      </c>
      <c r="K19" s="3"/>
      <c r="L19" s="3">
        <f t="shared" si="0"/>
        <v>0.11158750398469877</v>
      </c>
      <c r="M19" s="3"/>
      <c r="N19" s="2">
        <f>IF('Modell einstellen'!$B$1="Voll",H19/0.35,H19/0.35*2)</f>
        <v>3.7310548571428578E-4</v>
      </c>
      <c r="O19" s="2">
        <f>IF('Modell einstellen'!$B$1="Voll",J19/0.35,J19/0.35*2)</f>
        <v>-8.9017040000000005E-4</v>
      </c>
      <c r="P19" s="3">
        <f t="shared" si="1"/>
        <v>0.41913939815824675</v>
      </c>
      <c r="Q19" s="3"/>
      <c r="R19" s="3"/>
      <c r="S19" s="3"/>
      <c r="T19" s="3"/>
      <c r="U19" s="3"/>
      <c r="V19" s="3"/>
      <c r="W19" s="3"/>
      <c r="X19" s="3"/>
      <c r="Y19" s="3"/>
    </row>
    <row r="20" spans="1:25" x14ac:dyDescent="0.25">
      <c r="A20" s="3">
        <v>100</v>
      </c>
      <c r="B20" s="3">
        <v>6.2929999999999995E-5</v>
      </c>
      <c r="C20" s="3">
        <v>2.6340000000000001E-4</v>
      </c>
      <c r="D20" s="3">
        <v>-6.3860000000000002E-4</v>
      </c>
      <c r="E20" s="3">
        <v>0</v>
      </c>
      <c r="F20" s="3">
        <v>0</v>
      </c>
      <c r="G20" s="3">
        <v>0</v>
      </c>
      <c r="H20" s="3">
        <v>1.4023618E-4</v>
      </c>
      <c r="I20" s="3">
        <v>2.9711359999999999E-5</v>
      </c>
      <c r="J20" s="3">
        <v>-3.2885854000000003E-4</v>
      </c>
      <c r="K20" s="3"/>
      <c r="L20" s="3">
        <f t="shared" si="0"/>
        <v>9.8543689320388345E-2</v>
      </c>
      <c r="M20" s="3"/>
      <c r="N20" s="2">
        <f>IF('Modell einstellen'!$B$1="Voll",H20/0.35,H20/0.35*2)</f>
        <v>4.0067480000000001E-4</v>
      </c>
      <c r="O20" s="2">
        <f>IF('Modell einstellen'!$B$1="Voll",J20/0.35,J20/0.35*2)</f>
        <v>-9.3959582857142869E-4</v>
      </c>
      <c r="P20" s="3">
        <f t="shared" si="1"/>
        <v>0.42643314052297376</v>
      </c>
      <c r="Q20" s="3"/>
      <c r="R20" s="3"/>
      <c r="S20" s="3"/>
      <c r="T20" s="3"/>
      <c r="U20" s="3"/>
      <c r="V20" s="3"/>
      <c r="W20" s="3"/>
      <c r="X20" s="3"/>
      <c r="Y20" s="3"/>
    </row>
    <row r="21" spans="1:25" x14ac:dyDescent="0.25">
      <c r="A21" s="3">
        <v>1000</v>
      </c>
      <c r="B21" s="3">
        <v>6.1199999999999997E-5</v>
      </c>
      <c r="C21" s="3">
        <v>2.9379999999999999E-4</v>
      </c>
      <c r="D21" s="3">
        <v>-6.6600000000000003E-4</v>
      </c>
      <c r="E21" s="3">
        <v>0</v>
      </c>
      <c r="F21" s="3">
        <v>0</v>
      </c>
      <c r="G21" s="3">
        <v>0</v>
      </c>
      <c r="H21" s="3">
        <v>1.4930832000000001E-4</v>
      </c>
      <c r="I21" s="3">
        <v>3.3516833000000001E-5</v>
      </c>
      <c r="J21" s="3">
        <v>-3.5068163999999998E-4</v>
      </c>
      <c r="K21" s="3"/>
      <c r="L21" s="3">
        <f t="shared" si="0"/>
        <v>9.1891891891891883E-2</v>
      </c>
      <c r="M21" s="3"/>
      <c r="N21" s="2">
        <f>IF('Modell einstellen'!$B$1="Voll",H21/0.35,H21/0.35*2)</f>
        <v>4.2659520000000006E-4</v>
      </c>
      <c r="O21" s="2">
        <f>IF('Modell einstellen'!$B$1="Voll",J21/0.35,J21/0.35*2)</f>
        <v>-1.0019475428571429E-3</v>
      </c>
      <c r="P21" s="3">
        <f t="shared" si="1"/>
        <v>0.42576600246308877</v>
      </c>
      <c r="Q21" s="3"/>
      <c r="R21" s="3"/>
      <c r="S21" s="3"/>
      <c r="T21" s="3"/>
      <c r="U21" s="3"/>
      <c r="V21" s="3"/>
      <c r="W21" s="3"/>
      <c r="X21" s="3"/>
      <c r="Y21" s="3"/>
    </row>
    <row r="22" spans="1:25" x14ac:dyDescent="0.25">
      <c r="A22" s="3">
        <v>10000</v>
      </c>
      <c r="B22" s="3">
        <v>6.6740000000000001E-5</v>
      </c>
      <c r="C22" s="3">
        <v>3.3429999999999999E-4</v>
      </c>
      <c r="D22" s="3">
        <v>-7.0799999999999997E-4</v>
      </c>
      <c r="E22" s="3">
        <v>0</v>
      </c>
      <c r="F22" s="3">
        <v>0</v>
      </c>
      <c r="G22" s="3">
        <v>0</v>
      </c>
      <c r="H22" s="3">
        <v>1.5710033999999999E-4</v>
      </c>
      <c r="I22" s="3">
        <v>3.8570752999999998E-5</v>
      </c>
      <c r="J22" s="3">
        <v>-3.7491693000000001E-4</v>
      </c>
      <c r="K22" s="3"/>
      <c r="L22" s="3">
        <f t="shared" si="0"/>
        <v>9.4265536723163845E-2</v>
      </c>
      <c r="M22" s="3"/>
      <c r="N22" s="2">
        <f>IF('Modell einstellen'!$B$1="Voll",H22/0.35,H22/0.35*2)</f>
        <v>4.4885811428571431E-4</v>
      </c>
      <c r="O22" s="2">
        <f>IF('Modell einstellen'!$B$1="Voll",J22/0.35,J22/0.35*2)</f>
        <v>-1.0711912285714287E-3</v>
      </c>
      <c r="P22" s="3">
        <f t="shared" si="1"/>
        <v>0.41902706287496805</v>
      </c>
      <c r="Q22" s="3"/>
      <c r="R22" s="3"/>
      <c r="S22" s="3"/>
      <c r="T22" s="3"/>
      <c r="U22" s="3"/>
      <c r="V22" s="3"/>
      <c r="W22" s="3"/>
      <c r="X22" s="3"/>
      <c r="Y22" s="3"/>
    </row>
    <row r="23" spans="1:25" x14ac:dyDescent="0.25">
      <c r="A23" s="3">
        <v>100000</v>
      </c>
      <c r="B23" s="3">
        <v>7.0959999999999998E-5</v>
      </c>
      <c r="C23" s="3">
        <v>3.7619999999999998E-4</v>
      </c>
      <c r="D23" s="3">
        <v>-7.5089999999999998E-4</v>
      </c>
      <c r="E23" s="3">
        <v>0</v>
      </c>
      <c r="F23" s="3">
        <v>0</v>
      </c>
      <c r="G23" s="3">
        <v>0</v>
      </c>
      <c r="H23" s="3">
        <v>1.6588013999999999E-4</v>
      </c>
      <c r="I23" s="3">
        <v>4.3913876000000001E-5</v>
      </c>
      <c r="J23" s="3">
        <v>-4.0133238000000001E-4</v>
      </c>
      <c r="K23" s="3"/>
      <c r="L23" s="3">
        <f t="shared" si="0"/>
        <v>9.4499933413237452E-2</v>
      </c>
      <c r="M23" s="3"/>
      <c r="N23" s="2">
        <f>IF('Modell einstellen'!$B$1="Voll",H23/0.35,H23/0.35*2)</f>
        <v>4.7394325714285714E-4</v>
      </c>
      <c r="O23" s="2">
        <f>IF('Modell einstellen'!$B$1="Voll",J23/0.35,J23/0.35*2)</f>
        <v>-1.1466639428571429E-3</v>
      </c>
      <c r="P23" s="3">
        <f t="shared" si="1"/>
        <v>0.41332358978859368</v>
      </c>
      <c r="Q23" s="3"/>
      <c r="R23" s="3"/>
      <c r="S23" s="3"/>
      <c r="T23" s="3"/>
      <c r="U23" s="3"/>
      <c r="V23" s="3"/>
      <c r="W23" s="3"/>
      <c r="X23" s="3"/>
      <c r="Y23" s="3"/>
    </row>
    <row r="24" spans="1:25" x14ac:dyDescent="0.25">
      <c r="A24" s="3">
        <v>1000000</v>
      </c>
      <c r="B24" s="3">
        <v>7.3129999999999999E-5</v>
      </c>
      <c r="C24" s="3">
        <v>4.1370000000000003E-4</v>
      </c>
      <c r="D24" s="3">
        <v>-7.8859999999999998E-4</v>
      </c>
      <c r="E24" s="3">
        <v>0</v>
      </c>
      <c r="F24" s="3">
        <v>0</v>
      </c>
      <c r="G24" s="3">
        <v>0</v>
      </c>
      <c r="H24" s="3">
        <v>1.7517971999999999E-4</v>
      </c>
      <c r="I24" s="3">
        <v>4.8829377999999997E-5</v>
      </c>
      <c r="J24" s="3">
        <v>-4.2715244000000001E-4</v>
      </c>
      <c r="K24" s="3"/>
      <c r="L24" s="3">
        <f t="shared" si="0"/>
        <v>9.273395891453208E-2</v>
      </c>
      <c r="M24" s="3"/>
      <c r="N24" s="2">
        <f>IF('Modell einstellen'!$B$1="Voll",H24/0.35,H24/0.35*2)</f>
        <v>5.005134857142857E-4</v>
      </c>
      <c r="O24" s="2">
        <f>IF('Modell einstellen'!$B$1="Voll",J24/0.35,J24/0.35*2)</f>
        <v>-1.2204355428571429E-3</v>
      </c>
      <c r="P24" s="3">
        <f t="shared" si="1"/>
        <v>0.41011054507847361</v>
      </c>
      <c r="Q24" s="3"/>
      <c r="R24" s="3"/>
      <c r="S24" s="3"/>
      <c r="T24" s="3"/>
      <c r="U24" s="3"/>
      <c r="V24" s="3"/>
      <c r="W24" s="3"/>
      <c r="X24" s="3"/>
      <c r="Y24" s="3"/>
    </row>
    <row r="25" spans="1:25" x14ac:dyDescent="0.25">
      <c r="A25" s="3">
        <v>10000000</v>
      </c>
      <c r="B25" s="3">
        <v>7.0829999999999998E-5</v>
      </c>
      <c r="C25" s="3">
        <v>4.4799999999999999E-4</v>
      </c>
      <c r="D25" s="3">
        <v>-8.2030000000000004E-4</v>
      </c>
      <c r="E25" s="3">
        <v>0</v>
      </c>
      <c r="F25" s="3">
        <v>0</v>
      </c>
      <c r="G25" s="3">
        <v>0</v>
      </c>
      <c r="H25" s="3">
        <v>1.8614921000000001E-4</v>
      </c>
      <c r="I25" s="3">
        <v>5.3490316999999998E-5</v>
      </c>
      <c r="J25" s="3">
        <v>-4.5419010000000002E-4</v>
      </c>
      <c r="K25" s="3"/>
      <c r="L25" s="3">
        <f t="shared" si="0"/>
        <v>8.6346458612702667E-2</v>
      </c>
      <c r="M25" s="3"/>
      <c r="N25" s="2">
        <f>IF('Modell einstellen'!$B$1="Voll",H25/0.35,H25/0.35*2)</f>
        <v>5.3185488571428578E-4</v>
      </c>
      <c r="O25" s="2">
        <f>IF('Modell einstellen'!$B$1="Voll",J25/0.35,J25/0.35*2)</f>
        <v>-1.2976860000000002E-3</v>
      </c>
      <c r="P25" s="3">
        <f t="shared" si="1"/>
        <v>0.40984867349596565</v>
      </c>
      <c r="Q25" s="3"/>
      <c r="R25" s="3"/>
      <c r="S25" s="3"/>
      <c r="T25" s="3"/>
      <c r="U25" s="3"/>
      <c r="V25" s="3"/>
      <c r="W25" s="3"/>
      <c r="X25" s="3"/>
      <c r="Y25" s="3"/>
    </row>
    <row r="26" spans="1:25" x14ac:dyDescent="0.25">
      <c r="A26" s="3">
        <v>100000000</v>
      </c>
      <c r="B26" s="3">
        <v>6.3070000000000004E-5</v>
      </c>
      <c r="C26" s="3">
        <v>4.8030000000000002E-4</v>
      </c>
      <c r="D26" s="3">
        <v>-8.4559999999999995E-4</v>
      </c>
      <c r="E26" s="3">
        <v>0</v>
      </c>
      <c r="F26" s="3">
        <v>0</v>
      </c>
      <c r="G26" s="3">
        <v>0</v>
      </c>
      <c r="H26" s="3">
        <v>1.9868250999999999E-4</v>
      </c>
      <c r="I26" s="3">
        <v>5.8036805E-5</v>
      </c>
      <c r="J26" s="3">
        <v>-4.8273099000000001E-4</v>
      </c>
      <c r="K26" s="3"/>
      <c r="L26" s="3">
        <f t="shared" si="0"/>
        <v>7.4586092715231797E-2</v>
      </c>
      <c r="M26" s="3"/>
      <c r="N26" s="2">
        <f>IF('Modell einstellen'!$B$1="Voll",H26/0.35,H26/0.35*2)</f>
        <v>5.6766431428571427E-4</v>
      </c>
      <c r="O26" s="2">
        <f>IF('Modell einstellen'!$B$1="Voll",J26/0.35,J26/0.35*2)</f>
        <v>-1.3792314000000002E-3</v>
      </c>
      <c r="P26" s="3">
        <f t="shared" si="1"/>
        <v>0.41158018464901114</v>
      </c>
      <c r="Q26" s="3"/>
      <c r="R26" s="3"/>
      <c r="S26" s="3"/>
      <c r="T26" s="3"/>
      <c r="U26" s="3"/>
      <c r="V26" s="3"/>
      <c r="W26" s="3"/>
      <c r="X26" s="3"/>
      <c r="Y26" s="3"/>
    </row>
    <row r="27" spans="1:25" x14ac:dyDescent="0.25">
      <c r="A27" s="3">
        <v>1000000000</v>
      </c>
      <c r="B27" s="3">
        <v>4.4110000000000003E-5</v>
      </c>
      <c r="C27" s="3">
        <v>5.1630000000000003E-4</v>
      </c>
      <c r="D27" s="3">
        <v>-8.6470000000000004E-4</v>
      </c>
      <c r="E27" s="3">
        <v>0</v>
      </c>
      <c r="F27" s="3">
        <v>0</v>
      </c>
      <c r="G27" s="3">
        <v>0</v>
      </c>
      <c r="H27" s="3">
        <v>2.1524683000000001E-4</v>
      </c>
      <c r="I27" s="3">
        <v>6.3289738999999998E-5</v>
      </c>
      <c r="J27" s="3">
        <v>-5.1816372000000003E-4</v>
      </c>
      <c r="K27" s="3"/>
      <c r="L27" s="3">
        <f t="shared" si="0"/>
        <v>5.1011911645657451E-2</v>
      </c>
      <c r="M27" s="3"/>
      <c r="N27" s="2">
        <f>IF('Modell einstellen'!$B$1="Voll",H27/0.35,H27/0.35*2)</f>
        <v>6.1499094285714288E-4</v>
      </c>
      <c r="O27" s="2">
        <f>IF('Modell einstellen'!$B$1="Voll",J27/0.35,J27/0.35*2)</f>
        <v>-1.4804677714285717E-3</v>
      </c>
      <c r="P27" s="3">
        <f t="shared" si="1"/>
        <v>0.41540312779906702</v>
      </c>
      <c r="Q27" s="3"/>
      <c r="R27" s="3"/>
      <c r="S27" s="3"/>
      <c r="T27" s="3"/>
      <c r="U27" s="3"/>
      <c r="V27" s="3"/>
      <c r="W27" s="3"/>
      <c r="X27" s="3"/>
      <c r="Y27" s="3"/>
    </row>
    <row r="28" spans="1:25" x14ac:dyDescent="0.25">
      <c r="A28" s="3">
        <v>10000000000</v>
      </c>
      <c r="B28" s="3">
        <v>1.181E-5</v>
      </c>
      <c r="C28" s="3">
        <v>5.5719999999999999E-4</v>
      </c>
      <c r="D28" s="3">
        <v>-8.7620000000000005E-4</v>
      </c>
      <c r="E28" s="3">
        <v>0</v>
      </c>
      <c r="F28" s="3">
        <v>0</v>
      </c>
      <c r="G28" s="3">
        <v>0</v>
      </c>
      <c r="H28" s="3">
        <v>2.3568708999999999E-4</v>
      </c>
      <c r="I28" s="3">
        <v>6.9454998999999995E-5</v>
      </c>
      <c r="J28" s="3">
        <v>-5.6093775999999996E-4</v>
      </c>
      <c r="K28" s="3"/>
      <c r="L28" s="3">
        <f t="shared" si="0"/>
        <v>1.3478657840675645E-2</v>
      </c>
      <c r="M28" s="3"/>
      <c r="N28" s="2">
        <f>IF('Modell einstellen'!$B$1="Voll",H28/0.35,H28/0.35*2)</f>
        <v>6.7339168571428577E-4</v>
      </c>
      <c r="O28" s="2">
        <f>IF('Modell einstellen'!$B$1="Voll",J28/0.35,J28/0.35*2)</f>
        <v>-1.6026793142857143E-3</v>
      </c>
      <c r="P28" s="3">
        <f t="shared" si="1"/>
        <v>0.42016620524886755</v>
      </c>
      <c r="Q28" s="3"/>
      <c r="R28" s="3"/>
      <c r="S28" s="3"/>
      <c r="T28" s="3"/>
      <c r="U28" s="3"/>
      <c r="V28" s="3"/>
      <c r="W28" s="3"/>
      <c r="X28" s="3"/>
      <c r="Y28" s="3"/>
    </row>
    <row r="29" spans="1:25" x14ac:dyDescent="0.25">
      <c r="A29" s="3">
        <v>100000000000</v>
      </c>
      <c r="B29" s="3">
        <v>-4.2679999999999998E-5</v>
      </c>
      <c r="C29" s="3">
        <v>6.0860000000000005E-4</v>
      </c>
      <c r="D29" s="3">
        <v>-8.7679999999999995E-4</v>
      </c>
      <c r="E29" s="3">
        <v>0</v>
      </c>
      <c r="F29" s="3">
        <v>0</v>
      </c>
      <c r="G29" s="3">
        <v>0</v>
      </c>
      <c r="H29" s="3">
        <v>2.6310112000000002E-4</v>
      </c>
      <c r="I29" s="3">
        <v>7.7446601999999997E-5</v>
      </c>
      <c r="J29" s="3">
        <v>-6.1744428000000005E-4</v>
      </c>
      <c r="K29" s="3"/>
      <c r="L29" s="3">
        <f t="shared" si="0"/>
        <v>-4.8677007299270075E-2</v>
      </c>
      <c r="M29" s="3"/>
      <c r="N29" s="2">
        <f>IF('Modell einstellen'!$B$1="Voll",H29/0.35,H29/0.35*2)</f>
        <v>7.5171748571428579E-4</v>
      </c>
      <c r="O29" s="2">
        <f>IF('Modell einstellen'!$B$1="Voll",J29/0.35,J29/0.35*2)</f>
        <v>-1.7641265142857145E-3</v>
      </c>
      <c r="P29" s="3">
        <f t="shared" si="1"/>
        <v>0.42611313850052995</v>
      </c>
      <c r="Q29" s="3"/>
      <c r="R29" s="3"/>
      <c r="S29" s="3"/>
      <c r="T29" s="3"/>
      <c r="U29" s="3"/>
      <c r="V29" s="3"/>
      <c r="W29" s="3"/>
      <c r="X29" s="3"/>
      <c r="Y29" s="3"/>
    </row>
    <row r="30" spans="1:25" x14ac:dyDescent="0.25">
      <c r="A30" s="3">
        <v>1000000000000</v>
      </c>
      <c r="B30" s="3">
        <v>-1.3200000000000001E-4</v>
      </c>
      <c r="C30" s="3">
        <v>6.7599999999999995E-4</v>
      </c>
      <c r="D30" s="3">
        <v>-8.5939999999999996E-4</v>
      </c>
      <c r="E30" s="3">
        <v>0</v>
      </c>
      <c r="F30" s="3">
        <v>0</v>
      </c>
      <c r="G30" s="3">
        <v>0</v>
      </c>
      <c r="H30" s="3">
        <v>3.0123935999999999E-4</v>
      </c>
      <c r="I30" s="3">
        <v>8.8281110999999994E-5</v>
      </c>
      <c r="J30" s="3">
        <v>-6.9509784999999995E-4</v>
      </c>
      <c r="K30" s="3"/>
      <c r="L30" s="3">
        <f t="shared" si="0"/>
        <v>-0.15359553176634863</v>
      </c>
      <c r="M30" s="3"/>
      <c r="N30" s="2">
        <f>IF('Modell einstellen'!$B$1="Voll",H30/0.35,H30/0.35*2)</f>
        <v>8.6068388571428577E-4</v>
      </c>
      <c r="O30" s="2">
        <f>IF('Modell einstellen'!$B$1="Voll",J30/0.35,J30/0.35*2)</f>
        <v>-1.9859938571428573E-3</v>
      </c>
      <c r="P30" s="3">
        <f t="shared" si="1"/>
        <v>0.43337691232968134</v>
      </c>
      <c r="Q30" s="3"/>
      <c r="R30" s="3"/>
      <c r="S30" s="3"/>
      <c r="T30" s="3"/>
      <c r="U30" s="3"/>
      <c r="V30" s="3"/>
      <c r="W30" s="3"/>
      <c r="X30" s="3"/>
      <c r="Y30" s="3"/>
    </row>
    <row r="31" spans="1:25" x14ac:dyDescent="0.25">
      <c r="A31" s="3">
        <v>10000000000000</v>
      </c>
      <c r="B31" s="3">
        <v>-2.9169999999999999E-4</v>
      </c>
      <c r="C31" s="3">
        <v>7.7430000000000001E-4</v>
      </c>
      <c r="D31" s="3">
        <v>-8.0409999999999998E-4</v>
      </c>
      <c r="E31" s="3">
        <v>0</v>
      </c>
      <c r="F31" s="3">
        <v>0</v>
      </c>
      <c r="G31" s="3">
        <v>0</v>
      </c>
      <c r="H31" s="3">
        <v>3.6096305999999998E-4</v>
      </c>
      <c r="I31" s="3">
        <v>1.0470401999999999E-4</v>
      </c>
      <c r="J31" s="3">
        <v>-8.1475912999999999E-4</v>
      </c>
      <c r="K31" s="3"/>
      <c r="L31" s="3">
        <f t="shared" si="0"/>
        <v>-0.3627658251461261</v>
      </c>
      <c r="M31" s="3"/>
      <c r="N31" s="2">
        <f>IF('Modell einstellen'!$B$1="Voll",H31/0.35,H31/0.35*2)</f>
        <v>1.0313230285714286E-3</v>
      </c>
      <c r="O31" s="2">
        <f>IF('Modell einstellen'!$B$1="Voll",J31/0.35,J31/0.35*2)</f>
        <v>-2.3278832285714285E-3</v>
      </c>
      <c r="P31" s="3">
        <f t="shared" si="1"/>
        <v>0.44303039598954852</v>
      </c>
      <c r="Q31" s="3"/>
      <c r="R31" s="3"/>
      <c r="S31" s="3"/>
      <c r="T31" s="3"/>
      <c r="U31" s="3"/>
      <c r="V31" s="3"/>
      <c r="W31" s="3"/>
      <c r="X31" s="3"/>
      <c r="Y31" s="3"/>
    </row>
    <row r="32" spans="1:25" x14ac:dyDescent="0.25">
      <c r="A32" s="3">
        <v>100000000000000</v>
      </c>
      <c r="B32" s="3">
        <v>-5.9349999999999995E-4</v>
      </c>
      <c r="C32" s="3">
        <v>9.2750000000000005E-4</v>
      </c>
      <c r="D32" s="3">
        <v>-6.6310000000000002E-4</v>
      </c>
      <c r="E32" s="3">
        <v>0</v>
      </c>
      <c r="F32" s="3">
        <v>0</v>
      </c>
      <c r="G32" s="3">
        <v>0</v>
      </c>
      <c r="H32" s="3">
        <v>4.6227926E-4</v>
      </c>
      <c r="I32" s="3">
        <v>1.3146562999999999E-4</v>
      </c>
      <c r="J32" s="3">
        <v>-1.0136737999999999E-3</v>
      </c>
      <c r="K32" s="3"/>
      <c r="L32" s="3">
        <f t="shared" si="0"/>
        <v>-0.89503845573819929</v>
      </c>
      <c r="M32" s="3"/>
      <c r="N32" s="2">
        <f>IF('Modell einstellen'!$B$1="Voll",H32/0.35,H32/0.35*2)</f>
        <v>1.3207978857142858E-3</v>
      </c>
      <c r="O32" s="2">
        <f>IF('Modell einstellen'!$B$1="Voll",J32/0.35,J32/0.35*2)</f>
        <v>-2.8962108571428573E-3</v>
      </c>
      <c r="P32" s="3">
        <f t="shared" si="1"/>
        <v>0.45604341357150596</v>
      </c>
      <c r="Q32" s="3"/>
      <c r="R32" s="3"/>
      <c r="S32" s="3"/>
      <c r="T32" s="3"/>
      <c r="U32" s="3"/>
      <c r="V32" s="3"/>
      <c r="W32" s="3"/>
      <c r="X32" s="3"/>
      <c r="Y32" s="3"/>
    </row>
    <row r="33" spans="1:25" x14ac:dyDescent="0.25">
      <c r="A33" s="2">
        <v>1000000000000000</v>
      </c>
      <c r="B33" s="3">
        <v>-1.17E-3</v>
      </c>
      <c r="C33" s="3">
        <v>1.1720000000000001E-3</v>
      </c>
      <c r="D33" s="3">
        <v>-3.3950000000000001E-4</v>
      </c>
      <c r="E33" s="3">
        <v>0</v>
      </c>
      <c r="F33" s="3">
        <v>0</v>
      </c>
      <c r="G33" s="3">
        <v>0</v>
      </c>
      <c r="H33" s="3">
        <v>6.4009863000000005E-4</v>
      </c>
      <c r="I33" s="3">
        <v>1.7619924E-4</v>
      </c>
      <c r="J33" s="3">
        <v>-1.3542878999999999E-3</v>
      </c>
      <c r="K33" s="3"/>
      <c r="L33" s="3">
        <f t="shared" si="0"/>
        <v>-3.4462444771723124</v>
      </c>
      <c r="M33" s="3"/>
      <c r="N33" s="2">
        <f>IF('Modell einstellen'!$B$1="Voll",H33/0.35,H33/0.35*2)</f>
        <v>1.8288532285714288E-3</v>
      </c>
      <c r="O33" s="2">
        <f>IF('Modell einstellen'!$B$1="Voll",J33/0.35,J33/0.35*2)</f>
        <v>-3.869394E-3</v>
      </c>
      <c r="P33" s="3">
        <f t="shared" si="1"/>
        <v>0.47264590490692571</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9.4969999999999994E-5</v>
      </c>
      <c r="C3" s="3">
        <v>1.8469999999999999E-4</v>
      </c>
      <c r="D3" s="3">
        <v>-5.6550000000000003E-4</v>
      </c>
      <c r="E3" s="3">
        <v>0</v>
      </c>
      <c r="F3" s="3">
        <v>0</v>
      </c>
      <c r="G3" s="3">
        <v>0</v>
      </c>
      <c r="H3" s="3">
        <v>8.2017986000000001E-5</v>
      </c>
      <c r="I3" s="3">
        <v>1.9709792E-5</v>
      </c>
      <c r="J3" s="3">
        <v>-2.3000509E-4</v>
      </c>
      <c r="K3" s="3"/>
      <c r="L3" s="3">
        <f>-B3/D3</f>
        <v>0.16793987621573828</v>
      </c>
      <c r="M3" s="3"/>
      <c r="N3" s="2">
        <f>IF('Modell einstellen'!$B$1="Voll",H3/0.35,H3/0.35*2)</f>
        <v>2.3433710285714288E-4</v>
      </c>
      <c r="O3" s="2">
        <f>IF('Modell einstellen'!$B$1="Voll",J3/0.35,J3/0.35*2)</f>
        <v>-6.5715740000000004E-4</v>
      </c>
      <c r="P3" s="3">
        <f>-N3/O3</f>
        <v>0.35659204759338153</v>
      </c>
      <c r="Q3" s="3"/>
      <c r="R3" s="3"/>
      <c r="S3" s="3"/>
      <c r="T3" s="3"/>
      <c r="U3" s="3"/>
    </row>
    <row r="4" spans="1:21" x14ac:dyDescent="0.25">
      <c r="A4" s="3">
        <v>1E-14</v>
      </c>
      <c r="B4" s="3">
        <v>9.4959999999999999E-5</v>
      </c>
      <c r="C4" s="3">
        <v>1.8469999999999999E-4</v>
      </c>
      <c r="D4" s="3">
        <v>-5.6550000000000003E-4</v>
      </c>
      <c r="E4" s="3">
        <v>0</v>
      </c>
      <c r="F4" s="3">
        <v>0</v>
      </c>
      <c r="G4" s="3">
        <v>0</v>
      </c>
      <c r="H4" s="3">
        <v>8.2041076000000004E-5</v>
      </c>
      <c r="I4" s="3">
        <v>1.9714132999999998E-5</v>
      </c>
      <c r="J4" s="3">
        <v>-2.3003773999999999E-4</v>
      </c>
      <c r="K4" s="3"/>
      <c r="L4" s="3">
        <f t="shared" ref="L4:L33" si="0">-B4/D4</f>
        <v>0.16792219274977896</v>
      </c>
      <c r="M4" s="3"/>
      <c r="N4" s="2">
        <f>IF('Modell einstellen'!$B$1="Voll",H4/0.35,H4/0.35*2)</f>
        <v>2.3440307428571432E-4</v>
      </c>
      <c r="O4" s="2">
        <f>IF('Modell einstellen'!$B$1="Voll",J4/0.35,J4/0.35*2)</f>
        <v>-6.5725068571428577E-4</v>
      </c>
      <c r="P4" s="3">
        <f t="shared" ref="P4:P33" si="1">-N4/O4</f>
        <v>0.35664181016558416</v>
      </c>
      <c r="Q4" s="3"/>
      <c r="R4" s="3"/>
      <c r="S4" s="3"/>
      <c r="T4" s="3"/>
      <c r="U4" s="3"/>
    </row>
    <row r="5" spans="1:21" x14ac:dyDescent="0.25">
      <c r="A5" s="3">
        <v>1E-13</v>
      </c>
      <c r="B5" s="3">
        <v>9.4900000000000003E-5</v>
      </c>
      <c r="C5" s="3">
        <v>1.85E-4</v>
      </c>
      <c r="D5" s="3">
        <v>-5.6590000000000004E-4</v>
      </c>
      <c r="E5" s="3">
        <v>0</v>
      </c>
      <c r="F5" s="3">
        <v>0</v>
      </c>
      <c r="G5" s="3">
        <v>0</v>
      </c>
      <c r="H5" s="3">
        <v>8.2241825999999994E-5</v>
      </c>
      <c r="I5" s="3">
        <v>1.9751095000000001E-5</v>
      </c>
      <c r="J5" s="3">
        <v>-2.3039411E-4</v>
      </c>
      <c r="K5" s="3"/>
      <c r="L5" s="3">
        <f t="shared" si="0"/>
        <v>0.16769747305177593</v>
      </c>
      <c r="M5" s="3"/>
      <c r="N5" s="2">
        <f>IF('Modell einstellen'!$B$1="Voll",H5/0.35,H5/0.35*2)</f>
        <v>2.3497664571428572E-4</v>
      </c>
      <c r="O5" s="2">
        <f>IF('Modell einstellen'!$B$1="Voll",J5/0.35,J5/0.35*2)</f>
        <v>-6.5826888571428571E-4</v>
      </c>
      <c r="P5" s="3">
        <f t="shared" si="1"/>
        <v>0.35696149523961357</v>
      </c>
      <c r="Q5" s="3"/>
      <c r="R5" s="3"/>
      <c r="S5" s="3"/>
      <c r="T5" s="3"/>
      <c r="U5" s="3"/>
    </row>
    <row r="6" spans="1:21" x14ac:dyDescent="0.25">
      <c r="A6" s="3">
        <v>9.9999999999999998E-13</v>
      </c>
      <c r="B6" s="3">
        <v>9.4920000000000006E-5</v>
      </c>
      <c r="C6" s="3">
        <v>1.8770000000000001E-4</v>
      </c>
      <c r="D6" s="3">
        <v>-5.6959999999999997E-4</v>
      </c>
      <c r="E6" s="3">
        <v>0</v>
      </c>
      <c r="F6" s="3">
        <v>0</v>
      </c>
      <c r="G6" s="3">
        <v>0</v>
      </c>
      <c r="H6" s="3">
        <v>8.3897759999999999E-5</v>
      </c>
      <c r="I6" s="3">
        <v>2.0066598999999999E-5</v>
      </c>
      <c r="J6" s="3">
        <v>-2.3336826000000001E-4</v>
      </c>
      <c r="K6" s="3"/>
      <c r="L6" s="3">
        <f t="shared" si="0"/>
        <v>0.16664325842696631</v>
      </c>
      <c r="M6" s="3"/>
      <c r="N6" s="2">
        <f>IF('Modell einstellen'!$B$1="Voll",H6/0.35,H6/0.35*2)</f>
        <v>2.3970788571428571E-4</v>
      </c>
      <c r="O6" s="2">
        <f>IF('Modell einstellen'!$B$1="Voll",J6/0.35,J6/0.35*2)</f>
        <v>-6.6676645714285727E-4</v>
      </c>
      <c r="P6" s="3">
        <f t="shared" si="1"/>
        <v>0.35950801535735832</v>
      </c>
      <c r="Q6" s="3"/>
      <c r="R6" s="3"/>
      <c r="S6" s="3"/>
      <c r="T6" s="3"/>
      <c r="U6" s="3"/>
    </row>
    <row r="7" spans="1:21" x14ac:dyDescent="0.25">
      <c r="A7" s="3">
        <v>9.9999999999999994E-12</v>
      </c>
      <c r="B7" s="3">
        <v>9.4590000000000001E-5</v>
      </c>
      <c r="C7" s="3">
        <v>1.93E-4</v>
      </c>
      <c r="D7" s="3">
        <v>-5.7669999999999998E-4</v>
      </c>
      <c r="E7" s="3">
        <v>0</v>
      </c>
      <c r="F7" s="3">
        <v>0</v>
      </c>
      <c r="G7" s="3">
        <v>0</v>
      </c>
      <c r="H7" s="3">
        <v>8.7340699999999995E-5</v>
      </c>
      <c r="I7" s="3">
        <v>2.0709449999999999E-5</v>
      </c>
      <c r="J7" s="3">
        <v>-2.3949149000000001E-4</v>
      </c>
      <c r="K7" s="3"/>
      <c r="L7" s="3">
        <f t="shared" si="0"/>
        <v>0.16401942084272586</v>
      </c>
      <c r="M7" s="3"/>
      <c r="N7" s="2">
        <f>IF('Modell einstellen'!$B$1="Voll",H7/0.35,H7/0.35*2)</f>
        <v>2.4954485714285716E-4</v>
      </c>
      <c r="O7" s="2">
        <f>IF('Modell einstellen'!$B$1="Voll",J7/0.35,J7/0.35*2)</f>
        <v>-6.8426140000000006E-4</v>
      </c>
      <c r="P7" s="3">
        <f t="shared" si="1"/>
        <v>0.36469229031895872</v>
      </c>
      <c r="Q7" s="3"/>
      <c r="R7" s="3"/>
      <c r="S7" s="3"/>
      <c r="T7" s="3"/>
      <c r="U7" s="3"/>
    </row>
    <row r="8" spans="1:21" x14ac:dyDescent="0.25">
      <c r="A8" s="3">
        <v>1E-10</v>
      </c>
      <c r="B8" s="3">
        <v>9.4149999999999998E-5</v>
      </c>
      <c r="C8" s="3">
        <v>1.9680000000000001E-4</v>
      </c>
      <c r="D8" s="3">
        <v>-5.8149999999999999E-4</v>
      </c>
      <c r="E8" s="3">
        <v>0</v>
      </c>
      <c r="F8" s="3">
        <v>0</v>
      </c>
      <c r="G8" s="3">
        <v>0</v>
      </c>
      <c r="H8" s="3">
        <v>8.9856363000000001E-5</v>
      </c>
      <c r="I8" s="3">
        <v>2.1169881999999999E-5</v>
      </c>
      <c r="J8" s="3">
        <v>-2.4392186999999999E-4</v>
      </c>
      <c r="K8" s="3"/>
      <c r="L8" s="3">
        <f t="shared" si="0"/>
        <v>0.16190885640584696</v>
      </c>
      <c r="M8" s="3"/>
      <c r="N8" s="2">
        <f>IF('Modell einstellen'!$B$1="Voll",H8/0.35,H8/0.35*2)</f>
        <v>2.5673246571428573E-4</v>
      </c>
      <c r="O8" s="2">
        <f>IF('Modell einstellen'!$B$1="Voll",J8/0.35,J8/0.35*2)</f>
        <v>-6.9691962857142858E-4</v>
      </c>
      <c r="P8" s="3">
        <f t="shared" si="1"/>
        <v>0.36838174043188504</v>
      </c>
      <c r="Q8" s="3"/>
      <c r="R8" s="3"/>
      <c r="S8" s="3"/>
      <c r="T8" s="3"/>
      <c r="U8" s="3"/>
    </row>
    <row r="9" spans="1:21" x14ac:dyDescent="0.25">
      <c r="A9" s="3">
        <v>1.0000000000000001E-9</v>
      </c>
      <c r="B9" s="3">
        <v>9.3560000000000005E-5</v>
      </c>
      <c r="C9" s="3">
        <v>2.007E-4</v>
      </c>
      <c r="D9" s="3">
        <v>-5.8609999999999999E-4</v>
      </c>
      <c r="E9" s="3">
        <v>0</v>
      </c>
      <c r="F9" s="3">
        <v>0</v>
      </c>
      <c r="G9" s="3">
        <v>0</v>
      </c>
      <c r="H9" s="3">
        <v>9.2440649999999994E-5</v>
      </c>
      <c r="I9" s="3">
        <v>2.1636097E-5</v>
      </c>
      <c r="J9" s="3">
        <v>-2.4844291999999999E-4</v>
      </c>
      <c r="K9" s="3"/>
      <c r="L9" s="3">
        <f t="shared" si="0"/>
        <v>0.15963146220781438</v>
      </c>
      <c r="M9" s="3"/>
      <c r="N9" s="2">
        <f>IF('Modell einstellen'!$B$1="Voll",H9/0.35,H9/0.35*2)</f>
        <v>2.6411614285714284E-4</v>
      </c>
      <c r="O9" s="2">
        <f>IF('Modell einstellen'!$B$1="Voll",J9/0.35,J9/0.35*2)</f>
        <v>-7.0983691428571434E-4</v>
      </c>
      <c r="P9" s="3">
        <f t="shared" si="1"/>
        <v>0.37208003351433799</v>
      </c>
      <c r="Q9" s="3"/>
      <c r="R9" s="3"/>
      <c r="S9" s="3"/>
      <c r="T9" s="3"/>
      <c r="U9" s="3"/>
    </row>
    <row r="10" spans="1:21" x14ac:dyDescent="0.25">
      <c r="A10" s="3">
        <v>1E-8</v>
      </c>
      <c r="B10" s="3">
        <v>9.2700000000000004E-5</v>
      </c>
      <c r="C10" s="3">
        <v>2.05E-4</v>
      </c>
      <c r="D10" s="3">
        <v>-5.9130000000000001E-4</v>
      </c>
      <c r="E10" s="3">
        <v>0</v>
      </c>
      <c r="F10" s="3">
        <v>0</v>
      </c>
      <c r="G10" s="3">
        <v>0</v>
      </c>
      <c r="H10" s="3">
        <v>9.5469906999999998E-5</v>
      </c>
      <c r="I10" s="3">
        <v>2.2173170000000001E-5</v>
      </c>
      <c r="J10" s="3">
        <v>-2.5370075000000003E-4</v>
      </c>
      <c r="K10" s="3"/>
      <c r="L10" s="3">
        <f t="shared" si="0"/>
        <v>0.15677321156773211</v>
      </c>
      <c r="M10" s="3"/>
      <c r="N10" s="2">
        <f>IF('Modell einstellen'!$B$1="Voll",H10/0.35,H10/0.35*2)</f>
        <v>2.7277116285714286E-4</v>
      </c>
      <c r="O10" s="2">
        <f>IF('Modell einstellen'!$B$1="Voll",J10/0.35,J10/0.35*2)</f>
        <v>-7.2485928571428579E-4</v>
      </c>
      <c r="P10" s="3">
        <f t="shared" si="1"/>
        <v>0.37630912403688199</v>
      </c>
      <c r="Q10" s="3"/>
      <c r="R10" s="3"/>
      <c r="S10" s="3"/>
      <c r="T10" s="3"/>
      <c r="U10" s="3"/>
    </row>
    <row r="11" spans="1:21" x14ac:dyDescent="0.25">
      <c r="A11" s="3">
        <v>9.9999999999999995E-8</v>
      </c>
      <c r="B11" s="3">
        <v>9.1500000000000001E-5</v>
      </c>
      <c r="C11" s="3">
        <v>2.098E-4</v>
      </c>
      <c r="D11" s="3">
        <v>-5.9670000000000003E-4</v>
      </c>
      <c r="E11" s="3">
        <v>0</v>
      </c>
      <c r="F11" s="3">
        <v>0</v>
      </c>
      <c r="G11" s="3">
        <v>0</v>
      </c>
      <c r="H11" s="3">
        <v>9.8864937000000004E-5</v>
      </c>
      <c r="I11" s="3">
        <v>2.2763292000000001E-5</v>
      </c>
      <c r="J11" s="3">
        <v>-2.5954162999999999E-4</v>
      </c>
      <c r="K11" s="3"/>
      <c r="L11" s="3">
        <f t="shared" si="0"/>
        <v>0.15334338863750627</v>
      </c>
      <c r="M11" s="3"/>
      <c r="N11" s="2">
        <f>IF('Modell einstellen'!$B$1="Voll",H11/0.35,H11/0.35*2)</f>
        <v>2.8247124857142859E-4</v>
      </c>
      <c r="O11" s="2">
        <f>IF('Modell einstellen'!$B$1="Voll",J11/0.35,J11/0.35*2)</f>
        <v>-7.4154751428571434E-4</v>
      </c>
      <c r="P11" s="3">
        <f t="shared" si="1"/>
        <v>0.38092130730626911</v>
      </c>
      <c r="Q11" s="3"/>
      <c r="R11" s="3"/>
      <c r="S11" s="3"/>
      <c r="T11" s="3"/>
      <c r="U11" s="3"/>
    </row>
    <row r="12" spans="1:21" x14ac:dyDescent="0.25">
      <c r="A12" s="3">
        <v>9.9999999999999995E-7</v>
      </c>
      <c r="B12" s="3">
        <v>8.9759999999999994E-5</v>
      </c>
      <c r="C12" s="3">
        <v>2.153E-4</v>
      </c>
      <c r="D12" s="3">
        <v>-6.0249999999999995E-4</v>
      </c>
      <c r="E12" s="3">
        <v>0</v>
      </c>
      <c r="F12" s="3">
        <v>0</v>
      </c>
      <c r="G12" s="3">
        <v>0</v>
      </c>
      <c r="H12" s="3">
        <v>1.0292363999999999E-4</v>
      </c>
      <c r="I12" s="3">
        <v>2.3452822E-5</v>
      </c>
      <c r="J12" s="3">
        <v>-2.6645526999999997E-4</v>
      </c>
      <c r="K12" s="3"/>
      <c r="L12" s="3">
        <f t="shared" si="0"/>
        <v>0.14897925311203319</v>
      </c>
      <c r="M12" s="3"/>
      <c r="N12" s="2">
        <f>IF('Modell einstellen'!$B$1="Voll",H12/0.35,H12/0.35*2)</f>
        <v>2.9406754285714288E-4</v>
      </c>
      <c r="O12" s="2">
        <f>IF('Modell einstellen'!$B$1="Voll",J12/0.35,J12/0.35*2)</f>
        <v>-7.6130077142857143E-4</v>
      </c>
      <c r="P12" s="3">
        <f t="shared" si="1"/>
        <v>0.38626986060362029</v>
      </c>
      <c r="Q12" s="3"/>
      <c r="R12" s="3"/>
      <c r="S12" s="3"/>
      <c r="T12" s="3"/>
      <c r="U12" s="3"/>
    </row>
    <row r="13" spans="1:21" x14ac:dyDescent="0.25">
      <c r="A13" s="3">
        <v>1.0000000000000001E-5</v>
      </c>
      <c r="B13" s="3">
        <v>8.7369999999999999E-5</v>
      </c>
      <c r="C13" s="3">
        <v>2.2139999999999999E-4</v>
      </c>
      <c r="D13" s="3">
        <v>-6.0849999999999999E-4</v>
      </c>
      <c r="E13" s="3">
        <v>0</v>
      </c>
      <c r="F13" s="3">
        <v>0</v>
      </c>
      <c r="G13" s="3">
        <v>0</v>
      </c>
      <c r="H13" s="3">
        <v>1.0760868E-4</v>
      </c>
      <c r="I13" s="3">
        <v>2.4227701000000001E-5</v>
      </c>
      <c r="J13" s="3">
        <v>-2.7434525999999999E-4</v>
      </c>
      <c r="K13" s="3"/>
      <c r="L13" s="3">
        <f t="shared" si="0"/>
        <v>0.14358258011503697</v>
      </c>
      <c r="M13" s="3"/>
      <c r="N13" s="2">
        <f>IF('Modell einstellen'!$B$1="Voll",H13/0.35,H13/0.35*2)</f>
        <v>3.0745337142857145E-4</v>
      </c>
      <c r="O13" s="2">
        <f>IF('Modell einstellen'!$B$1="Voll",J13/0.35,J13/0.35*2)</f>
        <v>-7.8384359999999998E-4</v>
      </c>
      <c r="P13" s="3">
        <f t="shared" si="1"/>
        <v>0.39223816004694234</v>
      </c>
      <c r="Q13" s="3"/>
      <c r="R13" s="3"/>
      <c r="S13" s="3"/>
      <c r="T13" s="3"/>
      <c r="U13" s="3"/>
    </row>
    <row r="14" spans="1:21" x14ac:dyDescent="0.25">
      <c r="A14" s="3">
        <v>1E-4</v>
      </c>
      <c r="B14" s="3">
        <v>8.4270000000000005E-5</v>
      </c>
      <c r="C14" s="3">
        <v>2.2790000000000001E-4</v>
      </c>
      <c r="D14" s="3">
        <v>-6.1430000000000002E-4</v>
      </c>
      <c r="E14" s="3">
        <v>0</v>
      </c>
      <c r="F14" s="3">
        <v>0</v>
      </c>
      <c r="G14" s="3">
        <v>0</v>
      </c>
      <c r="H14" s="3">
        <v>1.1275991000000001E-4</v>
      </c>
      <c r="I14" s="3">
        <v>2.5054308E-5</v>
      </c>
      <c r="J14" s="3">
        <v>-2.8291201999999999E-4</v>
      </c>
      <c r="K14" s="3"/>
      <c r="L14" s="3">
        <f t="shared" si="0"/>
        <v>0.1371805306853329</v>
      </c>
      <c r="M14" s="3"/>
      <c r="N14" s="2">
        <f>IF('Modell einstellen'!$B$1="Voll",H14/0.35,H14/0.35*2)</f>
        <v>3.2217117142857148E-4</v>
      </c>
      <c r="O14" s="2">
        <f>IF('Modell einstellen'!$B$1="Voll",J14/0.35,J14/0.35*2)</f>
        <v>-8.0832005714285714E-4</v>
      </c>
      <c r="P14" s="3">
        <f t="shared" si="1"/>
        <v>0.39856882008760186</v>
      </c>
      <c r="Q14" s="3"/>
      <c r="R14" s="3"/>
      <c r="S14" s="3"/>
      <c r="T14" s="3"/>
      <c r="U14" s="3"/>
    </row>
    <row r="15" spans="1:21" x14ac:dyDescent="0.25">
      <c r="A15" s="3">
        <v>1E-3</v>
      </c>
      <c r="B15" s="3">
        <v>8.0569999999999996E-5</v>
      </c>
      <c r="C15" s="3">
        <v>2.343E-4</v>
      </c>
      <c r="D15" s="3">
        <v>-6.1939999999999999E-4</v>
      </c>
      <c r="E15" s="3">
        <v>0</v>
      </c>
      <c r="F15" s="3">
        <v>0</v>
      </c>
      <c r="G15" s="3">
        <v>0</v>
      </c>
      <c r="H15" s="3">
        <v>1.1810532E-4</v>
      </c>
      <c r="I15" s="3">
        <v>2.5885597999999999E-5</v>
      </c>
      <c r="J15" s="3">
        <v>-2.9168930999999999E-4</v>
      </c>
      <c r="K15" s="3"/>
      <c r="L15" s="3">
        <f t="shared" si="0"/>
        <v>0.13007749434937035</v>
      </c>
      <c r="M15" s="3"/>
      <c r="N15" s="2">
        <f>IF('Modell einstellen'!$B$1="Voll",H15/0.35,H15/0.35*2)</f>
        <v>3.3744377142857145E-4</v>
      </c>
      <c r="O15" s="2">
        <f>IF('Modell einstellen'!$B$1="Voll",J15/0.35,J15/0.35*2)</f>
        <v>-8.3339802857142859E-4</v>
      </c>
      <c r="P15" s="3">
        <f t="shared" si="1"/>
        <v>0.40490109150726161</v>
      </c>
      <c r="Q15" s="3"/>
      <c r="R15" s="3"/>
      <c r="S15" s="3"/>
      <c r="T15" s="3"/>
      <c r="U15" s="3"/>
    </row>
    <row r="16" spans="1:21" x14ac:dyDescent="0.25">
      <c r="A16" s="3">
        <v>0.01</v>
      </c>
      <c r="B16" s="3">
        <v>7.5660000000000004E-5</v>
      </c>
      <c r="C16" s="3">
        <v>2.4149999999999999E-4</v>
      </c>
      <c r="D16" s="3">
        <v>-6.244E-4</v>
      </c>
      <c r="E16" s="3">
        <v>0</v>
      </c>
      <c r="F16" s="3">
        <v>0</v>
      </c>
      <c r="G16" s="3">
        <v>0</v>
      </c>
      <c r="H16" s="3">
        <v>1.2440891E-4</v>
      </c>
      <c r="I16" s="3">
        <v>2.6834821999999999E-5</v>
      </c>
      <c r="J16" s="3">
        <v>-3.0190867000000002E-4</v>
      </c>
      <c r="K16" s="3"/>
      <c r="L16" s="3">
        <f t="shared" si="0"/>
        <v>0.12117232543241513</v>
      </c>
      <c r="M16" s="3"/>
      <c r="N16" s="2">
        <f>IF('Modell einstellen'!$B$1="Voll",H16/0.35,H16/0.35*2)</f>
        <v>3.5545402857142859E-4</v>
      </c>
      <c r="O16" s="2">
        <f>IF('Modell einstellen'!$B$1="Voll",J16/0.35,J16/0.35*2)</f>
        <v>-8.6259620000000016E-4</v>
      </c>
      <c r="P16" s="3">
        <f t="shared" si="1"/>
        <v>0.41207465158254641</v>
      </c>
      <c r="Q16" s="3"/>
      <c r="R16" s="3"/>
      <c r="S16" s="3"/>
      <c r="T16" s="3"/>
      <c r="U16" s="3"/>
    </row>
    <row r="17" spans="1:21" x14ac:dyDescent="0.25">
      <c r="A17" s="3">
        <v>0.1</v>
      </c>
      <c r="B17" s="3">
        <v>6.8200000000000004E-5</v>
      </c>
      <c r="C17" s="3">
        <v>2.5060000000000002E-4</v>
      </c>
      <c r="D17" s="3">
        <v>-6.2949999999999996E-4</v>
      </c>
      <c r="E17" s="3">
        <v>0</v>
      </c>
      <c r="F17" s="3">
        <v>0</v>
      </c>
      <c r="G17" s="3">
        <v>0</v>
      </c>
      <c r="H17" s="3">
        <v>1.3284877000000001E-4</v>
      </c>
      <c r="I17" s="3">
        <v>2.8058549999999999E-5</v>
      </c>
      <c r="J17" s="3">
        <v>-3.1538794999999998E-4</v>
      </c>
      <c r="K17" s="3"/>
      <c r="L17" s="3">
        <f t="shared" si="0"/>
        <v>0.10833995234312949</v>
      </c>
      <c r="M17" s="3"/>
      <c r="N17" s="2">
        <f>IF('Modell einstellen'!$B$1="Voll",H17/0.35,H17/0.35*2)</f>
        <v>3.7956791428571434E-4</v>
      </c>
      <c r="O17" s="2">
        <f>IF('Modell einstellen'!$B$1="Voll",J17/0.35,J17/0.35*2)</f>
        <v>-9.0110842857142853E-4</v>
      </c>
      <c r="P17" s="3">
        <f t="shared" si="1"/>
        <v>0.4212233536506389</v>
      </c>
      <c r="Q17" s="3"/>
      <c r="R17" s="3"/>
      <c r="S17" s="3"/>
      <c r="T17" s="3"/>
      <c r="U17" s="3"/>
    </row>
    <row r="18" spans="1:21" x14ac:dyDescent="0.25">
      <c r="A18" s="3">
        <v>1</v>
      </c>
      <c r="B18" s="3">
        <v>5.8119999999999999E-5</v>
      </c>
      <c r="C18" s="3">
        <v>2.6120000000000001E-4</v>
      </c>
      <c r="D18" s="3">
        <v>-6.3369999999999995E-4</v>
      </c>
      <c r="E18" s="3">
        <v>0</v>
      </c>
      <c r="F18" s="3">
        <v>0</v>
      </c>
      <c r="G18" s="3">
        <v>0</v>
      </c>
      <c r="H18" s="3">
        <v>1.4295955000000001E-4</v>
      </c>
      <c r="I18" s="3">
        <v>2.950307E-5</v>
      </c>
      <c r="J18" s="3">
        <v>-3.3137964000000002E-4</v>
      </c>
      <c r="K18" s="3"/>
      <c r="L18" s="3">
        <f t="shared" si="0"/>
        <v>9.1715322707905958E-2</v>
      </c>
      <c r="M18" s="3"/>
      <c r="N18" s="2">
        <f>IF('Modell einstellen'!$B$1="Voll",H18/0.35,H18/0.35*2)</f>
        <v>4.0845585714285718E-4</v>
      </c>
      <c r="O18" s="2">
        <f>IF('Modell einstellen'!$B$1="Voll",J18/0.35,J18/0.35*2)</f>
        <v>-9.4679897142857159E-4</v>
      </c>
      <c r="P18" s="3">
        <f t="shared" si="1"/>
        <v>0.43140716188840084</v>
      </c>
      <c r="Q18" s="3"/>
      <c r="R18" s="3"/>
      <c r="S18" s="3"/>
      <c r="T18" s="3"/>
      <c r="U18" s="3"/>
    </row>
    <row r="19" spans="1:21" x14ac:dyDescent="0.25">
      <c r="A19" s="3">
        <v>10</v>
      </c>
      <c r="B19" s="3">
        <v>4.8560000000000003E-5</v>
      </c>
      <c r="C19" s="3">
        <v>2.7500000000000002E-4</v>
      </c>
      <c r="D19" s="3">
        <v>-6.4030000000000001E-4</v>
      </c>
      <c r="E19" s="3">
        <v>0</v>
      </c>
      <c r="F19" s="3">
        <v>0</v>
      </c>
      <c r="G19" s="3">
        <v>0</v>
      </c>
      <c r="H19" s="3">
        <v>1.5264192E-4</v>
      </c>
      <c r="I19" s="3">
        <v>3.1330846999999997E-5</v>
      </c>
      <c r="J19" s="3">
        <v>-3.4795003999999998E-4</v>
      </c>
      <c r="K19" s="3"/>
      <c r="L19" s="3">
        <f t="shared" si="0"/>
        <v>7.5839450257691704E-2</v>
      </c>
      <c r="M19" s="3"/>
      <c r="N19" s="2">
        <f>IF('Modell einstellen'!$B$1="Voll",H19/0.35,H19/0.35*2)</f>
        <v>4.3611977142857147E-4</v>
      </c>
      <c r="O19" s="2">
        <f>IF('Modell einstellen'!$B$1="Voll",J19/0.35,J19/0.35*2)</f>
        <v>-9.9414297142857142E-4</v>
      </c>
      <c r="P19" s="3">
        <f t="shared" si="1"/>
        <v>0.43868918652804295</v>
      </c>
      <c r="Q19" s="3"/>
      <c r="R19" s="3"/>
      <c r="S19" s="3"/>
      <c r="T19" s="3"/>
      <c r="U19" s="3"/>
    </row>
    <row r="20" spans="1:21" x14ac:dyDescent="0.25">
      <c r="A20" s="3">
        <v>100</v>
      </c>
      <c r="B20" s="3">
        <v>4.4459999999999998E-5</v>
      </c>
      <c r="C20" s="3">
        <v>3.0219999999999997E-4</v>
      </c>
      <c r="D20" s="3">
        <v>-6.623E-4</v>
      </c>
      <c r="E20" s="3">
        <v>0</v>
      </c>
      <c r="F20" s="3">
        <v>0</v>
      </c>
      <c r="G20" s="3">
        <v>0</v>
      </c>
      <c r="H20" s="3">
        <v>1.6104035E-4</v>
      </c>
      <c r="I20" s="3">
        <v>3.4795139999999998E-5</v>
      </c>
      <c r="J20" s="3">
        <v>-3.6799711E-4</v>
      </c>
      <c r="K20" s="3"/>
      <c r="L20" s="3">
        <f t="shared" si="0"/>
        <v>6.7129699531934164E-2</v>
      </c>
      <c r="M20" s="3"/>
      <c r="N20" s="2">
        <f>IF('Modell einstellen'!$B$1="Voll",H20/0.35,H20/0.35*2)</f>
        <v>4.6011528571428576E-4</v>
      </c>
      <c r="O20" s="2">
        <f>IF('Modell einstellen'!$B$1="Voll",J20/0.35,J20/0.35*2)</f>
        <v>-1.0514203142857144E-3</v>
      </c>
      <c r="P20" s="3">
        <f t="shared" si="1"/>
        <v>0.43761308342883454</v>
      </c>
      <c r="Q20" s="3"/>
      <c r="R20" s="3"/>
      <c r="S20" s="3"/>
      <c r="T20" s="3"/>
      <c r="U20" s="3"/>
    </row>
    <row r="21" spans="1:21" x14ac:dyDescent="0.25">
      <c r="A21" s="3">
        <v>1000</v>
      </c>
      <c r="B21" s="3">
        <v>4.5000000000000003E-5</v>
      </c>
      <c r="C21" s="3">
        <v>3.4440000000000002E-4</v>
      </c>
      <c r="D21" s="3">
        <v>-7.0140000000000003E-4</v>
      </c>
      <c r="E21" s="3">
        <v>0</v>
      </c>
      <c r="F21" s="3">
        <v>0</v>
      </c>
      <c r="G21" s="3">
        <v>0</v>
      </c>
      <c r="H21" s="3">
        <v>1.6965118E-4</v>
      </c>
      <c r="I21" s="3">
        <v>4.0152728999999999E-5</v>
      </c>
      <c r="J21" s="3">
        <v>-3.9417560999999997E-4</v>
      </c>
      <c r="K21" s="3"/>
      <c r="L21" s="3">
        <f t="shared" si="0"/>
        <v>6.4157399486740804E-2</v>
      </c>
      <c r="M21" s="3"/>
      <c r="N21" s="2">
        <f>IF('Modell einstellen'!$B$1="Voll",H21/0.35,H21/0.35*2)</f>
        <v>4.8471765714285718E-4</v>
      </c>
      <c r="O21" s="2">
        <f>IF('Modell einstellen'!$B$1="Voll",J21/0.35,J21/0.35*2)</f>
        <v>-1.1262160285714286E-3</v>
      </c>
      <c r="P21" s="3">
        <f t="shared" si="1"/>
        <v>0.43039491966537452</v>
      </c>
      <c r="Q21" s="3"/>
      <c r="R21" s="3"/>
      <c r="S21" s="3"/>
      <c r="T21" s="3"/>
      <c r="U21" s="3"/>
    </row>
    <row r="22" spans="1:21" x14ac:dyDescent="0.25">
      <c r="A22" s="3">
        <v>10000</v>
      </c>
      <c r="B22" s="3">
        <v>4.7469999999999998E-5</v>
      </c>
      <c r="C22" s="3">
        <v>3.902E-4</v>
      </c>
      <c r="D22" s="3">
        <v>-7.4580000000000002E-4</v>
      </c>
      <c r="E22" s="3">
        <v>0</v>
      </c>
      <c r="F22" s="3">
        <v>0</v>
      </c>
      <c r="G22" s="3">
        <v>0</v>
      </c>
      <c r="H22" s="3">
        <v>1.7855147000000001E-4</v>
      </c>
      <c r="I22" s="3">
        <v>4.6030628999999999E-5</v>
      </c>
      <c r="J22" s="3">
        <v>-4.2249025000000001E-4</v>
      </c>
      <c r="K22" s="3"/>
      <c r="L22" s="3">
        <f t="shared" si="0"/>
        <v>6.3649772056851697E-2</v>
      </c>
      <c r="M22" s="3"/>
      <c r="N22" s="2">
        <f>IF('Modell einstellen'!$B$1="Voll",H22/0.35,H22/0.35*2)</f>
        <v>5.1014705714285725E-4</v>
      </c>
      <c r="O22" s="2">
        <f>IF('Modell einstellen'!$B$1="Voll",J22/0.35,J22/0.35*2)</f>
        <v>-1.2071150000000001E-3</v>
      </c>
      <c r="P22" s="3">
        <f t="shared" si="1"/>
        <v>0.42261678228077459</v>
      </c>
      <c r="Q22" s="3"/>
      <c r="R22" s="3"/>
      <c r="S22" s="3"/>
      <c r="T22" s="3"/>
      <c r="U22" s="3"/>
    </row>
    <row r="23" spans="1:21" x14ac:dyDescent="0.25">
      <c r="A23" s="3">
        <v>100000</v>
      </c>
      <c r="B23" s="3">
        <v>4.566E-5</v>
      </c>
      <c r="C23" s="3">
        <v>4.3310000000000001E-4</v>
      </c>
      <c r="D23" s="3">
        <v>-7.8470000000000005E-4</v>
      </c>
      <c r="E23" s="3">
        <v>0</v>
      </c>
      <c r="F23" s="3">
        <v>0</v>
      </c>
      <c r="G23" s="3">
        <v>0</v>
      </c>
      <c r="H23" s="3">
        <v>1.8903211E-4</v>
      </c>
      <c r="I23" s="3">
        <v>5.1729147999999997E-5</v>
      </c>
      <c r="J23" s="3">
        <v>-4.5217682999999998E-4</v>
      </c>
      <c r="K23" s="3"/>
      <c r="L23" s="3">
        <f t="shared" si="0"/>
        <v>5.8187842487574866E-2</v>
      </c>
      <c r="M23" s="3"/>
      <c r="N23" s="2">
        <f>IF('Modell einstellen'!$B$1="Voll",H23/0.35,H23/0.35*2)</f>
        <v>5.4009174285714291E-4</v>
      </c>
      <c r="O23" s="2">
        <f>IF('Modell einstellen'!$B$1="Voll",J23/0.35,J23/0.35*2)</f>
        <v>-1.2919337999999999E-3</v>
      </c>
      <c r="P23" s="3">
        <f t="shared" si="1"/>
        <v>0.41804908491220133</v>
      </c>
      <c r="Q23" s="3"/>
      <c r="R23" s="3"/>
      <c r="S23" s="3"/>
      <c r="T23" s="3"/>
      <c r="U23" s="3"/>
    </row>
    <row r="24" spans="1:21" x14ac:dyDescent="0.25">
      <c r="A24" s="3">
        <v>1000000</v>
      </c>
      <c r="B24" s="3">
        <v>3.8099999999999998E-5</v>
      </c>
      <c r="C24" s="3">
        <v>4.7330000000000001E-4</v>
      </c>
      <c r="D24" s="3">
        <v>-8.1680000000000001E-4</v>
      </c>
      <c r="E24" s="3">
        <v>0</v>
      </c>
      <c r="F24" s="3">
        <v>0</v>
      </c>
      <c r="G24" s="3">
        <v>0</v>
      </c>
      <c r="H24" s="3">
        <v>2.0189469E-4</v>
      </c>
      <c r="I24" s="3">
        <v>5.7271485000000001E-5</v>
      </c>
      <c r="J24" s="3">
        <v>-4.8418442999999999E-4</v>
      </c>
      <c r="K24" s="3"/>
      <c r="L24" s="3">
        <f t="shared" si="0"/>
        <v>4.6645445641527908E-2</v>
      </c>
      <c r="M24" s="3"/>
      <c r="N24" s="2">
        <f>IF('Modell einstellen'!$B$1="Voll",H24/0.35,H24/0.35*2)</f>
        <v>5.768419714285714E-4</v>
      </c>
      <c r="O24" s="2">
        <f>IF('Modell einstellen'!$B$1="Voll",J24/0.35,J24/0.35*2)</f>
        <v>-1.3833840857142858E-3</v>
      </c>
      <c r="P24" s="3">
        <f t="shared" si="1"/>
        <v>0.41697889789640691</v>
      </c>
      <c r="Q24" s="3"/>
      <c r="R24" s="3"/>
      <c r="S24" s="3"/>
      <c r="T24" s="3"/>
      <c r="U24" s="3"/>
    </row>
    <row r="25" spans="1:21" x14ac:dyDescent="0.25">
      <c r="A25" s="3">
        <v>10000000</v>
      </c>
      <c r="B25" s="3">
        <v>1.9369999999999999E-5</v>
      </c>
      <c r="C25" s="3">
        <v>5.1519999999999995E-4</v>
      </c>
      <c r="D25" s="3">
        <v>-8.4130000000000001E-4</v>
      </c>
      <c r="E25" s="3">
        <v>0</v>
      </c>
      <c r="F25" s="3">
        <v>0</v>
      </c>
      <c r="G25" s="3">
        <v>0</v>
      </c>
      <c r="H25" s="3">
        <v>2.1919826E-4</v>
      </c>
      <c r="I25" s="3">
        <v>6.3318279999999998E-5</v>
      </c>
      <c r="J25" s="3">
        <v>-5.2291084999999998E-4</v>
      </c>
      <c r="K25" s="3"/>
      <c r="L25" s="3">
        <f t="shared" si="0"/>
        <v>2.3023891596338997E-2</v>
      </c>
      <c r="M25" s="3"/>
      <c r="N25" s="2">
        <f>IF('Modell einstellen'!$B$1="Voll",H25/0.35,H25/0.35*2)</f>
        <v>6.2628074285714288E-4</v>
      </c>
      <c r="O25" s="2">
        <f>IF('Modell einstellen'!$B$1="Voll",J25/0.35,J25/0.35*2)</f>
        <v>-1.494031E-3</v>
      </c>
      <c r="P25" s="3">
        <f t="shared" si="1"/>
        <v>0.41918858635272149</v>
      </c>
      <c r="Q25" s="3"/>
      <c r="R25" s="3"/>
      <c r="S25" s="3"/>
      <c r="T25" s="3"/>
      <c r="U25" s="3"/>
    </row>
    <row r="26" spans="1:21" x14ac:dyDescent="0.25">
      <c r="A26" s="3">
        <v>100000000</v>
      </c>
      <c r="B26" s="3">
        <v>-1.3900000000000001E-5</v>
      </c>
      <c r="C26" s="3">
        <v>5.6110000000000003E-4</v>
      </c>
      <c r="D26" s="3">
        <v>-8.564E-4</v>
      </c>
      <c r="E26" s="3">
        <v>0</v>
      </c>
      <c r="F26" s="3">
        <v>0</v>
      </c>
      <c r="G26" s="3">
        <v>0</v>
      </c>
      <c r="H26" s="3">
        <v>2.4117598000000001E-4</v>
      </c>
      <c r="I26" s="3">
        <v>7.0211686000000006E-5</v>
      </c>
      <c r="J26" s="3">
        <v>-5.6967010000000002E-4</v>
      </c>
      <c r="K26" s="3"/>
      <c r="L26" s="3">
        <f t="shared" si="0"/>
        <v>-1.6230733302195238E-2</v>
      </c>
      <c r="M26" s="3"/>
      <c r="N26" s="2">
        <f>IF('Modell einstellen'!$B$1="Voll",H26/0.35,H26/0.35*2)</f>
        <v>6.8907422857142863E-4</v>
      </c>
      <c r="O26" s="2">
        <f>IF('Modell einstellen'!$B$1="Voll",J26/0.35,J26/0.35*2)</f>
        <v>-1.6276288571428572E-3</v>
      </c>
      <c r="P26" s="3">
        <f t="shared" si="1"/>
        <v>0.42336078372377278</v>
      </c>
      <c r="Q26" s="3"/>
      <c r="R26" s="3"/>
      <c r="S26" s="3"/>
      <c r="T26" s="3"/>
      <c r="U26" s="3"/>
    </row>
    <row r="27" spans="1:21" x14ac:dyDescent="0.25">
      <c r="A27" s="3">
        <v>1000000000</v>
      </c>
      <c r="B27" s="3">
        <v>-7.2139999999999997E-5</v>
      </c>
      <c r="C27" s="3">
        <v>6.1740000000000005E-4</v>
      </c>
      <c r="D27" s="3">
        <v>-8.5800000000000004E-4</v>
      </c>
      <c r="E27" s="3">
        <v>0</v>
      </c>
      <c r="F27" s="3">
        <v>0</v>
      </c>
      <c r="G27" s="3">
        <v>0</v>
      </c>
      <c r="H27" s="3">
        <v>2.7102809E-4</v>
      </c>
      <c r="I27" s="3">
        <v>7.8973218000000001E-5</v>
      </c>
      <c r="J27" s="3">
        <v>-6.3129752000000005E-4</v>
      </c>
      <c r="K27" s="3"/>
      <c r="L27" s="3">
        <f t="shared" si="0"/>
        <v>-8.4079254079254068E-2</v>
      </c>
      <c r="M27" s="3"/>
      <c r="N27" s="2">
        <f>IF('Modell einstellen'!$B$1="Voll",H27/0.35,H27/0.35*2)</f>
        <v>7.7436597142857143E-4</v>
      </c>
      <c r="O27" s="2">
        <f>IF('Modell einstellen'!$B$1="Voll",J27/0.35,J27/0.35*2)</f>
        <v>-1.8037072000000002E-3</v>
      </c>
      <c r="P27" s="3">
        <f t="shared" si="1"/>
        <v>0.4293191109003564</v>
      </c>
      <c r="Q27" s="3"/>
      <c r="R27" s="3"/>
      <c r="S27" s="3"/>
      <c r="T27" s="3"/>
      <c r="U27" s="3"/>
    </row>
    <row r="28" spans="1:21" x14ac:dyDescent="0.25">
      <c r="A28" s="3">
        <v>10000000000</v>
      </c>
      <c r="B28" s="3">
        <v>-1.7220000000000001E-4</v>
      </c>
      <c r="C28" s="3">
        <v>6.9169999999999995E-4</v>
      </c>
      <c r="D28" s="3">
        <v>-8.3690000000000001E-4</v>
      </c>
      <c r="E28" s="3">
        <v>0</v>
      </c>
      <c r="F28" s="3">
        <v>0</v>
      </c>
      <c r="G28" s="3">
        <v>0</v>
      </c>
      <c r="H28" s="3">
        <v>3.1356375999999999E-4</v>
      </c>
      <c r="I28" s="3">
        <v>9.0981848999999998E-5</v>
      </c>
      <c r="J28" s="3">
        <v>-7.1754955000000002E-4</v>
      </c>
      <c r="K28" s="3"/>
      <c r="L28" s="3">
        <f t="shared" si="0"/>
        <v>-0.20575934998207673</v>
      </c>
      <c r="M28" s="3"/>
      <c r="N28" s="2">
        <f>IF('Modell einstellen'!$B$1="Voll",H28/0.35,H28/0.35*2)</f>
        <v>8.9589645714285718E-4</v>
      </c>
      <c r="O28" s="2">
        <f>IF('Modell einstellen'!$B$1="Voll",J28/0.35,J28/0.35*2)</f>
        <v>-2.0501415714285717E-3</v>
      </c>
      <c r="P28" s="3">
        <f t="shared" si="1"/>
        <v>0.43699248365496152</v>
      </c>
      <c r="Q28" s="3"/>
      <c r="R28" s="3"/>
      <c r="S28" s="3"/>
      <c r="T28" s="3"/>
      <c r="U28" s="3"/>
    </row>
    <row r="29" spans="1:21" x14ac:dyDescent="0.25">
      <c r="A29" s="3">
        <v>100000000000</v>
      </c>
      <c r="B29" s="3">
        <v>-3.5710000000000001E-4</v>
      </c>
      <c r="C29" s="3">
        <v>8.0139999999999996E-4</v>
      </c>
      <c r="D29" s="3">
        <v>-7.6809999999999997E-4</v>
      </c>
      <c r="E29" s="3">
        <v>0</v>
      </c>
      <c r="F29" s="3">
        <v>0</v>
      </c>
      <c r="G29" s="3">
        <v>0</v>
      </c>
      <c r="H29" s="3">
        <v>3.8160762999999998E-4</v>
      </c>
      <c r="I29" s="3">
        <v>1.0947605E-4</v>
      </c>
      <c r="J29" s="3">
        <v>-8.5301631000000001E-4</v>
      </c>
      <c r="K29" s="3"/>
      <c r="L29" s="3">
        <f t="shared" si="0"/>
        <v>-0.46491342273141523</v>
      </c>
      <c r="M29" s="3"/>
      <c r="N29" s="2">
        <f>IF('Modell einstellen'!$B$1="Voll",H29/0.35,H29/0.35*2)</f>
        <v>1.0903075142857143E-3</v>
      </c>
      <c r="O29" s="2">
        <f>IF('Modell einstellen'!$B$1="Voll",J29/0.35,J29/0.35*2)</f>
        <v>-2.4371894571428572E-3</v>
      </c>
      <c r="P29" s="3">
        <f t="shared" si="1"/>
        <v>0.44736264187023572</v>
      </c>
      <c r="Q29" s="3"/>
      <c r="R29" s="3"/>
      <c r="S29" s="3"/>
      <c r="T29" s="3"/>
      <c r="U29" s="3"/>
    </row>
    <row r="30" spans="1:21" x14ac:dyDescent="0.25">
      <c r="A30" s="3">
        <v>1000000000000</v>
      </c>
      <c r="B30" s="3">
        <v>-7.1230000000000002E-4</v>
      </c>
      <c r="C30" s="3">
        <v>9.7380000000000003E-4</v>
      </c>
      <c r="D30" s="3">
        <v>-5.9310000000000005E-4</v>
      </c>
      <c r="E30" s="3">
        <v>0</v>
      </c>
      <c r="F30" s="3">
        <v>0</v>
      </c>
      <c r="G30" s="3">
        <v>0</v>
      </c>
      <c r="H30" s="3">
        <v>4.9857579999999996E-4</v>
      </c>
      <c r="I30" s="3">
        <v>1.3992025000000001E-4</v>
      </c>
      <c r="J30" s="3">
        <v>-1.0809119E-3</v>
      </c>
      <c r="K30" s="3"/>
      <c r="L30" s="3">
        <f t="shared" si="0"/>
        <v>-1.2009779126622828</v>
      </c>
      <c r="M30" s="3"/>
      <c r="N30" s="2">
        <f>IF('Modell einstellen'!$B$1="Voll",H30/0.35,H30/0.35*2)</f>
        <v>1.4245022857142858E-3</v>
      </c>
      <c r="O30" s="2">
        <f>IF('Modell einstellen'!$B$1="Voll",J30/0.35,J30/0.35*2)</f>
        <v>-3.0883197142857147E-3</v>
      </c>
      <c r="P30" s="3">
        <f t="shared" si="1"/>
        <v>0.4612547979164629</v>
      </c>
      <c r="Q30" s="3"/>
      <c r="R30" s="3"/>
      <c r="S30" s="3"/>
      <c r="T30" s="3"/>
      <c r="U30" s="3"/>
    </row>
    <row r="31" spans="1:21" x14ac:dyDescent="0.25">
      <c r="A31" s="3">
        <v>10000000000000</v>
      </c>
      <c r="B31" s="3">
        <v>-1.3849999999999999E-3</v>
      </c>
      <c r="C31" s="3">
        <v>1.2470000000000001E-3</v>
      </c>
      <c r="D31" s="3">
        <v>-2.0239999999999999E-4</v>
      </c>
      <c r="E31" s="3">
        <v>0</v>
      </c>
      <c r="F31" s="3">
        <v>0</v>
      </c>
      <c r="G31" s="3">
        <v>0</v>
      </c>
      <c r="H31" s="3">
        <v>7.0263004000000004E-4</v>
      </c>
      <c r="I31" s="3">
        <v>1.9046495E-4</v>
      </c>
      <c r="J31" s="3">
        <v>-1.4687115999999999E-3</v>
      </c>
      <c r="K31" s="3"/>
      <c r="L31" s="3">
        <f t="shared" si="0"/>
        <v>-6.8428853754940713</v>
      </c>
      <c r="M31" s="3"/>
      <c r="N31" s="2">
        <f>IF('Modell einstellen'!$B$1="Voll",H31/0.35,H31/0.35*2)</f>
        <v>2.0075144000000003E-3</v>
      </c>
      <c r="O31" s="2">
        <f>IF('Modell einstellen'!$B$1="Voll",J31/0.35,J31/0.35*2)</f>
        <v>-4.1963188571428568E-3</v>
      </c>
      <c r="P31" s="3">
        <f t="shared" si="1"/>
        <v>0.47839891779979143</v>
      </c>
      <c r="Q31" s="3"/>
      <c r="R31" s="3"/>
      <c r="S31" s="3"/>
      <c r="T31" s="3"/>
      <c r="U31" s="3"/>
    </row>
    <row r="32" spans="1:21" x14ac:dyDescent="0.25">
      <c r="A32" s="3">
        <v>100000000000000</v>
      </c>
      <c r="B32" s="3">
        <v>-2.5019999999999999E-3</v>
      </c>
      <c r="C32" s="3">
        <v>1.6459999999999999E-3</v>
      </c>
      <c r="D32" s="3">
        <v>5.0889999999999996E-4</v>
      </c>
      <c r="E32" s="3">
        <v>0</v>
      </c>
      <c r="F32" s="3">
        <v>0</v>
      </c>
      <c r="G32" s="3">
        <v>0</v>
      </c>
      <c r="H32" s="3">
        <v>1.0251046E-3</v>
      </c>
      <c r="I32" s="3">
        <v>2.6691369999999999E-4</v>
      </c>
      <c r="J32" s="3">
        <v>-2.0678850999999998E-3</v>
      </c>
      <c r="K32" s="3"/>
      <c r="L32" s="3">
        <f t="shared" si="0"/>
        <v>4.9164865395952058</v>
      </c>
      <c r="M32" s="3"/>
      <c r="N32" s="2">
        <f>IF('Modell einstellen'!$B$1="Voll",H32/0.35,H32/0.35*2)</f>
        <v>2.9288702857142856E-3</v>
      </c>
      <c r="O32" s="2">
        <f>IF('Modell einstellen'!$B$1="Voll",J32/0.35,J32/0.35*2)</f>
        <v>-5.9082431428571424E-3</v>
      </c>
      <c r="P32" s="3">
        <f t="shared" si="1"/>
        <v>0.49572609232495563</v>
      </c>
      <c r="Q32" s="3"/>
      <c r="R32" s="3"/>
      <c r="S32" s="3"/>
      <c r="T32" s="3"/>
      <c r="U32" s="3"/>
    </row>
    <row r="33" spans="1:21" x14ac:dyDescent="0.25">
      <c r="A33" s="2">
        <v>1000000000000000</v>
      </c>
      <c r="B33" s="3">
        <v>-3.9969999999999997E-3</v>
      </c>
      <c r="C33" s="3">
        <v>2.1419999999999998E-3</v>
      </c>
      <c r="D33" s="3">
        <v>1.5039999999999999E-3</v>
      </c>
      <c r="E33" s="3">
        <v>0</v>
      </c>
      <c r="F33" s="3">
        <v>0</v>
      </c>
      <c r="G33" s="3">
        <v>0</v>
      </c>
      <c r="H33" s="3">
        <v>1.4458186E-3</v>
      </c>
      <c r="I33" s="3">
        <v>3.6366722000000001E-4</v>
      </c>
      <c r="J33" s="3">
        <v>-2.8365334000000002E-3</v>
      </c>
      <c r="K33" s="3"/>
      <c r="L33" s="3">
        <f t="shared" si="0"/>
        <v>2.6575797872340425</v>
      </c>
      <c r="M33" s="3"/>
      <c r="N33" s="2">
        <f>IF('Modell einstellen'!$B$1="Voll",H33/0.35,H33/0.35*2)</f>
        <v>4.1309102857142862E-3</v>
      </c>
      <c r="O33" s="2">
        <f>IF('Modell einstellen'!$B$1="Voll",J33/0.35,J33/0.35*2)</f>
        <v>-8.1043811428571436E-3</v>
      </c>
      <c r="P33" s="3">
        <f t="shared" si="1"/>
        <v>0.5097132295357425</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3"/>
      <c r="M1" s="83"/>
      <c r="N1" s="101" t="s">
        <v>39</v>
      </c>
      <c r="O1" s="3" t="s">
        <v>116</v>
      </c>
      <c r="P1" s="101"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1"/>
      <c r="O2" s="101"/>
      <c r="P2" s="3"/>
      <c r="Q2" s="3"/>
      <c r="R2" s="3"/>
      <c r="S2" s="3"/>
      <c r="T2" s="3"/>
      <c r="U2" s="3"/>
    </row>
    <row r="3" spans="1:21" x14ac:dyDescent="0.25">
      <c r="A3" s="3">
        <v>1.0000000000000001E-15</v>
      </c>
      <c r="B3" s="3">
        <v>9.5799999999999998E-5</v>
      </c>
      <c r="C3" s="3">
        <v>1.8760000000000001E-4</v>
      </c>
      <c r="D3" s="3">
        <v>-5.6970000000000002E-4</v>
      </c>
      <c r="E3" s="3">
        <v>0</v>
      </c>
      <c r="F3" s="3">
        <v>0</v>
      </c>
      <c r="G3" s="3">
        <v>0</v>
      </c>
      <c r="H3" s="3">
        <v>8.3276429999999996E-5</v>
      </c>
      <c r="I3" s="3">
        <v>2.0052932E-5</v>
      </c>
      <c r="J3" s="3">
        <v>-2.3253198E-4</v>
      </c>
      <c r="K3" s="2"/>
      <c r="L3" s="3"/>
      <c r="M3" s="3"/>
      <c r="N3" s="2">
        <f>IF('Modell einstellen'!$B$1="Voll",H3/0.35,H3/0.35*2)</f>
        <v>2.3793265714285714E-4</v>
      </c>
      <c r="O3" s="2">
        <f>IF('Modell einstellen'!$B$1="Voll",J3/0.35,J3/0.35*2)</f>
        <v>-6.6437708571428578E-4</v>
      </c>
      <c r="P3" s="3">
        <f>-N3/O3</f>
        <v>0.35812893349121266</v>
      </c>
      <c r="Q3" s="3"/>
      <c r="R3" s="3"/>
      <c r="S3" s="3"/>
      <c r="T3" s="3"/>
      <c r="U3" s="3"/>
    </row>
    <row r="4" spans="1:21" x14ac:dyDescent="0.25">
      <c r="A4" s="3">
        <v>1E-14</v>
      </c>
      <c r="B4" s="3">
        <v>9.5450000000000003E-5</v>
      </c>
      <c r="C4" s="3">
        <v>1.9430000000000001E-4</v>
      </c>
      <c r="D4" s="3">
        <v>-5.7850000000000002E-4</v>
      </c>
      <c r="E4" s="3">
        <v>0</v>
      </c>
      <c r="F4" s="3">
        <v>0</v>
      </c>
      <c r="G4" s="3">
        <v>0</v>
      </c>
      <c r="H4" s="3">
        <v>8.7480931999999999E-5</v>
      </c>
      <c r="I4" s="3">
        <v>2.0849078999999999E-5</v>
      </c>
      <c r="J4" s="3">
        <v>-2.400387E-4</v>
      </c>
      <c r="K4" s="2"/>
      <c r="L4" s="3"/>
      <c r="M4" s="3"/>
      <c r="N4" s="2">
        <f>IF('Modell einstellen'!$B$1="Voll",H4/0.35,H4/0.35*2)</f>
        <v>2.4994551999999999E-4</v>
      </c>
      <c r="O4" s="2">
        <f>IF('Modell einstellen'!$B$1="Voll",J4/0.35,J4/0.35*2)</f>
        <v>-6.8582485714285715E-4</v>
      </c>
      <c r="P4" s="3">
        <f t="shared" ref="P4:P33" si="0">-N4/O4</f>
        <v>0.36444511655828826</v>
      </c>
      <c r="Q4" s="3"/>
      <c r="R4" s="3"/>
      <c r="S4" s="3"/>
      <c r="T4" s="3"/>
      <c r="U4" s="3"/>
    </row>
    <row r="5" spans="1:21" x14ac:dyDescent="0.25">
      <c r="A5" s="3">
        <v>1E-13</v>
      </c>
      <c r="B5" s="3">
        <v>9.4989999999999997E-5</v>
      </c>
      <c r="C5" s="3">
        <v>1.9819999999999999E-4</v>
      </c>
      <c r="D5" s="3">
        <v>-5.8330000000000003E-4</v>
      </c>
      <c r="E5" s="3">
        <v>0</v>
      </c>
      <c r="F5" s="3">
        <v>0</v>
      </c>
      <c r="G5" s="3">
        <v>0</v>
      </c>
      <c r="H5" s="3">
        <v>9.0030895000000005E-5</v>
      </c>
      <c r="I5" s="3">
        <v>2.1321331E-5</v>
      </c>
      <c r="J5" s="3">
        <v>-2.4454612000000001E-4</v>
      </c>
      <c r="K5" s="2"/>
      <c r="L5" s="3"/>
      <c r="M5" s="3"/>
      <c r="N5" s="2">
        <f>IF('Modell einstellen'!$B$1="Voll",H5/0.35,H5/0.35*2)</f>
        <v>2.5723112857142859E-4</v>
      </c>
      <c r="O5" s="2">
        <f>IF('Modell einstellen'!$B$1="Voll",J5/0.35,J5/0.35*2)</f>
        <v>-6.9870320000000002E-4</v>
      </c>
      <c r="P5" s="3">
        <f t="shared" si="0"/>
        <v>0.3681550743884221</v>
      </c>
      <c r="Q5" s="3"/>
      <c r="R5" s="3"/>
      <c r="S5" s="3"/>
      <c r="T5" s="3"/>
      <c r="U5" s="3"/>
    </row>
    <row r="6" spans="1:21" x14ac:dyDescent="0.25">
      <c r="A6" s="3">
        <v>9.9999999999999998E-13</v>
      </c>
      <c r="B6" s="3">
        <v>9.4389999999999996E-5</v>
      </c>
      <c r="C6" s="3">
        <v>2.0210000000000001E-4</v>
      </c>
      <c r="D6" s="3">
        <v>-5.8810000000000004E-4</v>
      </c>
      <c r="E6" s="3">
        <v>0</v>
      </c>
      <c r="F6" s="3">
        <v>0</v>
      </c>
      <c r="G6" s="3">
        <v>0</v>
      </c>
      <c r="H6" s="3">
        <v>9.2647101999999995E-5</v>
      </c>
      <c r="I6" s="3">
        <v>2.1798972999999999E-5</v>
      </c>
      <c r="J6" s="3">
        <v>-2.4914012000000003E-4</v>
      </c>
      <c r="K6" s="2"/>
      <c r="L6" s="3"/>
      <c r="M6" s="3"/>
      <c r="N6" s="2">
        <f>IF('Modell einstellen'!$B$1="Voll",H6/0.35,H6/0.35*2)</f>
        <v>2.6470600571428573E-4</v>
      </c>
      <c r="O6" s="2">
        <f>IF('Modell einstellen'!$B$1="Voll",J6/0.35,J6/0.35*2)</f>
        <v>-7.1182891428571437E-4</v>
      </c>
      <c r="P6" s="3">
        <f t="shared" si="0"/>
        <v>0.37186745354381301</v>
      </c>
      <c r="Q6" s="3"/>
      <c r="R6" s="3"/>
      <c r="S6" s="3"/>
      <c r="T6" s="3"/>
      <c r="U6" s="3"/>
    </row>
    <row r="7" spans="1:21" x14ac:dyDescent="0.25">
      <c r="A7" s="3">
        <v>9.9999999999999994E-12</v>
      </c>
      <c r="B7" s="3">
        <v>9.3510000000000004E-5</v>
      </c>
      <c r="C7" s="3">
        <v>2.065E-4</v>
      </c>
      <c r="D7" s="3">
        <v>-5.9329999999999995E-4</v>
      </c>
      <c r="E7" s="3">
        <v>0</v>
      </c>
      <c r="F7" s="3">
        <v>0</v>
      </c>
      <c r="G7" s="3">
        <v>0</v>
      </c>
      <c r="H7" s="3">
        <v>9.5685301000000006E-5</v>
      </c>
      <c r="I7" s="3">
        <v>2.2344175E-5</v>
      </c>
      <c r="J7" s="3">
        <v>-2.5443303999999998E-4</v>
      </c>
      <c r="K7" s="2"/>
      <c r="L7" s="3"/>
      <c r="M7" s="3"/>
      <c r="N7" s="2">
        <f>IF('Modell einstellen'!$B$1="Voll",H7/0.35,H7/0.35*2)</f>
        <v>2.7338657428571433E-4</v>
      </c>
      <c r="O7" s="2">
        <f>IF('Modell einstellen'!$B$1="Voll",J7/0.35,J7/0.35*2)</f>
        <v>-7.269515428571429E-4</v>
      </c>
      <c r="P7" s="3">
        <f t="shared" si="0"/>
        <v>0.37607262405857356</v>
      </c>
      <c r="Q7" s="3"/>
      <c r="R7" s="3"/>
      <c r="S7" s="3"/>
      <c r="T7" s="3"/>
      <c r="U7" s="3"/>
    </row>
    <row r="8" spans="1:21" x14ac:dyDescent="0.25">
      <c r="A8" s="3">
        <v>1E-10</v>
      </c>
      <c r="B8" s="3">
        <v>9.2280000000000004E-5</v>
      </c>
      <c r="C8" s="3">
        <v>2.1139999999999999E-4</v>
      </c>
      <c r="D8" s="3">
        <v>-5.9880000000000003E-4</v>
      </c>
      <c r="E8" s="3">
        <v>0</v>
      </c>
      <c r="F8" s="3">
        <v>0</v>
      </c>
      <c r="G8" s="3">
        <v>0</v>
      </c>
      <c r="H8" s="3">
        <v>9.9114396999999999E-5</v>
      </c>
      <c r="I8" s="3">
        <v>2.2947628E-5</v>
      </c>
      <c r="J8" s="3">
        <v>-2.6035473999999999E-4</v>
      </c>
      <c r="K8" s="2"/>
      <c r="L8" s="3"/>
      <c r="M8" s="3"/>
      <c r="N8" s="2">
        <f>IF('Modell einstellen'!$B$1="Voll",H8/0.35,H8/0.35*2)</f>
        <v>2.8318399142857146E-4</v>
      </c>
      <c r="O8" s="2">
        <f>IF('Modell einstellen'!$B$1="Voll",J8/0.35,J8/0.35*2)</f>
        <v>-7.4387068571428569E-4</v>
      </c>
      <c r="P8" s="3">
        <f t="shared" si="0"/>
        <v>0.38068981190816814</v>
      </c>
      <c r="Q8" s="3"/>
      <c r="R8" s="3"/>
      <c r="S8" s="3"/>
      <c r="T8" s="3"/>
      <c r="U8" s="3"/>
    </row>
    <row r="9" spans="1:21" x14ac:dyDescent="0.25">
      <c r="A9" s="3">
        <v>1.0000000000000001E-9</v>
      </c>
      <c r="B9" s="3">
        <v>9.0509999999999999E-5</v>
      </c>
      <c r="C9" s="3">
        <v>2.1699999999999999E-4</v>
      </c>
      <c r="D9" s="3">
        <v>-6.0470000000000001E-4</v>
      </c>
      <c r="E9" s="3">
        <v>0</v>
      </c>
      <c r="F9" s="3">
        <v>0</v>
      </c>
      <c r="G9" s="3">
        <v>0</v>
      </c>
      <c r="H9" s="3">
        <v>1.0320271E-4</v>
      </c>
      <c r="I9" s="3">
        <v>2.3650868E-5</v>
      </c>
      <c r="J9" s="3">
        <v>-2.6734471000000002E-4</v>
      </c>
      <c r="K9" s="2"/>
      <c r="L9" s="3"/>
      <c r="M9" s="3"/>
      <c r="N9" s="2">
        <f>IF('Modell einstellen'!$B$1="Voll",H9/0.35,H9/0.35*2)</f>
        <v>2.9486488571428576E-4</v>
      </c>
      <c r="O9" s="2">
        <f>IF('Modell einstellen'!$B$1="Voll",J9/0.35,J9/0.35*2)</f>
        <v>-7.6384202857142868E-4</v>
      </c>
      <c r="P9" s="3">
        <f t="shared" si="0"/>
        <v>0.38602862199891669</v>
      </c>
      <c r="Q9" s="3"/>
      <c r="R9" s="3"/>
      <c r="S9" s="3"/>
      <c r="T9" s="3"/>
      <c r="U9" s="3"/>
    </row>
    <row r="10" spans="1:21" x14ac:dyDescent="0.25">
      <c r="A10" s="3">
        <v>1E-8</v>
      </c>
      <c r="B10" s="3">
        <v>8.8059999999999994E-5</v>
      </c>
      <c r="C10" s="3">
        <v>2.2330000000000001E-4</v>
      </c>
      <c r="D10" s="3">
        <v>-6.1079999999999999E-4</v>
      </c>
      <c r="E10" s="3">
        <v>0</v>
      </c>
      <c r="F10" s="3">
        <v>0</v>
      </c>
      <c r="G10" s="3">
        <v>0</v>
      </c>
      <c r="H10" s="3">
        <v>1.0791631E-4</v>
      </c>
      <c r="I10" s="3">
        <v>2.4440346999999999E-5</v>
      </c>
      <c r="J10" s="3">
        <v>-2.7531231E-4</v>
      </c>
      <c r="K10" s="2"/>
      <c r="L10" s="3"/>
      <c r="M10" s="3"/>
      <c r="N10" s="2">
        <f>IF('Modell einstellen'!$B$1="Voll",H10/0.35,H10/0.35*2)</f>
        <v>3.0833231428571429E-4</v>
      </c>
      <c r="O10" s="2">
        <f>IF('Modell einstellen'!$B$1="Voll",J10/0.35,J10/0.35*2)</f>
        <v>-7.8660660000000001E-4</v>
      </c>
      <c r="P10" s="3">
        <f t="shared" si="0"/>
        <v>0.39197778697218444</v>
      </c>
      <c r="Q10" s="3"/>
      <c r="R10" s="3"/>
      <c r="S10" s="3"/>
      <c r="T10" s="3"/>
      <c r="U10" s="3"/>
    </row>
    <row r="11" spans="1:21" x14ac:dyDescent="0.25">
      <c r="A11" s="3">
        <v>9.9999999999999995E-8</v>
      </c>
      <c r="B11" s="3">
        <v>8.4919999999999993E-5</v>
      </c>
      <c r="C11" s="3">
        <v>2.298E-4</v>
      </c>
      <c r="D11" s="3">
        <v>-6.1660000000000003E-4</v>
      </c>
      <c r="E11" s="3">
        <v>0</v>
      </c>
      <c r="F11" s="3">
        <v>0</v>
      </c>
      <c r="G11" s="3">
        <v>0</v>
      </c>
      <c r="H11" s="3">
        <v>1.1306292000000001E-4</v>
      </c>
      <c r="I11" s="3">
        <v>2.5276864999999999E-5</v>
      </c>
      <c r="J11" s="3">
        <v>-2.8390336999999999E-4</v>
      </c>
      <c r="K11" s="2"/>
      <c r="L11" s="3"/>
      <c r="M11" s="3"/>
      <c r="N11" s="2">
        <f>IF('Modell einstellen'!$B$1="Voll",H11/0.35,H11/0.35*2)</f>
        <v>3.2303691428571432E-4</v>
      </c>
      <c r="O11" s="2">
        <f>IF('Modell einstellen'!$B$1="Voll",J11/0.35,J11/0.35*2)</f>
        <v>-8.1115248571428573E-4</v>
      </c>
      <c r="P11" s="3">
        <f t="shared" si="0"/>
        <v>0.39824437448558647</v>
      </c>
      <c r="Q11" s="3"/>
      <c r="R11" s="3"/>
      <c r="S11" s="3"/>
      <c r="T11" s="3"/>
      <c r="U11" s="3"/>
    </row>
    <row r="12" spans="1:21" x14ac:dyDescent="0.25">
      <c r="A12" s="3">
        <v>9.9999999999999995E-7</v>
      </c>
      <c r="B12" s="3">
        <v>8.1169999999999997E-5</v>
      </c>
      <c r="C12" s="3">
        <v>2.363E-4</v>
      </c>
      <c r="D12" s="3">
        <v>-6.2169999999999999E-4</v>
      </c>
      <c r="E12" s="3">
        <v>0</v>
      </c>
      <c r="F12" s="3">
        <v>0</v>
      </c>
      <c r="G12" s="3">
        <v>0</v>
      </c>
      <c r="H12" s="3">
        <v>1.1842427E-4</v>
      </c>
      <c r="I12" s="3">
        <v>2.6121741999999999E-5</v>
      </c>
      <c r="J12" s="3">
        <v>-2.9274059999999998E-4</v>
      </c>
      <c r="K12" s="2"/>
      <c r="L12" s="3"/>
      <c r="M12" s="3"/>
      <c r="N12" s="2">
        <f>IF('Modell einstellen'!$B$1="Voll",H12/0.35,H12/0.35*2)</f>
        <v>3.3835505714285716E-4</v>
      </c>
      <c r="O12" s="2">
        <f>IF('Modell einstellen'!$B$1="Voll",J12/0.35,J12/0.35*2)</f>
        <v>-8.3640171428571431E-4</v>
      </c>
      <c r="P12" s="3">
        <f t="shared" si="0"/>
        <v>0.4045365419077504</v>
      </c>
      <c r="Q12" s="3"/>
      <c r="R12" s="3"/>
      <c r="S12" s="3"/>
      <c r="T12" s="3"/>
      <c r="U12" s="3"/>
    </row>
    <row r="13" spans="1:21" x14ac:dyDescent="0.25">
      <c r="A13" s="3">
        <v>1.0000000000000001E-5</v>
      </c>
      <c r="B13" s="3">
        <v>7.6110000000000001E-5</v>
      </c>
      <c r="C13" s="3">
        <v>2.4369999999999999E-4</v>
      </c>
      <c r="D13" s="3">
        <v>-6.2679999999999995E-4</v>
      </c>
      <c r="E13" s="3">
        <v>0</v>
      </c>
      <c r="F13" s="3">
        <v>0</v>
      </c>
      <c r="G13" s="3">
        <v>0</v>
      </c>
      <c r="H13" s="3">
        <v>1.2483604E-4</v>
      </c>
      <c r="I13" s="3">
        <v>2.7099898999999998E-5</v>
      </c>
      <c r="J13" s="3">
        <v>-3.0317393999999999E-4</v>
      </c>
      <c r="K13" s="2"/>
      <c r="L13" s="3"/>
      <c r="M13" s="3"/>
      <c r="N13" s="2">
        <f>IF('Modell einstellen'!$B$1="Voll",H13/0.35,H13/0.35*2)</f>
        <v>3.5667439999999999E-4</v>
      </c>
      <c r="O13" s="2">
        <f>IF('Modell einstellen'!$B$1="Voll",J13/0.35,J13/0.35*2)</f>
        <v>-8.6621125714285722E-4</v>
      </c>
      <c r="P13" s="3">
        <f t="shared" si="0"/>
        <v>0.41176375515652824</v>
      </c>
      <c r="Q13" s="3"/>
      <c r="R13" s="3"/>
      <c r="S13" s="3"/>
      <c r="T13" s="3"/>
      <c r="U13" s="3"/>
    </row>
    <row r="14" spans="1:21" x14ac:dyDescent="0.25">
      <c r="A14" s="3">
        <v>1E-4</v>
      </c>
      <c r="B14" s="3">
        <v>6.8429999999999994E-5</v>
      </c>
      <c r="C14" s="3">
        <v>2.5310000000000003E-4</v>
      </c>
      <c r="D14" s="3">
        <v>-6.3190000000000002E-4</v>
      </c>
      <c r="E14" s="3">
        <v>0</v>
      </c>
      <c r="F14" s="3">
        <v>0</v>
      </c>
      <c r="G14" s="3">
        <v>0</v>
      </c>
      <c r="H14" s="3">
        <v>1.3339427000000001E-4</v>
      </c>
      <c r="I14" s="3">
        <v>2.8352222E-5</v>
      </c>
      <c r="J14" s="3">
        <v>-3.1687707999999997E-4</v>
      </c>
      <c r="K14" s="2"/>
      <c r="L14" s="3"/>
      <c r="M14" s="3"/>
      <c r="N14" s="2">
        <f>IF('Modell einstellen'!$B$1="Voll",H14/0.35,H14/0.35*2)</f>
        <v>3.8112648571428576E-4</v>
      </c>
      <c r="O14" s="2">
        <f>IF('Modell einstellen'!$B$1="Voll",J14/0.35,J14/0.35*2)</f>
        <v>-9.0536308571428567E-4</v>
      </c>
      <c r="P14" s="3">
        <f t="shared" si="0"/>
        <v>0.42096534719393408</v>
      </c>
      <c r="Q14" s="3"/>
      <c r="R14" s="3"/>
      <c r="S14" s="3"/>
      <c r="T14" s="3"/>
      <c r="U14" s="3"/>
    </row>
    <row r="15" spans="1:21" x14ac:dyDescent="0.25">
      <c r="A15" s="3">
        <v>1E-3</v>
      </c>
      <c r="B15" s="3">
        <v>5.8010000000000002E-5</v>
      </c>
      <c r="C15" s="3">
        <v>2.633E-4</v>
      </c>
      <c r="D15" s="3">
        <v>-6.3560000000000005E-4</v>
      </c>
      <c r="E15" s="3">
        <v>0</v>
      </c>
      <c r="F15" s="3">
        <v>0</v>
      </c>
      <c r="G15" s="3">
        <v>0</v>
      </c>
      <c r="H15" s="3">
        <v>1.4353033000000001E-4</v>
      </c>
      <c r="I15" s="3">
        <v>2.9758108000000001E-5</v>
      </c>
      <c r="J15" s="3">
        <v>-3.3278357999999997E-4</v>
      </c>
      <c r="K15" s="2"/>
      <c r="L15" s="3"/>
      <c r="M15" s="3"/>
      <c r="N15" s="2">
        <f>IF('Modell einstellen'!$B$1="Voll",H15/0.35,H15/0.35*2)</f>
        <v>4.1008665714285721E-4</v>
      </c>
      <c r="O15" s="2">
        <f>IF('Modell einstellen'!$B$1="Voll",J15/0.35,J15/0.35*2)</f>
        <v>-9.5081022857142856E-4</v>
      </c>
      <c r="P15" s="3">
        <f t="shared" si="0"/>
        <v>0.43130231966372867</v>
      </c>
      <c r="Q15" s="3"/>
      <c r="R15" s="3"/>
      <c r="S15" s="3"/>
      <c r="T15" s="3"/>
      <c r="U15" s="3"/>
    </row>
    <row r="16" spans="1:21" x14ac:dyDescent="0.25">
      <c r="A16" s="3">
        <v>0.01</v>
      </c>
      <c r="B16" s="3">
        <v>4.6629999999999999E-5</v>
      </c>
      <c r="C16" s="3">
        <v>2.7260000000000001E-4</v>
      </c>
      <c r="D16" s="3">
        <v>-6.3679999999999997E-4</v>
      </c>
      <c r="E16" s="3">
        <v>0</v>
      </c>
      <c r="F16" s="3">
        <v>0</v>
      </c>
      <c r="G16" s="3">
        <v>0</v>
      </c>
      <c r="H16" s="3">
        <v>1.5339718000000001E-4</v>
      </c>
      <c r="I16" s="3">
        <v>3.1054708000000001E-5</v>
      </c>
      <c r="J16" s="3">
        <v>-3.4796415999999999E-4</v>
      </c>
      <c r="K16" s="2"/>
      <c r="L16" s="3"/>
      <c r="M16" s="3"/>
      <c r="N16" s="2">
        <f>IF('Modell einstellen'!$B$1="Voll",H16/0.35,H16/0.35*2)</f>
        <v>4.3827765714285721E-4</v>
      </c>
      <c r="O16" s="2">
        <f>IF('Modell einstellen'!$B$1="Voll",J16/0.35,J16/0.35*2)</f>
        <v>-9.9418331428571425E-4</v>
      </c>
      <c r="P16" s="3">
        <f t="shared" si="0"/>
        <v>0.4408418959010032</v>
      </c>
      <c r="Q16" s="3"/>
      <c r="R16" s="3"/>
      <c r="S16" s="3"/>
      <c r="T16" s="3"/>
      <c r="U16" s="3"/>
    </row>
    <row r="17" spans="1:21" x14ac:dyDescent="0.25">
      <c r="A17" s="3">
        <v>0.1</v>
      </c>
      <c r="B17" s="3">
        <v>3.4629999999999999E-5</v>
      </c>
      <c r="C17" s="3">
        <v>2.8140000000000001E-4</v>
      </c>
      <c r="D17" s="3">
        <v>-6.3659999999999997E-4</v>
      </c>
      <c r="E17" s="3">
        <v>0</v>
      </c>
      <c r="F17" s="3">
        <v>0</v>
      </c>
      <c r="G17" s="3">
        <v>0</v>
      </c>
      <c r="H17" s="3">
        <v>1.6304517999999999E-4</v>
      </c>
      <c r="I17" s="3">
        <v>3.2306986000000003E-5</v>
      </c>
      <c r="J17" s="3">
        <v>-3.6269386000000001E-4</v>
      </c>
      <c r="K17" s="2"/>
      <c r="L17" s="3"/>
      <c r="M17" s="3"/>
      <c r="N17" s="2">
        <f>IF('Modell einstellen'!$B$1="Voll",H17/0.35,H17/0.35*2)</f>
        <v>4.6584337142857146E-4</v>
      </c>
      <c r="O17" s="2">
        <f>IF('Modell einstellen'!$B$1="Voll",J17/0.35,J17/0.35*2)</f>
        <v>-1.0362681714285716E-3</v>
      </c>
      <c r="P17" s="3">
        <f t="shared" si="0"/>
        <v>0.44953939942628196</v>
      </c>
      <c r="Q17" s="3"/>
      <c r="R17" s="3"/>
      <c r="S17" s="3"/>
      <c r="T17" s="3"/>
      <c r="U17" s="3"/>
    </row>
    <row r="18" spans="1:21" x14ac:dyDescent="0.25">
      <c r="A18" s="3">
        <v>1</v>
      </c>
      <c r="B18" s="3">
        <v>2.1339999999999999E-5</v>
      </c>
      <c r="C18" s="3">
        <v>2.9399999999999999E-4</v>
      </c>
      <c r="D18" s="3">
        <v>-6.3829999999999996E-4</v>
      </c>
      <c r="E18" s="3">
        <v>0</v>
      </c>
      <c r="F18" s="3">
        <v>0</v>
      </c>
      <c r="G18" s="3">
        <v>0</v>
      </c>
      <c r="H18" s="3">
        <v>1.7353234999999999E-4</v>
      </c>
      <c r="I18" s="3">
        <v>3.4046133000000003E-5</v>
      </c>
      <c r="J18" s="3">
        <v>-3.7980023000000002E-4</v>
      </c>
      <c r="K18" s="2"/>
      <c r="L18" s="3"/>
      <c r="M18" s="3"/>
      <c r="N18" s="2">
        <f>IF('Modell einstellen'!$B$1="Voll",H18/0.35,H18/0.35*2)</f>
        <v>4.9580671428571424E-4</v>
      </c>
      <c r="O18" s="2">
        <f>IF('Modell einstellen'!$B$1="Voll",J18/0.35,J18/0.35*2)</f>
        <v>-1.0851435142857145E-3</v>
      </c>
      <c r="P18" s="3">
        <f t="shared" si="0"/>
        <v>0.45690427833600827</v>
      </c>
      <c r="Q18" s="3"/>
      <c r="R18" s="3"/>
      <c r="S18" s="3"/>
      <c r="T18" s="3"/>
      <c r="U18" s="3"/>
    </row>
    <row r="19" spans="1:21" x14ac:dyDescent="0.25">
      <c r="A19" s="3">
        <v>10</v>
      </c>
      <c r="B19" s="3">
        <v>1.1219999999999999E-5</v>
      </c>
      <c r="C19" s="3">
        <v>3.211E-4</v>
      </c>
      <c r="D19" s="3">
        <v>-6.5479999999999998E-4</v>
      </c>
      <c r="E19" s="3">
        <v>0</v>
      </c>
      <c r="F19" s="3">
        <v>0</v>
      </c>
      <c r="G19" s="3">
        <v>0</v>
      </c>
      <c r="H19" s="3">
        <v>1.8350733E-4</v>
      </c>
      <c r="I19" s="3">
        <v>3.7613110999999997E-5</v>
      </c>
      <c r="J19" s="3">
        <v>-4.0196113000000002E-4</v>
      </c>
      <c r="K19" s="2"/>
      <c r="L19" s="3"/>
      <c r="M19" s="3"/>
      <c r="N19" s="2">
        <f>IF('Modell einstellen'!$B$1="Voll",H19/0.35,H19/0.35*2)</f>
        <v>5.2430665714285716E-4</v>
      </c>
      <c r="O19" s="2">
        <f>IF('Modell einstellen'!$B$1="Voll",J19/0.35,J19/0.35*2)</f>
        <v>-1.1484603714285715E-3</v>
      </c>
      <c r="P19" s="3">
        <f t="shared" si="0"/>
        <v>0.4565300381158745</v>
      </c>
      <c r="Q19" s="3"/>
      <c r="R19" s="3"/>
      <c r="S19" s="3"/>
      <c r="T19" s="3"/>
      <c r="U19" s="3"/>
    </row>
    <row r="20" spans="1:21" x14ac:dyDescent="0.25">
      <c r="A20" s="3">
        <v>100</v>
      </c>
      <c r="B20" s="3">
        <v>4.9370000000000003E-6</v>
      </c>
      <c r="C20" s="3">
        <v>3.6729999999999998E-4</v>
      </c>
      <c r="D20" s="3">
        <v>-6.9110000000000005E-4</v>
      </c>
      <c r="E20" s="3">
        <v>0</v>
      </c>
      <c r="F20" s="3">
        <v>0</v>
      </c>
      <c r="G20" s="3">
        <v>0</v>
      </c>
      <c r="H20" s="3">
        <v>1.9353099E-4</v>
      </c>
      <c r="I20" s="3">
        <v>4.3616135E-5</v>
      </c>
      <c r="J20" s="3">
        <v>-4.3187435999999998E-4</v>
      </c>
      <c r="K20" s="2"/>
      <c r="L20" s="3"/>
      <c r="M20" s="3"/>
      <c r="N20" s="2">
        <f>IF('Modell einstellen'!$B$1="Voll",H20/0.35,H20/0.35*2)</f>
        <v>5.529456857142857E-4</v>
      </c>
      <c r="O20" s="2">
        <f>IF('Modell einstellen'!$B$1="Voll",J20/0.35,J20/0.35*2)</f>
        <v>-1.233926742857143E-3</v>
      </c>
      <c r="P20" s="3">
        <f t="shared" si="0"/>
        <v>0.44811873064193941</v>
      </c>
      <c r="Q20" s="3"/>
      <c r="R20" s="3"/>
      <c r="S20" s="3"/>
      <c r="T20" s="3"/>
      <c r="U20" s="3"/>
    </row>
    <row r="21" spans="1:21" x14ac:dyDescent="0.25">
      <c r="A21" s="3">
        <v>1000</v>
      </c>
      <c r="B21" s="3">
        <v>-2.3709999999999998E-6</v>
      </c>
      <c r="C21" s="3">
        <v>4.2220000000000002E-4</v>
      </c>
      <c r="D21" s="3">
        <v>-7.3499999999999998E-4</v>
      </c>
      <c r="E21" s="3">
        <v>0</v>
      </c>
      <c r="F21" s="3">
        <v>0</v>
      </c>
      <c r="G21" s="3">
        <v>0</v>
      </c>
      <c r="H21" s="3">
        <v>2.0529730999999999E-4</v>
      </c>
      <c r="I21" s="3">
        <v>5.0865207000000001E-5</v>
      </c>
      <c r="J21" s="3">
        <v>-4.6790828000000003E-4</v>
      </c>
      <c r="K21" s="2"/>
      <c r="L21" s="3"/>
      <c r="M21" s="3"/>
      <c r="N21" s="2">
        <f>IF('Modell einstellen'!$B$1="Voll",H21/0.35,H21/0.35*2)</f>
        <v>5.8656374285714289E-4</v>
      </c>
      <c r="O21" s="2">
        <f>IF('Modell einstellen'!$B$1="Voll",J21/0.35,J21/0.35*2)</f>
        <v>-1.3368808000000002E-3</v>
      </c>
      <c r="P21" s="3">
        <f t="shared" si="0"/>
        <v>0.43875545438093122</v>
      </c>
      <c r="Q21" s="3"/>
      <c r="R21" s="3"/>
      <c r="S21" s="3"/>
      <c r="T21" s="3"/>
      <c r="U21" s="3"/>
    </row>
    <row r="22" spans="1:21" x14ac:dyDescent="0.25">
      <c r="A22" s="3">
        <v>10000</v>
      </c>
      <c r="B22" s="3">
        <v>-2.016E-5</v>
      </c>
      <c r="C22" s="3">
        <v>4.7869999999999998E-4</v>
      </c>
      <c r="D22" s="3">
        <v>-7.7189999999999995E-4</v>
      </c>
      <c r="E22" s="3">
        <v>0</v>
      </c>
      <c r="F22" s="3">
        <v>0</v>
      </c>
      <c r="G22" s="3">
        <v>0</v>
      </c>
      <c r="H22" s="3">
        <v>2.2144972E-4</v>
      </c>
      <c r="I22" s="3">
        <v>5.8652481999999999E-5</v>
      </c>
      <c r="J22" s="3">
        <v>-5.1074701000000005E-4</v>
      </c>
      <c r="K22" s="2"/>
      <c r="L22" s="3"/>
      <c r="M22" s="3"/>
      <c r="N22" s="2">
        <f>IF('Modell einstellen'!$B$1="Voll",H22/0.35,H22/0.35*2)</f>
        <v>6.3271348571428577E-4</v>
      </c>
      <c r="O22" s="2">
        <f>IF('Modell einstellen'!$B$1="Voll",J22/0.35,J22/0.35*2)</f>
        <v>-1.4592771714285716E-3</v>
      </c>
      <c r="P22" s="3">
        <f t="shared" si="0"/>
        <v>0.43358006148680145</v>
      </c>
      <c r="Q22" s="3"/>
      <c r="R22" s="3"/>
      <c r="S22" s="3"/>
      <c r="T22" s="3"/>
      <c r="U22" s="3"/>
    </row>
    <row r="23" spans="1:21" x14ac:dyDescent="0.25">
      <c r="A23" s="3">
        <v>100000</v>
      </c>
      <c r="B23" s="3">
        <v>-5.151E-5</v>
      </c>
      <c r="C23" s="3">
        <v>5.3629999999999997E-4</v>
      </c>
      <c r="D23" s="3">
        <v>-7.984E-4</v>
      </c>
      <c r="E23" s="3">
        <v>0</v>
      </c>
      <c r="F23" s="3">
        <v>0</v>
      </c>
      <c r="G23" s="3">
        <v>0</v>
      </c>
      <c r="H23" s="3">
        <v>2.4296281000000001E-4</v>
      </c>
      <c r="I23" s="3">
        <v>6.6990754000000003E-5</v>
      </c>
      <c r="J23" s="3">
        <v>-5.6148682000000001E-4</v>
      </c>
      <c r="K23" s="2"/>
      <c r="L23" s="3"/>
      <c r="M23" s="3"/>
      <c r="N23" s="2">
        <f>IF('Modell einstellen'!$B$1="Voll",H23/0.35,H23/0.35*2)</f>
        <v>6.9417945714285727E-4</v>
      </c>
      <c r="O23" s="2">
        <f>IF('Modell einstellen'!$B$1="Voll",J23/0.35,J23/0.35*2)</f>
        <v>-1.6042480571428572E-3</v>
      </c>
      <c r="P23" s="3">
        <f t="shared" si="0"/>
        <v>0.4327132914713831</v>
      </c>
      <c r="Q23" s="3"/>
      <c r="R23" s="3"/>
      <c r="S23" s="3"/>
      <c r="T23" s="3"/>
      <c r="U23" s="3"/>
    </row>
    <row r="24" spans="1:21" x14ac:dyDescent="0.25">
      <c r="A24" s="3">
        <v>1000000</v>
      </c>
      <c r="B24" s="3">
        <v>-1.07E-4</v>
      </c>
      <c r="C24" s="3">
        <v>6.0070000000000002E-4</v>
      </c>
      <c r="D24" s="3">
        <v>-8.095E-4</v>
      </c>
      <c r="E24" s="3">
        <v>0</v>
      </c>
      <c r="F24" s="3">
        <v>0</v>
      </c>
      <c r="G24" s="3">
        <v>0</v>
      </c>
      <c r="H24" s="3">
        <v>2.7315725999999999E-4</v>
      </c>
      <c r="I24" s="3">
        <v>7.6793605000000003E-5</v>
      </c>
      <c r="J24" s="3">
        <v>-6.2670415999999997E-4</v>
      </c>
      <c r="K24" s="2"/>
      <c r="L24" s="3"/>
      <c r="M24" s="3"/>
      <c r="N24" s="2">
        <f>IF('Modell einstellen'!$B$1="Voll",H24/0.35,H24/0.35*2)</f>
        <v>7.8044931428571432E-4</v>
      </c>
      <c r="O24" s="2">
        <f>IF('Modell einstellen'!$B$1="Voll",J24/0.35,J24/0.35*2)</f>
        <v>-1.7905833142857143E-3</v>
      </c>
      <c r="P24" s="3">
        <f t="shared" si="0"/>
        <v>0.43586316708030148</v>
      </c>
      <c r="Q24" s="3"/>
      <c r="R24" s="3"/>
      <c r="S24" s="3"/>
      <c r="T24" s="3"/>
      <c r="U24" s="3"/>
    </row>
    <row r="25" spans="1:21" x14ac:dyDescent="0.25">
      <c r="A25" s="3">
        <v>10000000</v>
      </c>
      <c r="B25" s="3">
        <v>-2.0550000000000001E-4</v>
      </c>
      <c r="C25" s="3">
        <v>6.8059999999999996E-4</v>
      </c>
      <c r="D25" s="3">
        <v>-7.9500000000000003E-4</v>
      </c>
      <c r="E25" s="3">
        <v>0</v>
      </c>
      <c r="F25" s="3">
        <v>0</v>
      </c>
      <c r="G25" s="3">
        <v>0</v>
      </c>
      <c r="H25" s="3">
        <v>3.1716181000000001E-4</v>
      </c>
      <c r="I25" s="3">
        <v>8.9581983999999993E-5</v>
      </c>
      <c r="J25" s="3">
        <v>-7.1692920000000001E-4</v>
      </c>
      <c r="K25" s="2"/>
      <c r="L25" s="3"/>
      <c r="M25" s="3"/>
      <c r="N25" s="2">
        <f>IF('Modell einstellen'!$B$1="Voll",H25/0.35,H25/0.35*2)</f>
        <v>9.0617660000000006E-4</v>
      </c>
      <c r="O25" s="2">
        <f>IF('Modell einstellen'!$B$1="Voll",J25/0.35,J25/0.35*2)</f>
        <v>-2.0483691428571432E-3</v>
      </c>
      <c r="P25" s="3">
        <f t="shared" si="0"/>
        <v>0.44238930427160728</v>
      </c>
      <c r="Q25" s="3"/>
      <c r="R25" s="3"/>
      <c r="S25" s="3"/>
      <c r="T25" s="3"/>
      <c r="U25" s="3"/>
    </row>
    <row r="26" spans="1:21" x14ac:dyDescent="0.25">
      <c r="A26" s="3">
        <v>100000000</v>
      </c>
      <c r="B26" s="3">
        <v>-3.9320000000000002E-4</v>
      </c>
      <c r="C26" s="3">
        <v>7.9500000000000003E-4</v>
      </c>
      <c r="D26" s="3">
        <v>-7.2760000000000001E-4</v>
      </c>
      <c r="E26" s="3">
        <v>0</v>
      </c>
      <c r="F26" s="3">
        <v>0</v>
      </c>
      <c r="G26" s="3">
        <v>0</v>
      </c>
      <c r="H26" s="3">
        <v>3.8806608000000001E-4</v>
      </c>
      <c r="I26" s="3">
        <v>1.0878164E-4</v>
      </c>
      <c r="J26" s="3">
        <v>-8.5761142000000004E-4</v>
      </c>
      <c r="K26" s="2"/>
      <c r="L26" s="3"/>
      <c r="M26" s="3"/>
      <c r="N26" s="2">
        <f>IF('Modell einstellen'!$B$1="Voll",H26/0.35,H26/0.35*2)</f>
        <v>1.1087602285714286E-3</v>
      </c>
      <c r="O26" s="2">
        <f>IF('Modell einstellen'!$B$1="Voll",J26/0.35,J26/0.35*2)</f>
        <v>-2.4503183428571432E-3</v>
      </c>
      <c r="P26" s="3">
        <f t="shared" si="0"/>
        <v>0.45249639982639217</v>
      </c>
      <c r="Q26" s="3"/>
      <c r="R26" s="3"/>
      <c r="S26" s="3"/>
      <c r="T26" s="3"/>
      <c r="U26" s="3"/>
    </row>
    <row r="27" spans="1:21" x14ac:dyDescent="0.25">
      <c r="A27" s="3">
        <v>1000000000</v>
      </c>
      <c r="B27" s="3">
        <v>-7.6040000000000005E-4</v>
      </c>
      <c r="C27" s="3">
        <v>9.7280000000000001E-4</v>
      </c>
      <c r="D27" s="3">
        <v>-5.4580000000000004E-4</v>
      </c>
      <c r="E27" s="3">
        <v>0</v>
      </c>
      <c r="F27" s="3">
        <v>0</v>
      </c>
      <c r="G27" s="3">
        <v>0</v>
      </c>
      <c r="H27" s="3">
        <v>5.0989274000000004E-4</v>
      </c>
      <c r="I27" s="3">
        <v>1.4013065000000001E-4</v>
      </c>
      <c r="J27" s="3">
        <v>-1.0934899000000001E-3</v>
      </c>
      <c r="K27" s="2"/>
      <c r="L27" s="3"/>
      <c r="M27" s="3"/>
      <c r="N27" s="2">
        <f>IF('Modell einstellen'!$B$1="Voll",H27/0.35,H27/0.35*2)</f>
        <v>1.4568364000000001E-3</v>
      </c>
      <c r="O27" s="2">
        <f>IF('Modell einstellen'!$B$1="Voll",J27/0.35,J27/0.35*2)</f>
        <v>-3.1242568571428577E-3</v>
      </c>
      <c r="P27" s="3">
        <f t="shared" si="0"/>
        <v>0.46629853645653235</v>
      </c>
      <c r="Q27" s="3"/>
      <c r="R27" s="3"/>
      <c r="S27" s="3"/>
      <c r="T27" s="3"/>
      <c r="U27" s="3"/>
    </row>
    <row r="28" spans="1:21" x14ac:dyDescent="0.25">
      <c r="A28" s="3">
        <v>10000000000</v>
      </c>
      <c r="B28" s="3">
        <v>-1.456E-3</v>
      </c>
      <c r="C28" s="3">
        <v>1.2520000000000001E-3</v>
      </c>
      <c r="D28" s="3">
        <v>-1.383E-4</v>
      </c>
      <c r="E28" s="3">
        <v>0</v>
      </c>
      <c r="F28" s="3">
        <v>0</v>
      </c>
      <c r="G28" s="3">
        <v>0</v>
      </c>
      <c r="H28" s="3">
        <v>7.2106826999999995E-4</v>
      </c>
      <c r="I28" s="3">
        <v>1.9186776E-4</v>
      </c>
      <c r="J28" s="3">
        <v>-1.4925668999999999E-3</v>
      </c>
      <c r="K28" s="2"/>
      <c r="L28" s="3"/>
      <c r="M28" s="3"/>
      <c r="N28" s="2">
        <f>IF('Modell einstellen'!$B$1="Voll",H28/0.35,H28/0.35*2)</f>
        <v>2.0601950571428572E-3</v>
      </c>
      <c r="O28" s="2">
        <f>IF('Modell einstellen'!$B$1="Voll",J28/0.35,J28/0.35*2)</f>
        <v>-4.2644768571428572E-3</v>
      </c>
      <c r="P28" s="3">
        <f t="shared" si="0"/>
        <v>0.48310616428650532</v>
      </c>
      <c r="Q28" s="3"/>
      <c r="R28" s="3"/>
      <c r="S28" s="3"/>
      <c r="T28" s="3"/>
      <c r="U28" s="3"/>
    </row>
    <row r="29" spans="1:21" x14ac:dyDescent="0.25">
      <c r="A29" s="3">
        <v>100000000000</v>
      </c>
      <c r="B29" s="3">
        <v>-2.6020000000000001E-3</v>
      </c>
      <c r="C29" s="3">
        <v>1.6590000000000001E-3</v>
      </c>
      <c r="D29" s="3">
        <v>5.9520000000000005E-4</v>
      </c>
      <c r="E29" s="3">
        <v>0</v>
      </c>
      <c r="F29" s="3">
        <v>0</v>
      </c>
      <c r="G29" s="3">
        <v>0</v>
      </c>
      <c r="H29" s="3">
        <v>1.0517363E-3</v>
      </c>
      <c r="I29" s="3">
        <v>2.6966231E-4</v>
      </c>
      <c r="J29" s="3">
        <v>-2.1045885999999999E-3</v>
      </c>
      <c r="K29" s="2"/>
      <c r="L29" s="3"/>
      <c r="M29" s="3"/>
      <c r="N29" s="2">
        <f>IF('Modell einstellen'!$B$1="Voll",H29/0.35,H29/0.35*2)</f>
        <v>3.0049608571428577E-3</v>
      </c>
      <c r="O29" s="2">
        <f>IF('Modell einstellen'!$B$1="Voll",J29/0.35,J29/0.35*2)</f>
        <v>-6.0131102857142859E-3</v>
      </c>
      <c r="P29" s="3">
        <f t="shared" si="0"/>
        <v>0.49973486504678405</v>
      </c>
      <c r="Q29" s="3"/>
      <c r="R29" s="3"/>
      <c r="S29" s="3"/>
      <c r="T29" s="3"/>
      <c r="U29" s="3"/>
    </row>
    <row r="30" spans="1:21" x14ac:dyDescent="0.25">
      <c r="A30" s="3">
        <v>1000000000000</v>
      </c>
      <c r="B30" s="3">
        <v>-4.104E-3</v>
      </c>
      <c r="C30" s="3">
        <v>2.1549999999999998E-3</v>
      </c>
      <c r="D30" s="3">
        <v>1.596E-3</v>
      </c>
      <c r="E30" s="3">
        <v>0</v>
      </c>
      <c r="F30" s="3">
        <v>0</v>
      </c>
      <c r="G30" s="3">
        <v>0</v>
      </c>
      <c r="H30" s="3">
        <v>1.4743038E-3</v>
      </c>
      <c r="I30" s="3">
        <v>3.6663861999999998E-4</v>
      </c>
      <c r="J30" s="3">
        <v>-2.8756528000000001E-3</v>
      </c>
      <c r="K30" s="2"/>
      <c r="L30" s="3"/>
      <c r="M30" s="3"/>
      <c r="N30" s="2">
        <f>IF('Modell einstellen'!$B$1="Voll",H30/0.35,H30/0.35*2)</f>
        <v>4.2122965714285719E-3</v>
      </c>
      <c r="O30" s="2">
        <f>IF('Modell einstellen'!$B$1="Voll",J30/0.35,J30/0.35*2)</f>
        <v>-8.2161508571428586E-3</v>
      </c>
      <c r="P30" s="3">
        <f t="shared" si="0"/>
        <v>0.51268491105741276</v>
      </c>
      <c r="Q30" s="3"/>
      <c r="R30" s="3"/>
      <c r="S30" s="3"/>
      <c r="T30" s="3"/>
      <c r="U30" s="3"/>
    </row>
    <row r="31" spans="1:21" x14ac:dyDescent="0.25">
      <c r="A31" s="3">
        <v>10000000000000</v>
      </c>
      <c r="B31" s="3">
        <v>-5.4539999999999996E-3</v>
      </c>
      <c r="C31" s="3">
        <v>2.5899999999999999E-3</v>
      </c>
      <c r="D31" s="3">
        <v>2.5100000000000001E-3</v>
      </c>
      <c r="E31" s="3">
        <v>0</v>
      </c>
      <c r="F31" s="3">
        <v>0</v>
      </c>
      <c r="G31" s="3">
        <v>0</v>
      </c>
      <c r="H31" s="3">
        <v>1.850771E-3</v>
      </c>
      <c r="I31" s="3">
        <v>4.5246441000000001E-4</v>
      </c>
      <c r="J31" s="3">
        <v>-3.5584189000000001E-3</v>
      </c>
      <c r="K31" s="2"/>
      <c r="L31" s="3"/>
      <c r="M31" s="3"/>
      <c r="N31" s="2">
        <f>IF('Modell einstellen'!$B$1="Voll",H31/0.35,H31/0.35*2)</f>
        <v>5.2879171428571433E-3</v>
      </c>
      <c r="O31" s="2">
        <f>IF('Modell einstellen'!$B$1="Voll",J31/0.35,J31/0.35*2)</f>
        <v>-1.0166911142857143E-2</v>
      </c>
      <c r="P31" s="3">
        <f t="shared" si="0"/>
        <v>0.52011049064515702</v>
      </c>
      <c r="Q31" s="3"/>
      <c r="R31" s="3"/>
      <c r="S31" s="3"/>
      <c r="T31" s="3"/>
      <c r="U31" s="3"/>
    </row>
    <row r="32" spans="1:21" x14ac:dyDescent="0.25">
      <c r="A32" s="3">
        <v>100000000000000</v>
      </c>
      <c r="B32" s="3">
        <v>-6.4070000000000004E-3</v>
      </c>
      <c r="C32" s="3">
        <v>2.895E-3</v>
      </c>
      <c r="D32" s="3">
        <v>3.156E-3</v>
      </c>
      <c r="E32" s="3">
        <v>0</v>
      </c>
      <c r="F32" s="3">
        <v>0</v>
      </c>
      <c r="G32" s="3">
        <v>0</v>
      </c>
      <c r="H32" s="3">
        <v>2.1157562E-3</v>
      </c>
      <c r="I32" s="3">
        <v>5.1309623000000005E-4</v>
      </c>
      <c r="J32" s="3">
        <v>-4.0386012999999998E-3</v>
      </c>
      <c r="K32" s="2"/>
      <c r="L32" s="3"/>
      <c r="M32" s="3"/>
      <c r="N32" s="2">
        <f>IF('Modell einstellen'!$B$1="Voll",H32/0.35,H32/0.35*2)</f>
        <v>6.0450177142857145E-3</v>
      </c>
      <c r="O32" s="2">
        <f>IF('Modell einstellen'!$B$1="Voll",J32/0.35,J32/0.35*2)</f>
        <v>-1.1538860857142858E-2</v>
      </c>
      <c r="P32" s="3">
        <f t="shared" si="0"/>
        <v>0.52388340488079377</v>
      </c>
      <c r="Q32" s="3"/>
      <c r="R32" s="3"/>
      <c r="S32" s="3"/>
      <c r="T32" s="3"/>
      <c r="U32" s="3"/>
    </row>
    <row r="33" spans="1:21" x14ac:dyDescent="0.25">
      <c r="A33" s="2">
        <v>1000000000000000</v>
      </c>
      <c r="B33" s="3">
        <v>-6.9820000000000004E-3</v>
      </c>
      <c r="C33" s="3">
        <v>3.0799999999999998E-3</v>
      </c>
      <c r="D33" s="3">
        <v>3.5460000000000001E-3</v>
      </c>
      <c r="E33" s="3">
        <v>0</v>
      </c>
      <c r="F33" s="3">
        <v>0</v>
      </c>
      <c r="G33" s="3">
        <v>0</v>
      </c>
      <c r="H33" s="3">
        <v>2.2760048000000001E-3</v>
      </c>
      <c r="I33" s="3">
        <v>5.5006200000000003E-4</v>
      </c>
      <c r="J33" s="3">
        <v>-4.3295809999999999E-3</v>
      </c>
      <c r="K33" s="2"/>
      <c r="L33" s="3"/>
      <c r="M33" s="3"/>
      <c r="N33" s="2">
        <f>IF('Modell einstellen'!$B$1="Voll",H33/0.35,H33/0.35*2)</f>
        <v>6.5028708571428576E-3</v>
      </c>
      <c r="O33" s="2">
        <f>IF('Modell einstellen'!$B$1="Voll",J33/0.35,J33/0.35*2)</f>
        <v>-1.2370231428571429E-2</v>
      </c>
      <c r="P33" s="3">
        <f t="shared" si="0"/>
        <v>0.52568708149818655</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8.9480000000000004E-5</v>
      </c>
      <c r="C3" s="3">
        <v>2.2489999999999999E-4</v>
      </c>
      <c r="D3" s="3">
        <v>-6.1309999999999999E-4</v>
      </c>
      <c r="E3" s="3">
        <v>0</v>
      </c>
      <c r="F3" s="3">
        <v>0</v>
      </c>
      <c r="G3" s="3">
        <v>0</v>
      </c>
      <c r="H3" s="3">
        <v>1.0767679E-4</v>
      </c>
      <c r="I3" s="3">
        <v>2.4639439E-5</v>
      </c>
      <c r="J3" s="3">
        <v>-2.7554017999999999E-4</v>
      </c>
      <c r="L3" s="3">
        <f>-B3/D3</f>
        <v>0.14594682759745556</v>
      </c>
      <c r="M3" s="3"/>
      <c r="N3" s="2">
        <f>IF('Modell einstellen'!$B$1="Voll",H3/0.35,H3/0.35*2)</f>
        <v>3.0764797142857146E-4</v>
      </c>
      <c r="O3" s="2">
        <f>IF('Modell einstellen'!$B$1="Voll",J3/0.35,J3/0.35*2)</f>
        <v>-7.8725765714285714E-4</v>
      </c>
      <c r="P3" s="3">
        <f>-N3/O3</f>
        <v>0.39078434949124302</v>
      </c>
    </row>
    <row r="4" spans="1:16" x14ac:dyDescent="0.25">
      <c r="A4" s="3">
        <v>1E-14</v>
      </c>
      <c r="B4" s="3">
        <v>8.5550000000000006E-5</v>
      </c>
      <c r="C4" s="3">
        <v>2.3340000000000001E-4</v>
      </c>
      <c r="D4" s="3">
        <v>-6.2069999999999996E-4</v>
      </c>
      <c r="E4" s="3">
        <v>0</v>
      </c>
      <c r="F4" s="3">
        <v>0</v>
      </c>
      <c r="G4" s="3">
        <v>0</v>
      </c>
      <c r="H4" s="3">
        <v>1.141744E-4</v>
      </c>
      <c r="I4" s="3">
        <v>2.5720950999999999E-5</v>
      </c>
      <c r="J4" s="3">
        <v>-2.8647404E-4</v>
      </c>
      <c r="L4" s="3">
        <f t="shared" ref="L4:L33" si="0">-B4/D4</f>
        <v>0.13782825841791527</v>
      </c>
      <c r="M4" s="3"/>
      <c r="N4" s="2">
        <f>IF('Modell einstellen'!$B$1="Voll",H4/0.35,H4/0.35*2)</f>
        <v>3.2621257142857144E-4</v>
      </c>
      <c r="O4" s="2">
        <f>IF('Modell einstellen'!$B$1="Voll",J4/0.35,J4/0.35*2)</f>
        <v>-8.184972571428572E-4</v>
      </c>
      <c r="P4" s="3">
        <f t="shared" ref="P4:P33" si="1">-N4/O4</f>
        <v>0.3985505981624024</v>
      </c>
    </row>
    <row r="5" spans="1:16" x14ac:dyDescent="0.25">
      <c r="A5" s="3">
        <v>1E-13</v>
      </c>
      <c r="B5" s="3">
        <v>8.1500000000000002E-5</v>
      </c>
      <c r="C5" s="3">
        <v>2.4030000000000001E-4</v>
      </c>
      <c r="D5" s="3">
        <v>-6.2600000000000004E-4</v>
      </c>
      <c r="E5" s="3">
        <v>0</v>
      </c>
      <c r="F5" s="3">
        <v>0</v>
      </c>
      <c r="G5" s="3">
        <v>0</v>
      </c>
      <c r="H5" s="3">
        <v>1.1976431E-4</v>
      </c>
      <c r="I5" s="3">
        <v>2.6618034000000001E-5</v>
      </c>
      <c r="J5" s="3">
        <v>-2.9574023999999997E-4</v>
      </c>
      <c r="L5" s="3">
        <f t="shared" si="0"/>
        <v>0.13019169329073482</v>
      </c>
      <c r="M5" s="3"/>
      <c r="N5" s="2">
        <f>IF('Modell einstellen'!$B$1="Voll",H5/0.35,H5/0.35*2)</f>
        <v>3.4218374285714285E-4</v>
      </c>
      <c r="O5" s="2">
        <f>IF('Modell einstellen'!$B$1="Voll",J5/0.35,J5/0.35*2)</f>
        <v>-8.4497211428571429E-4</v>
      </c>
      <c r="P5" s="3">
        <f t="shared" si="1"/>
        <v>0.40496453915097924</v>
      </c>
    </row>
    <row r="6" spans="1:16" x14ac:dyDescent="0.25">
      <c r="A6" s="3">
        <v>9.9999999999999998E-13</v>
      </c>
      <c r="B6" s="3">
        <v>7.5859999999999995E-5</v>
      </c>
      <c r="C6" s="3">
        <v>2.4850000000000002E-4</v>
      </c>
      <c r="D6" s="3">
        <v>-6.3139999999999995E-4</v>
      </c>
      <c r="E6" s="3">
        <v>0</v>
      </c>
      <c r="F6" s="3">
        <v>0</v>
      </c>
      <c r="G6" s="3">
        <v>0</v>
      </c>
      <c r="H6" s="3">
        <v>1.2666563000000001E-4</v>
      </c>
      <c r="I6" s="3">
        <v>2.7689583E-5</v>
      </c>
      <c r="J6" s="3">
        <v>-3.0702692999999998E-4</v>
      </c>
      <c r="L6" s="3">
        <f t="shared" si="0"/>
        <v>0.120145707950586</v>
      </c>
      <c r="M6" s="3"/>
      <c r="N6" s="2">
        <f>IF('Modell einstellen'!$B$1="Voll",H6/0.35,H6/0.35*2)</f>
        <v>3.6190180000000003E-4</v>
      </c>
      <c r="O6" s="2">
        <f>IF('Modell einstellen'!$B$1="Voll",J6/0.35,J6/0.35*2)</f>
        <v>-8.7721979999999999E-4</v>
      </c>
      <c r="P6" s="3">
        <f t="shared" si="1"/>
        <v>0.41255543935510808</v>
      </c>
    </row>
    <row r="7" spans="1:16" x14ac:dyDescent="0.25">
      <c r="A7" s="3">
        <v>9.9999999999999994E-12</v>
      </c>
      <c r="B7" s="3">
        <v>6.7420000000000002E-5</v>
      </c>
      <c r="C7" s="3">
        <v>2.5849999999999999E-4</v>
      </c>
      <c r="D7" s="3">
        <v>-6.3659999999999997E-4</v>
      </c>
      <c r="E7" s="3">
        <v>0</v>
      </c>
      <c r="F7" s="3">
        <v>0</v>
      </c>
      <c r="G7" s="3">
        <v>0</v>
      </c>
      <c r="H7" s="3">
        <v>1.3571237E-4</v>
      </c>
      <c r="I7" s="3">
        <v>2.9033547000000001E-5</v>
      </c>
      <c r="J7" s="3">
        <v>-3.2156691000000001E-4</v>
      </c>
      <c r="L7" s="3">
        <f t="shared" si="0"/>
        <v>0.10590637763116557</v>
      </c>
      <c r="M7" s="3"/>
      <c r="N7" s="2">
        <f>IF('Modell einstellen'!$B$1="Voll",H7/0.35,H7/0.35*2)</f>
        <v>3.8774962857142858E-4</v>
      </c>
      <c r="O7" s="2">
        <f>IF('Modell einstellen'!$B$1="Voll",J7/0.35,J7/0.35*2)</f>
        <v>-9.1876260000000015E-4</v>
      </c>
      <c r="P7" s="3">
        <f t="shared" si="1"/>
        <v>0.42203462414711757</v>
      </c>
    </row>
    <row r="8" spans="1:16" x14ac:dyDescent="0.25">
      <c r="A8" s="3">
        <v>1E-10</v>
      </c>
      <c r="B8" s="3">
        <v>5.6570000000000002E-5</v>
      </c>
      <c r="C8" s="3">
        <v>2.6889999999999998E-4</v>
      </c>
      <c r="D8" s="3">
        <v>-6.3980000000000005E-4</v>
      </c>
      <c r="E8" s="3">
        <v>0</v>
      </c>
      <c r="F8" s="3">
        <v>0</v>
      </c>
      <c r="G8" s="3">
        <v>0</v>
      </c>
      <c r="H8" s="3">
        <v>1.4586214999999999E-4</v>
      </c>
      <c r="I8" s="3">
        <v>3.0460372000000001E-5</v>
      </c>
      <c r="J8" s="3">
        <v>-3.3754200999999999E-4</v>
      </c>
      <c r="L8" s="3">
        <f t="shared" si="0"/>
        <v>8.8418255704907786E-2</v>
      </c>
      <c r="M8" s="3"/>
      <c r="N8" s="2">
        <f>IF('Modell einstellen'!$B$1="Voll",H8/0.35,H8/0.35*2)</f>
        <v>4.16749E-4</v>
      </c>
      <c r="O8" s="2">
        <f>IF('Modell einstellen'!$B$1="Voll",J8/0.35,J8/0.35*2)</f>
        <v>-9.6440574285714287E-4</v>
      </c>
      <c r="P8" s="3">
        <f t="shared" si="1"/>
        <v>0.43213035912181719</v>
      </c>
    </row>
    <row r="9" spans="1:16" x14ac:dyDescent="0.25">
      <c r="A9" s="3">
        <v>1.0000000000000001E-9</v>
      </c>
      <c r="B9" s="3">
        <v>4.5170000000000003E-5</v>
      </c>
      <c r="C9" s="3">
        <v>2.7799999999999998E-4</v>
      </c>
      <c r="D9" s="3">
        <v>-6.4070000000000002E-4</v>
      </c>
      <c r="E9" s="3">
        <v>0</v>
      </c>
      <c r="F9" s="3">
        <v>0</v>
      </c>
      <c r="G9" s="3">
        <v>0</v>
      </c>
      <c r="H9" s="3">
        <v>1.5543455E-4</v>
      </c>
      <c r="I9" s="3">
        <v>3.1733707999999999E-5</v>
      </c>
      <c r="J9" s="3">
        <v>-3.5230879E-4</v>
      </c>
      <c r="L9" s="3">
        <f t="shared" si="0"/>
        <v>7.0501014515373814E-2</v>
      </c>
      <c r="M9" s="3"/>
      <c r="N9" s="2">
        <f>IF('Modell einstellen'!$B$1="Voll",H9/0.35,H9/0.35*2)</f>
        <v>4.4409871428571432E-4</v>
      </c>
      <c r="O9" s="2">
        <f>IF('Modell einstellen'!$B$1="Voll",J9/0.35,J9/0.35*2)</f>
        <v>-1.0065965428571429E-3</v>
      </c>
      <c r="P9" s="3">
        <f t="shared" si="1"/>
        <v>0.44118839612261734</v>
      </c>
    </row>
    <row r="10" spans="1:16" x14ac:dyDescent="0.25">
      <c r="A10" s="3">
        <v>1E-8</v>
      </c>
      <c r="B10" s="3">
        <v>3.2280000000000003E-5</v>
      </c>
      <c r="C10" s="3">
        <v>2.8689999999999998E-4</v>
      </c>
      <c r="D10" s="3">
        <v>-6.399E-4</v>
      </c>
      <c r="E10" s="3">
        <v>0</v>
      </c>
      <c r="F10" s="3">
        <v>0</v>
      </c>
      <c r="G10" s="3">
        <v>0</v>
      </c>
      <c r="H10" s="3">
        <v>1.6545302999999999E-4</v>
      </c>
      <c r="I10" s="3">
        <v>3.3004379999999997E-5</v>
      </c>
      <c r="J10" s="3">
        <v>-3.6750850999999997E-4</v>
      </c>
      <c r="L10" s="3">
        <f t="shared" si="0"/>
        <v>5.0445382090951715E-2</v>
      </c>
      <c r="M10" s="3"/>
      <c r="N10" s="2">
        <f>IF('Modell einstellen'!$B$1="Voll",H10/0.35,H10/0.35*2)</f>
        <v>4.7272294285714286E-4</v>
      </c>
      <c r="O10" s="2">
        <f>IF('Modell einstellen'!$B$1="Voll",J10/0.35,J10/0.35*2)</f>
        <v>-1.0500243142857143E-3</v>
      </c>
      <c r="P10" s="3">
        <f t="shared" si="1"/>
        <v>0.45020190144712569</v>
      </c>
    </row>
    <row r="11" spans="1:16" x14ac:dyDescent="0.25">
      <c r="A11" s="3">
        <v>9.9999999999999995E-8</v>
      </c>
      <c r="B11" s="3">
        <v>1.732E-5</v>
      </c>
      <c r="C11" s="3">
        <v>2.9569999999999998E-4</v>
      </c>
      <c r="D11" s="3">
        <v>-6.3690000000000003E-4</v>
      </c>
      <c r="E11" s="3">
        <v>0</v>
      </c>
      <c r="F11" s="3">
        <v>0</v>
      </c>
      <c r="G11" s="3">
        <v>0</v>
      </c>
      <c r="H11" s="3">
        <v>1.76229E-4</v>
      </c>
      <c r="I11" s="3">
        <v>3.4299867999999999E-5</v>
      </c>
      <c r="J11" s="3">
        <v>-3.8356472000000003E-4</v>
      </c>
      <c r="L11" s="3">
        <f t="shared" si="0"/>
        <v>2.7194222012874861E-2</v>
      </c>
      <c r="M11" s="3"/>
      <c r="N11" s="2">
        <f>IF('Modell einstellen'!$B$1="Voll",H11/0.35,H11/0.35*2)</f>
        <v>5.0351142857142856E-4</v>
      </c>
      <c r="O11" s="2">
        <f>IF('Modell einstellen'!$B$1="Voll",J11/0.35,J11/0.35*2)</f>
        <v>-1.0958992000000001E-3</v>
      </c>
      <c r="P11" s="3">
        <f t="shared" si="1"/>
        <v>0.45945049377846842</v>
      </c>
    </row>
    <row r="12" spans="1:16" x14ac:dyDescent="0.25">
      <c r="A12" s="3">
        <v>9.9999999999999995E-7</v>
      </c>
      <c r="B12" s="3">
        <v>-2.3949999999999999E-7</v>
      </c>
      <c r="C12" s="3">
        <v>3.0479999999999998E-4</v>
      </c>
      <c r="D12" s="3">
        <v>-6.3159999999999996E-4</v>
      </c>
      <c r="E12" s="3">
        <v>0</v>
      </c>
      <c r="F12" s="3">
        <v>0</v>
      </c>
      <c r="G12" s="3">
        <v>0</v>
      </c>
      <c r="H12" s="3">
        <v>1.8809841E-4</v>
      </c>
      <c r="I12" s="3">
        <v>3.5652151000000003E-5</v>
      </c>
      <c r="J12" s="3">
        <v>-4.0094391000000001E-4</v>
      </c>
      <c r="L12" s="3">
        <f t="shared" si="0"/>
        <v>-3.7919569347688413E-4</v>
      </c>
      <c r="M12" s="3"/>
      <c r="N12" s="2">
        <f>IF('Modell einstellen'!$B$1="Voll",H12/0.35,H12/0.35*2)</f>
        <v>5.3742402857142864E-4</v>
      </c>
      <c r="O12" s="2">
        <f>IF('Modell einstellen'!$B$1="Voll",J12/0.35,J12/0.35*2)</f>
        <v>-1.1455540285714287E-3</v>
      </c>
      <c r="P12" s="3">
        <f t="shared" si="1"/>
        <v>0.46913896260451993</v>
      </c>
    </row>
    <row r="13" spans="1:16" x14ac:dyDescent="0.25">
      <c r="A13" s="3">
        <v>1.0000000000000001E-5</v>
      </c>
      <c r="B13" s="3">
        <v>-2.1310000000000001E-5</v>
      </c>
      <c r="C13" s="3">
        <v>3.1409999999999999E-4</v>
      </c>
      <c r="D13" s="3">
        <v>-6.2330000000000003E-4</v>
      </c>
      <c r="E13" s="3">
        <v>0</v>
      </c>
      <c r="F13" s="3">
        <v>0</v>
      </c>
      <c r="G13" s="3">
        <v>0</v>
      </c>
      <c r="H13" s="3">
        <v>2.0149052000000001E-4</v>
      </c>
      <c r="I13" s="3">
        <v>3.7089258000000003E-5</v>
      </c>
      <c r="J13" s="3">
        <v>-4.2018946000000002E-4</v>
      </c>
      <c r="L13" s="3">
        <f t="shared" si="0"/>
        <v>-3.418899406385368E-2</v>
      </c>
      <c r="M13" s="3"/>
      <c r="N13" s="2">
        <f>IF('Modell einstellen'!$B$1="Voll",H13/0.35,H13/0.35*2)</f>
        <v>5.7568720000000003E-4</v>
      </c>
      <c r="O13" s="2">
        <f>IF('Modell einstellen'!$B$1="Voll",J13/0.35,J13/0.35*2)</f>
        <v>-1.2005413142857145E-3</v>
      </c>
      <c r="P13" s="3">
        <f t="shared" si="1"/>
        <v>0.47952302278119963</v>
      </c>
    </row>
    <row r="14" spans="1:16" x14ac:dyDescent="0.25">
      <c r="A14" s="3">
        <v>1E-4</v>
      </c>
      <c r="B14" s="3">
        <v>-4.9539999999999997E-5</v>
      </c>
      <c r="C14" s="3">
        <v>3.2499999999999999E-4</v>
      </c>
      <c r="D14" s="3">
        <v>-6.0979999999999997E-4</v>
      </c>
      <c r="E14" s="3">
        <v>0</v>
      </c>
      <c r="F14" s="3">
        <v>0</v>
      </c>
      <c r="G14" s="3">
        <v>0</v>
      </c>
      <c r="H14" s="3">
        <v>2.1843448E-4</v>
      </c>
      <c r="I14" s="3">
        <v>3.8793720000000002E-5</v>
      </c>
      <c r="J14" s="3">
        <v>-4.4407285999999998E-4</v>
      </c>
      <c r="L14" s="3">
        <f t="shared" si="0"/>
        <v>-8.123975073794687E-2</v>
      </c>
      <c r="M14" s="3"/>
      <c r="N14" s="2">
        <f>IF('Modell einstellen'!$B$1="Voll",H14/0.35,H14/0.35*2)</f>
        <v>6.2409851428571429E-4</v>
      </c>
      <c r="O14" s="2">
        <f>IF('Modell einstellen'!$B$1="Voll",J14/0.35,J14/0.35*2)</f>
        <v>-1.2687796E-3</v>
      </c>
      <c r="P14" s="3">
        <f t="shared" si="1"/>
        <v>0.49188883103551972</v>
      </c>
    </row>
    <row r="15" spans="1:16" x14ac:dyDescent="0.25">
      <c r="A15" s="3">
        <v>1E-3</v>
      </c>
      <c r="B15" s="3">
        <v>-8.8300000000000005E-5</v>
      </c>
      <c r="C15" s="3">
        <v>3.3750000000000002E-4</v>
      </c>
      <c r="D15" s="3">
        <v>-5.8810000000000004E-4</v>
      </c>
      <c r="E15" s="3">
        <v>0</v>
      </c>
      <c r="F15" s="3">
        <v>0</v>
      </c>
      <c r="G15" s="3">
        <v>0</v>
      </c>
      <c r="H15" s="3">
        <v>2.4030760999999999E-4</v>
      </c>
      <c r="I15" s="3">
        <v>4.0828523E-5</v>
      </c>
      <c r="J15" s="3">
        <v>-4.7421623000000002E-4</v>
      </c>
      <c r="L15" s="3">
        <f t="shared" si="0"/>
        <v>-0.15014453324264582</v>
      </c>
      <c r="M15" s="3"/>
      <c r="N15" s="2">
        <f>IF('Modell einstellen'!$B$1="Voll",H15/0.35,H15/0.35*2)</f>
        <v>6.8659317142857142E-4</v>
      </c>
      <c r="O15" s="2">
        <f>IF('Modell einstellen'!$B$1="Voll",J15/0.35,J15/0.35*2)</f>
        <v>-1.3549035142857145E-3</v>
      </c>
      <c r="P15" s="3">
        <f t="shared" si="1"/>
        <v>0.50674691163564767</v>
      </c>
    </row>
    <row r="16" spans="1:16" x14ac:dyDescent="0.25">
      <c r="A16" s="3">
        <v>0.01</v>
      </c>
      <c r="B16" s="3">
        <v>-1.427E-4</v>
      </c>
      <c r="C16" s="3">
        <v>3.5320000000000002E-4</v>
      </c>
      <c r="D16" s="3">
        <v>-5.5440000000000003E-4</v>
      </c>
      <c r="E16" s="3">
        <v>0</v>
      </c>
      <c r="F16" s="3">
        <v>0</v>
      </c>
      <c r="G16" s="3">
        <v>0</v>
      </c>
      <c r="H16" s="3">
        <v>2.6918846999999998E-4</v>
      </c>
      <c r="I16" s="3">
        <v>4.3429354999999998E-5</v>
      </c>
      <c r="J16" s="3">
        <v>-5.1352045999999995E-4</v>
      </c>
      <c r="L16" s="3">
        <f t="shared" si="0"/>
        <v>-0.2573953823953824</v>
      </c>
      <c r="M16" s="3"/>
      <c r="N16" s="2">
        <f>IF('Modell einstellen'!$B$1="Voll",H16/0.35,H16/0.35*2)</f>
        <v>7.6910991428571422E-4</v>
      </c>
      <c r="O16" s="2">
        <f>IF('Modell einstellen'!$B$1="Voll",J16/0.35,J16/0.35*2)</f>
        <v>-1.4672013142857142E-3</v>
      </c>
      <c r="P16" s="3">
        <f t="shared" si="1"/>
        <v>0.52420203471542304</v>
      </c>
    </row>
    <row r="17" spans="1:16" x14ac:dyDescent="0.25">
      <c r="A17" s="3">
        <v>0.1</v>
      </c>
      <c r="B17" s="3">
        <v>-2.2169999999999999E-4</v>
      </c>
      <c r="C17" s="3">
        <v>3.8299999999999999E-4</v>
      </c>
      <c r="D17" s="3">
        <v>-5.0949999999999997E-4</v>
      </c>
      <c r="E17" s="3">
        <v>0</v>
      </c>
      <c r="F17" s="3">
        <v>0</v>
      </c>
      <c r="G17" s="3">
        <v>0</v>
      </c>
      <c r="H17" s="3">
        <v>3.0793632E-4</v>
      </c>
      <c r="I17" s="3">
        <v>4.8153816999999999E-5</v>
      </c>
      <c r="J17" s="3">
        <v>-5.6998905000000004E-4</v>
      </c>
      <c r="L17" s="3">
        <f t="shared" si="0"/>
        <v>-0.43513248282630029</v>
      </c>
      <c r="M17" s="3"/>
      <c r="N17" s="2">
        <f>IF('Modell einstellen'!$B$1="Voll",H17/0.35,H17/0.35*2)</f>
        <v>8.7981805714285716E-4</v>
      </c>
      <c r="O17" s="2">
        <f>IF('Modell einstellen'!$B$1="Voll",J17/0.35,J17/0.35*2)</f>
        <v>-1.6285401428571432E-3</v>
      </c>
      <c r="P17" s="3">
        <f t="shared" si="1"/>
        <v>0.54024953637267237</v>
      </c>
    </row>
    <row r="18" spans="1:16" x14ac:dyDescent="0.25">
      <c r="A18" s="3">
        <v>1</v>
      </c>
      <c r="B18" s="3">
        <v>-3.4509999999999999E-4</v>
      </c>
      <c r="C18" s="3">
        <v>4.5839999999999998E-4</v>
      </c>
      <c r="D18" s="3">
        <v>-4.6270000000000003E-4</v>
      </c>
      <c r="E18" s="3">
        <v>0</v>
      </c>
      <c r="F18" s="3">
        <v>0</v>
      </c>
      <c r="G18" s="3">
        <v>0</v>
      </c>
      <c r="H18" s="3">
        <v>3.6106364E-4</v>
      </c>
      <c r="I18" s="3">
        <v>5.9566929E-5</v>
      </c>
      <c r="J18" s="3">
        <v>-6.6358048000000002E-4</v>
      </c>
      <c r="L18" s="3">
        <f t="shared" si="0"/>
        <v>-0.74583963691376698</v>
      </c>
      <c r="M18" s="3"/>
      <c r="N18" s="2">
        <f>IF('Modell einstellen'!$B$1="Voll",H18/0.35,H18/0.35*2)</f>
        <v>1.0316104E-3</v>
      </c>
      <c r="O18" s="2">
        <f>IF('Modell einstellen'!$B$1="Voll",J18/0.35,J18/0.35*2)</f>
        <v>-1.8959442285714288E-3</v>
      </c>
      <c r="P18" s="3">
        <f t="shared" si="1"/>
        <v>0.54411431752784523</v>
      </c>
    </row>
    <row r="19" spans="1:16" x14ac:dyDescent="0.25">
      <c r="A19" s="3">
        <v>10</v>
      </c>
      <c r="B19" s="3">
        <v>-5.6829999999999999E-4</v>
      </c>
      <c r="C19" s="3">
        <v>5.9290000000000005E-4</v>
      </c>
      <c r="D19" s="3">
        <v>-3.7389999999999998E-4</v>
      </c>
      <c r="E19" s="3">
        <v>0</v>
      </c>
      <c r="F19" s="3">
        <v>0</v>
      </c>
      <c r="G19" s="3">
        <v>0</v>
      </c>
      <c r="H19" s="3">
        <v>4.4424420000000001E-4</v>
      </c>
      <c r="I19" s="3">
        <v>8.0591481000000004E-5</v>
      </c>
      <c r="J19" s="3">
        <v>-8.2112997000000001E-4</v>
      </c>
      <c r="L19" s="3">
        <f t="shared" si="0"/>
        <v>-1.519925113666756</v>
      </c>
      <c r="M19" s="3"/>
      <c r="N19" s="2">
        <f>IF('Modell einstellen'!$B$1="Voll",H19/0.35,H19/0.35*2)</f>
        <v>1.269269142857143E-3</v>
      </c>
      <c r="O19" s="2">
        <f>IF('Modell einstellen'!$B$1="Voll",J19/0.35,J19/0.35*2)</f>
        <v>-2.3460856285714288E-3</v>
      </c>
      <c r="P19" s="3">
        <f t="shared" si="1"/>
        <v>0.54101569328909038</v>
      </c>
    </row>
    <row r="20" spans="1:16" x14ac:dyDescent="0.25">
      <c r="A20" s="3">
        <v>100</v>
      </c>
      <c r="B20" s="3">
        <v>-9.9820000000000009E-4</v>
      </c>
      <c r="C20" s="3">
        <v>7.9370000000000005E-4</v>
      </c>
      <c r="D20" s="3">
        <v>-1.47E-4</v>
      </c>
      <c r="E20" s="3">
        <v>0</v>
      </c>
      <c r="F20" s="3">
        <v>0</v>
      </c>
      <c r="G20" s="3">
        <v>0</v>
      </c>
      <c r="H20" s="3">
        <v>5.8840111E-4</v>
      </c>
      <c r="I20" s="3">
        <v>1.1424421E-4</v>
      </c>
      <c r="J20" s="3">
        <v>-1.0856239000000001E-3</v>
      </c>
      <c r="L20" s="3">
        <f t="shared" si="0"/>
        <v>-6.7904761904761912</v>
      </c>
      <c r="M20" s="3"/>
      <c r="N20" s="2">
        <f>IF('Modell einstellen'!$B$1="Voll",H20/0.35,H20/0.35*2)</f>
        <v>1.6811460285714288E-3</v>
      </c>
      <c r="O20" s="2">
        <f>IF('Modell einstellen'!$B$1="Voll",J20/0.35,J20/0.35*2)</f>
        <v>-3.101782571428572E-3</v>
      </c>
      <c r="P20" s="3">
        <f t="shared" si="1"/>
        <v>0.54199351174932675</v>
      </c>
    </row>
    <row r="21" spans="1:16" x14ac:dyDescent="0.25">
      <c r="A21" s="3">
        <v>1000</v>
      </c>
      <c r="B21" s="3">
        <v>-1.7880000000000001E-3</v>
      </c>
      <c r="C21" s="3">
        <v>1.09E-3</v>
      </c>
      <c r="D21" s="3">
        <v>3.4230000000000003E-4</v>
      </c>
      <c r="E21" s="3">
        <v>0</v>
      </c>
      <c r="F21" s="3">
        <v>0</v>
      </c>
      <c r="G21" s="3">
        <v>0</v>
      </c>
      <c r="H21" s="3">
        <v>8.3254507999999997E-4</v>
      </c>
      <c r="I21" s="3">
        <v>1.6750239E-4</v>
      </c>
      <c r="J21" s="3">
        <v>-1.5211718E-3</v>
      </c>
      <c r="L21" s="3">
        <f t="shared" si="0"/>
        <v>5.2234881682734446</v>
      </c>
      <c r="M21" s="3"/>
      <c r="N21" s="2">
        <f>IF('Modell einstellen'!$B$1="Voll",H21/0.35,H21/0.35*2)</f>
        <v>2.3787002285714288E-3</v>
      </c>
      <c r="O21" s="2">
        <f>IF('Modell einstellen'!$B$1="Voll",J21/0.35,J21/0.35*2)</f>
        <v>-4.3462051428571433E-3</v>
      </c>
      <c r="P21" s="3">
        <f t="shared" si="1"/>
        <v>0.54730509729407284</v>
      </c>
    </row>
    <row r="22" spans="1:16" x14ac:dyDescent="0.25">
      <c r="A22" s="3">
        <v>10000</v>
      </c>
      <c r="B22" s="3">
        <v>-3.0490000000000001E-3</v>
      </c>
      <c r="C22" s="3">
        <v>1.5120000000000001E-3</v>
      </c>
      <c r="D22" s="3">
        <v>1.178E-3</v>
      </c>
      <c r="E22" s="3">
        <v>0</v>
      </c>
      <c r="F22" s="3">
        <v>0</v>
      </c>
      <c r="G22" s="3">
        <v>0</v>
      </c>
      <c r="H22" s="3">
        <v>1.1980509000000001E-3</v>
      </c>
      <c r="I22" s="3">
        <v>2.4658031E-4</v>
      </c>
      <c r="J22" s="3">
        <v>-2.1705987E-3</v>
      </c>
      <c r="L22" s="3">
        <f t="shared" si="0"/>
        <v>2.5882852292020373</v>
      </c>
      <c r="M22" s="3"/>
      <c r="N22" s="2">
        <f>IF('Modell einstellen'!$B$1="Voll",H22/0.35,H22/0.35*2)</f>
        <v>3.4230025714285721E-3</v>
      </c>
      <c r="O22" s="2">
        <f>IF('Modell einstellen'!$B$1="Voll",J22/0.35,J22/0.35*2)</f>
        <v>-6.201710571428572E-3</v>
      </c>
      <c r="P22" s="3">
        <f t="shared" si="1"/>
        <v>0.55194490810300412</v>
      </c>
    </row>
    <row r="23" spans="1:16" x14ac:dyDescent="0.25">
      <c r="A23" s="3">
        <v>100000</v>
      </c>
      <c r="B23" s="3">
        <v>-4.5659999999999997E-3</v>
      </c>
      <c r="C23" s="3">
        <v>2.0209999999999998E-3</v>
      </c>
      <c r="D23" s="3">
        <v>2.1849999999999999E-3</v>
      </c>
      <c r="E23" s="3">
        <v>0</v>
      </c>
      <c r="F23" s="3">
        <v>0</v>
      </c>
      <c r="G23" s="3">
        <v>0</v>
      </c>
      <c r="H23" s="3">
        <v>1.6204476999999999E-3</v>
      </c>
      <c r="I23" s="3">
        <v>3.4435748999999999E-4</v>
      </c>
      <c r="J23" s="3">
        <v>-2.9425991000000002E-3</v>
      </c>
      <c r="L23" s="3">
        <f t="shared" si="0"/>
        <v>2.0897025171624715</v>
      </c>
      <c r="M23" s="3"/>
      <c r="N23" s="2">
        <f>IF('Modell einstellen'!$B$1="Voll",H23/0.35,H23/0.35*2)</f>
        <v>4.6298505714285716E-3</v>
      </c>
      <c r="O23" s="2">
        <f>IF('Modell einstellen'!$B$1="Voll",J23/0.35,J23/0.35*2)</f>
        <v>-8.4074260000000008E-3</v>
      </c>
      <c r="P23" s="3">
        <f t="shared" si="1"/>
        <v>0.55068585455626617</v>
      </c>
    </row>
    <row r="24" spans="1:16" x14ac:dyDescent="0.25">
      <c r="A24" s="3">
        <v>1000000</v>
      </c>
      <c r="B24" s="3">
        <v>-5.8529999999999997E-3</v>
      </c>
      <c r="C24" s="3">
        <v>2.4789999999999999E-3</v>
      </c>
      <c r="D24" s="3">
        <v>3.0140000000000002E-3</v>
      </c>
      <c r="E24" s="3">
        <v>0</v>
      </c>
      <c r="F24" s="3">
        <v>0</v>
      </c>
      <c r="G24" s="3">
        <v>0</v>
      </c>
      <c r="H24" s="3">
        <v>1.9667139E-3</v>
      </c>
      <c r="I24" s="3">
        <v>4.3308908000000001E-4</v>
      </c>
      <c r="J24" s="3">
        <v>-3.6046941999999999E-3</v>
      </c>
      <c r="L24" s="3">
        <f t="shared" si="0"/>
        <v>1.941937624419376</v>
      </c>
      <c r="M24" s="3"/>
      <c r="N24" s="2">
        <f>IF('Modell einstellen'!$B$1="Voll",H24/0.35,H24/0.35*2)</f>
        <v>5.6191825714285715E-3</v>
      </c>
      <c r="O24" s="2">
        <f>IF('Modell einstellen'!$B$1="Voll",J24/0.35,J24/0.35*2)</f>
        <v>-1.0299126285714286E-2</v>
      </c>
      <c r="P24" s="3">
        <f t="shared" si="1"/>
        <v>0.54559798720235408</v>
      </c>
    </row>
    <row r="25" spans="1:16" x14ac:dyDescent="0.25">
      <c r="A25" s="3">
        <v>10000000</v>
      </c>
      <c r="B25" s="3">
        <v>-6.698E-3</v>
      </c>
      <c r="C25" s="3">
        <v>2.8019999999999998E-3</v>
      </c>
      <c r="D25" s="3">
        <v>3.5370000000000002E-3</v>
      </c>
      <c r="E25" s="3">
        <v>0</v>
      </c>
      <c r="F25" s="3">
        <v>0</v>
      </c>
      <c r="G25" s="3">
        <v>0</v>
      </c>
      <c r="H25" s="3">
        <v>2.1862658E-3</v>
      </c>
      <c r="I25" s="3">
        <v>4.9624211000000003E-4</v>
      </c>
      <c r="J25" s="3">
        <v>-4.0483489000000001E-3</v>
      </c>
      <c r="L25" s="3">
        <f t="shared" si="0"/>
        <v>1.8936952219394967</v>
      </c>
      <c r="M25" s="3"/>
      <c r="N25" s="2">
        <f>IF('Modell einstellen'!$B$1="Voll",H25/0.35,H25/0.35*2)</f>
        <v>6.2464737142857146E-3</v>
      </c>
      <c r="O25" s="2">
        <f>IF('Modell einstellen'!$B$1="Voll",J25/0.35,J25/0.35*2)</f>
        <v>-1.1566711142857143E-2</v>
      </c>
      <c r="P25" s="3">
        <f t="shared" si="1"/>
        <v>0.54003887856602484</v>
      </c>
    </row>
    <row r="26" spans="1:16" x14ac:dyDescent="0.25">
      <c r="A26" s="3">
        <v>100000000</v>
      </c>
      <c r="B26" s="3">
        <v>-7.2269999999999999E-3</v>
      </c>
      <c r="C26" s="3">
        <v>3.0300000000000001E-3</v>
      </c>
      <c r="D26" s="3">
        <v>3.839E-3</v>
      </c>
      <c r="E26" s="3">
        <v>0</v>
      </c>
      <c r="F26" s="3">
        <v>0</v>
      </c>
      <c r="G26" s="3">
        <v>0</v>
      </c>
      <c r="H26" s="3">
        <v>2.3267410999999998E-3</v>
      </c>
      <c r="I26" s="3">
        <v>5.4075792999999997E-4</v>
      </c>
      <c r="J26" s="3">
        <v>-4.3465617999999999E-3</v>
      </c>
      <c r="L26" s="3">
        <f t="shared" si="0"/>
        <v>1.8825214899713467</v>
      </c>
      <c r="M26" s="3"/>
      <c r="N26" s="2">
        <f>IF('Modell einstellen'!$B$1="Voll",H26/0.35,H26/0.35*2)</f>
        <v>6.6478317142857138E-3</v>
      </c>
      <c r="O26" s="2">
        <f>IF('Modell einstellen'!$B$1="Voll",J26/0.35,J26/0.35*2)</f>
        <v>-1.2418748E-2</v>
      </c>
      <c r="P26" s="3">
        <f t="shared" si="1"/>
        <v>0.53530611252323612</v>
      </c>
    </row>
    <row r="27" spans="1:16" x14ac:dyDescent="0.25">
      <c r="A27" s="3">
        <v>1000000000</v>
      </c>
      <c r="B27" s="3">
        <v>-7.6080000000000002E-3</v>
      </c>
      <c r="C27" s="3">
        <v>3.186E-3</v>
      </c>
      <c r="D27" s="3">
        <v>4.0639999999999999E-3</v>
      </c>
      <c r="E27" s="3">
        <v>0</v>
      </c>
      <c r="F27" s="3">
        <v>0</v>
      </c>
      <c r="G27" s="3">
        <v>0</v>
      </c>
      <c r="H27" s="3">
        <v>2.4280933999999998E-3</v>
      </c>
      <c r="I27" s="3">
        <v>5.7156882999999999E-4</v>
      </c>
      <c r="J27" s="3">
        <v>-4.5568596999999997E-3</v>
      </c>
      <c r="L27" s="3">
        <f t="shared" si="0"/>
        <v>1.8720472440944882</v>
      </c>
      <c r="M27" s="3"/>
      <c r="N27" s="2">
        <f>IF('Modell einstellen'!$B$1="Voll",H27/0.35,H27/0.35*2)</f>
        <v>6.9374097142857142E-3</v>
      </c>
      <c r="O27" s="2">
        <f>IF('Modell einstellen'!$B$1="Voll",J27/0.35,J27/0.35*2)</f>
        <v>-1.3019599142857143E-2</v>
      </c>
      <c r="P27" s="3">
        <f t="shared" si="1"/>
        <v>0.53284357207662114</v>
      </c>
    </row>
    <row r="28" spans="1:16" x14ac:dyDescent="0.25">
      <c r="A28" s="3">
        <v>10000000000</v>
      </c>
      <c r="B28" s="3">
        <v>-7.7929999999999996E-3</v>
      </c>
      <c r="C28" s="3">
        <v>3.2490000000000002E-3</v>
      </c>
      <c r="D28" s="3">
        <v>4.1859999999999996E-3</v>
      </c>
      <c r="E28" s="3">
        <v>0</v>
      </c>
      <c r="F28" s="3">
        <v>0</v>
      </c>
      <c r="G28" s="3">
        <v>0</v>
      </c>
      <c r="H28" s="3">
        <v>2.4800806000000002E-3</v>
      </c>
      <c r="I28" s="3">
        <v>5.8418499999999998E-4</v>
      </c>
      <c r="J28" s="3">
        <v>-4.6532771000000004E-3</v>
      </c>
      <c r="L28" s="3">
        <f t="shared" si="0"/>
        <v>1.8616817964644052</v>
      </c>
      <c r="M28" s="3"/>
      <c r="N28" s="2">
        <f>IF('Modell einstellen'!$B$1="Voll",H28/0.35,H28/0.35*2)</f>
        <v>7.0859445714285723E-3</v>
      </c>
      <c r="O28" s="2">
        <f>IF('Modell einstellen'!$B$1="Voll",J28/0.35,J28/0.35*2)</f>
        <v>-1.3295077428571431E-2</v>
      </c>
      <c r="P28" s="3">
        <f t="shared" si="1"/>
        <v>0.53297505106669874</v>
      </c>
    </row>
    <row r="29" spans="1:16" x14ac:dyDescent="0.25">
      <c r="A29" s="3">
        <v>100000000000</v>
      </c>
      <c r="B29" s="3">
        <v>-8.1810000000000008E-3</v>
      </c>
      <c r="C29" s="3">
        <v>3.4139999999999999E-3</v>
      </c>
      <c r="D29" s="3">
        <v>4.4099999999999999E-3</v>
      </c>
      <c r="E29" s="3">
        <v>0</v>
      </c>
      <c r="F29" s="3">
        <v>0</v>
      </c>
      <c r="G29" s="3">
        <v>0</v>
      </c>
      <c r="H29" s="3">
        <v>2.5941059000000001E-3</v>
      </c>
      <c r="I29" s="3">
        <v>6.1679126000000004E-4</v>
      </c>
      <c r="J29" s="3">
        <v>-4.8822923000000004E-3</v>
      </c>
      <c r="L29" s="3">
        <f t="shared" si="0"/>
        <v>1.8551020408163268</v>
      </c>
      <c r="M29" s="3"/>
      <c r="N29" s="2">
        <f>IF('Modell einstellen'!$B$1="Voll",H29/0.35,H29/0.35*2)</f>
        <v>7.4117311428571432E-3</v>
      </c>
      <c r="O29" s="2">
        <f>IF('Modell einstellen'!$B$1="Voll",J29/0.35,J29/0.35*2)</f>
        <v>-1.3949406571428574E-2</v>
      </c>
      <c r="P29" s="3">
        <f t="shared" si="1"/>
        <v>0.53132949454910749</v>
      </c>
    </row>
    <row r="30" spans="1:16" x14ac:dyDescent="0.25">
      <c r="A30" s="3">
        <v>1000000000000</v>
      </c>
      <c r="B30" s="3">
        <v>-8.4939999999999998E-3</v>
      </c>
      <c r="C30" s="3">
        <v>3.5249999999999999E-3</v>
      </c>
      <c r="D30" s="3">
        <v>4.6119999999999998E-3</v>
      </c>
      <c r="E30" s="3">
        <v>0</v>
      </c>
      <c r="F30" s="3">
        <v>0</v>
      </c>
      <c r="G30" s="3">
        <v>0</v>
      </c>
      <c r="H30" s="3">
        <v>2.6851302000000001E-3</v>
      </c>
      <c r="I30" s="3">
        <v>6.3918161000000001E-4</v>
      </c>
      <c r="J30" s="3">
        <v>-5.0519794999999996E-3</v>
      </c>
      <c r="L30" s="3">
        <f t="shared" si="0"/>
        <v>1.8417172593235041</v>
      </c>
      <c r="M30" s="3"/>
      <c r="N30" s="2">
        <f>IF('Modell einstellen'!$B$1="Voll",H30/0.35,H30/0.35*2)</f>
        <v>7.6718005714285723E-3</v>
      </c>
      <c r="O30" s="2">
        <f>IF('Modell einstellen'!$B$1="Voll",J30/0.35,J30/0.35*2)</f>
        <v>-1.4434227142857142E-2</v>
      </c>
      <c r="P30" s="3">
        <f t="shared" si="1"/>
        <v>0.53150061277960459</v>
      </c>
    </row>
    <row r="31" spans="1:16" x14ac:dyDescent="0.25">
      <c r="A31" s="3">
        <v>10000000000000</v>
      </c>
      <c r="B31" s="3">
        <v>-8.5339999999999999E-3</v>
      </c>
      <c r="C31" s="3">
        <v>3.5300000000000002E-3</v>
      </c>
      <c r="D31" s="3">
        <v>4.646E-3</v>
      </c>
      <c r="E31" s="3">
        <v>0</v>
      </c>
      <c r="F31" s="3">
        <v>0</v>
      </c>
      <c r="G31" s="3">
        <v>0</v>
      </c>
      <c r="H31" s="3">
        <v>2.699636E-3</v>
      </c>
      <c r="I31" s="3">
        <v>6.4019725999999995E-4</v>
      </c>
      <c r="J31" s="3">
        <v>-5.0699122000000003E-3</v>
      </c>
      <c r="L31" s="3">
        <f t="shared" si="0"/>
        <v>1.8368489022815324</v>
      </c>
      <c r="M31" s="3"/>
      <c r="N31" s="2">
        <f>IF('Modell einstellen'!$B$1="Voll",H31/0.35,H31/0.35*2)</f>
        <v>7.7132457142857153E-3</v>
      </c>
      <c r="O31" s="2">
        <f>IF('Modell einstellen'!$B$1="Voll",J31/0.35,J31/0.35*2)</f>
        <v>-1.4485463428571431E-2</v>
      </c>
      <c r="P31" s="3">
        <f t="shared" si="1"/>
        <v>0.53248180510897214</v>
      </c>
    </row>
    <row r="32" spans="1:16" x14ac:dyDescent="0.25">
      <c r="A32" s="3">
        <v>100000000000000</v>
      </c>
      <c r="B32" s="3">
        <v>-8.5380000000000005E-3</v>
      </c>
      <c r="C32" s="3">
        <v>3.5330000000000001E-3</v>
      </c>
      <c r="D32" s="3">
        <v>4.6480000000000002E-3</v>
      </c>
      <c r="E32" s="3">
        <v>0</v>
      </c>
      <c r="F32" s="3">
        <v>0</v>
      </c>
      <c r="G32" s="3">
        <v>0</v>
      </c>
      <c r="H32" s="3">
        <v>2.700376E-3</v>
      </c>
      <c r="I32" s="3">
        <v>6.4076960999999997E-4</v>
      </c>
      <c r="J32" s="3">
        <v>-5.0726842999999997E-3</v>
      </c>
      <c r="L32" s="3">
        <f t="shared" si="0"/>
        <v>1.8369191049913942</v>
      </c>
      <c r="M32" s="3"/>
      <c r="N32" s="2">
        <f>IF('Modell einstellen'!$B$1="Voll",H32/0.35,H32/0.35*2)</f>
        <v>7.7153600000000001E-3</v>
      </c>
      <c r="O32" s="2">
        <f>IF('Modell einstellen'!$B$1="Voll",J32/0.35,J32/0.35*2)</f>
        <v>-1.4493383714285714E-2</v>
      </c>
      <c r="P32" s="3">
        <f t="shared" si="1"/>
        <v>0.5323366959777095</v>
      </c>
    </row>
    <row r="33" spans="1:16" x14ac:dyDescent="0.25">
      <c r="A33" s="3">
        <v>1000000000000000</v>
      </c>
      <c r="B33" s="3">
        <v>-8.5419999999999992E-3</v>
      </c>
      <c r="C33" s="3">
        <v>3.5339999999999998E-3</v>
      </c>
      <c r="D33" s="3">
        <v>4.6499999999999996E-3</v>
      </c>
      <c r="E33" s="3">
        <v>0</v>
      </c>
      <c r="F33" s="3">
        <v>0</v>
      </c>
      <c r="G33" s="3">
        <v>0</v>
      </c>
      <c r="H33" s="3">
        <v>2.7015829E-3</v>
      </c>
      <c r="I33" s="3">
        <v>6.4103567999999997E-4</v>
      </c>
      <c r="J33" s="3">
        <v>-5.0748275999999998E-3</v>
      </c>
      <c r="L33" s="3">
        <f t="shared" si="0"/>
        <v>1.8369892473118279</v>
      </c>
      <c r="M33" s="3"/>
      <c r="N33" s="2">
        <f>IF('Modell einstellen'!$B$1="Voll",H33/0.35,H33/0.35*2)</f>
        <v>7.7188082857142862E-3</v>
      </c>
      <c r="O33" s="2">
        <f>IF('Modell einstellen'!$B$1="Voll",J33/0.35,J33/0.35*2)</f>
        <v>-1.4499507428571428E-2</v>
      </c>
      <c r="P33" s="3">
        <f t="shared" si="1"/>
        <v>0.53234969006631871</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4.6369999999999998E-5</v>
      </c>
      <c r="C3" s="3">
        <v>2.7999999999999998E-4</v>
      </c>
      <c r="D3" s="3">
        <v>-6.4320000000000002E-4</v>
      </c>
      <c r="E3" s="3">
        <v>0</v>
      </c>
      <c r="F3" s="3">
        <v>0</v>
      </c>
      <c r="G3" s="3">
        <v>0</v>
      </c>
      <c r="H3" s="3">
        <v>1.5497827000000001E-4</v>
      </c>
      <c r="I3" s="3">
        <v>3.1996623000000001E-5</v>
      </c>
      <c r="J3" s="3">
        <v>-3.5252025000000002E-4</v>
      </c>
      <c r="L3" s="3">
        <f>-B3/D3</f>
        <v>7.2092661691542284E-2</v>
      </c>
      <c r="M3" s="3"/>
      <c r="N3" s="2">
        <f>IF('Modell einstellen'!$B$1="Voll",H3/0.35,H3/0.35*2)</f>
        <v>4.4279505714285718E-4</v>
      </c>
      <c r="O3" s="2">
        <f>IF('Modell einstellen'!$B$1="Voll",J3/0.35,J3/0.35*2)</f>
        <v>-1.0072007142857143E-3</v>
      </c>
      <c r="P3" s="3">
        <f>-N3/O3</f>
        <v>0.43962941136005662</v>
      </c>
    </row>
    <row r="4" spans="1:16" x14ac:dyDescent="0.25">
      <c r="A4" s="3">
        <v>1E-14</v>
      </c>
      <c r="B4" s="3">
        <v>2.972E-5</v>
      </c>
      <c r="C4" s="3">
        <v>2.9189999999999999E-4</v>
      </c>
      <c r="D4" s="3">
        <v>-6.4249999999999995E-4</v>
      </c>
      <c r="E4" s="3">
        <v>0</v>
      </c>
      <c r="F4" s="3">
        <v>0</v>
      </c>
      <c r="G4" s="3">
        <v>0</v>
      </c>
      <c r="H4" s="3">
        <v>1.6790775999999999E-4</v>
      </c>
      <c r="I4" s="3">
        <v>3.3677051999999999E-5</v>
      </c>
      <c r="J4" s="3">
        <v>-3.7228366000000002E-4</v>
      </c>
      <c r="L4" s="3">
        <f t="shared" ref="L4:L33" si="0">-B4/D4</f>
        <v>4.6256809338521401E-2</v>
      </c>
      <c r="M4" s="3"/>
      <c r="N4" s="2">
        <f>IF('Modell einstellen'!$B$1="Voll",H4/0.35,H4/0.35*2)</f>
        <v>4.7973645714285713E-4</v>
      </c>
      <c r="O4" s="2">
        <f>IF('Modell einstellen'!$B$1="Voll",J4/0.35,J4/0.35*2)</f>
        <v>-1.0636676000000001E-3</v>
      </c>
      <c r="P4" s="3">
        <f t="shared" ref="P4:P33" si="1">-N4/O4</f>
        <v>0.45102103057652321</v>
      </c>
    </row>
    <row r="5" spans="1:16" x14ac:dyDescent="0.25">
      <c r="A5" s="3">
        <v>1E-13</v>
      </c>
      <c r="B5" s="3">
        <v>1.398E-5</v>
      </c>
      <c r="C5" s="3">
        <v>3.011E-4</v>
      </c>
      <c r="D5" s="3">
        <v>-6.3920000000000003E-4</v>
      </c>
      <c r="E5" s="3">
        <v>0</v>
      </c>
      <c r="F5" s="3">
        <v>0</v>
      </c>
      <c r="G5" s="3">
        <v>0</v>
      </c>
      <c r="H5" s="3">
        <v>1.7898491999999999E-4</v>
      </c>
      <c r="I5" s="3">
        <v>3.5024266999999999E-5</v>
      </c>
      <c r="J5" s="3">
        <v>-3.8883390999999999E-4</v>
      </c>
      <c r="L5" s="3">
        <f t="shared" si="0"/>
        <v>2.1871088861076346E-2</v>
      </c>
      <c r="M5" s="3"/>
      <c r="N5" s="2">
        <f>IF('Modell einstellen'!$B$1="Voll",H5/0.35,H5/0.35*2)</f>
        <v>5.1138548571428568E-4</v>
      </c>
      <c r="O5" s="2">
        <f>IF('Modell einstellen'!$B$1="Voll",J5/0.35,J5/0.35*2)</f>
        <v>-1.1109540285714286E-3</v>
      </c>
      <c r="P5" s="3">
        <f t="shared" si="1"/>
        <v>0.46031201342496075</v>
      </c>
    </row>
    <row r="6" spans="1:16" x14ac:dyDescent="0.25">
      <c r="A6" s="3">
        <v>9.9999999999999998E-13</v>
      </c>
      <c r="B6" s="3">
        <v>-4.685E-6</v>
      </c>
      <c r="C6" s="3">
        <v>3.1070000000000002E-4</v>
      </c>
      <c r="D6" s="3">
        <v>-6.334E-4</v>
      </c>
      <c r="E6" s="3">
        <v>0</v>
      </c>
      <c r="F6" s="3">
        <v>0</v>
      </c>
      <c r="G6" s="3">
        <v>0</v>
      </c>
      <c r="H6" s="3">
        <v>1.9132201E-4</v>
      </c>
      <c r="I6" s="3">
        <v>3.6446158999999998E-5</v>
      </c>
      <c r="J6" s="3">
        <v>-4.0694252999999998E-4</v>
      </c>
      <c r="L6" s="3">
        <f t="shared" si="0"/>
        <v>-7.3965898326491947E-3</v>
      </c>
      <c r="M6" s="3"/>
      <c r="N6" s="2">
        <f>IF('Modell einstellen'!$B$1="Voll",H6/0.35,H6/0.35*2)</f>
        <v>5.4663431428571426E-4</v>
      </c>
      <c r="O6" s="2">
        <f>IF('Modell einstellen'!$B$1="Voll",J6/0.35,J6/0.35*2)</f>
        <v>-1.1626929428571429E-3</v>
      </c>
      <c r="P6" s="3">
        <f t="shared" si="1"/>
        <v>0.47014503497582316</v>
      </c>
    </row>
    <row r="7" spans="1:16" x14ac:dyDescent="0.25">
      <c r="A7" s="3">
        <v>9.9999999999999994E-12</v>
      </c>
      <c r="B7" s="3">
        <v>-2.6959999999999999E-5</v>
      </c>
      <c r="C7" s="3">
        <v>3.2049999999999998E-4</v>
      </c>
      <c r="D7" s="3">
        <v>-6.2430000000000005E-4</v>
      </c>
      <c r="E7" s="3">
        <v>0</v>
      </c>
      <c r="F7" s="3">
        <v>0</v>
      </c>
      <c r="G7" s="3">
        <v>0</v>
      </c>
      <c r="H7" s="3">
        <v>2.0517781000000001E-4</v>
      </c>
      <c r="I7" s="3">
        <v>3.7948609000000003E-5</v>
      </c>
      <c r="J7" s="3">
        <v>-4.2689291E-4</v>
      </c>
      <c r="L7" s="3">
        <f t="shared" si="0"/>
        <v>-4.318436649046932E-2</v>
      </c>
      <c r="M7" s="3"/>
      <c r="N7" s="2">
        <f>IF('Modell einstellen'!$B$1="Voll",H7/0.35,H7/0.35*2)</f>
        <v>5.8622231428571438E-4</v>
      </c>
      <c r="O7" s="2">
        <f>IF('Modell einstellen'!$B$1="Voll",J7/0.35,J7/0.35*2)</f>
        <v>-1.2196940285714285E-3</v>
      </c>
      <c r="P7" s="3">
        <f t="shared" si="1"/>
        <v>0.48063063403887413</v>
      </c>
    </row>
    <row r="8" spans="1:16" x14ac:dyDescent="0.25">
      <c r="A8" s="3">
        <v>1E-10</v>
      </c>
      <c r="B8" s="3">
        <v>-5.8140000000000002E-5</v>
      </c>
      <c r="C8" s="3">
        <v>3.323E-4</v>
      </c>
      <c r="D8" s="3">
        <v>-6.0899999999999995E-4</v>
      </c>
      <c r="E8" s="3">
        <v>0</v>
      </c>
      <c r="F8" s="3">
        <v>0</v>
      </c>
      <c r="G8" s="3">
        <v>0</v>
      </c>
      <c r="H8" s="3">
        <v>2.2349602999999999E-4</v>
      </c>
      <c r="I8" s="3">
        <v>3.9804337000000002E-5</v>
      </c>
      <c r="J8" s="3">
        <v>-4.5273536999999999E-4</v>
      </c>
      <c r="L8" s="3">
        <f t="shared" si="0"/>
        <v>-9.546798029556651E-2</v>
      </c>
      <c r="M8" s="3"/>
      <c r="N8" s="2">
        <f>IF('Modell einstellen'!$B$1="Voll",H8/0.35,H8/0.35*2)</f>
        <v>6.3856008571428575E-4</v>
      </c>
      <c r="O8" s="2">
        <f>IF('Modell einstellen'!$B$1="Voll",J8/0.35,J8/0.35*2)</f>
        <v>-1.2935296285714287E-3</v>
      </c>
      <c r="P8" s="3">
        <f t="shared" si="1"/>
        <v>0.49365710039398952</v>
      </c>
    </row>
    <row r="9" spans="1:16" x14ac:dyDescent="0.25">
      <c r="A9" s="3">
        <v>1.0000000000000001E-9</v>
      </c>
      <c r="B9" s="3">
        <v>-1.002E-4</v>
      </c>
      <c r="C9" s="3">
        <v>3.455E-4</v>
      </c>
      <c r="D9" s="3">
        <v>-5.8469999999999996E-4</v>
      </c>
      <c r="E9" s="3">
        <v>0</v>
      </c>
      <c r="F9" s="3">
        <v>0</v>
      </c>
      <c r="G9" s="3">
        <v>0</v>
      </c>
      <c r="H9" s="3">
        <v>2.4674483000000001E-4</v>
      </c>
      <c r="I9" s="3">
        <v>4.1959261999999999E-5</v>
      </c>
      <c r="J9" s="3">
        <v>-4.8471712000000002E-4</v>
      </c>
      <c r="L9" s="3">
        <f t="shared" si="0"/>
        <v>-0.17136993329912775</v>
      </c>
      <c r="M9" s="3"/>
      <c r="N9" s="2">
        <f>IF('Modell einstellen'!$B$1="Voll",H9/0.35,H9/0.35*2)</f>
        <v>7.049852285714287E-4</v>
      </c>
      <c r="O9" s="2">
        <f>IF('Modell einstellen'!$B$1="Voll",J9/0.35,J9/0.35*2)</f>
        <v>-1.3849060571428573E-3</v>
      </c>
      <c r="P9" s="3">
        <f t="shared" si="1"/>
        <v>0.50904913364727045</v>
      </c>
    </row>
    <row r="10" spans="1:16" x14ac:dyDescent="0.25">
      <c r="A10" s="3">
        <v>1E-8</v>
      </c>
      <c r="B10" s="3">
        <v>-1.6100000000000001E-4</v>
      </c>
      <c r="C10" s="3">
        <v>3.6089999999999999E-4</v>
      </c>
      <c r="D10" s="3">
        <v>-5.4489999999999996E-4</v>
      </c>
      <c r="E10" s="3">
        <v>0</v>
      </c>
      <c r="F10" s="3">
        <v>0</v>
      </c>
      <c r="G10" s="3">
        <v>0</v>
      </c>
      <c r="H10" s="3">
        <v>2.7838146999999998E-4</v>
      </c>
      <c r="I10" s="3">
        <v>4.4597052000000002E-5</v>
      </c>
      <c r="J10" s="3">
        <v>-5.2703747000000002E-4</v>
      </c>
      <c r="L10" s="3">
        <f t="shared" si="0"/>
        <v>-0.29546705817581209</v>
      </c>
      <c r="M10" s="3"/>
      <c r="N10" s="2">
        <f>IF('Modell einstellen'!$B$1="Voll",H10/0.35,H10/0.35*2)</f>
        <v>7.953756285714286E-4</v>
      </c>
      <c r="O10" s="2">
        <f>IF('Modell einstellen'!$B$1="Voll",J10/0.35,J10/0.35*2)</f>
        <v>-1.5058213428571429E-3</v>
      </c>
      <c r="P10" s="3">
        <f t="shared" si="1"/>
        <v>0.52820052813322738</v>
      </c>
    </row>
    <row r="11" spans="1:16" x14ac:dyDescent="0.25">
      <c r="A11" s="3">
        <v>9.9999999999999995E-8</v>
      </c>
      <c r="B11" s="3">
        <v>-2.52E-4</v>
      </c>
      <c r="C11" s="3">
        <v>3.7889999999999999E-4</v>
      </c>
      <c r="D11" s="3">
        <v>-4.7839999999999997E-4</v>
      </c>
      <c r="E11" s="3">
        <v>0</v>
      </c>
      <c r="F11" s="3">
        <v>0</v>
      </c>
      <c r="G11" s="3">
        <v>0</v>
      </c>
      <c r="H11" s="3">
        <v>3.2296163E-4</v>
      </c>
      <c r="I11" s="3">
        <v>4.7837825E-5</v>
      </c>
      <c r="J11" s="3">
        <v>-5.8473148000000004E-4</v>
      </c>
      <c r="L11" s="3">
        <f t="shared" si="0"/>
        <v>-0.52675585284280935</v>
      </c>
      <c r="M11" s="3"/>
      <c r="N11" s="2">
        <f>IF('Modell einstellen'!$B$1="Voll",H11/0.35,H11/0.35*2)</f>
        <v>9.227475142857144E-4</v>
      </c>
      <c r="O11" s="2">
        <f>IF('Modell einstellen'!$B$1="Voll",J11/0.35,J11/0.35*2)</f>
        <v>-1.6706613714285716E-3</v>
      </c>
      <c r="P11" s="3">
        <f t="shared" si="1"/>
        <v>0.55232468414390823</v>
      </c>
    </row>
    <row r="12" spans="1:16" x14ac:dyDescent="0.25">
      <c r="A12" s="3">
        <v>9.9999999999999995E-7</v>
      </c>
      <c r="B12" s="3">
        <v>-4.0289999999999998E-4</v>
      </c>
      <c r="C12" s="3">
        <v>4.0099999999999999E-4</v>
      </c>
      <c r="D12" s="3">
        <v>-3.5740000000000001E-4</v>
      </c>
      <c r="E12" s="3">
        <v>0</v>
      </c>
      <c r="F12" s="3">
        <v>0</v>
      </c>
      <c r="G12" s="3">
        <v>0</v>
      </c>
      <c r="H12" s="3">
        <v>3.9288067E-4</v>
      </c>
      <c r="I12" s="3">
        <v>5.2081976000000001E-5</v>
      </c>
      <c r="J12" s="3">
        <v>-6.7179242E-4</v>
      </c>
      <c r="L12" s="3">
        <f t="shared" si="0"/>
        <v>-1.1273083379966424</v>
      </c>
      <c r="M12" s="3"/>
      <c r="N12" s="2">
        <f>IF('Modell einstellen'!$B$1="Voll",H12/0.35,H12/0.35*2)</f>
        <v>1.1225162000000001E-3</v>
      </c>
      <c r="O12" s="2">
        <f>IF('Modell einstellen'!$B$1="Voll",J12/0.35,J12/0.35*2)</f>
        <v>-1.9194069142857144E-3</v>
      </c>
      <c r="P12" s="3">
        <f t="shared" si="1"/>
        <v>0.58482450576027634</v>
      </c>
    </row>
    <row r="13" spans="1:16" x14ac:dyDescent="0.25">
      <c r="A13" s="3">
        <v>1.0000000000000001E-5</v>
      </c>
      <c r="B13" s="3">
        <v>-6.7520000000000004E-4</v>
      </c>
      <c r="C13" s="3">
        <v>4.2739999999999998E-4</v>
      </c>
      <c r="D13" s="3">
        <v>-1.2129999999999999E-4</v>
      </c>
      <c r="E13" s="3">
        <v>0</v>
      </c>
      <c r="F13" s="3">
        <v>0</v>
      </c>
      <c r="G13" s="3">
        <v>0</v>
      </c>
      <c r="H13" s="3">
        <v>5.1233287999999995E-4</v>
      </c>
      <c r="I13" s="3">
        <v>5.7682383000000002E-5</v>
      </c>
      <c r="J13" s="3">
        <v>-8.1375513999999997E-4</v>
      </c>
      <c r="L13" s="3">
        <f t="shared" si="0"/>
        <v>-5.5663643858202807</v>
      </c>
      <c r="M13" s="3"/>
      <c r="N13" s="2">
        <f>IF('Modell einstellen'!$B$1="Voll",H13/0.35,H13/0.35*2)</f>
        <v>1.4638082285714285E-3</v>
      </c>
      <c r="O13" s="2">
        <f>IF('Modell einstellen'!$B$1="Voll",J13/0.35,J13/0.35*2)</f>
        <v>-2.3250146857142859E-3</v>
      </c>
      <c r="P13" s="3">
        <f t="shared" si="1"/>
        <v>0.62959096024880401</v>
      </c>
    </row>
    <row r="14" spans="1:16" x14ac:dyDescent="0.25">
      <c r="A14" s="3">
        <v>1E-4</v>
      </c>
      <c r="B14" s="3">
        <v>-1.183E-3</v>
      </c>
      <c r="C14" s="3">
        <v>4.5689999999999999E-4</v>
      </c>
      <c r="D14" s="3">
        <v>3.4640000000000002E-4</v>
      </c>
      <c r="E14" s="3">
        <v>0</v>
      </c>
      <c r="F14" s="3">
        <v>0</v>
      </c>
      <c r="G14" s="3">
        <v>0</v>
      </c>
      <c r="H14" s="3">
        <v>7.2510173000000003E-4</v>
      </c>
      <c r="I14" s="3">
        <v>6.4640133999999998E-5</v>
      </c>
      <c r="J14" s="3">
        <v>-1.0540489E-3</v>
      </c>
      <c r="L14" s="3">
        <f t="shared" si="0"/>
        <v>3.4151270207852193</v>
      </c>
      <c r="M14" s="3"/>
      <c r="N14" s="2">
        <f>IF('Modell einstellen'!$B$1="Voll",H14/0.35,H14/0.35*2)</f>
        <v>2.0717192285714288E-3</v>
      </c>
      <c r="O14" s="2">
        <f>IF('Modell einstellen'!$B$1="Voll",J14/0.35,J14/0.35*2)</f>
        <v>-3.0115682857142861E-3</v>
      </c>
      <c r="P14" s="3">
        <f t="shared" si="1"/>
        <v>0.6879203896517514</v>
      </c>
    </row>
    <row r="15" spans="1:16" x14ac:dyDescent="0.25">
      <c r="A15" s="3">
        <v>1E-3</v>
      </c>
      <c r="B15" s="3">
        <v>-2.0630000000000002E-3</v>
      </c>
      <c r="C15" s="3">
        <v>4.9560000000000001E-4</v>
      </c>
      <c r="D15" s="3">
        <v>1.1800000000000001E-3</v>
      </c>
      <c r="E15" s="3">
        <v>0</v>
      </c>
      <c r="F15" s="3">
        <v>0</v>
      </c>
      <c r="G15" s="3">
        <v>0</v>
      </c>
      <c r="H15" s="3">
        <v>1.0803163000000001E-3</v>
      </c>
      <c r="I15" s="3">
        <v>7.3577618999999997E-5</v>
      </c>
      <c r="J15" s="3">
        <v>-1.4425296999999999E-3</v>
      </c>
      <c r="L15" s="3">
        <f t="shared" si="0"/>
        <v>1.7483050847457628</v>
      </c>
      <c r="M15" s="3"/>
      <c r="N15" s="2">
        <f>IF('Modell einstellen'!$B$1="Voll",H15/0.35,H15/0.35*2)</f>
        <v>3.0866180000000006E-3</v>
      </c>
      <c r="O15" s="2">
        <f>IF('Modell einstellen'!$B$1="Voll",J15/0.35,J15/0.35*2)</f>
        <v>-4.1215134285714286E-3</v>
      </c>
      <c r="P15" s="3">
        <f t="shared" si="1"/>
        <v>0.74890402603149187</v>
      </c>
    </row>
    <row r="16" spans="1:16" x14ac:dyDescent="0.25">
      <c r="A16" s="3">
        <v>0.01</v>
      </c>
      <c r="B16" s="3">
        <v>-3.3860000000000001E-3</v>
      </c>
      <c r="C16" s="3">
        <v>6.1589999999999995E-4</v>
      </c>
      <c r="D16" s="3">
        <v>2.379E-3</v>
      </c>
      <c r="E16" s="3">
        <v>0</v>
      </c>
      <c r="F16" s="3">
        <v>0</v>
      </c>
      <c r="G16" s="3">
        <v>0</v>
      </c>
      <c r="H16" s="3">
        <v>1.5808338000000001E-3</v>
      </c>
      <c r="I16" s="3">
        <v>9.5828895000000006E-5</v>
      </c>
      <c r="J16" s="3">
        <v>-2.0204339000000002E-3</v>
      </c>
      <c r="L16" s="3">
        <f t="shared" si="0"/>
        <v>1.4232870954182431</v>
      </c>
      <c r="M16" s="3"/>
      <c r="N16" s="2">
        <f>IF('Modell einstellen'!$B$1="Voll",H16/0.35,H16/0.35*2)</f>
        <v>4.5166680000000006E-3</v>
      </c>
      <c r="O16" s="2">
        <f>IF('Modell einstellen'!$B$1="Voll",J16/0.35,J16/0.35*2)</f>
        <v>-5.7726682857142863E-3</v>
      </c>
      <c r="P16" s="3">
        <f t="shared" si="1"/>
        <v>0.78242292410555969</v>
      </c>
    </row>
    <row r="17" spans="1:16" x14ac:dyDescent="0.25">
      <c r="A17" s="3">
        <v>0.1</v>
      </c>
      <c r="B17" s="3">
        <v>-4.8560000000000001E-3</v>
      </c>
      <c r="C17" s="3">
        <v>9.0189999999999997E-4</v>
      </c>
      <c r="D17" s="3">
        <v>3.565E-3</v>
      </c>
      <c r="E17" s="3">
        <v>0</v>
      </c>
      <c r="F17" s="3">
        <v>0</v>
      </c>
      <c r="G17" s="3">
        <v>0</v>
      </c>
      <c r="H17" s="3">
        <v>2.0729638E-3</v>
      </c>
      <c r="I17" s="3">
        <v>1.4694721999999999E-4</v>
      </c>
      <c r="J17" s="3">
        <v>-2.6904975999999998E-3</v>
      </c>
      <c r="L17" s="3">
        <f t="shared" si="0"/>
        <v>1.3621318373071529</v>
      </c>
      <c r="M17" s="3"/>
      <c r="N17" s="2">
        <f>IF('Modell einstellen'!$B$1="Voll",H17/0.35,H17/0.35*2)</f>
        <v>5.922753714285715E-3</v>
      </c>
      <c r="O17" s="2">
        <f>IF('Modell einstellen'!$B$1="Voll",J17/0.35,J17/0.35*2)</f>
        <v>-7.6871359999999998E-3</v>
      </c>
      <c r="P17" s="3">
        <f t="shared" si="1"/>
        <v>0.77047598927425187</v>
      </c>
    </row>
    <row r="18" spans="1:16" x14ac:dyDescent="0.25">
      <c r="A18" s="3">
        <v>1</v>
      </c>
      <c r="B18" s="3">
        <v>-6.0870000000000004E-3</v>
      </c>
      <c r="C18" s="3">
        <v>1.3320000000000001E-3</v>
      </c>
      <c r="D18" s="3">
        <v>4.3709999999999999E-3</v>
      </c>
      <c r="E18" s="3">
        <v>0</v>
      </c>
      <c r="F18" s="3">
        <v>0</v>
      </c>
      <c r="G18" s="3">
        <v>0</v>
      </c>
      <c r="H18" s="3">
        <v>2.4025538999999999E-3</v>
      </c>
      <c r="I18" s="3">
        <v>2.2492629E-4</v>
      </c>
      <c r="J18" s="3">
        <v>-3.2945839000000001E-3</v>
      </c>
      <c r="L18" s="3">
        <f t="shared" si="0"/>
        <v>1.3925875085792727</v>
      </c>
      <c r="M18" s="3"/>
      <c r="N18" s="2">
        <f>IF('Modell einstellen'!$B$1="Voll",H18/0.35,H18/0.35*2)</f>
        <v>6.8644397142857147E-3</v>
      </c>
      <c r="O18" s="2">
        <f>IF('Modell einstellen'!$B$1="Voll",J18/0.35,J18/0.35*2)</f>
        <v>-9.4130968571428577E-3</v>
      </c>
      <c r="P18" s="3">
        <f t="shared" si="1"/>
        <v>0.72924350173628905</v>
      </c>
    </row>
    <row r="19" spans="1:16" x14ac:dyDescent="0.25">
      <c r="A19" s="3">
        <v>10</v>
      </c>
      <c r="B19" s="3">
        <v>-6.8910000000000004E-3</v>
      </c>
      <c r="C19" s="3">
        <v>1.817E-3</v>
      </c>
      <c r="D19" s="3">
        <v>4.6959999999999997E-3</v>
      </c>
      <c r="E19" s="3">
        <v>0</v>
      </c>
      <c r="F19" s="3">
        <v>0</v>
      </c>
      <c r="G19" s="3">
        <v>0</v>
      </c>
      <c r="H19" s="3">
        <v>2.5308065000000002E-3</v>
      </c>
      <c r="I19" s="3">
        <v>3.1424863999999998E-4</v>
      </c>
      <c r="J19" s="3">
        <v>-3.7400570000000002E-3</v>
      </c>
      <c r="L19" s="3">
        <f t="shared" si="0"/>
        <v>1.4674190800681433</v>
      </c>
      <c r="M19" s="3"/>
      <c r="N19" s="2">
        <f>IF('Modell einstellen'!$B$1="Voll",H19/0.35,H19/0.35*2)</f>
        <v>7.2308757142857151E-3</v>
      </c>
      <c r="O19" s="2">
        <f>IF('Modell einstellen'!$B$1="Voll",J19/0.35,J19/0.35*2)</f>
        <v>-1.0685877142857144E-2</v>
      </c>
      <c r="P19" s="3">
        <f t="shared" si="1"/>
        <v>0.6766759169713189</v>
      </c>
    </row>
    <row r="20" spans="1:16" x14ac:dyDescent="0.25">
      <c r="A20" s="3">
        <v>100</v>
      </c>
      <c r="B20" s="3">
        <v>-7.4910000000000003E-3</v>
      </c>
      <c r="C20" s="3">
        <v>2.2680000000000001E-3</v>
      </c>
      <c r="D20" s="3">
        <v>4.8510000000000003E-3</v>
      </c>
      <c r="E20" s="3">
        <v>0</v>
      </c>
      <c r="F20" s="3">
        <v>0</v>
      </c>
      <c r="G20" s="3">
        <v>0</v>
      </c>
      <c r="H20" s="3">
        <v>2.5887545000000001E-3</v>
      </c>
      <c r="I20" s="3">
        <v>3.9879359000000002E-4</v>
      </c>
      <c r="J20" s="3">
        <v>-4.0990152000000002E-3</v>
      </c>
      <c r="L20" s="3">
        <f t="shared" si="0"/>
        <v>1.5442176870748299</v>
      </c>
      <c r="M20" s="3"/>
      <c r="N20" s="2">
        <f>IF('Modell einstellen'!$B$1="Voll",H20/0.35,H20/0.35*2)</f>
        <v>7.3964414285714293E-3</v>
      </c>
      <c r="O20" s="2">
        <f>IF('Modell einstellen'!$B$1="Voll",J20/0.35,J20/0.35*2)</f>
        <v>-1.1711472000000001E-2</v>
      </c>
      <c r="P20" s="3">
        <f t="shared" si="1"/>
        <v>0.63155523307159245</v>
      </c>
    </row>
    <row r="21" spans="1:16" x14ac:dyDescent="0.25">
      <c r="A21" s="3">
        <v>1000</v>
      </c>
      <c r="B21" s="3">
        <v>-7.8770000000000003E-3</v>
      </c>
      <c r="C21" s="3">
        <v>2.6459999999999999E-3</v>
      </c>
      <c r="D21" s="3">
        <v>4.8630000000000001E-3</v>
      </c>
      <c r="E21" s="3">
        <v>0</v>
      </c>
      <c r="F21" s="3">
        <v>0</v>
      </c>
      <c r="G21" s="3">
        <v>0</v>
      </c>
      <c r="H21" s="3">
        <v>2.5985517E-3</v>
      </c>
      <c r="I21" s="3">
        <v>4.7030976000000003E-4</v>
      </c>
      <c r="J21" s="3">
        <v>-4.3639413999999998E-3</v>
      </c>
      <c r="L21" s="3">
        <f t="shared" si="0"/>
        <v>1.6197820275550072</v>
      </c>
      <c r="M21" s="3"/>
      <c r="N21" s="2">
        <f>IF('Modell einstellen'!$B$1="Voll",H21/0.35,H21/0.35*2)</f>
        <v>7.4244334285714286E-3</v>
      </c>
      <c r="O21" s="2">
        <f>IF('Modell einstellen'!$B$1="Voll",J21/0.35,J21/0.35*2)</f>
        <v>-1.2468404000000001E-2</v>
      </c>
      <c r="P21" s="3">
        <f t="shared" si="1"/>
        <v>0.59545980612846905</v>
      </c>
    </row>
    <row r="22" spans="1:16" x14ac:dyDescent="0.25">
      <c r="A22" s="3">
        <v>10000</v>
      </c>
      <c r="B22" s="3">
        <v>-8.0590000000000002E-3</v>
      </c>
      <c r="C22" s="3">
        <v>2.9160000000000002E-3</v>
      </c>
      <c r="D22" s="3">
        <v>4.7790000000000003E-3</v>
      </c>
      <c r="E22" s="3">
        <v>0</v>
      </c>
      <c r="F22" s="3">
        <v>0</v>
      </c>
      <c r="G22" s="3">
        <v>0</v>
      </c>
      <c r="H22" s="3">
        <v>2.5808713999999999E-3</v>
      </c>
      <c r="I22" s="3">
        <v>5.2152087000000003E-4</v>
      </c>
      <c r="J22" s="3">
        <v>-4.5292114999999997E-3</v>
      </c>
      <c r="L22" s="3">
        <f t="shared" si="0"/>
        <v>1.6863360535676919</v>
      </c>
      <c r="M22" s="3"/>
      <c r="N22" s="2">
        <f>IF('Modell einstellen'!$B$1="Voll",H22/0.35,H22/0.35*2)</f>
        <v>7.3739182857142857E-3</v>
      </c>
      <c r="O22" s="2">
        <f>IF('Modell einstellen'!$B$1="Voll",J22/0.35,J22/0.35*2)</f>
        <v>-1.2940604285714285E-2</v>
      </c>
      <c r="P22" s="3">
        <f t="shared" si="1"/>
        <v>0.56982797116010153</v>
      </c>
    </row>
    <row r="23" spans="1:16" x14ac:dyDescent="0.25">
      <c r="A23" s="3">
        <v>100000</v>
      </c>
      <c r="B23" s="3">
        <v>-8.5699999999999995E-3</v>
      </c>
      <c r="C23" s="3">
        <v>3.1970000000000002E-3</v>
      </c>
      <c r="D23" s="3">
        <v>5.0109999999999998E-3</v>
      </c>
      <c r="E23" s="3">
        <v>0</v>
      </c>
      <c r="F23" s="3">
        <v>0</v>
      </c>
      <c r="G23" s="3">
        <v>0</v>
      </c>
      <c r="H23" s="3">
        <v>2.6960301999999999E-3</v>
      </c>
      <c r="I23" s="3">
        <v>5.7597154999999996E-4</v>
      </c>
      <c r="J23" s="3">
        <v>-4.8371845999999998E-3</v>
      </c>
      <c r="L23" s="3">
        <f t="shared" si="0"/>
        <v>1.7102374775493914</v>
      </c>
      <c r="M23" s="3"/>
      <c r="N23" s="2">
        <f>IF('Modell einstellen'!$B$1="Voll",H23/0.35,H23/0.35*2)</f>
        <v>7.7029434285714286E-3</v>
      </c>
      <c r="O23" s="2">
        <f>IF('Modell einstellen'!$B$1="Voll",J23/0.35,J23/0.35*2)</f>
        <v>-1.3820527428571429E-2</v>
      </c>
      <c r="P23" s="3">
        <f t="shared" si="1"/>
        <v>0.55735524337855535</v>
      </c>
    </row>
    <row r="24" spans="1:16" x14ac:dyDescent="0.25">
      <c r="A24" s="3">
        <v>1000000</v>
      </c>
      <c r="B24" s="3">
        <v>-8.7480000000000006E-3</v>
      </c>
      <c r="C24" s="3">
        <v>3.3709999999999999E-3</v>
      </c>
      <c r="D24" s="3">
        <v>5.0159999999999996E-3</v>
      </c>
      <c r="E24" s="3">
        <v>0</v>
      </c>
      <c r="F24" s="3">
        <v>0</v>
      </c>
      <c r="G24" s="3">
        <v>0</v>
      </c>
      <c r="H24" s="3">
        <v>2.7200343000000002E-3</v>
      </c>
      <c r="I24" s="3">
        <v>6.0966600999999999E-4</v>
      </c>
      <c r="J24" s="3">
        <v>-4.9810462999999999E-3</v>
      </c>
      <c r="L24" s="3">
        <f t="shared" si="0"/>
        <v>1.7440191387559811</v>
      </c>
      <c r="M24" s="3"/>
      <c r="N24" s="2">
        <f>IF('Modell einstellen'!$B$1="Voll",H24/0.35,H24/0.35*2)</f>
        <v>7.7715265714285728E-3</v>
      </c>
      <c r="O24" s="2">
        <f>IF('Modell einstellen'!$B$1="Voll",J24/0.35,J24/0.35*2)</f>
        <v>-1.4231560857142857E-2</v>
      </c>
      <c r="P24" s="3">
        <f t="shared" si="1"/>
        <v>0.54607689553096517</v>
      </c>
    </row>
    <row r="25" spans="1:16" x14ac:dyDescent="0.25">
      <c r="A25" s="3">
        <v>10000000</v>
      </c>
      <c r="B25" s="3">
        <v>-8.7340000000000004E-3</v>
      </c>
      <c r="C25" s="3">
        <v>3.4619999999999998E-3</v>
      </c>
      <c r="D25" s="3">
        <v>4.9129999999999998E-3</v>
      </c>
      <c r="E25" s="3">
        <v>0</v>
      </c>
      <c r="F25" s="3">
        <v>0</v>
      </c>
      <c r="G25" s="3">
        <v>0</v>
      </c>
      <c r="H25" s="3">
        <v>2.7030680999999999E-3</v>
      </c>
      <c r="I25" s="3">
        <v>6.2704215000000002E-4</v>
      </c>
      <c r="J25" s="3">
        <v>-5.0262761999999997E-3</v>
      </c>
      <c r="L25" s="3">
        <f t="shared" si="0"/>
        <v>1.7777325463057196</v>
      </c>
      <c r="M25" s="3"/>
      <c r="N25" s="2">
        <f>IF('Modell einstellen'!$B$1="Voll",H25/0.35,H25/0.35*2)</f>
        <v>7.7230517142857147E-3</v>
      </c>
      <c r="O25" s="2">
        <f>IF('Modell einstellen'!$B$1="Voll",J25/0.35,J25/0.35*2)</f>
        <v>-1.4360789142857143E-2</v>
      </c>
      <c r="P25" s="3">
        <f t="shared" si="1"/>
        <v>0.5377874180491713</v>
      </c>
    </row>
    <row r="26" spans="1:16" x14ac:dyDescent="0.25">
      <c r="A26" s="3">
        <v>100000000</v>
      </c>
      <c r="B26" s="3">
        <v>-8.737E-3</v>
      </c>
      <c r="C26" s="3">
        <v>3.4650000000000002E-3</v>
      </c>
      <c r="D26" s="3">
        <v>4.9129999999999998E-3</v>
      </c>
      <c r="E26" s="3">
        <v>0</v>
      </c>
      <c r="F26" s="3">
        <v>0</v>
      </c>
      <c r="G26" s="3">
        <v>0</v>
      </c>
      <c r="H26" s="3">
        <v>2.7041368000000001E-3</v>
      </c>
      <c r="I26" s="3">
        <v>6.2747862000000001E-4</v>
      </c>
      <c r="J26" s="3">
        <v>-5.0288891000000004E-3</v>
      </c>
      <c r="L26" s="3">
        <f t="shared" si="0"/>
        <v>1.778343171178506</v>
      </c>
      <c r="M26" s="3"/>
      <c r="N26" s="2">
        <f>IF('Modell einstellen'!$B$1="Voll",H26/0.35,H26/0.35*2)</f>
        <v>7.7261051428571433E-3</v>
      </c>
      <c r="O26" s="2">
        <f>IF('Modell einstellen'!$B$1="Voll",J26/0.35,J26/0.35*2)</f>
        <v>-1.4368254571428573E-2</v>
      </c>
      <c r="P26" s="3">
        <f t="shared" si="1"/>
        <v>0.53772050769622259</v>
      </c>
    </row>
    <row r="27" spans="1:16" x14ac:dyDescent="0.25">
      <c r="A27" s="3">
        <v>1000000000</v>
      </c>
      <c r="B27" s="3">
        <v>-8.7150000000000005E-3</v>
      </c>
      <c r="C27" s="3">
        <v>3.5079999999999998E-3</v>
      </c>
      <c r="D27" s="3">
        <v>4.849E-3</v>
      </c>
      <c r="E27" s="3">
        <v>0</v>
      </c>
      <c r="F27" s="3">
        <v>0</v>
      </c>
      <c r="G27" s="3">
        <v>0</v>
      </c>
      <c r="H27" s="3">
        <v>2.6948638999999999E-3</v>
      </c>
      <c r="I27" s="3">
        <v>6.3582470999999998E-4</v>
      </c>
      <c r="J27" s="3">
        <v>-5.0494804000000004E-3</v>
      </c>
      <c r="L27" s="3">
        <f t="shared" si="0"/>
        <v>1.7972777892348939</v>
      </c>
      <c r="M27" s="3"/>
      <c r="N27" s="2">
        <f>IF('Modell einstellen'!$B$1="Voll",H27/0.35,H27/0.35*2)</f>
        <v>7.6996111428571431E-3</v>
      </c>
      <c r="O27" s="2">
        <f>IF('Modell einstellen'!$B$1="Voll",J27/0.35,J27/0.35*2)</f>
        <v>-1.4427086857142859E-2</v>
      </c>
      <c r="P27" s="3">
        <f t="shared" si="1"/>
        <v>0.53369132792356211</v>
      </c>
    </row>
    <row r="28" spans="1:16" x14ac:dyDescent="0.25">
      <c r="A28" s="3">
        <v>10000000000</v>
      </c>
      <c r="B28" s="3">
        <v>-8.6820000000000005E-3</v>
      </c>
      <c r="C28" s="3">
        <v>3.5400000000000002E-3</v>
      </c>
      <c r="D28" s="3">
        <v>4.7850000000000002E-3</v>
      </c>
      <c r="E28" s="3">
        <v>0</v>
      </c>
      <c r="F28" s="3">
        <v>0</v>
      </c>
      <c r="G28" s="3">
        <v>0</v>
      </c>
      <c r="H28" s="3">
        <v>2.6904361000000001E-3</v>
      </c>
      <c r="I28" s="3">
        <v>6.4180674000000005E-4</v>
      </c>
      <c r="J28" s="3">
        <v>-5.0664411000000001E-3</v>
      </c>
      <c r="L28" s="3">
        <f t="shared" si="0"/>
        <v>1.8144200626959248</v>
      </c>
      <c r="M28" s="3"/>
      <c r="N28" s="2">
        <f>IF('Modell einstellen'!$B$1="Voll",H28/0.35,H28/0.35*2)</f>
        <v>7.6869602857142861E-3</v>
      </c>
      <c r="O28" s="2">
        <f>IF('Modell einstellen'!$B$1="Voll",J28/0.35,J28/0.35*2)</f>
        <v>-1.4475546000000001E-2</v>
      </c>
      <c r="P28" s="3">
        <f t="shared" si="1"/>
        <v>0.53103076634997293</v>
      </c>
    </row>
    <row r="29" spans="1:16" x14ac:dyDescent="0.25">
      <c r="A29" s="3">
        <v>100000000000</v>
      </c>
      <c r="B29" s="3">
        <v>-8.6829999999999997E-3</v>
      </c>
      <c r="C29" s="3">
        <v>3.5409999999999999E-3</v>
      </c>
      <c r="D29" s="3">
        <v>4.7840000000000001E-3</v>
      </c>
      <c r="E29" s="3">
        <v>0</v>
      </c>
      <c r="F29" s="3">
        <v>0</v>
      </c>
      <c r="G29" s="3">
        <v>0</v>
      </c>
      <c r="H29" s="3">
        <v>2.6919496000000001E-3</v>
      </c>
      <c r="I29" s="3">
        <v>6.4207190999999997E-4</v>
      </c>
      <c r="J29" s="3">
        <v>-5.0688816000000001E-3</v>
      </c>
      <c r="L29" s="3">
        <f t="shared" si="0"/>
        <v>1.8150083612040133</v>
      </c>
      <c r="M29" s="3"/>
      <c r="N29" s="2">
        <f>IF('Modell einstellen'!$B$1="Voll",H29/0.35,H29/0.35*2)</f>
        <v>7.6912845714285725E-3</v>
      </c>
      <c r="O29" s="2">
        <f>IF('Modell einstellen'!$B$1="Voll",J29/0.35,J29/0.35*2)</f>
        <v>-1.4482518857142858E-2</v>
      </c>
      <c r="P29" s="3">
        <f t="shared" si="1"/>
        <v>0.53107367905377789</v>
      </c>
    </row>
    <row r="30" spans="1:16" x14ac:dyDescent="0.25">
      <c r="A30" s="3">
        <v>1000000000000</v>
      </c>
      <c r="B30" s="3">
        <v>-8.6840000000000007E-3</v>
      </c>
      <c r="C30" s="3">
        <v>3.542E-3</v>
      </c>
      <c r="D30" s="3">
        <v>4.7850000000000002E-3</v>
      </c>
      <c r="E30" s="3">
        <v>0</v>
      </c>
      <c r="F30" s="3">
        <v>0</v>
      </c>
      <c r="G30" s="3">
        <v>0</v>
      </c>
      <c r="H30" s="3">
        <v>2.6935068999999999E-3</v>
      </c>
      <c r="I30" s="3">
        <v>6.4226617999999999E-4</v>
      </c>
      <c r="J30" s="3">
        <v>-5.0711113000000002E-3</v>
      </c>
      <c r="L30" s="3">
        <f t="shared" si="0"/>
        <v>1.8148380355276907</v>
      </c>
      <c r="M30" s="3"/>
      <c r="N30" s="2">
        <f>IF('Modell einstellen'!$B$1="Voll",H30/0.35,H30/0.35*2)</f>
        <v>7.6957340000000001E-3</v>
      </c>
      <c r="O30" s="2">
        <f>IF('Modell einstellen'!$B$1="Voll",J30/0.35,J30/0.35*2)</f>
        <v>-1.448888942857143E-2</v>
      </c>
      <c r="P30" s="3">
        <f t="shared" si="1"/>
        <v>0.53114726549188529</v>
      </c>
    </row>
    <row r="31" spans="1:16" x14ac:dyDescent="0.25">
      <c r="A31" s="3">
        <v>10000000000000</v>
      </c>
      <c r="B31" s="3">
        <v>-8.685E-3</v>
      </c>
      <c r="C31" s="3">
        <v>3.5430000000000001E-3</v>
      </c>
      <c r="D31" s="3">
        <v>4.7850000000000002E-3</v>
      </c>
      <c r="E31" s="3">
        <v>0</v>
      </c>
      <c r="F31" s="3">
        <v>0</v>
      </c>
      <c r="G31" s="3">
        <v>0</v>
      </c>
      <c r="H31" s="3">
        <v>2.6948101999999998E-3</v>
      </c>
      <c r="I31" s="3">
        <v>6.4243749000000004E-4</v>
      </c>
      <c r="J31" s="3">
        <v>-5.0730087999999998E-3</v>
      </c>
      <c r="L31" s="3">
        <f t="shared" si="0"/>
        <v>1.8150470219435737</v>
      </c>
      <c r="M31" s="3"/>
      <c r="N31" s="2">
        <f>IF('Modell einstellen'!$B$1="Voll",H31/0.35,H31/0.35*2)</f>
        <v>7.6994577142857146E-3</v>
      </c>
      <c r="O31" s="2">
        <f>IF('Modell einstellen'!$B$1="Voll",J31/0.35,J31/0.35*2)</f>
        <v>-1.4494310857142858E-2</v>
      </c>
      <c r="P31" s="3">
        <f t="shared" si="1"/>
        <v>0.53120550470955219</v>
      </c>
    </row>
    <row r="32" spans="1:16" x14ac:dyDescent="0.25">
      <c r="A32" s="3">
        <v>100000000000000</v>
      </c>
      <c r="B32" s="3">
        <v>-8.6829999999999997E-3</v>
      </c>
      <c r="C32" s="3">
        <v>3.5439999999999998E-3</v>
      </c>
      <c r="D32" s="3">
        <v>4.7819999999999998E-3</v>
      </c>
      <c r="E32" s="3">
        <v>0</v>
      </c>
      <c r="F32" s="3">
        <v>0</v>
      </c>
      <c r="G32" s="3">
        <v>0</v>
      </c>
      <c r="H32" s="3">
        <v>2.6950012999999999E-3</v>
      </c>
      <c r="I32" s="3">
        <v>6.4259283999999999E-4</v>
      </c>
      <c r="J32" s="3">
        <v>-5.0737515000000002E-3</v>
      </c>
      <c r="L32" s="3">
        <f t="shared" si="0"/>
        <v>1.8157674613132582</v>
      </c>
      <c r="M32" s="3"/>
      <c r="N32" s="2">
        <f>IF('Modell einstellen'!$B$1="Voll",H32/0.35,H32/0.35*2)</f>
        <v>7.7000037142857143E-3</v>
      </c>
      <c r="O32" s="2">
        <f>IF('Modell einstellen'!$B$1="Voll",J32/0.35,J32/0.35*2)</f>
        <v>-1.4496432857142858E-2</v>
      </c>
      <c r="P32" s="3">
        <f t="shared" si="1"/>
        <v>0.53116541084047963</v>
      </c>
    </row>
    <row r="33" spans="1:16" x14ac:dyDescent="0.25">
      <c r="A33" s="3">
        <v>1000000000000000</v>
      </c>
      <c r="B33" s="3">
        <v>-8.6800000000000002E-3</v>
      </c>
      <c r="C33" s="3">
        <v>3.5439999999999998E-3</v>
      </c>
      <c r="D33" s="3">
        <v>4.7790000000000003E-3</v>
      </c>
      <c r="E33" s="3">
        <v>0</v>
      </c>
      <c r="F33" s="3">
        <v>0</v>
      </c>
      <c r="G33" s="3">
        <v>0</v>
      </c>
      <c r="H33" s="3">
        <v>2.6949926E-3</v>
      </c>
      <c r="I33" s="3">
        <v>6.4273631000000004E-4</v>
      </c>
      <c r="J33" s="3">
        <v>-5.0742547000000001E-3</v>
      </c>
      <c r="L33" s="3">
        <f t="shared" si="0"/>
        <v>1.8162795563925507</v>
      </c>
      <c r="M33" s="3"/>
      <c r="N33" s="2">
        <f>IF('Modell einstellen'!$B$1="Voll",H33/0.35,H33/0.35*2)</f>
        <v>7.6999788571428572E-3</v>
      </c>
      <c r="O33" s="2">
        <f>IF('Modell einstellen'!$B$1="Voll",J33/0.35,J33/0.35*2)</f>
        <v>-1.4497870571428572E-2</v>
      </c>
      <c r="P33" s="3">
        <f t="shared" si="1"/>
        <v>0.53111102207778416</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2022-01-04T19:10:56Z</dcterms:modified>
</cp:coreProperties>
</file>