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6" i="11" s="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8" i="11" l="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23" i="43"/>
  <c r="D427" i="43"/>
  <c r="D408" i="43"/>
  <c r="D411" i="43"/>
  <c r="D416" i="43"/>
  <c r="D428" i="43"/>
  <c r="D404" i="43"/>
  <c r="D413" i="43"/>
  <c r="D433" i="43"/>
  <c r="D409" i="43"/>
  <c r="D421" i="43"/>
  <c r="D434" i="43"/>
  <c r="D418" i="43"/>
  <c r="D425" i="43"/>
  <c r="D429" i="43"/>
  <c r="D432" i="43"/>
  <c r="D405" i="43"/>
  <c r="D415" i="43"/>
  <c r="D407" i="43"/>
  <c r="D414" i="43"/>
  <c r="D410" i="43"/>
  <c r="D412" i="43"/>
  <c r="D420" i="43"/>
  <c r="D422" i="43"/>
  <c r="D431" i="43"/>
  <c r="D424" i="43"/>
  <c r="B405" i="43"/>
  <c r="B424" i="43"/>
  <c r="B425" i="43"/>
  <c r="B413" i="43"/>
  <c r="B414" i="43"/>
  <c r="B408" i="43"/>
  <c r="B433" i="43"/>
  <c r="B422" i="43"/>
  <c r="B415" i="43"/>
  <c r="B417" i="43"/>
  <c r="B409" i="43"/>
  <c r="B406" i="43"/>
  <c r="B429" i="43"/>
  <c r="B411" i="43"/>
  <c r="B416" i="43"/>
  <c r="B432" i="43"/>
  <c r="B404" i="43"/>
  <c r="B428" i="43"/>
  <c r="B421" i="43"/>
  <c r="B410" i="43"/>
  <c r="B407" i="43"/>
  <c r="B431" i="43"/>
  <c r="B427" i="43"/>
  <c r="B420" i="43"/>
  <c r="B426" i="43"/>
  <c r="B412" i="43"/>
  <c r="B434" i="43"/>
  <c r="B430" i="43"/>
  <c r="B423" i="43"/>
  <c r="B418" i="43"/>
  <c r="B419" i="43"/>
  <c r="C406" i="43"/>
  <c r="C423" i="43"/>
  <c r="C428" i="43"/>
  <c r="C404" i="43"/>
  <c r="C434" i="43"/>
  <c r="C431" i="43"/>
  <c r="C409" i="43"/>
  <c r="C421" i="43"/>
  <c r="C419" i="43"/>
  <c r="C426" i="43"/>
  <c r="C407" i="43"/>
  <c r="C414" i="43"/>
  <c r="C418" i="43"/>
  <c r="C425" i="43"/>
  <c r="C427" i="43"/>
  <c r="C429" i="43"/>
  <c r="C432" i="43"/>
  <c r="C410" i="43"/>
  <c r="C412" i="43"/>
  <c r="C420" i="43"/>
  <c r="C422" i="43"/>
  <c r="C405" i="43"/>
  <c r="C408" i="43"/>
  <c r="C415" i="43"/>
  <c r="C424" i="43"/>
  <c r="C433" i="43"/>
  <c r="C417" i="43"/>
  <c r="C430" i="43"/>
  <c r="C413" i="43"/>
  <c r="C411" i="43"/>
  <c r="C416" i="43"/>
  <c r="H434" i="43"/>
  <c r="H418" i="43"/>
  <c r="H415" i="43"/>
  <c r="H410" i="43"/>
  <c r="H424" i="43"/>
  <c r="H405" i="43"/>
  <c r="H404" i="43"/>
  <c r="H427" i="43"/>
  <c r="H422" i="43"/>
  <c r="H421" i="43"/>
  <c r="H419" i="43"/>
  <c r="H417" i="43"/>
  <c r="H414" i="43"/>
  <c r="H430" i="43"/>
  <c r="H423" i="43"/>
  <c r="H416" i="43"/>
  <c r="H413" i="43"/>
  <c r="H409" i="43"/>
  <c r="H429" i="43"/>
  <c r="H433" i="43"/>
  <c r="H428" i="43"/>
  <c r="H426" i="43"/>
  <c r="H408" i="43"/>
  <c r="H420" i="43"/>
  <c r="H411" i="43"/>
  <c r="H432" i="43"/>
  <c r="H412" i="43"/>
  <c r="H425" i="43"/>
  <c r="H407" i="43"/>
  <c r="H431" i="43"/>
  <c r="H406" i="43"/>
  <c r="G410" i="43"/>
  <c r="G434" i="43"/>
  <c r="G413" i="43"/>
  <c r="G431" i="43"/>
  <c r="G416" i="43"/>
  <c r="G428" i="43"/>
  <c r="G429" i="43"/>
  <c r="G411" i="43"/>
  <c r="G427" i="43"/>
  <c r="G409" i="43"/>
  <c r="G424" i="43"/>
  <c r="G405" i="43"/>
  <c r="G421" i="43"/>
  <c r="G414" i="43"/>
  <c r="G422" i="43"/>
  <c r="G426" i="43"/>
  <c r="G408" i="43"/>
  <c r="G406" i="43"/>
  <c r="G419" i="43"/>
  <c r="G423" i="43"/>
  <c r="G430" i="43"/>
  <c r="G407" i="43"/>
  <c r="G420" i="43"/>
  <c r="G404" i="43"/>
  <c r="G418" i="43"/>
  <c r="G425" i="43"/>
  <c r="G432" i="43"/>
  <c r="G417" i="43"/>
  <c r="G433" i="43"/>
  <c r="G415" i="43"/>
  <c r="G412" i="43"/>
  <c r="E405" i="43"/>
  <c r="E408" i="43"/>
  <c r="E413" i="43"/>
  <c r="E415" i="43"/>
  <c r="E424" i="43"/>
  <c r="E433" i="43"/>
  <c r="E426" i="43"/>
  <c r="E430" i="43"/>
  <c r="E434" i="43"/>
  <c r="E420" i="43"/>
  <c r="E406" i="43"/>
  <c r="E417" i="43"/>
  <c r="E419" i="43"/>
  <c r="E411" i="43"/>
  <c r="E416" i="43"/>
  <c r="E423" i="43"/>
  <c r="E404" i="43"/>
  <c r="E422" i="43"/>
  <c r="E431" i="43"/>
  <c r="E418" i="43"/>
  <c r="E425" i="43"/>
  <c r="E427" i="43"/>
  <c r="E429" i="43"/>
  <c r="E410" i="43"/>
  <c r="E428" i="43"/>
  <c r="E414" i="43"/>
  <c r="E421" i="43"/>
  <c r="E409" i="43"/>
  <c r="E432" i="43"/>
  <c r="E412" i="43"/>
  <c r="E407" i="43"/>
  <c r="F415" i="43"/>
  <c r="F410" i="43"/>
  <c r="F420" i="43"/>
  <c r="F431" i="43"/>
  <c r="F427" i="43"/>
  <c r="F424" i="43"/>
  <c r="F404" i="43"/>
  <c r="F419" i="43"/>
  <c r="F430" i="43"/>
  <c r="F416" i="43"/>
  <c r="F423" i="43"/>
  <c r="F434" i="43"/>
  <c r="F421" i="43"/>
  <c r="F425" i="43"/>
  <c r="F426" i="43"/>
  <c r="F412" i="43"/>
  <c r="F413" i="43"/>
  <c r="F417" i="43"/>
  <c r="F414" i="43"/>
  <c r="F422" i="43"/>
  <c r="F411" i="43"/>
  <c r="F405" i="43"/>
  <c r="F432" i="43"/>
  <c r="F418" i="43"/>
  <c r="F409" i="43"/>
  <c r="F43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Y247" i="43"/>
  <c r="L427" i="43"/>
  <c r="N247" i="43"/>
  <c r="L416" i="43"/>
  <c r="Y169" i="43"/>
  <c r="K427" i="43"/>
  <c r="G208" i="43"/>
  <c r="K409" i="43"/>
  <c r="Z169" i="43"/>
  <c r="K428" i="43"/>
  <c r="N169" i="43"/>
  <c r="K416" i="43"/>
  <c r="H169" i="43"/>
  <c r="K410" i="43"/>
  <c r="D169" i="43"/>
  <c r="K406"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I130" i="43"/>
  <c r="J411" i="43"/>
  <c r="X130" i="43"/>
  <c r="J426" i="43"/>
  <c r="J130" i="43"/>
  <c r="J412" i="43"/>
  <c r="M130" i="43"/>
  <c r="J415" i="43"/>
  <c r="P130" i="43"/>
  <c r="J418" i="43"/>
  <c r="O130" i="43"/>
  <c r="J417" i="43"/>
  <c r="F130" i="43"/>
  <c r="J408" i="43"/>
  <c r="R130" i="43"/>
  <c r="J420" i="43"/>
  <c r="N130" i="43"/>
  <c r="J416" i="43"/>
  <c r="Z130" i="43"/>
  <c r="J428" i="43"/>
  <c r="E130" i="43"/>
  <c r="J407" i="43"/>
  <c r="AB130" i="43"/>
  <c r="J430" i="43"/>
  <c r="G130" i="43"/>
  <c r="J409" i="43"/>
  <c r="AC130" i="43"/>
  <c r="J431" i="43"/>
  <c r="S130" i="43"/>
  <c r="J421" i="43"/>
  <c r="W130" i="43"/>
  <c r="J425" i="43"/>
  <c r="C130" i="43"/>
  <c r="J405" i="43"/>
  <c r="V130" i="43"/>
  <c r="J424" i="43"/>
  <c r="K130" i="43"/>
  <c r="J413" i="43"/>
  <c r="Q130" i="43"/>
  <c r="J419" i="43"/>
  <c r="L130" i="43"/>
  <c r="J414" i="43"/>
  <c r="Y130" i="43"/>
  <c r="J427" i="43"/>
  <c r="T130" i="43"/>
  <c r="J422" i="43"/>
  <c r="AD130" i="43"/>
  <c r="J432" i="43"/>
  <c r="AE130" i="43"/>
  <c r="J433" i="43"/>
  <c r="D130" i="43"/>
  <c r="J406" i="43"/>
  <c r="AF130" i="43"/>
  <c r="J434"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<sst xmlns="http://schemas.openxmlformats.org/spreadsheetml/2006/main" count="311" uniqueCount="164">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</sst>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30123920"/>
        <c:axId val="4940700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301239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064"/>
        <c:crossesAt val="-8.0000000000000019E-3"/>
        <c:crossBetween val="midCat"/>
      </c:valAx>
      <c:valAx>
        <c:axId val="494070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30123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4065360"/>
        <c:axId val="4940681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653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8104"/>
        <c:crosses val="autoZero"/>
        <c:crossBetween val="midCat"/>
      </c:valAx>
      <c:valAx>
        <c:axId val="49406810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536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4070456"/>
        <c:axId val="494066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4070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6928"/>
        <c:crosses val="autoZero"/>
        <c:crossBetween val="midCat"/>
        <c:majorUnit val="10000"/>
      </c:valAx>
      <c:valAx>
        <c:axId val="49406692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45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4064184"/>
        <c:axId val="494069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64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4069280"/>
        <c:crosses val="autoZero"/>
        <c:crossBetween val="midCat"/>
        <c:majorUnit val="10000"/>
      </c:valAx>
      <c:valAx>
        <c:axId val="4940692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40641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4071632"/>
        <c:axId val="494067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716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7712"/>
        <c:crosses val="autoZero"/>
        <c:crossBetween val="midCat"/>
        <c:majorUnit val="10000"/>
      </c:valAx>
      <c:valAx>
        <c:axId val="4940677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16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1.756682880091285E-2</c:v>
                </c:pt>
                <c:pt idx="1">
                  <c:v>2.4179630941250269E-2</c:v>
                </c:pt>
                <c:pt idx="2">
                  <c:v>6.7233972894010794E-3</c:v>
                </c:pt>
                <c:pt idx="3">
                  <c:v>1.1584915620398218E-3</c:v>
                </c:pt>
                <c:pt idx="4">
                  <c:v>1.7020245430618693E-4</c:v>
                </c:pt>
                <c:pt idx="5">
                  <c:v>2.0694989467948757E-5</c:v>
                </c:pt>
                <c:pt idx="6">
                  <c:v>2.4794882107192292E-6</c:v>
                </c:pt>
                <c:pt idx="7">
                  <c:v>1.1583838525137635E-5</c:v>
                </c:pt>
                <c:pt idx="8">
                  <c:v>4.7102118006406402E-5</c:v>
                </c:pt>
                <c:pt idx="9">
                  <c:v>1.0215035548194682E-4</c:v>
                </c:pt>
                <c:pt idx="10">
                  <c:v>2.3359429330862378E-4</c:v>
                </c:pt>
                <c:pt idx="11">
                  <c:v>4.9222284024186302E-4</c:v>
                </c:pt>
                <c:pt idx="12">
                  <c:v>8.6855273740019882E-4</c:v>
                </c:pt>
                <c:pt idx="13">
                  <c:v>1.3071729923734207E-3</c:v>
                </c:pt>
                <c:pt idx="14">
                  <c:v>1.5874201949982517E-3</c:v>
                </c:pt>
                <c:pt idx="15">
                  <c:v>1.5473977779974519E-3</c:v>
                </c:pt>
                <c:pt idx="16">
                  <c:v>1.048967903478508E-3</c:v>
                </c:pt>
                <c:pt idx="17">
                  <c:v>6.5287240319133566E-4</c:v>
                </c:pt>
                <c:pt idx="18">
                  <c:v>6.8748485316978203E-4</c:v>
                </c:pt>
                <c:pt idx="19">
                  <c:v>1.7622288466281153E-3</c:v>
                </c:pt>
                <c:pt idx="20">
                  <c:v>9.3082190262973677E-4</c:v>
                </c:pt>
                <c:pt idx="21">
                  <c:v>3.8011332436411192E-4</c:v>
                </c:pt>
                <c:pt idx="22">
                  <c:v>5.6764325492306778E-8</c:v>
                </c:pt>
                <c:pt idx="23">
                  <c:v>1.2448713069478475E-4</c:v>
                </c:pt>
                <c:pt idx="24">
                  <c:v>3.2489437513279749E-6</c:v>
                </c:pt>
                <c:pt idx="25">
                  <c:v>1.0234323746364885E-4</c:v>
                </c:pt>
                <c:pt idx="26">
                  <c:v>8.2350895522379284E-5</c:v>
                </c:pt>
                <c:pt idx="27">
                  <c:v>4.0298977510291748E-4</c:v>
                </c:pt>
                <c:pt idx="28">
                  <c:v>7.9016770634450203E-4</c:v>
                </c:pt>
                <c:pt idx="29">
                  <c:v>6.5951987473534309E-4</c:v>
                </c:pt>
                <c:pt idx="30">
                  <c:v>1.6661041642328516E-3</c:v>
                </c:pt>
              </c:numCache>
            </c:numRef>
          </c:yVal>
          <c:smooth val="1"/>
        </c:ser>
        <c:dLbls>
          <c:showLegendKey val="0"/>
          <c:showVal val="0"/>
          <c:showCatName val="0"/>
          <c:showSerName val="0"/>
          <c:showPercent val="0"/>
          <c:showBubbleSize val="0"/>
        </c:dLbls>
        <c:axId val="442121976"/>
        <c:axId val="490616336"/>
      </c:scatterChart>
      <c:valAx>
        <c:axId val="442121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6336"/>
        <c:crossesAt val="-1.5000000000000005E-3"/>
        <c:crossBetween val="midCat"/>
      </c:valAx>
      <c:valAx>
        <c:axId val="49061633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1219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3387.7104697731975</c:v>
                </c:pt>
                <c:pt idx="1">
                  <c:v>3317.9245130313029</c:v>
                </c:pt>
                <c:pt idx="2">
                  <c:v>3061.2476425685777</c:v>
                </c:pt>
                <c:pt idx="3">
                  <c:v>2928.5161380842824</c:v>
                </c:pt>
                <c:pt idx="4">
                  <c:v>2768.2062945503376</c:v>
                </c:pt>
                <c:pt idx="5">
                  <c:v>2587.9251040865133</c:v>
                </c:pt>
                <c:pt idx="6">
                  <c:v>2392.4630131418744</c:v>
                </c:pt>
                <c:pt idx="7">
                  <c:v>2172.8074481553899</c:v>
                </c:pt>
                <c:pt idx="8">
                  <c:v>1927.8735863638851</c:v>
                </c:pt>
                <c:pt idx="9">
                  <c:v>1643.8649380366073</c:v>
                </c:pt>
                <c:pt idx="10">
                  <c:v>1319.3628051829546</c:v>
                </c:pt>
                <c:pt idx="11">
                  <c:v>984.09958125379353</c:v>
                </c:pt>
                <c:pt idx="12">
                  <c:v>693.05856667808882</c:v>
                </c:pt>
                <c:pt idx="13">
                  <c:v>486.57520037642672</c:v>
                </c:pt>
                <c:pt idx="14">
                  <c:v>366.79671943153625</c:v>
                </c:pt>
                <c:pt idx="15">
                  <c:v>307.64710414964782</c:v>
                </c:pt>
                <c:pt idx="16">
                  <c:v>278.77569112593704</c:v>
                </c:pt>
                <c:pt idx="17">
                  <c:v>261.84252826552699</c:v>
                </c:pt>
                <c:pt idx="18">
                  <c:v>251.5195452751037</c:v>
                </c:pt>
                <c:pt idx="19">
                  <c:v>245.69560215935047</c:v>
                </c:pt>
                <c:pt idx="20">
                  <c:v>232.52077430867922</c:v>
                </c:pt>
                <c:pt idx="21">
                  <c:v>227.15445955498279</c:v>
                </c:pt>
                <c:pt idx="22">
                  <c:v>226.4099037919128</c:v>
                </c:pt>
                <c:pt idx="23">
                  <c:v>226.330271631279</c:v>
                </c:pt>
                <c:pt idx="24">
                  <c:v>225.97209238896627</c:v>
                </c:pt>
                <c:pt idx="25">
                  <c:v>225.58316371624895</c:v>
                </c:pt>
                <c:pt idx="26">
                  <c:v>225.47274136471822</c:v>
                </c:pt>
                <c:pt idx="27">
                  <c:v>225.47215935310638</c:v>
                </c:pt>
                <c:pt idx="28">
                  <c:v>225.46647823360752</c:v>
                </c:pt>
                <c:pt idx="29">
                  <c:v>225.40994737028922</c:v>
                </c:pt>
                <c:pt idx="30">
                  <c:v>224.87176044873647</c:v>
                </c:pt>
              </c:numCache>
            </c:numRef>
          </c:yVal>
          <c:smooth val="1"/>
        </c:ser>
        <c:dLbls>
          <c:showLegendKey val="0"/>
          <c:showVal val="0"/>
          <c:showCatName val="0"/>
          <c:showSerName val="0"/>
          <c:showPercent val="0"/>
          <c:showBubbleSize val="0"/>
        </c:dLbls>
        <c:axId val="490616728"/>
        <c:axId val="490617120"/>
      </c:scatterChart>
      <c:valAx>
        <c:axId val="490616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120"/>
        <c:crosses val="autoZero"/>
        <c:crossBetween val="midCat"/>
      </c:valAx>
      <c:valAx>
        <c:axId val="4906171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672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2.4243888287741695E-3</c:v>
                </c:pt>
                <c:pt idx="1">
                  <c:v>2.4302179316263877E-3</c:v>
                </c:pt>
                <c:pt idx="2">
                  <c:v>2.4266152445029669E-3</c:v>
                </c:pt>
                <c:pt idx="3">
                  <c:v>2.4254956204549849E-3</c:v>
                </c:pt>
                <c:pt idx="4">
                  <c:v>2.4251651869964751E-3</c:v>
                </c:pt>
                <c:pt idx="5">
                  <c:v>2.425033655231377E-3</c:v>
                </c:pt>
                <c:pt idx="6">
                  <c:v>2.42502082286449E-3</c:v>
                </c:pt>
                <c:pt idx="7">
                  <c:v>2.4249855338575629E-3</c:v>
                </c:pt>
                <c:pt idx="8">
                  <c:v>2.4249727015212721E-3</c:v>
                </c:pt>
                <c:pt idx="9">
                  <c:v>2.4247288868529619E-3</c:v>
                </c:pt>
                <c:pt idx="10">
                  <c:v>2.4223677343729599E-3</c:v>
                </c:pt>
                <c:pt idx="11">
                  <c:v>2.3989326546242995E-3</c:v>
                </c:pt>
                <c:pt idx="12">
                  <c:v>2.1663495158178361E-3</c:v>
                </c:pt>
                <c:pt idx="13">
                  <c:v>5.9703792577293422E-5</c:v>
                </c:pt>
                <c:pt idx="14">
                  <c:v>1.753416428297971E-2</c:v>
                </c:pt>
                <c:pt idx="15">
                  <c:v>4.7238027831272976E-2</c:v>
                </c:pt>
                <c:pt idx="16">
                  <c:v>6.9308358236510867E-2</c:v>
                </c:pt>
                <c:pt idx="17">
                  <c:v>9.2471300634333689E-2</c:v>
                </c:pt>
                <c:pt idx="18">
                  <c:v>0.11892043829229061</c:v>
                </c:pt>
                <c:pt idx="19">
                  <c:v>0.14615842338562024</c:v>
                </c:pt>
                <c:pt idx="20">
                  <c:v>0.15122730178789068</c:v>
                </c:pt>
                <c:pt idx="21">
                  <c:v>4.0509966054548312E-2</c:v>
                </c:pt>
                <c:pt idx="22">
                  <c:v>0.20512826384021138</c:v>
                </c:pt>
                <c:pt idx="23">
                  <c:v>0.16311298690386938</c:v>
                </c:pt>
                <c:pt idx="24">
                  <c:v>0.11749764659613812</c:v>
                </c:pt>
                <c:pt idx="25">
                  <c:v>6.2987167687043058E-2</c:v>
                </c:pt>
                <c:pt idx="26">
                  <c:v>4.6285426412281628E-3</c:v>
                </c:pt>
                <c:pt idx="27">
                  <c:v>3.1564518307697402E-2</c:v>
                </c:pt>
                <c:pt idx="28">
                  <c:v>1.866899131823479E-3</c:v>
                </c:pt>
                <c:pt idx="29">
                  <c:v>6.9505403181513549E-3</c:v>
                </c:pt>
                <c:pt idx="30">
                  <c:v>2.7550725617145159E-3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9.9868041816719862E-4</c:v>
                </c:pt>
                <c:pt idx="1">
                  <c:v>1.1774992482605205E-3</c:v>
                </c:pt>
                <c:pt idx="2">
                  <c:v>2.964789279386675E-3</c:v>
                </c:pt>
                <c:pt idx="3">
                  <c:v>1.7818502701858727E-2</c:v>
                </c:pt>
                <c:pt idx="4">
                  <c:v>4.8507435519143431E-2</c:v>
                </c:pt>
                <c:pt idx="5">
                  <c:v>7.0788744964384698E-2</c:v>
                </c:pt>
                <c:pt idx="6">
                  <c:v>9.3560500030736918E-2</c:v>
                </c:pt>
                <c:pt idx="7">
                  <c:v>0.11991249649617636</c:v>
                </c:pt>
                <c:pt idx="8">
                  <c:v>0.14714930495902878</c:v>
                </c:pt>
                <c:pt idx="9">
                  <c:v>0.15837788969219871</c:v>
                </c:pt>
                <c:pt idx="10">
                  <c:v>1.0812549200779089E-2</c:v>
                </c:pt>
                <c:pt idx="11">
                  <c:v>0.23062864700261493</c:v>
                </c:pt>
                <c:pt idx="12">
                  <c:v>0.20465555426082666</c:v>
                </c:pt>
                <c:pt idx="13">
                  <c:v>0.17259859165040717</c:v>
                </c:pt>
                <c:pt idx="14">
                  <c:v>0.1301773202626981</c:v>
                </c:pt>
                <c:pt idx="15">
                  <c:v>8.0781073439989692E-2</c:v>
                </c:pt>
                <c:pt idx="16">
                  <c:v>4.2257180318007119E-2</c:v>
                </c:pt>
                <c:pt idx="17">
                  <c:v>5.6701091936505015E-2</c:v>
                </c:pt>
                <c:pt idx="18">
                  <c:v>4.6399321552094704E-2</c:v>
                </c:pt>
                <c:pt idx="19">
                  <c:v>3.4357055232857946E-2</c:v>
                </c:pt>
                <c:pt idx="20">
                  <c:v>3.4198660147589252E-2</c:v>
                </c:pt>
                <c:pt idx="21">
                  <c:v>4.1445909161490595E-2</c:v>
                </c:pt>
                <c:pt idx="22">
                  <c:v>5.3375648300462999E-2</c:v>
                </c:pt>
                <c:pt idx="23">
                  <c:v>7.6231170185901989E-2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1.3142375783887002E-2</c:v>
                </c:pt>
                <c:pt idx="1">
                  <c:v>5.0713016419767366E-2</c:v>
                </c:pt>
                <c:pt idx="2">
                  <c:v>7.335339254971239E-2</c:v>
                </c:pt>
                <c:pt idx="3">
                  <c:v>9.6480755841272262E-2</c:v>
                </c:pt>
                <c:pt idx="4">
                  <c:v>0.12317042455019034</c:v>
                </c:pt>
                <c:pt idx="5">
                  <c:v>0.15278548934083364</c:v>
                </c:pt>
                <c:pt idx="6">
                  <c:v>0.18439251036759721</c:v>
                </c:pt>
                <c:pt idx="7">
                  <c:v>0.18620108316437847</c:v>
                </c:pt>
                <c:pt idx="8">
                  <c:v>3.1530311620961614E-2</c:v>
                </c:pt>
                <c:pt idx="9">
                  <c:v>0.20194857468836805</c:v>
                </c:pt>
                <c:pt idx="10">
                  <c:v>0.16930328705581771</c:v>
                </c:pt>
                <c:pt idx="11">
                  <c:v>0.12611678651771058</c:v>
                </c:pt>
                <c:pt idx="12">
                  <c:v>7.5775860176789167E-2</c:v>
                </c:pt>
                <c:pt idx="13">
                  <c:v>2.9279532855510774E-2</c:v>
                </c:pt>
                <c:pt idx="14">
                  <c:v>1.8020233349544191E-3</c:v>
                </c:pt>
                <c:pt idx="15">
                  <c:v>3.0007823149702299E-2</c:v>
                </c:pt>
                <c:pt idx="16">
                  <c:v>1.8903741540239279E-2</c:v>
                </c:pt>
                <c:pt idx="17">
                  <c:v>8.7579000769953345E-3</c:v>
                </c:pt>
                <c:pt idx="18">
                  <c:v>2.0938263193927883E-3</c:v>
                </c:pt>
                <c:pt idx="19">
                  <c:v>3.8712519868664259E-3</c:v>
                </c:pt>
                <c:pt idx="20">
                  <c:v>2.4265006192490039E-3</c:v>
                </c:pt>
                <c:pt idx="21">
                  <c:v>4.1058305315056194E-3</c:v>
                </c:pt>
                <c:pt idx="22">
                  <c:v>2.2452014391806493E-2</c:v>
                </c:pt>
                <c:pt idx="23">
                  <c:v>5.2605332691586341E-2</c:v>
                </c:pt>
                <c:pt idx="24">
                  <c:v>8.8224356759243519E-2</c:v>
                </c:pt>
                <c:pt idx="25">
                  <c:v>0.11282791630028076</c:v>
                </c:pt>
                <c:pt idx="26">
                  <c:v>0.11350946703298416</c:v>
                </c:pt>
                <c:pt idx="27">
                  <c:v>8.2440771494079676E-2</c:v>
                </c:pt>
                <c:pt idx="28">
                  <c:v>4.5802735786236885E-2</c:v>
                </c:pt>
                <c:pt idx="29">
                  <c:v>1.7724224359945379E-2</c:v>
                </c:pt>
                <c:pt idx="30">
                  <c:v>1.0165119383573538E-2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1.7617971496853752E-2</c:v>
                </c:pt>
                <c:pt idx="1">
                  <c:v>2.3744922647438865E-2</c:v>
                </c:pt>
                <c:pt idx="2">
                  <c:v>7.3062961221907162E-3</c:v>
                </c:pt>
                <c:pt idx="3">
                  <c:v>7.6249250871823152E-4</c:v>
                </c:pt>
                <c:pt idx="4">
                  <c:v>7.3302366139119449E-4</c:v>
                </c:pt>
                <c:pt idx="5">
                  <c:v>6.5558304614190741E-4</c:v>
                </c:pt>
                <c:pt idx="6">
                  <c:v>8.2318495140584844E-4</c:v>
                </c:pt>
                <c:pt idx="7">
                  <c:v>1.0283056287122578E-3</c:v>
                </c:pt>
                <c:pt idx="8">
                  <c:v>1.3754233649220556E-3</c:v>
                </c:pt>
                <c:pt idx="9">
                  <c:v>1.7345128269364843E-3</c:v>
                </c:pt>
                <c:pt idx="10">
                  <c:v>2.7766357955774099E-3</c:v>
                </c:pt>
                <c:pt idx="11">
                  <c:v>2.7653828437961387E-3</c:v>
                </c:pt>
                <c:pt idx="12">
                  <c:v>4.3441451300524668E-3</c:v>
                </c:pt>
                <c:pt idx="13">
                  <c:v>1.6456368118296491E-3</c:v>
                </c:pt>
                <c:pt idx="14">
                  <c:v>3.4408776465088262E-3</c:v>
                </c:pt>
                <c:pt idx="15">
                  <c:v>5.4599586557495825E-4</c:v>
                </c:pt>
                <c:pt idx="16">
                  <c:v>1.6066697236497337E-3</c:v>
                </c:pt>
                <c:pt idx="17">
                  <c:v>2.1815525427521882E-4</c:v>
                </c:pt>
                <c:pt idx="18">
                  <c:v>5.953912696502518E-4</c:v>
                </c:pt>
                <c:pt idx="19">
                  <c:v>2.1953057407560054E-3</c:v>
                </c:pt>
                <c:pt idx="20">
                  <c:v>6.7458529279130412E-4</c:v>
                </c:pt>
                <c:pt idx="21">
                  <c:v>4.4777927577232618E-4</c:v>
                </c:pt>
                <c:pt idx="22">
                  <c:v>8.1078381635257679E-6</c:v>
                </c:pt>
                <c:pt idx="23">
                  <c:v>1.1917414122777388E-4</c:v>
                </c:pt>
                <c:pt idx="24">
                  <c:v>1.9553729809680297E-5</c:v>
                </c:pt>
                <c:pt idx="25">
                  <c:v>1.1223996862128883E-4</c:v>
                </c:pt>
                <c:pt idx="26">
                  <c:v>8.2367747888775994E-5</c:v>
                </c:pt>
                <c:pt idx="27">
                  <c:v>4.0293263774506135E-4</c:v>
                </c:pt>
                <c:pt idx="28">
                  <c:v>7.8959661668535149E-4</c:v>
                </c:pt>
                <c:pt idx="29">
                  <c:v>6.5385998461611175E-4</c:v>
                </c:pt>
                <c:pt idx="30">
                  <c:v>1.7177875189452107E-3</c:v>
                </c:pt>
              </c:numCache>
            </c:numRef>
          </c:yVal>
          <c:smooth val="1"/>
        </c:ser>
        <c:dLbls>
          <c:showLegendKey val="0"/>
          <c:showVal val="0"/>
          <c:showCatName val="0"/>
          <c:showSerName val="0"/>
          <c:showPercent val="0"/>
          <c:showBubbleSize val="0"/>
        </c:dLbls>
        <c:axId val="490618688"/>
        <c:axId val="490619472"/>
      </c:scatterChart>
      <c:valAx>
        <c:axId val="490618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9472"/>
        <c:crossesAt val="1.0000000000000005E-9"/>
        <c:crossBetween val="midCat"/>
      </c:valAx>
      <c:valAx>
        <c:axId val="49061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868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-59.999898573957836</c:v>
                </c:pt>
                <c:pt idx="1">
                  <c:v>-48.304090284066596</c:v>
                </c:pt>
                <c:pt idx="2">
                  <c:v>-41.637760530499037</c:v>
                </c:pt>
                <c:pt idx="3">
                  <c:v>-35.073932180427455</c:v>
                </c:pt>
                <c:pt idx="4">
                  <c:v>-30.003679822882582</c:v>
                </c:pt>
                <c:pt idx="5">
                  <c:v>-13.864447925187026</c:v>
                </c:pt>
                <c:pt idx="6">
                  <c:v>0</c:v>
                </c:pt>
              </c:numCache>
            </c:numRef>
          </c:yVal>
          <c:smooth val="0"/>
        </c:ser>
        <c:dLbls>
          <c:showLegendKey val="0"/>
          <c:showVal val="0"/>
          <c:showCatName val="0"/>
          <c:showSerName val="0"/>
          <c:showPercent val="0"/>
          <c:showBubbleSize val="0"/>
        </c:dLbls>
        <c:axId val="490617904"/>
        <c:axId val="490617512"/>
      </c:scatterChart>
      <c:valAx>
        <c:axId val="490617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512"/>
        <c:crossesAt val="-100"/>
        <c:crossBetween val="midCat"/>
      </c:valAx>
      <c:valAx>
        <c:axId val="490617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90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90615944"/>
        <c:axId val="490621432"/>
      </c:scatterChart>
      <c:valAx>
        <c:axId val="4906159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1432"/>
        <c:crosses val="autoZero"/>
        <c:crossBetween val="midCat"/>
      </c:valAx>
      <c:valAx>
        <c:axId val="49062143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594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8.757398945968045E-42</c:v>
                </c:pt>
                <c:pt idx="1">
                  <c:v>8.7573989459680439E-41</c:v>
                </c:pt>
                <c:pt idx="2">
                  <c:v>8.7573989459680439E-40</c:v>
                </c:pt>
                <c:pt idx="3">
                  <c:v>8.7573989459680436E-39</c:v>
                </c:pt>
                <c:pt idx="4">
                  <c:v>8.7573989459680439E-38</c:v>
                </c:pt>
                <c:pt idx="5">
                  <c:v>8.7573989459680437E-37</c:v>
                </c:pt>
                <c:pt idx="6">
                  <c:v>8.7573989459680447E-36</c:v>
                </c:pt>
                <c:pt idx="7">
                  <c:v>8.7573989459680444E-35</c:v>
                </c:pt>
                <c:pt idx="8">
                  <c:v>8.7573989459680442E-34</c:v>
                </c:pt>
                <c:pt idx="9">
                  <c:v>8.7573989459680442E-33</c:v>
                </c:pt>
                <c:pt idx="10">
                  <c:v>8.7573989459680447E-32</c:v>
                </c:pt>
                <c:pt idx="11">
                  <c:v>8.7573989459680452E-31</c:v>
                </c:pt>
                <c:pt idx="12">
                  <c:v>8.7573989459680441E-30</c:v>
                </c:pt>
                <c:pt idx="13">
                  <c:v>8.7573989459680441E-29</c:v>
                </c:pt>
                <c:pt idx="14">
                  <c:v>8.7573989459680441E-28</c:v>
                </c:pt>
                <c:pt idx="15">
                  <c:v>8.7573989459680434E-27</c:v>
                </c:pt>
                <c:pt idx="16">
                  <c:v>8.7573989459680446E-26</c:v>
                </c:pt>
                <c:pt idx="17">
                  <c:v>8.7573989459680434E-25</c:v>
                </c:pt>
                <c:pt idx="18">
                  <c:v>8.7573989459680434E-24</c:v>
                </c:pt>
                <c:pt idx="19">
                  <c:v>8.7573989459680437E-23</c:v>
                </c:pt>
                <c:pt idx="20">
                  <c:v>8.7573989459680437E-22</c:v>
                </c:pt>
                <c:pt idx="21">
                  <c:v>8.7573989459680441E-21</c:v>
                </c:pt>
                <c:pt idx="22">
                  <c:v>8.7573989459680444E-20</c:v>
                </c:pt>
                <c:pt idx="23">
                  <c:v>8.7573989459680449E-19</c:v>
                </c:pt>
                <c:pt idx="24">
                  <c:v>8.7573989459680445E-18</c:v>
                </c:pt>
                <c:pt idx="25">
                  <c:v>8.7573989459680442E-17</c:v>
                </c:pt>
                <c:pt idx="26">
                  <c:v>8.7573989459680444E-16</c:v>
                </c:pt>
                <c:pt idx="27">
                  <c:v>8.7573989459680436E-15</c:v>
                </c:pt>
                <c:pt idx="28">
                  <c:v>8.7573989459680439E-14</c:v>
                </c:pt>
                <c:pt idx="29">
                  <c:v>8.7573989459680444E-13</c:v>
                </c:pt>
                <c:pt idx="30">
                  <c:v>8.7573989459680438E-12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1.0514778689420054E-36</c:v>
                </c:pt>
                <c:pt idx="1">
                  <c:v>1.0514778689420054E-35</c:v>
                </c:pt>
                <c:pt idx="2">
                  <c:v>1.0514778689420054E-34</c:v>
                </c:pt>
                <c:pt idx="3">
                  <c:v>1.0514778689420053E-33</c:v>
                </c:pt>
                <c:pt idx="4">
                  <c:v>1.0514778689420052E-32</c:v>
                </c:pt>
                <c:pt idx="5">
                  <c:v>1.0514778689420054E-31</c:v>
                </c:pt>
                <c:pt idx="6">
                  <c:v>1.0514778689420053E-30</c:v>
                </c:pt>
                <c:pt idx="7">
                  <c:v>1.0514778689420053E-29</c:v>
                </c:pt>
                <c:pt idx="8">
                  <c:v>1.0514778689420052E-28</c:v>
                </c:pt>
                <c:pt idx="9">
                  <c:v>1.0514778689420053E-27</c:v>
                </c:pt>
                <c:pt idx="10">
                  <c:v>1.0514778689420054E-26</c:v>
                </c:pt>
                <c:pt idx="11">
                  <c:v>1.0514778689420054E-25</c:v>
                </c:pt>
                <c:pt idx="12">
                  <c:v>1.0514778689420052E-24</c:v>
                </c:pt>
                <c:pt idx="13">
                  <c:v>1.0514778689420053E-23</c:v>
                </c:pt>
                <c:pt idx="14">
                  <c:v>1.0514778689420054E-22</c:v>
                </c:pt>
                <c:pt idx="15">
                  <c:v>1.0514778689420054E-21</c:v>
                </c:pt>
                <c:pt idx="16">
                  <c:v>1.0514778689420053E-20</c:v>
                </c:pt>
                <c:pt idx="17">
                  <c:v>1.0514778689420053E-19</c:v>
                </c:pt>
                <c:pt idx="18">
                  <c:v>1.0514778689420052E-18</c:v>
                </c:pt>
                <c:pt idx="19">
                  <c:v>1.0514778689420054E-17</c:v>
                </c:pt>
                <c:pt idx="20">
                  <c:v>1.0514778689420053E-16</c:v>
                </c:pt>
                <c:pt idx="21">
                  <c:v>1.0514778689420053E-15</c:v>
                </c:pt>
                <c:pt idx="22">
                  <c:v>1.0514778689420053E-14</c:v>
                </c:pt>
                <c:pt idx="23">
                  <c:v>1.0514778689420054E-13</c:v>
                </c:pt>
                <c:pt idx="24">
                  <c:v>1.0514778689420053E-12</c:v>
                </c:pt>
                <c:pt idx="25">
                  <c:v>1.0514778689420053E-11</c:v>
                </c:pt>
                <c:pt idx="26">
                  <c:v>1.0514778689420053E-10</c:v>
                </c:pt>
                <c:pt idx="27">
                  <c:v>1.0514778689420054E-9</c:v>
                </c:pt>
                <c:pt idx="28">
                  <c:v>1.0514778689420053E-8</c:v>
                </c:pt>
                <c:pt idx="29">
                  <c:v>1.0514778689420053E-7</c:v>
                </c:pt>
                <c:pt idx="30">
                  <c:v>1.0514778689420052E-6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8.2594354388362626E-34</c:v>
                </c:pt>
                <c:pt idx="1">
                  <c:v>8.2594354388362623E-33</c:v>
                </c:pt>
                <c:pt idx="2">
                  <c:v>8.259435438836262E-32</c:v>
                </c:pt>
                <c:pt idx="3">
                  <c:v>8.2594354388362622E-31</c:v>
                </c:pt>
                <c:pt idx="4">
                  <c:v>8.2594354388362619E-30</c:v>
                </c:pt>
                <c:pt idx="5">
                  <c:v>8.2594354388362624E-29</c:v>
                </c:pt>
                <c:pt idx="6">
                  <c:v>8.259435438836262E-28</c:v>
                </c:pt>
                <c:pt idx="7">
                  <c:v>8.259435438836262E-27</c:v>
                </c:pt>
                <c:pt idx="8">
                  <c:v>8.2594354388362617E-26</c:v>
                </c:pt>
                <c:pt idx="9">
                  <c:v>8.2594354388362615E-25</c:v>
                </c:pt>
                <c:pt idx="10">
                  <c:v>8.2594354388362626E-24</c:v>
                </c:pt>
                <c:pt idx="11">
                  <c:v>8.2594354388362629E-23</c:v>
                </c:pt>
                <c:pt idx="12">
                  <c:v>8.2594354388362626E-22</c:v>
                </c:pt>
                <c:pt idx="13">
                  <c:v>8.2594354388362623E-21</c:v>
                </c:pt>
                <c:pt idx="14">
                  <c:v>8.2594354388362623E-20</c:v>
                </c:pt>
                <c:pt idx="15">
                  <c:v>8.2594354388362623E-19</c:v>
                </c:pt>
                <c:pt idx="16">
                  <c:v>8.2594354388362626E-18</c:v>
                </c:pt>
                <c:pt idx="17">
                  <c:v>8.259435438836262E-17</c:v>
                </c:pt>
                <c:pt idx="18">
                  <c:v>8.2594354388362625E-16</c:v>
                </c:pt>
                <c:pt idx="19">
                  <c:v>8.2594354388362629E-15</c:v>
                </c:pt>
                <c:pt idx="20">
                  <c:v>8.2594354388362626E-14</c:v>
                </c:pt>
                <c:pt idx="21">
                  <c:v>8.2594354388362626E-13</c:v>
                </c:pt>
                <c:pt idx="22">
                  <c:v>8.2594354388362618E-12</c:v>
                </c:pt>
                <c:pt idx="23">
                  <c:v>8.2594354388362618E-11</c:v>
                </c:pt>
                <c:pt idx="24">
                  <c:v>8.2594354388362621E-10</c:v>
                </c:pt>
                <c:pt idx="25">
                  <c:v>8.2594354388362616E-9</c:v>
                </c:pt>
                <c:pt idx="26">
                  <c:v>8.2594354388362626E-8</c:v>
                </c:pt>
                <c:pt idx="27">
                  <c:v>8.2594354388362624E-7</c:v>
                </c:pt>
                <c:pt idx="28">
                  <c:v>8.2594354388362622E-6</c:v>
                </c:pt>
                <c:pt idx="29">
                  <c:v>8.2594354388362625E-5</c:v>
                </c:pt>
                <c:pt idx="30">
                  <c:v>8.2594354388362617E-4</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5.8557805845824456E-31</c:v>
                </c:pt>
                <c:pt idx="1">
                  <c:v>5.8557805845824446E-30</c:v>
                </c:pt>
                <c:pt idx="2">
                  <c:v>5.8557805845824447E-29</c:v>
                </c:pt>
                <c:pt idx="3">
                  <c:v>5.8557805845824447E-28</c:v>
                </c:pt>
                <c:pt idx="4">
                  <c:v>5.8557805845824444E-27</c:v>
                </c:pt>
                <c:pt idx="5">
                  <c:v>5.8557805845824448E-26</c:v>
                </c:pt>
                <c:pt idx="6">
                  <c:v>5.8557805845824455E-25</c:v>
                </c:pt>
                <c:pt idx="7">
                  <c:v>5.8557805845824448E-24</c:v>
                </c:pt>
                <c:pt idx="8">
                  <c:v>5.8557805845824442E-23</c:v>
                </c:pt>
                <c:pt idx="9">
                  <c:v>5.8557805845824449E-22</c:v>
                </c:pt>
                <c:pt idx="10">
                  <c:v>5.8557805845824454E-21</c:v>
                </c:pt>
                <c:pt idx="11">
                  <c:v>5.8557805845824456E-20</c:v>
                </c:pt>
                <c:pt idx="12">
                  <c:v>5.8557805845824449E-19</c:v>
                </c:pt>
                <c:pt idx="13">
                  <c:v>5.8557805845824447E-18</c:v>
                </c:pt>
                <c:pt idx="14">
                  <c:v>5.855780584582445E-17</c:v>
                </c:pt>
                <c:pt idx="15">
                  <c:v>5.8557805845824452E-16</c:v>
                </c:pt>
                <c:pt idx="16">
                  <c:v>5.8557805845824446E-15</c:v>
                </c:pt>
                <c:pt idx="17">
                  <c:v>5.8557805845824453E-14</c:v>
                </c:pt>
                <c:pt idx="18">
                  <c:v>5.8557805845824448E-13</c:v>
                </c:pt>
                <c:pt idx="19">
                  <c:v>5.855780584582445E-12</c:v>
                </c:pt>
                <c:pt idx="20">
                  <c:v>5.8557805845824445E-11</c:v>
                </c:pt>
                <c:pt idx="21">
                  <c:v>5.8557805845824453E-10</c:v>
                </c:pt>
                <c:pt idx="22">
                  <c:v>5.8557805845824444E-9</c:v>
                </c:pt>
                <c:pt idx="23">
                  <c:v>5.8557805845824451E-8</c:v>
                </c:pt>
                <c:pt idx="24">
                  <c:v>5.8557805845824448E-7</c:v>
                </c:pt>
                <c:pt idx="25">
                  <c:v>5.855780584582445E-6</c:v>
                </c:pt>
                <c:pt idx="26">
                  <c:v>5.8557805845824445E-5</c:v>
                </c:pt>
                <c:pt idx="27">
                  <c:v>5.8557805845824444E-4</c:v>
                </c:pt>
                <c:pt idx="28">
                  <c:v>5.8557805845824446E-3</c:v>
                </c:pt>
                <c:pt idx="29">
                  <c:v>5.855780584582445E-2</c:v>
                </c:pt>
                <c:pt idx="30">
                  <c:v>0.58557805845824451</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9.3232518523086303E-29</c:v>
                </c:pt>
                <c:pt idx="1">
                  <c:v>9.3232518523086292E-28</c:v>
                </c:pt>
                <c:pt idx="2">
                  <c:v>9.3232518523086288E-27</c:v>
                </c:pt>
                <c:pt idx="3">
                  <c:v>9.3232518523086285E-26</c:v>
                </c:pt>
                <c:pt idx="4">
                  <c:v>9.323251852308628E-25</c:v>
                </c:pt>
                <c:pt idx="5">
                  <c:v>9.3232518523086288E-24</c:v>
                </c:pt>
                <c:pt idx="6">
                  <c:v>9.32325185230863E-23</c:v>
                </c:pt>
                <c:pt idx="7">
                  <c:v>9.3232518523086302E-22</c:v>
                </c:pt>
                <c:pt idx="8">
                  <c:v>9.3232518523086279E-21</c:v>
                </c:pt>
                <c:pt idx="9">
                  <c:v>9.3232518523086288E-20</c:v>
                </c:pt>
                <c:pt idx="10">
                  <c:v>9.3232518523086296E-19</c:v>
                </c:pt>
                <c:pt idx="11">
                  <c:v>9.3232518523086299E-18</c:v>
                </c:pt>
                <c:pt idx="12">
                  <c:v>9.3232518523086296E-17</c:v>
                </c:pt>
                <c:pt idx="13">
                  <c:v>9.3232518523086289E-16</c:v>
                </c:pt>
                <c:pt idx="14">
                  <c:v>9.3232518523086297E-15</c:v>
                </c:pt>
                <c:pt idx="15">
                  <c:v>9.3232518523086294E-14</c:v>
                </c:pt>
                <c:pt idx="16">
                  <c:v>9.3232518523086281E-13</c:v>
                </c:pt>
                <c:pt idx="17">
                  <c:v>9.3232518523086285E-12</c:v>
                </c:pt>
                <c:pt idx="18">
                  <c:v>9.3232518523086288E-11</c:v>
                </c:pt>
                <c:pt idx="19">
                  <c:v>9.3232518523086299E-10</c:v>
                </c:pt>
                <c:pt idx="20">
                  <c:v>9.3232518523086299E-9</c:v>
                </c:pt>
                <c:pt idx="21">
                  <c:v>9.3232518523086292E-8</c:v>
                </c:pt>
                <c:pt idx="22">
                  <c:v>9.3232518523086289E-7</c:v>
                </c:pt>
                <c:pt idx="23">
                  <c:v>9.3232518523086296E-6</c:v>
                </c:pt>
                <c:pt idx="24">
                  <c:v>9.3232518523086289E-5</c:v>
                </c:pt>
                <c:pt idx="25">
                  <c:v>9.3232518523086289E-4</c:v>
                </c:pt>
                <c:pt idx="26">
                  <c:v>9.3232518523086293E-3</c:v>
                </c:pt>
                <c:pt idx="27">
                  <c:v>9.3232518523086297E-2</c:v>
                </c:pt>
                <c:pt idx="28">
                  <c:v>0.93232518523086294</c:v>
                </c:pt>
                <c:pt idx="29">
                  <c:v>9.3232518523086299</c:v>
                </c:pt>
                <c:pt idx="30">
                  <c:v>93.232518523086284</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9.5224076931477911E-22</c:v>
                </c:pt>
                <c:pt idx="1">
                  <c:v>9.5224076931477907E-21</c:v>
                </c:pt>
                <c:pt idx="2">
                  <c:v>9.522407693147791E-20</c:v>
                </c:pt>
                <c:pt idx="3">
                  <c:v>9.522407693147791E-19</c:v>
                </c:pt>
                <c:pt idx="4">
                  <c:v>9.5224076931477898E-18</c:v>
                </c:pt>
                <c:pt idx="5">
                  <c:v>9.5224076931477908E-17</c:v>
                </c:pt>
                <c:pt idx="6">
                  <c:v>9.5224076931477917E-16</c:v>
                </c:pt>
                <c:pt idx="7">
                  <c:v>9.5224076931477906E-15</c:v>
                </c:pt>
                <c:pt idx="8">
                  <c:v>9.5224076931477902E-14</c:v>
                </c:pt>
                <c:pt idx="9">
                  <c:v>9.52240769314779E-13</c:v>
                </c:pt>
                <c:pt idx="10">
                  <c:v>9.5224076931477912E-12</c:v>
                </c:pt>
                <c:pt idx="11">
                  <c:v>9.5224076931477912E-11</c:v>
                </c:pt>
                <c:pt idx="12">
                  <c:v>9.5224076931477922E-10</c:v>
                </c:pt>
                <c:pt idx="13">
                  <c:v>9.5224076931477914E-9</c:v>
                </c:pt>
                <c:pt idx="14">
                  <c:v>9.5224076931477914E-8</c:v>
                </c:pt>
                <c:pt idx="15">
                  <c:v>9.5224076931477909E-7</c:v>
                </c:pt>
                <c:pt idx="16">
                  <c:v>9.5224076931477907E-6</c:v>
                </c:pt>
                <c:pt idx="17">
                  <c:v>9.5224076931477907E-5</c:v>
                </c:pt>
                <c:pt idx="18">
                  <c:v>9.5224076931477912E-4</c:v>
                </c:pt>
                <c:pt idx="19">
                  <c:v>9.522407693147791E-3</c:v>
                </c:pt>
                <c:pt idx="20">
                  <c:v>9.5224076931477913E-2</c:v>
                </c:pt>
                <c:pt idx="21">
                  <c:v>0.95224076931477908</c:v>
                </c:pt>
                <c:pt idx="22">
                  <c:v>9.522407693147791</c:v>
                </c:pt>
                <c:pt idx="23">
                  <c:v>95.22407693147791</c:v>
                </c:pt>
                <c:pt idx="24">
                  <c:v>952.24076931477907</c:v>
                </c:pt>
                <c:pt idx="25">
                  <c:v>9522.4076931477903</c:v>
                </c:pt>
                <c:pt idx="26">
                  <c:v>95224.076931477917</c:v>
                </c:pt>
                <c:pt idx="27">
                  <c:v>952240.76931477909</c:v>
                </c:pt>
                <c:pt idx="28">
                  <c:v>9522407.6931477915</c:v>
                </c:pt>
                <c:pt idx="29">
                  <c:v>95224076.931477904</c:v>
                </c:pt>
                <c:pt idx="30">
                  <c:v>952240769.31477904</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90618296"/>
        <c:axId val="490620256"/>
      </c:scatterChart>
      <c:valAx>
        <c:axId val="4906182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0256"/>
        <c:crosses val="autoZero"/>
        <c:crossBetween val="midCat"/>
      </c:valAx>
      <c:valAx>
        <c:axId val="49062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82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8.757398945968045E-42</c:v>
                </c:pt>
                <c:pt idx="1">
                  <c:v>8.7573989459680439E-41</c:v>
                </c:pt>
                <c:pt idx="2">
                  <c:v>8.7573989459680439E-40</c:v>
                </c:pt>
                <c:pt idx="3">
                  <c:v>8.7573989459680436E-39</c:v>
                </c:pt>
                <c:pt idx="4">
                  <c:v>8.7573989459680439E-38</c:v>
                </c:pt>
                <c:pt idx="5">
                  <c:v>8.7573989459680437E-37</c:v>
                </c:pt>
                <c:pt idx="6">
                  <c:v>8.7573989459680447E-36</c:v>
                </c:pt>
                <c:pt idx="7">
                  <c:v>8.7573989459680444E-35</c:v>
                </c:pt>
                <c:pt idx="8">
                  <c:v>8.7573989459680442E-34</c:v>
                </c:pt>
                <c:pt idx="9">
                  <c:v>8.7573989459680442E-33</c:v>
                </c:pt>
                <c:pt idx="10">
                  <c:v>8.7573989459680447E-32</c:v>
                </c:pt>
                <c:pt idx="11">
                  <c:v>8.7573989459680452E-31</c:v>
                </c:pt>
                <c:pt idx="12">
                  <c:v>8.7573989459680441E-30</c:v>
                </c:pt>
                <c:pt idx="13">
                  <c:v>8.7573989459680441E-29</c:v>
                </c:pt>
                <c:pt idx="14">
                  <c:v>8.7573989459680441E-28</c:v>
                </c:pt>
                <c:pt idx="15">
                  <c:v>8.7573989459680434E-27</c:v>
                </c:pt>
                <c:pt idx="16">
                  <c:v>8.7573989459680446E-26</c:v>
                </c:pt>
                <c:pt idx="17">
                  <c:v>8.7573989459680434E-25</c:v>
                </c:pt>
                <c:pt idx="18">
                  <c:v>8.7573989459680434E-24</c:v>
                </c:pt>
                <c:pt idx="19">
                  <c:v>8.7573989459680437E-23</c:v>
                </c:pt>
                <c:pt idx="20">
                  <c:v>8.7573989459680437E-22</c:v>
                </c:pt>
                <c:pt idx="21">
                  <c:v>8.7573989459680441E-21</c:v>
                </c:pt>
                <c:pt idx="22">
                  <c:v>8.7573989459680444E-20</c:v>
                </c:pt>
                <c:pt idx="23">
                  <c:v>8.7573989459680449E-19</c:v>
                </c:pt>
                <c:pt idx="24">
                  <c:v>8.7573989459680445E-18</c:v>
                </c:pt>
                <c:pt idx="25">
                  <c:v>8.7573989459680442E-17</c:v>
                </c:pt>
                <c:pt idx="26">
                  <c:v>8.7573989459680444E-16</c:v>
                </c:pt>
                <c:pt idx="27">
                  <c:v>8.7573989459680436E-15</c:v>
                </c:pt>
                <c:pt idx="28">
                  <c:v>8.7573989459680439E-14</c:v>
                </c:pt>
                <c:pt idx="29">
                  <c:v>8.7573989459680444E-13</c:v>
                </c:pt>
                <c:pt idx="30">
                  <c:v>8.7573989459680438E-12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1.0514778689420054E-36</c:v>
                </c:pt>
                <c:pt idx="1">
                  <c:v>1.0514778689420054E-35</c:v>
                </c:pt>
                <c:pt idx="2">
                  <c:v>1.0514778689420054E-34</c:v>
                </c:pt>
                <c:pt idx="3">
                  <c:v>1.0514778689420053E-33</c:v>
                </c:pt>
                <c:pt idx="4">
                  <c:v>1.0514778689420052E-32</c:v>
                </c:pt>
                <c:pt idx="5">
                  <c:v>1.0514778689420054E-31</c:v>
                </c:pt>
                <c:pt idx="6">
                  <c:v>1.0514778689420053E-30</c:v>
                </c:pt>
                <c:pt idx="7">
                  <c:v>1.0514778689420053E-29</c:v>
                </c:pt>
                <c:pt idx="8">
                  <c:v>1.0514778689420052E-28</c:v>
                </c:pt>
                <c:pt idx="9">
                  <c:v>1.0514778689420053E-27</c:v>
                </c:pt>
                <c:pt idx="10">
                  <c:v>1.0514778689420054E-26</c:v>
                </c:pt>
                <c:pt idx="11">
                  <c:v>1.0514778689420054E-25</c:v>
                </c:pt>
                <c:pt idx="12">
                  <c:v>1.0514778689420052E-24</c:v>
                </c:pt>
                <c:pt idx="13">
                  <c:v>1.0514778689420053E-23</c:v>
                </c:pt>
                <c:pt idx="14">
                  <c:v>1.0514778689420054E-22</c:v>
                </c:pt>
                <c:pt idx="15">
                  <c:v>1.0514778689420054E-21</c:v>
                </c:pt>
                <c:pt idx="16">
                  <c:v>1.0514778689420053E-20</c:v>
                </c:pt>
                <c:pt idx="17">
                  <c:v>1.0514778689420053E-19</c:v>
                </c:pt>
                <c:pt idx="18">
                  <c:v>1.0514778689420052E-18</c:v>
                </c:pt>
                <c:pt idx="19">
                  <c:v>1.0514778689420054E-17</c:v>
                </c:pt>
                <c:pt idx="20">
                  <c:v>1.0514778689420053E-16</c:v>
                </c:pt>
                <c:pt idx="21">
                  <c:v>1.0514778689420053E-15</c:v>
                </c:pt>
                <c:pt idx="22">
                  <c:v>1.0514778689420053E-14</c:v>
                </c:pt>
                <c:pt idx="23">
                  <c:v>1.0514778689420054E-13</c:v>
                </c:pt>
                <c:pt idx="24">
                  <c:v>1.0514778689420053E-12</c:v>
                </c:pt>
                <c:pt idx="25">
                  <c:v>1.0514778689420053E-11</c:v>
                </c:pt>
                <c:pt idx="26">
                  <c:v>1.0514778689420053E-10</c:v>
                </c:pt>
                <c:pt idx="27">
                  <c:v>1.0514778689420054E-9</c:v>
                </c:pt>
                <c:pt idx="28">
                  <c:v>1.0514778689420053E-8</c:v>
                </c:pt>
                <c:pt idx="29">
                  <c:v>1.0514778689420053E-7</c:v>
                </c:pt>
                <c:pt idx="30">
                  <c:v>1.0514778689420052E-6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8.2594354388362626E-34</c:v>
                </c:pt>
                <c:pt idx="1">
                  <c:v>8.2594354388362623E-33</c:v>
                </c:pt>
                <c:pt idx="2">
                  <c:v>8.259435438836262E-32</c:v>
                </c:pt>
                <c:pt idx="3">
                  <c:v>8.2594354388362622E-31</c:v>
                </c:pt>
                <c:pt idx="4">
                  <c:v>8.2594354388362619E-30</c:v>
                </c:pt>
                <c:pt idx="5">
                  <c:v>8.2594354388362624E-29</c:v>
                </c:pt>
                <c:pt idx="6">
                  <c:v>8.259435438836262E-28</c:v>
                </c:pt>
                <c:pt idx="7">
                  <c:v>8.259435438836262E-27</c:v>
                </c:pt>
                <c:pt idx="8">
                  <c:v>8.2594354388362617E-26</c:v>
                </c:pt>
                <c:pt idx="9">
                  <c:v>8.2594354388362615E-25</c:v>
                </c:pt>
                <c:pt idx="10">
                  <c:v>8.2594354388362626E-24</c:v>
                </c:pt>
                <c:pt idx="11">
                  <c:v>8.2594354388362629E-23</c:v>
                </c:pt>
                <c:pt idx="12">
                  <c:v>8.2594354388362626E-22</c:v>
                </c:pt>
                <c:pt idx="13">
                  <c:v>8.2594354388362623E-21</c:v>
                </c:pt>
                <c:pt idx="14">
                  <c:v>8.2594354388362623E-20</c:v>
                </c:pt>
                <c:pt idx="15">
                  <c:v>8.2594354388362623E-19</c:v>
                </c:pt>
                <c:pt idx="16">
                  <c:v>8.2594354388362626E-18</c:v>
                </c:pt>
                <c:pt idx="17">
                  <c:v>8.259435438836262E-17</c:v>
                </c:pt>
                <c:pt idx="18">
                  <c:v>8.2594354388362625E-16</c:v>
                </c:pt>
                <c:pt idx="19">
                  <c:v>8.2594354388362629E-15</c:v>
                </c:pt>
                <c:pt idx="20">
                  <c:v>8.2594354388362626E-14</c:v>
                </c:pt>
                <c:pt idx="21">
                  <c:v>8.2594354388362626E-13</c:v>
                </c:pt>
                <c:pt idx="22">
                  <c:v>8.2594354388362618E-12</c:v>
                </c:pt>
                <c:pt idx="23">
                  <c:v>8.2594354388362618E-11</c:v>
                </c:pt>
                <c:pt idx="24">
                  <c:v>8.2594354388362621E-10</c:v>
                </c:pt>
                <c:pt idx="25">
                  <c:v>8.2594354388362616E-9</c:v>
                </c:pt>
                <c:pt idx="26">
                  <c:v>8.2594354388362626E-8</c:v>
                </c:pt>
                <c:pt idx="27">
                  <c:v>8.2594354388362624E-7</c:v>
                </c:pt>
                <c:pt idx="28">
                  <c:v>8.2594354388362622E-6</c:v>
                </c:pt>
                <c:pt idx="29">
                  <c:v>8.2594354388362625E-5</c:v>
                </c:pt>
                <c:pt idx="30">
                  <c:v>8.2594354388362617E-4</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5.8557805845824456E-31</c:v>
                </c:pt>
                <c:pt idx="1">
                  <c:v>5.8557805845824446E-30</c:v>
                </c:pt>
                <c:pt idx="2">
                  <c:v>5.8557805845824447E-29</c:v>
                </c:pt>
                <c:pt idx="3">
                  <c:v>5.8557805845824447E-28</c:v>
                </c:pt>
                <c:pt idx="4">
                  <c:v>5.8557805845824444E-27</c:v>
                </c:pt>
                <c:pt idx="5">
                  <c:v>5.8557805845824448E-26</c:v>
                </c:pt>
                <c:pt idx="6">
                  <c:v>5.8557805845824455E-25</c:v>
                </c:pt>
                <c:pt idx="7">
                  <c:v>5.8557805845824448E-24</c:v>
                </c:pt>
                <c:pt idx="8">
                  <c:v>5.8557805845824442E-23</c:v>
                </c:pt>
                <c:pt idx="9">
                  <c:v>5.8557805845824449E-22</c:v>
                </c:pt>
                <c:pt idx="10">
                  <c:v>5.8557805845824454E-21</c:v>
                </c:pt>
                <c:pt idx="11">
                  <c:v>5.8557805845824456E-20</c:v>
                </c:pt>
                <c:pt idx="12">
                  <c:v>5.8557805845824449E-19</c:v>
                </c:pt>
                <c:pt idx="13">
                  <c:v>5.8557805845824447E-18</c:v>
                </c:pt>
                <c:pt idx="14">
                  <c:v>5.855780584582445E-17</c:v>
                </c:pt>
                <c:pt idx="15">
                  <c:v>5.8557805845824452E-16</c:v>
                </c:pt>
                <c:pt idx="16">
                  <c:v>5.8557805845824446E-15</c:v>
                </c:pt>
                <c:pt idx="17">
                  <c:v>5.8557805845824453E-14</c:v>
                </c:pt>
                <c:pt idx="18">
                  <c:v>5.8557805845824448E-13</c:v>
                </c:pt>
                <c:pt idx="19">
                  <c:v>5.855780584582445E-12</c:v>
                </c:pt>
                <c:pt idx="20">
                  <c:v>5.8557805845824445E-11</c:v>
                </c:pt>
                <c:pt idx="21">
                  <c:v>5.8557805845824453E-10</c:v>
                </c:pt>
                <c:pt idx="22">
                  <c:v>5.8557805845824444E-9</c:v>
                </c:pt>
                <c:pt idx="23">
                  <c:v>5.8557805845824451E-8</c:v>
                </c:pt>
                <c:pt idx="24">
                  <c:v>5.8557805845824448E-7</c:v>
                </c:pt>
                <c:pt idx="25">
                  <c:v>5.855780584582445E-6</c:v>
                </c:pt>
                <c:pt idx="26">
                  <c:v>5.8557805845824445E-5</c:v>
                </c:pt>
                <c:pt idx="27">
                  <c:v>5.8557805845824444E-4</c:v>
                </c:pt>
                <c:pt idx="28">
                  <c:v>5.8557805845824446E-3</c:v>
                </c:pt>
                <c:pt idx="29">
                  <c:v>5.855780584582445E-2</c:v>
                </c:pt>
                <c:pt idx="30">
                  <c:v>0.58557805845824451</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9.3232518523086303E-29</c:v>
                </c:pt>
                <c:pt idx="1">
                  <c:v>9.3232518523086292E-28</c:v>
                </c:pt>
                <c:pt idx="2">
                  <c:v>9.3232518523086288E-27</c:v>
                </c:pt>
                <c:pt idx="3">
                  <c:v>9.3232518523086285E-26</c:v>
                </c:pt>
                <c:pt idx="4">
                  <c:v>9.323251852308628E-25</c:v>
                </c:pt>
                <c:pt idx="5">
                  <c:v>9.3232518523086288E-24</c:v>
                </c:pt>
                <c:pt idx="6">
                  <c:v>9.32325185230863E-23</c:v>
                </c:pt>
                <c:pt idx="7">
                  <c:v>9.3232518523086302E-22</c:v>
                </c:pt>
                <c:pt idx="8">
                  <c:v>9.3232518523086279E-21</c:v>
                </c:pt>
                <c:pt idx="9">
                  <c:v>9.3232518523086288E-20</c:v>
                </c:pt>
                <c:pt idx="10">
                  <c:v>9.3232518523086296E-19</c:v>
                </c:pt>
                <c:pt idx="11">
                  <c:v>9.3232518523086299E-18</c:v>
                </c:pt>
                <c:pt idx="12">
                  <c:v>9.3232518523086296E-17</c:v>
                </c:pt>
                <c:pt idx="13">
                  <c:v>9.3232518523086289E-16</c:v>
                </c:pt>
                <c:pt idx="14">
                  <c:v>9.3232518523086297E-15</c:v>
                </c:pt>
                <c:pt idx="15">
                  <c:v>9.3232518523086294E-14</c:v>
                </c:pt>
                <c:pt idx="16">
                  <c:v>9.3232518523086281E-13</c:v>
                </c:pt>
                <c:pt idx="17">
                  <c:v>9.3232518523086285E-12</c:v>
                </c:pt>
                <c:pt idx="18">
                  <c:v>9.3232518523086288E-11</c:v>
                </c:pt>
                <c:pt idx="19">
                  <c:v>9.3232518523086299E-10</c:v>
                </c:pt>
                <c:pt idx="20">
                  <c:v>9.3232518523086299E-9</c:v>
                </c:pt>
                <c:pt idx="21">
                  <c:v>9.3232518523086292E-8</c:v>
                </c:pt>
                <c:pt idx="22">
                  <c:v>9.3232518523086289E-7</c:v>
                </c:pt>
                <c:pt idx="23">
                  <c:v>9.3232518523086296E-6</c:v>
                </c:pt>
                <c:pt idx="24">
                  <c:v>9.3232518523086289E-5</c:v>
                </c:pt>
                <c:pt idx="25">
                  <c:v>9.3232518523086289E-4</c:v>
                </c:pt>
                <c:pt idx="26">
                  <c:v>9.3232518523086293E-3</c:v>
                </c:pt>
                <c:pt idx="27">
                  <c:v>9.3232518523086297E-2</c:v>
                </c:pt>
                <c:pt idx="28">
                  <c:v>0.93232518523086294</c:v>
                </c:pt>
                <c:pt idx="29">
                  <c:v>9.3232518523086299</c:v>
                </c:pt>
                <c:pt idx="30">
                  <c:v>93.232518523086284</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9.5224076931477911E-22</c:v>
                </c:pt>
                <c:pt idx="1">
                  <c:v>9.5224076931477907E-21</c:v>
                </c:pt>
                <c:pt idx="2">
                  <c:v>9.522407693147791E-20</c:v>
                </c:pt>
                <c:pt idx="3">
                  <c:v>9.522407693147791E-19</c:v>
                </c:pt>
                <c:pt idx="4">
                  <c:v>9.5224076931477898E-18</c:v>
                </c:pt>
                <c:pt idx="5">
                  <c:v>9.5224076931477908E-17</c:v>
                </c:pt>
                <c:pt idx="6">
                  <c:v>9.5224076931477917E-16</c:v>
                </c:pt>
                <c:pt idx="7">
                  <c:v>9.5224076931477906E-15</c:v>
                </c:pt>
                <c:pt idx="8">
                  <c:v>9.5224076931477902E-14</c:v>
                </c:pt>
                <c:pt idx="9">
                  <c:v>9.52240769314779E-13</c:v>
                </c:pt>
                <c:pt idx="10">
                  <c:v>9.5224076931477912E-12</c:v>
                </c:pt>
                <c:pt idx="11">
                  <c:v>9.5224076931477912E-11</c:v>
                </c:pt>
                <c:pt idx="12">
                  <c:v>9.5224076931477922E-10</c:v>
                </c:pt>
                <c:pt idx="13">
                  <c:v>9.5224076931477914E-9</c:v>
                </c:pt>
                <c:pt idx="14">
                  <c:v>9.5224076931477914E-8</c:v>
                </c:pt>
                <c:pt idx="15">
                  <c:v>9.5224076931477909E-7</c:v>
                </c:pt>
                <c:pt idx="16">
                  <c:v>9.5224076931477907E-6</c:v>
                </c:pt>
                <c:pt idx="17">
                  <c:v>9.5224076931477907E-5</c:v>
                </c:pt>
                <c:pt idx="18">
                  <c:v>9.5224076931477912E-4</c:v>
                </c:pt>
                <c:pt idx="19">
                  <c:v>9.522407693147791E-3</c:v>
                </c:pt>
                <c:pt idx="20">
                  <c:v>9.5224076931477913E-2</c:v>
                </c:pt>
                <c:pt idx="21">
                  <c:v>0.95224076931477908</c:v>
                </c:pt>
                <c:pt idx="22">
                  <c:v>9.522407693147791</c:v>
                </c:pt>
                <c:pt idx="23">
                  <c:v>95.22407693147791</c:v>
                </c:pt>
                <c:pt idx="24">
                  <c:v>952.24076931477907</c:v>
                </c:pt>
                <c:pt idx="25">
                  <c:v>9522.4076931477903</c:v>
                </c:pt>
                <c:pt idx="26">
                  <c:v>95224.076931477917</c:v>
                </c:pt>
                <c:pt idx="27">
                  <c:v>952240.76931477909</c:v>
                </c:pt>
                <c:pt idx="28">
                  <c:v>9522407.6931477915</c:v>
                </c:pt>
                <c:pt idx="29">
                  <c:v>95224076.931477904</c:v>
                </c:pt>
                <c:pt idx="30">
                  <c:v>952240769.31477904</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90621040"/>
        <c:axId val="490615160"/>
      </c:scatterChart>
      <c:valAx>
        <c:axId val="4906210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5160"/>
        <c:crosses val="autoZero"/>
        <c:crossBetween val="midCat"/>
      </c:valAx>
      <c:valAx>
        <c:axId val="490615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104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-59.999898573957836</c:v>
                </c:pt>
                <c:pt idx="1">
                  <c:v>-59.759753971475405</c:v>
                </c:pt>
                <c:pt idx="2">
                  <c:v>-59.519413306686161</c:v>
                </c:pt>
                <c:pt idx="3">
                  <c:v>-59.278680517283306</c:v>
                </c:pt>
                <c:pt idx="4">
                  <c:v>-59.037359540960004</c:v>
                </c:pt>
                <c:pt idx="5">
                  <c:v>-58.795254315409473</c:v>
                </c:pt>
                <c:pt idx="6">
                  <c:v>-58.552168778324898</c:v>
                </c:pt>
                <c:pt idx="7">
                  <c:v>-58.307906867399446</c:v>
                </c:pt>
                <c:pt idx="8">
                  <c:v>-58.062272520326339</c:v>
                </c:pt>
                <c:pt idx="9">
                  <c:v>-57.81506967479875</c:v>
                </c:pt>
                <c:pt idx="10">
                  <c:v>-57.566102268509866</c:v>
                </c:pt>
                <c:pt idx="11">
                  <c:v>-57.315174239152881</c:v>
                </c:pt>
                <c:pt idx="12">
                  <c:v>-57.062089524420998</c:v>
                </c:pt>
                <c:pt idx="13">
                  <c:v>-56.806652062007387</c:v>
                </c:pt>
                <c:pt idx="14">
                  <c:v>-56.548665789605252</c:v>
                </c:pt>
                <c:pt idx="15">
                  <c:v>-56.287934644907779</c:v>
                </c:pt>
                <c:pt idx="16">
                  <c:v>-56.024262565608154</c:v>
                </c:pt>
                <c:pt idx="17">
                  <c:v>-55.757453489399566</c:v>
                </c:pt>
                <c:pt idx="18">
                  <c:v>-55.487311353975215</c:v>
                </c:pt>
                <c:pt idx="19">
                  <c:v>-55.213640097028282</c:v>
                </c:pt>
                <c:pt idx="20">
                  <c:v>-54.93624365625196</c:v>
                </c:pt>
                <c:pt idx="21">
                  <c:v>-54.654925969339445</c:v>
                </c:pt>
                <c:pt idx="22">
                  <c:v>-54.369490973983915</c:v>
                </c:pt>
                <c:pt idx="23">
                  <c:v>-54.079742607878565</c:v>
                </c:pt>
                <c:pt idx="24">
                  <c:v>-53.785484808716589</c:v>
                </c:pt>
                <c:pt idx="25">
                  <c:v>-53.486521514191175</c:v>
                </c:pt>
                <c:pt idx="26">
                  <c:v>-53.182656661995509</c:v>
                </c:pt>
                <c:pt idx="27">
                  <c:v>-52.873694189822793</c:v>
                </c:pt>
                <c:pt idx="28">
                  <c:v>-52.559438035366213</c:v>
                </c:pt>
                <c:pt idx="29">
                  <c:v>-52.239692136318936</c:v>
                </c:pt>
                <c:pt idx="30">
                  <c:v>-51.914260430374185</c:v>
                </c:pt>
                <c:pt idx="31">
                  <c:v>-51.582946855225124</c:v>
                </c:pt>
                <c:pt idx="32">
                  <c:v>-51.245555348564963</c:v>
                </c:pt>
                <c:pt idx="33">
                  <c:v>-50.901889848086896</c:v>
                </c:pt>
                <c:pt idx="34">
                  <c:v>-50.55175429148408</c:v>
                </c:pt>
                <c:pt idx="35">
                  <c:v>-50.19495261644974</c:v>
                </c:pt>
                <c:pt idx="36">
                  <c:v>-49.83128876067704</c:v>
                </c:pt>
                <c:pt idx="37">
                  <c:v>-49.46056666185919</c:v>
                </c:pt>
                <c:pt idx="38">
                  <c:v>-49.082590257689375</c:v>
                </c:pt>
                <c:pt idx="39">
                  <c:v>-48.697163485860777</c:v>
                </c:pt>
                <c:pt idx="40">
                  <c:v>-48.304090284066596</c:v>
                </c:pt>
                <c:pt idx="41">
                  <c:v>-48.097669463267394</c:v>
                </c:pt>
                <c:pt idx="42">
                  <c:v>-47.88373189575276</c:v>
                </c:pt>
                <c:pt idx="43">
                  <c:v>-47.66260332707968</c:v>
                </c:pt>
                <c:pt idx="44">
                  <c:v>-47.434609502805131</c:v>
                </c:pt>
                <c:pt idx="45">
                  <c:v>-47.200076168486078</c:v>
                </c:pt>
                <c:pt idx="46">
                  <c:v>-46.959329069679491</c:v>
                </c:pt>
                <c:pt idx="47">
                  <c:v>-46.712693951942349</c:v>
                </c:pt>
                <c:pt idx="48">
                  <c:v>-46.460496560831629</c:v>
                </c:pt>
                <c:pt idx="49">
                  <c:v>-46.203062641904296</c:v>
                </c:pt>
                <c:pt idx="50">
                  <c:v>-45.940717940717334</c:v>
                </c:pt>
                <c:pt idx="51">
                  <c:v>-45.673788202827708</c:v>
                </c:pt>
                <c:pt idx="52">
                  <c:v>-45.40259917379241</c:v>
                </c:pt>
                <c:pt idx="53">
                  <c:v>-45.127476599168389</c:v>
                </c:pt>
                <c:pt idx="54">
                  <c:v>-44.848746224512624</c:v>
                </c:pt>
                <c:pt idx="55">
                  <c:v>-44.566733795382106</c:v>
                </c:pt>
                <c:pt idx="56">
                  <c:v>-44.281765057333786</c:v>
                </c:pt>
                <c:pt idx="57">
                  <c:v>-43.994165755924655</c:v>
                </c:pt>
                <c:pt idx="58">
                  <c:v>-43.704261636711678</c:v>
                </c:pt>
                <c:pt idx="59">
                  <c:v>-43.412378445251839</c:v>
                </c:pt>
                <c:pt idx="60">
                  <c:v>-43.118841927102089</c:v>
                </c:pt>
                <c:pt idx="61">
                  <c:v>-42.823977827819434</c:v>
                </c:pt>
                <c:pt idx="62">
                  <c:v>-42.528111892960823</c:v>
                </c:pt>
                <c:pt idx="63">
                  <c:v>-42.231569868083234</c:v>
                </c:pt>
                <c:pt idx="64">
                  <c:v>-41.934677498743646</c:v>
                </c:pt>
                <c:pt idx="65">
                  <c:v>-41.63776053049903</c:v>
                </c:pt>
                <c:pt idx="66">
                  <c:v>-41.341139223130114</c:v>
                </c:pt>
                <c:pt idx="67">
                  <c:v>-41.045111893312587</c:v>
                </c:pt>
                <c:pt idx="68">
                  <c:v>-40.749971371945911</c:v>
                </c:pt>
                <c:pt idx="69">
                  <c:v>-40.456010489929518</c:v>
                </c:pt>
                <c:pt idx="70">
                  <c:v>-40.16352207816287</c:v>
                </c:pt>
                <c:pt idx="71">
                  <c:v>-39.872798967545421</c:v>
                </c:pt>
                <c:pt idx="72">
                  <c:v>-39.584133988976603</c:v>
                </c:pt>
                <c:pt idx="73">
                  <c:v>-39.297819973355885</c:v>
                </c:pt>
                <c:pt idx="74">
                  <c:v>-39.014149751582707</c:v>
                </c:pt>
                <c:pt idx="75">
                  <c:v>-38.733416154556508</c:v>
                </c:pt>
                <c:pt idx="76">
                  <c:v>-38.45591201317675</c:v>
                </c:pt>
                <c:pt idx="77">
                  <c:v>-38.18193015834288</c:v>
                </c:pt>
                <c:pt idx="78">
                  <c:v>-37.911763420954344</c:v>
                </c:pt>
                <c:pt idx="79">
                  <c:v>-37.64570463191059</c:v>
                </c:pt>
                <c:pt idx="80">
                  <c:v>-37.384046622111065</c:v>
                </c:pt>
                <c:pt idx="81">
                  <c:v>-37.127082222455229</c:v>
                </c:pt>
                <c:pt idx="82">
                  <c:v>-36.875104263842516</c:v>
                </c:pt>
                <c:pt idx="83">
                  <c:v>-36.628405577172387</c:v>
                </c:pt>
                <c:pt idx="84">
                  <c:v>-36.387278993344289</c:v>
                </c:pt>
                <c:pt idx="85">
                  <c:v>-36.152017343257668</c:v>
                </c:pt>
                <c:pt idx="86">
                  <c:v>-35.92291345781198</c:v>
                </c:pt>
                <c:pt idx="87">
                  <c:v>-35.700260167906663</c:v>
                </c:pt>
                <c:pt idx="88">
                  <c:v>-35.484350304441172</c:v>
                </c:pt>
                <c:pt idx="89">
                  <c:v>-35.275476698314954</c:v>
                </c:pt>
                <c:pt idx="90">
                  <c:v>-35.073932180427455</c:v>
                </c:pt>
                <c:pt idx="91">
                  <c:v>-34.879865715599863</c:v>
                </c:pt>
                <c:pt idx="92">
                  <c:v>-34.692850804340296</c:v>
                </c:pt>
                <c:pt idx="93">
                  <c:v>-34.512317081078606</c:v>
                </c:pt>
                <c:pt idx="94">
                  <c:v>-34.337694180244632</c:v>
                </c:pt>
                <c:pt idx="95">
                  <c:v>-34.16841173626824</c:v>
                </c:pt>
                <c:pt idx="96">
                  <c:v>-34.003899383579267</c:v>
                </c:pt>
                <c:pt idx="97">
                  <c:v>-33.843586756607571</c:v>
                </c:pt>
                <c:pt idx="98">
                  <c:v>-33.686903489783006</c:v>
                </c:pt>
                <c:pt idx="99">
                  <c:v>-33.533279217535409</c:v>
                </c:pt>
                <c:pt idx="100">
                  <c:v>-33.382143574294645</c:v>
                </c:pt>
                <c:pt idx="101">
                  <c:v>-33.232926194490553</c:v>
                </c:pt>
                <c:pt idx="102">
                  <c:v>-33.085056712552984</c:v>
                </c:pt>
                <c:pt idx="103">
                  <c:v>-32.937964762911804</c:v>
                </c:pt>
                <c:pt idx="104">
                  <c:v>-32.791079979996844</c:v>
                </c:pt>
                <c:pt idx="105">
                  <c:v>-32.643831998237971</c:v>
                </c:pt>
                <c:pt idx="106">
                  <c:v>-32.495650452065021</c:v>
                </c:pt>
                <c:pt idx="107">
                  <c:v>-32.345964975907847</c:v>
                </c:pt>
                <c:pt idx="108">
                  <c:v>-32.194205204196308</c:v>
                </c:pt>
                <c:pt idx="109">
                  <c:v>-32.039800771360255</c:v>
                </c:pt>
                <c:pt idx="110">
                  <c:v>-31.882181311829527</c:v>
                </c:pt>
                <c:pt idx="111">
                  <c:v>-31.720776460033981</c:v>
                </c:pt>
                <c:pt idx="112">
                  <c:v>-31.555015850403471</c:v>
                </c:pt>
                <c:pt idx="113">
                  <c:v>-31.384329117367837</c:v>
                </c:pt>
                <c:pt idx="114">
                  <c:v>-31.208145895356939</c:v>
                </c:pt>
                <c:pt idx="115">
                  <c:v>-31.025895818800631</c:v>
                </c:pt>
                <c:pt idx="116">
                  <c:v>-30.837008522128748</c:v>
                </c:pt>
                <c:pt idx="117">
                  <c:v>-30.640913639771153</c:v>
                </c:pt>
                <c:pt idx="118">
                  <c:v>-30.437040806157693</c:v>
                </c:pt>
                <c:pt idx="119">
                  <c:v>-30.224819655718218</c:v>
                </c:pt>
                <c:pt idx="120">
                  <c:v>-30.003679822882582</c:v>
                </c:pt>
                <c:pt idx="121">
                  <c:v>-29.77318582684968</c:v>
                </c:pt>
                <c:pt idx="122">
                  <c:v>-29.533441725894633</c:v>
                </c:pt>
                <c:pt idx="123">
                  <c:v>-29.2846864630616</c:v>
                </c:pt>
                <c:pt idx="124">
                  <c:v>-29.027158981394756</c:v>
                </c:pt>
                <c:pt idx="125">
                  <c:v>-28.761098223938259</c:v>
                </c:pt>
                <c:pt idx="126">
                  <c:v>-28.486743133736276</c:v>
                </c:pt>
                <c:pt idx="127">
                  <c:v>-28.204332653832978</c:v>
                </c:pt>
                <c:pt idx="128">
                  <c:v>-27.914105727272521</c:v>
                </c:pt>
                <c:pt idx="129">
                  <c:v>-27.616301297099078</c:v>
                </c:pt>
                <c:pt idx="130">
                  <c:v>-27.311158306356813</c:v>
                </c:pt>
                <c:pt idx="131">
                  <c:v>-26.998915698089895</c:v>
                </c:pt>
                <c:pt idx="132">
                  <c:v>-26.679812415342482</c:v>
                </c:pt>
                <c:pt idx="133">
                  <c:v>-26.35408740115874</c:v>
                </c:pt>
                <c:pt idx="134">
                  <c:v>-26.021979598582845</c:v>
                </c:pt>
                <c:pt idx="135">
                  <c:v>-25.683727950658952</c:v>
                </c:pt>
                <c:pt idx="136">
                  <c:v>-25.33957140043124</c:v>
                </c:pt>
                <c:pt idx="137">
                  <c:v>-24.989748890943854</c:v>
                </c:pt>
                <c:pt idx="138">
                  <c:v>-24.634499365240977</c:v>
                </c:pt>
                <c:pt idx="139">
                  <c:v>-24.274061766366767</c:v>
                </c:pt>
                <c:pt idx="140">
                  <c:v>-23.908675037365391</c:v>
                </c:pt>
                <c:pt idx="141">
                  <c:v>-23.53857812128102</c:v>
                </c:pt>
                <c:pt idx="142">
                  <c:v>-23.164009961157813</c:v>
                </c:pt>
                <c:pt idx="143">
                  <c:v>-22.785209500039937</c:v>
                </c:pt>
                <c:pt idx="144">
                  <c:v>-22.402415680971558</c:v>
                </c:pt>
                <c:pt idx="145">
                  <c:v>-22.015867446996843</c:v>
                </c:pt>
                <c:pt idx="146">
                  <c:v>-21.62580374115996</c:v>
                </c:pt>
                <c:pt idx="147">
                  <c:v>-21.23246350650507</c:v>
                </c:pt>
                <c:pt idx="148">
                  <c:v>-20.836085686076338</c:v>
                </c:pt>
                <c:pt idx="149">
                  <c:v>-20.436909222917933</c:v>
                </c:pt>
                <c:pt idx="150">
                  <c:v>-20.035173060074019</c:v>
                </c:pt>
                <c:pt idx="151">
                  <c:v>-19.631116140588766</c:v>
                </c:pt>
                <c:pt idx="152">
                  <c:v>-19.224977407506334</c:v>
                </c:pt>
                <c:pt idx="153">
                  <c:v>-18.816995803870892</c:v>
                </c:pt>
                <c:pt idx="154">
                  <c:v>-18.407410272726604</c:v>
                </c:pt>
                <c:pt idx="155">
                  <c:v>-17.996459757117634</c:v>
                </c:pt>
                <c:pt idx="156">
                  <c:v>-17.584383200088151</c:v>
                </c:pt>
                <c:pt idx="157">
                  <c:v>-17.171419544682323</c:v>
                </c:pt>
                <c:pt idx="158">
                  <c:v>-16.757807733944311</c:v>
                </c:pt>
                <c:pt idx="159">
                  <c:v>-16.34378671091828</c:v>
                </c:pt>
                <c:pt idx="160">
                  <c:v>-15.929595418648397</c:v>
                </c:pt>
                <c:pt idx="161">
                  <c:v>-15.515472800178831</c:v>
                </c:pt>
                <c:pt idx="162">
                  <c:v>-15.101657798553745</c:v>
                </c:pt>
                <c:pt idx="163">
                  <c:v>-14.688389356817305</c:v>
                </c:pt>
                <c:pt idx="164">
                  <c:v>-14.275906418013676</c:v>
                </c:pt>
                <c:pt idx="165">
                  <c:v>-13.864447925187026</c:v>
                </c:pt>
                <c:pt idx="166">
                  <c:v>-13.454206981402628</c:v>
                </c:pt>
                <c:pt idx="167">
                  <c:v>-13.045193329810196</c:v>
                </c:pt>
                <c:pt idx="168">
                  <c:v>-12.637370873580558</c:v>
                </c:pt>
                <c:pt idx="169">
                  <c:v>-12.230703515884535</c:v>
                </c:pt>
                <c:pt idx="170">
                  <c:v>-11.825155159892955</c:v>
                </c:pt>
                <c:pt idx="171">
                  <c:v>-11.420689708776637</c:v>
                </c:pt>
                <c:pt idx="172">
                  <c:v>-11.01727106570641</c:v>
                </c:pt>
                <c:pt idx="173">
                  <c:v>-10.614863133853099</c:v>
                </c:pt>
                <c:pt idx="174">
                  <c:v>-10.213429816387526</c:v>
                </c:pt>
                <c:pt idx="175">
                  <c:v>-9.8129350164805178</c:v>
                </c:pt>
                <c:pt idx="176">
                  <c:v>-9.413342637302895</c:v>
                </c:pt>
                <c:pt idx="177">
                  <c:v>-9.0146165820254858</c:v>
                </c:pt>
                <c:pt idx="178">
                  <c:v>-8.6167207538191128</c:v>
                </c:pt>
                <c:pt idx="179">
                  <c:v>-8.2196190558546025</c:v>
                </c:pt>
                <c:pt idx="180">
                  <c:v>-7.8232753913027775</c:v>
                </c:pt>
                <c:pt idx="181">
                  <c:v>-7.4276536633344623</c:v>
                </c:pt>
                <c:pt idx="182">
                  <c:v>-7.0327177751204824</c:v>
                </c:pt>
                <c:pt idx="183">
                  <c:v>-6.6384316298316612</c:v>
                </c:pt>
                <c:pt idx="184">
                  <c:v>-6.2447591306388244</c:v>
                </c:pt>
                <c:pt idx="185">
                  <c:v>-5.8516641807127954</c:v>
                </c:pt>
                <c:pt idx="186">
                  <c:v>-5.4591106832243987</c:v>
                </c:pt>
                <c:pt idx="187">
                  <c:v>-5.0670625413444599</c:v>
                </c:pt>
                <c:pt idx="188">
                  <c:v>-4.6754836582438024</c:v>
                </c:pt>
                <c:pt idx="189">
                  <c:v>-4.2843379370932517</c:v>
                </c:pt>
                <c:pt idx="190">
                  <c:v>-3.8935892810636314</c:v>
                </c:pt>
                <c:pt idx="191">
                  <c:v>-3.5032015933257656</c:v>
                </c:pt>
                <c:pt idx="192">
                  <c:v>-3.1131387770504801</c:v>
                </c:pt>
                <c:pt idx="193">
                  <c:v>-2.7233647354085986</c:v>
                </c:pt>
                <c:pt idx="194">
                  <c:v>-2.3338433715709455</c:v>
                </c:pt>
                <c:pt idx="195">
                  <c:v>-1.9445385887083459</c:v>
                </c:pt>
                <c:pt idx="196">
                  <c:v>-1.5554142899916235</c:v>
                </c:pt>
                <c:pt idx="197">
                  <c:v>-1.1664343785916031</c:v>
                </c:pt>
                <c:pt idx="198">
                  <c:v>-0.77756275767910976</c:v>
                </c:pt>
                <c:pt idx="199">
                  <c:v>-0.38876333042496708</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-59.999898573957836</c:v>
                </c:pt>
                <c:pt idx="1">
                  <c:v>-48.304090284066596</c:v>
                </c:pt>
                <c:pt idx="2">
                  <c:v>-41.637760530499037</c:v>
                </c:pt>
                <c:pt idx="3">
                  <c:v>-35.073932180427455</c:v>
                </c:pt>
                <c:pt idx="4">
                  <c:v>-30.003679822882582</c:v>
                </c:pt>
                <c:pt idx="5">
                  <c:v>-13.864447925187026</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-59.965522631974636</c:v>
                </c:pt>
                <c:pt idx="1">
                  <c:v>-59.760966859406835</c:v>
                </c:pt>
                <c:pt idx="2">
                  <c:v>-59.546524697375389</c:v>
                </c:pt>
                <c:pt idx="3">
                  <c:v>-59.323248843557849</c:v>
                </c:pt>
                <c:pt idx="4">
                  <c:v>-59.092091957143566</c:v>
                </c:pt>
                <c:pt idx="5">
                  <c:v>-58.853913662286686</c:v>
                </c:pt>
                <c:pt idx="6">
                  <c:v>-58.609487235965389</c:v>
                </c:pt>
                <c:pt idx="7">
                  <c:v>-58.359505988622004</c:v>
                </c:pt>
                <c:pt idx="8">
                  <c:v>-58.10458934549024</c:v>
                </c:pt>
                <c:pt idx="9">
                  <c:v>-57.845288636884106</c:v>
                </c:pt>
                <c:pt idx="10">
                  <c:v>-57.582092605180151</c:v>
                </c:pt>
                <c:pt idx="11">
                  <c:v>-57.315432636567493</c:v>
                </c:pt>
                <c:pt idx="12">
                  <c:v>-57.045687724979416</c:v>
                </c:pt>
                <c:pt idx="13">
                  <c:v>-56.773189176294181</c:v>
                </c:pt>
                <c:pt idx="14">
                  <c:v>-56.498225059905053</c:v>
                </c:pt>
                <c:pt idx="15">
                  <c:v>-56.221044415490724</c:v>
                </c:pt>
                <c:pt idx="16">
                  <c:v>-55.941861222140233</c:v>
                </c:pt>
                <c:pt idx="17">
                  <c:v>-55.660858137161085</c:v>
                </c:pt>
                <c:pt idx="18">
                  <c:v>-55.378190011762399</c:v>
                </c:pt>
                <c:pt idx="19">
                  <c:v>-55.093987190662574</c:v>
                </c:pt>
                <c:pt idx="20">
                  <c:v>-54.808358602592762</c:v>
                </c:pt>
                <c:pt idx="21">
                  <c:v>-54.521394648658315</c:v>
                </c:pt>
                <c:pt idx="22">
                  <c:v>-54.23316989521436</c:v>
                </c:pt>
                <c:pt idx="23">
                  <c:v>-53.943745578081689</c:v>
                </c:pt>
                <c:pt idx="24">
                  <c:v>-53.653171924648177</c:v>
                </c:pt>
                <c:pt idx="25">
                  <c:v>-53.361490300304013</c:v>
                </c:pt>
                <c:pt idx="26">
                  <c:v>-53.068735185733658</c:v>
                </c:pt>
                <c:pt idx="27">
                  <c:v>-52.774935991271605</c:v>
                </c:pt>
                <c:pt idx="28">
                  <c:v>-52.480118714587888</c:v>
                </c:pt>
                <c:pt idx="29">
                  <c:v>-52.184307447816309</c:v>
                </c:pt>
                <c:pt idx="30">
                  <c:v>-51.887525740141882</c:v>
                </c:pt>
                <c:pt idx="31">
                  <c:v>-51.589797821769707</c:v>
                </c:pt>
                <c:pt idx="32">
                  <c:v>-51.291149695126023</c:v>
                </c:pt>
                <c:pt idx="33">
                  <c:v>-50.991610099049922</c:v>
                </c:pt>
                <c:pt idx="34">
                  <c:v>-50.691211351487709</c:v>
                </c:pt>
                <c:pt idx="35">
                  <c:v>-50.389990076448157</c:v>
                </c:pt>
                <c:pt idx="36">
                  <c:v>-50.087987820468925</c:v>
                </c:pt>
                <c:pt idx="37">
                  <c:v>-49.785251564054079</c:v>
                </c:pt>
                <c:pt idx="38">
                  <c:v>-49.48183413333436</c:v>
                </c:pt>
                <c:pt idx="39">
                  <c:v>-49.177794517055872</c:v>
                </c:pt>
                <c:pt idx="40">
                  <c:v>-48.873198094026861</c:v>
                </c:pt>
                <c:pt idx="41">
                  <c:v>-48.568116775940666</c:v>
                </c:pt>
                <c:pt idx="42">
                  <c:v>-48.26262907050841</c:v>
                </c:pt>
                <c:pt idx="43">
                  <c:v>-47.956820069596688</c:v>
                </c:pt>
                <c:pt idx="44">
                  <c:v>-47.650781367152376</c:v>
                </c:pt>
                <c:pt idx="45">
                  <c:v>-47.344610911407585</c:v>
                </c:pt>
                <c:pt idx="46">
                  <c:v>-47.038412795912791</c:v>
                </c:pt>
                <c:pt idx="47">
                  <c:v>-46.732296993791579</c:v>
                </c:pt>
                <c:pt idx="48">
                  <c:v>-46.426379039482413</c:v>
                </c:pt>
                <c:pt idx="49">
                  <c:v>-46.120779662202153</c:v>
                </c:pt>
                <c:pt idx="50">
                  <c:v>-45.815624375225298</c:v>
                </c:pt>
                <c:pt idx="51">
                  <c:v>-45.51104302500346</c:v>
                </c:pt>
                <c:pt idx="52">
                  <c:v>-45.207169304016475</c:v>
                </c:pt>
                <c:pt idx="53">
                  <c:v>-44.904140231207862</c:v>
                </c:pt>
                <c:pt idx="54">
                  <c:v>-44.602095603704981</c:v>
                </c:pt>
                <c:pt idx="55">
                  <c:v>-44.30117742345476</c:v>
                </c:pt>
                <c:pt idx="56">
                  <c:v>-44.001529302329857</c:v>
                </c:pt>
                <c:pt idx="57">
                  <c:v>-43.703295849115307</c:v>
                </c:pt>
                <c:pt idx="58">
                  <c:v>-43.406622041731794</c:v>
                </c:pt>
                <c:pt idx="59">
                  <c:v>-43.111652587937783</c:v>
                </c:pt>
                <c:pt idx="60">
                  <c:v>-42.818531277665102</c:v>
                </c:pt>
                <c:pt idx="61">
                  <c:v>-42.527400330031696</c:v>
                </c:pt>
                <c:pt idx="62">
                  <c:v>-42.238399738000112</c:v>
                </c:pt>
                <c:pt idx="63">
                  <c:v>-41.951666613541647</c:v>
                </c:pt>
                <c:pt idx="64">
                  <c:v>-41.667334536067585</c:v>
                </c:pt>
                <c:pt idx="65">
                  <c:v>-41.385532906808635</c:v>
                </c:pt>
                <c:pt idx="66">
                  <c:v>-41.106386311705961</c:v>
                </c:pt>
                <c:pt idx="67">
                  <c:v>-40.830013895305569</c:v>
                </c:pt>
                <c:pt idx="68">
                  <c:v>-40.556528748025016</c:v>
                </c:pt>
                <c:pt idx="69">
                  <c:v>-40.286037309096713</c:v>
                </c:pt>
                <c:pt idx="70">
                  <c:v>-40.018638787370577</c:v>
                </c:pt>
                <c:pt idx="71">
                  <c:v>-39.754424602066564</c:v>
                </c:pt>
                <c:pt idx="72">
                  <c:v>-39.493477845493544</c:v>
                </c:pt>
                <c:pt idx="73">
                  <c:v>-39.235872769626354</c:v>
                </c:pt>
                <c:pt idx="74">
                  <c:v>-38.981674298353425</c:v>
                </c:pt>
                <c:pt idx="75">
                  <c:v>-38.730937567107674</c:v>
                </c:pt>
                <c:pt idx="76">
                  <c:v>-38.48370749150169</c:v>
                </c:pt>
                <c:pt idx="77">
                  <c:v>-38.240018366485117</c:v>
                </c:pt>
                <c:pt idx="78">
                  <c:v>-37.999893497449392</c:v>
                </c:pt>
                <c:pt idx="79">
                  <c:v>-37.763344864612634</c:v>
                </c:pt>
                <c:pt idx="80">
                  <c:v>-37.530372821915023</c:v>
                </c:pt>
                <c:pt idx="81">
                  <c:v>-37.300965831570039</c:v>
                </c:pt>
                <c:pt idx="82">
                  <c:v>-37.075100235306408</c:v>
                </c:pt>
                <c:pt idx="83">
                  <c:v>-36.852740063248987</c:v>
                </c:pt>
                <c:pt idx="84">
                  <c:v>-36.63383688129494</c:v>
                </c:pt>
                <c:pt idx="85">
                  <c:v>-36.418329677739138</c:v>
                </c:pt>
                <c:pt idx="86">
                  <c:v>-36.206144789794678</c:v>
                </c:pt>
                <c:pt idx="87">
                  <c:v>-35.997195870598901</c:v>
                </c:pt>
                <c:pt idx="88">
                  <c:v>-35.791383897146076</c:v>
                </c:pt>
                <c:pt idx="89">
                  <c:v>-35.588597219533384</c:v>
                </c:pt>
                <c:pt idx="90">
                  <c:v>-35.388711651794047</c:v>
                </c:pt>
                <c:pt idx="91">
                  <c:v>-35.191590604497563</c:v>
                </c:pt>
                <c:pt idx="92">
                  <c:v>-34.997085259199437</c:v>
                </c:pt>
                <c:pt idx="93">
                  <c:v>-34.80503478473338</c:v>
                </c:pt>
                <c:pt idx="94">
                  <c:v>-34.615266595234701</c:v>
                </c:pt>
                <c:pt idx="95">
                  <c:v>-34.427596649697108</c:v>
                </c:pt>
                <c:pt idx="96">
                  <c:v>-34.241829792761138</c:v>
                </c:pt>
                <c:pt idx="97">
                  <c:v>-34.057760136339269</c:v>
                </c:pt>
                <c:pt idx="98">
                  <c:v>-33.875171481590669</c:v>
                </c:pt>
                <c:pt idx="99">
                  <c:v>-33.693837780659038</c:v>
                </c:pt>
                <c:pt idx="100">
                  <c:v>-33.51352363748893</c:v>
                </c:pt>
                <c:pt idx="101">
                  <c:v>-33.333984846947729</c:v>
                </c:pt>
                <c:pt idx="102">
                  <c:v>-33.154968971375723</c:v>
                </c:pt>
                <c:pt idx="103">
                  <c:v>-32.976215953598853</c:v>
                </c:pt>
                <c:pt idx="104">
                  <c:v>-32.797458765337595</c:v>
                </c:pt>
                <c:pt idx="105">
                  <c:v>-32.618424089851892</c:v>
                </c:pt>
                <c:pt idx="106">
                  <c:v>-32.438833037563306</c:v>
                </c:pt>
                <c:pt idx="107">
                  <c:v>-32.258401893309625</c:v>
                </c:pt>
                <c:pt idx="108">
                  <c:v>-32.076842893772628</c:v>
                </c:pt>
                <c:pt idx="109">
                  <c:v>-31.893865033548025</c:v>
                </c:pt>
                <c:pt idx="110">
                  <c:v>-31.709174898205916</c:v>
                </c:pt>
                <c:pt idx="111">
                  <c:v>-31.522477522616434</c:v>
                </c:pt>
                <c:pt idx="112">
                  <c:v>-31.333477272702844</c:v>
                </c:pt>
                <c:pt idx="113">
                  <c:v>-31.141878748699185</c:v>
                </c:pt>
                <c:pt idx="114">
                  <c:v>-30.947387707887685</c:v>
                </c:pt>
                <c:pt idx="115">
                  <c:v>-30.749712004697969</c:v>
                </c:pt>
                <c:pt idx="116">
                  <c:v>-30.548562545953743</c:v>
                </c:pt>
                <c:pt idx="117">
                  <c:v>-30.343654258958772</c:v>
                </c:pt>
                <c:pt idx="118">
                  <c:v>-30.134707070012492</c:v>
                </c:pt>
                <c:pt idx="119">
                  <c:v>-29.921446890857375</c:v>
                </c:pt>
                <c:pt idx="120">
                  <c:v>-29.70360661045952</c:v>
                </c:pt>
                <c:pt idx="121">
                  <c:v>-29.480927089427151</c:v>
                </c:pt>
                <c:pt idx="122">
                  <c:v>-29.253158154281667</c:v>
                </c:pt>
                <c:pt idx="123">
                  <c:v>-29.020059588694309</c:v>
                </c:pt>
                <c:pt idx="124">
                  <c:v>-28.781402118707341</c:v>
                </c:pt>
                <c:pt idx="125">
                  <c:v>-28.536968388865464</c:v>
                </c:pt>
                <c:pt idx="126">
                  <c:v>-28.286553926083471</c:v>
                </c:pt>
                <c:pt idx="127">
                  <c:v>-28.029968087983871</c:v>
                </c:pt>
                <c:pt idx="128">
                  <c:v>-27.767034992338576</c:v>
                </c:pt>
                <c:pt idx="129">
                  <c:v>-27.497594424157697</c:v>
                </c:pt>
                <c:pt idx="130">
                  <c:v>-27.221502716868304</c:v>
                </c:pt>
                <c:pt idx="131">
                  <c:v>-26.938633603932974</c:v>
                </c:pt>
                <c:pt idx="132">
                  <c:v>-26.648879037160761</c:v>
                </c:pt>
                <c:pt idx="133">
                  <c:v>-26.352149967868417</c:v>
                </c:pt>
                <c:pt idx="134">
                  <c:v>-26.048377086953277</c:v>
                </c:pt>
                <c:pt idx="135">
                  <c:v>-25.737511519843011</c:v>
                </c:pt>
                <c:pt idx="136">
                  <c:v>-25.419525472193484</c:v>
                </c:pt>
                <c:pt idx="137">
                  <c:v>-25.094412822107444</c:v>
                </c:pt>
                <c:pt idx="138">
                  <c:v>-24.76218965455363</c:v>
                </c:pt>
                <c:pt idx="139">
                  <c:v>-24.422894733568121</c:v>
                </c:pt>
                <c:pt idx="140">
                  <c:v>-24.076589907725452</c:v>
                </c:pt>
                <c:pt idx="141">
                  <c:v>-23.723360444269598</c:v>
                </c:pt>
                <c:pt idx="142">
                  <c:v>-23.363315287201285</c:v>
                </c:pt>
                <c:pt idx="143">
                  <c:v>-22.99658723451995</c:v>
                </c:pt>
                <c:pt idx="144">
                  <c:v>-22.623333029724666</c:v>
                </c:pt>
                <c:pt idx="145">
                  <c:v>-22.243733362581846</c:v>
                </c:pt>
                <c:pt idx="146">
                  <c:v>-21.857992774071512</c:v>
                </c:pt>
                <c:pt idx="147">
                  <c:v>-21.466339460328971</c:v>
                </c:pt>
                <c:pt idx="148">
                  <c:v>-21.069024970301712</c:v>
                </c:pt>
                <c:pt idx="149">
                  <c:v>-20.666323791746905</c:v>
                </c:pt>
                <c:pt idx="150">
                  <c:v>-20.258532820097994</c:v>
                </c:pt>
                <c:pt idx="151">
                  <c:v>-19.8459707046338</c:v>
                </c:pt>
                <c:pt idx="152">
                  <c:v>-19.42897706628732</c:v>
                </c:pt>
                <c:pt idx="153">
                  <c:v>-19.00791158133589</c:v>
                </c:pt>
                <c:pt idx="154">
                  <c:v>-18.583152925118391</c:v>
                </c:pt>
                <c:pt idx="155">
                  <c:v>-18.15509756982965</c:v>
                </c:pt>
                <c:pt idx="156">
                  <c:v>-17.724158430346012</c:v>
                </c:pt>
                <c:pt idx="157">
                  <c:v>-17.290763351940747</c:v>
                </c:pt>
                <c:pt idx="158">
                  <c:v>-16.855353433651697</c:v>
                </c:pt>
                <c:pt idx="159">
                  <c:v>-16.418381180968119</c:v>
                </c:pt>
                <c:pt idx="160">
                  <c:v>-15.980308481407722</c:v>
                </c:pt>
                <c:pt idx="161">
                  <c:v>-15.541604396459183</c:v>
                </c:pt>
                <c:pt idx="162">
                  <c:v>-15.102742763269541</c:v>
                </c:pt>
                <c:pt idx="163">
                  <c:v>-14.664199599360257</c:v>
                </c:pt>
                <c:pt idx="164">
                  <c:v>-14.226450303559728</c:v>
                </c:pt>
                <c:pt idx="165">
                  <c:v>-13.78996664624434</c:v>
                </c:pt>
                <c:pt idx="166">
                  <c:v>-13.355213541884515</c:v>
                </c:pt>
                <c:pt idx="167">
                  <c:v>-12.922645596796093</c:v>
                </c:pt>
                <c:pt idx="168">
                  <c:v>-12.492703424901872</c:v>
                </c:pt>
                <c:pt idx="169">
                  <c:v>-12.06580972421227</c:v>
                </c:pt>
                <c:pt idx="170">
                  <c:v>-11.642365106638165</c:v>
                </c:pt>
                <c:pt idx="171">
                  <c:v>-11.222743673653369</c:v>
                </c:pt>
                <c:pt idx="172">
                  <c:v>-10.8072883302283</c:v>
                </c:pt>
                <c:pt idx="173">
                  <c:v>-10.396305829360525</c:v>
                </c:pt>
                <c:pt idx="174">
                  <c:v>-9.9900615394323413</c:v>
                </c:pt>
                <c:pt idx="175">
                  <c:v>-9.5887739265294929</c:v>
                </c:pt>
                <c:pt idx="176">
                  <c:v>-9.1926087437594184</c:v>
                </c:pt>
                <c:pt idx="177">
                  <c:v>-8.8016729195117396</c:v>
                </c:pt>
                <c:pt idx="178">
                  <c:v>-8.4160081365078216</c:v>
                </c:pt>
                <c:pt idx="179">
                  <c:v>-8.0355840933903231</c:v>
                </c:pt>
                <c:pt idx="180">
                  <c:v>-7.6602914405081917</c:v>
                </c:pt>
                <c:pt idx="181">
                  <c:v>-7.2899343814564537</c:v>
                </c:pt>
                <c:pt idx="182">
                  <c:v>-6.9242229318344597</c:v>
                </c:pt>
                <c:pt idx="183">
                  <c:v>-6.5627648265905973</c:v>
                </c:pt>
                <c:pt idx="184">
                  <c:v>-6.2050570672254395</c:v>
                </c:pt>
                <c:pt idx="185">
                  <c:v>-5.8504771000297451</c:v>
                </c:pt>
                <c:pt idx="186">
                  <c:v>-5.4982736164377704</c:v>
                </c:pt>
                <c:pt idx="187">
                  <c:v>-5.1475569664806802</c:v>
                </c:pt>
                <c:pt idx="188">
                  <c:v>-4.7972891762289374</c:v>
                </c:pt>
                <c:pt idx="189">
                  <c:v>-4.4462735600169161</c:v>
                </c:pt>
                <c:pt idx="190">
                  <c:v>-4.0931439181470255</c:v>
                </c:pt>
                <c:pt idx="191">
                  <c:v>-3.7363533106749713</c:v>
                </c:pt>
                <c:pt idx="192">
                  <c:v>-3.3741623977819275</c:v>
                </c:pt>
                <c:pt idx="193">
                  <c:v>-3.0046273371436247</c:v>
                </c:pt>
                <c:pt idx="194">
                  <c:v>-2.6255872286105637</c:v>
                </c:pt>
                <c:pt idx="195">
                  <c:v>-2.2346510964177755</c:v>
                </c:pt>
                <c:pt idx="196">
                  <c:v>-1.8291843990467642</c:v>
                </c:pt>
                <c:pt idx="197">
                  <c:v>-1.4062950567664785</c:v>
                </c:pt>
                <c:pt idx="198">
                  <c:v>-0.96281898678435585</c:v>
                </c:pt>
                <c:pt idx="199">
                  <c:v>-0.49530513584272079</c:v>
                </c:pt>
                <c:pt idx="200">
                  <c:v>0</c:v>
                </c:pt>
              </c:numCache>
            </c:numRef>
          </c:yVal>
          <c:smooth val="1"/>
        </c:ser>
        <c:dLbls>
          <c:showLegendKey val="0"/>
          <c:showVal val="0"/>
          <c:showCatName val="0"/>
          <c:showSerName val="0"/>
          <c:showPercent val="0"/>
          <c:showBubbleSize val="0"/>
        </c:dLbls>
        <c:axId val="494070848"/>
        <c:axId val="494071240"/>
      </c:scatterChart>
      <c:valAx>
        <c:axId val="4940708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1240"/>
        <c:crossesAt val="-1000"/>
        <c:crossBetween val="midCat"/>
      </c:valAx>
      <c:valAx>
        <c:axId val="49407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8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0.51053074193547776</v>
      </c>
      <c r="D59" s="55">
        <v>1</v>
      </c>
    </row>
    <row r="60" spans="1:4" s="11" customFormat="1" x14ac:dyDescent="0.25">
      <c r="A60" s="54">
        <v>2</v>
      </c>
      <c r="B60" s="56">
        <f>'Shiftfunktion bestimmen'!N2</f>
        <v>1.591766651950233E-2</v>
      </c>
      <c r="D60" s="55">
        <v>2</v>
      </c>
    </row>
    <row r="61" spans="1:4" s="11" customFormat="1" x14ac:dyDescent="0.25">
      <c r="A61" s="54">
        <v>3</v>
      </c>
      <c r="B61" s="56">
        <f>'Shiftfunktion bestimmen'!N3</f>
        <v>7.0587531715780155E-4</v>
      </c>
      <c r="D61" s="55">
        <v>3</v>
      </c>
    </row>
    <row r="62" spans="1:4" s="11" customFormat="1" x14ac:dyDescent="0.25">
      <c r="A62" s="54">
        <v>4</v>
      </c>
      <c r="B62" s="56">
        <f>'Shiftfunktion bestimmen'!N4</f>
        <v>1.395418314926032E-5</v>
      </c>
      <c r="D62" s="55">
        <v>4</v>
      </c>
    </row>
    <row r="63" spans="1:4" s="11" customFormat="1" x14ac:dyDescent="0.25">
      <c r="A63" s="54">
        <v>5</v>
      </c>
      <c r="B63" s="56">
        <f>'Shiftfunktion bestimmen'!N5</f>
        <v>1.4004639732018242E-7</v>
      </c>
      <c r="D63" s="55">
        <v>5</v>
      </c>
    </row>
    <row r="64" spans="1:4" s="11" customFormat="1" x14ac:dyDescent="0.25">
      <c r="A64" s="54">
        <v>6</v>
      </c>
      <c r="B64" s="56">
        <f>'Shiftfunktion bestimmen'!N6</f>
        <v>7.5576046661320867E-10</v>
      </c>
      <c r="D64" s="55">
        <v>6</v>
      </c>
    </row>
    <row r="65" spans="1:5" s="11" customFormat="1" x14ac:dyDescent="0.25">
      <c r="A65" s="54">
        <v>7</v>
      </c>
      <c r="B65" s="56">
        <f>'Shiftfunktion bestimmen'!N7</f>
        <v>2.1023384243898659E-12</v>
      </c>
      <c r="D65" s="55">
        <v>7</v>
      </c>
    </row>
    <row r="66" spans="1:5" x14ac:dyDescent="0.25">
      <c r="A66" s="54">
        <v>8</v>
      </c>
      <c r="B66" s="56">
        <f>'Shiftfunktion bestimmen'!N8</f>
        <v>2.3757236620407153E-15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0.39501743006781931</v>
      </c>
      <c r="D74" s="51">
        <v>1</v>
      </c>
      <c r="E74" s="56">
        <f>'Mastercurve bestimmen'!A18</f>
        <v>1.0000000000000001E-20</v>
      </c>
    </row>
    <row r="75" spans="1:5" x14ac:dyDescent="0.25">
      <c r="A75" s="50">
        <f>A74+1</f>
        <v>2</v>
      </c>
      <c r="B75" s="56">
        <f>'Mastercurve bestimmen'!C19</f>
        <v>5.9661445570693118E-2</v>
      </c>
      <c r="D75" s="51">
        <v>2</v>
      </c>
      <c r="E75" s="56">
        <f>'Mastercurve bestimmen'!A19</f>
        <v>3.9038946506297401E-14</v>
      </c>
    </row>
    <row r="76" spans="1:5" x14ac:dyDescent="0.25">
      <c r="A76" s="50">
        <f t="shared" ref="A76:A104" si="0">A75+1</f>
        <v>3</v>
      </c>
      <c r="B76" s="56">
        <f>'Mastercurve bestimmen'!C20</f>
        <v>1.9174474308937255E-2</v>
      </c>
      <c r="D76" s="51">
        <v>3</v>
      </c>
      <c r="E76" s="56">
        <f>'Mastercurve bestimmen'!A20</f>
        <v>4.3276437088188502E-13</v>
      </c>
    </row>
    <row r="77" spans="1:5" x14ac:dyDescent="0.25">
      <c r="A77" s="50">
        <f t="shared" si="0"/>
        <v>4</v>
      </c>
      <c r="B77" s="56">
        <f>'Mastercurve bestimmen'!C21</f>
        <v>3.042813256492289E-2</v>
      </c>
      <c r="D77" s="51">
        <v>4</v>
      </c>
      <c r="E77" s="56">
        <f>'Mastercurve bestimmen'!A21</f>
        <v>4.7973886968128502E-12</v>
      </c>
    </row>
    <row r="78" spans="1:5" x14ac:dyDescent="0.25">
      <c r="A78" s="50">
        <f t="shared" si="0"/>
        <v>5</v>
      </c>
      <c r="B78" s="56">
        <f>'Mastercurve bestimmen'!C22</f>
        <v>3.3546614570255213E-2</v>
      </c>
      <c r="D78" s="51">
        <v>5</v>
      </c>
      <c r="E78" s="56">
        <f>'Mastercurve bestimmen'!A22</f>
        <v>5.31812225239524E-11</v>
      </c>
    </row>
    <row r="79" spans="1:5" x14ac:dyDescent="0.25">
      <c r="A79" s="50">
        <f t="shared" si="0"/>
        <v>6</v>
      </c>
      <c r="B79" s="56">
        <f>'Mastercurve bestimmen'!C23</f>
        <v>3.6056553536874446E-2</v>
      </c>
      <c r="D79" s="51">
        <v>6</v>
      </c>
      <c r="E79" s="56">
        <f>'Mastercurve bestimmen'!A23</f>
        <v>5.8953789402578301E-10</v>
      </c>
    </row>
    <row r="80" spans="1:5" x14ac:dyDescent="0.25">
      <c r="A80" s="50">
        <f t="shared" si="0"/>
        <v>7</v>
      </c>
      <c r="B80" s="56">
        <f>'Mastercurve bestimmen'!C24</f>
        <v>4.1431742608178009E-2</v>
      </c>
      <c r="D80" s="51">
        <v>7</v>
      </c>
      <c r="E80" s="56">
        <f>'Mastercurve bestimmen'!A24</f>
        <v>6.5352940755699598E-9</v>
      </c>
    </row>
    <row r="81" spans="1:5" x14ac:dyDescent="0.25">
      <c r="A81" s="50">
        <f t="shared" si="0"/>
        <v>8</v>
      </c>
      <c r="B81" s="56">
        <f>'Mastercurve bestimmen'!C25</f>
        <v>4.558861375636767E-2</v>
      </c>
      <c r="D81" s="51">
        <v>8</v>
      </c>
      <c r="E81" s="56">
        <f>'Mastercurve bestimmen'!A25</f>
        <v>7.2446689325643296E-8</v>
      </c>
    </row>
    <row r="82" spans="1:5" x14ac:dyDescent="0.25">
      <c r="A82" s="50">
        <f t="shared" si="0"/>
        <v>9</v>
      </c>
      <c r="B82" s="56">
        <f>'Mastercurve bestimmen'!C26</f>
        <v>5.454765248808658E-2</v>
      </c>
      <c r="D82" s="51">
        <f>A82</f>
        <v>9</v>
      </c>
      <c r="E82" s="56">
        <f>'Mastercurve bestimmen'!A26</f>
        <v>8.03104303120212E-7</v>
      </c>
    </row>
    <row r="83" spans="1:5" x14ac:dyDescent="0.25">
      <c r="A83" s="50">
        <f t="shared" si="0"/>
        <v>10</v>
      </c>
      <c r="B83" s="56">
        <f>'Mastercurve bestimmen'!C27</f>
        <v>6.3488731508467941E-2</v>
      </c>
      <c r="C83" s="11"/>
      <c r="D83" s="51">
        <f t="shared" ref="D83:D104" si="1">A83</f>
        <v>10</v>
      </c>
      <c r="E83" s="56">
        <f>'Mastercurve bestimmen'!A27</f>
        <v>8.9027742702096099E-6</v>
      </c>
    </row>
    <row r="84" spans="1:5" x14ac:dyDescent="0.25">
      <c r="A84" s="50">
        <f t="shared" si="0"/>
        <v>11</v>
      </c>
      <c r="B84" s="56">
        <f>'Mastercurve bestimmen'!C28</f>
        <v>6.4437498796687767E-2</v>
      </c>
      <c r="C84" s="11"/>
      <c r="D84" s="51">
        <f t="shared" si="1"/>
        <v>11</v>
      </c>
      <c r="E84" s="56">
        <f>'Mastercurve bestimmen'!A28</f>
        <v>9.86912775817142E-5</v>
      </c>
    </row>
    <row r="85" spans="1:5" x14ac:dyDescent="0.25">
      <c r="A85" s="50">
        <f t="shared" si="0"/>
        <v>12</v>
      </c>
      <c r="B85" s="56">
        <f>'Mastercurve bestimmen'!C29</f>
        <v>5.0984711138190433E-2</v>
      </c>
      <c r="C85" s="11"/>
      <c r="D85" s="51">
        <f t="shared" si="1"/>
        <v>12</v>
      </c>
      <c r="E85" s="56">
        <f>'Mastercurve bestimmen'!A29</f>
        <v>1.0940374286813801E-3</v>
      </c>
    </row>
    <row r="86" spans="1:5" x14ac:dyDescent="0.25">
      <c r="A86" s="50">
        <f t="shared" si="0"/>
        <v>13</v>
      </c>
      <c r="B86" s="56">
        <f>'Mastercurve bestimmen'!C30</f>
        <v>3.1725580310806592E-2</v>
      </c>
      <c r="C86" s="11"/>
      <c r="D86" s="51">
        <f t="shared" si="1"/>
        <v>13</v>
      </c>
      <c r="E86" s="56">
        <f>'Mastercurve bestimmen'!A30</f>
        <v>1.2127899493091E-2</v>
      </c>
    </row>
    <row r="87" spans="1:5" x14ac:dyDescent="0.25">
      <c r="A87" s="50">
        <f t="shared" si="0"/>
        <v>14</v>
      </c>
      <c r="B87" s="56">
        <f>'Mastercurve bestimmen'!C31</f>
        <v>1.5443830992985543E-2</v>
      </c>
      <c r="C87" s="11"/>
      <c r="D87" s="51">
        <f t="shared" si="1"/>
        <v>14</v>
      </c>
      <c r="E87" s="56">
        <f>'Mastercurve bestimmen'!A31</f>
        <v>0.13444324870292301</v>
      </c>
    </row>
    <row r="88" spans="1:5" x14ac:dyDescent="0.25">
      <c r="A88" s="50">
        <f t="shared" si="0"/>
        <v>15</v>
      </c>
      <c r="B88" s="56">
        <f>'Mastercurve bestimmen'!C32</f>
        <v>7.0696001208784189E-3</v>
      </c>
      <c r="C88" s="11"/>
      <c r="D88" s="51">
        <f t="shared" si="1"/>
        <v>15</v>
      </c>
      <c r="E88" s="56">
        <f>'Mastercurve bestimmen'!A32</f>
        <v>1.49036419143257</v>
      </c>
    </row>
    <row r="89" spans="1:5" x14ac:dyDescent="0.25">
      <c r="A89" s="50">
        <f t="shared" si="0"/>
        <v>16</v>
      </c>
      <c r="B89" s="56">
        <f>'Mastercurve bestimmen'!C33</f>
        <v>3.5043206729719373E-3</v>
      </c>
      <c r="C89" s="11"/>
      <c r="D89" s="51">
        <f t="shared" si="1"/>
        <v>16</v>
      </c>
      <c r="E89" s="56">
        <f>'Mastercurve bestimmen'!A33</f>
        <v>16.521360830937301</v>
      </c>
    </row>
    <row r="90" spans="1:5" x14ac:dyDescent="0.25">
      <c r="A90" s="50">
        <f t="shared" si="0"/>
        <v>17</v>
      </c>
      <c r="B90" s="56">
        <f>'Mastercurve bestimmen'!C34</f>
        <v>2.9646797109614421E-3</v>
      </c>
      <c r="C90" s="11"/>
      <c r="D90" s="51">
        <f t="shared" si="1"/>
        <v>17</v>
      </c>
      <c r="E90" s="56">
        <f>'Mastercurve bestimmen'!A34</f>
        <v>183.146753843879</v>
      </c>
    </row>
    <row r="91" spans="1:5" x14ac:dyDescent="0.25">
      <c r="A91" s="50">
        <f t="shared" si="0"/>
        <v>18</v>
      </c>
      <c r="B91" s="56">
        <f>'Mastercurve bestimmen'!C35</f>
        <v>0</v>
      </c>
      <c r="C91" s="11"/>
      <c r="D91" s="51">
        <f t="shared" si="1"/>
        <v>18</v>
      </c>
      <c r="E91" s="56">
        <f>'Mastercurve bestimmen'!A35</f>
        <v>2030.26456396616</v>
      </c>
    </row>
    <row r="92" spans="1:5" x14ac:dyDescent="0.25">
      <c r="A92" s="50">
        <f t="shared" si="0"/>
        <v>19</v>
      </c>
      <c r="B92" s="56">
        <f>'Mastercurve bestimmen'!C36</f>
        <v>3.098114236407119E-3</v>
      </c>
      <c r="C92" s="11"/>
      <c r="D92" s="51">
        <f t="shared" si="1"/>
        <v>19</v>
      </c>
      <c r="E92" s="56">
        <f>'Mastercurve bestimmen'!A36</f>
        <v>22506.400540467101</v>
      </c>
    </row>
    <row r="93" spans="1:5" x14ac:dyDescent="0.25">
      <c r="A93" s="50">
        <f t="shared" si="0"/>
        <v>20</v>
      </c>
      <c r="B93" s="56">
        <f>'Mastercurve bestimmen'!C37</f>
        <v>1.3450651080742435E-3</v>
      </c>
      <c r="C93" s="11"/>
      <c r="D93" s="51">
        <f t="shared" si="1"/>
        <v>20</v>
      </c>
      <c r="E93" s="56">
        <f>'Mastercurve bestimmen'!A37</f>
        <v>249493.62476110301</v>
      </c>
    </row>
    <row r="94" spans="1:5" x14ac:dyDescent="0.25">
      <c r="A94" s="50">
        <f t="shared" si="0"/>
        <v>21</v>
      </c>
      <c r="B94" s="56">
        <f>'Mastercurve bestimmen'!C38</f>
        <v>1.5999872696703847E-4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1.1033683083565872E-4</v>
      </c>
      <c r="C97" s="11"/>
      <c r="D97" s="51">
        <f t="shared" si="1"/>
        <v>24</v>
      </c>
      <c r="E97" s="56">
        <f>'Mastercurve bestimmen'!A41</f>
        <v>1000000000</v>
      </c>
    </row>
    <row r="98" spans="1:5" x14ac:dyDescent="0.25">
      <c r="A98" s="50">
        <f t="shared" si="0"/>
        <v>25</v>
      </c>
      <c r="B98" s="56">
        <f>'Mastercurve bestimmen'!C42</f>
        <v>5.3430093526516889E-5</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1.1249816087007928E-3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12">
        <f>STUTT!D8</f>
        <v>5614.1607000000004</v>
      </c>
      <c r="D113" s="112"/>
    </row>
    <row r="114" spans="1:4" s="11" customFormat="1" x14ac:dyDescent="0.25">
      <c r="A114" s="61" t="str">
        <f>STUTT!B9</f>
        <v>MP,GXY,</v>
      </c>
      <c r="B114" s="52" t="str">
        <f>STUTT!C9</f>
        <v>MatID,</v>
      </c>
      <c r="C114" s="112">
        <f>STUTT!D9</f>
        <v>6353.6364000000003</v>
      </c>
      <c r="D114" s="112"/>
    </row>
    <row r="115" spans="1:4" x14ac:dyDescent="0.25">
      <c r="A115" s="61" t="str">
        <f>STUTT!B10</f>
        <v>MP,GYZ,</v>
      </c>
      <c r="B115" s="52" t="str">
        <f>STUTT!C10</f>
        <v>MatID,</v>
      </c>
      <c r="C115" s="112">
        <f>STUTT!D10</f>
        <v>6353.6364000000003</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5"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89">
        <f>(INDEX(L:L,ROW(L2)*2+1)+INDEX(L:L,ROW(L2)*2+2))/2</f>
        <v>2.4226182285714289E-5</v>
      </c>
      <c r="P5" s="89">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89">
        <f t="shared" ref="O6:O7" si="2">(INDEX(L:L,ROW(L3)*2+1)+INDEX(L:L,ROW(L3)*2+2))/2</f>
        <v>2.6648912571428573E-5</v>
      </c>
      <c r="P6" s="89">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89">
        <f t="shared" si="2"/>
        <v>5.1568891714285722E-5</v>
      </c>
      <c r="P7" s="89">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89">
        <f t="shared" ref="O8:O9" si="4">(INDEX(L:L,ROW(L5)*2+1)+INDEX(L:L,ROW(L5)*2+2))/2</f>
        <v>7.4083502857142863E-5</v>
      </c>
      <c r="P8" s="89">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89">
        <f t="shared" si="4"/>
        <v>7.3900625714285717E-5</v>
      </c>
      <c r="P9" s="89">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D5" sqref="D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3448.2859181540075</v>
      </c>
      <c r="G16" s="26">
        <f>INDEX(Comparison!$AM$3:$AS$33,G14,$B$3)</f>
        <v>3239.5923652397146</v>
      </c>
      <c r="H16" s="26">
        <f>INDEX(Comparison!$AM$3:$AS$33,H14,$B$3)</f>
        <v>3081.9689442141253</v>
      </c>
      <c r="I16" s="26">
        <f>INDEX(Comparison!$AM$3:$AS$33,I14,$B$3)</f>
        <v>2925.1274026703973</v>
      </c>
      <c r="J16" s="26">
        <f>INDEX(Comparison!$AM$3:$AS$33,J14,$B$3)</f>
        <v>2768.6775302611704</v>
      </c>
      <c r="K16" s="26">
        <f>INDEX(Comparison!$AM$3:$AS$33,K14,$B$3)</f>
        <v>2587.8715481120807</v>
      </c>
      <c r="L16" s="26">
        <f>INDEX(Comparison!$AM$3:$AS$33,L14,$B$3)</f>
        <v>2392.4689452404186</v>
      </c>
      <c r="M16" s="26">
        <f>INDEX(Comparison!$AM$3:$AS$33,M14,$B$3)</f>
        <v>2172.7822789963197</v>
      </c>
      <c r="N16" s="26">
        <f>INDEX(Comparison!$AM$3:$AS$33,N14,$B$3)</f>
        <v>1927.9643975704516</v>
      </c>
      <c r="O16" s="26">
        <f>INDEX(Comparison!$AM$3:$AS$33,O14,$B$3)</f>
        <v>1643.6970338003</v>
      </c>
      <c r="P16" s="26">
        <f>INDEX(Comparison!$AM$3:$AS$33,P14,$B$3)</f>
        <v>1319.6710728146086</v>
      </c>
      <c r="Q16" s="26">
        <f>INDEX(Comparison!$AM$3:$AS$33,Q14,$B$3)</f>
        <v>983.6154232764427</v>
      </c>
      <c r="R16" s="26">
        <f>INDEX(Comparison!$AM$3:$AS$33,R14,$B$3)</f>
        <v>693.66104788005293</v>
      </c>
      <c r="S16" s="26">
        <f>INDEX(Comparison!$AM$3:$AS$33,S14,$B$3)</f>
        <v>485.93999274200024</v>
      </c>
      <c r="T16" s="26">
        <f>INDEX(Comparison!$AM$3:$AS$33,T14,$B$3)</f>
        <v>367.37990571310178</v>
      </c>
      <c r="U16" s="26">
        <f>INDEX(Comparison!$AM$3:$AS$33,U14,$B$3)</f>
        <v>307.17178720865763</v>
      </c>
      <c r="V16" s="26">
        <f>INDEX(Comparison!$AM$3:$AS$33,V14,$B$3)</f>
        <v>279.06842494658031</v>
      </c>
      <c r="W16" s="26">
        <f>INDEX(Comparison!$AM$3:$AS$33,W14,$B$3)</f>
        <v>261.67169004040318</v>
      </c>
      <c r="X16" s="26">
        <f>INDEX(Comparison!$AM$3:$AS$33,X14,$B$3)</f>
        <v>251.34674819282765</v>
      </c>
      <c r="Y16" s="26">
        <f>INDEX(Comparison!$AM$3:$AS$33,Y14,$B$3)</f>
        <v>246.12933837944422</v>
      </c>
      <c r="Z16" s="26">
        <f>INDEX(Comparison!$AM$3:$AS$33,Z14,$B$3)</f>
        <v>232.30454015462297</v>
      </c>
      <c r="AA16" s="26">
        <f>INDEX(Comparison!$AM$3:$AS$33,AA14,$B$3)</f>
        <v>227.24083682489959</v>
      </c>
      <c r="AB16" s="26">
        <f>INDEX(Comparison!$AM$3:$AS$33,AB14,$B$3)</f>
        <v>226.40989093990805</v>
      </c>
      <c r="AC16" s="26">
        <f>INDEX(Comparison!$AM$3:$AS$33,AC14,$B$3)</f>
        <v>226.30209993218824</v>
      </c>
      <c r="AD16" s="26">
        <f>INDEX(Comparison!$AM$3:$AS$33,AD14,$B$3)</f>
        <v>225.971358220734</v>
      </c>
      <c r="AE16" s="26">
        <f>INDEX(Comparison!$AM$3:$AS$33,AE14,$B$3)</f>
        <v>225.60625299057205</v>
      </c>
      <c r="AF16" s="26">
        <f>INDEX(Comparison!$AM$3:$AS$33,AF14,$B$3)</f>
        <v>225.49131077609314</v>
      </c>
      <c r="AG16" s="26">
        <f>INDEX(Comparison!$AM$3:$AS$33,AG14,$B$3)</f>
        <v>225.3813329804162</v>
      </c>
      <c r="AH16" s="26">
        <f>INDEX(Comparison!$AM$3:$AS$33,AH14,$B$3)</f>
        <v>225.28846256587596</v>
      </c>
      <c r="AI16" s="26">
        <f>INDEX(Comparison!$AM$3:$AS$33,AI14,$B$3)</f>
        <v>225.26138301118297</v>
      </c>
      <c r="AJ16" s="26">
        <f>INDEX(Comparison!$AM$3:$AS$33,AJ14,$B$3)</f>
        <v>225.24704548920718</v>
      </c>
    </row>
    <row r="17" spans="1:36" x14ac:dyDescent="0.25">
      <c r="A17" s="14" t="s">
        <v>20</v>
      </c>
      <c r="B17" s="105">
        <v>2.1921481613049174E-2</v>
      </c>
      <c r="C17" s="18">
        <f t="shared" ref="C17:C48" si="3">ABS(B17/$B$49)</f>
        <v>3.9036460671403851E-2</v>
      </c>
      <c r="D17" s="66"/>
      <c r="E17" s="65" t="s">
        <v>22</v>
      </c>
      <c r="F17" s="27">
        <f>($C$17+SUM(F18:F48))*$B$51</f>
        <v>3387.7104697731975</v>
      </c>
      <c r="G17" s="27">
        <f t="shared" ref="G17:M17" si="4">($C$17+SUM(G18:G48))*$B$51</f>
        <v>3317.9245130313029</v>
      </c>
      <c r="H17" s="27">
        <f t="shared" si="4"/>
        <v>3061.2476425685777</v>
      </c>
      <c r="I17" s="27">
        <f t="shared" si="4"/>
        <v>2928.5161380842824</v>
      </c>
      <c r="J17" s="27">
        <f t="shared" si="4"/>
        <v>2768.2062945503376</v>
      </c>
      <c r="K17" s="27">
        <f t="shared" si="4"/>
        <v>2587.9251040865133</v>
      </c>
      <c r="L17" s="27">
        <f t="shared" si="4"/>
        <v>2392.4630131418744</v>
      </c>
      <c r="M17" s="27">
        <f t="shared" si="4"/>
        <v>2172.8074481553899</v>
      </c>
      <c r="N17" s="27">
        <f t="shared" ref="N17" si="5">($C$17+SUM(N18:N48))*$B$51</f>
        <v>1927.8735863638851</v>
      </c>
      <c r="O17" s="27">
        <f t="shared" ref="O17" si="6">($C$17+SUM(O18:O48))*$B$51</f>
        <v>1643.8649380366073</v>
      </c>
      <c r="P17" s="27">
        <f t="shared" ref="P17" si="7">($C$17+SUM(P18:P48))*$B$51</f>
        <v>1319.3628051829546</v>
      </c>
      <c r="Q17" s="27">
        <f t="shared" ref="Q17" si="8">($C$17+SUM(Q18:Q48))*$B$51</f>
        <v>984.09958125379353</v>
      </c>
      <c r="R17" s="27">
        <f t="shared" ref="R17" si="9">($C$17+SUM(R18:R48))*$B$51</f>
        <v>693.05856667808882</v>
      </c>
      <c r="S17" s="27">
        <f t="shared" ref="S17:T17" si="10">($C$17+SUM(S18:S48))*$B$51</f>
        <v>486.57520037642672</v>
      </c>
      <c r="T17" s="27">
        <f t="shared" si="10"/>
        <v>366.79671943153625</v>
      </c>
      <c r="U17" s="27">
        <f t="shared" ref="U17" si="11">($C$17+SUM(U18:U48))*$B$51</f>
        <v>307.64710414964782</v>
      </c>
      <c r="V17" s="27">
        <f t="shared" ref="V17" si="12">($C$17+SUM(V18:V48))*$B$51</f>
        <v>278.77569112593704</v>
      </c>
      <c r="W17" s="27">
        <f t="shared" ref="W17" si="13">($C$17+SUM(W18:W48))*$B$51</f>
        <v>261.84252826552699</v>
      </c>
      <c r="X17" s="27">
        <f t="shared" ref="X17" si="14">($C$17+SUM(X18:X48))*$B$51</f>
        <v>251.5195452751037</v>
      </c>
      <c r="Y17" s="27">
        <f t="shared" ref="Y17" si="15">($C$17+SUM(Y18:Y48))*$B$51</f>
        <v>245.69560215935047</v>
      </c>
      <c r="Z17" s="27">
        <f t="shared" ref="Z17:AA17" si="16">($C$17+SUM(Z18:Z48))*$B$51</f>
        <v>232.52077430867922</v>
      </c>
      <c r="AA17" s="27">
        <f t="shared" si="16"/>
        <v>227.15445955498279</v>
      </c>
      <c r="AB17" s="27">
        <f t="shared" ref="AB17" si="17">($C$17+SUM(AB18:AB48))*$B$51</f>
        <v>226.4099037919128</v>
      </c>
      <c r="AC17" s="27">
        <f t="shared" ref="AC17" si="18">($C$17+SUM(AC18:AC48))*$B$51</f>
        <v>226.330271631279</v>
      </c>
      <c r="AD17" s="27">
        <f t="shared" ref="AD17" si="19">($C$17+SUM(AD18:AD48))*$B$51</f>
        <v>225.97209238896627</v>
      </c>
      <c r="AE17" s="27">
        <f t="shared" ref="AE17" si="20">($C$17+SUM(AE18:AE48))*$B$51</f>
        <v>225.58316371624895</v>
      </c>
      <c r="AF17" s="27">
        <f t="shared" ref="AF17" si="21">($C$17+SUM(AF18:AF48))*$B$51</f>
        <v>225.47274136471822</v>
      </c>
      <c r="AG17" s="27">
        <f t="shared" ref="AG17:AH17" si="22">($C$17+SUM(AG18:AG48))*$B$51</f>
        <v>225.47215935310638</v>
      </c>
      <c r="AH17" s="27">
        <f t="shared" si="22"/>
        <v>225.46647823360752</v>
      </c>
      <c r="AI17" s="27">
        <f t="shared" ref="AI17" si="23">($C$17+SUM(AI18:AI48))*$B$51</f>
        <v>225.40994737028922</v>
      </c>
      <c r="AJ17" s="27">
        <f t="shared" ref="AJ17" si="24">($C$17+SUM(AJ18:AJ48))*$B$51</f>
        <v>224.87176044873647</v>
      </c>
    </row>
    <row r="18" spans="1:36" x14ac:dyDescent="0.25">
      <c r="A18" s="3">
        <f>0.000000000000001/10^5</f>
        <v>1.0000000000000001E-20</v>
      </c>
      <c r="B18" s="106">
        <v>0.22182767548926524</v>
      </c>
      <c r="C18" s="18">
        <f t="shared" si="3"/>
        <v>0.39501743006781931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3.3503736240205841E-2</v>
      </c>
      <c r="C19" s="18">
        <f t="shared" si="3"/>
        <v>5.9661445570693118E-2</v>
      </c>
      <c r="D19" s="17"/>
      <c r="F19" s="3">
        <f t="shared" si="25"/>
        <v>5.8152598470264043E-2</v>
      </c>
      <c r="G19" s="3">
        <f t="shared" si="25"/>
        <v>4.6179295839281854E-2</v>
      </c>
      <c r="H19" s="3">
        <f t="shared" si="25"/>
        <v>4.6049945023945741E-3</v>
      </c>
      <c r="I19" s="3">
        <f t="shared" si="25"/>
        <v>4.477619789209983E-13</v>
      </c>
      <c r="J19" s="3">
        <f t="shared" si="25"/>
        <v>3.3824250793720582E-113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1.0767699703655934E-2</v>
      </c>
      <c r="C20" s="18">
        <f t="shared" si="3"/>
        <v>1.9174474308937255E-2</v>
      </c>
      <c r="D20" s="17"/>
      <c r="F20" s="3">
        <f t="shared" si="25"/>
        <v>1.9130218498684529E-2</v>
      </c>
      <c r="G20" s="3">
        <f t="shared" si="25"/>
        <v>1.8736484554712666E-2</v>
      </c>
      <c r="H20" s="3">
        <f t="shared" si="25"/>
        <v>1.5218431692124147E-2</v>
      </c>
      <c r="I20" s="3">
        <f t="shared" si="25"/>
        <v>1.9019005251644241E-3</v>
      </c>
      <c r="J20" s="3">
        <f t="shared" si="25"/>
        <v>1.7675299797709102E-12</v>
      </c>
      <c r="K20" s="3">
        <f t="shared" si="25"/>
        <v>8.494869136682089E-103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1.7087352107974595E-2</v>
      </c>
      <c r="C21" s="18">
        <f t="shared" si="3"/>
        <v>3.042813256492289E-2</v>
      </c>
      <c r="D21" s="17"/>
      <c r="F21" s="3">
        <f t="shared" si="25"/>
        <v>3.0421790581109266E-2</v>
      </c>
      <c r="G21" s="3">
        <f t="shared" si="25"/>
        <v>3.0364772176000056E-2</v>
      </c>
      <c r="H21" s="3">
        <f t="shared" si="25"/>
        <v>2.9800432907924019E-2</v>
      </c>
      <c r="I21" s="3">
        <f t="shared" si="25"/>
        <v>2.4702905318908418E-2</v>
      </c>
      <c r="J21" s="3">
        <f t="shared" si="25"/>
        <v>3.7844488629082754E-3</v>
      </c>
      <c r="K21" s="3">
        <f t="shared" si="25"/>
        <v>2.6949376106317414E-11</v>
      </c>
      <c r="L21" s="3">
        <f t="shared" si="25"/>
        <v>9.0366915299986959E-93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1.8838580184617201E-2</v>
      </c>
      <c r="C22" s="18">
        <f t="shared" si="3"/>
        <v>3.3546614570255213E-2</v>
      </c>
      <c r="D22" s="17"/>
      <c r="F22" s="3">
        <f t="shared" si="25"/>
        <v>3.354598377807743E-2</v>
      </c>
      <c r="G22" s="3">
        <f t="shared" si="25"/>
        <v>3.3540307182198782E-2</v>
      </c>
      <c r="H22" s="3">
        <f t="shared" si="25"/>
        <v>3.3483594028729913E-2</v>
      </c>
      <c r="I22" s="3">
        <f t="shared" si="25"/>
        <v>3.2921710110319198E-2</v>
      </c>
      <c r="J22" s="3">
        <f t="shared" si="25"/>
        <v>2.7796209353605609E-2</v>
      </c>
      <c r="K22" s="3">
        <f t="shared" si="25"/>
        <v>5.1170239493524491E-3</v>
      </c>
      <c r="L22" s="3">
        <f t="shared" si="25"/>
        <v>2.2873688669867374E-10</v>
      </c>
      <c r="M22" s="3">
        <f t="shared" si="25"/>
        <v>7.2865804881991986E-84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2.024807223282753E-2</v>
      </c>
      <c r="C23" s="18">
        <f t="shared" si="3"/>
        <v>3.6056553536874446E-2</v>
      </c>
      <c r="D23" s="17"/>
      <c r="F23" s="3">
        <f t="shared" si="25"/>
        <v>3.6056492376220786E-2</v>
      </c>
      <c r="G23" s="3">
        <f t="shared" si="25"/>
        <v>3.6055941935006261E-2</v>
      </c>
      <c r="H23" s="3">
        <f t="shared" si="25"/>
        <v>3.605043798500919E-2</v>
      </c>
      <c r="I23" s="3">
        <f t="shared" si="25"/>
        <v>3.5995444673759057E-2</v>
      </c>
      <c r="J23" s="3">
        <f t="shared" si="25"/>
        <v>3.5450104449854608E-2</v>
      </c>
      <c r="K23" s="3">
        <f t="shared" si="25"/>
        <v>3.0431073987947695E-2</v>
      </c>
      <c r="L23" s="3">
        <f t="shared" si="25"/>
        <v>6.6117266218967069E-3</v>
      </c>
      <c r="M23" s="3">
        <f t="shared" si="25"/>
        <v>1.5498546537727995E-9</v>
      </c>
      <c r="N23" s="3">
        <f t="shared" si="25"/>
        <v>7.7633971848354062E-76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2.3266586369780573E-2</v>
      </c>
      <c r="C24" s="18">
        <f t="shared" si="3"/>
        <v>4.1431742608178009E-2</v>
      </c>
      <c r="D24" s="17"/>
      <c r="F24" s="3">
        <f t="shared" si="25"/>
        <v>4.1431736268487868E-2</v>
      </c>
      <c r="G24" s="3">
        <f t="shared" si="25"/>
        <v>4.1431679211320224E-2</v>
      </c>
      <c r="H24" s="3">
        <f t="shared" si="25"/>
        <v>4.1431108643965438E-2</v>
      </c>
      <c r="I24" s="3">
        <f t="shared" si="25"/>
        <v>4.142540340255918E-2</v>
      </c>
      <c r="J24" s="3">
        <f t="shared" si="25"/>
        <v>4.1368394180642913E-2</v>
      </c>
      <c r="K24" s="3">
        <f t="shared" si="25"/>
        <v>4.0802599248779735E-2</v>
      </c>
      <c r="L24" s="3">
        <f t="shared" si="25"/>
        <v>3.555326569996084E-2</v>
      </c>
      <c r="M24" s="3">
        <f t="shared" si="25"/>
        <v>8.9700772812453845E-3</v>
      </c>
      <c r="N24" s="3">
        <f t="shared" si="25"/>
        <v>9.3748223574788907E-9</v>
      </c>
      <c r="O24" s="3">
        <f t="shared" si="25"/>
        <v>1.4575775508982849E-68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2.56009366893424E-2</v>
      </c>
      <c r="C25" s="18">
        <f t="shared" si="3"/>
        <v>4.558861375636767E-2</v>
      </c>
      <c r="D25" s="17"/>
      <c r="F25" s="3">
        <f t="shared" si="25"/>
        <v>4.5588613127096493E-2</v>
      </c>
      <c r="G25" s="3">
        <f t="shared" si="25"/>
        <v>4.5588607463656297E-2</v>
      </c>
      <c r="H25" s="3">
        <f t="shared" si="25"/>
        <v>4.5588550829292994E-2</v>
      </c>
      <c r="I25" s="3">
        <f t="shared" si="25"/>
        <v>4.5587984489529575E-2</v>
      </c>
      <c r="J25" s="3">
        <f t="shared" si="25"/>
        <v>4.5582321478836486E-2</v>
      </c>
      <c r="K25" s="3">
        <f t="shared" si="25"/>
        <v>4.5525730048232724E-2</v>
      </c>
      <c r="L25" s="3">
        <f t="shared" si="25"/>
        <v>4.4963665656318888E-2</v>
      </c>
      <c r="M25" s="3">
        <f t="shared" si="25"/>
        <v>3.9710889885511372E-2</v>
      </c>
      <c r="N25" s="3">
        <f t="shared" si="25"/>
        <v>1.1465386899234998E-2</v>
      </c>
      <c r="O25" s="3">
        <f t="shared" si="25"/>
        <v>4.6150846050602944E-8</v>
      </c>
      <c r="P25" s="3">
        <f t="shared" si="25"/>
        <v>5.1533446883389723E-62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3.063201275131338E-2</v>
      </c>
      <c r="C26" s="18">
        <f t="shared" si="3"/>
        <v>5.454765248808658E-2</v>
      </c>
      <c r="D26" s="17"/>
      <c r="F26" s="3">
        <f t="shared" si="25"/>
        <v>5.4547652420165571E-2</v>
      </c>
      <c r="G26" s="3">
        <f t="shared" si="25"/>
        <v>5.4547651808876517E-2</v>
      </c>
      <c r="H26" s="3">
        <f t="shared" si="25"/>
        <v>5.4547645695986365E-2</v>
      </c>
      <c r="I26" s="3">
        <f t="shared" si="25"/>
        <v>5.4547584567122498E-2</v>
      </c>
      <c r="J26" s="3">
        <f t="shared" si="25"/>
        <v>5.4546973282251512E-2</v>
      </c>
      <c r="K26" s="3">
        <f t="shared" si="25"/>
        <v>5.454086081029743E-2</v>
      </c>
      <c r="L26" s="3">
        <f t="shared" si="25"/>
        <v>5.4479773750711828E-2</v>
      </c>
      <c r="M26" s="3">
        <f t="shared" si="25"/>
        <v>5.387265358171691E-2</v>
      </c>
      <c r="N26" s="3">
        <f t="shared" si="25"/>
        <v>4.8161399005256844E-2</v>
      </c>
      <c r="O26" s="3">
        <f t="shared" si="25"/>
        <v>1.5703857800129711E-2</v>
      </c>
      <c r="P26" s="3">
        <f t="shared" si="25"/>
        <v>2.1334327373066345E-7</v>
      </c>
      <c r="Q26" s="3">
        <f t="shared" si="25"/>
        <v>4.5688296416072259E-56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3.5653003281064216E-2</v>
      </c>
      <c r="C27" s="18">
        <f t="shared" si="3"/>
        <v>6.3488731508467941E-2</v>
      </c>
      <c r="D27" s="17"/>
      <c r="F27" s="3">
        <f t="shared" si="25"/>
        <v>6.3488731501336604E-2</v>
      </c>
      <c r="G27" s="3">
        <f t="shared" si="25"/>
        <v>6.3488731437154514E-2</v>
      </c>
      <c r="H27" s="3">
        <f t="shared" si="25"/>
        <v>6.3488730795333709E-2</v>
      </c>
      <c r="I27" s="3">
        <f t="shared" si="25"/>
        <v>6.3488724377125952E-2</v>
      </c>
      <c r="J27" s="3">
        <f t="shared" si="25"/>
        <v>6.3488660195084132E-2</v>
      </c>
      <c r="K27" s="3">
        <f t="shared" si="25"/>
        <v>6.3488018378234423E-2</v>
      </c>
      <c r="L27" s="3">
        <f t="shared" si="25"/>
        <v>6.3481600566579047E-2</v>
      </c>
      <c r="M27" s="3">
        <f t="shared" si="25"/>
        <v>6.3417458120850409E-2</v>
      </c>
      <c r="N27" s="3">
        <f t="shared" si="25"/>
        <v>6.2779587439735426E-2</v>
      </c>
      <c r="O27" s="3">
        <f t="shared" si="25"/>
        <v>5.6743317513262691E-2</v>
      </c>
      <c r="P27" s="3">
        <f t="shared" si="25"/>
        <v>2.0647971068776874E-2</v>
      </c>
      <c r="Q27" s="3">
        <f t="shared" si="25"/>
        <v>8.4043470855251752E-7</v>
      </c>
      <c r="R27" s="3">
        <f t="shared" si="25"/>
        <v>1.0489866157938307E-50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3.6185797092440901E-2</v>
      </c>
      <c r="C28" s="18">
        <f t="shared" si="3"/>
        <v>6.4437498796687767E-2</v>
      </c>
      <c r="D28" s="17"/>
      <c r="F28" s="3">
        <f t="shared" si="25"/>
        <v>6.4437498796034845E-2</v>
      </c>
      <c r="G28" s="3">
        <f t="shared" si="25"/>
        <v>6.4437498790158573E-2</v>
      </c>
      <c r="H28" s="3">
        <f t="shared" si="25"/>
        <v>6.4437498731395773E-2</v>
      </c>
      <c r="I28" s="3">
        <f t="shared" si="25"/>
        <v>6.4437498143767868E-2</v>
      </c>
      <c r="J28" s="3">
        <f t="shared" si="25"/>
        <v>6.4437492267489127E-2</v>
      </c>
      <c r="K28" s="3">
        <f t="shared" si="25"/>
        <v>6.4437433504731148E-2</v>
      </c>
      <c r="L28" s="3">
        <f t="shared" si="25"/>
        <v>6.4436845880098612E-2</v>
      </c>
      <c r="M28" s="3">
        <f t="shared" si="25"/>
        <v>6.4430969928495327E-2</v>
      </c>
      <c r="N28" s="3">
        <f t="shared" si="25"/>
        <v>6.437223987472071E-2</v>
      </c>
      <c r="O28" s="3">
        <f t="shared" si="25"/>
        <v>6.3787875645971076E-2</v>
      </c>
      <c r="P28" s="3">
        <f t="shared" si="25"/>
        <v>5.8228193743177413E-2</v>
      </c>
      <c r="Q28" s="3">
        <f t="shared" si="25"/>
        <v>2.3392956487363468E-2</v>
      </c>
      <c r="R28" s="3">
        <f t="shared" si="25"/>
        <v>2.5621411956356661E-6</v>
      </c>
      <c r="S28" s="3">
        <f t="shared" si="25"/>
        <v>6.3647671944431082E-46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2.8631192186468042E-2</v>
      </c>
      <c r="C29" s="18">
        <f t="shared" si="3"/>
        <v>5.0984711138190433E-2</v>
      </c>
      <c r="D29" s="17"/>
      <c r="F29" s="3">
        <f t="shared" si="25"/>
        <v>5.0984711138143832E-2</v>
      </c>
      <c r="G29" s="3">
        <f t="shared" si="25"/>
        <v>5.098471113772441E-2</v>
      </c>
      <c r="H29" s="3">
        <f t="shared" si="25"/>
        <v>5.0984711133530196E-2</v>
      </c>
      <c r="I29" s="3">
        <f t="shared" si="25"/>
        <v>5.0984711091588086E-2</v>
      </c>
      <c r="J29" s="3">
        <f t="shared" si="25"/>
        <v>5.098471067216697E-2</v>
      </c>
      <c r="K29" s="3">
        <f t="shared" si="25"/>
        <v>5.098470647795602E-2</v>
      </c>
      <c r="L29" s="3">
        <f t="shared" si="25"/>
        <v>5.0984664535865414E-2</v>
      </c>
      <c r="M29" s="3">
        <f t="shared" si="25"/>
        <v>5.0984245116857063E-2</v>
      </c>
      <c r="N29" s="3">
        <f t="shared" si="25"/>
        <v>5.0980051116535294E-2</v>
      </c>
      <c r="O29" s="3">
        <f t="shared" si="25"/>
        <v>5.0938130083715658E-2</v>
      </c>
      <c r="P29" s="3">
        <f t="shared" si="25"/>
        <v>5.0520811033850824E-2</v>
      </c>
      <c r="Q29" s="3">
        <f t="shared" si="25"/>
        <v>4.6531116234151897E-2</v>
      </c>
      <c r="R29" s="3">
        <f t="shared" si="25"/>
        <v>2.0439724682125637E-2</v>
      </c>
      <c r="S29" s="3">
        <f t="shared" si="25"/>
        <v>5.4675246400956311E-6</v>
      </c>
      <c r="T29" s="3">
        <f t="shared" si="25"/>
        <v>1.0255287060886316E-41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1.7815952406672188E-2</v>
      </c>
      <c r="C30" s="18">
        <f t="shared" si="3"/>
        <v>3.1725580310806592E-2</v>
      </c>
      <c r="D30" s="17"/>
      <c r="F30" s="3">
        <f t="shared" si="25"/>
        <v>3.1725580310803976E-2</v>
      </c>
      <c r="G30" s="3">
        <f t="shared" si="25"/>
        <v>3.1725580310780432E-2</v>
      </c>
      <c r="H30" s="3">
        <f t="shared" si="25"/>
        <v>3.1725580310545003E-2</v>
      </c>
      <c r="I30" s="3">
        <f t="shared" si="25"/>
        <v>3.1725580308190678E-2</v>
      </c>
      <c r="J30" s="3">
        <f t="shared" si="25"/>
        <v>3.172558028464742E-2</v>
      </c>
      <c r="K30" s="3">
        <f t="shared" si="25"/>
        <v>3.1725580049214878E-2</v>
      </c>
      <c r="L30" s="3">
        <f t="shared" si="25"/>
        <v>3.1725577694889547E-2</v>
      </c>
      <c r="M30" s="3">
        <f t="shared" si="25"/>
        <v>3.1725554151645852E-2</v>
      </c>
      <c r="N30" s="3">
        <f t="shared" si="25"/>
        <v>3.172531872016978E-2</v>
      </c>
      <c r="O30" s="3">
        <f t="shared" si="25"/>
        <v>3.1722964501497961E-2</v>
      </c>
      <c r="P30" s="3">
        <f t="shared" si="25"/>
        <v>3.1699431921023785E-2</v>
      </c>
      <c r="Q30" s="3">
        <f t="shared" si="25"/>
        <v>3.1465064108296636E-2</v>
      </c>
      <c r="R30" s="3">
        <f t="shared" si="25"/>
        <v>2.9214606189208781E-2</v>
      </c>
      <c r="S30" s="3">
        <f t="shared" si="25"/>
        <v>1.3909585594980919E-2</v>
      </c>
      <c r="T30" s="3">
        <f t="shared" si="25"/>
        <v>8.326370667368528E-6</v>
      </c>
      <c r="U30" s="3">
        <f t="shared" si="25"/>
        <v>4.9189366904645991E-38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8.6727037063525966E-3</v>
      </c>
      <c r="C31" s="18">
        <f t="shared" si="3"/>
        <v>1.5443830992985543E-2</v>
      </c>
      <c r="D31" s="17"/>
      <c r="F31" s="3">
        <f t="shared" si="25"/>
        <v>1.5443830992985429E-2</v>
      </c>
      <c r="G31" s="3">
        <f t="shared" si="25"/>
        <v>1.5443830992984395E-2</v>
      </c>
      <c r="H31" s="3">
        <f t="shared" si="25"/>
        <v>1.5443830992974056E-2</v>
      </c>
      <c r="I31" s="3">
        <f t="shared" si="25"/>
        <v>1.5443830992870672E-2</v>
      </c>
      <c r="J31" s="3">
        <f t="shared" si="25"/>
        <v>1.5443830991836818E-2</v>
      </c>
      <c r="K31" s="3">
        <f t="shared" si="25"/>
        <v>1.5443830981498295E-2</v>
      </c>
      <c r="L31" s="3">
        <f t="shared" si="25"/>
        <v>1.5443830878113051E-2</v>
      </c>
      <c r="M31" s="3">
        <f t="shared" si="25"/>
        <v>1.5443829844260668E-2</v>
      </c>
      <c r="N31" s="3">
        <f t="shared" si="25"/>
        <v>1.5443819505740629E-2</v>
      </c>
      <c r="O31" s="3">
        <f t="shared" si="25"/>
        <v>1.5443716120920893E-2</v>
      </c>
      <c r="P31" s="3">
        <f t="shared" si="25"/>
        <v>1.5442682310787385E-2</v>
      </c>
      <c r="Q31" s="3">
        <f t="shared" si="25"/>
        <v>1.5432348014895439E-2</v>
      </c>
      <c r="R31" s="3">
        <f t="shared" si="25"/>
        <v>1.5329384659411574E-2</v>
      </c>
      <c r="S31" s="3">
        <f t="shared" si="25"/>
        <v>1.433678781446621E-2</v>
      </c>
      <c r="T31" s="3">
        <f t="shared" si="25"/>
        <v>7.3404589421076083E-3</v>
      </c>
      <c r="U31" s="3">
        <f t="shared" si="25"/>
        <v>9.0873399562131718E-6</v>
      </c>
      <c r="V31" s="3">
        <f t="shared" si="26"/>
        <v>7.6837351968347994E-35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3.9700348442443245E-3</v>
      </c>
      <c r="C32" s="18">
        <f t="shared" si="3"/>
        <v>7.0696001208784189E-3</v>
      </c>
      <c r="D32" s="17"/>
      <c r="F32" s="3">
        <f t="shared" si="25"/>
        <v>7.0696001208784146E-3</v>
      </c>
      <c r="G32" s="3">
        <f t="shared" si="25"/>
        <v>7.0696001208783721E-3</v>
      </c>
      <c r="H32" s="3">
        <f t="shared" si="25"/>
        <v>7.0696001208779445E-3</v>
      </c>
      <c r="I32" s="3">
        <f t="shared" si="25"/>
        <v>7.0696001208736753E-3</v>
      </c>
      <c r="J32" s="3">
        <f t="shared" si="25"/>
        <v>7.0696001208309838E-3</v>
      </c>
      <c r="K32" s="3">
        <f t="shared" si="25"/>
        <v>7.0696001204040649E-3</v>
      </c>
      <c r="L32" s="3">
        <f t="shared" si="25"/>
        <v>7.06960011613488E-3</v>
      </c>
      <c r="M32" s="3">
        <f t="shared" si="25"/>
        <v>7.0696000734430334E-3</v>
      </c>
      <c r="N32" s="3">
        <f t="shared" si="25"/>
        <v>7.0695996465245719E-3</v>
      </c>
      <c r="O32" s="3">
        <f t="shared" si="25"/>
        <v>7.0695953773413766E-3</v>
      </c>
      <c r="P32" s="3">
        <f t="shared" si="25"/>
        <v>7.0695526856512179E-3</v>
      </c>
      <c r="Q32" s="3">
        <f t="shared" si="25"/>
        <v>7.0691257829286818E-3</v>
      </c>
      <c r="R32" s="3">
        <f t="shared" si="25"/>
        <v>7.0648581732909999E-3</v>
      </c>
      <c r="S32" s="3">
        <f t="shared" si="25"/>
        <v>7.0223235194537556E-3</v>
      </c>
      <c r="T32" s="3">
        <f t="shared" si="25"/>
        <v>6.6108102424354987E-3</v>
      </c>
      <c r="U32" s="3">
        <f t="shared" si="25"/>
        <v>3.6140426066802152E-3</v>
      </c>
      <c r="V32" s="3">
        <f t="shared" si="26"/>
        <v>8.6174552676543343E-6</v>
      </c>
      <c r="W32" s="3">
        <f t="shared" si="26"/>
        <v>5.1196082750895001E-32</v>
      </c>
      <c r="X32" s="3">
        <f t="shared" si="26"/>
        <v>2.8042303089056522E-294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1.9679012870922703E-3</v>
      </c>
      <c r="C33" s="18">
        <f t="shared" si="3"/>
        <v>3.5043206729719373E-3</v>
      </c>
      <c r="D33" s="17"/>
      <c r="F33" s="3">
        <f t="shared" si="25"/>
        <v>3.5043206729719369E-3</v>
      </c>
      <c r="G33" s="3">
        <f t="shared" si="25"/>
        <v>3.5043206729719356E-3</v>
      </c>
      <c r="H33" s="3">
        <f t="shared" si="25"/>
        <v>3.504320672971916E-3</v>
      </c>
      <c r="I33" s="3">
        <f t="shared" si="25"/>
        <v>3.5043206729717252E-3</v>
      </c>
      <c r="J33" s="3">
        <f t="shared" si="25"/>
        <v>3.5043206729698162E-3</v>
      </c>
      <c r="K33" s="3">
        <f t="shared" si="25"/>
        <v>3.5043206729507264E-3</v>
      </c>
      <c r="L33" s="3">
        <f t="shared" si="25"/>
        <v>3.5043206727598288E-3</v>
      </c>
      <c r="M33" s="3">
        <f t="shared" si="25"/>
        <v>3.5043206708508523E-3</v>
      </c>
      <c r="N33" s="3">
        <f t="shared" si="25"/>
        <v>3.5043206517610895E-3</v>
      </c>
      <c r="O33" s="3">
        <f t="shared" si="25"/>
        <v>3.5043204608634676E-3</v>
      </c>
      <c r="P33" s="3">
        <f t="shared" si="25"/>
        <v>3.504318551887816E-3</v>
      </c>
      <c r="Q33" s="3">
        <f t="shared" si="25"/>
        <v>3.5042994621884947E-3</v>
      </c>
      <c r="R33" s="3">
        <f t="shared" si="25"/>
        <v>3.5041085709146833E-3</v>
      </c>
      <c r="S33" s="3">
        <f t="shared" si="25"/>
        <v>3.5022002300009372E-3</v>
      </c>
      <c r="T33" s="3">
        <f t="shared" si="25"/>
        <v>3.4831738882127126E-3</v>
      </c>
      <c r="U33" s="3">
        <f t="shared" ref="P33:AE48" si="27">$C33*EXP(-U$15/$A33)</f>
        <v>3.2985038386920502E-3</v>
      </c>
      <c r="V33" s="3">
        <f t="shared" si="27"/>
        <v>1.9130898704890853E-3</v>
      </c>
      <c r="W33" s="3">
        <f t="shared" si="27"/>
        <v>8.2398471537656946E-6</v>
      </c>
      <c r="X33" s="3">
        <f t="shared" si="27"/>
        <v>1.8103268447784618E-29</v>
      </c>
      <c r="Y33" s="3">
        <f t="shared" si="27"/>
        <v>4.7438980667034861E-266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1.6648582031933475E-3</v>
      </c>
      <c r="C34" s="18">
        <f t="shared" si="3"/>
        <v>2.9646797109614421E-3</v>
      </c>
      <c r="D34" s="17"/>
      <c r="F34" s="3">
        <f t="shared" ref="F34:O48" si="28">$C34*EXP(-F$15/$A34)</f>
        <v>2.9646797109614421E-3</v>
      </c>
      <c r="G34" s="3">
        <f t="shared" si="28"/>
        <v>2.9646797109614421E-3</v>
      </c>
      <c r="H34" s="3">
        <f t="shared" si="28"/>
        <v>2.9646797109614403E-3</v>
      </c>
      <c r="I34" s="3">
        <f t="shared" si="28"/>
        <v>2.964679710961426E-3</v>
      </c>
      <c r="J34" s="3">
        <f t="shared" si="28"/>
        <v>2.9646797109612803E-3</v>
      </c>
      <c r="K34" s="3">
        <f t="shared" si="28"/>
        <v>2.9646797109598231E-3</v>
      </c>
      <c r="L34" s="3">
        <f t="shared" si="28"/>
        <v>2.9646797109452545E-3</v>
      </c>
      <c r="M34" s="3">
        <f t="shared" si="28"/>
        <v>2.9646797107995677E-3</v>
      </c>
      <c r="N34" s="3">
        <f t="shared" si="28"/>
        <v>2.9646797093426966E-3</v>
      </c>
      <c r="O34" s="3">
        <f t="shared" si="28"/>
        <v>2.9646796947739875E-3</v>
      </c>
      <c r="P34" s="3">
        <f t="shared" si="27"/>
        <v>2.9646795490869036E-3</v>
      </c>
      <c r="Q34" s="3">
        <f t="shared" si="27"/>
        <v>2.9646780922164525E-3</v>
      </c>
      <c r="R34" s="3">
        <f t="shared" si="27"/>
        <v>2.9646635235513184E-3</v>
      </c>
      <c r="S34" s="3">
        <f t="shared" si="27"/>
        <v>2.9645178408374598E-3</v>
      </c>
      <c r="T34" s="3">
        <f t="shared" si="27"/>
        <v>2.9630614073752042E-3</v>
      </c>
      <c r="U34" s="3">
        <f t="shared" si="27"/>
        <v>2.9485363689009162E-3</v>
      </c>
      <c r="V34" s="3">
        <f t="shared" si="27"/>
        <v>2.8071450796150785E-3</v>
      </c>
      <c r="W34" s="3">
        <f t="shared" si="27"/>
        <v>1.7173094276943866E-3</v>
      </c>
      <c r="X34" s="3">
        <f t="shared" si="27"/>
        <v>1.2609141254364888E-5</v>
      </c>
      <c r="Y34" s="3">
        <f t="shared" si="27"/>
        <v>5.7418926443673423E-27</v>
      </c>
      <c r="Z34" s="3">
        <f t="shared" si="27"/>
        <v>2.2016620242508409E-240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v>
      </c>
      <c r="C35" s="18">
        <f t="shared" si="3"/>
        <v>0</v>
      </c>
      <c r="D35" s="17"/>
      <c r="F35" s="3">
        <f t="shared" si="28"/>
        <v>0</v>
      </c>
      <c r="G35" s="3">
        <f t="shared" si="28"/>
        <v>0</v>
      </c>
      <c r="H35" s="3">
        <f t="shared" si="28"/>
        <v>0</v>
      </c>
      <c r="I35" s="3">
        <f t="shared" si="28"/>
        <v>0</v>
      </c>
      <c r="J35" s="3">
        <f t="shared" si="28"/>
        <v>0</v>
      </c>
      <c r="K35" s="3">
        <f t="shared" si="28"/>
        <v>0</v>
      </c>
      <c r="L35" s="3">
        <f t="shared" si="28"/>
        <v>0</v>
      </c>
      <c r="M35" s="3">
        <f t="shared" si="28"/>
        <v>0</v>
      </c>
      <c r="N35" s="3">
        <f t="shared" si="28"/>
        <v>0</v>
      </c>
      <c r="O35" s="3">
        <f t="shared" si="28"/>
        <v>0</v>
      </c>
      <c r="P35" s="3">
        <f t="shared" si="27"/>
        <v>0</v>
      </c>
      <c r="Q35" s="3">
        <f t="shared" si="27"/>
        <v>0</v>
      </c>
      <c r="R35" s="3">
        <f t="shared" si="27"/>
        <v>0</v>
      </c>
      <c r="S35" s="3">
        <f t="shared" si="27"/>
        <v>0</v>
      </c>
      <c r="T35" s="3">
        <f t="shared" si="27"/>
        <v>0</v>
      </c>
      <c r="U35" s="3">
        <f t="shared" si="27"/>
        <v>0</v>
      </c>
      <c r="V35" s="3">
        <f t="shared" si="27"/>
        <v>0</v>
      </c>
      <c r="W35" s="3">
        <f t="shared" si="27"/>
        <v>0</v>
      </c>
      <c r="X35" s="3">
        <f t="shared" si="27"/>
        <v>0</v>
      </c>
      <c r="Y35" s="3">
        <f t="shared" si="27"/>
        <v>0</v>
      </c>
      <c r="Z35" s="3">
        <f t="shared" si="27"/>
        <v>0</v>
      </c>
      <c r="AA35" s="3">
        <f t="shared" si="27"/>
        <v>0</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1.7397902653166464E-3</v>
      </c>
      <c r="C36" s="18">
        <f t="shared" si="3"/>
        <v>3.098114236407119E-3</v>
      </c>
      <c r="D36" s="17"/>
      <c r="F36" s="3">
        <f t="shared" si="28"/>
        <v>3.098114236407119E-3</v>
      </c>
      <c r="G36" s="3">
        <f t="shared" si="28"/>
        <v>3.098114236407119E-3</v>
      </c>
      <c r="H36" s="3">
        <f t="shared" si="28"/>
        <v>3.098114236407119E-3</v>
      </c>
      <c r="I36" s="3">
        <f t="shared" si="28"/>
        <v>3.098114236407119E-3</v>
      </c>
      <c r="J36" s="3">
        <f t="shared" si="28"/>
        <v>3.0981142364071177E-3</v>
      </c>
      <c r="K36" s="3">
        <f t="shared" si="28"/>
        <v>3.0981142364071052E-3</v>
      </c>
      <c r="L36" s="3">
        <f t="shared" si="28"/>
        <v>3.0981142364069816E-3</v>
      </c>
      <c r="M36" s="3">
        <f t="shared" si="28"/>
        <v>3.0981142364057425E-3</v>
      </c>
      <c r="N36" s="3">
        <f t="shared" si="28"/>
        <v>3.0981142363933536E-3</v>
      </c>
      <c r="O36" s="3">
        <f t="shared" si="28"/>
        <v>3.0981142362694644E-3</v>
      </c>
      <c r="P36" s="3">
        <f t="shared" si="27"/>
        <v>3.0981142350305709E-3</v>
      </c>
      <c r="Q36" s="3">
        <f t="shared" si="27"/>
        <v>3.0981142226416381E-3</v>
      </c>
      <c r="R36" s="3">
        <f t="shared" si="27"/>
        <v>3.0981140987523144E-3</v>
      </c>
      <c r="S36" s="3">
        <f t="shared" si="27"/>
        <v>3.0981128598593487E-3</v>
      </c>
      <c r="T36" s="3">
        <f t="shared" si="27"/>
        <v>3.0981004709569391E-3</v>
      </c>
      <c r="U36" s="3">
        <f t="shared" si="27"/>
        <v>3.097976584657589E-3</v>
      </c>
      <c r="V36" s="3">
        <f t="shared" si="27"/>
        <v>3.0967379940983028E-3</v>
      </c>
      <c r="W36" s="3">
        <f t="shared" si="27"/>
        <v>3.0843792916614766E-3</v>
      </c>
      <c r="X36" s="3">
        <f t="shared" si="27"/>
        <v>2.963472760568932E-3</v>
      </c>
      <c r="Y36" s="3">
        <f t="shared" si="27"/>
        <v>1.9867011816815552E-3</v>
      </c>
      <c r="Z36" s="3">
        <f t="shared" si="27"/>
        <v>3.6429117814995796E-5</v>
      </c>
      <c r="AA36" s="3">
        <f t="shared" si="27"/>
        <v>1.5653436512887745E-22</v>
      </c>
      <c r="AB36" s="3">
        <f t="shared" si="27"/>
        <v>3.3590782053923169E-196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7.5534050802416512E-4</v>
      </c>
      <c r="C37" s="18">
        <f t="shared" si="3"/>
        <v>1.3450651080742435E-3</v>
      </c>
      <c r="D37" s="17"/>
      <c r="F37" s="3">
        <f t="shared" si="28"/>
        <v>1.3450651080742435E-3</v>
      </c>
      <c r="G37" s="3">
        <f t="shared" si="28"/>
        <v>1.3450651080742435E-3</v>
      </c>
      <c r="H37" s="3">
        <f t="shared" si="28"/>
        <v>1.3450651080742435E-3</v>
      </c>
      <c r="I37" s="3">
        <f t="shared" si="28"/>
        <v>1.3450651080742435E-3</v>
      </c>
      <c r="J37" s="3">
        <f t="shared" si="28"/>
        <v>1.3450651080742435E-3</v>
      </c>
      <c r="K37" s="3">
        <f t="shared" si="28"/>
        <v>1.3450651080742428E-3</v>
      </c>
      <c r="L37" s="3">
        <f t="shared" si="28"/>
        <v>1.345065108074238E-3</v>
      </c>
      <c r="M37" s="3">
        <f t="shared" si="28"/>
        <v>1.3450651080741895E-3</v>
      </c>
      <c r="N37" s="3">
        <f t="shared" si="28"/>
        <v>1.3450651080737044E-3</v>
      </c>
      <c r="O37" s="3">
        <f t="shared" si="28"/>
        <v>1.3450651080688524E-3</v>
      </c>
      <c r="P37" s="3">
        <f t="shared" si="27"/>
        <v>1.3450651080203317E-3</v>
      </c>
      <c r="Q37" s="3">
        <f t="shared" si="27"/>
        <v>1.3450651075351254E-3</v>
      </c>
      <c r="R37" s="3">
        <f t="shared" si="27"/>
        <v>1.3450651026830633E-3</v>
      </c>
      <c r="S37" s="3">
        <f t="shared" si="27"/>
        <v>1.3450650541624418E-3</v>
      </c>
      <c r="T37" s="3">
        <f t="shared" si="27"/>
        <v>1.3450645689563241E-3</v>
      </c>
      <c r="U37" s="3">
        <f t="shared" si="27"/>
        <v>1.3450597169047747E-3</v>
      </c>
      <c r="V37" s="3">
        <f t="shared" si="27"/>
        <v>1.3450111973519227E-3</v>
      </c>
      <c r="W37" s="3">
        <f t="shared" si="27"/>
        <v>1.3445260980749464E-3</v>
      </c>
      <c r="X37" s="3">
        <f t="shared" si="27"/>
        <v>1.3396847176252607E-3</v>
      </c>
      <c r="Y37" s="3">
        <f t="shared" si="27"/>
        <v>1.2922194383915694E-3</v>
      </c>
      <c r="Z37" s="3">
        <f t="shared" si="27"/>
        <v>9.0089242339302434E-4</v>
      </c>
      <c r="AA37" s="3">
        <f t="shared" si="27"/>
        <v>2.4436532608484756E-5</v>
      </c>
      <c r="AB37" s="3">
        <f t="shared" si="27"/>
        <v>5.268731417346171E-21</v>
      </c>
      <c r="AC37" s="3">
        <f t="shared" si="27"/>
        <v>1.1438546443317814E-177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8.9849568608266794E-5</v>
      </c>
      <c r="C38" s="18">
        <f t="shared" si="3"/>
        <v>1.5999872696703847E-4</v>
      </c>
      <c r="D38" s="17"/>
      <c r="F38" s="3">
        <f t="shared" si="28"/>
        <v>1.5999872696703847E-4</v>
      </c>
      <c r="G38" s="3">
        <f t="shared" si="28"/>
        <v>1.5999872696703847E-4</v>
      </c>
      <c r="H38" s="3">
        <f t="shared" si="28"/>
        <v>1.5999872696703847E-4</v>
      </c>
      <c r="I38" s="3">
        <f t="shared" si="28"/>
        <v>1.5999872696703847E-4</v>
      </c>
      <c r="J38" s="3">
        <f t="shared" si="28"/>
        <v>1.5999872696703847E-4</v>
      </c>
      <c r="K38" s="3">
        <f t="shared" si="28"/>
        <v>1.5999872696703847E-4</v>
      </c>
      <c r="L38" s="3">
        <f t="shared" si="28"/>
        <v>1.5999872696703841E-4</v>
      </c>
      <c r="M38" s="3">
        <f t="shared" si="28"/>
        <v>1.5999872696703787E-4</v>
      </c>
      <c r="N38" s="3">
        <f t="shared" si="28"/>
        <v>1.5999872696703267E-4</v>
      </c>
      <c r="O38" s="3">
        <f t="shared" si="28"/>
        <v>1.5999872696698063E-4</v>
      </c>
      <c r="P38" s="3">
        <f t="shared" si="27"/>
        <v>1.5999872696645997E-4</v>
      </c>
      <c r="Q38" s="3">
        <f t="shared" si="27"/>
        <v>1.5999872696125346E-4</v>
      </c>
      <c r="R38" s="3">
        <f t="shared" si="27"/>
        <v>1.5999872690918842E-4</v>
      </c>
      <c r="S38" s="3">
        <f t="shared" si="27"/>
        <v>1.5999872638853806E-4</v>
      </c>
      <c r="T38" s="3">
        <f t="shared" si="27"/>
        <v>1.5999872118203454E-4</v>
      </c>
      <c r="U38" s="3">
        <f t="shared" si="27"/>
        <v>1.5999866911700869E-4</v>
      </c>
      <c r="V38" s="3">
        <f t="shared" si="27"/>
        <v>1.5999814846768184E-4</v>
      </c>
      <c r="W38" s="3">
        <f t="shared" si="27"/>
        <v>1.5999294206759551E-4</v>
      </c>
      <c r="X38" s="3">
        <f t="shared" si="27"/>
        <v>1.5994088738382494E-4</v>
      </c>
      <c r="Y38" s="3">
        <f t="shared" si="27"/>
        <v>1.5942127113456885E-4</v>
      </c>
      <c r="Z38" s="3">
        <f t="shared" si="27"/>
        <v>1.5431705673157826E-4</v>
      </c>
      <c r="AA38" s="3">
        <f t="shared" si="27"/>
        <v>1.1145269384527773E-4</v>
      </c>
      <c r="AB38" s="3">
        <f t="shared" si="27"/>
        <v>4.3038482982326646E-6</v>
      </c>
      <c r="AC38" s="3">
        <f t="shared" si="27"/>
        <v>3.1733706789819339E-20</v>
      </c>
      <c r="AD38" s="3">
        <f t="shared" si="27"/>
        <v>1.5071598003195391E-161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6.1961222067907965E-5</v>
      </c>
      <c r="C41" s="18">
        <f t="shared" si="3"/>
        <v>1.1033683083565872E-4</v>
      </c>
      <c r="D41" s="17"/>
      <c r="F41" s="3">
        <f t="shared" si="28"/>
        <v>1.1033683083565872E-4</v>
      </c>
      <c r="G41" s="3">
        <f t="shared" si="28"/>
        <v>1.1033683083565872E-4</v>
      </c>
      <c r="H41" s="3">
        <f t="shared" si="28"/>
        <v>1.1033683083565872E-4</v>
      </c>
      <c r="I41" s="3">
        <f t="shared" si="28"/>
        <v>1.1033683083565872E-4</v>
      </c>
      <c r="J41" s="3">
        <f t="shared" si="28"/>
        <v>1.1033683083565872E-4</v>
      </c>
      <c r="K41" s="3">
        <f t="shared" si="28"/>
        <v>1.1033683083565872E-4</v>
      </c>
      <c r="L41" s="3">
        <f t="shared" si="28"/>
        <v>1.1033683083565872E-4</v>
      </c>
      <c r="M41" s="3">
        <f t="shared" si="28"/>
        <v>1.1033683083565872E-4</v>
      </c>
      <c r="N41" s="3">
        <f t="shared" si="28"/>
        <v>1.103368308356587E-4</v>
      </c>
      <c r="O41" s="3">
        <f t="shared" si="28"/>
        <v>1.1033683083565861E-4</v>
      </c>
      <c r="P41" s="3">
        <f t="shared" si="27"/>
        <v>1.1033683083565762E-4</v>
      </c>
      <c r="Q41" s="3">
        <f t="shared" si="27"/>
        <v>1.1033683083564769E-4</v>
      </c>
      <c r="R41" s="3">
        <f t="shared" si="27"/>
        <v>1.1033683083554839E-4</v>
      </c>
      <c r="S41" s="3">
        <f t="shared" si="27"/>
        <v>1.1033683083455535E-4</v>
      </c>
      <c r="T41" s="3">
        <f t="shared" si="27"/>
        <v>1.1033683082462504E-4</v>
      </c>
      <c r="U41" s="3">
        <f t="shared" si="27"/>
        <v>1.1033683072532189E-4</v>
      </c>
      <c r="V41" s="3">
        <f t="shared" si="27"/>
        <v>1.1033682973229041E-4</v>
      </c>
      <c r="W41" s="3">
        <f t="shared" si="27"/>
        <v>1.1033681980197619E-4</v>
      </c>
      <c r="X41" s="3">
        <f t="shared" si="27"/>
        <v>1.1033672049888306E-4</v>
      </c>
      <c r="Y41" s="3">
        <f t="shared" si="27"/>
        <v>1.1033572747286718E-4</v>
      </c>
      <c r="Z41" s="3">
        <f t="shared" si="27"/>
        <v>1.1032579770424092E-4</v>
      </c>
      <c r="AA41" s="3">
        <f t="shared" si="27"/>
        <v>1.102265491548536E-4</v>
      </c>
      <c r="AB41" s="3">
        <f t="shared" si="27"/>
        <v>1.0923896102525399E-4</v>
      </c>
      <c r="AC41" s="3">
        <f t="shared" si="27"/>
        <v>9.9836893127607879E-5</v>
      </c>
      <c r="AD41" s="3">
        <f t="shared" si="27"/>
        <v>4.0590651668450094E-5</v>
      </c>
      <c r="AE41" s="3">
        <f t="shared" si="27"/>
        <v>5.0092843701540786E-9</v>
      </c>
      <c r="AF41" s="3">
        <f t="shared" si="29"/>
        <v>4.10461393662009E-48</v>
      </c>
      <c r="AG41" s="3">
        <f t="shared" si="29"/>
        <v>0</v>
      </c>
      <c r="AH41" s="3">
        <f t="shared" si="29"/>
        <v>0</v>
      </c>
      <c r="AI41" s="3">
        <f t="shared" si="29"/>
        <v>0</v>
      </c>
      <c r="AJ41" s="3">
        <f t="shared" si="29"/>
        <v>0</v>
      </c>
    </row>
    <row r="42" spans="1:36" x14ac:dyDescent="0.25">
      <c r="A42" s="3">
        <f t="shared" si="30"/>
        <v>10000000000</v>
      </c>
      <c r="B42" s="106">
        <v>3.0004431566795422E-5</v>
      </c>
      <c r="C42" s="18">
        <f t="shared" si="3"/>
        <v>5.3430093526516889E-5</v>
      </c>
      <c r="D42" s="17"/>
      <c r="F42" s="3">
        <f t="shared" si="28"/>
        <v>5.3430093526516889E-5</v>
      </c>
      <c r="G42" s="3">
        <f t="shared" si="28"/>
        <v>5.3430093526516889E-5</v>
      </c>
      <c r="H42" s="3">
        <f t="shared" si="28"/>
        <v>5.3430093526516889E-5</v>
      </c>
      <c r="I42" s="3">
        <f t="shared" si="28"/>
        <v>5.3430093526516889E-5</v>
      </c>
      <c r="J42" s="3">
        <f t="shared" si="28"/>
        <v>5.3430093526516889E-5</v>
      </c>
      <c r="K42" s="3">
        <f t="shared" si="28"/>
        <v>5.3430093526516889E-5</v>
      </c>
      <c r="L42" s="3">
        <f t="shared" si="28"/>
        <v>5.3430093526516889E-5</v>
      </c>
      <c r="M42" s="3">
        <f t="shared" si="28"/>
        <v>5.3430093526516889E-5</v>
      </c>
      <c r="N42" s="3">
        <f t="shared" si="28"/>
        <v>5.3430093526516889E-5</v>
      </c>
      <c r="O42" s="3">
        <f t="shared" si="28"/>
        <v>5.3430093526516882E-5</v>
      </c>
      <c r="P42" s="3">
        <f t="shared" si="27"/>
        <v>5.3430093526516835E-5</v>
      </c>
      <c r="Q42" s="3">
        <f t="shared" si="27"/>
        <v>5.3430093526516354E-5</v>
      </c>
      <c r="R42" s="3">
        <f t="shared" si="27"/>
        <v>5.3430093526511543E-5</v>
      </c>
      <c r="S42" s="3">
        <f t="shared" si="27"/>
        <v>5.3430093526463458E-5</v>
      </c>
      <c r="T42" s="3">
        <f t="shared" si="27"/>
        <v>5.3430093525982587E-5</v>
      </c>
      <c r="U42" s="3">
        <f t="shared" si="27"/>
        <v>5.343009352117388E-5</v>
      </c>
      <c r="V42" s="3">
        <f t="shared" si="27"/>
        <v>5.3430093473086796E-5</v>
      </c>
      <c r="W42" s="3">
        <f t="shared" si="27"/>
        <v>5.343009299221596E-5</v>
      </c>
      <c r="X42" s="3">
        <f t="shared" si="27"/>
        <v>5.3430088183507807E-5</v>
      </c>
      <c r="Y42" s="3">
        <f t="shared" si="27"/>
        <v>5.3430040096450081E-5</v>
      </c>
      <c r="Z42" s="3">
        <f t="shared" si="27"/>
        <v>5.3429559228253121E-5</v>
      </c>
      <c r="AA42" s="3">
        <f t="shared" si="27"/>
        <v>5.3424750784305801E-5</v>
      </c>
      <c r="AB42" s="3">
        <f t="shared" si="27"/>
        <v>5.337669013913435E-5</v>
      </c>
      <c r="AC42" s="3">
        <f t="shared" si="27"/>
        <v>5.2898455213130551E-5</v>
      </c>
      <c r="AD42" s="3">
        <f t="shared" si="27"/>
        <v>4.8345547871953377E-5</v>
      </c>
      <c r="AE42" s="3">
        <f t="shared" si="27"/>
        <v>1.9655832948272931E-5</v>
      </c>
      <c r="AF42" s="3">
        <f t="shared" si="29"/>
        <v>2.4257224933068633E-9</v>
      </c>
      <c r="AG42" s="3">
        <f t="shared" si="29"/>
        <v>1.9876400732454189E-48</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6.317494779494319E-4</v>
      </c>
      <c r="C48" s="18">
        <f t="shared" si="3"/>
        <v>1.1249816087007928E-3</v>
      </c>
      <c r="D48" s="17"/>
      <c r="F48" s="3">
        <f t="shared" si="28"/>
        <v>1.1249816087007928E-3</v>
      </c>
      <c r="G48" s="3">
        <f t="shared" si="28"/>
        <v>1.1249816087007928E-3</v>
      </c>
      <c r="H48" s="3">
        <f t="shared" si="28"/>
        <v>1.1249816087007928E-3</v>
      </c>
      <c r="I48" s="3">
        <f t="shared" si="28"/>
        <v>1.1249816087007928E-3</v>
      </c>
      <c r="J48" s="3">
        <f t="shared" si="28"/>
        <v>1.1249816087007928E-3</v>
      </c>
      <c r="K48" s="3">
        <f t="shared" si="28"/>
        <v>1.1249816087007928E-3</v>
      </c>
      <c r="L48" s="3">
        <f t="shared" si="28"/>
        <v>1.1249816087007928E-3</v>
      </c>
      <c r="M48" s="3">
        <f t="shared" si="28"/>
        <v>1.1249816087007928E-3</v>
      </c>
      <c r="N48" s="3">
        <f t="shared" si="28"/>
        <v>1.1249816087007928E-3</v>
      </c>
      <c r="O48" s="3">
        <f t="shared" si="28"/>
        <v>1.1249816087007928E-3</v>
      </c>
      <c r="P48" s="3">
        <f t="shared" si="27"/>
        <v>1.1249816087007928E-3</v>
      </c>
      <c r="Q48" s="3">
        <f t="shared" si="27"/>
        <v>1.1249816087007928E-3</v>
      </c>
      <c r="R48" s="3">
        <f t="shared" si="27"/>
        <v>1.1249816087007928E-3</v>
      </c>
      <c r="S48" s="3">
        <f t="shared" si="27"/>
        <v>1.1249816087007928E-3</v>
      </c>
      <c r="T48" s="3">
        <f t="shared" si="27"/>
        <v>1.1249816087007928E-3</v>
      </c>
      <c r="U48" s="3">
        <f t="shared" si="27"/>
        <v>1.1249816087007926E-3</v>
      </c>
      <c r="V48" s="3">
        <f t="shared" si="27"/>
        <v>1.1249816087007918E-3</v>
      </c>
      <c r="W48" s="3">
        <f t="shared" si="27"/>
        <v>1.1249816087007816E-3</v>
      </c>
      <c r="X48" s="3">
        <f t="shared" si="27"/>
        <v>1.1249816087006803E-3</v>
      </c>
      <c r="Y48" s="3">
        <f t="shared" si="27"/>
        <v>1.1249816086996679E-3</v>
      </c>
      <c r="Z48" s="3">
        <f t="shared" si="27"/>
        <v>1.1249816086895429E-3</v>
      </c>
      <c r="AA48" s="3">
        <f t="shared" si="27"/>
        <v>1.1249816085882947E-3</v>
      </c>
      <c r="AB48" s="3">
        <f t="shared" si="27"/>
        <v>1.1249816075758112E-3</v>
      </c>
      <c r="AC48" s="3">
        <f t="shared" si="27"/>
        <v>1.1249815974509769E-3</v>
      </c>
      <c r="AD48" s="3">
        <f t="shared" si="27"/>
        <v>1.1249814962026377E-3</v>
      </c>
      <c r="AE48" s="3">
        <f t="shared" si="27"/>
        <v>1.1249804837197466E-3</v>
      </c>
      <c r="AF48" s="3">
        <f t="shared" si="29"/>
        <v>1.1249703589409547E-3</v>
      </c>
      <c r="AG48" s="3">
        <f t="shared" si="29"/>
        <v>1.1248691161646434E-3</v>
      </c>
      <c r="AH48" s="3">
        <f t="shared" si="29"/>
        <v>1.1238571893954464E-3</v>
      </c>
      <c r="AI48" s="3">
        <f t="shared" si="29"/>
        <v>1.1137878546650917E-3</v>
      </c>
      <c r="AJ48" s="3">
        <f t="shared" si="29"/>
        <v>1.0179254541547655E-3</v>
      </c>
    </row>
    <row r="49" spans="1:36" x14ac:dyDescent="0.25">
      <c r="B49" s="16">
        <f>SUM(B17:B48)</f>
        <v>0.5615642718630931</v>
      </c>
      <c r="C49" s="18">
        <f>SUM(C17:C48)</f>
        <v>0.99999999999999989</v>
      </c>
      <c r="F49" s="3">
        <f t="shared" ref="F49:AJ49" si="31">F16-F17</f>
        <v>60.57544838081003</v>
      </c>
      <c r="G49" s="3">
        <f t="shared" si="31"/>
        <v>-78.332147791588341</v>
      </c>
      <c r="H49" s="3">
        <f t="shared" si="31"/>
        <v>20.721301645547555</v>
      </c>
      <c r="I49" s="3">
        <f t="shared" si="31"/>
        <v>-3.3887354138851151</v>
      </c>
      <c r="J49" s="3">
        <f t="shared" si="31"/>
        <v>0.47123571083284332</v>
      </c>
      <c r="K49" s="3">
        <f t="shared" si="31"/>
        <v>-5.3555974432583753E-2</v>
      </c>
      <c r="L49" s="3">
        <f t="shared" si="31"/>
        <v>5.9320985442354868E-3</v>
      </c>
      <c r="M49" s="3">
        <f t="shared" si="31"/>
        <v>-2.5169159070173919E-2</v>
      </c>
      <c r="N49" s="3">
        <f t="shared" si="31"/>
        <v>9.0811206566513647E-2</v>
      </c>
      <c r="O49" s="3">
        <f t="shared" si="31"/>
        <v>-0.16790423630732221</v>
      </c>
      <c r="P49" s="3">
        <f t="shared" si="31"/>
        <v>0.30826763165396187</v>
      </c>
      <c r="Q49" s="3">
        <f t="shared" si="31"/>
        <v>-0.48415797735083288</v>
      </c>
      <c r="R49" s="3">
        <f t="shared" si="31"/>
        <v>0.60248120196411037</v>
      </c>
      <c r="S49" s="3">
        <f t="shared" si="31"/>
        <v>-0.63520763442647876</v>
      </c>
      <c r="T49" s="3">
        <f t="shared" si="31"/>
        <v>0.58318628156553132</v>
      </c>
      <c r="U49" s="3">
        <f t="shared" si="31"/>
        <v>-0.47531694099018296</v>
      </c>
      <c r="V49" s="3">
        <f t="shared" si="31"/>
        <v>0.2927338206432637</v>
      </c>
      <c r="W49" s="3">
        <f t="shared" si="31"/>
        <v>-0.1708382251238163</v>
      </c>
      <c r="X49" s="3">
        <f t="shared" si="31"/>
        <v>-0.17279708227604829</v>
      </c>
      <c r="Y49" s="3">
        <f t="shared" si="31"/>
        <v>0.43373622009374913</v>
      </c>
      <c r="Z49" s="3">
        <f t="shared" si="31"/>
        <v>-0.21623415405625224</v>
      </c>
      <c r="AA49" s="3">
        <f t="shared" si="31"/>
        <v>8.6377269916795285E-2</v>
      </c>
      <c r="AB49" s="3">
        <f t="shared" si="31"/>
        <v>-1.2852004743990619E-5</v>
      </c>
      <c r="AC49" s="3">
        <f t="shared" si="31"/>
        <v>-2.8171699090762559E-2</v>
      </c>
      <c r="AD49" s="3">
        <f t="shared" si="31"/>
        <v>-7.3416823227034911E-4</v>
      </c>
      <c r="AE49" s="3">
        <f t="shared" si="31"/>
        <v>2.3089274323098152E-2</v>
      </c>
      <c r="AF49" s="3">
        <f t="shared" si="31"/>
        <v>1.8569411374926403E-2</v>
      </c>
      <c r="AG49" s="3">
        <f t="shared" si="31"/>
        <v>-9.0826372690173685E-2</v>
      </c>
      <c r="AH49" s="3">
        <f t="shared" si="31"/>
        <v>-0.17801566773155741</v>
      </c>
      <c r="AI49" s="3">
        <f t="shared" si="31"/>
        <v>-0.14856435910624555</v>
      </c>
      <c r="AJ49" s="3">
        <f t="shared" si="31"/>
        <v>0.37528504047071465</v>
      </c>
    </row>
    <row r="50" spans="1:36" x14ac:dyDescent="0.25">
      <c r="F50" s="57">
        <f t="shared" ref="F50:AJ50" si="32">F49/F17</f>
        <v>1.7880940216495382E-2</v>
      </c>
      <c r="G50" s="57">
        <f t="shared" si="32"/>
        <v>-2.3608779369131271E-2</v>
      </c>
      <c r="H50" s="57">
        <f t="shared" si="32"/>
        <v>6.7689073426810678E-3</v>
      </c>
      <c r="I50" s="57">
        <f t="shared" si="32"/>
        <v>-1.1571510123560016E-3</v>
      </c>
      <c r="J50" s="57">
        <f t="shared" si="32"/>
        <v>1.7023142811305181E-4</v>
      </c>
      <c r="K50" s="57">
        <f t="shared" si="32"/>
        <v>-2.0694561194222798E-5</v>
      </c>
      <c r="L50" s="57">
        <f t="shared" si="32"/>
        <v>2.4794943585962597E-6</v>
      </c>
      <c r="M50" s="57">
        <f t="shared" si="32"/>
        <v>-1.1583704341377022E-5</v>
      </c>
      <c r="N50" s="57">
        <f t="shared" si="32"/>
        <v>4.7104336720433222E-5</v>
      </c>
      <c r="O50" s="57">
        <f t="shared" si="32"/>
        <v>-1.0213992185262068E-4</v>
      </c>
      <c r="P50" s="57">
        <f t="shared" si="32"/>
        <v>2.3364887235184314E-4</v>
      </c>
      <c r="Q50" s="57">
        <f t="shared" si="32"/>
        <v>-4.9198067611612103E-4</v>
      </c>
      <c r="R50" s="57">
        <f t="shared" si="32"/>
        <v>8.6930777704959854E-4</v>
      </c>
      <c r="S50" s="57">
        <f t="shared" si="32"/>
        <v>-1.3054665217936844E-3</v>
      </c>
      <c r="T50" s="57">
        <f t="shared" si="32"/>
        <v>1.5899441043784603E-3</v>
      </c>
      <c r="U50" s="57">
        <f t="shared" si="32"/>
        <v>-1.5450070375405713E-3</v>
      </c>
      <c r="V50" s="57">
        <f t="shared" si="32"/>
        <v>1.0500693925677366E-3</v>
      </c>
      <c r="W50" s="57">
        <f t="shared" si="32"/>
        <v>-6.5244643891680632E-4</v>
      </c>
      <c r="X50" s="57">
        <f t="shared" si="32"/>
        <v>-6.8701254245290798E-4</v>
      </c>
      <c r="Y50" s="57">
        <f t="shared" si="32"/>
        <v>1.7653397793113178E-3</v>
      </c>
      <c r="Z50" s="57">
        <f t="shared" si="32"/>
        <v>-9.2995627895679572E-4</v>
      </c>
      <c r="AA50" s="57">
        <f t="shared" si="32"/>
        <v>3.8025786544546199E-4</v>
      </c>
      <c r="AB50" s="57">
        <f t="shared" si="32"/>
        <v>-5.6764322270118312E-8</v>
      </c>
      <c r="AC50" s="57">
        <f t="shared" si="32"/>
        <v>-1.2447163557801876E-4</v>
      </c>
      <c r="AD50" s="57">
        <f t="shared" si="32"/>
        <v>-3.2489331957267701E-6</v>
      </c>
      <c r="AE50" s="57">
        <f t="shared" si="32"/>
        <v>1.0235371267397032E-4</v>
      </c>
      <c r="AF50" s="57">
        <f t="shared" si="32"/>
        <v>8.2357677750895212E-5</v>
      </c>
      <c r="AG50" s="57">
        <f t="shared" si="32"/>
        <v>-4.0282743976356185E-4</v>
      </c>
      <c r="AH50" s="57">
        <f t="shared" si="32"/>
        <v>-7.8954383430389168E-4</v>
      </c>
      <c r="AI50" s="57">
        <f t="shared" si="32"/>
        <v>-6.5908519495012972E-4</v>
      </c>
      <c r="AJ50" s="57">
        <f t="shared" si="32"/>
        <v>1.6688846999811148E-3</v>
      </c>
    </row>
    <row r="51" spans="1:36" x14ac:dyDescent="0.25">
      <c r="A51" s="13" t="s">
        <v>21</v>
      </c>
      <c r="B51" s="3">
        <f>STUTT!D8</f>
        <v>5614.1607000000004</v>
      </c>
      <c r="E51" s="11" t="s">
        <v>24</v>
      </c>
      <c r="F51" s="20">
        <f t="shared" ref="F51:AJ51" si="33">(F16-F17)^2</f>
        <v>3669.3849465361805</v>
      </c>
      <c r="G51" s="20">
        <f t="shared" si="33"/>
        <v>6135.9253776432379</v>
      </c>
      <c r="H51" s="20">
        <f t="shared" si="33"/>
        <v>429.37234188577185</v>
      </c>
      <c r="I51" s="20">
        <f t="shared" si="33"/>
        <v>11.483527705319123</v>
      </c>
      <c r="J51" s="20">
        <f t="shared" si="33"/>
        <v>0.22206309516413514</v>
      </c>
      <c r="K51" s="20">
        <f t="shared" si="33"/>
        <v>2.8682423974235646E-3</v>
      </c>
      <c r="L51" s="20">
        <f t="shared" si="33"/>
        <v>3.518979313852078E-5</v>
      </c>
      <c r="M51" s="20">
        <f t="shared" si="33"/>
        <v>6.3348656829971799E-4</v>
      </c>
      <c r="N51" s="20">
        <f t="shared" si="33"/>
        <v>8.2466752380660115E-3</v>
      </c>
      <c r="O51" s="20">
        <f t="shared" si="33"/>
        <v>2.8191832569945098E-2</v>
      </c>
      <c r="P51" s="20">
        <f t="shared" si="33"/>
        <v>9.502893272554272E-2</v>
      </c>
      <c r="Q51" s="20">
        <f t="shared" si="33"/>
        <v>0.2344089470324496</v>
      </c>
      <c r="R51" s="20">
        <f t="shared" si="33"/>
        <v>0.36298359872011915</v>
      </c>
      <c r="S51" s="20">
        <f t="shared" si="33"/>
        <v>0.40348873883368308</v>
      </c>
      <c r="T51" s="20">
        <f t="shared" si="33"/>
        <v>0.34010623900623116</v>
      </c>
      <c r="U51" s="20">
        <f t="shared" si="33"/>
        <v>0.22592619439226508</v>
      </c>
      <c r="V51" s="20">
        <f t="shared" si="33"/>
        <v>8.5693089748402479E-2</v>
      </c>
      <c r="W51" s="20">
        <f t="shared" si="33"/>
        <v>2.9185699163455738E-2</v>
      </c>
      <c r="X51" s="20">
        <f t="shared" si="33"/>
        <v>2.98588316431154E-2</v>
      </c>
      <c r="Y51" s="20">
        <f t="shared" si="33"/>
        <v>0.18812710862121318</v>
      </c>
      <c r="Z51" s="20">
        <f t="shared" si="33"/>
        <v>4.6757209380423027E-2</v>
      </c>
      <c r="AA51" s="20">
        <f t="shared" si="33"/>
        <v>7.4610327582789078E-3</v>
      </c>
      <c r="AB51" s="20">
        <f t="shared" si="33"/>
        <v>1.6517402593955739E-10</v>
      </c>
      <c r="AC51" s="20">
        <f t="shared" si="33"/>
        <v>7.9364462966047202E-4</v>
      </c>
      <c r="AD51" s="20">
        <f t="shared" si="33"/>
        <v>5.3900299327496924E-7</v>
      </c>
      <c r="AE51" s="20">
        <f t="shared" si="33"/>
        <v>5.3311458876727962E-4</v>
      </c>
      <c r="AF51" s="20">
        <f t="shared" si="33"/>
        <v>3.4482303881124612E-4</v>
      </c>
      <c r="AG51" s="20">
        <f t="shared" si="33"/>
        <v>8.2494299760543285E-3</v>
      </c>
      <c r="AH51" s="20">
        <f t="shared" si="33"/>
        <v>3.1689577957912253E-2</v>
      </c>
      <c r="AI51" s="20">
        <f t="shared" si="33"/>
        <v>2.2071368796649483E-2</v>
      </c>
      <c r="AJ51" s="20">
        <f t="shared" si="33"/>
        <v>0.14083886160110592</v>
      </c>
    </row>
    <row r="52" spans="1:36" x14ac:dyDescent="0.25">
      <c r="A52" s="13"/>
    </row>
    <row r="53" spans="1:36" x14ac:dyDescent="0.25">
      <c r="E53" s="118" t="s">
        <v>25</v>
      </c>
      <c r="F53" s="118"/>
      <c r="G53" s="104">
        <f>SUM(F51:AJ51)</f>
        <v>10248.681779274015</v>
      </c>
      <c r="I53" s="3">
        <f>G53+C123</f>
        <v>10248.681779274015</v>
      </c>
      <c r="K53" s="3">
        <f>SUM(Z51:AJ51)</f>
        <v>0.25873960189583023</v>
      </c>
    </row>
    <row r="55" spans="1:36" x14ac:dyDescent="0.25">
      <c r="E55" s="30" t="s">
        <v>30</v>
      </c>
      <c r="F55" s="31">
        <f t="shared" ref="F55:AJ55" si="34">ABS(F17-F16)/F16</f>
        <v>1.756682880091285E-2</v>
      </c>
      <c r="G55" s="31">
        <f t="shared" si="34"/>
        <v>2.4179630941250269E-2</v>
      </c>
      <c r="H55" s="31">
        <f t="shared" si="34"/>
        <v>6.7233972894010794E-3</v>
      </c>
      <c r="I55" s="31">
        <f t="shared" si="34"/>
        <v>1.1584915620398218E-3</v>
      </c>
      <c r="J55" s="31">
        <f t="shared" si="34"/>
        <v>1.7020245430618693E-4</v>
      </c>
      <c r="K55" s="31">
        <f t="shared" si="34"/>
        <v>2.0694989467948757E-5</v>
      </c>
      <c r="L55" s="31">
        <f t="shared" si="34"/>
        <v>2.4794882107192292E-6</v>
      </c>
      <c r="M55" s="31">
        <f t="shared" si="34"/>
        <v>1.1583838525137635E-5</v>
      </c>
      <c r="N55" s="31">
        <f t="shared" si="34"/>
        <v>4.7102118006406402E-5</v>
      </c>
      <c r="O55" s="31">
        <f t="shared" si="34"/>
        <v>1.0215035548194682E-4</v>
      </c>
      <c r="P55" s="31">
        <f t="shared" si="34"/>
        <v>2.3359429330862378E-4</v>
      </c>
      <c r="Q55" s="31">
        <f t="shared" si="34"/>
        <v>4.9222284024186302E-4</v>
      </c>
      <c r="R55" s="31">
        <f t="shared" si="34"/>
        <v>8.6855273740019882E-4</v>
      </c>
      <c r="S55" s="31">
        <f t="shared" si="34"/>
        <v>1.3071729923734207E-3</v>
      </c>
      <c r="T55" s="31">
        <f t="shared" si="34"/>
        <v>1.5874201949982517E-3</v>
      </c>
      <c r="U55" s="31">
        <f t="shared" si="34"/>
        <v>1.5473977779974519E-3</v>
      </c>
      <c r="V55" s="31">
        <f t="shared" si="34"/>
        <v>1.048967903478508E-3</v>
      </c>
      <c r="W55" s="31">
        <f t="shared" si="34"/>
        <v>6.5287240319133566E-4</v>
      </c>
      <c r="X55" s="31">
        <f t="shared" si="34"/>
        <v>6.8748485316978203E-4</v>
      </c>
      <c r="Y55" s="31">
        <f t="shared" si="34"/>
        <v>1.7622288466281153E-3</v>
      </c>
      <c r="Z55" s="31">
        <f t="shared" si="34"/>
        <v>9.3082190262973677E-4</v>
      </c>
      <c r="AA55" s="31">
        <f t="shared" si="34"/>
        <v>3.8011332436411192E-4</v>
      </c>
      <c r="AB55" s="31">
        <f t="shared" si="34"/>
        <v>5.6764325492306778E-8</v>
      </c>
      <c r="AC55" s="31">
        <f t="shared" si="34"/>
        <v>1.2448713069478475E-4</v>
      </c>
      <c r="AD55" s="31">
        <f t="shared" si="34"/>
        <v>3.2489437513279749E-6</v>
      </c>
      <c r="AE55" s="31">
        <f t="shared" si="34"/>
        <v>1.0234323746364885E-4</v>
      </c>
      <c r="AF55" s="31">
        <f t="shared" si="34"/>
        <v>8.2350895522379284E-5</v>
      </c>
      <c r="AG55" s="31">
        <f t="shared" si="34"/>
        <v>4.0298977510291748E-4</v>
      </c>
      <c r="AH55" s="31">
        <f t="shared" si="34"/>
        <v>7.9016770634450203E-4</v>
      </c>
      <c r="AI55" s="31">
        <f t="shared" si="34"/>
        <v>6.5951987473534309E-4</v>
      </c>
      <c r="AJ55" s="31">
        <f t="shared" si="34"/>
        <v>1.6661041642328516E-3</v>
      </c>
    </row>
    <row r="56" spans="1:36" x14ac:dyDescent="0.25">
      <c r="E56" s="13" t="s">
        <v>31</v>
      </c>
      <c r="F56" s="32">
        <f>AVERAGE(F55:AJ55)</f>
        <v>2.1068606580502262E-3</v>
      </c>
    </row>
    <row r="57" spans="1:36" x14ac:dyDescent="0.25">
      <c r="A57" s="42"/>
      <c r="B57" s="15"/>
      <c r="C57" s="15"/>
      <c r="D57" s="15"/>
      <c r="F57" s="60">
        <f>AVERAGE(S55:X55)</f>
        <v>1.1385526875347916E-3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-59.999898573957836</v>
      </c>
    </row>
    <row r="119" spans="1:14" x14ac:dyDescent="0.25">
      <c r="L119" s="11">
        <f>L118+1</f>
        <v>2</v>
      </c>
      <c r="M119" s="11">
        <f t="shared" ref="M119:M124" si="35">INDEX($B$125:$K$126,1,L119)</f>
        <v>0</v>
      </c>
      <c r="N119" s="11">
        <f t="shared" ref="N119:N124" si="36">IF(L119=$B$3,0,INDEX($B$125:$K$126,2,L119))</f>
        <v>-48.304090284066596</v>
      </c>
    </row>
    <row r="120" spans="1:14" x14ac:dyDescent="0.25">
      <c r="L120" s="11">
        <f t="shared" ref="L120:L124" si="37">L119+1</f>
        <v>3</v>
      </c>
      <c r="M120" s="11">
        <f t="shared" si="35"/>
        <v>25</v>
      </c>
      <c r="N120" s="11">
        <f t="shared" si="36"/>
        <v>-41.637760530499037</v>
      </c>
    </row>
    <row r="121" spans="1:14" x14ac:dyDescent="0.25">
      <c r="A121" s="103">
        <f>(A165+A204+A243+A282+A321+A360+A399)*10^9</f>
        <v>2.3298770753517696E+16</v>
      </c>
      <c r="L121" s="11">
        <f t="shared" si="37"/>
        <v>4</v>
      </c>
      <c r="M121" s="11">
        <f t="shared" si="35"/>
        <v>50</v>
      </c>
      <c r="N121" s="11">
        <f t="shared" si="36"/>
        <v>-35.073932180427455</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-30.003679822882582</v>
      </c>
    </row>
    <row r="123" spans="1:14" x14ac:dyDescent="0.25">
      <c r="A123" s="118"/>
      <c r="B123" s="118"/>
      <c r="C123" s="3"/>
      <c r="D123" s="3"/>
      <c r="E123" s="3"/>
      <c r="F123" s="3"/>
      <c r="G123" s="3"/>
      <c r="H123" s="3"/>
      <c r="I123" s="3"/>
      <c r="J123" s="3"/>
      <c r="K123" s="3"/>
      <c r="L123" s="11">
        <f t="shared" si="37"/>
        <v>6</v>
      </c>
      <c r="M123" s="11">
        <f t="shared" si="35"/>
        <v>125</v>
      </c>
      <c r="N123" s="11">
        <f t="shared" si="36"/>
        <v>-13.864447925187026</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-59.999898573957836</v>
      </c>
      <c r="C126" s="107">
        <v>-48.304090284066596</v>
      </c>
      <c r="D126" s="107">
        <v>-41.637760530499037</v>
      </c>
      <c r="E126" s="107">
        <v>-35.073932180427455</v>
      </c>
      <c r="F126" s="107">
        <v>-30.003679822882582</v>
      </c>
      <c r="G126" s="107">
        <v>-13.864447925187026</v>
      </c>
      <c r="H126" s="107">
        <v>2.0186493783144854E-2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8" t="s">
        <v>22</v>
      </c>
      <c r="B131" s="27">
        <f>($C$17+SUM(B132:B162))*$B$51</f>
        <v>5614.1606999999995</v>
      </c>
      <c r="C131" s="27">
        <f t="shared" ref="C131:AF131" si="40">($C$17+SUM(C132:C162))*$B$51</f>
        <v>5614.1606999999995</v>
      </c>
      <c r="D131" s="27">
        <f t="shared" si="40"/>
        <v>5614.1606999999995</v>
      </c>
      <c r="E131" s="27">
        <f t="shared" si="40"/>
        <v>5614.1606999999995</v>
      </c>
      <c r="F131" s="27">
        <f t="shared" si="40"/>
        <v>5614.1606999999995</v>
      </c>
      <c r="G131" s="27">
        <f t="shared" si="40"/>
        <v>5614.1606999999995</v>
      </c>
      <c r="H131" s="27">
        <f t="shared" si="40"/>
        <v>5614.1606999999976</v>
      </c>
      <c r="I131" s="27">
        <f t="shared" si="40"/>
        <v>5614.1606999999804</v>
      </c>
      <c r="J131" s="27">
        <f t="shared" si="40"/>
        <v>5614.1606999998057</v>
      </c>
      <c r="K131" s="27">
        <f t="shared" si="40"/>
        <v>5614.1606999980577</v>
      </c>
      <c r="L131" s="27">
        <f t="shared" si="40"/>
        <v>5614.1606999805781</v>
      </c>
      <c r="M131" s="27">
        <f t="shared" si="40"/>
        <v>5614.1606998057878</v>
      </c>
      <c r="N131" s="27">
        <f t="shared" si="40"/>
        <v>5614.1606980578781</v>
      </c>
      <c r="O131" s="27">
        <f t="shared" si="40"/>
        <v>5614.1606805787915</v>
      </c>
      <c r="P131" s="27">
        <f t="shared" si="40"/>
        <v>5614.1605057879233</v>
      </c>
      <c r="Q131" s="27">
        <f t="shared" si="40"/>
        <v>5614.1587578799999</v>
      </c>
      <c r="R131" s="27">
        <f t="shared" si="40"/>
        <v>5614.1412788765329</v>
      </c>
      <c r="S131" s="27">
        <f t="shared" si="40"/>
        <v>5613.9664964186413</v>
      </c>
      <c r="T131" s="27">
        <f t="shared" si="40"/>
        <v>5612.2194292973973</v>
      </c>
      <c r="U131" s="27">
        <f t="shared" si="40"/>
        <v>5594.8242834252524</v>
      </c>
      <c r="V131" s="27">
        <f t="shared" si="40"/>
        <v>5428.2096772040713</v>
      </c>
      <c r="W131" s="27">
        <f t="shared" si="40"/>
        <v>4320.2568198682557</v>
      </c>
      <c r="X131" s="27">
        <f t="shared" si="40"/>
        <v>3396.8174194576627</v>
      </c>
      <c r="Y131" s="27">
        <f t="shared" si="40"/>
        <v>3396.4616021937795</v>
      </c>
      <c r="Z131" s="27">
        <f t="shared" si="40"/>
        <v>3396.3917148578403</v>
      </c>
      <c r="AA131" s="27">
        <f t="shared" si="40"/>
        <v>3395.6935937618964</v>
      </c>
      <c r="AB131" s="27">
        <f t="shared" si="40"/>
        <v>3388.7870515729651</v>
      </c>
      <c r="AC131" s="27">
        <f t="shared" si="40"/>
        <v>3326.6608764691482</v>
      </c>
      <c r="AD131" s="27">
        <f t="shared" si="40"/>
        <v>3073.908404927321</v>
      </c>
      <c r="AE131" s="27">
        <f t="shared" si="40"/>
        <v>2936.1864823960618</v>
      </c>
      <c r="AF131" s="27">
        <f t="shared" si="40"/>
        <v>2778.6460972452855</v>
      </c>
    </row>
    <row r="132" spans="1:33" x14ac:dyDescent="0.25">
      <c r="B132" s="3">
        <f t="shared" ref="B132:Z133" si="41">$C18*EXP(-B$129/$A18/EXP(-$B$126))</f>
        <v>0.39501743006781931</v>
      </c>
      <c r="C132" s="3">
        <f t="shared" ref="C132:AF132" si="42">$C18*EXP(-C$129/$A18/EXP(-$B$126))</f>
        <v>0.39501743006781931</v>
      </c>
      <c r="D132" s="3">
        <f t="shared" si="42"/>
        <v>0.39501743006781931</v>
      </c>
      <c r="E132" s="3">
        <f t="shared" si="42"/>
        <v>0.39501743006781931</v>
      </c>
      <c r="F132" s="3">
        <f t="shared" si="42"/>
        <v>0.39501743006781931</v>
      </c>
      <c r="G132" s="3">
        <f t="shared" si="42"/>
        <v>0.39501743006781925</v>
      </c>
      <c r="H132" s="3">
        <f t="shared" si="42"/>
        <v>0.39501743006781898</v>
      </c>
      <c r="I132" s="3">
        <f t="shared" si="42"/>
        <v>0.39501743006781587</v>
      </c>
      <c r="J132" s="3">
        <f t="shared" si="42"/>
        <v>0.39501743006778473</v>
      </c>
      <c r="K132" s="3">
        <f t="shared" si="42"/>
        <v>0.39501743006747336</v>
      </c>
      <c r="L132" s="3">
        <f t="shared" si="42"/>
        <v>0.39501743006435996</v>
      </c>
      <c r="M132" s="3">
        <f t="shared" si="42"/>
        <v>0.39501743003322609</v>
      </c>
      <c r="N132" s="3">
        <f t="shared" si="42"/>
        <v>0.39501742972188675</v>
      </c>
      <c r="O132" s="3">
        <f t="shared" si="42"/>
        <v>0.39501742660849409</v>
      </c>
      <c r="P132" s="3">
        <f t="shared" si="42"/>
        <v>0.39501739547456854</v>
      </c>
      <c r="Q132" s="3">
        <f t="shared" si="42"/>
        <v>0.39501708413544823</v>
      </c>
      <c r="R132" s="3">
        <f t="shared" si="42"/>
        <v>0.39501397075774092</v>
      </c>
      <c r="S132" s="3">
        <f t="shared" si="42"/>
        <v>0.39498283833025249</v>
      </c>
      <c r="T132" s="3">
        <f t="shared" si="42"/>
        <v>0.3946716489744958</v>
      </c>
      <c r="U132" s="3">
        <f t="shared" si="42"/>
        <v>0.39157320806716855</v>
      </c>
      <c r="V132" s="3">
        <f t="shared" si="42"/>
        <v>0.3618956466052014</v>
      </c>
      <c r="W132" s="3">
        <f t="shared" si="42"/>
        <v>0.16454597197972737</v>
      </c>
      <c r="X132" s="3">
        <f t="shared" si="42"/>
        <v>6.2133557642046048E-5</v>
      </c>
      <c r="Y132" s="3">
        <f t="shared" si="42"/>
        <v>3.6619792457998964E-39</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5.9661445570693118E-2</v>
      </c>
      <c r="C133" s="3">
        <f t="shared" si="41"/>
        <v>5.9661445570693118E-2</v>
      </c>
      <c r="D133" s="3">
        <f t="shared" si="41"/>
        <v>5.9661445570693118E-2</v>
      </c>
      <c r="E133" s="3">
        <f t="shared" si="41"/>
        <v>5.9661445570693118E-2</v>
      </c>
      <c r="F133" s="3">
        <f t="shared" si="41"/>
        <v>5.9661445570693118E-2</v>
      </c>
      <c r="G133" s="3">
        <f t="shared" si="41"/>
        <v>5.9661445570693118E-2</v>
      </c>
      <c r="H133" s="3">
        <f t="shared" si="41"/>
        <v>5.9661445570693118E-2</v>
      </c>
      <c r="I133" s="3">
        <f t="shared" si="41"/>
        <v>5.9661445570693118E-2</v>
      </c>
      <c r="J133" s="3">
        <f t="shared" si="41"/>
        <v>5.9661445570693118E-2</v>
      </c>
      <c r="K133" s="3">
        <f t="shared" si="41"/>
        <v>5.9661445570693118E-2</v>
      </c>
      <c r="L133" s="3">
        <f t="shared" si="41"/>
        <v>5.9661445570693118E-2</v>
      </c>
      <c r="M133" s="3">
        <f t="shared" si="41"/>
        <v>5.9661445570693118E-2</v>
      </c>
      <c r="N133" s="3">
        <f t="shared" si="41"/>
        <v>5.9661445570693104E-2</v>
      </c>
      <c r="O133" s="3">
        <f t="shared" si="41"/>
        <v>5.9661445570692986E-2</v>
      </c>
      <c r="P133" s="3">
        <f t="shared" si="41"/>
        <v>5.9661445570691779E-2</v>
      </c>
      <c r="Q133" s="3">
        <f t="shared" si="41"/>
        <v>5.9661445570679733E-2</v>
      </c>
      <c r="R133" s="3">
        <f t="shared" si="41"/>
        <v>5.9661445570559288E-2</v>
      </c>
      <c r="S133" s="3">
        <f t="shared" si="41"/>
        <v>5.9661445569354765E-2</v>
      </c>
      <c r="T133" s="3">
        <f t="shared" si="41"/>
        <v>5.9661445557309581E-2</v>
      </c>
      <c r="U133" s="3">
        <f t="shared" si="41"/>
        <v>5.966144543685778E-2</v>
      </c>
      <c r="V133" s="3">
        <f t="shared" si="41"/>
        <v>5.9661444232339704E-2</v>
      </c>
      <c r="W133" s="3">
        <f t="shared" si="41"/>
        <v>5.9661432187160295E-2</v>
      </c>
      <c r="X133" s="3">
        <f t="shared" si="41"/>
        <v>5.9661311735499989E-2</v>
      </c>
      <c r="Y133" s="3">
        <f t="shared" si="41"/>
        <v>5.9660107232271851E-2</v>
      </c>
      <c r="Z133" s="3">
        <f t="shared" si="41"/>
        <v>5.9648063537384957E-2</v>
      </c>
      <c r="AA133" s="3">
        <f t="shared" ref="AA133:AF133" si="43">$C19*EXP(-AA$129/$A19/EXP(-$B$126))</f>
        <v>5.9527760228113923E-2</v>
      </c>
      <c r="AB133" s="3">
        <f t="shared" si="43"/>
        <v>5.8337991803079414E-2</v>
      </c>
      <c r="AC133" s="3">
        <f t="shared" si="43"/>
        <v>4.7672815749168013E-2</v>
      </c>
      <c r="AD133" s="3">
        <f t="shared" si="43"/>
        <v>6.3308801425463364E-3</v>
      </c>
      <c r="AE133" s="3">
        <f t="shared" si="43"/>
        <v>1.0799333852839284E-11</v>
      </c>
      <c r="AF133" s="3">
        <f t="shared" si="43"/>
        <v>2.2528160171398448E-99</v>
      </c>
    </row>
    <row r="134" spans="1:33" x14ac:dyDescent="0.25">
      <c r="B134" s="3">
        <f t="shared" ref="B134:Z134" si="44">$C20*EXP(-B$129/$A20/EXP(-$B$126))</f>
        <v>1.9174474308937255E-2</v>
      </c>
      <c r="C134" s="3">
        <f t="shared" si="44"/>
        <v>1.9174474308937255E-2</v>
      </c>
      <c r="D134" s="3">
        <f t="shared" si="44"/>
        <v>1.9174474308937255E-2</v>
      </c>
      <c r="E134" s="3">
        <f t="shared" si="44"/>
        <v>1.9174474308937255E-2</v>
      </c>
      <c r="F134" s="3">
        <f t="shared" si="44"/>
        <v>1.9174474308937255E-2</v>
      </c>
      <c r="G134" s="3">
        <f t="shared" si="44"/>
        <v>1.9174474308937255E-2</v>
      </c>
      <c r="H134" s="3">
        <f t="shared" si="44"/>
        <v>1.9174474308937255E-2</v>
      </c>
      <c r="I134" s="3">
        <f t="shared" si="44"/>
        <v>1.9174474308937255E-2</v>
      </c>
      <c r="J134" s="3">
        <f t="shared" si="44"/>
        <v>1.9174474308937255E-2</v>
      </c>
      <c r="K134" s="3">
        <f t="shared" si="44"/>
        <v>1.9174474308937255E-2</v>
      </c>
      <c r="L134" s="3">
        <f t="shared" si="44"/>
        <v>1.9174474308937255E-2</v>
      </c>
      <c r="M134" s="3">
        <f t="shared" si="44"/>
        <v>1.9174474308937255E-2</v>
      </c>
      <c r="N134" s="3">
        <f t="shared" si="44"/>
        <v>1.9174474308937255E-2</v>
      </c>
      <c r="O134" s="3">
        <f t="shared" si="44"/>
        <v>1.9174474308937251E-2</v>
      </c>
      <c r="P134" s="3">
        <f t="shared" si="44"/>
        <v>1.9174474308937216E-2</v>
      </c>
      <c r="Q134" s="3">
        <f t="shared" si="44"/>
        <v>1.9174474308936866E-2</v>
      </c>
      <c r="R134" s="3">
        <f t="shared" si="44"/>
        <v>1.9174474308933372E-2</v>
      </c>
      <c r="S134" s="3">
        <f t="shared" si="44"/>
        <v>1.9174474308898452E-2</v>
      </c>
      <c r="T134" s="3">
        <f t="shared" si="44"/>
        <v>1.9174474308549242E-2</v>
      </c>
      <c r="U134" s="3">
        <f t="shared" si="44"/>
        <v>1.9174474305057119E-2</v>
      </c>
      <c r="V134" s="3">
        <f t="shared" si="44"/>
        <v>1.9174474270135879E-2</v>
      </c>
      <c r="W134" s="3">
        <f t="shared" si="44"/>
        <v>1.9174473920923522E-2</v>
      </c>
      <c r="X134" s="3">
        <f t="shared" si="44"/>
        <v>1.9174470428800272E-2</v>
      </c>
      <c r="Y134" s="3">
        <f t="shared" si="44"/>
        <v>1.9174435507602741E-2</v>
      </c>
      <c r="Z134" s="3">
        <f t="shared" si="44"/>
        <v>1.9174086299125412E-2</v>
      </c>
      <c r="AA134" s="3">
        <f t="shared" ref="AA134" si="45">$C20*EXP(-AA$129/$A20/EXP(-$B$126))</f>
        <v>1.9170594564124829E-2</v>
      </c>
      <c r="AB134" s="3">
        <f t="shared" ref="AB134:AF143" si="46">$C20*EXP(-AB$129/$A20/EXP(-$B$126))</f>
        <v>1.913571216783249E-2</v>
      </c>
      <c r="AC134" s="3">
        <f t="shared" si="46"/>
        <v>1.8790360136748247E-2</v>
      </c>
      <c r="AD134" s="3">
        <f t="shared" si="46"/>
        <v>1.5661734017646794E-2</v>
      </c>
      <c r="AE134" s="3">
        <f t="shared" si="46"/>
        <v>2.5344705326071325E-3</v>
      </c>
      <c r="AF134" s="3">
        <f t="shared" si="46"/>
        <v>3.1214851073881701E-11</v>
      </c>
    </row>
    <row r="135" spans="1:33" x14ac:dyDescent="0.25">
      <c r="B135" s="3">
        <f t="shared" ref="B135:Z135" si="47">$C21*EXP(-B$129/$A21/EXP(-$B$126))</f>
        <v>3.042813256492289E-2</v>
      </c>
      <c r="C135" s="3">
        <f t="shared" si="47"/>
        <v>3.042813256492289E-2</v>
      </c>
      <c r="D135" s="3">
        <f t="shared" si="47"/>
        <v>3.042813256492289E-2</v>
      </c>
      <c r="E135" s="3">
        <f t="shared" si="47"/>
        <v>3.042813256492289E-2</v>
      </c>
      <c r="F135" s="3">
        <f t="shared" si="47"/>
        <v>3.042813256492289E-2</v>
      </c>
      <c r="G135" s="3">
        <f t="shared" si="47"/>
        <v>3.042813256492289E-2</v>
      </c>
      <c r="H135" s="3">
        <f t="shared" si="47"/>
        <v>3.042813256492289E-2</v>
      </c>
      <c r="I135" s="3">
        <f t="shared" si="47"/>
        <v>3.042813256492289E-2</v>
      </c>
      <c r="J135" s="3">
        <f t="shared" si="47"/>
        <v>3.042813256492289E-2</v>
      </c>
      <c r="K135" s="3">
        <f t="shared" si="47"/>
        <v>3.042813256492289E-2</v>
      </c>
      <c r="L135" s="3">
        <f t="shared" si="47"/>
        <v>3.042813256492289E-2</v>
      </c>
      <c r="M135" s="3">
        <f t="shared" si="47"/>
        <v>3.042813256492289E-2</v>
      </c>
      <c r="N135" s="3">
        <f t="shared" si="47"/>
        <v>3.042813256492289E-2</v>
      </c>
      <c r="O135" s="3">
        <f t="shared" si="47"/>
        <v>3.042813256492289E-2</v>
      </c>
      <c r="P135" s="3">
        <f t="shared" si="47"/>
        <v>3.0428132564922883E-2</v>
      </c>
      <c r="Q135" s="3">
        <f t="shared" si="47"/>
        <v>3.0428132564922834E-2</v>
      </c>
      <c r="R135" s="3">
        <f t="shared" si="47"/>
        <v>3.0428132564922335E-2</v>
      </c>
      <c r="S135" s="3">
        <f t="shared" si="47"/>
        <v>3.0428132564917335E-2</v>
      </c>
      <c r="T135" s="3">
        <f t="shared" si="47"/>
        <v>3.0428132564867344E-2</v>
      </c>
      <c r="U135" s="3">
        <f t="shared" si="47"/>
        <v>3.0428132564367438E-2</v>
      </c>
      <c r="V135" s="3">
        <f t="shared" si="47"/>
        <v>3.0428132559368385E-2</v>
      </c>
      <c r="W135" s="3">
        <f t="shared" si="47"/>
        <v>3.0428132509377818E-2</v>
      </c>
      <c r="X135" s="3">
        <f t="shared" si="47"/>
        <v>3.0428132009472184E-2</v>
      </c>
      <c r="Y135" s="3">
        <f t="shared" si="47"/>
        <v>3.0428127010416292E-2</v>
      </c>
      <c r="Z135" s="3">
        <f t="shared" si="47"/>
        <v>3.0428077019902529E-2</v>
      </c>
      <c r="AA135" s="3">
        <f t="shared" ref="AA135" si="48">$C21*EXP(-AA$129/$A21/EXP(-$B$126))</f>
        <v>3.0427577119282029E-2</v>
      </c>
      <c r="AB135" s="3">
        <f t="shared" si="46"/>
        <v>3.0422578564760439E-2</v>
      </c>
      <c r="AC135" s="3">
        <f t="shared" si="46"/>
        <v>3.0372638160439822E-2</v>
      </c>
      <c r="AD135" s="3">
        <f t="shared" si="46"/>
        <v>2.9877720886901375E-2</v>
      </c>
      <c r="AE135" s="3">
        <f t="shared" si="46"/>
        <v>2.5351108932629828E-2</v>
      </c>
      <c r="AF135" s="3">
        <f t="shared" si="46"/>
        <v>4.9033389693173782E-3</v>
      </c>
    </row>
    <row r="136" spans="1:33" x14ac:dyDescent="0.25">
      <c r="B136" s="3">
        <f t="shared" ref="B136:Z136" si="49">$C22*EXP(-B$129/$A22/EXP(-$B$126))</f>
        <v>3.3546614570255213E-2</v>
      </c>
      <c r="C136" s="3">
        <f t="shared" si="49"/>
        <v>3.3546614570255213E-2</v>
      </c>
      <c r="D136" s="3">
        <f t="shared" si="49"/>
        <v>3.3546614570255213E-2</v>
      </c>
      <c r="E136" s="3">
        <f t="shared" si="49"/>
        <v>3.3546614570255213E-2</v>
      </c>
      <c r="F136" s="3">
        <f t="shared" si="49"/>
        <v>3.3546614570255213E-2</v>
      </c>
      <c r="G136" s="3">
        <f t="shared" si="49"/>
        <v>3.3546614570255213E-2</v>
      </c>
      <c r="H136" s="3">
        <f t="shared" si="49"/>
        <v>3.3546614570255213E-2</v>
      </c>
      <c r="I136" s="3">
        <f t="shared" si="49"/>
        <v>3.3546614570255213E-2</v>
      </c>
      <c r="J136" s="3">
        <f t="shared" si="49"/>
        <v>3.3546614570255213E-2</v>
      </c>
      <c r="K136" s="3">
        <f t="shared" si="49"/>
        <v>3.3546614570255213E-2</v>
      </c>
      <c r="L136" s="3">
        <f t="shared" si="49"/>
        <v>3.3546614570255213E-2</v>
      </c>
      <c r="M136" s="3">
        <f t="shared" si="49"/>
        <v>3.3546614570255213E-2</v>
      </c>
      <c r="N136" s="3">
        <f t="shared" si="49"/>
        <v>3.3546614570255213E-2</v>
      </c>
      <c r="O136" s="3">
        <f t="shared" si="49"/>
        <v>3.3546614570255213E-2</v>
      </c>
      <c r="P136" s="3">
        <f t="shared" si="49"/>
        <v>3.3546614570255213E-2</v>
      </c>
      <c r="Q136" s="3">
        <f t="shared" si="49"/>
        <v>3.3546614570255207E-2</v>
      </c>
      <c r="R136" s="3">
        <f t="shared" si="49"/>
        <v>3.3546614570255158E-2</v>
      </c>
      <c r="S136" s="3">
        <f t="shared" si="49"/>
        <v>3.3546614570254665E-2</v>
      </c>
      <c r="T136" s="3">
        <f t="shared" si="49"/>
        <v>3.354661457024969E-2</v>
      </c>
      <c r="U136" s="3">
        <f t="shared" si="49"/>
        <v>3.3546614570199973E-2</v>
      </c>
      <c r="V136" s="3">
        <f t="shared" si="49"/>
        <v>3.3546614569702801E-2</v>
      </c>
      <c r="W136" s="3">
        <f t="shared" si="49"/>
        <v>3.3546614564731063E-2</v>
      </c>
      <c r="X136" s="3">
        <f t="shared" si="49"/>
        <v>3.3546614515013708E-2</v>
      </c>
      <c r="Y136" s="3">
        <f t="shared" si="49"/>
        <v>3.3546614017840148E-2</v>
      </c>
      <c r="Z136" s="3">
        <f t="shared" si="49"/>
        <v>3.3546609046104979E-2</v>
      </c>
      <c r="AA136" s="3">
        <f t="shared" ref="AA136" si="50">$C22*EXP(-AA$129/$A22/EXP(-$B$126))</f>
        <v>3.3546559328793801E-2</v>
      </c>
      <c r="AB136" s="3">
        <f t="shared" si="46"/>
        <v>3.354606215973456E-2</v>
      </c>
      <c r="AC136" s="3">
        <f t="shared" si="46"/>
        <v>3.3541090874374062E-2</v>
      </c>
      <c r="AD136" s="3">
        <f t="shared" si="46"/>
        <v>3.3491418521742734E-2</v>
      </c>
      <c r="AE136" s="3">
        <f t="shared" si="46"/>
        <v>3.2998722971697758E-2</v>
      </c>
      <c r="AF136" s="3">
        <f t="shared" si="46"/>
        <v>2.8453326180560186E-2</v>
      </c>
    </row>
    <row r="137" spans="1:33" x14ac:dyDescent="0.25">
      <c r="B137" s="3">
        <f t="shared" ref="B137:Z137" si="51">$C23*EXP(-B$129/$A23/EXP(-$B$126))</f>
        <v>3.6056553536874446E-2</v>
      </c>
      <c r="C137" s="3">
        <f t="shared" si="51"/>
        <v>3.6056553536874446E-2</v>
      </c>
      <c r="D137" s="3">
        <f t="shared" si="51"/>
        <v>3.6056553536874446E-2</v>
      </c>
      <c r="E137" s="3">
        <f t="shared" si="51"/>
        <v>3.6056553536874446E-2</v>
      </c>
      <c r="F137" s="3">
        <f t="shared" si="51"/>
        <v>3.6056553536874446E-2</v>
      </c>
      <c r="G137" s="3">
        <f t="shared" si="51"/>
        <v>3.6056553536874446E-2</v>
      </c>
      <c r="H137" s="3">
        <f t="shared" si="51"/>
        <v>3.6056553536874446E-2</v>
      </c>
      <c r="I137" s="3">
        <f t="shared" si="51"/>
        <v>3.6056553536874446E-2</v>
      </c>
      <c r="J137" s="3">
        <f t="shared" si="51"/>
        <v>3.6056553536874446E-2</v>
      </c>
      <c r="K137" s="3">
        <f t="shared" si="51"/>
        <v>3.6056553536874446E-2</v>
      </c>
      <c r="L137" s="3">
        <f t="shared" si="51"/>
        <v>3.6056553536874446E-2</v>
      </c>
      <c r="M137" s="3">
        <f t="shared" si="51"/>
        <v>3.6056553536874446E-2</v>
      </c>
      <c r="N137" s="3">
        <f t="shared" si="51"/>
        <v>3.6056553536874446E-2</v>
      </c>
      <c r="O137" s="3">
        <f t="shared" si="51"/>
        <v>3.6056553536874446E-2</v>
      </c>
      <c r="P137" s="3">
        <f t="shared" si="51"/>
        <v>3.6056553536874446E-2</v>
      </c>
      <c r="Q137" s="3">
        <f t="shared" si="51"/>
        <v>3.6056553536874446E-2</v>
      </c>
      <c r="R137" s="3">
        <f t="shared" si="51"/>
        <v>3.6056553536874439E-2</v>
      </c>
      <c r="S137" s="3">
        <f t="shared" si="51"/>
        <v>3.6056553536874397E-2</v>
      </c>
      <c r="T137" s="3">
        <f t="shared" si="51"/>
        <v>3.6056553536873912E-2</v>
      </c>
      <c r="U137" s="3">
        <f t="shared" si="51"/>
        <v>3.6056553536869089E-2</v>
      </c>
      <c r="V137" s="3">
        <f t="shared" si="51"/>
        <v>3.6056553536820884E-2</v>
      </c>
      <c r="W137" s="3">
        <f t="shared" si="51"/>
        <v>3.605655353633884E-2</v>
      </c>
      <c r="X137" s="3">
        <f t="shared" si="51"/>
        <v>3.6056553531518355E-2</v>
      </c>
      <c r="Y137" s="3">
        <f t="shared" si="51"/>
        <v>3.6056553483313575E-2</v>
      </c>
      <c r="Z137" s="3">
        <f t="shared" si="51"/>
        <v>3.605655300126575E-2</v>
      </c>
      <c r="AA137" s="3">
        <f t="shared" ref="AA137" si="52">$C23*EXP(-AA$129/$A23/EXP(-$B$126))</f>
        <v>3.6056548180787865E-2</v>
      </c>
      <c r="AB137" s="3">
        <f t="shared" si="46"/>
        <v>3.6056499976044411E-2</v>
      </c>
      <c r="AC137" s="3">
        <f t="shared" si="46"/>
        <v>3.6056017932154412E-2</v>
      </c>
      <c r="AD137" s="3">
        <f t="shared" si="46"/>
        <v>3.6051197847687975E-2</v>
      </c>
      <c r="AE137" s="3">
        <f t="shared" si="46"/>
        <v>3.6003032428856038E-2</v>
      </c>
      <c r="AF137" s="3">
        <f t="shared" si="46"/>
        <v>3.5524903362494781E-2</v>
      </c>
    </row>
    <row r="138" spans="1:33" x14ac:dyDescent="0.25">
      <c r="B138" s="3">
        <f t="shared" ref="B138:Z138" si="53">$C24*EXP(-B$129/$A24/EXP(-$B$126))</f>
        <v>4.1431742608178009E-2</v>
      </c>
      <c r="C138" s="3">
        <f t="shared" si="53"/>
        <v>4.1431742608178009E-2</v>
      </c>
      <c r="D138" s="3">
        <f t="shared" si="53"/>
        <v>4.1431742608178009E-2</v>
      </c>
      <c r="E138" s="3">
        <f t="shared" si="53"/>
        <v>4.1431742608178009E-2</v>
      </c>
      <c r="F138" s="3">
        <f t="shared" si="53"/>
        <v>4.1431742608178009E-2</v>
      </c>
      <c r="G138" s="3">
        <f t="shared" si="53"/>
        <v>4.1431742608178009E-2</v>
      </c>
      <c r="H138" s="3">
        <f t="shared" si="53"/>
        <v>4.1431742608178009E-2</v>
      </c>
      <c r="I138" s="3">
        <f t="shared" si="53"/>
        <v>4.1431742608178009E-2</v>
      </c>
      <c r="J138" s="3">
        <f t="shared" si="53"/>
        <v>4.1431742608178009E-2</v>
      </c>
      <c r="K138" s="3">
        <f t="shared" si="53"/>
        <v>4.1431742608178009E-2</v>
      </c>
      <c r="L138" s="3">
        <f t="shared" si="53"/>
        <v>4.1431742608178009E-2</v>
      </c>
      <c r="M138" s="3">
        <f t="shared" si="53"/>
        <v>4.1431742608178009E-2</v>
      </c>
      <c r="N138" s="3">
        <f t="shared" si="53"/>
        <v>4.1431742608178009E-2</v>
      </c>
      <c r="O138" s="3">
        <f t="shared" si="53"/>
        <v>4.1431742608178009E-2</v>
      </c>
      <c r="P138" s="3">
        <f t="shared" si="53"/>
        <v>4.1431742608178009E-2</v>
      </c>
      <c r="Q138" s="3">
        <f t="shared" si="53"/>
        <v>4.1431742608178009E-2</v>
      </c>
      <c r="R138" s="3">
        <f t="shared" si="53"/>
        <v>4.1431742608178009E-2</v>
      </c>
      <c r="S138" s="3">
        <f t="shared" si="53"/>
        <v>4.1431742608178002E-2</v>
      </c>
      <c r="T138" s="3">
        <f t="shared" si="53"/>
        <v>4.1431742608177953E-2</v>
      </c>
      <c r="U138" s="3">
        <f t="shared" si="53"/>
        <v>4.1431742608177453E-2</v>
      </c>
      <c r="V138" s="3">
        <f t="shared" si="53"/>
        <v>4.1431742608172457E-2</v>
      </c>
      <c r="W138" s="3">
        <f t="shared" si="53"/>
        <v>4.143174260812249E-2</v>
      </c>
      <c r="X138" s="3">
        <f t="shared" si="53"/>
        <v>4.1431742607622814E-2</v>
      </c>
      <c r="Y138" s="3">
        <f t="shared" si="53"/>
        <v>4.1431742602626088E-2</v>
      </c>
      <c r="Z138" s="3">
        <f t="shared" si="53"/>
        <v>4.1431742552658808E-2</v>
      </c>
      <c r="AA138" s="3">
        <f t="shared" ref="AA138" si="54">$C24*EXP(-AA$129/$A24/EXP(-$B$126))</f>
        <v>4.1431742052986012E-2</v>
      </c>
      <c r="AB138" s="3">
        <f t="shared" si="46"/>
        <v>4.1431737056258376E-2</v>
      </c>
      <c r="AC138" s="3">
        <f t="shared" si="46"/>
        <v>4.1431687089015172E-2</v>
      </c>
      <c r="AD138" s="3">
        <f t="shared" si="46"/>
        <v>4.1431187419897507E-2</v>
      </c>
      <c r="AE138" s="3">
        <f t="shared" si="46"/>
        <v>4.1426191060141337E-2</v>
      </c>
      <c r="AF138" s="3">
        <f t="shared" si="46"/>
        <v>4.1376260589846128E-2</v>
      </c>
    </row>
    <row r="139" spans="1:33" x14ac:dyDescent="0.25">
      <c r="B139" s="3">
        <f t="shared" ref="B139:Z139" si="55">$C25*EXP(-B$129/$A25/EXP(-$B$126))</f>
        <v>4.558861375636767E-2</v>
      </c>
      <c r="C139" s="3">
        <f t="shared" si="55"/>
        <v>4.558861375636767E-2</v>
      </c>
      <c r="D139" s="3">
        <f t="shared" si="55"/>
        <v>4.558861375636767E-2</v>
      </c>
      <c r="E139" s="3">
        <f t="shared" si="55"/>
        <v>4.558861375636767E-2</v>
      </c>
      <c r="F139" s="3">
        <f t="shared" si="55"/>
        <v>4.558861375636767E-2</v>
      </c>
      <c r="G139" s="3">
        <f t="shared" si="55"/>
        <v>4.558861375636767E-2</v>
      </c>
      <c r="H139" s="3">
        <f t="shared" si="55"/>
        <v>4.558861375636767E-2</v>
      </c>
      <c r="I139" s="3">
        <f t="shared" si="55"/>
        <v>4.558861375636767E-2</v>
      </c>
      <c r="J139" s="3">
        <f t="shared" si="55"/>
        <v>4.558861375636767E-2</v>
      </c>
      <c r="K139" s="3">
        <f t="shared" si="55"/>
        <v>4.558861375636767E-2</v>
      </c>
      <c r="L139" s="3">
        <f t="shared" si="55"/>
        <v>4.558861375636767E-2</v>
      </c>
      <c r="M139" s="3">
        <f t="shared" si="55"/>
        <v>4.558861375636767E-2</v>
      </c>
      <c r="N139" s="3">
        <f t="shared" si="55"/>
        <v>4.558861375636767E-2</v>
      </c>
      <c r="O139" s="3">
        <f t="shared" si="55"/>
        <v>4.558861375636767E-2</v>
      </c>
      <c r="P139" s="3">
        <f t="shared" si="55"/>
        <v>4.558861375636767E-2</v>
      </c>
      <c r="Q139" s="3">
        <f t="shared" si="55"/>
        <v>4.558861375636767E-2</v>
      </c>
      <c r="R139" s="3">
        <f t="shared" si="55"/>
        <v>4.558861375636767E-2</v>
      </c>
      <c r="S139" s="3">
        <f t="shared" si="55"/>
        <v>4.558861375636767E-2</v>
      </c>
      <c r="T139" s="3">
        <f t="shared" si="55"/>
        <v>4.5588613756367663E-2</v>
      </c>
      <c r="U139" s="3">
        <f t="shared" si="55"/>
        <v>4.5588613756367614E-2</v>
      </c>
      <c r="V139" s="3">
        <f t="shared" si="55"/>
        <v>4.5588613756367115E-2</v>
      </c>
      <c r="W139" s="3">
        <f t="shared" si="55"/>
        <v>4.558861375636216E-2</v>
      </c>
      <c r="X139" s="3">
        <f t="shared" si="55"/>
        <v>4.5588613756312561E-2</v>
      </c>
      <c r="Y139" s="3">
        <f t="shared" si="55"/>
        <v>4.558861375581659E-2</v>
      </c>
      <c r="Z139" s="3">
        <f t="shared" si="55"/>
        <v>4.5588613750856891E-2</v>
      </c>
      <c r="AA139" s="3">
        <f t="shared" ref="AA139" si="56">$C25*EXP(-AA$129/$A25/EXP(-$B$126))</f>
        <v>4.5588613701259884E-2</v>
      </c>
      <c r="AB139" s="3">
        <f t="shared" si="46"/>
        <v>4.5588613205289799E-2</v>
      </c>
      <c r="AC139" s="3">
        <f t="shared" si="46"/>
        <v>4.5588608245589225E-2</v>
      </c>
      <c r="AD139" s="3">
        <f t="shared" si="46"/>
        <v>4.5588558648613199E-2</v>
      </c>
      <c r="AE139" s="3">
        <f t="shared" si="46"/>
        <v>4.5588062681820606E-2</v>
      </c>
      <c r="AF139" s="3">
        <f t="shared" si="46"/>
        <v>4.5583103310649555E-2</v>
      </c>
    </row>
    <row r="140" spans="1:33" x14ac:dyDescent="0.25">
      <c r="B140" s="3">
        <f t="shared" ref="B140:Z140" si="57">$C26*EXP(-B$129/$A26/EXP(-$B$126))</f>
        <v>5.454765248808658E-2</v>
      </c>
      <c r="C140" s="3">
        <f t="shared" si="57"/>
        <v>5.454765248808658E-2</v>
      </c>
      <c r="D140" s="3">
        <f t="shared" si="57"/>
        <v>5.454765248808658E-2</v>
      </c>
      <c r="E140" s="3">
        <f t="shared" si="57"/>
        <v>5.454765248808658E-2</v>
      </c>
      <c r="F140" s="3">
        <f t="shared" si="57"/>
        <v>5.454765248808658E-2</v>
      </c>
      <c r="G140" s="3">
        <f t="shared" si="57"/>
        <v>5.454765248808658E-2</v>
      </c>
      <c r="H140" s="3">
        <f t="shared" si="57"/>
        <v>5.454765248808658E-2</v>
      </c>
      <c r="I140" s="3">
        <f t="shared" si="57"/>
        <v>5.454765248808658E-2</v>
      </c>
      <c r="J140" s="3">
        <f t="shared" si="57"/>
        <v>5.454765248808658E-2</v>
      </c>
      <c r="K140" s="3">
        <f t="shared" si="57"/>
        <v>5.454765248808658E-2</v>
      </c>
      <c r="L140" s="3">
        <f t="shared" si="57"/>
        <v>5.454765248808658E-2</v>
      </c>
      <c r="M140" s="3">
        <f t="shared" si="57"/>
        <v>5.454765248808658E-2</v>
      </c>
      <c r="N140" s="3">
        <f t="shared" si="57"/>
        <v>5.454765248808658E-2</v>
      </c>
      <c r="O140" s="3">
        <f t="shared" si="57"/>
        <v>5.454765248808658E-2</v>
      </c>
      <c r="P140" s="3">
        <f t="shared" si="57"/>
        <v>5.454765248808658E-2</v>
      </c>
      <c r="Q140" s="3">
        <f t="shared" si="57"/>
        <v>5.454765248808658E-2</v>
      </c>
      <c r="R140" s="3">
        <f t="shared" si="57"/>
        <v>5.454765248808658E-2</v>
      </c>
      <c r="S140" s="3">
        <f t="shared" si="57"/>
        <v>5.454765248808658E-2</v>
      </c>
      <c r="T140" s="3">
        <f t="shared" si="57"/>
        <v>5.454765248808658E-2</v>
      </c>
      <c r="U140" s="3">
        <f t="shared" si="57"/>
        <v>5.4547652488086573E-2</v>
      </c>
      <c r="V140" s="3">
        <f t="shared" si="57"/>
        <v>5.4547652488086518E-2</v>
      </c>
      <c r="W140" s="3">
        <f t="shared" si="57"/>
        <v>5.4547652488085983E-2</v>
      </c>
      <c r="X140" s="3">
        <f t="shared" si="57"/>
        <v>5.4547652488080633E-2</v>
      </c>
      <c r="Y140" s="3">
        <f t="shared" si="57"/>
        <v>5.45476524880271E-2</v>
      </c>
      <c r="Z140" s="3">
        <f t="shared" si="57"/>
        <v>5.4547652487491771E-2</v>
      </c>
      <c r="AA140" s="3">
        <f t="shared" ref="AA140" si="58">$C26*EXP(-AA$129/$A26/EXP(-$B$126))</f>
        <v>5.454765248213847E-2</v>
      </c>
      <c r="AB140" s="3">
        <f t="shared" si="46"/>
        <v>5.4547652428605445E-2</v>
      </c>
      <c r="AC140" s="3">
        <f t="shared" si="46"/>
        <v>5.4547651893275234E-2</v>
      </c>
      <c r="AD140" s="3">
        <f t="shared" si="46"/>
        <v>5.4547646539973411E-2</v>
      </c>
      <c r="AE140" s="3">
        <f t="shared" si="46"/>
        <v>5.4547593006984051E-2</v>
      </c>
      <c r="AF140" s="3">
        <f t="shared" si="46"/>
        <v>5.454705767998002E-2</v>
      </c>
    </row>
    <row r="141" spans="1:33" x14ac:dyDescent="0.25">
      <c r="B141" s="3">
        <f t="shared" ref="B141:Z141" si="59">$C27*EXP(-B$129/$A27/EXP(-$B$126))</f>
        <v>6.3488731508467941E-2</v>
      </c>
      <c r="C141" s="3">
        <f t="shared" si="59"/>
        <v>6.3488731508467941E-2</v>
      </c>
      <c r="D141" s="3">
        <f t="shared" si="59"/>
        <v>6.3488731508467941E-2</v>
      </c>
      <c r="E141" s="3">
        <f t="shared" si="59"/>
        <v>6.3488731508467941E-2</v>
      </c>
      <c r="F141" s="3">
        <f t="shared" si="59"/>
        <v>6.3488731508467941E-2</v>
      </c>
      <c r="G141" s="3">
        <f t="shared" si="59"/>
        <v>6.3488731508467941E-2</v>
      </c>
      <c r="H141" s="3">
        <f t="shared" si="59"/>
        <v>6.3488731508467941E-2</v>
      </c>
      <c r="I141" s="3">
        <f t="shared" si="59"/>
        <v>6.3488731508467941E-2</v>
      </c>
      <c r="J141" s="3">
        <f t="shared" si="59"/>
        <v>6.3488731508467941E-2</v>
      </c>
      <c r="K141" s="3">
        <f t="shared" si="59"/>
        <v>6.3488731508467941E-2</v>
      </c>
      <c r="L141" s="3">
        <f t="shared" si="59"/>
        <v>6.3488731508467941E-2</v>
      </c>
      <c r="M141" s="3">
        <f t="shared" si="59"/>
        <v>6.3488731508467941E-2</v>
      </c>
      <c r="N141" s="3">
        <f t="shared" si="59"/>
        <v>6.3488731508467941E-2</v>
      </c>
      <c r="O141" s="3">
        <f t="shared" si="59"/>
        <v>6.3488731508467941E-2</v>
      </c>
      <c r="P141" s="3">
        <f t="shared" si="59"/>
        <v>6.3488731508467941E-2</v>
      </c>
      <c r="Q141" s="3">
        <f t="shared" si="59"/>
        <v>6.3488731508467941E-2</v>
      </c>
      <c r="R141" s="3">
        <f t="shared" si="59"/>
        <v>6.3488731508467941E-2</v>
      </c>
      <c r="S141" s="3">
        <f t="shared" si="59"/>
        <v>6.3488731508467941E-2</v>
      </c>
      <c r="T141" s="3">
        <f t="shared" si="59"/>
        <v>6.3488731508467941E-2</v>
      </c>
      <c r="U141" s="3">
        <f t="shared" si="59"/>
        <v>6.3488731508467941E-2</v>
      </c>
      <c r="V141" s="3">
        <f t="shared" si="59"/>
        <v>6.3488731508467927E-2</v>
      </c>
      <c r="W141" s="3">
        <f t="shared" si="59"/>
        <v>6.3488731508467872E-2</v>
      </c>
      <c r="X141" s="3">
        <f t="shared" si="59"/>
        <v>6.3488731508467316E-2</v>
      </c>
      <c r="Y141" s="3">
        <f t="shared" si="59"/>
        <v>6.3488731508461696E-2</v>
      </c>
      <c r="Z141" s="3">
        <f t="shared" si="59"/>
        <v>6.3488731508405491E-2</v>
      </c>
      <c r="AA141" s="3">
        <f t="shared" ref="AA141" si="60">$C27*EXP(-AA$129/$A27/EXP(-$B$126))</f>
        <v>6.3488731507843427E-2</v>
      </c>
      <c r="AB141" s="3">
        <f t="shared" si="46"/>
        <v>6.3488731502222742E-2</v>
      </c>
      <c r="AC141" s="3">
        <f t="shared" si="46"/>
        <v>6.3488731446015925E-2</v>
      </c>
      <c r="AD141" s="3">
        <f t="shared" si="46"/>
        <v>6.3488730883947839E-2</v>
      </c>
      <c r="AE141" s="3">
        <f t="shared" si="46"/>
        <v>6.3488725263267209E-2</v>
      </c>
      <c r="AF141" s="3">
        <f t="shared" si="46"/>
        <v>6.3488669056488353E-2</v>
      </c>
    </row>
    <row r="142" spans="1:33" x14ac:dyDescent="0.25">
      <c r="B142" s="3">
        <f t="shared" ref="B142:Z142" si="61">$C28*EXP(-B$129/$A28/EXP(-$B$126))</f>
        <v>6.4437498796687767E-2</v>
      </c>
      <c r="C142" s="3">
        <f t="shared" si="61"/>
        <v>6.4437498796687767E-2</v>
      </c>
      <c r="D142" s="3">
        <f t="shared" si="61"/>
        <v>6.4437498796687767E-2</v>
      </c>
      <c r="E142" s="3">
        <f t="shared" si="61"/>
        <v>6.4437498796687767E-2</v>
      </c>
      <c r="F142" s="3">
        <f t="shared" si="61"/>
        <v>6.4437498796687767E-2</v>
      </c>
      <c r="G142" s="3">
        <f t="shared" si="61"/>
        <v>6.4437498796687767E-2</v>
      </c>
      <c r="H142" s="3">
        <f t="shared" si="61"/>
        <v>6.4437498796687767E-2</v>
      </c>
      <c r="I142" s="3">
        <f t="shared" si="61"/>
        <v>6.4437498796687767E-2</v>
      </c>
      <c r="J142" s="3">
        <f t="shared" si="61"/>
        <v>6.4437498796687767E-2</v>
      </c>
      <c r="K142" s="3">
        <f t="shared" si="61"/>
        <v>6.4437498796687767E-2</v>
      </c>
      <c r="L142" s="3">
        <f t="shared" si="61"/>
        <v>6.4437498796687767E-2</v>
      </c>
      <c r="M142" s="3">
        <f t="shared" si="61"/>
        <v>6.4437498796687767E-2</v>
      </c>
      <c r="N142" s="3">
        <f t="shared" si="61"/>
        <v>6.4437498796687767E-2</v>
      </c>
      <c r="O142" s="3">
        <f t="shared" si="61"/>
        <v>6.4437498796687767E-2</v>
      </c>
      <c r="P142" s="3">
        <f t="shared" si="61"/>
        <v>6.4437498796687767E-2</v>
      </c>
      <c r="Q142" s="3">
        <f t="shared" si="61"/>
        <v>6.4437498796687767E-2</v>
      </c>
      <c r="R142" s="3">
        <f t="shared" si="61"/>
        <v>6.4437498796687767E-2</v>
      </c>
      <c r="S142" s="3">
        <f t="shared" si="61"/>
        <v>6.4437498796687767E-2</v>
      </c>
      <c r="T142" s="3">
        <f t="shared" si="61"/>
        <v>6.4437498796687767E-2</v>
      </c>
      <c r="U142" s="3">
        <f t="shared" si="61"/>
        <v>6.4437498796687767E-2</v>
      </c>
      <c r="V142" s="3">
        <f t="shared" si="61"/>
        <v>6.4437498796687767E-2</v>
      </c>
      <c r="W142" s="3">
        <f t="shared" si="61"/>
        <v>6.4437498796687753E-2</v>
      </c>
      <c r="X142" s="3">
        <f t="shared" si="61"/>
        <v>6.4437498796687712E-2</v>
      </c>
      <c r="Y142" s="3">
        <f t="shared" si="61"/>
        <v>6.4437498796687198E-2</v>
      </c>
      <c r="Z142" s="3">
        <f t="shared" si="61"/>
        <v>6.4437498796682049E-2</v>
      </c>
      <c r="AA142" s="3">
        <f t="shared" ref="AA142" si="62">$C28*EXP(-AA$129/$A28/EXP(-$B$126))</f>
        <v>6.4437498796630591E-2</v>
      </c>
      <c r="AB142" s="3">
        <f t="shared" si="46"/>
        <v>6.4437498796115975E-2</v>
      </c>
      <c r="AC142" s="3">
        <f t="shared" si="46"/>
        <v>6.4437498790969897E-2</v>
      </c>
      <c r="AD142" s="3">
        <f t="shared" si="46"/>
        <v>6.4437498739508964E-2</v>
      </c>
      <c r="AE142" s="3">
        <f t="shared" si="46"/>
        <v>6.4437498224899761E-2</v>
      </c>
      <c r="AF142" s="3">
        <f t="shared" si="46"/>
        <v>6.4437493078808E-2</v>
      </c>
    </row>
    <row r="143" spans="1:33" x14ac:dyDescent="0.25">
      <c r="B143" s="3">
        <f t="shared" ref="B143:Z143" si="63">$C29*EXP(-B$129/$A29/EXP(-$B$126))</f>
        <v>5.0984711138190433E-2</v>
      </c>
      <c r="C143" s="3">
        <f t="shared" si="63"/>
        <v>5.0984711138190433E-2</v>
      </c>
      <c r="D143" s="3">
        <f t="shared" si="63"/>
        <v>5.0984711138190433E-2</v>
      </c>
      <c r="E143" s="3">
        <f t="shared" si="63"/>
        <v>5.0984711138190433E-2</v>
      </c>
      <c r="F143" s="3">
        <f t="shared" si="63"/>
        <v>5.0984711138190433E-2</v>
      </c>
      <c r="G143" s="3">
        <f t="shared" si="63"/>
        <v>5.0984711138190433E-2</v>
      </c>
      <c r="H143" s="3">
        <f t="shared" si="63"/>
        <v>5.0984711138190433E-2</v>
      </c>
      <c r="I143" s="3">
        <f t="shared" si="63"/>
        <v>5.0984711138190433E-2</v>
      </c>
      <c r="J143" s="3">
        <f t="shared" si="63"/>
        <v>5.0984711138190433E-2</v>
      </c>
      <c r="K143" s="3">
        <f t="shared" si="63"/>
        <v>5.0984711138190433E-2</v>
      </c>
      <c r="L143" s="3">
        <f t="shared" si="63"/>
        <v>5.0984711138190433E-2</v>
      </c>
      <c r="M143" s="3">
        <f t="shared" si="63"/>
        <v>5.0984711138190433E-2</v>
      </c>
      <c r="N143" s="3">
        <f t="shared" si="63"/>
        <v>5.0984711138190433E-2</v>
      </c>
      <c r="O143" s="3">
        <f t="shared" si="63"/>
        <v>5.0984711138190433E-2</v>
      </c>
      <c r="P143" s="3">
        <f t="shared" si="63"/>
        <v>5.0984711138190433E-2</v>
      </c>
      <c r="Q143" s="3">
        <f t="shared" si="63"/>
        <v>5.0984711138190433E-2</v>
      </c>
      <c r="R143" s="3">
        <f t="shared" si="63"/>
        <v>5.0984711138190433E-2</v>
      </c>
      <c r="S143" s="3">
        <f t="shared" si="63"/>
        <v>5.0984711138190433E-2</v>
      </c>
      <c r="T143" s="3">
        <f t="shared" si="63"/>
        <v>5.0984711138190433E-2</v>
      </c>
      <c r="U143" s="3">
        <f t="shared" si="63"/>
        <v>5.0984711138190433E-2</v>
      </c>
      <c r="V143" s="3">
        <f t="shared" si="63"/>
        <v>5.0984711138190433E-2</v>
      </c>
      <c r="W143" s="3">
        <f t="shared" si="63"/>
        <v>5.0984711138190433E-2</v>
      </c>
      <c r="X143" s="3">
        <f t="shared" si="63"/>
        <v>5.0984711138190426E-2</v>
      </c>
      <c r="Y143" s="3">
        <f t="shared" si="63"/>
        <v>5.0984711138190392E-2</v>
      </c>
      <c r="Z143" s="3">
        <f t="shared" si="63"/>
        <v>5.0984711138190024E-2</v>
      </c>
      <c r="AA143" s="3">
        <f t="shared" ref="AA143" si="64">$C29*EXP(-AA$129/$A29/EXP(-$B$126))</f>
        <v>5.0984711138186353E-2</v>
      </c>
      <c r="AB143" s="3">
        <f t="shared" si="46"/>
        <v>5.0984711138149619E-2</v>
      </c>
      <c r="AC143" s="3">
        <f t="shared" si="46"/>
        <v>5.0984711137782315E-2</v>
      </c>
      <c r="AD143" s="3">
        <f t="shared" si="46"/>
        <v>5.0984711134109281E-2</v>
      </c>
      <c r="AE143" s="3">
        <f t="shared" si="46"/>
        <v>5.0984711097378899E-2</v>
      </c>
      <c r="AF143" s="3">
        <f t="shared" si="46"/>
        <v>5.0984710730075093E-2</v>
      </c>
    </row>
    <row r="144" spans="1:33" x14ac:dyDescent="0.25">
      <c r="B144" s="3">
        <f t="shared" ref="B144:Z144" si="65">$C30*EXP(-B$129/$A30/EXP(-$B$126))</f>
        <v>3.1725580310806592E-2</v>
      </c>
      <c r="C144" s="3">
        <f t="shared" si="65"/>
        <v>3.1725580310806592E-2</v>
      </c>
      <c r="D144" s="3">
        <f t="shared" si="65"/>
        <v>3.1725580310806592E-2</v>
      </c>
      <c r="E144" s="3">
        <f t="shared" si="65"/>
        <v>3.1725580310806592E-2</v>
      </c>
      <c r="F144" s="3">
        <f t="shared" si="65"/>
        <v>3.1725580310806592E-2</v>
      </c>
      <c r="G144" s="3">
        <f t="shared" si="65"/>
        <v>3.1725580310806592E-2</v>
      </c>
      <c r="H144" s="3">
        <f t="shared" si="65"/>
        <v>3.1725580310806592E-2</v>
      </c>
      <c r="I144" s="3">
        <f t="shared" si="65"/>
        <v>3.1725580310806592E-2</v>
      </c>
      <c r="J144" s="3">
        <f t="shared" si="65"/>
        <v>3.1725580310806592E-2</v>
      </c>
      <c r="K144" s="3">
        <f t="shared" si="65"/>
        <v>3.1725580310806592E-2</v>
      </c>
      <c r="L144" s="3">
        <f t="shared" si="65"/>
        <v>3.1725580310806592E-2</v>
      </c>
      <c r="M144" s="3">
        <f t="shared" si="65"/>
        <v>3.1725580310806592E-2</v>
      </c>
      <c r="N144" s="3">
        <f t="shared" si="65"/>
        <v>3.1725580310806592E-2</v>
      </c>
      <c r="O144" s="3">
        <f t="shared" si="65"/>
        <v>3.1725580310806592E-2</v>
      </c>
      <c r="P144" s="3">
        <f t="shared" si="65"/>
        <v>3.1725580310806592E-2</v>
      </c>
      <c r="Q144" s="3">
        <f t="shared" si="65"/>
        <v>3.1725580310806592E-2</v>
      </c>
      <c r="R144" s="3">
        <f t="shared" si="65"/>
        <v>3.1725580310806592E-2</v>
      </c>
      <c r="S144" s="3">
        <f t="shared" si="65"/>
        <v>3.1725580310806592E-2</v>
      </c>
      <c r="T144" s="3">
        <f t="shared" si="65"/>
        <v>3.1725580310806592E-2</v>
      </c>
      <c r="U144" s="3">
        <f t="shared" si="65"/>
        <v>3.1725580310806592E-2</v>
      </c>
      <c r="V144" s="3">
        <f t="shared" si="65"/>
        <v>3.1725580310806592E-2</v>
      </c>
      <c r="W144" s="3">
        <f t="shared" si="65"/>
        <v>3.1725580310806592E-2</v>
      </c>
      <c r="X144" s="3">
        <f t="shared" si="65"/>
        <v>3.1725580310806592E-2</v>
      </c>
      <c r="Y144" s="3">
        <f t="shared" si="65"/>
        <v>3.1725580310806585E-2</v>
      </c>
      <c r="Z144" s="3">
        <f t="shared" si="65"/>
        <v>3.1725580310806564E-2</v>
      </c>
      <c r="AA144" s="3">
        <f t="shared" ref="AA144" si="66">$C30*EXP(-AA$129/$A30/EXP(-$B$126))</f>
        <v>3.1725580310806363E-2</v>
      </c>
      <c r="AB144" s="3">
        <f t="shared" ref="AB144:AF153" si="67">$C30*EXP(-AB$129/$A30/EXP(-$B$126))</f>
        <v>3.1725580310804302E-2</v>
      </c>
      <c r="AC144" s="3">
        <f t="shared" si="67"/>
        <v>3.1725580310783687E-2</v>
      </c>
      <c r="AD144" s="3">
        <f t="shared" si="67"/>
        <v>3.1725580310577504E-2</v>
      </c>
      <c r="AE144" s="3">
        <f t="shared" si="67"/>
        <v>3.172558030851573E-2</v>
      </c>
      <c r="AF144" s="3">
        <f t="shared" si="67"/>
        <v>3.1725580287897959E-2</v>
      </c>
    </row>
    <row r="145" spans="1:32" x14ac:dyDescent="0.25">
      <c r="B145" s="3">
        <f t="shared" ref="B145:Z145" si="68">$C31*EXP(-B$129/$A31/EXP(-$B$126))</f>
        <v>1.5443830992985543E-2</v>
      </c>
      <c r="C145" s="3">
        <f t="shared" si="68"/>
        <v>1.5443830992985543E-2</v>
      </c>
      <c r="D145" s="3">
        <f t="shared" si="68"/>
        <v>1.5443830992985543E-2</v>
      </c>
      <c r="E145" s="3">
        <f t="shared" si="68"/>
        <v>1.5443830992985543E-2</v>
      </c>
      <c r="F145" s="3">
        <f t="shared" si="68"/>
        <v>1.5443830992985543E-2</v>
      </c>
      <c r="G145" s="3">
        <f t="shared" si="68"/>
        <v>1.5443830992985543E-2</v>
      </c>
      <c r="H145" s="3">
        <f t="shared" si="68"/>
        <v>1.5443830992985543E-2</v>
      </c>
      <c r="I145" s="3">
        <f t="shared" si="68"/>
        <v>1.5443830992985543E-2</v>
      </c>
      <c r="J145" s="3">
        <f t="shared" si="68"/>
        <v>1.5443830992985543E-2</v>
      </c>
      <c r="K145" s="3">
        <f t="shared" si="68"/>
        <v>1.5443830992985543E-2</v>
      </c>
      <c r="L145" s="3">
        <f t="shared" si="68"/>
        <v>1.5443830992985543E-2</v>
      </c>
      <c r="M145" s="3">
        <f t="shared" si="68"/>
        <v>1.5443830992985543E-2</v>
      </c>
      <c r="N145" s="3">
        <f t="shared" si="68"/>
        <v>1.5443830992985543E-2</v>
      </c>
      <c r="O145" s="3">
        <f t="shared" si="68"/>
        <v>1.5443830992985543E-2</v>
      </c>
      <c r="P145" s="3">
        <f t="shared" si="68"/>
        <v>1.5443830992985543E-2</v>
      </c>
      <c r="Q145" s="3">
        <f t="shared" si="68"/>
        <v>1.5443830992985543E-2</v>
      </c>
      <c r="R145" s="3">
        <f t="shared" si="68"/>
        <v>1.5443830992985543E-2</v>
      </c>
      <c r="S145" s="3">
        <f t="shared" si="68"/>
        <v>1.5443830992985543E-2</v>
      </c>
      <c r="T145" s="3">
        <f t="shared" si="68"/>
        <v>1.5443830992985543E-2</v>
      </c>
      <c r="U145" s="3">
        <f t="shared" si="68"/>
        <v>1.5443830992985543E-2</v>
      </c>
      <c r="V145" s="3">
        <f t="shared" si="68"/>
        <v>1.5443830992985543E-2</v>
      </c>
      <c r="W145" s="3">
        <f t="shared" si="68"/>
        <v>1.5443830992985543E-2</v>
      </c>
      <c r="X145" s="3">
        <f t="shared" si="68"/>
        <v>1.5443830992985543E-2</v>
      </c>
      <c r="Y145" s="3">
        <f t="shared" si="68"/>
        <v>1.5443830992985543E-2</v>
      </c>
      <c r="Z145" s="3">
        <f t="shared" si="68"/>
        <v>1.5443830992985541E-2</v>
      </c>
      <c r="AA145" s="3">
        <f t="shared" ref="AA145" si="69">$C31*EXP(-AA$129/$A31/EXP(-$B$126))</f>
        <v>1.5443830992985533E-2</v>
      </c>
      <c r="AB145" s="3">
        <f t="shared" si="67"/>
        <v>1.5443830992985443E-2</v>
      </c>
      <c r="AC145" s="3">
        <f t="shared" si="67"/>
        <v>1.5443830992984537E-2</v>
      </c>
      <c r="AD145" s="3">
        <f t="shared" si="67"/>
        <v>1.5443830992975483E-2</v>
      </c>
      <c r="AE145" s="3">
        <f t="shared" si="67"/>
        <v>1.5443830992884945E-2</v>
      </c>
      <c r="AF145" s="3">
        <f t="shared" si="67"/>
        <v>1.544383099197956E-2</v>
      </c>
    </row>
    <row r="146" spans="1:32" x14ac:dyDescent="0.25">
      <c r="B146" s="3">
        <f t="shared" ref="B146:Z146" si="70">$C32*EXP(-B$129/$A32/EXP(-$B$126))</f>
        <v>7.0696001208784189E-3</v>
      </c>
      <c r="C146" s="3">
        <f t="shared" si="70"/>
        <v>7.0696001208784189E-3</v>
      </c>
      <c r="D146" s="3">
        <f t="shared" si="70"/>
        <v>7.0696001208784189E-3</v>
      </c>
      <c r="E146" s="3">
        <f t="shared" si="70"/>
        <v>7.0696001208784189E-3</v>
      </c>
      <c r="F146" s="3">
        <f t="shared" si="70"/>
        <v>7.0696001208784189E-3</v>
      </c>
      <c r="G146" s="3">
        <f t="shared" si="70"/>
        <v>7.0696001208784189E-3</v>
      </c>
      <c r="H146" s="3">
        <f t="shared" si="70"/>
        <v>7.0696001208784189E-3</v>
      </c>
      <c r="I146" s="3">
        <f t="shared" si="70"/>
        <v>7.0696001208784189E-3</v>
      </c>
      <c r="J146" s="3">
        <f t="shared" si="70"/>
        <v>7.0696001208784189E-3</v>
      </c>
      <c r="K146" s="3">
        <f t="shared" si="70"/>
        <v>7.0696001208784189E-3</v>
      </c>
      <c r="L146" s="3">
        <f t="shared" si="70"/>
        <v>7.0696001208784189E-3</v>
      </c>
      <c r="M146" s="3">
        <f t="shared" si="70"/>
        <v>7.0696001208784189E-3</v>
      </c>
      <c r="N146" s="3">
        <f t="shared" si="70"/>
        <v>7.0696001208784189E-3</v>
      </c>
      <c r="O146" s="3">
        <f t="shared" si="70"/>
        <v>7.0696001208784189E-3</v>
      </c>
      <c r="P146" s="3">
        <f t="shared" si="70"/>
        <v>7.0696001208784189E-3</v>
      </c>
      <c r="Q146" s="3">
        <f t="shared" si="70"/>
        <v>7.0696001208784189E-3</v>
      </c>
      <c r="R146" s="3">
        <f t="shared" si="70"/>
        <v>7.0696001208784189E-3</v>
      </c>
      <c r="S146" s="3">
        <f t="shared" si="70"/>
        <v>7.0696001208784189E-3</v>
      </c>
      <c r="T146" s="3">
        <f t="shared" si="70"/>
        <v>7.0696001208784189E-3</v>
      </c>
      <c r="U146" s="3">
        <f t="shared" si="70"/>
        <v>7.0696001208784189E-3</v>
      </c>
      <c r="V146" s="3">
        <f t="shared" si="70"/>
        <v>7.0696001208784189E-3</v>
      </c>
      <c r="W146" s="3">
        <f t="shared" si="70"/>
        <v>7.0696001208784189E-3</v>
      </c>
      <c r="X146" s="3">
        <f t="shared" si="70"/>
        <v>7.0696001208784189E-3</v>
      </c>
      <c r="Y146" s="3">
        <f t="shared" si="70"/>
        <v>7.0696001208784189E-3</v>
      </c>
      <c r="Z146" s="3">
        <f t="shared" si="70"/>
        <v>7.0696001208784189E-3</v>
      </c>
      <c r="AA146" s="3">
        <f t="shared" ref="AA146" si="71">$C32*EXP(-AA$129/$A32/EXP(-$B$126))</f>
        <v>7.0696001208784181E-3</v>
      </c>
      <c r="AB146" s="3">
        <f t="shared" si="67"/>
        <v>7.0696001208784146E-3</v>
      </c>
      <c r="AC146" s="3">
        <f t="shared" si="67"/>
        <v>7.0696001208783773E-3</v>
      </c>
      <c r="AD146" s="3">
        <f t="shared" si="67"/>
        <v>7.0696001208780035E-3</v>
      </c>
      <c r="AE146" s="3">
        <f t="shared" si="67"/>
        <v>7.0696001208742643E-3</v>
      </c>
      <c r="AF146" s="3">
        <f t="shared" si="67"/>
        <v>7.0696001208368784E-3</v>
      </c>
    </row>
    <row r="147" spans="1:32" x14ac:dyDescent="0.25">
      <c r="B147" s="3">
        <f t="shared" ref="B147:Z147" si="72">$C33*EXP(-B$129/$A33/EXP(-$B$126))</f>
        <v>3.5043206729719373E-3</v>
      </c>
      <c r="C147" s="3">
        <f t="shared" si="72"/>
        <v>3.5043206729719373E-3</v>
      </c>
      <c r="D147" s="3">
        <f t="shared" si="72"/>
        <v>3.5043206729719373E-3</v>
      </c>
      <c r="E147" s="3">
        <f t="shared" si="72"/>
        <v>3.5043206729719373E-3</v>
      </c>
      <c r="F147" s="3">
        <f t="shared" si="72"/>
        <v>3.5043206729719373E-3</v>
      </c>
      <c r="G147" s="3">
        <f t="shared" si="72"/>
        <v>3.5043206729719373E-3</v>
      </c>
      <c r="H147" s="3">
        <f t="shared" si="72"/>
        <v>3.5043206729719373E-3</v>
      </c>
      <c r="I147" s="3">
        <f t="shared" si="72"/>
        <v>3.5043206729719373E-3</v>
      </c>
      <c r="J147" s="3">
        <f t="shared" si="72"/>
        <v>3.5043206729719373E-3</v>
      </c>
      <c r="K147" s="3">
        <f t="shared" si="72"/>
        <v>3.5043206729719373E-3</v>
      </c>
      <c r="L147" s="3">
        <f t="shared" si="72"/>
        <v>3.5043206729719373E-3</v>
      </c>
      <c r="M147" s="3">
        <f t="shared" si="72"/>
        <v>3.5043206729719373E-3</v>
      </c>
      <c r="N147" s="3">
        <f t="shared" si="72"/>
        <v>3.5043206729719373E-3</v>
      </c>
      <c r="O147" s="3">
        <f t="shared" si="72"/>
        <v>3.5043206729719373E-3</v>
      </c>
      <c r="P147" s="3">
        <f t="shared" si="72"/>
        <v>3.5043206729719373E-3</v>
      </c>
      <c r="Q147" s="3">
        <f t="shared" si="72"/>
        <v>3.5043206729719373E-3</v>
      </c>
      <c r="R147" s="3">
        <f t="shared" si="72"/>
        <v>3.5043206729719373E-3</v>
      </c>
      <c r="S147" s="3">
        <f t="shared" si="72"/>
        <v>3.5043206729719373E-3</v>
      </c>
      <c r="T147" s="3">
        <f t="shared" si="72"/>
        <v>3.5043206729719373E-3</v>
      </c>
      <c r="U147" s="3">
        <f t="shared" si="72"/>
        <v>3.5043206729719373E-3</v>
      </c>
      <c r="V147" s="3">
        <f t="shared" si="72"/>
        <v>3.5043206729719373E-3</v>
      </c>
      <c r="W147" s="3">
        <f t="shared" si="72"/>
        <v>3.5043206729719373E-3</v>
      </c>
      <c r="X147" s="3">
        <f t="shared" si="72"/>
        <v>3.5043206729719373E-3</v>
      </c>
      <c r="Y147" s="3">
        <f t="shared" si="72"/>
        <v>3.5043206729719373E-3</v>
      </c>
      <c r="Z147" s="3">
        <f t="shared" si="72"/>
        <v>3.5043206729719373E-3</v>
      </c>
      <c r="AA147" s="3">
        <f t="shared" ref="AA147" si="73">$C33*EXP(-AA$129/$A33/EXP(-$B$126))</f>
        <v>3.5043206729719373E-3</v>
      </c>
      <c r="AB147" s="3">
        <f t="shared" si="67"/>
        <v>3.5043206729719373E-3</v>
      </c>
      <c r="AC147" s="3">
        <f t="shared" si="67"/>
        <v>3.5043206729719356E-3</v>
      </c>
      <c r="AD147" s="3">
        <f t="shared" si="67"/>
        <v>3.5043206729719186E-3</v>
      </c>
      <c r="AE147" s="3">
        <f t="shared" si="67"/>
        <v>3.5043206729717517E-3</v>
      </c>
      <c r="AF147" s="3">
        <f t="shared" si="67"/>
        <v>3.5043206729700798E-3</v>
      </c>
    </row>
    <row r="148" spans="1:32" x14ac:dyDescent="0.25">
      <c r="B148" s="3">
        <f t="shared" ref="B148:Z148" si="74">$C34*EXP(-B$129/$A34/EXP(-$B$126))</f>
        <v>2.9646797109614421E-3</v>
      </c>
      <c r="C148" s="3">
        <f t="shared" si="74"/>
        <v>2.9646797109614421E-3</v>
      </c>
      <c r="D148" s="3">
        <f t="shared" si="74"/>
        <v>2.9646797109614421E-3</v>
      </c>
      <c r="E148" s="3">
        <f t="shared" si="74"/>
        <v>2.9646797109614421E-3</v>
      </c>
      <c r="F148" s="3">
        <f t="shared" si="74"/>
        <v>2.9646797109614421E-3</v>
      </c>
      <c r="G148" s="3">
        <f t="shared" si="74"/>
        <v>2.9646797109614421E-3</v>
      </c>
      <c r="H148" s="3">
        <f t="shared" si="74"/>
        <v>2.9646797109614421E-3</v>
      </c>
      <c r="I148" s="3">
        <f t="shared" si="74"/>
        <v>2.9646797109614421E-3</v>
      </c>
      <c r="J148" s="3">
        <f t="shared" si="74"/>
        <v>2.9646797109614421E-3</v>
      </c>
      <c r="K148" s="3">
        <f t="shared" si="74"/>
        <v>2.9646797109614421E-3</v>
      </c>
      <c r="L148" s="3">
        <f t="shared" si="74"/>
        <v>2.9646797109614421E-3</v>
      </c>
      <c r="M148" s="3">
        <f t="shared" si="74"/>
        <v>2.9646797109614421E-3</v>
      </c>
      <c r="N148" s="3">
        <f t="shared" si="74"/>
        <v>2.9646797109614421E-3</v>
      </c>
      <c r="O148" s="3">
        <f t="shared" si="74"/>
        <v>2.9646797109614421E-3</v>
      </c>
      <c r="P148" s="3">
        <f t="shared" si="74"/>
        <v>2.9646797109614421E-3</v>
      </c>
      <c r="Q148" s="3">
        <f t="shared" si="74"/>
        <v>2.9646797109614421E-3</v>
      </c>
      <c r="R148" s="3">
        <f t="shared" si="74"/>
        <v>2.9646797109614421E-3</v>
      </c>
      <c r="S148" s="3">
        <f t="shared" si="74"/>
        <v>2.9646797109614421E-3</v>
      </c>
      <c r="T148" s="3">
        <f t="shared" si="74"/>
        <v>2.9646797109614421E-3</v>
      </c>
      <c r="U148" s="3">
        <f t="shared" si="74"/>
        <v>2.9646797109614421E-3</v>
      </c>
      <c r="V148" s="3">
        <f t="shared" si="74"/>
        <v>2.9646797109614421E-3</v>
      </c>
      <c r="W148" s="3">
        <f t="shared" si="74"/>
        <v>2.9646797109614421E-3</v>
      </c>
      <c r="X148" s="3">
        <f t="shared" si="74"/>
        <v>2.9646797109614421E-3</v>
      </c>
      <c r="Y148" s="3">
        <f t="shared" si="74"/>
        <v>2.9646797109614421E-3</v>
      </c>
      <c r="Z148" s="3">
        <f t="shared" si="74"/>
        <v>2.9646797109614421E-3</v>
      </c>
      <c r="AA148" s="3">
        <f>$C34*EXP(-AA$129/$A34/EXP(-$B$126))</f>
        <v>2.9646797109614421E-3</v>
      </c>
      <c r="AB148" s="3">
        <f t="shared" si="67"/>
        <v>2.9646797109614421E-3</v>
      </c>
      <c r="AC148" s="3">
        <f t="shared" si="67"/>
        <v>2.9646797109614421E-3</v>
      </c>
      <c r="AD148" s="3">
        <f t="shared" si="67"/>
        <v>2.9646797109614408E-3</v>
      </c>
      <c r="AE148" s="3">
        <f t="shared" si="67"/>
        <v>2.9646797109614278E-3</v>
      </c>
      <c r="AF148" s="3">
        <f t="shared" si="67"/>
        <v>2.9646797109613003E-3</v>
      </c>
    </row>
    <row r="149" spans="1:32" x14ac:dyDescent="0.25">
      <c r="B149" s="3">
        <f t="shared" ref="B149:Z149" si="75">$C35*EXP(-B$129/$A35/EXP(-$B$126))</f>
        <v>0</v>
      </c>
      <c r="C149" s="3">
        <f t="shared" si="75"/>
        <v>0</v>
      </c>
      <c r="D149" s="3">
        <f t="shared" si="75"/>
        <v>0</v>
      </c>
      <c r="E149" s="3">
        <f t="shared" si="75"/>
        <v>0</v>
      </c>
      <c r="F149" s="3">
        <f t="shared" si="75"/>
        <v>0</v>
      </c>
      <c r="G149" s="3">
        <f t="shared" si="75"/>
        <v>0</v>
      </c>
      <c r="H149" s="3">
        <f t="shared" si="75"/>
        <v>0</v>
      </c>
      <c r="I149" s="3">
        <f t="shared" si="75"/>
        <v>0</v>
      </c>
      <c r="J149" s="3">
        <f t="shared" si="75"/>
        <v>0</v>
      </c>
      <c r="K149" s="3">
        <f t="shared" si="75"/>
        <v>0</v>
      </c>
      <c r="L149" s="3">
        <f t="shared" si="75"/>
        <v>0</v>
      </c>
      <c r="M149" s="3">
        <f t="shared" si="75"/>
        <v>0</v>
      </c>
      <c r="N149" s="3">
        <f t="shared" si="75"/>
        <v>0</v>
      </c>
      <c r="O149" s="3">
        <f t="shared" si="75"/>
        <v>0</v>
      </c>
      <c r="P149" s="3">
        <f t="shared" si="75"/>
        <v>0</v>
      </c>
      <c r="Q149" s="3">
        <f t="shared" si="75"/>
        <v>0</v>
      </c>
      <c r="R149" s="3">
        <f t="shared" si="75"/>
        <v>0</v>
      </c>
      <c r="S149" s="3">
        <f t="shared" si="75"/>
        <v>0</v>
      </c>
      <c r="T149" s="3">
        <f t="shared" si="75"/>
        <v>0</v>
      </c>
      <c r="U149" s="3">
        <f t="shared" si="75"/>
        <v>0</v>
      </c>
      <c r="V149" s="3">
        <f t="shared" si="75"/>
        <v>0</v>
      </c>
      <c r="W149" s="3">
        <f t="shared" si="75"/>
        <v>0</v>
      </c>
      <c r="X149" s="3">
        <f t="shared" si="75"/>
        <v>0</v>
      </c>
      <c r="Y149" s="3">
        <f t="shared" si="75"/>
        <v>0</v>
      </c>
      <c r="Z149" s="3">
        <f t="shared" si="75"/>
        <v>0</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3.098114236407119E-3</v>
      </c>
      <c r="C150" s="3">
        <f t="shared" si="77"/>
        <v>3.098114236407119E-3</v>
      </c>
      <c r="D150" s="3">
        <f t="shared" si="77"/>
        <v>3.098114236407119E-3</v>
      </c>
      <c r="E150" s="3">
        <f t="shared" si="77"/>
        <v>3.098114236407119E-3</v>
      </c>
      <c r="F150" s="3">
        <f t="shared" si="77"/>
        <v>3.098114236407119E-3</v>
      </c>
      <c r="G150" s="3">
        <f t="shared" si="77"/>
        <v>3.098114236407119E-3</v>
      </c>
      <c r="H150" s="3">
        <f t="shared" si="77"/>
        <v>3.098114236407119E-3</v>
      </c>
      <c r="I150" s="3">
        <f t="shared" si="77"/>
        <v>3.098114236407119E-3</v>
      </c>
      <c r="J150" s="3">
        <f t="shared" si="77"/>
        <v>3.098114236407119E-3</v>
      </c>
      <c r="K150" s="3">
        <f t="shared" si="77"/>
        <v>3.098114236407119E-3</v>
      </c>
      <c r="L150" s="3">
        <f t="shared" si="77"/>
        <v>3.098114236407119E-3</v>
      </c>
      <c r="M150" s="3">
        <f t="shared" si="77"/>
        <v>3.098114236407119E-3</v>
      </c>
      <c r="N150" s="3">
        <f t="shared" si="77"/>
        <v>3.098114236407119E-3</v>
      </c>
      <c r="O150" s="3">
        <f t="shared" si="77"/>
        <v>3.098114236407119E-3</v>
      </c>
      <c r="P150" s="3">
        <f t="shared" si="77"/>
        <v>3.098114236407119E-3</v>
      </c>
      <c r="Q150" s="3">
        <f t="shared" si="77"/>
        <v>3.098114236407119E-3</v>
      </c>
      <c r="R150" s="3">
        <f t="shared" si="77"/>
        <v>3.098114236407119E-3</v>
      </c>
      <c r="S150" s="3">
        <f t="shared" si="77"/>
        <v>3.098114236407119E-3</v>
      </c>
      <c r="T150" s="3">
        <f t="shared" si="77"/>
        <v>3.098114236407119E-3</v>
      </c>
      <c r="U150" s="3">
        <f t="shared" si="77"/>
        <v>3.098114236407119E-3</v>
      </c>
      <c r="V150" s="3">
        <f t="shared" si="77"/>
        <v>3.098114236407119E-3</v>
      </c>
      <c r="W150" s="3">
        <f t="shared" si="77"/>
        <v>3.098114236407119E-3</v>
      </c>
      <c r="X150" s="3">
        <f t="shared" si="77"/>
        <v>3.098114236407119E-3</v>
      </c>
      <c r="Y150" s="3">
        <f t="shared" si="77"/>
        <v>3.098114236407119E-3</v>
      </c>
      <c r="Z150" s="3">
        <f t="shared" si="77"/>
        <v>3.098114236407119E-3</v>
      </c>
      <c r="AA150" s="3">
        <f t="shared" ref="AA150" si="78">$C36*EXP(-AA$129/$A36/EXP(-$B$126))</f>
        <v>3.098114236407119E-3</v>
      </c>
      <c r="AB150" s="3">
        <f t="shared" si="67"/>
        <v>3.098114236407119E-3</v>
      </c>
      <c r="AC150" s="3">
        <f t="shared" si="67"/>
        <v>3.098114236407119E-3</v>
      </c>
      <c r="AD150" s="3">
        <f t="shared" si="67"/>
        <v>3.098114236407119E-3</v>
      </c>
      <c r="AE150" s="3">
        <f t="shared" si="67"/>
        <v>3.098114236407119E-3</v>
      </c>
      <c r="AF150" s="3">
        <f t="shared" si="67"/>
        <v>3.0981142364071177E-3</v>
      </c>
    </row>
    <row r="151" spans="1:32" x14ac:dyDescent="0.25">
      <c r="B151" s="3">
        <f t="shared" ref="B151:Z151" si="79">$C37*EXP(-B$129/$A37/EXP(-$B$126))</f>
        <v>1.3450651080742435E-3</v>
      </c>
      <c r="C151" s="3">
        <f t="shared" si="79"/>
        <v>1.3450651080742435E-3</v>
      </c>
      <c r="D151" s="3">
        <f t="shared" si="79"/>
        <v>1.3450651080742435E-3</v>
      </c>
      <c r="E151" s="3">
        <f t="shared" si="79"/>
        <v>1.3450651080742435E-3</v>
      </c>
      <c r="F151" s="3">
        <f t="shared" si="79"/>
        <v>1.3450651080742435E-3</v>
      </c>
      <c r="G151" s="3">
        <f t="shared" si="79"/>
        <v>1.3450651080742435E-3</v>
      </c>
      <c r="H151" s="3">
        <f t="shared" si="79"/>
        <v>1.3450651080742435E-3</v>
      </c>
      <c r="I151" s="3">
        <f t="shared" si="79"/>
        <v>1.3450651080742435E-3</v>
      </c>
      <c r="J151" s="3">
        <f t="shared" si="79"/>
        <v>1.3450651080742435E-3</v>
      </c>
      <c r="K151" s="3">
        <f t="shared" si="79"/>
        <v>1.3450651080742435E-3</v>
      </c>
      <c r="L151" s="3">
        <f t="shared" si="79"/>
        <v>1.3450651080742435E-3</v>
      </c>
      <c r="M151" s="3">
        <f t="shared" si="79"/>
        <v>1.3450651080742435E-3</v>
      </c>
      <c r="N151" s="3">
        <f t="shared" si="79"/>
        <v>1.3450651080742435E-3</v>
      </c>
      <c r="O151" s="3">
        <f t="shared" si="79"/>
        <v>1.3450651080742435E-3</v>
      </c>
      <c r="P151" s="3">
        <f t="shared" si="79"/>
        <v>1.3450651080742435E-3</v>
      </c>
      <c r="Q151" s="3">
        <f t="shared" si="79"/>
        <v>1.3450651080742435E-3</v>
      </c>
      <c r="R151" s="3">
        <f t="shared" si="79"/>
        <v>1.3450651080742435E-3</v>
      </c>
      <c r="S151" s="3">
        <f t="shared" si="79"/>
        <v>1.3450651080742435E-3</v>
      </c>
      <c r="T151" s="3">
        <f t="shared" si="79"/>
        <v>1.3450651080742435E-3</v>
      </c>
      <c r="U151" s="3">
        <f t="shared" si="79"/>
        <v>1.3450651080742435E-3</v>
      </c>
      <c r="V151" s="3">
        <f t="shared" si="79"/>
        <v>1.3450651080742435E-3</v>
      </c>
      <c r="W151" s="3">
        <f t="shared" si="79"/>
        <v>1.3450651080742435E-3</v>
      </c>
      <c r="X151" s="3">
        <f t="shared" si="79"/>
        <v>1.3450651080742435E-3</v>
      </c>
      <c r="Y151" s="3">
        <f t="shared" si="79"/>
        <v>1.3450651080742435E-3</v>
      </c>
      <c r="Z151" s="3">
        <f t="shared" si="79"/>
        <v>1.3450651080742435E-3</v>
      </c>
      <c r="AA151" s="3">
        <f t="shared" ref="AA151" si="80">$C37*EXP(-AA$129/$A37/EXP(-$B$126))</f>
        <v>1.3450651080742435E-3</v>
      </c>
      <c r="AB151" s="3">
        <f t="shared" si="67"/>
        <v>1.3450651080742435E-3</v>
      </c>
      <c r="AC151" s="3">
        <f t="shared" si="67"/>
        <v>1.3450651080742435E-3</v>
      </c>
      <c r="AD151" s="3">
        <f t="shared" si="67"/>
        <v>1.3450651080742435E-3</v>
      </c>
      <c r="AE151" s="3">
        <f t="shared" si="67"/>
        <v>1.3450651080742435E-3</v>
      </c>
      <c r="AF151" s="3">
        <f t="shared" si="67"/>
        <v>1.3450651080742435E-3</v>
      </c>
    </row>
    <row r="152" spans="1:32" x14ac:dyDescent="0.25">
      <c r="B152" s="3">
        <f t="shared" ref="B152:Z152" si="81">$C38*EXP(-B$129/$A38/EXP(-$B$126))</f>
        <v>1.5999872696703847E-4</v>
      </c>
      <c r="C152" s="3">
        <f t="shared" si="81"/>
        <v>1.5999872696703847E-4</v>
      </c>
      <c r="D152" s="3">
        <f t="shared" si="81"/>
        <v>1.5999872696703847E-4</v>
      </c>
      <c r="E152" s="3">
        <f t="shared" si="81"/>
        <v>1.5999872696703847E-4</v>
      </c>
      <c r="F152" s="3">
        <f t="shared" si="81"/>
        <v>1.5999872696703847E-4</v>
      </c>
      <c r="G152" s="3">
        <f t="shared" si="81"/>
        <v>1.5999872696703847E-4</v>
      </c>
      <c r="H152" s="3">
        <f t="shared" si="81"/>
        <v>1.5999872696703847E-4</v>
      </c>
      <c r="I152" s="3">
        <f t="shared" si="81"/>
        <v>1.5999872696703847E-4</v>
      </c>
      <c r="J152" s="3">
        <f t="shared" si="81"/>
        <v>1.5999872696703847E-4</v>
      </c>
      <c r="K152" s="3">
        <f t="shared" si="81"/>
        <v>1.5999872696703847E-4</v>
      </c>
      <c r="L152" s="3">
        <f t="shared" si="81"/>
        <v>1.5999872696703847E-4</v>
      </c>
      <c r="M152" s="3">
        <f t="shared" si="81"/>
        <v>1.5999872696703847E-4</v>
      </c>
      <c r="N152" s="3">
        <f t="shared" si="81"/>
        <v>1.5999872696703847E-4</v>
      </c>
      <c r="O152" s="3">
        <f t="shared" si="81"/>
        <v>1.5999872696703847E-4</v>
      </c>
      <c r="P152" s="3">
        <f t="shared" si="81"/>
        <v>1.5999872696703847E-4</v>
      </c>
      <c r="Q152" s="3">
        <f t="shared" si="81"/>
        <v>1.5999872696703847E-4</v>
      </c>
      <c r="R152" s="3">
        <f t="shared" si="81"/>
        <v>1.5999872696703847E-4</v>
      </c>
      <c r="S152" s="3">
        <f t="shared" si="81"/>
        <v>1.5999872696703847E-4</v>
      </c>
      <c r="T152" s="3">
        <f t="shared" si="81"/>
        <v>1.5999872696703847E-4</v>
      </c>
      <c r="U152" s="3">
        <f t="shared" si="81"/>
        <v>1.5999872696703847E-4</v>
      </c>
      <c r="V152" s="3">
        <f t="shared" si="81"/>
        <v>1.5999872696703847E-4</v>
      </c>
      <c r="W152" s="3">
        <f t="shared" si="81"/>
        <v>1.5999872696703847E-4</v>
      </c>
      <c r="X152" s="3">
        <f t="shared" si="81"/>
        <v>1.5999872696703847E-4</v>
      </c>
      <c r="Y152" s="3">
        <f t="shared" si="81"/>
        <v>1.5999872696703847E-4</v>
      </c>
      <c r="Z152" s="3">
        <f t="shared" si="81"/>
        <v>1.5999872696703847E-4</v>
      </c>
      <c r="AA152" s="3">
        <f t="shared" ref="AA152" si="82">$C38*EXP(-AA$129/$A38/EXP(-$B$126))</f>
        <v>1.5999872696703847E-4</v>
      </c>
      <c r="AB152" s="3">
        <f t="shared" si="67"/>
        <v>1.5999872696703847E-4</v>
      </c>
      <c r="AC152" s="3">
        <f t="shared" si="67"/>
        <v>1.5999872696703847E-4</v>
      </c>
      <c r="AD152" s="3">
        <f t="shared" si="67"/>
        <v>1.5999872696703847E-4</v>
      </c>
      <c r="AE152" s="3">
        <f t="shared" si="67"/>
        <v>1.5999872696703847E-4</v>
      </c>
      <c r="AF152" s="3">
        <f t="shared" si="67"/>
        <v>1.5999872696703847E-4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1.1033683083565872E-4</v>
      </c>
      <c r="C155" s="3">
        <f t="shared" si="87"/>
        <v>1.1033683083565872E-4</v>
      </c>
      <c r="D155" s="3">
        <f t="shared" si="87"/>
        <v>1.1033683083565872E-4</v>
      </c>
      <c r="E155" s="3">
        <f t="shared" si="87"/>
        <v>1.1033683083565872E-4</v>
      </c>
      <c r="F155" s="3">
        <f t="shared" si="87"/>
        <v>1.1033683083565872E-4</v>
      </c>
      <c r="G155" s="3">
        <f t="shared" si="87"/>
        <v>1.1033683083565872E-4</v>
      </c>
      <c r="H155" s="3">
        <f t="shared" si="87"/>
        <v>1.1033683083565872E-4</v>
      </c>
      <c r="I155" s="3">
        <f t="shared" si="87"/>
        <v>1.1033683083565872E-4</v>
      </c>
      <c r="J155" s="3">
        <f t="shared" si="87"/>
        <v>1.1033683083565872E-4</v>
      </c>
      <c r="K155" s="3">
        <f t="shared" si="87"/>
        <v>1.1033683083565872E-4</v>
      </c>
      <c r="L155" s="3">
        <f t="shared" si="87"/>
        <v>1.1033683083565872E-4</v>
      </c>
      <c r="M155" s="3">
        <f t="shared" si="87"/>
        <v>1.1033683083565872E-4</v>
      </c>
      <c r="N155" s="3">
        <f t="shared" si="87"/>
        <v>1.1033683083565872E-4</v>
      </c>
      <c r="O155" s="3">
        <f t="shared" si="87"/>
        <v>1.1033683083565872E-4</v>
      </c>
      <c r="P155" s="3">
        <f t="shared" si="87"/>
        <v>1.1033683083565872E-4</v>
      </c>
      <c r="Q155" s="3">
        <f t="shared" si="87"/>
        <v>1.1033683083565872E-4</v>
      </c>
      <c r="R155" s="3">
        <f t="shared" si="87"/>
        <v>1.1033683083565872E-4</v>
      </c>
      <c r="S155" s="3">
        <f t="shared" si="87"/>
        <v>1.1033683083565872E-4</v>
      </c>
      <c r="T155" s="3">
        <f t="shared" si="87"/>
        <v>1.1033683083565872E-4</v>
      </c>
      <c r="U155" s="3">
        <f t="shared" si="87"/>
        <v>1.1033683083565872E-4</v>
      </c>
      <c r="V155" s="3">
        <f t="shared" si="87"/>
        <v>1.1033683083565872E-4</v>
      </c>
      <c r="W155" s="3">
        <f t="shared" si="87"/>
        <v>1.1033683083565872E-4</v>
      </c>
      <c r="X155" s="3">
        <f t="shared" si="87"/>
        <v>1.1033683083565872E-4</v>
      </c>
      <c r="Y155" s="3">
        <f t="shared" si="87"/>
        <v>1.1033683083565872E-4</v>
      </c>
      <c r="Z155" s="3">
        <f t="shared" si="87"/>
        <v>1.1033683083565872E-4</v>
      </c>
      <c r="AA155" s="3">
        <f t="shared" ref="AA155:AF155" si="88">$C41*EXP(-AA$129/$A41/EXP(-$B$126))</f>
        <v>1.1033683083565872E-4</v>
      </c>
      <c r="AB155" s="3">
        <f t="shared" si="88"/>
        <v>1.1033683083565872E-4</v>
      </c>
      <c r="AC155" s="3">
        <f t="shared" si="88"/>
        <v>1.1033683083565872E-4</v>
      </c>
      <c r="AD155" s="3">
        <f t="shared" si="88"/>
        <v>1.1033683083565872E-4</v>
      </c>
      <c r="AE155" s="3">
        <f t="shared" si="88"/>
        <v>1.1033683083565872E-4</v>
      </c>
      <c r="AF155" s="3">
        <f t="shared" si="88"/>
        <v>1.1033683083565872E-4</v>
      </c>
    </row>
    <row r="156" spans="1:32" x14ac:dyDescent="0.25">
      <c r="B156" s="3">
        <f t="shared" ref="B156:Z156" si="89">$C42*EXP(-B$129/$A42/EXP(-$B$126))</f>
        <v>5.3430093526516889E-5</v>
      </c>
      <c r="C156" s="3">
        <f t="shared" si="89"/>
        <v>5.3430093526516889E-5</v>
      </c>
      <c r="D156" s="3">
        <f t="shared" si="89"/>
        <v>5.3430093526516889E-5</v>
      </c>
      <c r="E156" s="3">
        <f t="shared" si="89"/>
        <v>5.3430093526516889E-5</v>
      </c>
      <c r="F156" s="3">
        <f t="shared" si="89"/>
        <v>5.3430093526516889E-5</v>
      </c>
      <c r="G156" s="3">
        <f t="shared" si="89"/>
        <v>5.3430093526516889E-5</v>
      </c>
      <c r="H156" s="3">
        <f t="shared" si="89"/>
        <v>5.3430093526516889E-5</v>
      </c>
      <c r="I156" s="3">
        <f t="shared" si="89"/>
        <v>5.3430093526516889E-5</v>
      </c>
      <c r="J156" s="3">
        <f t="shared" si="89"/>
        <v>5.3430093526516889E-5</v>
      </c>
      <c r="K156" s="3">
        <f t="shared" si="89"/>
        <v>5.3430093526516889E-5</v>
      </c>
      <c r="L156" s="3">
        <f t="shared" si="89"/>
        <v>5.3430093526516889E-5</v>
      </c>
      <c r="M156" s="3">
        <f t="shared" si="89"/>
        <v>5.3430093526516889E-5</v>
      </c>
      <c r="N156" s="3">
        <f t="shared" si="89"/>
        <v>5.3430093526516889E-5</v>
      </c>
      <c r="O156" s="3">
        <f t="shared" si="89"/>
        <v>5.3430093526516889E-5</v>
      </c>
      <c r="P156" s="3">
        <f t="shared" si="89"/>
        <v>5.3430093526516889E-5</v>
      </c>
      <c r="Q156" s="3">
        <f t="shared" si="89"/>
        <v>5.3430093526516889E-5</v>
      </c>
      <c r="R156" s="3">
        <f t="shared" si="89"/>
        <v>5.3430093526516889E-5</v>
      </c>
      <c r="S156" s="3">
        <f t="shared" si="89"/>
        <v>5.3430093526516889E-5</v>
      </c>
      <c r="T156" s="3">
        <f t="shared" si="89"/>
        <v>5.3430093526516889E-5</v>
      </c>
      <c r="U156" s="3">
        <f t="shared" si="89"/>
        <v>5.3430093526516889E-5</v>
      </c>
      <c r="V156" s="3">
        <f t="shared" si="89"/>
        <v>5.3430093526516889E-5</v>
      </c>
      <c r="W156" s="3">
        <f t="shared" si="89"/>
        <v>5.3430093526516889E-5</v>
      </c>
      <c r="X156" s="3">
        <f t="shared" si="89"/>
        <v>5.3430093526516889E-5</v>
      </c>
      <c r="Y156" s="3">
        <f t="shared" si="89"/>
        <v>5.3430093526516889E-5</v>
      </c>
      <c r="Z156" s="3">
        <f t="shared" si="89"/>
        <v>5.3430093526516889E-5</v>
      </c>
      <c r="AA156" s="3">
        <f t="shared" ref="AA156:AF156" si="90">$C42*EXP(-AA$129/$A42/EXP(-$B$126))</f>
        <v>5.3430093526516889E-5</v>
      </c>
      <c r="AB156" s="3">
        <f t="shared" si="90"/>
        <v>5.3430093526516889E-5</v>
      </c>
      <c r="AC156" s="3">
        <f t="shared" si="90"/>
        <v>5.3430093526516889E-5</v>
      </c>
      <c r="AD156" s="3">
        <f t="shared" si="90"/>
        <v>5.3430093526516889E-5</v>
      </c>
      <c r="AE156" s="3">
        <f t="shared" si="90"/>
        <v>5.3430093526516889E-5</v>
      </c>
      <c r="AF156" s="3">
        <f t="shared" si="90"/>
        <v>5.3430093526516889E-5</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1.1249816087007928E-3</v>
      </c>
      <c r="C162" s="3">
        <f t="shared" si="101"/>
        <v>1.1249816087007928E-3</v>
      </c>
      <c r="D162" s="3">
        <f t="shared" si="101"/>
        <v>1.1249816087007928E-3</v>
      </c>
      <c r="E162" s="3">
        <f t="shared" si="101"/>
        <v>1.1249816087007928E-3</v>
      </c>
      <c r="F162" s="3">
        <f t="shared" si="101"/>
        <v>1.1249816087007928E-3</v>
      </c>
      <c r="G162" s="3">
        <f t="shared" si="101"/>
        <v>1.1249816087007928E-3</v>
      </c>
      <c r="H162" s="3">
        <f t="shared" si="101"/>
        <v>1.1249816087007928E-3</v>
      </c>
      <c r="I162" s="3">
        <f t="shared" si="101"/>
        <v>1.1249816087007928E-3</v>
      </c>
      <c r="J162" s="3">
        <f t="shared" si="101"/>
        <v>1.1249816087007928E-3</v>
      </c>
      <c r="K162" s="3">
        <f t="shared" si="101"/>
        <v>1.1249816087007928E-3</v>
      </c>
      <c r="L162" s="3">
        <f t="shared" si="101"/>
        <v>1.1249816087007928E-3</v>
      </c>
      <c r="M162" s="3">
        <f t="shared" si="101"/>
        <v>1.1249816087007928E-3</v>
      </c>
      <c r="N162" s="3">
        <f t="shared" si="101"/>
        <v>1.1249816087007928E-3</v>
      </c>
      <c r="O162" s="3">
        <f t="shared" si="101"/>
        <v>1.1249816087007928E-3</v>
      </c>
      <c r="P162" s="3">
        <f t="shared" si="101"/>
        <v>1.1249816087007928E-3</v>
      </c>
      <c r="Q162" s="3">
        <f t="shared" si="101"/>
        <v>1.1249816087007928E-3</v>
      </c>
      <c r="R162" s="3">
        <f t="shared" si="101"/>
        <v>1.1249816087007928E-3</v>
      </c>
      <c r="S162" s="3">
        <f t="shared" si="101"/>
        <v>1.1249816087007928E-3</v>
      </c>
      <c r="T162" s="3">
        <f t="shared" si="101"/>
        <v>1.1249816087007928E-3</v>
      </c>
      <c r="U162" s="3">
        <f t="shared" si="101"/>
        <v>1.1249816087007928E-3</v>
      </c>
      <c r="V162" s="3">
        <f t="shared" si="101"/>
        <v>1.1249816087007928E-3</v>
      </c>
      <c r="W162" s="3">
        <f t="shared" si="101"/>
        <v>1.1249816087007928E-3</v>
      </c>
      <c r="X162" s="3">
        <f t="shared" si="101"/>
        <v>1.1249816087007928E-3</v>
      </c>
      <c r="Y162" s="3">
        <f t="shared" si="101"/>
        <v>1.1249816087007928E-3</v>
      </c>
      <c r="Z162" s="3">
        <f t="shared" si="101"/>
        <v>1.1249816087007928E-3</v>
      </c>
      <c r="AA162" s="3">
        <f t="shared" ref="AA162:AF162" si="102">$C48*EXP(-AA$129/$A48/EXP(-$B$126))</f>
        <v>1.1249816087007928E-3</v>
      </c>
      <c r="AB162" s="3">
        <f t="shared" si="102"/>
        <v>1.1249816087007928E-3</v>
      </c>
      <c r="AC162" s="3">
        <f t="shared" si="102"/>
        <v>1.1249816087007928E-3</v>
      </c>
      <c r="AD162" s="3">
        <f t="shared" si="102"/>
        <v>1.1249816087007928E-3</v>
      </c>
      <c r="AE162" s="3">
        <f t="shared" si="102"/>
        <v>1.1249816087007928E-3</v>
      </c>
      <c r="AF162" s="3">
        <f t="shared" si="102"/>
        <v>1.1249816087007928E-3</v>
      </c>
    </row>
    <row r="163" spans="1:34" x14ac:dyDescent="0.25">
      <c r="A163" s="79">
        <f>AVERAGE(B163:AF163)</f>
        <v>4.2295599890432231E-2</v>
      </c>
      <c r="B163" s="80">
        <f>IF($A$64&lt;=B129,IF($B$64&gt;=B129,ABS((B131-B130)/B130),0),0)</f>
        <v>2.4243888287741695E-3</v>
      </c>
      <c r="C163" s="80">
        <f t="shared" ref="C163:AF163" si="103">IF($A$64&lt;=C129,IF($B$64&gt;=C129,ABS((C131-C130)/C130),0),0)</f>
        <v>2.4302179316263877E-3</v>
      </c>
      <c r="D163" s="80">
        <f t="shared" si="103"/>
        <v>2.4266152445029669E-3</v>
      </c>
      <c r="E163" s="80">
        <f t="shared" si="103"/>
        <v>2.4254956204549849E-3</v>
      </c>
      <c r="F163" s="80">
        <f t="shared" si="103"/>
        <v>2.4251651869964751E-3</v>
      </c>
      <c r="G163" s="80">
        <f t="shared" si="103"/>
        <v>2.425033655231377E-3</v>
      </c>
      <c r="H163" s="80">
        <f t="shared" si="103"/>
        <v>2.42502082286449E-3</v>
      </c>
      <c r="I163" s="80">
        <f t="shared" si="103"/>
        <v>2.4249855338575629E-3</v>
      </c>
      <c r="J163" s="80">
        <f t="shared" si="103"/>
        <v>2.4249727015212721E-3</v>
      </c>
      <c r="K163" s="80">
        <f t="shared" si="103"/>
        <v>2.4247288868529619E-3</v>
      </c>
      <c r="L163" s="80">
        <f t="shared" si="103"/>
        <v>2.4223677343729599E-3</v>
      </c>
      <c r="M163" s="80">
        <f t="shared" si="103"/>
        <v>2.3989326546242995E-3</v>
      </c>
      <c r="N163" s="80">
        <f t="shared" si="103"/>
        <v>2.1663495158178361E-3</v>
      </c>
      <c r="O163" s="80">
        <f t="shared" si="103"/>
        <v>5.9703792577293422E-5</v>
      </c>
      <c r="P163" s="80">
        <f t="shared" si="103"/>
        <v>1.753416428297971E-2</v>
      </c>
      <c r="Q163" s="80">
        <f t="shared" si="103"/>
        <v>4.7238027831272976E-2</v>
      </c>
      <c r="R163" s="80">
        <f t="shared" si="103"/>
        <v>6.9308358236510867E-2</v>
      </c>
      <c r="S163" s="80">
        <f t="shared" si="103"/>
        <v>9.2471300634333689E-2</v>
      </c>
      <c r="T163" s="80">
        <f t="shared" si="103"/>
        <v>0.11892043829229061</v>
      </c>
      <c r="U163" s="80">
        <f t="shared" si="103"/>
        <v>0.14615842338562024</v>
      </c>
      <c r="V163" s="80">
        <f t="shared" si="103"/>
        <v>0.15122730178789068</v>
      </c>
      <c r="W163" s="80">
        <f t="shared" si="103"/>
        <v>4.0509966054548312E-2</v>
      </c>
      <c r="X163" s="80">
        <f t="shared" si="103"/>
        <v>0.20512826384021138</v>
      </c>
      <c r="Y163" s="80">
        <f t="shared" si="103"/>
        <v>0.16311298690386938</v>
      </c>
      <c r="Z163" s="80">
        <f t="shared" si="103"/>
        <v>0.11749764659613812</v>
      </c>
      <c r="AA163" s="80">
        <f t="shared" si="103"/>
        <v>6.2987167687043058E-2</v>
      </c>
      <c r="AB163" s="80">
        <f t="shared" si="103"/>
        <v>4.6285426412281628E-3</v>
      </c>
      <c r="AC163" s="80">
        <f t="shared" si="103"/>
        <v>3.1564518307697402E-2</v>
      </c>
      <c r="AD163" s="80">
        <f t="shared" si="103"/>
        <v>1.866899131823479E-3</v>
      </c>
      <c r="AE163" s="80">
        <f t="shared" si="103"/>
        <v>6.9505403181513549E-3</v>
      </c>
      <c r="AF163" s="80">
        <f t="shared" si="103"/>
        <v>2.7550725617145159E-3</v>
      </c>
    </row>
    <row r="164" spans="1:34" x14ac:dyDescent="0.25">
      <c r="B164" s="21">
        <f>(B131-B130)^2</f>
        <v>186.15837615967365</v>
      </c>
      <c r="C164" s="21">
        <f t="shared" ref="C164:AF164" si="104">(C131-C130)^2</f>
        <v>187.05682177486665</v>
      </c>
      <c r="D164" s="21">
        <f t="shared" si="104"/>
        <v>186.50127938145937</v>
      </c>
      <c r="E164" s="21">
        <f t="shared" si="104"/>
        <v>186.32879994648795</v>
      </c>
      <c r="F164" s="21">
        <f t="shared" si="104"/>
        <v>186.27791159723665</v>
      </c>
      <c r="G164" s="21">
        <f t="shared" si="104"/>
        <v>186.25765701310786</v>
      </c>
      <c r="H164" s="21">
        <f t="shared" si="104"/>
        <v>186.2556810154328</v>
      </c>
      <c r="I164" s="21">
        <f t="shared" si="104"/>
        <v>186.25024707644346</v>
      </c>
      <c r="J164" s="21">
        <f t="shared" si="104"/>
        <v>186.24827112296506</v>
      </c>
      <c r="K164" s="21">
        <f t="shared" si="104"/>
        <v>186.21072996522366</v>
      </c>
      <c r="L164" s="21">
        <f t="shared" si="104"/>
        <v>185.84737020885959</v>
      </c>
      <c r="M164" s="21">
        <f t="shared" si="104"/>
        <v>182.26025834464943</v>
      </c>
      <c r="N164" s="21">
        <f t="shared" si="104"/>
        <v>148.56292463385759</v>
      </c>
      <c r="O164" s="21">
        <f t="shared" si="104"/>
        <v>0.11233669939191999</v>
      </c>
      <c r="P164" s="21">
        <f t="shared" si="104"/>
        <v>9359.2660386095049</v>
      </c>
      <c r="Q164" s="21">
        <f t="shared" si="104"/>
        <v>64130.124953677485</v>
      </c>
      <c r="R164" s="21">
        <f t="shared" si="104"/>
        <v>132413.41145792592</v>
      </c>
      <c r="S164" s="21">
        <f t="shared" si="104"/>
        <v>225804.96741715239</v>
      </c>
      <c r="T164" s="21">
        <f t="shared" si="104"/>
        <v>355781.92015174218</v>
      </c>
      <c r="U164" s="21">
        <f t="shared" si="104"/>
        <v>509015.84395872697</v>
      </c>
      <c r="V164" s="21">
        <f t="shared" si="104"/>
        <v>508453.77475565131</v>
      </c>
      <c r="W164" s="21">
        <f t="shared" si="104"/>
        <v>33270.700979206333</v>
      </c>
      <c r="X164" s="21">
        <f t="shared" si="104"/>
        <v>768424.68366844533</v>
      </c>
      <c r="Y164" s="21">
        <f t="shared" si="104"/>
        <v>438224.68993466772</v>
      </c>
      <c r="Z164" s="21">
        <f t="shared" si="104"/>
        <v>204485.3208479243</v>
      </c>
      <c r="AA164" s="21">
        <f t="shared" si="104"/>
        <v>52103.881047320836</v>
      </c>
      <c r="AB164" s="21">
        <f t="shared" si="104"/>
        <v>248.31715860050417</v>
      </c>
      <c r="AC164" s="21">
        <f t="shared" si="104"/>
        <v>10361.499303309438</v>
      </c>
      <c r="AD164" s="21">
        <f t="shared" si="104"/>
        <v>32.809793433061266</v>
      </c>
      <c r="AE164" s="21">
        <f t="shared" si="104"/>
        <v>410.75998101214827</v>
      </c>
      <c r="AF164" s="21">
        <f t="shared" si="104"/>
        <v>58.283123795191798</v>
      </c>
    </row>
    <row r="165" spans="1:34" x14ac:dyDescent="0.25">
      <c r="A165" s="71">
        <f>SUM(B165:AF165)</f>
        <v>3314960.5832361402</v>
      </c>
      <c r="B165" s="60">
        <f>IF($A$64&lt;=B129,IF($B$64&gt;=B129,ABS(B164),0),0)</f>
        <v>186.15837615967365</v>
      </c>
      <c r="C165" s="60">
        <f t="shared" ref="C165:AF165" si="105">IF($A$64&lt;=C129,IF($B$64&gt;=C129,ABS(C164),0),0)</f>
        <v>187.05682177486665</v>
      </c>
      <c r="D165" s="60">
        <f t="shared" si="105"/>
        <v>186.50127938145937</v>
      </c>
      <c r="E165" s="60">
        <f t="shared" si="105"/>
        <v>186.32879994648795</v>
      </c>
      <c r="F165" s="60">
        <f t="shared" si="105"/>
        <v>186.27791159723665</v>
      </c>
      <c r="G165" s="60">
        <f t="shared" si="105"/>
        <v>186.25765701310786</v>
      </c>
      <c r="H165" s="60">
        <f t="shared" si="105"/>
        <v>186.2556810154328</v>
      </c>
      <c r="I165" s="60">
        <f t="shared" si="105"/>
        <v>186.25024707644346</v>
      </c>
      <c r="J165" s="60">
        <f t="shared" si="105"/>
        <v>186.24827112296506</v>
      </c>
      <c r="K165" s="60">
        <f t="shared" si="105"/>
        <v>186.21072996522366</v>
      </c>
      <c r="L165" s="60">
        <f t="shared" si="105"/>
        <v>185.84737020885959</v>
      </c>
      <c r="M165" s="60">
        <f t="shared" si="105"/>
        <v>182.26025834464943</v>
      </c>
      <c r="N165" s="60">
        <f t="shared" si="105"/>
        <v>148.56292463385759</v>
      </c>
      <c r="O165" s="60">
        <f t="shared" si="105"/>
        <v>0.11233669939191999</v>
      </c>
      <c r="P165" s="60">
        <f t="shared" si="105"/>
        <v>9359.2660386095049</v>
      </c>
      <c r="Q165" s="60">
        <f t="shared" si="105"/>
        <v>64130.124953677485</v>
      </c>
      <c r="R165" s="60">
        <f t="shared" si="105"/>
        <v>132413.41145792592</v>
      </c>
      <c r="S165" s="60">
        <f t="shared" si="105"/>
        <v>225804.96741715239</v>
      </c>
      <c r="T165" s="60">
        <f t="shared" si="105"/>
        <v>355781.92015174218</v>
      </c>
      <c r="U165" s="60">
        <f t="shared" si="105"/>
        <v>509015.84395872697</v>
      </c>
      <c r="V165" s="60">
        <f t="shared" si="105"/>
        <v>508453.77475565131</v>
      </c>
      <c r="W165" s="60">
        <f t="shared" si="105"/>
        <v>33270.700979206333</v>
      </c>
      <c r="X165" s="60">
        <f t="shared" si="105"/>
        <v>768424.68366844533</v>
      </c>
      <c r="Y165" s="60">
        <f t="shared" si="105"/>
        <v>438224.68993466772</v>
      </c>
      <c r="Z165" s="60">
        <f t="shared" si="105"/>
        <v>204485.3208479243</v>
      </c>
      <c r="AA165" s="60">
        <f t="shared" si="105"/>
        <v>52103.881047320836</v>
      </c>
      <c r="AB165" s="60">
        <f t="shared" si="105"/>
        <v>248.31715860050417</v>
      </c>
      <c r="AC165" s="60">
        <f t="shared" si="105"/>
        <v>10361.499303309438</v>
      </c>
      <c r="AD165" s="60">
        <f t="shared" si="105"/>
        <v>32.809793433061266</v>
      </c>
      <c r="AE165" s="60">
        <f t="shared" si="105"/>
        <v>410.75998101214827</v>
      </c>
      <c r="AF165" s="60">
        <f t="shared" si="105"/>
        <v>58.283123795191798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0" t="s">
        <v>22</v>
      </c>
      <c r="B170" s="27">
        <f>($C$17+SUM(B171:B201))*$B$51</f>
        <v>5614.1606999999995</v>
      </c>
      <c r="C170" s="27">
        <f t="shared" ref="C170:AF170" si="106">($C$17+SUM(C171:C201))*$B$51</f>
        <v>5614.1606999999976</v>
      </c>
      <c r="D170" s="27">
        <f t="shared" si="106"/>
        <v>5614.1606999999767</v>
      </c>
      <c r="E170" s="27">
        <f t="shared" si="106"/>
        <v>5614.1606999997666</v>
      </c>
      <c r="F170" s="27">
        <f t="shared" si="106"/>
        <v>5614.1606999976684</v>
      </c>
      <c r="G170" s="27">
        <f t="shared" si="106"/>
        <v>5614.1606999766818</v>
      </c>
      <c r="H170" s="27">
        <f t="shared" si="106"/>
        <v>5614.1606997668141</v>
      </c>
      <c r="I170" s="27">
        <f t="shared" si="106"/>
        <v>5614.160697668146</v>
      </c>
      <c r="J170" s="27">
        <f t="shared" si="106"/>
        <v>5614.1606766814657</v>
      </c>
      <c r="K170" s="27">
        <f t="shared" si="106"/>
        <v>5614.1604668146674</v>
      </c>
      <c r="L170" s="27">
        <f t="shared" si="106"/>
        <v>5614.1583681477769</v>
      </c>
      <c r="M170" s="27">
        <f t="shared" si="106"/>
        <v>5614.137381588107</v>
      </c>
      <c r="N170" s="27">
        <f t="shared" si="106"/>
        <v>5613.9275269141635</v>
      </c>
      <c r="O170" s="27">
        <f t="shared" si="106"/>
        <v>5611.8300720678499</v>
      </c>
      <c r="P170" s="27">
        <f t="shared" si="106"/>
        <v>5590.9643315651638</v>
      </c>
      <c r="Q170" s="27">
        <f t="shared" si="106"/>
        <v>5392.816192731214</v>
      </c>
      <c r="R170" s="27">
        <f t="shared" si="106"/>
        <v>4171.3771289866181</v>
      </c>
      <c r="S170" s="27">
        <f t="shared" si="106"/>
        <v>3396.5286073193956</v>
      </c>
      <c r="T170" s="27">
        <f t="shared" si="106"/>
        <v>3396.4600437611361</v>
      </c>
      <c r="U170" s="27">
        <f t="shared" si="106"/>
        <v>3396.3761338894128</v>
      </c>
      <c r="V170" s="27">
        <f t="shared" si="106"/>
        <v>3395.538119468114</v>
      </c>
      <c r="W170" s="27">
        <f t="shared" si="106"/>
        <v>3387.2654409375909</v>
      </c>
      <c r="X170" s="27">
        <f t="shared" si="106"/>
        <v>3314.382942893928</v>
      </c>
      <c r="Y170" s="27">
        <f t="shared" si="106"/>
        <v>3056.8438937789206</v>
      </c>
      <c r="Z170" s="27">
        <f t="shared" si="106"/>
        <v>2925.6399569816153</v>
      </c>
      <c r="AA170" s="27">
        <f t="shared" si="106"/>
        <v>2764.3472249074853</v>
      </c>
      <c r="AB170" s="27">
        <f t="shared" si="106"/>
        <v>2583.5886594668559</v>
      </c>
      <c r="AC170" s="27">
        <f t="shared" si="106"/>
        <v>2387.5920302643312</v>
      </c>
      <c r="AD170" s="27">
        <f t="shared" si="106"/>
        <v>2167.1979296218783</v>
      </c>
      <c r="AE170" s="27">
        <f t="shared" si="106"/>
        <v>1921.5068837811625</v>
      </c>
      <c r="AF170" s="27">
        <f t="shared" si="106"/>
        <v>1636.3532268790307</v>
      </c>
      <c r="AG170" s="27"/>
      <c r="AH170" s="27"/>
    </row>
    <row r="171" spans="1:34" x14ac:dyDescent="0.25">
      <c r="B171" s="3">
        <f t="shared" ref="B171:AF171" si="107">$C18*EXP(-B$168/$A18/EXP(-$C$126))</f>
        <v>0.39501743006781925</v>
      </c>
      <c r="C171" s="3">
        <f t="shared" si="107"/>
        <v>0.39501743006781892</v>
      </c>
      <c r="D171" s="3">
        <f t="shared" si="107"/>
        <v>0.39501743006781515</v>
      </c>
      <c r="E171" s="3">
        <f t="shared" si="107"/>
        <v>0.39501743006777779</v>
      </c>
      <c r="F171" s="3">
        <f t="shared" si="107"/>
        <v>0.39501743006740397</v>
      </c>
      <c r="G171" s="3">
        <f t="shared" si="107"/>
        <v>0.3950174300636658</v>
      </c>
      <c r="H171" s="3">
        <f t="shared" si="107"/>
        <v>0.39501743002628409</v>
      </c>
      <c r="I171" s="3">
        <f t="shared" si="107"/>
        <v>0.39501742965246722</v>
      </c>
      <c r="J171" s="3">
        <f t="shared" si="107"/>
        <v>0.3950174259142985</v>
      </c>
      <c r="K171" s="3">
        <f t="shared" si="107"/>
        <v>0.39501738853261292</v>
      </c>
      <c r="L171" s="3">
        <f t="shared" si="107"/>
        <v>0.39501701471595213</v>
      </c>
      <c r="M171" s="3">
        <f t="shared" si="107"/>
        <v>0.39501327656880031</v>
      </c>
      <c r="N171" s="3">
        <f t="shared" si="107"/>
        <v>0.39497589704285413</v>
      </c>
      <c r="O171" s="3">
        <f t="shared" si="107"/>
        <v>0.39460229627250371</v>
      </c>
      <c r="P171" s="3">
        <f t="shared" si="107"/>
        <v>0.39088566955330989</v>
      </c>
      <c r="Q171" s="3">
        <f t="shared" si="107"/>
        <v>0.35559132351833522</v>
      </c>
      <c r="R171" s="3">
        <f t="shared" si="107"/>
        <v>0.13802737316282135</v>
      </c>
      <c r="S171" s="3">
        <f t="shared" si="107"/>
        <v>1.0717806104248261E-5</v>
      </c>
      <c r="T171" s="3">
        <f t="shared" si="107"/>
        <v>8.5410767946543361E-47</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5.9661445570693118E-2</v>
      </c>
      <c r="C172" s="3">
        <f t="shared" si="108"/>
        <v>5.9661445570693118E-2</v>
      </c>
      <c r="D172" s="3">
        <f t="shared" si="108"/>
        <v>5.9661445570693118E-2</v>
      </c>
      <c r="E172" s="3">
        <f t="shared" si="108"/>
        <v>5.9661445570693118E-2</v>
      </c>
      <c r="F172" s="3">
        <f t="shared" si="108"/>
        <v>5.9661445570693118E-2</v>
      </c>
      <c r="G172" s="3">
        <f t="shared" si="108"/>
        <v>5.9661445570693118E-2</v>
      </c>
      <c r="H172" s="3">
        <f t="shared" si="108"/>
        <v>5.9661445570693118E-2</v>
      </c>
      <c r="I172" s="3">
        <f t="shared" si="108"/>
        <v>5.9661445570693104E-2</v>
      </c>
      <c r="J172" s="3">
        <f t="shared" si="108"/>
        <v>5.9661445570692959E-2</v>
      </c>
      <c r="K172" s="3">
        <f t="shared" si="108"/>
        <v>5.9661445570691508E-2</v>
      </c>
      <c r="L172" s="3">
        <f t="shared" si="108"/>
        <v>5.9661445570677048E-2</v>
      </c>
      <c r="M172" s="3">
        <f t="shared" si="108"/>
        <v>5.9661445570532427E-2</v>
      </c>
      <c r="N172" s="3">
        <f t="shared" si="108"/>
        <v>5.9661445569086188E-2</v>
      </c>
      <c r="O172" s="3">
        <f t="shared" si="108"/>
        <v>5.9661445554623861E-2</v>
      </c>
      <c r="P172" s="3">
        <f t="shared" si="108"/>
        <v>5.9661445410000541E-2</v>
      </c>
      <c r="Q172" s="3">
        <f t="shared" si="108"/>
        <v>5.9661443963767359E-2</v>
      </c>
      <c r="R172" s="3">
        <f t="shared" si="108"/>
        <v>5.9661429501437463E-2</v>
      </c>
      <c r="S172" s="3">
        <f t="shared" si="108"/>
        <v>5.9661284878331319E-2</v>
      </c>
      <c r="T172" s="3">
        <f t="shared" si="108"/>
        <v>5.9659838666551362E-2</v>
      </c>
      <c r="U172" s="3">
        <f t="shared" si="108"/>
        <v>5.9645378476730813E-2</v>
      </c>
      <c r="V172" s="3">
        <f t="shared" si="108"/>
        <v>5.9500969203614071E-2</v>
      </c>
      <c r="W172" s="3">
        <f t="shared" si="108"/>
        <v>5.8075967329492405E-2</v>
      </c>
      <c r="X172" s="3">
        <f t="shared" si="108"/>
        <v>4.5574359661811385E-2</v>
      </c>
      <c r="Y172" s="3">
        <f t="shared" si="108"/>
        <v>4.0360989623945808E-3</v>
      </c>
      <c r="Z172" s="3">
        <f t="shared" si="108"/>
        <v>1.1977718876218122E-13</v>
      </c>
      <c r="AA172" s="3">
        <f t="shared" si="108"/>
        <v>6.3459582427651114E-119</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1.9174474308937255E-2</v>
      </c>
      <c r="C173" s="3">
        <f t="shared" si="109"/>
        <v>1.9174474308937255E-2</v>
      </c>
      <c r="D173" s="3">
        <f t="shared" si="109"/>
        <v>1.9174474308937255E-2</v>
      </c>
      <c r="E173" s="3">
        <f t="shared" si="109"/>
        <v>1.9174474308937255E-2</v>
      </c>
      <c r="F173" s="3">
        <f t="shared" si="109"/>
        <v>1.9174474308937255E-2</v>
      </c>
      <c r="G173" s="3">
        <f t="shared" si="109"/>
        <v>1.9174474308937255E-2</v>
      </c>
      <c r="H173" s="3">
        <f t="shared" si="109"/>
        <v>1.9174474308937255E-2</v>
      </c>
      <c r="I173" s="3">
        <f t="shared" si="109"/>
        <v>1.9174474308937255E-2</v>
      </c>
      <c r="J173" s="3">
        <f t="shared" si="109"/>
        <v>1.9174474308937251E-2</v>
      </c>
      <c r="K173" s="3">
        <f t="shared" si="109"/>
        <v>1.917447430893721E-2</v>
      </c>
      <c r="L173" s="3">
        <f t="shared" si="109"/>
        <v>1.917447430893679E-2</v>
      </c>
      <c r="M173" s="3">
        <f t="shared" si="109"/>
        <v>1.9174474308932595E-2</v>
      </c>
      <c r="N173" s="3">
        <f t="shared" si="109"/>
        <v>1.9174474308890667E-2</v>
      </c>
      <c r="O173" s="3">
        <f t="shared" si="109"/>
        <v>1.9174474308471377E-2</v>
      </c>
      <c r="P173" s="3">
        <f t="shared" si="109"/>
        <v>1.9174474304278474E-2</v>
      </c>
      <c r="Q173" s="3">
        <f t="shared" si="109"/>
        <v>1.9174474262349465E-2</v>
      </c>
      <c r="R173" s="3">
        <f t="shared" si="109"/>
        <v>1.9174473843059366E-2</v>
      </c>
      <c r="S173" s="3">
        <f t="shared" si="109"/>
        <v>1.9174469650158878E-2</v>
      </c>
      <c r="T173" s="3">
        <f t="shared" si="109"/>
        <v>1.917442772120442E-2</v>
      </c>
      <c r="U173" s="3">
        <f t="shared" si="109"/>
        <v>1.9174008436702552E-2</v>
      </c>
      <c r="V173" s="3">
        <f t="shared" si="109"/>
        <v>1.9169816095914716E-2</v>
      </c>
      <c r="W173" s="3">
        <f t="shared" si="109"/>
        <v>1.9127943070348229E-2</v>
      </c>
      <c r="X173" s="3">
        <f t="shared" si="109"/>
        <v>1.8714210519750158E-2</v>
      </c>
      <c r="Y173" s="3">
        <f t="shared" si="109"/>
        <v>1.5038478925795863E-2</v>
      </c>
      <c r="Z173" s="3">
        <f t="shared" si="109"/>
        <v>1.6886044162890686E-3</v>
      </c>
      <c r="AA173" s="3">
        <f t="shared" si="109"/>
        <v>5.3798233176842255E-13</v>
      </c>
      <c r="AB173" s="3">
        <f t="shared" si="109"/>
        <v>5.7965413028617463E-108</v>
      </c>
      <c r="AC173" s="3">
        <f t="shared" si="109"/>
        <v>0</v>
      </c>
      <c r="AD173" s="3">
        <f t="shared" si="109"/>
        <v>0</v>
      </c>
      <c r="AE173" s="3">
        <f t="shared" si="109"/>
        <v>0</v>
      </c>
      <c r="AF173" s="3">
        <f t="shared" si="109"/>
        <v>0</v>
      </c>
      <c r="AG173" s="3"/>
      <c r="AH173" s="3"/>
    </row>
    <row r="174" spans="1:34" x14ac:dyDescent="0.25">
      <c r="B174" s="3">
        <f t="shared" ref="B174:AF174" si="110">$C21*EXP(-B$168/$A21/EXP(-$C$126))</f>
        <v>3.042813256492289E-2</v>
      </c>
      <c r="C174" s="3">
        <f t="shared" si="110"/>
        <v>3.042813256492289E-2</v>
      </c>
      <c r="D174" s="3">
        <f t="shared" si="110"/>
        <v>3.042813256492289E-2</v>
      </c>
      <c r="E174" s="3">
        <f t="shared" si="110"/>
        <v>3.042813256492289E-2</v>
      </c>
      <c r="F174" s="3">
        <f t="shared" si="110"/>
        <v>3.042813256492289E-2</v>
      </c>
      <c r="G174" s="3">
        <f t="shared" si="110"/>
        <v>3.042813256492289E-2</v>
      </c>
      <c r="H174" s="3">
        <f t="shared" si="110"/>
        <v>3.042813256492289E-2</v>
      </c>
      <c r="I174" s="3">
        <f t="shared" si="110"/>
        <v>3.042813256492289E-2</v>
      </c>
      <c r="J174" s="3">
        <f t="shared" si="110"/>
        <v>3.042813256492289E-2</v>
      </c>
      <c r="K174" s="3">
        <f t="shared" si="110"/>
        <v>3.0428132564922883E-2</v>
      </c>
      <c r="L174" s="3">
        <f t="shared" si="110"/>
        <v>3.0428132564922824E-2</v>
      </c>
      <c r="M174" s="3">
        <f t="shared" si="110"/>
        <v>3.0428132564922224E-2</v>
      </c>
      <c r="N174" s="3">
        <f t="shared" si="110"/>
        <v>3.0428132564916222E-2</v>
      </c>
      <c r="O174" s="3">
        <f t="shared" si="110"/>
        <v>3.0428132564856197E-2</v>
      </c>
      <c r="P174" s="3">
        <f t="shared" si="110"/>
        <v>3.0428132564255975E-2</v>
      </c>
      <c r="Q174" s="3">
        <f t="shared" si="110"/>
        <v>3.0428132558253738E-2</v>
      </c>
      <c r="R174" s="3">
        <f t="shared" si="110"/>
        <v>3.0428132498231383E-2</v>
      </c>
      <c r="S174" s="3">
        <f t="shared" si="110"/>
        <v>3.0428131898007832E-2</v>
      </c>
      <c r="T174" s="3">
        <f t="shared" si="110"/>
        <v>3.042812589577296E-2</v>
      </c>
      <c r="U174" s="3">
        <f t="shared" si="110"/>
        <v>3.0428065873489393E-2</v>
      </c>
      <c r="V174" s="3">
        <f t="shared" si="110"/>
        <v>3.0427465657165639E-2</v>
      </c>
      <c r="W174" s="3">
        <f t="shared" si="110"/>
        <v>3.0421464145073882E-2</v>
      </c>
      <c r="X174" s="3">
        <f t="shared" si="110"/>
        <v>3.0361514091237322E-2</v>
      </c>
      <c r="Y174" s="3">
        <f t="shared" si="110"/>
        <v>2.9768473020660609E-2</v>
      </c>
      <c r="Z174" s="3">
        <f t="shared" si="110"/>
        <v>2.4439250511632135E-2</v>
      </c>
      <c r="AA174" s="3">
        <f t="shared" si="110"/>
        <v>3.3993911072689254E-3</v>
      </c>
      <c r="AB174" s="3">
        <f t="shared" si="110"/>
        <v>9.2158127664403727E-12</v>
      </c>
      <c r="AC174" s="3">
        <f t="shared" si="110"/>
        <v>1.9763266686867917E-97</v>
      </c>
      <c r="AD174" s="3">
        <f t="shared" si="110"/>
        <v>0</v>
      </c>
      <c r="AE174" s="3">
        <f t="shared" si="110"/>
        <v>0</v>
      </c>
      <c r="AF174" s="3">
        <f t="shared" si="110"/>
        <v>0</v>
      </c>
      <c r="AG174" s="3"/>
      <c r="AH174" s="3"/>
    </row>
    <row r="175" spans="1:34" x14ac:dyDescent="0.25">
      <c r="B175" s="3">
        <f t="shared" ref="B175:AF175" si="111">$C22*EXP(-B$168/$A22/EXP(-$C$126))</f>
        <v>3.3546614570255213E-2</v>
      </c>
      <c r="C175" s="3">
        <f t="shared" si="111"/>
        <v>3.3546614570255213E-2</v>
      </c>
      <c r="D175" s="3">
        <f t="shared" si="111"/>
        <v>3.3546614570255213E-2</v>
      </c>
      <c r="E175" s="3">
        <f t="shared" si="111"/>
        <v>3.3546614570255213E-2</v>
      </c>
      <c r="F175" s="3">
        <f t="shared" si="111"/>
        <v>3.3546614570255213E-2</v>
      </c>
      <c r="G175" s="3">
        <f t="shared" si="111"/>
        <v>3.3546614570255213E-2</v>
      </c>
      <c r="H175" s="3">
        <f t="shared" si="111"/>
        <v>3.3546614570255213E-2</v>
      </c>
      <c r="I175" s="3">
        <f t="shared" si="111"/>
        <v>3.3546614570255213E-2</v>
      </c>
      <c r="J175" s="3">
        <f t="shared" si="111"/>
        <v>3.3546614570255213E-2</v>
      </c>
      <c r="K175" s="3">
        <f t="shared" si="111"/>
        <v>3.3546614570255213E-2</v>
      </c>
      <c r="L175" s="3">
        <f t="shared" si="111"/>
        <v>3.3546614570255207E-2</v>
      </c>
      <c r="M175" s="3">
        <f t="shared" si="111"/>
        <v>3.3546614570255144E-2</v>
      </c>
      <c r="N175" s="3">
        <f t="shared" si="111"/>
        <v>3.3546614570254547E-2</v>
      </c>
      <c r="O175" s="3">
        <f t="shared" si="111"/>
        <v>3.354661457024858E-2</v>
      </c>
      <c r="P175" s="3">
        <f t="shared" si="111"/>
        <v>3.3546614570188885E-2</v>
      </c>
      <c r="Q175" s="3">
        <f t="shared" si="111"/>
        <v>3.3546614569591945E-2</v>
      </c>
      <c r="R175" s="3">
        <f t="shared" si="111"/>
        <v>3.3546614563622512E-2</v>
      </c>
      <c r="S175" s="3">
        <f t="shared" si="111"/>
        <v>3.3546614503928186E-2</v>
      </c>
      <c r="T175" s="3">
        <f t="shared" si="111"/>
        <v>3.3546613906984969E-2</v>
      </c>
      <c r="U175" s="3">
        <f t="shared" si="111"/>
        <v>3.354660793755336E-2</v>
      </c>
      <c r="V175" s="3">
        <f t="shared" si="111"/>
        <v>3.3546548243295712E-2</v>
      </c>
      <c r="W175" s="3">
        <f t="shared" si="111"/>
        <v>3.3545951306561378E-2</v>
      </c>
      <c r="X175" s="3">
        <f t="shared" si="111"/>
        <v>3.3539982523400229E-2</v>
      </c>
      <c r="Y175" s="3">
        <f t="shared" si="111"/>
        <v>3.3480353071558965E-2</v>
      </c>
      <c r="Z175" s="3">
        <f t="shared" si="111"/>
        <v>3.2889858275527477E-2</v>
      </c>
      <c r="AA175" s="3">
        <f t="shared" si="111"/>
        <v>2.7528448187363479E-2</v>
      </c>
      <c r="AB175" s="3">
        <f t="shared" si="111"/>
        <v>4.6449282856911292E-3</v>
      </c>
      <c r="AC175" s="3">
        <f t="shared" si="111"/>
        <v>8.6886407630314157E-11</v>
      </c>
      <c r="AD175" s="3">
        <f t="shared" si="111"/>
        <v>4.5570114925563426E-88</v>
      </c>
      <c r="AE175" s="3">
        <f t="shared" si="111"/>
        <v>0</v>
      </c>
      <c r="AF175" s="3">
        <f t="shared" si="111"/>
        <v>0</v>
      </c>
      <c r="AG175" s="3"/>
      <c r="AH175" s="3"/>
    </row>
    <row r="176" spans="1:34" x14ac:dyDescent="0.25">
      <c r="B176" s="3">
        <f t="shared" ref="B176:AF176" si="112">$C23*EXP(-B$168/$A23/EXP(-$C$126))</f>
        <v>3.6056553536874446E-2</v>
      </c>
      <c r="C176" s="3">
        <f t="shared" si="112"/>
        <v>3.6056553536874446E-2</v>
      </c>
      <c r="D176" s="3">
        <f t="shared" si="112"/>
        <v>3.6056553536874446E-2</v>
      </c>
      <c r="E176" s="3">
        <f t="shared" si="112"/>
        <v>3.6056553536874446E-2</v>
      </c>
      <c r="F176" s="3">
        <f t="shared" si="112"/>
        <v>3.6056553536874446E-2</v>
      </c>
      <c r="G176" s="3">
        <f t="shared" si="112"/>
        <v>3.6056553536874446E-2</v>
      </c>
      <c r="H176" s="3">
        <f t="shared" si="112"/>
        <v>3.6056553536874446E-2</v>
      </c>
      <c r="I176" s="3">
        <f t="shared" si="112"/>
        <v>3.6056553536874446E-2</v>
      </c>
      <c r="J176" s="3">
        <f t="shared" si="112"/>
        <v>3.6056553536874446E-2</v>
      </c>
      <c r="K176" s="3">
        <f t="shared" si="112"/>
        <v>3.6056553536874446E-2</v>
      </c>
      <c r="L176" s="3">
        <f t="shared" si="112"/>
        <v>3.6056553536874446E-2</v>
      </c>
      <c r="M176" s="3">
        <f t="shared" si="112"/>
        <v>3.6056553536874439E-2</v>
      </c>
      <c r="N176" s="3">
        <f t="shared" si="112"/>
        <v>3.6056553536874383E-2</v>
      </c>
      <c r="O176" s="3">
        <f t="shared" si="112"/>
        <v>3.60565535368738E-2</v>
      </c>
      <c r="P176" s="3">
        <f t="shared" si="112"/>
        <v>3.6056553536868013E-2</v>
      </c>
      <c r="Q176" s="3">
        <f t="shared" si="112"/>
        <v>3.6056553536810136E-2</v>
      </c>
      <c r="R176" s="3">
        <f t="shared" si="112"/>
        <v>3.6056553536231356E-2</v>
      </c>
      <c r="S176" s="3">
        <f t="shared" si="112"/>
        <v>3.6056553530443534E-2</v>
      </c>
      <c r="T176" s="3">
        <f t="shared" si="112"/>
        <v>3.6056553472565318E-2</v>
      </c>
      <c r="U176" s="3">
        <f t="shared" si="112"/>
        <v>3.6056552893783164E-2</v>
      </c>
      <c r="V176" s="3">
        <f t="shared" si="112"/>
        <v>3.6056547105962192E-2</v>
      </c>
      <c r="W176" s="3">
        <f t="shared" si="112"/>
        <v>3.6056489227803482E-2</v>
      </c>
      <c r="X176" s="3">
        <f t="shared" si="112"/>
        <v>3.6055910451326216E-2</v>
      </c>
      <c r="Y176" s="3">
        <f t="shared" si="112"/>
        <v>3.605012319750555E-2</v>
      </c>
      <c r="Z176" s="3">
        <f t="shared" si="112"/>
        <v>3.5992301724162686E-2</v>
      </c>
      <c r="AA176" s="3">
        <f t="shared" si="112"/>
        <v>3.5419163278122598E-2</v>
      </c>
      <c r="AB176" s="3">
        <f t="shared" si="112"/>
        <v>3.0166509599678999E-2</v>
      </c>
      <c r="AC176" s="3">
        <f t="shared" si="112"/>
        <v>6.0588851657786286E-3</v>
      </c>
      <c r="AD176" s="3">
        <f t="shared" si="112"/>
        <v>6.4724589174528803E-10</v>
      </c>
      <c r="AE176" s="3">
        <f t="shared" si="112"/>
        <v>1.2526654925379314E-79</v>
      </c>
      <c r="AF176" s="3">
        <f t="shared" si="112"/>
        <v>0</v>
      </c>
      <c r="AG176" s="3"/>
      <c r="AH176" s="3"/>
    </row>
    <row r="177" spans="2:34" x14ac:dyDescent="0.25">
      <c r="B177" s="3">
        <f t="shared" ref="B177:AF177" si="113">$C24*EXP(-B$168/$A24/EXP(-$C$126))</f>
        <v>4.1431742608178009E-2</v>
      </c>
      <c r="C177" s="3">
        <f t="shared" si="113"/>
        <v>4.1431742608178009E-2</v>
      </c>
      <c r="D177" s="3">
        <f t="shared" si="113"/>
        <v>4.1431742608178009E-2</v>
      </c>
      <c r="E177" s="3">
        <f t="shared" si="113"/>
        <v>4.1431742608178009E-2</v>
      </c>
      <c r="F177" s="3">
        <f t="shared" si="113"/>
        <v>4.1431742608178009E-2</v>
      </c>
      <c r="G177" s="3">
        <f t="shared" si="113"/>
        <v>4.1431742608178009E-2</v>
      </c>
      <c r="H177" s="3">
        <f t="shared" si="113"/>
        <v>4.1431742608178009E-2</v>
      </c>
      <c r="I177" s="3">
        <f t="shared" si="113"/>
        <v>4.1431742608178009E-2</v>
      </c>
      <c r="J177" s="3">
        <f t="shared" si="113"/>
        <v>4.1431742608178009E-2</v>
      </c>
      <c r="K177" s="3">
        <f t="shared" si="113"/>
        <v>4.1431742608178009E-2</v>
      </c>
      <c r="L177" s="3">
        <f t="shared" si="113"/>
        <v>4.1431742608178009E-2</v>
      </c>
      <c r="M177" s="3">
        <f t="shared" si="113"/>
        <v>4.1431742608178009E-2</v>
      </c>
      <c r="N177" s="3">
        <f t="shared" si="113"/>
        <v>4.1431742608178002E-2</v>
      </c>
      <c r="O177" s="3">
        <f t="shared" si="113"/>
        <v>4.1431742608177946E-2</v>
      </c>
      <c r="P177" s="3">
        <f t="shared" si="113"/>
        <v>4.1431742608177342E-2</v>
      </c>
      <c r="Q177" s="3">
        <f t="shared" si="113"/>
        <v>4.143174260817134E-2</v>
      </c>
      <c r="R177" s="3">
        <f t="shared" si="113"/>
        <v>4.1431742608111347E-2</v>
      </c>
      <c r="S177" s="3">
        <f t="shared" si="113"/>
        <v>4.1431742607511403E-2</v>
      </c>
      <c r="T177" s="3">
        <f t="shared" si="113"/>
        <v>4.1431742601511966E-2</v>
      </c>
      <c r="U177" s="3">
        <f t="shared" si="113"/>
        <v>4.1431742541517567E-2</v>
      </c>
      <c r="V177" s="3">
        <f t="shared" si="113"/>
        <v>4.1431741941573577E-2</v>
      </c>
      <c r="W177" s="3">
        <f t="shared" si="113"/>
        <v>4.1431735942134153E-2</v>
      </c>
      <c r="X177" s="3">
        <f t="shared" si="113"/>
        <v>4.1431675947787711E-2</v>
      </c>
      <c r="Y177" s="3">
        <f t="shared" si="113"/>
        <v>4.1431076009101328E-2</v>
      </c>
      <c r="Z177" s="3">
        <f t="shared" si="113"/>
        <v>4.1425077100014279E-2</v>
      </c>
      <c r="AA177" s="3">
        <f t="shared" si="113"/>
        <v>4.1365135761235912E-2</v>
      </c>
      <c r="AB177" s="3">
        <f t="shared" si="113"/>
        <v>4.0770472097267703E-2</v>
      </c>
      <c r="AC177" s="3">
        <f t="shared" si="113"/>
        <v>3.5274316192539408E-2</v>
      </c>
      <c r="AD177" s="3">
        <f t="shared" si="113"/>
        <v>8.2906243062655857E-3</v>
      </c>
      <c r="AE177" s="3">
        <f t="shared" si="113"/>
        <v>4.2645533640001646E-9</v>
      </c>
      <c r="AF177" s="3">
        <f t="shared" si="113"/>
        <v>5.5301477272235785E-72</v>
      </c>
      <c r="AG177" s="3"/>
      <c r="AH177" s="3"/>
    </row>
    <row r="178" spans="2:34" x14ac:dyDescent="0.25">
      <c r="B178" s="3">
        <f t="shared" ref="B178:AF178" si="114">$C25*EXP(-B$168/$A25/EXP(-$C$126))</f>
        <v>4.558861375636767E-2</v>
      </c>
      <c r="C178" s="3">
        <f t="shared" si="114"/>
        <v>4.558861375636767E-2</v>
      </c>
      <c r="D178" s="3">
        <f t="shared" si="114"/>
        <v>4.558861375636767E-2</v>
      </c>
      <c r="E178" s="3">
        <f t="shared" si="114"/>
        <v>4.558861375636767E-2</v>
      </c>
      <c r="F178" s="3">
        <f t="shared" si="114"/>
        <v>4.558861375636767E-2</v>
      </c>
      <c r="G178" s="3">
        <f t="shared" si="114"/>
        <v>4.558861375636767E-2</v>
      </c>
      <c r="H178" s="3">
        <f t="shared" si="114"/>
        <v>4.558861375636767E-2</v>
      </c>
      <c r="I178" s="3">
        <f t="shared" si="114"/>
        <v>4.558861375636767E-2</v>
      </c>
      <c r="J178" s="3">
        <f t="shared" si="114"/>
        <v>4.558861375636767E-2</v>
      </c>
      <c r="K178" s="3">
        <f t="shared" si="114"/>
        <v>4.558861375636767E-2</v>
      </c>
      <c r="L178" s="3">
        <f t="shared" si="114"/>
        <v>4.558861375636767E-2</v>
      </c>
      <c r="M178" s="3">
        <f t="shared" si="114"/>
        <v>4.558861375636767E-2</v>
      </c>
      <c r="N178" s="3">
        <f t="shared" si="114"/>
        <v>4.558861375636767E-2</v>
      </c>
      <c r="O178" s="3">
        <f t="shared" si="114"/>
        <v>4.5588613756367663E-2</v>
      </c>
      <c r="P178" s="3">
        <f t="shared" si="114"/>
        <v>4.5588613756367607E-2</v>
      </c>
      <c r="Q178" s="3">
        <f t="shared" si="114"/>
        <v>4.5588613756367004E-2</v>
      </c>
      <c r="R178" s="3">
        <f t="shared" si="114"/>
        <v>4.5588613756361057E-2</v>
      </c>
      <c r="S178" s="3">
        <f t="shared" si="114"/>
        <v>4.5588613756301501E-2</v>
      </c>
      <c r="T178" s="3">
        <f t="shared" si="114"/>
        <v>4.5588613755706005E-2</v>
      </c>
      <c r="U178" s="3">
        <f t="shared" si="114"/>
        <v>4.5588613749751025E-2</v>
      </c>
      <c r="V178" s="3">
        <f t="shared" si="114"/>
        <v>4.5588613690201195E-2</v>
      </c>
      <c r="W178" s="3">
        <f t="shared" si="114"/>
        <v>4.5588613094702954E-2</v>
      </c>
      <c r="X178" s="3">
        <f t="shared" si="114"/>
        <v>4.5588607139720946E-2</v>
      </c>
      <c r="Y178" s="3">
        <f t="shared" si="114"/>
        <v>4.5588547589943636E-2</v>
      </c>
      <c r="Z178" s="3">
        <f t="shared" si="114"/>
        <v>4.5587952096448829E-2</v>
      </c>
      <c r="AA178" s="3">
        <f t="shared" si="114"/>
        <v>4.5581997589303869E-2</v>
      </c>
      <c r="AB178" s="3">
        <f t="shared" si="114"/>
        <v>4.5522495277498291E-2</v>
      </c>
      <c r="AC178" s="3">
        <f t="shared" si="114"/>
        <v>4.4931727529695792E-2</v>
      </c>
      <c r="AD178" s="3">
        <f t="shared" si="114"/>
        <v>3.9429719495638359E-2</v>
      </c>
      <c r="AE178" s="3">
        <f t="shared" si="114"/>
        <v>1.0678970734054776E-2</v>
      </c>
      <c r="AF178" s="3">
        <f t="shared" si="114"/>
        <v>2.2677046183320459E-8</v>
      </c>
      <c r="AG178" s="3"/>
      <c r="AH178" s="3"/>
    </row>
    <row r="179" spans="2:34" x14ac:dyDescent="0.25">
      <c r="B179" s="3">
        <f t="shared" ref="B179:AF179" si="115">$C26*EXP(-B$168/$A26/EXP(-$C$126))</f>
        <v>5.454765248808658E-2</v>
      </c>
      <c r="C179" s="3">
        <f t="shared" si="115"/>
        <v>5.454765248808658E-2</v>
      </c>
      <c r="D179" s="3">
        <f t="shared" si="115"/>
        <v>5.454765248808658E-2</v>
      </c>
      <c r="E179" s="3">
        <f t="shared" si="115"/>
        <v>5.454765248808658E-2</v>
      </c>
      <c r="F179" s="3">
        <f t="shared" si="115"/>
        <v>5.454765248808658E-2</v>
      </c>
      <c r="G179" s="3">
        <f t="shared" si="115"/>
        <v>5.454765248808658E-2</v>
      </c>
      <c r="H179" s="3">
        <f t="shared" si="115"/>
        <v>5.454765248808658E-2</v>
      </c>
      <c r="I179" s="3">
        <f t="shared" si="115"/>
        <v>5.454765248808658E-2</v>
      </c>
      <c r="J179" s="3">
        <f t="shared" si="115"/>
        <v>5.454765248808658E-2</v>
      </c>
      <c r="K179" s="3">
        <f t="shared" si="115"/>
        <v>5.454765248808658E-2</v>
      </c>
      <c r="L179" s="3">
        <f t="shared" si="115"/>
        <v>5.454765248808658E-2</v>
      </c>
      <c r="M179" s="3">
        <f t="shared" si="115"/>
        <v>5.454765248808658E-2</v>
      </c>
      <c r="N179" s="3">
        <f t="shared" si="115"/>
        <v>5.454765248808658E-2</v>
      </c>
      <c r="O179" s="3">
        <f t="shared" si="115"/>
        <v>5.454765248808658E-2</v>
      </c>
      <c r="P179" s="3">
        <f t="shared" si="115"/>
        <v>5.4547652488086573E-2</v>
      </c>
      <c r="Q179" s="3">
        <f t="shared" si="115"/>
        <v>5.4547652488086511E-2</v>
      </c>
      <c r="R179" s="3">
        <f t="shared" si="115"/>
        <v>5.4547652488085865E-2</v>
      </c>
      <c r="S179" s="3">
        <f t="shared" si="115"/>
        <v>5.454765248807944E-2</v>
      </c>
      <c r="T179" s="3">
        <f t="shared" si="115"/>
        <v>5.4547652488015165E-2</v>
      </c>
      <c r="U179" s="3">
        <f t="shared" si="115"/>
        <v>5.4547652487372408E-2</v>
      </c>
      <c r="V179" s="3">
        <f t="shared" si="115"/>
        <v>5.4547652480944835E-2</v>
      </c>
      <c r="W179" s="3">
        <f t="shared" si="115"/>
        <v>5.4547652416669146E-2</v>
      </c>
      <c r="X179" s="3">
        <f t="shared" si="115"/>
        <v>5.4547651773912235E-2</v>
      </c>
      <c r="Y179" s="3">
        <f t="shared" si="115"/>
        <v>5.4547645346343543E-2</v>
      </c>
      <c r="Z179" s="3">
        <f t="shared" si="115"/>
        <v>5.4547581070698299E-2</v>
      </c>
      <c r="AA179" s="3">
        <f t="shared" si="115"/>
        <v>5.4546938318411439E-2</v>
      </c>
      <c r="AB179" s="3">
        <f t="shared" si="115"/>
        <v>5.4540511212085148E-2</v>
      </c>
      <c r="AC179" s="3">
        <f t="shared" si="115"/>
        <v>5.4476281784896441E-2</v>
      </c>
      <c r="AD179" s="3">
        <f t="shared" si="115"/>
        <v>5.38381330247657E-2</v>
      </c>
      <c r="AE179" s="3">
        <f t="shared" si="115"/>
        <v>4.7853678412198571E-2</v>
      </c>
      <c r="AF179" s="3">
        <f t="shared" si="115"/>
        <v>1.472884465596643E-2</v>
      </c>
      <c r="AG179" s="3"/>
      <c r="AH179" s="3"/>
    </row>
    <row r="180" spans="2:34" x14ac:dyDescent="0.25">
      <c r="B180" s="3">
        <f t="shared" ref="B180:AF180" si="116">$C27*EXP(-B$168/$A27/EXP(-$C$126))</f>
        <v>6.3488731508467941E-2</v>
      </c>
      <c r="C180" s="3">
        <f t="shared" si="116"/>
        <v>6.3488731508467941E-2</v>
      </c>
      <c r="D180" s="3">
        <f t="shared" si="116"/>
        <v>6.3488731508467941E-2</v>
      </c>
      <c r="E180" s="3">
        <f t="shared" si="116"/>
        <v>6.3488731508467941E-2</v>
      </c>
      <c r="F180" s="3">
        <f t="shared" si="116"/>
        <v>6.3488731508467941E-2</v>
      </c>
      <c r="G180" s="3">
        <f t="shared" si="116"/>
        <v>6.3488731508467941E-2</v>
      </c>
      <c r="H180" s="3">
        <f t="shared" si="116"/>
        <v>6.3488731508467941E-2</v>
      </c>
      <c r="I180" s="3">
        <f t="shared" si="116"/>
        <v>6.3488731508467941E-2</v>
      </c>
      <c r="J180" s="3">
        <f t="shared" si="116"/>
        <v>6.3488731508467941E-2</v>
      </c>
      <c r="K180" s="3">
        <f t="shared" si="116"/>
        <v>6.3488731508467941E-2</v>
      </c>
      <c r="L180" s="3">
        <f t="shared" si="116"/>
        <v>6.3488731508467941E-2</v>
      </c>
      <c r="M180" s="3">
        <f t="shared" si="116"/>
        <v>6.3488731508467941E-2</v>
      </c>
      <c r="N180" s="3">
        <f t="shared" si="116"/>
        <v>6.3488731508467941E-2</v>
      </c>
      <c r="O180" s="3">
        <f t="shared" si="116"/>
        <v>6.3488731508467941E-2</v>
      </c>
      <c r="P180" s="3">
        <f t="shared" si="116"/>
        <v>6.3488731508467941E-2</v>
      </c>
      <c r="Q180" s="3">
        <f t="shared" si="116"/>
        <v>6.3488731508467927E-2</v>
      </c>
      <c r="R180" s="3">
        <f t="shared" si="116"/>
        <v>6.3488731508467858E-2</v>
      </c>
      <c r="S180" s="3">
        <f t="shared" si="116"/>
        <v>6.3488731508467192E-2</v>
      </c>
      <c r="T180" s="3">
        <f t="shared" si="116"/>
        <v>6.3488731508460447E-2</v>
      </c>
      <c r="U180" s="3">
        <f t="shared" si="116"/>
        <v>6.3488731508392959E-2</v>
      </c>
      <c r="V180" s="3">
        <f t="shared" si="116"/>
        <v>6.3488731507718096E-2</v>
      </c>
      <c r="W180" s="3">
        <f t="shared" si="116"/>
        <v>6.3488731500969495E-2</v>
      </c>
      <c r="X180" s="3">
        <f t="shared" si="116"/>
        <v>6.348873143348345E-2</v>
      </c>
      <c r="Y180" s="3">
        <f t="shared" si="116"/>
        <v>6.3488730758623074E-2</v>
      </c>
      <c r="Z180" s="3">
        <f t="shared" si="116"/>
        <v>6.348872401001969E-2</v>
      </c>
      <c r="AA180" s="3">
        <f t="shared" si="116"/>
        <v>6.3488656524025272E-2</v>
      </c>
      <c r="AB180" s="3">
        <f t="shared" si="116"/>
        <v>6.3487981668026508E-2</v>
      </c>
      <c r="AC180" s="3">
        <f t="shared" si="116"/>
        <v>6.3481233502564266E-2</v>
      </c>
      <c r="AD180" s="3">
        <f t="shared" si="116"/>
        <v>6.3413791284966062E-2</v>
      </c>
      <c r="AE180" s="3">
        <f t="shared" si="116"/>
        <v>6.2743297345007526E-2</v>
      </c>
      <c r="AF180" s="3">
        <f t="shared" si="116"/>
        <v>5.6416161481759215E-2</v>
      </c>
      <c r="AG180" s="3"/>
      <c r="AH180" s="3"/>
    </row>
    <row r="181" spans="2:34" x14ac:dyDescent="0.25">
      <c r="B181" s="3">
        <f t="shared" ref="B181:AF181" si="117">$C28*EXP(-B$168/$A28/EXP(-$C$126))</f>
        <v>6.4437498796687767E-2</v>
      </c>
      <c r="C181" s="3">
        <f t="shared" si="117"/>
        <v>6.4437498796687767E-2</v>
      </c>
      <c r="D181" s="3">
        <f t="shared" si="117"/>
        <v>6.4437498796687767E-2</v>
      </c>
      <c r="E181" s="3">
        <f t="shared" si="117"/>
        <v>6.4437498796687767E-2</v>
      </c>
      <c r="F181" s="3">
        <f t="shared" si="117"/>
        <v>6.4437498796687767E-2</v>
      </c>
      <c r="G181" s="3">
        <f t="shared" si="117"/>
        <v>6.4437498796687767E-2</v>
      </c>
      <c r="H181" s="3">
        <f t="shared" si="117"/>
        <v>6.4437498796687767E-2</v>
      </c>
      <c r="I181" s="3">
        <f t="shared" si="117"/>
        <v>6.4437498796687767E-2</v>
      </c>
      <c r="J181" s="3">
        <f t="shared" si="117"/>
        <v>6.4437498796687767E-2</v>
      </c>
      <c r="K181" s="3">
        <f t="shared" si="117"/>
        <v>6.4437498796687767E-2</v>
      </c>
      <c r="L181" s="3">
        <f t="shared" si="117"/>
        <v>6.4437498796687767E-2</v>
      </c>
      <c r="M181" s="3">
        <f t="shared" si="117"/>
        <v>6.4437498796687767E-2</v>
      </c>
      <c r="N181" s="3">
        <f t="shared" si="117"/>
        <v>6.4437498796687767E-2</v>
      </c>
      <c r="O181" s="3">
        <f t="shared" si="117"/>
        <v>6.4437498796687767E-2</v>
      </c>
      <c r="P181" s="3">
        <f t="shared" si="117"/>
        <v>6.4437498796687767E-2</v>
      </c>
      <c r="Q181" s="3">
        <f t="shared" si="117"/>
        <v>6.4437498796687767E-2</v>
      </c>
      <c r="R181" s="3">
        <f t="shared" si="117"/>
        <v>6.4437498796687753E-2</v>
      </c>
      <c r="S181" s="3">
        <f t="shared" si="117"/>
        <v>6.4437498796687698E-2</v>
      </c>
      <c r="T181" s="3">
        <f t="shared" si="117"/>
        <v>6.4437498796687087E-2</v>
      </c>
      <c r="U181" s="3">
        <f t="shared" si="117"/>
        <v>6.4437498796680898E-2</v>
      </c>
      <c r="V181" s="3">
        <f t="shared" si="117"/>
        <v>6.4437498796619114E-2</v>
      </c>
      <c r="W181" s="3">
        <f t="shared" si="117"/>
        <v>6.4437498796001233E-2</v>
      </c>
      <c r="X181" s="3">
        <f t="shared" si="117"/>
        <v>6.4437498789822453E-2</v>
      </c>
      <c r="Y181" s="3">
        <f t="shared" si="117"/>
        <v>6.4437498728034684E-2</v>
      </c>
      <c r="Z181" s="3">
        <f t="shared" si="117"/>
        <v>6.4437498110156949E-2</v>
      </c>
      <c r="AA181" s="3">
        <f t="shared" si="117"/>
        <v>6.4437491931379917E-2</v>
      </c>
      <c r="AB181" s="3">
        <f t="shared" si="117"/>
        <v>6.4437430143642144E-2</v>
      </c>
      <c r="AC181" s="3">
        <f t="shared" si="117"/>
        <v>6.4436812269523053E-2</v>
      </c>
      <c r="AD181" s="3">
        <f t="shared" si="117"/>
        <v>6.4430633854177827E-2</v>
      </c>
      <c r="AE181" s="3">
        <f t="shared" si="117"/>
        <v>6.4368882273737979E-2</v>
      </c>
      <c r="AF181" s="3">
        <f t="shared" si="117"/>
        <v>6.3754612243732564E-2</v>
      </c>
      <c r="AG181" s="3"/>
      <c r="AH181" s="3"/>
    </row>
    <row r="182" spans="2:34" x14ac:dyDescent="0.25">
      <c r="B182" s="3">
        <f t="shared" ref="B182:AF182" si="118">$C29*EXP(-B$168/$A29/EXP(-$C$126))</f>
        <v>5.0984711138190433E-2</v>
      </c>
      <c r="C182" s="3">
        <f t="shared" si="118"/>
        <v>5.0984711138190433E-2</v>
      </c>
      <c r="D182" s="3">
        <f t="shared" si="118"/>
        <v>5.0984711138190433E-2</v>
      </c>
      <c r="E182" s="3">
        <f t="shared" si="118"/>
        <v>5.0984711138190433E-2</v>
      </c>
      <c r="F182" s="3">
        <f t="shared" si="118"/>
        <v>5.0984711138190433E-2</v>
      </c>
      <c r="G182" s="3">
        <f t="shared" si="118"/>
        <v>5.0984711138190433E-2</v>
      </c>
      <c r="H182" s="3">
        <f t="shared" si="118"/>
        <v>5.0984711138190433E-2</v>
      </c>
      <c r="I182" s="3">
        <f t="shared" si="118"/>
        <v>5.0984711138190433E-2</v>
      </c>
      <c r="J182" s="3">
        <f t="shared" si="118"/>
        <v>5.0984711138190433E-2</v>
      </c>
      <c r="K182" s="3">
        <f t="shared" si="118"/>
        <v>5.0984711138190433E-2</v>
      </c>
      <c r="L182" s="3">
        <f t="shared" si="118"/>
        <v>5.0984711138190433E-2</v>
      </c>
      <c r="M182" s="3">
        <f t="shared" si="118"/>
        <v>5.0984711138190433E-2</v>
      </c>
      <c r="N182" s="3">
        <f t="shared" si="118"/>
        <v>5.0984711138190433E-2</v>
      </c>
      <c r="O182" s="3">
        <f t="shared" si="118"/>
        <v>5.0984711138190433E-2</v>
      </c>
      <c r="P182" s="3">
        <f t="shared" si="118"/>
        <v>5.0984711138190433E-2</v>
      </c>
      <c r="Q182" s="3">
        <f t="shared" si="118"/>
        <v>5.0984711138190433E-2</v>
      </c>
      <c r="R182" s="3">
        <f t="shared" si="118"/>
        <v>5.0984711138190433E-2</v>
      </c>
      <c r="S182" s="3">
        <f t="shared" si="118"/>
        <v>5.0984711138190426E-2</v>
      </c>
      <c r="T182" s="3">
        <f t="shared" si="118"/>
        <v>5.0984711138190385E-2</v>
      </c>
      <c r="U182" s="3">
        <f t="shared" si="118"/>
        <v>5.0984711138189941E-2</v>
      </c>
      <c r="V182" s="3">
        <f t="shared" si="118"/>
        <v>5.0984711138185534E-2</v>
      </c>
      <c r="W182" s="3">
        <f t="shared" si="118"/>
        <v>5.0984711138141431E-2</v>
      </c>
      <c r="X182" s="3">
        <f t="shared" si="118"/>
        <v>5.0984711137700423E-2</v>
      </c>
      <c r="Y182" s="3">
        <f t="shared" si="118"/>
        <v>5.0984711133290297E-2</v>
      </c>
      <c r="Z182" s="3">
        <f t="shared" si="118"/>
        <v>5.0984711089189096E-2</v>
      </c>
      <c r="AA182" s="3">
        <f t="shared" si="118"/>
        <v>5.0984710648177077E-2</v>
      </c>
      <c r="AB182" s="3">
        <f t="shared" si="118"/>
        <v>5.0984706238057086E-2</v>
      </c>
      <c r="AC182" s="3">
        <f t="shared" si="118"/>
        <v>5.0984662136878189E-2</v>
      </c>
      <c r="AD182" s="3">
        <f t="shared" si="118"/>
        <v>5.0984221127187222E-2</v>
      </c>
      <c r="AE182" s="3">
        <f t="shared" si="118"/>
        <v>5.0979811240078873E-2</v>
      </c>
      <c r="AF182" s="3">
        <f t="shared" si="118"/>
        <v>5.0935733342410645E-2</v>
      </c>
      <c r="AG182" s="3"/>
      <c r="AH182" s="3"/>
    </row>
    <row r="183" spans="2:34" x14ac:dyDescent="0.25">
      <c r="B183" s="3">
        <f t="shared" ref="B183:AF183" si="119">$C30*EXP(-B$168/$A30/EXP(-$C$126))</f>
        <v>3.1725580310806592E-2</v>
      </c>
      <c r="C183" s="3">
        <f t="shared" si="119"/>
        <v>3.1725580310806592E-2</v>
      </c>
      <c r="D183" s="3">
        <f t="shared" si="119"/>
        <v>3.1725580310806592E-2</v>
      </c>
      <c r="E183" s="3">
        <f t="shared" si="119"/>
        <v>3.1725580310806592E-2</v>
      </c>
      <c r="F183" s="3">
        <f t="shared" si="119"/>
        <v>3.1725580310806592E-2</v>
      </c>
      <c r="G183" s="3">
        <f t="shared" si="119"/>
        <v>3.1725580310806592E-2</v>
      </c>
      <c r="H183" s="3">
        <f t="shared" si="119"/>
        <v>3.1725580310806592E-2</v>
      </c>
      <c r="I183" s="3">
        <f t="shared" si="119"/>
        <v>3.1725580310806592E-2</v>
      </c>
      <c r="J183" s="3">
        <f t="shared" si="119"/>
        <v>3.1725580310806592E-2</v>
      </c>
      <c r="K183" s="3">
        <f t="shared" si="119"/>
        <v>3.1725580310806592E-2</v>
      </c>
      <c r="L183" s="3">
        <f t="shared" si="119"/>
        <v>3.1725580310806592E-2</v>
      </c>
      <c r="M183" s="3">
        <f t="shared" si="119"/>
        <v>3.1725580310806592E-2</v>
      </c>
      <c r="N183" s="3">
        <f t="shared" si="119"/>
        <v>3.1725580310806592E-2</v>
      </c>
      <c r="O183" s="3">
        <f t="shared" si="119"/>
        <v>3.1725580310806592E-2</v>
      </c>
      <c r="P183" s="3">
        <f t="shared" si="119"/>
        <v>3.1725580310806592E-2</v>
      </c>
      <c r="Q183" s="3">
        <f t="shared" si="119"/>
        <v>3.1725580310806592E-2</v>
      </c>
      <c r="R183" s="3">
        <f t="shared" si="119"/>
        <v>3.1725580310806592E-2</v>
      </c>
      <c r="S183" s="3">
        <f t="shared" si="119"/>
        <v>3.1725580310806592E-2</v>
      </c>
      <c r="T183" s="3">
        <f t="shared" si="119"/>
        <v>3.1725580310806585E-2</v>
      </c>
      <c r="U183" s="3">
        <f t="shared" si="119"/>
        <v>3.1725580310806564E-2</v>
      </c>
      <c r="V183" s="3">
        <f t="shared" si="119"/>
        <v>3.1725580310806314E-2</v>
      </c>
      <c r="W183" s="3">
        <f t="shared" si="119"/>
        <v>3.1725580310803844E-2</v>
      </c>
      <c r="X183" s="3">
        <f t="shared" si="119"/>
        <v>3.1725580310779086E-2</v>
      </c>
      <c r="Y183" s="3">
        <f t="shared" si="119"/>
        <v>3.1725580310531534E-2</v>
      </c>
      <c r="Z183" s="3">
        <f t="shared" si="119"/>
        <v>3.1725580308056014E-2</v>
      </c>
      <c r="AA183" s="3">
        <f t="shared" si="119"/>
        <v>3.1725580283300803E-2</v>
      </c>
      <c r="AB183" s="3">
        <f t="shared" si="119"/>
        <v>3.1725580035748692E-2</v>
      </c>
      <c r="AC183" s="3">
        <f t="shared" si="119"/>
        <v>3.1725577560227716E-2</v>
      </c>
      <c r="AD183" s="3">
        <f t="shared" si="119"/>
        <v>3.1725552805028583E-2</v>
      </c>
      <c r="AE183" s="3">
        <f t="shared" si="119"/>
        <v>3.1725305254099639E-2</v>
      </c>
      <c r="AF183" s="3">
        <f t="shared" si="119"/>
        <v>3.1722829851046394E-2</v>
      </c>
      <c r="AG183" s="3"/>
      <c r="AH183" s="3"/>
    </row>
    <row r="184" spans="2:34" x14ac:dyDescent="0.25">
      <c r="B184" s="3">
        <f t="shared" ref="B184:AF184" si="120">$C31*EXP(-B$168/$A31/EXP(-$C$126))</f>
        <v>1.5443830992985543E-2</v>
      </c>
      <c r="C184" s="3">
        <f t="shared" si="120"/>
        <v>1.5443830992985543E-2</v>
      </c>
      <c r="D184" s="3">
        <f t="shared" si="120"/>
        <v>1.5443830992985543E-2</v>
      </c>
      <c r="E184" s="3">
        <f t="shared" si="120"/>
        <v>1.5443830992985543E-2</v>
      </c>
      <c r="F184" s="3">
        <f t="shared" si="120"/>
        <v>1.5443830992985543E-2</v>
      </c>
      <c r="G184" s="3">
        <f t="shared" si="120"/>
        <v>1.5443830992985543E-2</v>
      </c>
      <c r="H184" s="3">
        <f t="shared" si="120"/>
        <v>1.5443830992985543E-2</v>
      </c>
      <c r="I184" s="3">
        <f t="shared" si="120"/>
        <v>1.5443830992985543E-2</v>
      </c>
      <c r="J184" s="3">
        <f t="shared" si="120"/>
        <v>1.5443830992985543E-2</v>
      </c>
      <c r="K184" s="3">
        <f t="shared" si="120"/>
        <v>1.5443830992985543E-2</v>
      </c>
      <c r="L184" s="3">
        <f t="shared" si="120"/>
        <v>1.5443830992985543E-2</v>
      </c>
      <c r="M184" s="3">
        <f t="shared" si="120"/>
        <v>1.5443830992985543E-2</v>
      </c>
      <c r="N184" s="3">
        <f t="shared" si="120"/>
        <v>1.5443830992985543E-2</v>
      </c>
      <c r="O184" s="3">
        <f t="shared" si="120"/>
        <v>1.5443830992985543E-2</v>
      </c>
      <c r="P184" s="3">
        <f t="shared" si="120"/>
        <v>1.5443830992985543E-2</v>
      </c>
      <c r="Q184" s="3">
        <f t="shared" si="120"/>
        <v>1.5443830992985543E-2</v>
      </c>
      <c r="R184" s="3">
        <f t="shared" si="120"/>
        <v>1.5443830992985543E-2</v>
      </c>
      <c r="S184" s="3">
        <f t="shared" si="120"/>
        <v>1.5443830992985543E-2</v>
      </c>
      <c r="T184" s="3">
        <f t="shared" si="120"/>
        <v>1.5443830992985543E-2</v>
      </c>
      <c r="U184" s="3">
        <f t="shared" si="120"/>
        <v>1.5443830992985541E-2</v>
      </c>
      <c r="V184" s="3">
        <f t="shared" si="120"/>
        <v>1.5443830992985531E-2</v>
      </c>
      <c r="W184" s="3">
        <f t="shared" si="120"/>
        <v>1.5443830992985423E-2</v>
      </c>
      <c r="X184" s="3">
        <f t="shared" si="120"/>
        <v>1.5443830992984336E-2</v>
      </c>
      <c r="Y184" s="3">
        <f t="shared" si="120"/>
        <v>1.5443830992973464E-2</v>
      </c>
      <c r="Z184" s="3">
        <f t="shared" si="120"/>
        <v>1.5443830992864758E-2</v>
      </c>
      <c r="AA184" s="3">
        <f t="shared" si="120"/>
        <v>1.5443830991777685E-2</v>
      </c>
      <c r="AB184" s="3">
        <f t="shared" si="120"/>
        <v>1.5443830980906955E-2</v>
      </c>
      <c r="AC184" s="3">
        <f t="shared" si="120"/>
        <v>1.544383087219966E-2</v>
      </c>
      <c r="AD184" s="3">
        <f t="shared" si="120"/>
        <v>1.5443829785126761E-2</v>
      </c>
      <c r="AE184" s="3">
        <f t="shared" si="120"/>
        <v>1.5443818914401972E-2</v>
      </c>
      <c r="AF184" s="3">
        <f t="shared" si="120"/>
        <v>1.5443710207574929E-2</v>
      </c>
      <c r="AG184" s="3"/>
      <c r="AH184" s="3"/>
    </row>
    <row r="185" spans="2:34" x14ac:dyDescent="0.25">
      <c r="B185" s="3">
        <f t="shared" ref="B185:AF185" si="121">$C32*EXP(-B$168/$A32/EXP(-$C$126))</f>
        <v>7.0696001208784189E-3</v>
      </c>
      <c r="C185" s="3">
        <f t="shared" si="121"/>
        <v>7.0696001208784189E-3</v>
      </c>
      <c r="D185" s="3">
        <f t="shared" si="121"/>
        <v>7.0696001208784189E-3</v>
      </c>
      <c r="E185" s="3">
        <f t="shared" si="121"/>
        <v>7.0696001208784189E-3</v>
      </c>
      <c r="F185" s="3">
        <f t="shared" si="121"/>
        <v>7.0696001208784189E-3</v>
      </c>
      <c r="G185" s="3">
        <f t="shared" si="121"/>
        <v>7.0696001208784189E-3</v>
      </c>
      <c r="H185" s="3">
        <f t="shared" si="121"/>
        <v>7.0696001208784189E-3</v>
      </c>
      <c r="I185" s="3">
        <f t="shared" si="121"/>
        <v>7.0696001208784189E-3</v>
      </c>
      <c r="J185" s="3">
        <f t="shared" si="121"/>
        <v>7.0696001208784189E-3</v>
      </c>
      <c r="K185" s="3">
        <f t="shared" si="121"/>
        <v>7.0696001208784189E-3</v>
      </c>
      <c r="L185" s="3">
        <f t="shared" si="121"/>
        <v>7.0696001208784189E-3</v>
      </c>
      <c r="M185" s="3">
        <f t="shared" si="121"/>
        <v>7.0696001208784189E-3</v>
      </c>
      <c r="N185" s="3">
        <f t="shared" si="121"/>
        <v>7.0696001208784189E-3</v>
      </c>
      <c r="O185" s="3">
        <f t="shared" si="121"/>
        <v>7.0696001208784189E-3</v>
      </c>
      <c r="P185" s="3">
        <f t="shared" si="121"/>
        <v>7.0696001208784189E-3</v>
      </c>
      <c r="Q185" s="3">
        <f t="shared" si="121"/>
        <v>7.0696001208784189E-3</v>
      </c>
      <c r="R185" s="3">
        <f t="shared" si="121"/>
        <v>7.0696001208784189E-3</v>
      </c>
      <c r="S185" s="3">
        <f t="shared" si="121"/>
        <v>7.0696001208784189E-3</v>
      </c>
      <c r="T185" s="3">
        <f t="shared" si="121"/>
        <v>7.0696001208784189E-3</v>
      </c>
      <c r="U185" s="3">
        <f t="shared" si="121"/>
        <v>7.0696001208784189E-3</v>
      </c>
      <c r="V185" s="3">
        <f t="shared" si="121"/>
        <v>7.0696001208784181E-3</v>
      </c>
      <c r="W185" s="3">
        <f t="shared" si="121"/>
        <v>7.0696001208784146E-3</v>
      </c>
      <c r="X185" s="3">
        <f t="shared" si="121"/>
        <v>7.0696001208783686E-3</v>
      </c>
      <c r="Y185" s="3">
        <f t="shared" si="121"/>
        <v>7.0696001208779202E-3</v>
      </c>
      <c r="Z185" s="3">
        <f t="shared" si="121"/>
        <v>7.0696001208734307E-3</v>
      </c>
      <c r="AA185" s="3">
        <f t="shared" si="121"/>
        <v>7.0696001208285422E-3</v>
      </c>
      <c r="AB185" s="3">
        <f t="shared" si="121"/>
        <v>7.069600120379646E-3</v>
      </c>
      <c r="AC185" s="3">
        <f t="shared" si="121"/>
        <v>7.0696001158906925E-3</v>
      </c>
      <c r="AD185" s="3">
        <f t="shared" si="121"/>
        <v>7.0696000710011603E-3</v>
      </c>
      <c r="AE185" s="3">
        <f t="shared" si="121"/>
        <v>7.0695996221058471E-3</v>
      </c>
      <c r="AF185" s="3">
        <f t="shared" si="121"/>
        <v>7.0695951331542842E-3</v>
      </c>
      <c r="AG185" s="3"/>
      <c r="AH185" s="3"/>
    </row>
    <row r="186" spans="2:34" x14ac:dyDescent="0.25">
      <c r="B186" s="3">
        <f t="shared" ref="B186:AF186" si="122">$C33*EXP(-B$168/$A33/EXP(-$C$126))</f>
        <v>3.5043206729719373E-3</v>
      </c>
      <c r="C186" s="3">
        <f t="shared" si="122"/>
        <v>3.5043206729719373E-3</v>
      </c>
      <c r="D186" s="3">
        <f t="shared" si="122"/>
        <v>3.5043206729719373E-3</v>
      </c>
      <c r="E186" s="3">
        <f t="shared" si="122"/>
        <v>3.5043206729719373E-3</v>
      </c>
      <c r="F186" s="3">
        <f t="shared" si="122"/>
        <v>3.5043206729719373E-3</v>
      </c>
      <c r="G186" s="3">
        <f t="shared" si="122"/>
        <v>3.5043206729719373E-3</v>
      </c>
      <c r="H186" s="3">
        <f t="shared" si="122"/>
        <v>3.5043206729719373E-3</v>
      </c>
      <c r="I186" s="3">
        <f t="shared" si="122"/>
        <v>3.5043206729719373E-3</v>
      </c>
      <c r="J186" s="3">
        <f t="shared" si="122"/>
        <v>3.5043206729719373E-3</v>
      </c>
      <c r="K186" s="3">
        <f t="shared" si="122"/>
        <v>3.5043206729719373E-3</v>
      </c>
      <c r="L186" s="3">
        <f t="shared" si="122"/>
        <v>3.5043206729719373E-3</v>
      </c>
      <c r="M186" s="3">
        <f t="shared" si="122"/>
        <v>3.5043206729719373E-3</v>
      </c>
      <c r="N186" s="3">
        <f t="shared" si="122"/>
        <v>3.5043206729719373E-3</v>
      </c>
      <c r="O186" s="3">
        <f t="shared" si="122"/>
        <v>3.5043206729719373E-3</v>
      </c>
      <c r="P186" s="3">
        <f t="shared" si="122"/>
        <v>3.5043206729719373E-3</v>
      </c>
      <c r="Q186" s="3">
        <f t="shared" si="122"/>
        <v>3.5043206729719373E-3</v>
      </c>
      <c r="R186" s="3">
        <f t="shared" si="122"/>
        <v>3.5043206729719373E-3</v>
      </c>
      <c r="S186" s="3">
        <f t="shared" si="122"/>
        <v>3.5043206729719373E-3</v>
      </c>
      <c r="T186" s="3">
        <f t="shared" si="122"/>
        <v>3.5043206729719373E-3</v>
      </c>
      <c r="U186" s="3">
        <f t="shared" si="122"/>
        <v>3.5043206729719373E-3</v>
      </c>
      <c r="V186" s="3">
        <f t="shared" si="122"/>
        <v>3.5043206729719373E-3</v>
      </c>
      <c r="W186" s="3">
        <f t="shared" si="122"/>
        <v>3.5043206729719369E-3</v>
      </c>
      <c r="X186" s="3">
        <f t="shared" si="122"/>
        <v>3.5043206729719351E-3</v>
      </c>
      <c r="Y186" s="3">
        <f t="shared" si="122"/>
        <v>3.5043206729719152E-3</v>
      </c>
      <c r="Z186" s="3">
        <f t="shared" si="122"/>
        <v>3.5043206729717144E-3</v>
      </c>
      <c r="AA186" s="3">
        <f t="shared" si="122"/>
        <v>3.5043206729697073E-3</v>
      </c>
      <c r="AB186" s="3">
        <f t="shared" si="122"/>
        <v>3.5043206729496344E-3</v>
      </c>
      <c r="AC186" s="3">
        <f t="shared" si="122"/>
        <v>3.50432067274891E-3</v>
      </c>
      <c r="AD186" s="3">
        <f t="shared" si="122"/>
        <v>3.5043206707416636E-3</v>
      </c>
      <c r="AE186" s="3">
        <f t="shared" si="122"/>
        <v>3.5043206506692008E-3</v>
      </c>
      <c r="AF186" s="3">
        <f t="shared" si="122"/>
        <v>3.5043204499445755E-3</v>
      </c>
      <c r="AG186" s="3"/>
      <c r="AH186" s="3"/>
    </row>
    <row r="187" spans="2:34" x14ac:dyDescent="0.25">
      <c r="B187" s="3">
        <f t="shared" ref="B187:AF187" si="123">$C34*EXP(-B$168/$A34/EXP(-$C$126))</f>
        <v>2.9646797109614421E-3</v>
      </c>
      <c r="C187" s="3">
        <f t="shared" si="123"/>
        <v>2.9646797109614421E-3</v>
      </c>
      <c r="D187" s="3">
        <f t="shared" si="123"/>
        <v>2.9646797109614421E-3</v>
      </c>
      <c r="E187" s="3">
        <f t="shared" si="123"/>
        <v>2.9646797109614421E-3</v>
      </c>
      <c r="F187" s="3">
        <f t="shared" si="123"/>
        <v>2.9646797109614421E-3</v>
      </c>
      <c r="G187" s="3">
        <f t="shared" si="123"/>
        <v>2.9646797109614421E-3</v>
      </c>
      <c r="H187" s="3">
        <f t="shared" si="123"/>
        <v>2.9646797109614421E-3</v>
      </c>
      <c r="I187" s="3">
        <f t="shared" si="123"/>
        <v>2.9646797109614421E-3</v>
      </c>
      <c r="J187" s="3">
        <f t="shared" si="123"/>
        <v>2.9646797109614421E-3</v>
      </c>
      <c r="K187" s="3">
        <f t="shared" si="123"/>
        <v>2.9646797109614421E-3</v>
      </c>
      <c r="L187" s="3">
        <f t="shared" si="123"/>
        <v>2.9646797109614421E-3</v>
      </c>
      <c r="M187" s="3">
        <f t="shared" si="123"/>
        <v>2.9646797109614421E-3</v>
      </c>
      <c r="N187" s="3">
        <f t="shared" si="123"/>
        <v>2.9646797109614421E-3</v>
      </c>
      <c r="O187" s="3">
        <f t="shared" si="123"/>
        <v>2.9646797109614421E-3</v>
      </c>
      <c r="P187" s="3">
        <f t="shared" si="123"/>
        <v>2.9646797109614421E-3</v>
      </c>
      <c r="Q187" s="3">
        <f t="shared" si="123"/>
        <v>2.9646797109614421E-3</v>
      </c>
      <c r="R187" s="3">
        <f t="shared" si="123"/>
        <v>2.9646797109614421E-3</v>
      </c>
      <c r="S187" s="3">
        <f t="shared" si="123"/>
        <v>2.9646797109614421E-3</v>
      </c>
      <c r="T187" s="3">
        <f t="shared" si="123"/>
        <v>2.9646797109614421E-3</v>
      </c>
      <c r="U187" s="3">
        <f t="shared" si="123"/>
        <v>2.9646797109614421E-3</v>
      </c>
      <c r="V187" s="3">
        <f t="shared" si="123"/>
        <v>2.9646797109614421E-3</v>
      </c>
      <c r="W187" s="3">
        <f t="shared" si="123"/>
        <v>2.9646797109614421E-3</v>
      </c>
      <c r="X187" s="3">
        <f t="shared" si="123"/>
        <v>2.9646797109614416E-3</v>
      </c>
      <c r="Y187" s="3">
        <f t="shared" si="123"/>
        <v>2.9646797109614403E-3</v>
      </c>
      <c r="Z187" s="3">
        <f t="shared" si="123"/>
        <v>2.9646797109614252E-3</v>
      </c>
      <c r="AA187" s="3">
        <f t="shared" si="123"/>
        <v>2.9646797109612721E-3</v>
      </c>
      <c r="AB187" s="3">
        <f t="shared" si="123"/>
        <v>2.9646797109597399E-3</v>
      </c>
      <c r="AC187" s="3">
        <f t="shared" si="123"/>
        <v>2.9646797109444214E-3</v>
      </c>
      <c r="AD187" s="3">
        <f t="shared" si="123"/>
        <v>2.9646797107912345E-3</v>
      </c>
      <c r="AE187" s="3">
        <f t="shared" si="123"/>
        <v>2.964679709259367E-3</v>
      </c>
      <c r="AF187" s="3">
        <f t="shared" si="123"/>
        <v>2.9646796939406922E-3</v>
      </c>
      <c r="AG187" s="3"/>
      <c r="AH187" s="3"/>
    </row>
    <row r="188" spans="2:34" x14ac:dyDescent="0.25">
      <c r="B188" s="3">
        <f t="shared" ref="B188:AF188" si="124">$C35*EXP(-B$168/$A35/EXP(-$C$126))</f>
        <v>0</v>
      </c>
      <c r="C188" s="3">
        <f t="shared" si="124"/>
        <v>0</v>
      </c>
      <c r="D188" s="3">
        <f t="shared" si="124"/>
        <v>0</v>
      </c>
      <c r="E188" s="3">
        <f t="shared" si="124"/>
        <v>0</v>
      </c>
      <c r="F188" s="3">
        <f t="shared" si="124"/>
        <v>0</v>
      </c>
      <c r="G188" s="3">
        <f t="shared" si="124"/>
        <v>0</v>
      </c>
      <c r="H188" s="3">
        <f t="shared" si="124"/>
        <v>0</v>
      </c>
      <c r="I188" s="3">
        <f t="shared" si="124"/>
        <v>0</v>
      </c>
      <c r="J188" s="3">
        <f t="shared" si="124"/>
        <v>0</v>
      </c>
      <c r="K188" s="3">
        <f t="shared" si="124"/>
        <v>0</v>
      </c>
      <c r="L188" s="3">
        <f t="shared" si="124"/>
        <v>0</v>
      </c>
      <c r="M188" s="3">
        <f t="shared" si="124"/>
        <v>0</v>
      </c>
      <c r="N188" s="3">
        <f t="shared" si="124"/>
        <v>0</v>
      </c>
      <c r="O188" s="3">
        <f t="shared" si="124"/>
        <v>0</v>
      </c>
      <c r="P188" s="3">
        <f t="shared" si="124"/>
        <v>0</v>
      </c>
      <c r="Q188" s="3">
        <f t="shared" si="124"/>
        <v>0</v>
      </c>
      <c r="R188" s="3">
        <f t="shared" si="124"/>
        <v>0</v>
      </c>
      <c r="S188" s="3">
        <f t="shared" si="124"/>
        <v>0</v>
      </c>
      <c r="T188" s="3">
        <f t="shared" si="124"/>
        <v>0</v>
      </c>
      <c r="U188" s="3">
        <f t="shared" si="124"/>
        <v>0</v>
      </c>
      <c r="V188" s="3">
        <f t="shared" si="124"/>
        <v>0</v>
      </c>
      <c r="W188" s="3">
        <f t="shared" si="124"/>
        <v>0</v>
      </c>
      <c r="X188" s="3">
        <f t="shared" si="124"/>
        <v>0</v>
      </c>
      <c r="Y188" s="3">
        <f t="shared" si="124"/>
        <v>0</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3.098114236407119E-3</v>
      </c>
      <c r="C189" s="3">
        <f t="shared" si="125"/>
        <v>3.098114236407119E-3</v>
      </c>
      <c r="D189" s="3">
        <f t="shared" si="125"/>
        <v>3.098114236407119E-3</v>
      </c>
      <c r="E189" s="3">
        <f t="shared" si="125"/>
        <v>3.098114236407119E-3</v>
      </c>
      <c r="F189" s="3">
        <f t="shared" si="125"/>
        <v>3.098114236407119E-3</v>
      </c>
      <c r="G189" s="3">
        <f t="shared" si="125"/>
        <v>3.098114236407119E-3</v>
      </c>
      <c r="H189" s="3">
        <f t="shared" si="125"/>
        <v>3.098114236407119E-3</v>
      </c>
      <c r="I189" s="3">
        <f t="shared" si="125"/>
        <v>3.098114236407119E-3</v>
      </c>
      <c r="J189" s="3">
        <f t="shared" si="125"/>
        <v>3.098114236407119E-3</v>
      </c>
      <c r="K189" s="3">
        <f t="shared" si="125"/>
        <v>3.098114236407119E-3</v>
      </c>
      <c r="L189" s="3">
        <f t="shared" si="125"/>
        <v>3.098114236407119E-3</v>
      </c>
      <c r="M189" s="3">
        <f t="shared" si="125"/>
        <v>3.098114236407119E-3</v>
      </c>
      <c r="N189" s="3">
        <f t="shared" si="125"/>
        <v>3.098114236407119E-3</v>
      </c>
      <c r="O189" s="3">
        <f t="shared" si="125"/>
        <v>3.098114236407119E-3</v>
      </c>
      <c r="P189" s="3">
        <f t="shared" si="125"/>
        <v>3.098114236407119E-3</v>
      </c>
      <c r="Q189" s="3">
        <f t="shared" si="125"/>
        <v>3.098114236407119E-3</v>
      </c>
      <c r="R189" s="3">
        <f t="shared" si="125"/>
        <v>3.098114236407119E-3</v>
      </c>
      <c r="S189" s="3">
        <f t="shared" si="125"/>
        <v>3.098114236407119E-3</v>
      </c>
      <c r="T189" s="3">
        <f t="shared" si="125"/>
        <v>3.098114236407119E-3</v>
      </c>
      <c r="U189" s="3">
        <f t="shared" si="125"/>
        <v>3.098114236407119E-3</v>
      </c>
      <c r="V189" s="3">
        <f t="shared" si="125"/>
        <v>3.098114236407119E-3</v>
      </c>
      <c r="W189" s="3">
        <f t="shared" si="125"/>
        <v>3.098114236407119E-3</v>
      </c>
      <c r="X189" s="3">
        <f t="shared" si="125"/>
        <v>3.098114236407119E-3</v>
      </c>
      <c r="Y189" s="3">
        <f t="shared" si="125"/>
        <v>3.098114236407119E-3</v>
      </c>
      <c r="Z189" s="3">
        <f t="shared" si="125"/>
        <v>3.098114236407119E-3</v>
      </c>
      <c r="AA189" s="3">
        <f t="shared" si="125"/>
        <v>3.0981142364071177E-3</v>
      </c>
      <c r="AB189" s="3">
        <f t="shared" si="125"/>
        <v>3.0981142364071047E-3</v>
      </c>
      <c r="AC189" s="3">
        <f t="shared" si="125"/>
        <v>3.0981142364069742E-3</v>
      </c>
      <c r="AD189" s="3">
        <f t="shared" si="125"/>
        <v>3.0981142364056719E-3</v>
      </c>
      <c r="AE189" s="3">
        <f t="shared" si="125"/>
        <v>3.0981142363926449E-3</v>
      </c>
      <c r="AF189" s="3">
        <f t="shared" si="125"/>
        <v>3.0981142362623781E-3</v>
      </c>
      <c r="AG189" s="3"/>
      <c r="AH189" s="3"/>
    </row>
    <row r="190" spans="2:34" x14ac:dyDescent="0.25">
      <c r="B190" s="3">
        <f t="shared" ref="B190:AF190" si="126">$C37*EXP(-B$168/$A37/EXP(-$C$126))</f>
        <v>1.3450651080742435E-3</v>
      </c>
      <c r="C190" s="3">
        <f t="shared" si="126"/>
        <v>1.3450651080742435E-3</v>
      </c>
      <c r="D190" s="3">
        <f t="shared" si="126"/>
        <v>1.3450651080742435E-3</v>
      </c>
      <c r="E190" s="3">
        <f t="shared" si="126"/>
        <v>1.3450651080742435E-3</v>
      </c>
      <c r="F190" s="3">
        <f t="shared" si="126"/>
        <v>1.3450651080742435E-3</v>
      </c>
      <c r="G190" s="3">
        <f t="shared" si="126"/>
        <v>1.3450651080742435E-3</v>
      </c>
      <c r="H190" s="3">
        <f t="shared" si="126"/>
        <v>1.3450651080742435E-3</v>
      </c>
      <c r="I190" s="3">
        <f t="shared" si="126"/>
        <v>1.3450651080742435E-3</v>
      </c>
      <c r="J190" s="3">
        <f t="shared" si="126"/>
        <v>1.3450651080742435E-3</v>
      </c>
      <c r="K190" s="3">
        <f t="shared" si="126"/>
        <v>1.3450651080742435E-3</v>
      </c>
      <c r="L190" s="3">
        <f t="shared" si="126"/>
        <v>1.3450651080742435E-3</v>
      </c>
      <c r="M190" s="3">
        <f t="shared" si="126"/>
        <v>1.3450651080742435E-3</v>
      </c>
      <c r="N190" s="3">
        <f t="shared" si="126"/>
        <v>1.3450651080742435E-3</v>
      </c>
      <c r="O190" s="3">
        <f t="shared" si="126"/>
        <v>1.3450651080742435E-3</v>
      </c>
      <c r="P190" s="3">
        <f t="shared" si="126"/>
        <v>1.3450651080742435E-3</v>
      </c>
      <c r="Q190" s="3">
        <f t="shared" si="126"/>
        <v>1.3450651080742435E-3</v>
      </c>
      <c r="R190" s="3">
        <f t="shared" si="126"/>
        <v>1.3450651080742435E-3</v>
      </c>
      <c r="S190" s="3">
        <f t="shared" si="126"/>
        <v>1.3450651080742435E-3</v>
      </c>
      <c r="T190" s="3">
        <f t="shared" si="126"/>
        <v>1.3450651080742435E-3</v>
      </c>
      <c r="U190" s="3">
        <f t="shared" si="126"/>
        <v>1.3450651080742435E-3</v>
      </c>
      <c r="V190" s="3">
        <f t="shared" si="126"/>
        <v>1.3450651080742435E-3</v>
      </c>
      <c r="W190" s="3">
        <f t="shared" si="126"/>
        <v>1.3450651080742435E-3</v>
      </c>
      <c r="X190" s="3">
        <f t="shared" si="126"/>
        <v>1.3450651080742435E-3</v>
      </c>
      <c r="Y190" s="3">
        <f t="shared" si="126"/>
        <v>1.3450651080742435E-3</v>
      </c>
      <c r="Z190" s="3">
        <f t="shared" si="126"/>
        <v>1.3450651080742435E-3</v>
      </c>
      <c r="AA190" s="3">
        <f t="shared" si="126"/>
        <v>1.3450651080742435E-3</v>
      </c>
      <c r="AB190" s="3">
        <f t="shared" si="126"/>
        <v>1.3450651080742428E-3</v>
      </c>
      <c r="AC190" s="3">
        <f t="shared" si="126"/>
        <v>1.3450651080742378E-3</v>
      </c>
      <c r="AD190" s="3">
        <f t="shared" si="126"/>
        <v>1.3450651080741866E-3</v>
      </c>
      <c r="AE190" s="3">
        <f t="shared" si="126"/>
        <v>1.3450651080736766E-3</v>
      </c>
      <c r="AF190" s="3">
        <f t="shared" si="126"/>
        <v>1.3450651080685748E-3</v>
      </c>
      <c r="AG190" s="3"/>
      <c r="AH190" s="3"/>
    </row>
    <row r="191" spans="2:34" x14ac:dyDescent="0.25">
      <c r="B191" s="3">
        <f t="shared" ref="B191:AF191" si="127">$C38*EXP(-B$168/$A38/EXP(-$C$126))</f>
        <v>1.5999872696703847E-4</v>
      </c>
      <c r="C191" s="3">
        <f t="shared" si="127"/>
        <v>1.5999872696703847E-4</v>
      </c>
      <c r="D191" s="3">
        <f t="shared" si="127"/>
        <v>1.5999872696703847E-4</v>
      </c>
      <c r="E191" s="3">
        <f t="shared" si="127"/>
        <v>1.5999872696703847E-4</v>
      </c>
      <c r="F191" s="3">
        <f t="shared" si="127"/>
        <v>1.5999872696703847E-4</v>
      </c>
      <c r="G191" s="3">
        <f t="shared" si="127"/>
        <v>1.5999872696703847E-4</v>
      </c>
      <c r="H191" s="3">
        <f t="shared" si="127"/>
        <v>1.5999872696703847E-4</v>
      </c>
      <c r="I191" s="3">
        <f t="shared" si="127"/>
        <v>1.5999872696703847E-4</v>
      </c>
      <c r="J191" s="3">
        <f t="shared" si="127"/>
        <v>1.5999872696703847E-4</v>
      </c>
      <c r="K191" s="3">
        <f t="shared" si="127"/>
        <v>1.5999872696703847E-4</v>
      </c>
      <c r="L191" s="3">
        <f t="shared" si="127"/>
        <v>1.5999872696703847E-4</v>
      </c>
      <c r="M191" s="3">
        <f t="shared" si="127"/>
        <v>1.5999872696703847E-4</v>
      </c>
      <c r="N191" s="3">
        <f t="shared" si="127"/>
        <v>1.5999872696703847E-4</v>
      </c>
      <c r="O191" s="3">
        <f t="shared" si="127"/>
        <v>1.5999872696703847E-4</v>
      </c>
      <c r="P191" s="3">
        <f t="shared" si="127"/>
        <v>1.5999872696703847E-4</v>
      </c>
      <c r="Q191" s="3">
        <f t="shared" si="127"/>
        <v>1.5999872696703847E-4</v>
      </c>
      <c r="R191" s="3">
        <f t="shared" si="127"/>
        <v>1.5999872696703847E-4</v>
      </c>
      <c r="S191" s="3">
        <f t="shared" si="127"/>
        <v>1.5999872696703847E-4</v>
      </c>
      <c r="T191" s="3">
        <f t="shared" si="127"/>
        <v>1.5999872696703847E-4</v>
      </c>
      <c r="U191" s="3">
        <f t="shared" si="127"/>
        <v>1.5999872696703847E-4</v>
      </c>
      <c r="V191" s="3">
        <f t="shared" si="127"/>
        <v>1.5999872696703847E-4</v>
      </c>
      <c r="W191" s="3">
        <f t="shared" si="127"/>
        <v>1.5999872696703847E-4</v>
      </c>
      <c r="X191" s="3">
        <f t="shared" si="127"/>
        <v>1.5999872696703847E-4</v>
      </c>
      <c r="Y191" s="3">
        <f t="shared" si="127"/>
        <v>1.5999872696703847E-4</v>
      </c>
      <c r="Z191" s="3">
        <f t="shared" si="127"/>
        <v>1.5999872696703847E-4</v>
      </c>
      <c r="AA191" s="3">
        <f t="shared" si="127"/>
        <v>1.5999872696703847E-4</v>
      </c>
      <c r="AB191" s="3">
        <f t="shared" si="127"/>
        <v>1.5999872696703847E-4</v>
      </c>
      <c r="AC191" s="3">
        <f t="shared" si="127"/>
        <v>1.5999872696703841E-4</v>
      </c>
      <c r="AD191" s="3">
        <f t="shared" si="127"/>
        <v>1.5999872696703787E-4</v>
      </c>
      <c r="AE191" s="3">
        <f t="shared" si="127"/>
        <v>1.599987269670324E-4</v>
      </c>
      <c r="AF191" s="3">
        <f t="shared" si="127"/>
        <v>1.5999872696697765E-4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1.1033683083565872E-4</v>
      </c>
      <c r="C194" s="3">
        <f t="shared" si="130"/>
        <v>1.1033683083565872E-4</v>
      </c>
      <c r="D194" s="3">
        <f t="shared" si="130"/>
        <v>1.1033683083565872E-4</v>
      </c>
      <c r="E194" s="3">
        <f t="shared" si="130"/>
        <v>1.1033683083565872E-4</v>
      </c>
      <c r="F194" s="3">
        <f t="shared" si="130"/>
        <v>1.1033683083565872E-4</v>
      </c>
      <c r="G194" s="3">
        <f t="shared" si="130"/>
        <v>1.1033683083565872E-4</v>
      </c>
      <c r="H194" s="3">
        <f t="shared" si="130"/>
        <v>1.1033683083565872E-4</v>
      </c>
      <c r="I194" s="3">
        <f t="shared" si="130"/>
        <v>1.1033683083565872E-4</v>
      </c>
      <c r="J194" s="3">
        <f t="shared" si="130"/>
        <v>1.1033683083565872E-4</v>
      </c>
      <c r="K194" s="3">
        <f t="shared" si="130"/>
        <v>1.1033683083565872E-4</v>
      </c>
      <c r="L194" s="3">
        <f t="shared" si="130"/>
        <v>1.1033683083565872E-4</v>
      </c>
      <c r="M194" s="3">
        <f t="shared" si="130"/>
        <v>1.1033683083565872E-4</v>
      </c>
      <c r="N194" s="3">
        <f t="shared" si="130"/>
        <v>1.1033683083565872E-4</v>
      </c>
      <c r="O194" s="3">
        <f t="shared" si="130"/>
        <v>1.1033683083565872E-4</v>
      </c>
      <c r="P194" s="3">
        <f t="shared" si="130"/>
        <v>1.1033683083565872E-4</v>
      </c>
      <c r="Q194" s="3">
        <f t="shared" si="130"/>
        <v>1.1033683083565872E-4</v>
      </c>
      <c r="R194" s="3">
        <f t="shared" si="130"/>
        <v>1.1033683083565872E-4</v>
      </c>
      <c r="S194" s="3">
        <f t="shared" si="130"/>
        <v>1.1033683083565872E-4</v>
      </c>
      <c r="T194" s="3">
        <f t="shared" si="130"/>
        <v>1.1033683083565872E-4</v>
      </c>
      <c r="U194" s="3">
        <f t="shared" si="130"/>
        <v>1.1033683083565872E-4</v>
      </c>
      <c r="V194" s="3">
        <f t="shared" si="130"/>
        <v>1.1033683083565872E-4</v>
      </c>
      <c r="W194" s="3">
        <f t="shared" si="130"/>
        <v>1.1033683083565872E-4</v>
      </c>
      <c r="X194" s="3">
        <f t="shared" si="130"/>
        <v>1.1033683083565872E-4</v>
      </c>
      <c r="Y194" s="3">
        <f t="shared" si="130"/>
        <v>1.1033683083565872E-4</v>
      </c>
      <c r="Z194" s="3">
        <f t="shared" si="130"/>
        <v>1.1033683083565872E-4</v>
      </c>
      <c r="AA194" s="3">
        <f t="shared" si="130"/>
        <v>1.1033683083565872E-4</v>
      </c>
      <c r="AB194" s="3">
        <f t="shared" si="130"/>
        <v>1.1033683083565872E-4</v>
      </c>
      <c r="AC194" s="3">
        <f t="shared" si="130"/>
        <v>1.1033683083565872E-4</v>
      </c>
      <c r="AD194" s="3">
        <f t="shared" si="130"/>
        <v>1.1033683083565872E-4</v>
      </c>
      <c r="AE194" s="3">
        <f t="shared" si="130"/>
        <v>1.103368308356587E-4</v>
      </c>
      <c r="AF194" s="3">
        <f t="shared" si="130"/>
        <v>1.1033683083565861E-4</v>
      </c>
      <c r="AG194" s="3"/>
      <c r="AH194" s="3"/>
    </row>
    <row r="195" spans="1:34" x14ac:dyDescent="0.25">
      <c r="B195" s="3">
        <f t="shared" ref="B195:AF195" si="131">$C42*EXP(-B$168/$A42/EXP(-$C$126))</f>
        <v>5.3430093526516889E-5</v>
      </c>
      <c r="C195" s="3">
        <f t="shared" si="131"/>
        <v>5.3430093526516889E-5</v>
      </c>
      <c r="D195" s="3">
        <f t="shared" si="131"/>
        <v>5.3430093526516889E-5</v>
      </c>
      <c r="E195" s="3">
        <f t="shared" si="131"/>
        <v>5.3430093526516889E-5</v>
      </c>
      <c r="F195" s="3">
        <f t="shared" si="131"/>
        <v>5.3430093526516889E-5</v>
      </c>
      <c r="G195" s="3">
        <f t="shared" si="131"/>
        <v>5.3430093526516889E-5</v>
      </c>
      <c r="H195" s="3">
        <f t="shared" si="131"/>
        <v>5.3430093526516889E-5</v>
      </c>
      <c r="I195" s="3">
        <f t="shared" si="131"/>
        <v>5.3430093526516889E-5</v>
      </c>
      <c r="J195" s="3">
        <f t="shared" si="131"/>
        <v>5.3430093526516889E-5</v>
      </c>
      <c r="K195" s="3">
        <f t="shared" si="131"/>
        <v>5.3430093526516889E-5</v>
      </c>
      <c r="L195" s="3">
        <f t="shared" si="131"/>
        <v>5.3430093526516889E-5</v>
      </c>
      <c r="M195" s="3">
        <f t="shared" si="131"/>
        <v>5.3430093526516889E-5</v>
      </c>
      <c r="N195" s="3">
        <f t="shared" si="131"/>
        <v>5.3430093526516889E-5</v>
      </c>
      <c r="O195" s="3">
        <f t="shared" si="131"/>
        <v>5.3430093526516889E-5</v>
      </c>
      <c r="P195" s="3">
        <f t="shared" si="131"/>
        <v>5.3430093526516889E-5</v>
      </c>
      <c r="Q195" s="3">
        <f t="shared" si="131"/>
        <v>5.3430093526516889E-5</v>
      </c>
      <c r="R195" s="3">
        <f t="shared" si="131"/>
        <v>5.3430093526516889E-5</v>
      </c>
      <c r="S195" s="3">
        <f t="shared" si="131"/>
        <v>5.3430093526516889E-5</v>
      </c>
      <c r="T195" s="3">
        <f t="shared" si="131"/>
        <v>5.3430093526516889E-5</v>
      </c>
      <c r="U195" s="3">
        <f t="shared" si="131"/>
        <v>5.3430093526516889E-5</v>
      </c>
      <c r="V195" s="3">
        <f t="shared" si="131"/>
        <v>5.3430093526516889E-5</v>
      </c>
      <c r="W195" s="3">
        <f t="shared" si="131"/>
        <v>5.3430093526516889E-5</v>
      </c>
      <c r="X195" s="3">
        <f t="shared" si="131"/>
        <v>5.3430093526516889E-5</v>
      </c>
      <c r="Y195" s="3">
        <f t="shared" si="131"/>
        <v>5.3430093526516889E-5</v>
      </c>
      <c r="Z195" s="3">
        <f t="shared" si="131"/>
        <v>5.3430093526516889E-5</v>
      </c>
      <c r="AA195" s="3">
        <f t="shared" si="131"/>
        <v>5.3430093526516889E-5</v>
      </c>
      <c r="AB195" s="3">
        <f t="shared" si="131"/>
        <v>5.3430093526516889E-5</v>
      </c>
      <c r="AC195" s="3">
        <f t="shared" si="131"/>
        <v>5.3430093526516889E-5</v>
      </c>
      <c r="AD195" s="3">
        <f t="shared" si="131"/>
        <v>5.3430093526516889E-5</v>
      </c>
      <c r="AE195" s="3">
        <f t="shared" si="131"/>
        <v>5.3430093526516889E-5</v>
      </c>
      <c r="AF195" s="3">
        <f t="shared" si="131"/>
        <v>5.3430093526516882E-5</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1.1249816087007928E-3</v>
      </c>
      <c r="C201" s="3">
        <f t="shared" si="137"/>
        <v>1.1249816087007928E-3</v>
      </c>
      <c r="D201" s="3">
        <f t="shared" si="137"/>
        <v>1.1249816087007928E-3</v>
      </c>
      <c r="E201" s="3">
        <f t="shared" si="137"/>
        <v>1.1249816087007928E-3</v>
      </c>
      <c r="F201" s="3">
        <f t="shared" si="137"/>
        <v>1.1249816087007928E-3</v>
      </c>
      <c r="G201" s="3">
        <f t="shared" si="137"/>
        <v>1.1249816087007928E-3</v>
      </c>
      <c r="H201" s="3">
        <f t="shared" si="137"/>
        <v>1.1249816087007928E-3</v>
      </c>
      <c r="I201" s="3">
        <f t="shared" si="137"/>
        <v>1.1249816087007928E-3</v>
      </c>
      <c r="J201" s="3">
        <f t="shared" si="137"/>
        <v>1.1249816087007928E-3</v>
      </c>
      <c r="K201" s="3">
        <f t="shared" si="137"/>
        <v>1.1249816087007928E-3</v>
      </c>
      <c r="L201" s="3">
        <f t="shared" si="137"/>
        <v>1.1249816087007928E-3</v>
      </c>
      <c r="M201" s="3">
        <f t="shared" si="137"/>
        <v>1.1249816087007928E-3</v>
      </c>
      <c r="N201" s="3">
        <f t="shared" si="137"/>
        <v>1.1249816087007928E-3</v>
      </c>
      <c r="O201" s="3">
        <f t="shared" si="137"/>
        <v>1.1249816087007928E-3</v>
      </c>
      <c r="P201" s="3">
        <f t="shared" si="137"/>
        <v>1.1249816087007928E-3</v>
      </c>
      <c r="Q201" s="3">
        <f t="shared" si="137"/>
        <v>1.1249816087007928E-3</v>
      </c>
      <c r="R201" s="3">
        <f t="shared" si="137"/>
        <v>1.1249816087007928E-3</v>
      </c>
      <c r="S201" s="3">
        <f t="shared" si="137"/>
        <v>1.1249816087007928E-3</v>
      </c>
      <c r="T201" s="3">
        <f t="shared" si="137"/>
        <v>1.1249816087007928E-3</v>
      </c>
      <c r="U201" s="3">
        <f t="shared" si="137"/>
        <v>1.1249816087007928E-3</v>
      </c>
      <c r="V201" s="3">
        <f t="shared" si="137"/>
        <v>1.1249816087007928E-3</v>
      </c>
      <c r="W201" s="3">
        <f t="shared" si="137"/>
        <v>1.1249816087007928E-3</v>
      </c>
      <c r="X201" s="3">
        <f t="shared" si="137"/>
        <v>1.1249816087007928E-3</v>
      </c>
      <c r="Y201" s="3">
        <f t="shared" si="137"/>
        <v>1.1249816087007928E-3</v>
      </c>
      <c r="Z201" s="3">
        <f t="shared" si="137"/>
        <v>1.1249816087007928E-3</v>
      </c>
      <c r="AA201" s="3">
        <f t="shared" si="137"/>
        <v>1.1249816087007928E-3</v>
      </c>
      <c r="AB201" s="3">
        <f t="shared" si="137"/>
        <v>1.1249816087007928E-3</v>
      </c>
      <c r="AC201" s="3">
        <f t="shared" si="137"/>
        <v>1.1249816087007928E-3</v>
      </c>
      <c r="AD201" s="3">
        <f t="shared" si="137"/>
        <v>1.1249816087007928E-3</v>
      </c>
      <c r="AE201" s="3">
        <f t="shared" si="137"/>
        <v>1.1249816087007928E-3</v>
      </c>
      <c r="AF201" s="3">
        <f t="shared" si="137"/>
        <v>1.1249816087007928E-3</v>
      </c>
      <c r="AG201" s="3"/>
      <c r="AH201" s="3"/>
    </row>
    <row r="202" spans="1:34" x14ac:dyDescent="0.25">
      <c r="A202" s="79">
        <f>AVERAGE(B202:AF202)</f>
        <v>5.4982600366618721E-2</v>
      </c>
      <c r="B202" s="80">
        <f>IF($A$64&lt;=B168,IF($B$64&gt;=B168,ABS((B170-B169)/B169),0),0)</f>
        <v>9.5600349364303354E-4</v>
      </c>
      <c r="C202" s="80">
        <f t="shared" ref="C202:AF202" si="138">IF($A$64&lt;=C168,IF($B$64&gt;=C168,ABS((C170-C169)/C169),0),0)</f>
        <v>9.6184863695503609E-4</v>
      </c>
      <c r="D202" s="80">
        <f t="shared" si="138"/>
        <v>9.5820424464172088E-4</v>
      </c>
      <c r="E202" s="80">
        <f t="shared" si="138"/>
        <v>9.5692742413109591E-4</v>
      </c>
      <c r="F202" s="80">
        <f t="shared" si="138"/>
        <v>9.549416156627847E-4</v>
      </c>
      <c r="G202" s="80">
        <f t="shared" si="138"/>
        <v>9.3830445517433989E-4</v>
      </c>
      <c r="H202" s="80">
        <f t="shared" si="138"/>
        <v>7.7403415044615125E-4</v>
      </c>
      <c r="I202" s="80">
        <f t="shared" si="138"/>
        <v>8.1216477481106924E-4</v>
      </c>
      <c r="J202" s="80">
        <f t="shared" si="138"/>
        <v>1.436010279825857E-2</v>
      </c>
      <c r="K202" s="80">
        <f t="shared" si="138"/>
        <v>4.538974151390314E-2</v>
      </c>
      <c r="L202" s="80">
        <f t="shared" si="138"/>
        <v>6.7773924073636846E-2</v>
      </c>
      <c r="M202" s="80">
        <f t="shared" si="138"/>
        <v>9.0345537103471957E-2</v>
      </c>
      <c r="N202" s="80">
        <f t="shared" si="138"/>
        <v>0.11677257196689143</v>
      </c>
      <c r="O202" s="80">
        <f t="shared" si="138"/>
        <v>0.14569406814039201</v>
      </c>
      <c r="P202" s="80">
        <f t="shared" si="138"/>
        <v>0.17622129342014212</v>
      </c>
      <c r="Q202" s="80">
        <f t="shared" si="138"/>
        <v>0.17302981611616594</v>
      </c>
      <c r="R202" s="80">
        <f t="shared" si="138"/>
        <v>5.9967244631986015E-2</v>
      </c>
      <c r="S202" s="80">
        <f t="shared" si="138"/>
        <v>0.20691843072855517</v>
      </c>
      <c r="T202" s="80">
        <f t="shared" si="138"/>
        <v>0.17253779059721214</v>
      </c>
      <c r="U202" s="80">
        <f t="shared" si="138"/>
        <v>0.12093539253688915</v>
      </c>
      <c r="V202" s="80">
        <f t="shared" si="138"/>
        <v>5.499137553969824E-2</v>
      </c>
      <c r="W202" s="80">
        <f t="shared" si="138"/>
        <v>7.974262409742602E-3</v>
      </c>
      <c r="X202" s="80">
        <f t="shared" si="138"/>
        <v>4.5797193120149848E-2</v>
      </c>
      <c r="Y202" s="80">
        <f t="shared" si="138"/>
        <v>2.2756244764001038E-2</v>
      </c>
      <c r="Z202" s="80">
        <f t="shared" si="138"/>
        <v>3.4723471581163054E-2</v>
      </c>
      <c r="AA202" s="80">
        <f t="shared" si="138"/>
        <v>3.5269850376525309E-2</v>
      </c>
      <c r="AB202" s="80">
        <f t="shared" si="138"/>
        <v>2.7042632007757608E-2</v>
      </c>
      <c r="AC202" s="80">
        <f t="shared" si="138"/>
        <v>2.177516655040599E-2</v>
      </c>
      <c r="AD202" s="80">
        <f t="shared" si="138"/>
        <v>7.8262452625042014E-3</v>
      </c>
      <c r="AE202" s="80">
        <f t="shared" si="138"/>
        <v>9.7965883451663054E-3</v>
      </c>
      <c r="AF202" s="80">
        <f t="shared" si="138"/>
        <v>3.9249238985096309E-2</v>
      </c>
    </row>
    <row r="203" spans="1:34" x14ac:dyDescent="0.25">
      <c r="B203" s="21">
        <f>(B170-B169)^2</f>
        <v>28.86153394866141</v>
      </c>
      <c r="C203" s="21">
        <f t="shared" ref="C203:AF203" si="139">(C170-C169)^2</f>
        <v>29.215881906931713</v>
      </c>
      <c r="D203" s="21">
        <f t="shared" si="139"/>
        <v>28.994695009738102</v>
      </c>
      <c r="E203" s="21">
        <f t="shared" si="139"/>
        <v>28.917400906582273</v>
      </c>
      <c r="F203" s="21">
        <f t="shared" si="139"/>
        <v>28.797392617071875</v>
      </c>
      <c r="G203" s="21">
        <f t="shared" si="139"/>
        <v>27.801781115158708</v>
      </c>
      <c r="H203" s="21">
        <f t="shared" si="139"/>
        <v>18.913090545408497</v>
      </c>
      <c r="I203" s="21">
        <f t="shared" si="139"/>
        <v>20.756438010940418</v>
      </c>
      <c r="J203" s="21">
        <f t="shared" si="139"/>
        <v>6316.8484184730842</v>
      </c>
      <c r="K203" s="21">
        <f t="shared" si="139"/>
        <v>59419.445465764467</v>
      </c>
      <c r="L203" s="21">
        <f t="shared" si="139"/>
        <v>126980.18651233145</v>
      </c>
      <c r="M203" s="21">
        <f t="shared" si="139"/>
        <v>216396.97196304731</v>
      </c>
      <c r="N203" s="21">
        <f t="shared" si="139"/>
        <v>344576.62829554506</v>
      </c>
      <c r="O203" s="21">
        <f t="shared" si="139"/>
        <v>509278.60892312659</v>
      </c>
      <c r="P203" s="21">
        <f t="shared" si="139"/>
        <v>701636.4422636407</v>
      </c>
      <c r="Q203" s="21">
        <f t="shared" si="139"/>
        <v>632783.32543353422</v>
      </c>
      <c r="R203" s="21">
        <f t="shared" si="139"/>
        <v>70811.065028433863</v>
      </c>
      <c r="S203" s="21">
        <f t="shared" si="139"/>
        <v>785295.64895179984</v>
      </c>
      <c r="T203" s="21">
        <f t="shared" si="139"/>
        <v>501562.60315904272</v>
      </c>
      <c r="U203" s="21">
        <f t="shared" si="139"/>
        <v>218321.65158211326</v>
      </c>
      <c r="V203" s="21">
        <f t="shared" si="139"/>
        <v>39042.250439511285</v>
      </c>
      <c r="W203" s="21">
        <f t="shared" si="139"/>
        <v>718.0928826735942</v>
      </c>
      <c r="X203" s="21">
        <f t="shared" si="139"/>
        <v>21066.294401458545</v>
      </c>
      <c r="Y203" s="21">
        <f t="shared" si="139"/>
        <v>4625.9766316053319</v>
      </c>
      <c r="Z203" s="21">
        <f t="shared" si="139"/>
        <v>9639.1654163037183</v>
      </c>
      <c r="AA203" s="21">
        <f t="shared" si="139"/>
        <v>8869.2171452511411</v>
      </c>
      <c r="AB203" s="21">
        <f t="shared" si="139"/>
        <v>4627.7268106680485</v>
      </c>
      <c r="AC203" s="21">
        <f t="shared" si="139"/>
        <v>2589.0028317488491</v>
      </c>
      <c r="AD203" s="21">
        <f t="shared" si="139"/>
        <v>283.22574928322763</v>
      </c>
      <c r="AE203" s="21">
        <f t="shared" si="139"/>
        <v>361.39718983938997</v>
      </c>
      <c r="AF203" s="21">
        <f t="shared" si="139"/>
        <v>4468.8432464722982</v>
      </c>
      <c r="AG203" s="3"/>
      <c r="AH203" s="3"/>
    </row>
    <row r="204" spans="1:34" x14ac:dyDescent="0.25">
      <c r="A204" s="71">
        <f>SUM(B204:AF204)</f>
        <v>4269882.8769557271</v>
      </c>
      <c r="B204" s="60">
        <f>IF($A$64&lt;=B168,IF($B$64&gt;=B168,ABS(B203),0),0)</f>
        <v>28.86153394866141</v>
      </c>
      <c r="C204" s="60">
        <f t="shared" ref="C204" si="140">IF($A$64&lt;=C168,IF($B$64&gt;=C168,ABS(C203),0),0)</f>
        <v>29.215881906931713</v>
      </c>
      <c r="D204" s="60">
        <f t="shared" ref="D204" si="141">IF($A$64&lt;=D168,IF($B$64&gt;=D168,ABS(D203),0),0)</f>
        <v>28.994695009738102</v>
      </c>
      <c r="E204" s="60">
        <f t="shared" ref="E204" si="142">IF($A$64&lt;=E168,IF($B$64&gt;=E168,ABS(E203),0),0)</f>
        <v>28.917400906582273</v>
      </c>
      <c r="F204" s="60">
        <f t="shared" ref="F204" si="143">IF($A$64&lt;=F168,IF($B$64&gt;=F168,ABS(F203),0),0)</f>
        <v>28.797392617071875</v>
      </c>
      <c r="G204" s="60">
        <f t="shared" ref="G204" si="144">IF($A$64&lt;=G168,IF($B$64&gt;=G168,ABS(G203),0),0)</f>
        <v>27.801781115158708</v>
      </c>
      <c r="H204" s="60">
        <f t="shared" ref="H204" si="145">IF($A$64&lt;=H168,IF($B$64&gt;=H168,ABS(H203),0),0)</f>
        <v>18.913090545408497</v>
      </c>
      <c r="I204" s="60">
        <f t="shared" ref="I204" si="146">IF($A$64&lt;=I168,IF($B$64&gt;=I168,ABS(I203),0),0)</f>
        <v>20.756438010940418</v>
      </c>
      <c r="J204" s="60">
        <f t="shared" ref="J204" si="147">IF($A$64&lt;=J168,IF($B$64&gt;=J168,ABS(J203),0),0)</f>
        <v>6316.8484184730842</v>
      </c>
      <c r="K204" s="60">
        <f t="shared" ref="K204" si="148">IF($A$64&lt;=K168,IF($B$64&gt;=K168,ABS(K203),0),0)</f>
        <v>59419.445465764467</v>
      </c>
      <c r="L204" s="60">
        <f t="shared" ref="L204" si="149">IF($A$64&lt;=L168,IF($B$64&gt;=L168,ABS(L203),0),0)</f>
        <v>126980.18651233145</v>
      </c>
      <c r="M204" s="60">
        <f t="shared" ref="M204" si="150">IF($A$64&lt;=M168,IF($B$64&gt;=M168,ABS(M203),0),0)</f>
        <v>216396.97196304731</v>
      </c>
      <c r="N204" s="60">
        <f t="shared" ref="N204" si="151">IF($A$64&lt;=N168,IF($B$64&gt;=N168,ABS(N203),0),0)</f>
        <v>344576.62829554506</v>
      </c>
      <c r="O204" s="60">
        <f t="shared" ref="O204" si="152">IF($A$64&lt;=O168,IF($B$64&gt;=O168,ABS(O203),0),0)</f>
        <v>509278.60892312659</v>
      </c>
      <c r="P204" s="60">
        <f t="shared" ref="P204" si="153">IF($A$64&lt;=P168,IF($B$64&gt;=P168,ABS(P203),0),0)</f>
        <v>701636.4422636407</v>
      </c>
      <c r="Q204" s="60">
        <f t="shared" ref="Q204" si="154">IF($A$64&lt;=Q168,IF($B$64&gt;=Q168,ABS(Q203),0),0)</f>
        <v>632783.32543353422</v>
      </c>
      <c r="R204" s="60">
        <f t="shared" ref="R204" si="155">IF($A$64&lt;=R168,IF($B$64&gt;=R168,ABS(R203),0),0)</f>
        <v>70811.065028433863</v>
      </c>
      <c r="S204" s="60">
        <f t="shared" ref="S204" si="156">IF($A$64&lt;=S168,IF($B$64&gt;=S168,ABS(S203),0),0)</f>
        <v>785295.64895179984</v>
      </c>
      <c r="T204" s="60">
        <f t="shared" ref="T204" si="157">IF($A$64&lt;=T168,IF($B$64&gt;=T168,ABS(T203),0),0)</f>
        <v>501562.60315904272</v>
      </c>
      <c r="U204" s="60">
        <f t="shared" ref="U204" si="158">IF($A$64&lt;=U168,IF($B$64&gt;=U168,ABS(U203),0),0)</f>
        <v>218321.65158211326</v>
      </c>
      <c r="V204" s="60">
        <f t="shared" ref="V204" si="159">IF($A$64&lt;=V168,IF($B$64&gt;=V168,ABS(V203),0),0)</f>
        <v>39042.250439511285</v>
      </c>
      <c r="W204" s="60">
        <f t="shared" ref="W204" si="160">IF($A$64&lt;=W168,IF($B$64&gt;=W168,ABS(W203),0),0)</f>
        <v>718.0928826735942</v>
      </c>
      <c r="X204" s="60">
        <f t="shared" ref="X204" si="161">IF($A$64&lt;=X168,IF($B$64&gt;=X168,ABS(X203),0),0)</f>
        <v>21066.294401458545</v>
      </c>
      <c r="Y204" s="60">
        <f t="shared" ref="Y204" si="162">IF($A$64&lt;=Y168,IF($B$64&gt;=Y168,ABS(Y203),0),0)</f>
        <v>4625.9766316053319</v>
      </c>
      <c r="Z204" s="60">
        <f t="shared" ref="Z204" si="163">IF($A$64&lt;=Z168,IF($B$64&gt;=Z168,ABS(Z203),0),0)</f>
        <v>9639.1654163037183</v>
      </c>
      <c r="AA204" s="60">
        <f t="shared" ref="AA204" si="164">IF($A$64&lt;=AA168,IF($B$64&gt;=AA168,ABS(AA203),0),0)</f>
        <v>8869.2171452511411</v>
      </c>
      <c r="AB204" s="60">
        <f t="shared" ref="AB204" si="165">IF($A$64&lt;=AB168,IF($B$64&gt;=AB168,ABS(AB203),0),0)</f>
        <v>4627.7268106680485</v>
      </c>
      <c r="AC204" s="60">
        <f t="shared" ref="AC204" si="166">IF($A$64&lt;=AC168,IF($B$64&gt;=AC168,ABS(AC203),0),0)</f>
        <v>2589.0028317488491</v>
      </c>
      <c r="AD204" s="60">
        <f t="shared" ref="AD204" si="167">IF($A$64&lt;=AD168,IF($B$64&gt;=AD168,ABS(AD203),0),0)</f>
        <v>283.22574928322763</v>
      </c>
      <c r="AE204" s="60">
        <f t="shared" ref="AE204" si="168">IF($A$64&lt;=AE168,IF($B$64&gt;=AE168,ABS(AE203),0),0)</f>
        <v>361.39718983938997</v>
      </c>
      <c r="AF204" s="60">
        <f t="shared" ref="AF204" si="169">IF($A$64&lt;=AF168,IF($B$64&gt;=AF168,ABS(AF203),0),0)</f>
        <v>4468.8432464722982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0" t="s">
        <v>22</v>
      </c>
      <c r="B209" s="27">
        <f>($C$17+SUM(B210:B240))*$B$51</f>
        <v>5614.1606999998166</v>
      </c>
      <c r="C209" s="27">
        <f t="shared" ref="C209:AF209" si="170">($C$17+SUM(C210:C240))*$B$51</f>
        <v>5614.1606999981686</v>
      </c>
      <c r="D209" s="27">
        <f t="shared" si="170"/>
        <v>5614.1606999816831</v>
      </c>
      <c r="E209" s="27">
        <f t="shared" si="170"/>
        <v>5614.1606998168309</v>
      </c>
      <c r="F209" s="27">
        <f t="shared" si="170"/>
        <v>5614.1606981683117</v>
      </c>
      <c r="G209" s="27">
        <f t="shared" si="170"/>
        <v>5614.1606816831209</v>
      </c>
      <c r="H209" s="27">
        <f t="shared" si="170"/>
        <v>5614.1605168312162</v>
      </c>
      <c r="I209" s="27">
        <f t="shared" si="170"/>
        <v>5614.1588683128448</v>
      </c>
      <c r="J209" s="27">
        <f t="shared" si="170"/>
        <v>5614.142383196533</v>
      </c>
      <c r="K209" s="27">
        <f t="shared" si="170"/>
        <v>5613.9775387730451</v>
      </c>
      <c r="L209" s="27">
        <f t="shared" si="170"/>
        <v>5612.3297683161654</v>
      </c>
      <c r="M209" s="27">
        <f t="shared" si="170"/>
        <v>5595.9192565989597</v>
      </c>
      <c r="N209" s="27">
        <f t="shared" si="170"/>
        <v>5438.3522351413485</v>
      </c>
      <c r="O209" s="27">
        <f t="shared" si="170"/>
        <v>4367.4226696286578</v>
      </c>
      <c r="P209" s="27">
        <f t="shared" si="170"/>
        <v>3397.0425855812164</v>
      </c>
      <c r="Q209" s="27">
        <f t="shared" si="170"/>
        <v>3396.4620437857361</v>
      </c>
      <c r="R209" s="27">
        <f t="shared" si="170"/>
        <v>3396.3961299372331</v>
      </c>
      <c r="S209" s="27">
        <f t="shared" si="170"/>
        <v>3395.7376606289749</v>
      </c>
      <c r="T209" s="27">
        <f t="shared" si="170"/>
        <v>3389.2194172926424</v>
      </c>
      <c r="U209" s="27">
        <f t="shared" si="170"/>
        <v>3330.2377856490889</v>
      </c>
      <c r="V209" s="27">
        <f t="shared" si="170"/>
        <v>3079.9552030273012</v>
      </c>
      <c r="W209" s="27">
        <f t="shared" si="170"/>
        <v>2939.5992660452744</v>
      </c>
      <c r="X209" s="27">
        <f t="shared" si="170"/>
        <v>2783.3480234870449</v>
      </c>
      <c r="Y209" s="27">
        <f t="shared" si="170"/>
        <v>2604.8475773860227</v>
      </c>
      <c r="Z209" s="27">
        <f t="shared" si="170"/>
        <v>2411.2803698155794</v>
      </c>
      <c r="AA209" s="27">
        <f t="shared" si="170"/>
        <v>2194.3296441248267</v>
      </c>
      <c r="AB209" s="27">
        <f t="shared" si="170"/>
        <v>1952.0373669733999</v>
      </c>
      <c r="AC209" s="27">
        <f t="shared" si="170"/>
        <v>1672.17377562811</v>
      </c>
      <c r="AD209" s="27">
        <f t="shared" si="170"/>
        <v>1350.6976015379607</v>
      </c>
      <c r="AE209" s="27">
        <f t="shared" si="170"/>
        <v>1013.9132890389033</v>
      </c>
      <c r="AF209" s="27">
        <f t="shared" si="170"/>
        <v>715.40428045226884</v>
      </c>
      <c r="AG209" s="27"/>
      <c r="AH209" s="27"/>
    </row>
    <row r="210" spans="1:34" x14ac:dyDescent="0.25">
      <c r="B210" s="3">
        <f t="shared" ref="B210:AF210" si="171">$C18*EXP(-B$207/$A18/EXP(-$D$126))</f>
        <v>0.39501743006778667</v>
      </c>
      <c r="C210" s="3">
        <f t="shared" si="171"/>
        <v>0.39501743006749307</v>
      </c>
      <c r="D210" s="3">
        <f t="shared" si="171"/>
        <v>0.3950174300645567</v>
      </c>
      <c r="E210" s="3">
        <f t="shared" si="171"/>
        <v>0.39501743003519307</v>
      </c>
      <c r="F210" s="3">
        <f t="shared" si="171"/>
        <v>0.39501742974155724</v>
      </c>
      <c r="G210" s="3">
        <f t="shared" si="171"/>
        <v>0.39501742680519836</v>
      </c>
      <c r="H210" s="3">
        <f t="shared" si="171"/>
        <v>0.39501739744161102</v>
      </c>
      <c r="I210" s="3">
        <f t="shared" si="171"/>
        <v>0.39501710380585792</v>
      </c>
      <c r="J210" s="3">
        <f t="shared" si="171"/>
        <v>0.39501416746033213</v>
      </c>
      <c r="K210" s="3">
        <f t="shared" si="171"/>
        <v>0.39498480520554397</v>
      </c>
      <c r="L210" s="3">
        <f t="shared" si="171"/>
        <v>0.39469130267168179</v>
      </c>
      <c r="M210" s="3">
        <f t="shared" si="171"/>
        <v>0.39176824579196101</v>
      </c>
      <c r="N210" s="3">
        <f t="shared" si="171"/>
        <v>0.36370224923694944</v>
      </c>
      <c r="O210" s="3">
        <f t="shared" si="171"/>
        <v>0.17294720020684071</v>
      </c>
      <c r="P210" s="3">
        <f t="shared" si="171"/>
        <v>1.0223251019221713E-4</v>
      </c>
      <c r="Q210" s="3">
        <f t="shared" si="171"/>
        <v>5.3252979555099239E-37</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5.9661445570693118E-2</v>
      </c>
      <c r="C211" s="3">
        <f t="shared" si="172"/>
        <v>5.9661445570693118E-2</v>
      </c>
      <c r="D211" s="3">
        <f t="shared" si="172"/>
        <v>5.9661445570693118E-2</v>
      </c>
      <c r="E211" s="3">
        <f t="shared" si="172"/>
        <v>5.9661445570693118E-2</v>
      </c>
      <c r="F211" s="3">
        <f t="shared" si="172"/>
        <v>5.9661445570693104E-2</v>
      </c>
      <c r="G211" s="3">
        <f t="shared" si="172"/>
        <v>5.9661445570692993E-2</v>
      </c>
      <c r="H211" s="3">
        <f t="shared" si="172"/>
        <v>5.9661445570691855E-2</v>
      </c>
      <c r="I211" s="3">
        <f t="shared" si="172"/>
        <v>5.9661445570680496E-2</v>
      </c>
      <c r="J211" s="3">
        <f t="shared" si="172"/>
        <v>5.9661445570566893E-2</v>
      </c>
      <c r="K211" s="3">
        <f t="shared" si="172"/>
        <v>5.9661445569430864E-2</v>
      </c>
      <c r="L211" s="3">
        <f t="shared" si="172"/>
        <v>5.9661445558070597E-2</v>
      </c>
      <c r="M211" s="3">
        <f t="shared" si="172"/>
        <v>5.9661445444467921E-2</v>
      </c>
      <c r="N211" s="3">
        <f t="shared" si="172"/>
        <v>5.9661444308441197E-2</v>
      </c>
      <c r="O211" s="3">
        <f t="shared" si="172"/>
        <v>5.9661432948175094E-2</v>
      </c>
      <c r="P211" s="3">
        <f t="shared" si="172"/>
        <v>5.9661319345633096E-2</v>
      </c>
      <c r="Q211" s="3">
        <f t="shared" si="172"/>
        <v>5.9660183332110192E-2</v>
      </c>
      <c r="R211" s="3">
        <f t="shared" si="172"/>
        <v>5.9648824386511486E-2</v>
      </c>
      <c r="S211" s="3">
        <f t="shared" si="172"/>
        <v>5.9535353809788367E-2</v>
      </c>
      <c r="T211" s="3">
        <f t="shared" si="172"/>
        <v>5.8412452640389939E-2</v>
      </c>
      <c r="U211" s="3">
        <f t="shared" si="172"/>
        <v>4.8284803894604204E-2</v>
      </c>
      <c r="V211" s="3">
        <f t="shared" si="172"/>
        <v>7.1921837026656691E-3</v>
      </c>
      <c r="W211" s="3">
        <f t="shared" si="172"/>
        <v>3.8669073697445478E-11</v>
      </c>
      <c r="X211" s="3">
        <f t="shared" si="172"/>
        <v>7.8053744266563971E-94</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1.9174474308937255E-2</v>
      </c>
      <c r="C212" s="3">
        <f t="shared" si="173"/>
        <v>1.9174474308937255E-2</v>
      </c>
      <c r="D212" s="3">
        <f t="shared" si="173"/>
        <v>1.9174474308937255E-2</v>
      </c>
      <c r="E212" s="3">
        <f t="shared" si="173"/>
        <v>1.9174474308937255E-2</v>
      </c>
      <c r="F212" s="3">
        <f t="shared" si="173"/>
        <v>1.9174474308937255E-2</v>
      </c>
      <c r="G212" s="3">
        <f t="shared" si="173"/>
        <v>1.9174474308937251E-2</v>
      </c>
      <c r="H212" s="3">
        <f t="shared" si="173"/>
        <v>1.917447430893722E-2</v>
      </c>
      <c r="I212" s="3">
        <f t="shared" si="173"/>
        <v>1.9174474308936887E-2</v>
      </c>
      <c r="J212" s="3">
        <f t="shared" si="173"/>
        <v>1.9174474308933594E-2</v>
      </c>
      <c r="K212" s="3">
        <f t="shared" si="173"/>
        <v>1.9174474308900659E-2</v>
      </c>
      <c r="L212" s="3">
        <f t="shared" si="173"/>
        <v>1.9174474308571304E-2</v>
      </c>
      <c r="M212" s="3">
        <f t="shared" si="173"/>
        <v>1.9174474305277751E-2</v>
      </c>
      <c r="N212" s="3">
        <f t="shared" si="173"/>
        <v>1.9174474272342205E-2</v>
      </c>
      <c r="O212" s="3">
        <f t="shared" si="173"/>
        <v>1.9174473942986769E-2</v>
      </c>
      <c r="P212" s="3">
        <f t="shared" si="173"/>
        <v>1.9174470649432725E-2</v>
      </c>
      <c r="Q212" s="3">
        <f t="shared" si="173"/>
        <v>1.9174437713923395E-2</v>
      </c>
      <c r="R212" s="3">
        <f t="shared" si="173"/>
        <v>1.9174108361941566E-2</v>
      </c>
      <c r="S212" s="3">
        <f t="shared" si="173"/>
        <v>1.9170815153250642E-2</v>
      </c>
      <c r="T212" s="3">
        <f t="shared" si="173"/>
        <v>1.9137914159315369E-2</v>
      </c>
      <c r="U212" s="3">
        <f t="shared" si="173"/>
        <v>1.8811993846984173E-2</v>
      </c>
      <c r="V212" s="3">
        <f t="shared" si="173"/>
        <v>1.5842987716995265E-2</v>
      </c>
      <c r="W212" s="3">
        <f t="shared" si="173"/>
        <v>2.8435420848799708E-3</v>
      </c>
      <c r="X212" s="3">
        <f t="shared" si="173"/>
        <v>9.8647346537185704E-11</v>
      </c>
      <c r="Y212" s="3">
        <f t="shared" si="173"/>
        <v>2.4908230965122946E-85</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3.042813256492289E-2</v>
      </c>
      <c r="C213" s="3">
        <f t="shared" si="174"/>
        <v>3.042813256492289E-2</v>
      </c>
      <c r="D213" s="3">
        <f t="shared" si="174"/>
        <v>3.042813256492289E-2</v>
      </c>
      <c r="E213" s="3">
        <f t="shared" si="174"/>
        <v>3.042813256492289E-2</v>
      </c>
      <c r="F213" s="3">
        <f t="shared" si="174"/>
        <v>3.042813256492289E-2</v>
      </c>
      <c r="G213" s="3">
        <f t="shared" si="174"/>
        <v>3.042813256492289E-2</v>
      </c>
      <c r="H213" s="3">
        <f t="shared" si="174"/>
        <v>3.0428132564922883E-2</v>
      </c>
      <c r="I213" s="3">
        <f t="shared" si="174"/>
        <v>3.0428132564922834E-2</v>
      </c>
      <c r="J213" s="3">
        <f t="shared" si="174"/>
        <v>3.0428132564922366E-2</v>
      </c>
      <c r="K213" s="3">
        <f t="shared" si="174"/>
        <v>3.0428132564917651E-2</v>
      </c>
      <c r="L213" s="3">
        <f t="shared" si="174"/>
        <v>3.0428132564870505E-2</v>
      </c>
      <c r="M213" s="3">
        <f t="shared" si="174"/>
        <v>3.0428132564399021E-2</v>
      </c>
      <c r="N213" s="3">
        <f t="shared" si="174"/>
        <v>3.0428132559684223E-2</v>
      </c>
      <c r="O213" s="3">
        <f t="shared" si="174"/>
        <v>3.0428132512536222E-2</v>
      </c>
      <c r="P213" s="3">
        <f t="shared" si="174"/>
        <v>3.0428132041056238E-2</v>
      </c>
      <c r="Q213" s="3">
        <f t="shared" si="174"/>
        <v>3.0428127326256802E-2</v>
      </c>
      <c r="R213" s="3">
        <f t="shared" si="174"/>
        <v>3.0428080178302588E-2</v>
      </c>
      <c r="S213" s="3">
        <f t="shared" si="174"/>
        <v>3.0427608702778466E-2</v>
      </c>
      <c r="T213" s="3">
        <f t="shared" si="174"/>
        <v>3.0422894349315329E-2</v>
      </c>
      <c r="U213" s="3">
        <f t="shared" si="174"/>
        <v>3.0375790969468536E-2</v>
      </c>
      <c r="V213" s="3">
        <f t="shared" si="174"/>
        <v>2.9908749723412884E-2</v>
      </c>
      <c r="W213" s="3">
        <f t="shared" si="174"/>
        <v>2.5615620996571178E-2</v>
      </c>
      <c r="X213" s="3">
        <f t="shared" si="174"/>
        <v>5.439652942494687E-3</v>
      </c>
      <c r="Y213" s="3">
        <f t="shared" si="174"/>
        <v>1.0144583540497645E-9</v>
      </c>
      <c r="Z213" s="3">
        <f t="shared" si="174"/>
        <v>5.1625531052702671E-77</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3.3546614570255213E-2</v>
      </c>
      <c r="C214" s="3">
        <f t="shared" si="175"/>
        <v>3.3546614570255213E-2</v>
      </c>
      <c r="D214" s="3">
        <f t="shared" si="175"/>
        <v>3.3546614570255213E-2</v>
      </c>
      <c r="E214" s="3">
        <f t="shared" si="175"/>
        <v>3.3546614570255213E-2</v>
      </c>
      <c r="F214" s="3">
        <f t="shared" si="175"/>
        <v>3.3546614570255213E-2</v>
      </c>
      <c r="G214" s="3">
        <f t="shared" si="175"/>
        <v>3.3546614570255213E-2</v>
      </c>
      <c r="H214" s="3">
        <f t="shared" si="175"/>
        <v>3.3546614570255213E-2</v>
      </c>
      <c r="I214" s="3">
        <f t="shared" si="175"/>
        <v>3.3546614570255207E-2</v>
      </c>
      <c r="J214" s="3">
        <f t="shared" si="175"/>
        <v>3.3546614570255158E-2</v>
      </c>
      <c r="K214" s="3">
        <f t="shared" si="175"/>
        <v>3.3546614570254693E-2</v>
      </c>
      <c r="L214" s="3">
        <f t="shared" si="175"/>
        <v>3.3546614570250002E-2</v>
      </c>
      <c r="M214" s="3">
        <f t="shared" si="175"/>
        <v>3.3546614570203109E-2</v>
      </c>
      <c r="N214" s="3">
        <f t="shared" si="175"/>
        <v>3.3546614569734214E-2</v>
      </c>
      <c r="O214" s="3">
        <f t="shared" si="175"/>
        <v>3.354661456504518E-2</v>
      </c>
      <c r="P214" s="3">
        <f t="shared" si="175"/>
        <v>3.3546614518154848E-2</v>
      </c>
      <c r="Q214" s="3">
        <f t="shared" si="175"/>
        <v>3.3546614049251591E-2</v>
      </c>
      <c r="R214" s="3">
        <f t="shared" si="175"/>
        <v>3.3546609360219366E-2</v>
      </c>
      <c r="S214" s="3">
        <f t="shared" si="175"/>
        <v>3.3546562469933157E-2</v>
      </c>
      <c r="T214" s="3">
        <f t="shared" si="175"/>
        <v>3.3546093570675853E-2</v>
      </c>
      <c r="U214" s="3">
        <f t="shared" si="175"/>
        <v>3.3541404938561538E-2</v>
      </c>
      <c r="V214" s="3">
        <f t="shared" si="175"/>
        <v>3.349455464465597E-2</v>
      </c>
      <c r="W214" s="3">
        <f t="shared" si="175"/>
        <v>3.3029635866488889E-2</v>
      </c>
      <c r="X214" s="3">
        <f t="shared" si="175"/>
        <v>2.8721000737340269E-2</v>
      </c>
      <c r="Y214" s="3">
        <f t="shared" si="175"/>
        <v>7.0983496964822325E-3</v>
      </c>
      <c r="Z214" s="3">
        <f t="shared" si="175"/>
        <v>6.0358107999476696E-9</v>
      </c>
      <c r="AA214" s="3">
        <f t="shared" si="175"/>
        <v>1.1926633880548995E-69</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3.6056553536874446E-2</v>
      </c>
      <c r="C215" s="3">
        <f t="shared" si="176"/>
        <v>3.6056553536874446E-2</v>
      </c>
      <c r="D215" s="3">
        <f t="shared" si="176"/>
        <v>3.6056553536874446E-2</v>
      </c>
      <c r="E215" s="3">
        <f t="shared" si="176"/>
        <v>3.6056553536874446E-2</v>
      </c>
      <c r="F215" s="3">
        <f t="shared" si="176"/>
        <v>3.6056553536874446E-2</v>
      </c>
      <c r="G215" s="3">
        <f t="shared" si="176"/>
        <v>3.6056553536874446E-2</v>
      </c>
      <c r="H215" s="3">
        <f t="shared" si="176"/>
        <v>3.6056553536874446E-2</v>
      </c>
      <c r="I215" s="3">
        <f t="shared" si="176"/>
        <v>3.6056553536874446E-2</v>
      </c>
      <c r="J215" s="3">
        <f t="shared" si="176"/>
        <v>3.6056553536874439E-2</v>
      </c>
      <c r="K215" s="3">
        <f t="shared" si="176"/>
        <v>3.6056553536874397E-2</v>
      </c>
      <c r="L215" s="3">
        <f t="shared" si="176"/>
        <v>3.6056553536873939E-2</v>
      </c>
      <c r="M215" s="3">
        <f t="shared" si="176"/>
        <v>3.6056553536869394E-2</v>
      </c>
      <c r="N215" s="3">
        <f t="shared" si="176"/>
        <v>3.6056553536823931E-2</v>
      </c>
      <c r="O215" s="3">
        <f t="shared" si="176"/>
        <v>3.6056553536369294E-2</v>
      </c>
      <c r="P215" s="3">
        <f t="shared" si="176"/>
        <v>3.6056553531822917E-2</v>
      </c>
      <c r="Q215" s="3">
        <f t="shared" si="176"/>
        <v>3.6056553486359152E-2</v>
      </c>
      <c r="R215" s="3">
        <f t="shared" si="176"/>
        <v>3.6056553031721554E-2</v>
      </c>
      <c r="S215" s="3">
        <f t="shared" si="176"/>
        <v>3.6056548485345813E-2</v>
      </c>
      <c r="T215" s="3">
        <f t="shared" si="176"/>
        <v>3.6056503021619959E-2</v>
      </c>
      <c r="U215" s="3">
        <f t="shared" si="176"/>
        <v>3.6056048387514292E-2</v>
      </c>
      <c r="V215" s="3">
        <f t="shared" si="176"/>
        <v>3.6051502361730527E-2</v>
      </c>
      <c r="W215" s="3">
        <f t="shared" si="176"/>
        <v>3.6006073616482302E-2</v>
      </c>
      <c r="X215" s="3">
        <f t="shared" si="176"/>
        <v>3.5554922770714224E-2</v>
      </c>
      <c r="Y215" s="3">
        <f t="shared" si="176"/>
        <v>3.1342922234085593E-2</v>
      </c>
      <c r="Z215" s="3">
        <f t="shared" si="176"/>
        <v>8.8825352607918417E-3</v>
      </c>
      <c r="AA215" s="3">
        <f t="shared" si="176"/>
        <v>2.9683252777275429E-8</v>
      </c>
      <c r="AB215" s="3">
        <f t="shared" si="176"/>
        <v>5.1553362095763671E-63</v>
      </c>
      <c r="AC215" s="3">
        <f t="shared" si="176"/>
        <v>0</v>
      </c>
      <c r="AD215" s="3">
        <f t="shared" si="176"/>
        <v>0</v>
      </c>
      <c r="AE215" s="3">
        <f t="shared" si="176"/>
        <v>0</v>
      </c>
      <c r="AF215" s="3">
        <f t="shared" si="176"/>
        <v>0</v>
      </c>
      <c r="AG215" s="3"/>
      <c r="AH215" s="3"/>
    </row>
    <row r="216" spans="1:34" x14ac:dyDescent="0.25">
      <c r="B216" s="3">
        <f t="shared" ref="B216:AF216" si="177">$C24*EXP(-B$207/$A24/EXP(-$D$126))</f>
        <v>4.1431742608178009E-2</v>
      </c>
      <c r="C216" s="3">
        <f t="shared" si="177"/>
        <v>4.1431742608178009E-2</v>
      </c>
      <c r="D216" s="3">
        <f t="shared" si="177"/>
        <v>4.1431742608178009E-2</v>
      </c>
      <c r="E216" s="3">
        <f t="shared" si="177"/>
        <v>4.1431742608178009E-2</v>
      </c>
      <c r="F216" s="3">
        <f t="shared" si="177"/>
        <v>4.1431742608178009E-2</v>
      </c>
      <c r="G216" s="3">
        <f t="shared" si="177"/>
        <v>4.1431742608178009E-2</v>
      </c>
      <c r="H216" s="3">
        <f t="shared" si="177"/>
        <v>4.1431742608178009E-2</v>
      </c>
      <c r="I216" s="3">
        <f t="shared" si="177"/>
        <v>4.1431742608178009E-2</v>
      </c>
      <c r="J216" s="3">
        <f t="shared" si="177"/>
        <v>4.1431742608178009E-2</v>
      </c>
      <c r="K216" s="3">
        <f t="shared" si="177"/>
        <v>4.1431742608178002E-2</v>
      </c>
      <c r="L216" s="3">
        <f t="shared" si="177"/>
        <v>4.143174260817796E-2</v>
      </c>
      <c r="M216" s="3">
        <f t="shared" si="177"/>
        <v>4.1431742608177481E-2</v>
      </c>
      <c r="N216" s="3">
        <f t="shared" si="177"/>
        <v>4.1431742608172777E-2</v>
      </c>
      <c r="O216" s="3">
        <f t="shared" si="177"/>
        <v>4.1431742608125648E-2</v>
      </c>
      <c r="P216" s="3">
        <f t="shared" si="177"/>
        <v>4.1431742607654386E-2</v>
      </c>
      <c r="Q216" s="3">
        <f t="shared" si="177"/>
        <v>4.143174260294178E-2</v>
      </c>
      <c r="R216" s="3">
        <f t="shared" si="177"/>
        <v>4.1431742555815741E-2</v>
      </c>
      <c r="S216" s="3">
        <f t="shared" si="177"/>
        <v>4.1431742084555356E-2</v>
      </c>
      <c r="T216" s="3">
        <f t="shared" si="177"/>
        <v>4.1431737371951799E-2</v>
      </c>
      <c r="U216" s="3">
        <f t="shared" si="177"/>
        <v>4.1431690245945646E-2</v>
      </c>
      <c r="V216" s="3">
        <f t="shared" si="177"/>
        <v>4.14312189888323E-2</v>
      </c>
      <c r="W216" s="3">
        <f t="shared" si="177"/>
        <v>4.1426506712501282E-2</v>
      </c>
      <c r="X216" s="3">
        <f t="shared" si="177"/>
        <v>4.1379413417030879E-2</v>
      </c>
      <c r="Y216" s="3">
        <f t="shared" si="177"/>
        <v>4.0911414882345495E-2</v>
      </c>
      <c r="Z216" s="3">
        <f t="shared" si="177"/>
        <v>3.6512888778719929E-2</v>
      </c>
      <c r="AA216" s="3">
        <f t="shared" si="177"/>
        <v>1.170747239790865E-2</v>
      </c>
      <c r="AB216" s="3">
        <f t="shared" si="177"/>
        <v>1.3447223572285042E-7</v>
      </c>
      <c r="AC216" s="3">
        <f t="shared" si="177"/>
        <v>5.3743686704231135E-57</v>
      </c>
      <c r="AD216" s="3">
        <f t="shared" si="177"/>
        <v>0</v>
      </c>
      <c r="AE216" s="3">
        <f t="shared" si="177"/>
        <v>0</v>
      </c>
      <c r="AF216" s="3">
        <f t="shared" si="177"/>
        <v>0</v>
      </c>
      <c r="AG216" s="3"/>
      <c r="AH216" s="3"/>
    </row>
    <row r="217" spans="1:34" x14ac:dyDescent="0.25">
      <c r="B217" s="3">
        <f t="shared" ref="B217:AF217" si="178">$C25*EXP(-B$207/$A25/EXP(-$D$126))</f>
        <v>4.558861375636767E-2</v>
      </c>
      <c r="C217" s="3">
        <f t="shared" si="178"/>
        <v>4.558861375636767E-2</v>
      </c>
      <c r="D217" s="3">
        <f t="shared" si="178"/>
        <v>4.558861375636767E-2</v>
      </c>
      <c r="E217" s="3">
        <f t="shared" si="178"/>
        <v>4.558861375636767E-2</v>
      </c>
      <c r="F217" s="3">
        <f t="shared" si="178"/>
        <v>4.558861375636767E-2</v>
      </c>
      <c r="G217" s="3">
        <f t="shared" si="178"/>
        <v>4.558861375636767E-2</v>
      </c>
      <c r="H217" s="3">
        <f t="shared" si="178"/>
        <v>4.558861375636767E-2</v>
      </c>
      <c r="I217" s="3">
        <f t="shared" si="178"/>
        <v>4.558861375636767E-2</v>
      </c>
      <c r="J217" s="3">
        <f t="shared" si="178"/>
        <v>4.558861375636767E-2</v>
      </c>
      <c r="K217" s="3">
        <f t="shared" si="178"/>
        <v>4.558861375636767E-2</v>
      </c>
      <c r="L217" s="3">
        <f t="shared" si="178"/>
        <v>4.5588613756367663E-2</v>
      </c>
      <c r="M217" s="3">
        <f t="shared" si="178"/>
        <v>4.5588613756367621E-2</v>
      </c>
      <c r="N217" s="3">
        <f t="shared" si="178"/>
        <v>4.558861375636715E-2</v>
      </c>
      <c r="O217" s="3">
        <f t="shared" si="178"/>
        <v>4.5588613756362473E-2</v>
      </c>
      <c r="P217" s="3">
        <f t="shared" si="178"/>
        <v>4.5588613756315698E-2</v>
      </c>
      <c r="Q217" s="3">
        <f t="shared" si="178"/>
        <v>4.5588613755847933E-2</v>
      </c>
      <c r="R217" s="3">
        <f t="shared" si="178"/>
        <v>4.5588613751170251E-2</v>
      </c>
      <c r="S217" s="3">
        <f t="shared" si="178"/>
        <v>4.5588613704393419E-2</v>
      </c>
      <c r="T217" s="3">
        <f t="shared" si="178"/>
        <v>4.5588613236625206E-2</v>
      </c>
      <c r="U217" s="3">
        <f t="shared" si="178"/>
        <v>4.5588608558943276E-2</v>
      </c>
      <c r="V217" s="3">
        <f t="shared" si="178"/>
        <v>4.5588561782150365E-2</v>
      </c>
      <c r="W217" s="3">
        <f t="shared" si="178"/>
        <v>4.5588094016861022E-2</v>
      </c>
      <c r="X217" s="3">
        <f t="shared" si="178"/>
        <v>4.558341662793447E-2</v>
      </c>
      <c r="Y217" s="3">
        <f t="shared" si="178"/>
        <v>4.5536669125336798E-2</v>
      </c>
      <c r="Z217" s="3">
        <f t="shared" si="178"/>
        <v>4.507182277605034E-2</v>
      </c>
      <c r="AA217" s="3">
        <f t="shared" si="178"/>
        <v>4.0676515368553975E-2</v>
      </c>
      <c r="AB217" s="3">
        <f t="shared" si="178"/>
        <v>1.4579073757092642E-2</v>
      </c>
      <c r="AC217" s="3">
        <f t="shared" si="178"/>
        <v>5.1002545551680625E-7</v>
      </c>
      <c r="AD217" s="3">
        <f t="shared" si="178"/>
        <v>1.4002676171245908E-51</v>
      </c>
      <c r="AE217" s="3">
        <f t="shared" si="178"/>
        <v>0</v>
      </c>
      <c r="AF217" s="3">
        <f t="shared" si="178"/>
        <v>0</v>
      </c>
      <c r="AG217" s="3"/>
      <c r="AH217" s="3"/>
    </row>
    <row r="218" spans="1:34" x14ac:dyDescent="0.25">
      <c r="B218" s="3">
        <f t="shared" ref="B218:AF218" si="179">$C26*EXP(-B$207/$A26/EXP(-$D$126))</f>
        <v>5.454765248808658E-2</v>
      </c>
      <c r="C218" s="3">
        <f t="shared" si="179"/>
        <v>5.454765248808658E-2</v>
      </c>
      <c r="D218" s="3">
        <f t="shared" si="179"/>
        <v>5.454765248808658E-2</v>
      </c>
      <c r="E218" s="3">
        <f t="shared" si="179"/>
        <v>5.454765248808658E-2</v>
      </c>
      <c r="F218" s="3">
        <f t="shared" si="179"/>
        <v>5.454765248808658E-2</v>
      </c>
      <c r="G218" s="3">
        <f t="shared" si="179"/>
        <v>5.454765248808658E-2</v>
      </c>
      <c r="H218" s="3">
        <f t="shared" si="179"/>
        <v>5.454765248808658E-2</v>
      </c>
      <c r="I218" s="3">
        <f t="shared" si="179"/>
        <v>5.454765248808658E-2</v>
      </c>
      <c r="J218" s="3">
        <f t="shared" si="179"/>
        <v>5.454765248808658E-2</v>
      </c>
      <c r="K218" s="3">
        <f t="shared" si="179"/>
        <v>5.454765248808658E-2</v>
      </c>
      <c r="L218" s="3">
        <f t="shared" si="179"/>
        <v>5.454765248808658E-2</v>
      </c>
      <c r="M218" s="3">
        <f t="shared" si="179"/>
        <v>5.4547652488086573E-2</v>
      </c>
      <c r="N218" s="3">
        <f t="shared" si="179"/>
        <v>5.4547652488086525E-2</v>
      </c>
      <c r="O218" s="3">
        <f t="shared" si="179"/>
        <v>5.4547652488086018E-2</v>
      </c>
      <c r="P218" s="3">
        <f t="shared" si="179"/>
        <v>5.4547652488080973E-2</v>
      </c>
      <c r="Q218" s="3">
        <f t="shared" si="179"/>
        <v>5.4547652488030486E-2</v>
      </c>
      <c r="R218" s="3">
        <f t="shared" si="179"/>
        <v>5.4547652487525591E-2</v>
      </c>
      <c r="S218" s="3">
        <f t="shared" si="179"/>
        <v>5.4547652482476693E-2</v>
      </c>
      <c r="T218" s="3">
        <f t="shared" si="179"/>
        <v>5.4547652431987663E-2</v>
      </c>
      <c r="U218" s="3">
        <f t="shared" si="179"/>
        <v>5.4547651927097415E-2</v>
      </c>
      <c r="V218" s="3">
        <f t="shared" si="179"/>
        <v>5.4547646878195195E-2</v>
      </c>
      <c r="W218" s="3">
        <f t="shared" si="179"/>
        <v>5.4547596389198719E-2</v>
      </c>
      <c r="X218" s="3">
        <f t="shared" si="179"/>
        <v>5.4547091501804229E-2</v>
      </c>
      <c r="Y218" s="3">
        <f t="shared" si="179"/>
        <v>5.4542042884877628E-2</v>
      </c>
      <c r="Z218" s="3">
        <f t="shared" si="179"/>
        <v>5.4491582408642908E-2</v>
      </c>
      <c r="AA218" s="3">
        <f t="shared" si="179"/>
        <v>5.3989538172074011E-2</v>
      </c>
      <c r="AB218" s="3">
        <f t="shared" si="179"/>
        <v>4.9216592246003416E-2</v>
      </c>
      <c r="AC218" s="3">
        <f t="shared" si="179"/>
        <v>1.9504319994054151E-2</v>
      </c>
      <c r="AD218" s="3">
        <f t="shared" si="179"/>
        <v>1.8634749099322669E-6</v>
      </c>
      <c r="AE218" s="3">
        <f t="shared" si="179"/>
        <v>1.1810027584668723E-46</v>
      </c>
      <c r="AF218" s="3">
        <f t="shared" si="179"/>
        <v>0</v>
      </c>
      <c r="AG218" s="3"/>
      <c r="AH218" s="3"/>
    </row>
    <row r="219" spans="1:34" x14ac:dyDescent="0.25">
      <c r="B219" s="3">
        <f t="shared" ref="B219:AF219" si="180">$C27*EXP(-B$207/$A27/EXP(-$D$126))</f>
        <v>6.3488731508467941E-2</v>
      </c>
      <c r="C219" s="3">
        <f t="shared" si="180"/>
        <v>6.3488731508467941E-2</v>
      </c>
      <c r="D219" s="3">
        <f t="shared" si="180"/>
        <v>6.3488731508467941E-2</v>
      </c>
      <c r="E219" s="3">
        <f t="shared" si="180"/>
        <v>6.3488731508467941E-2</v>
      </c>
      <c r="F219" s="3">
        <f t="shared" si="180"/>
        <v>6.3488731508467941E-2</v>
      </c>
      <c r="G219" s="3">
        <f t="shared" si="180"/>
        <v>6.3488731508467941E-2</v>
      </c>
      <c r="H219" s="3">
        <f t="shared" si="180"/>
        <v>6.3488731508467941E-2</v>
      </c>
      <c r="I219" s="3">
        <f t="shared" si="180"/>
        <v>6.3488731508467941E-2</v>
      </c>
      <c r="J219" s="3">
        <f t="shared" si="180"/>
        <v>6.3488731508467941E-2</v>
      </c>
      <c r="K219" s="3">
        <f t="shared" si="180"/>
        <v>6.3488731508467941E-2</v>
      </c>
      <c r="L219" s="3">
        <f t="shared" si="180"/>
        <v>6.3488731508467941E-2</v>
      </c>
      <c r="M219" s="3">
        <f t="shared" si="180"/>
        <v>6.3488731508467941E-2</v>
      </c>
      <c r="N219" s="3">
        <f t="shared" si="180"/>
        <v>6.3488731508467927E-2</v>
      </c>
      <c r="O219" s="3">
        <f t="shared" si="180"/>
        <v>6.3488731508467885E-2</v>
      </c>
      <c r="P219" s="3">
        <f t="shared" si="180"/>
        <v>6.3488731508467344E-2</v>
      </c>
      <c r="Q219" s="3">
        <f t="shared" si="180"/>
        <v>6.3488731508462043E-2</v>
      </c>
      <c r="R219" s="3">
        <f t="shared" si="180"/>
        <v>6.3488731508409044E-2</v>
      </c>
      <c r="S219" s="3">
        <f t="shared" si="180"/>
        <v>6.348873150787894E-2</v>
      </c>
      <c r="T219" s="3">
        <f t="shared" si="180"/>
        <v>6.3488731502577861E-2</v>
      </c>
      <c r="U219" s="3">
        <f t="shared" si="180"/>
        <v>6.3488731449567085E-2</v>
      </c>
      <c r="V219" s="3">
        <f t="shared" si="180"/>
        <v>6.3488730919459321E-2</v>
      </c>
      <c r="W219" s="3">
        <f t="shared" si="180"/>
        <v>6.3488725618382008E-2</v>
      </c>
      <c r="X219" s="3">
        <f t="shared" si="180"/>
        <v>6.3488672607633231E-2</v>
      </c>
      <c r="Y219" s="3">
        <f t="shared" si="180"/>
        <v>6.348814250257985E-2</v>
      </c>
      <c r="Z219" s="3">
        <f t="shared" si="180"/>
        <v>6.3482841695478964E-2</v>
      </c>
      <c r="AA219" s="3">
        <f t="shared" si="180"/>
        <v>6.3429857960251315E-2</v>
      </c>
      <c r="AB219" s="3">
        <f t="shared" si="180"/>
        <v>6.2902446684647048E-2</v>
      </c>
      <c r="AC219" s="3">
        <f t="shared" si="180"/>
        <v>5.786361102194898E-2</v>
      </c>
      <c r="AD219" s="3">
        <f t="shared" si="180"/>
        <v>2.5106459662793151E-2</v>
      </c>
      <c r="AE219" s="3">
        <f t="shared" si="180"/>
        <v>5.9372441491368471E-6</v>
      </c>
      <c r="AF219" s="3">
        <f t="shared" si="180"/>
        <v>3.2477248733364471E-42</v>
      </c>
      <c r="AG219" s="3"/>
      <c r="AH219" s="3"/>
    </row>
    <row r="220" spans="1:34" x14ac:dyDescent="0.25">
      <c r="B220" s="3">
        <f t="shared" ref="B220:AF220" si="181">$C28*EXP(-B$207/$A28/EXP(-$D$126))</f>
        <v>6.4437498796687767E-2</v>
      </c>
      <c r="C220" s="3">
        <f t="shared" si="181"/>
        <v>6.4437498796687767E-2</v>
      </c>
      <c r="D220" s="3">
        <f t="shared" si="181"/>
        <v>6.4437498796687767E-2</v>
      </c>
      <c r="E220" s="3">
        <f t="shared" si="181"/>
        <v>6.4437498796687767E-2</v>
      </c>
      <c r="F220" s="3">
        <f t="shared" si="181"/>
        <v>6.4437498796687767E-2</v>
      </c>
      <c r="G220" s="3">
        <f t="shared" si="181"/>
        <v>6.4437498796687767E-2</v>
      </c>
      <c r="H220" s="3">
        <f t="shared" si="181"/>
        <v>6.4437498796687767E-2</v>
      </c>
      <c r="I220" s="3">
        <f t="shared" si="181"/>
        <v>6.4437498796687767E-2</v>
      </c>
      <c r="J220" s="3">
        <f t="shared" si="181"/>
        <v>6.4437498796687767E-2</v>
      </c>
      <c r="K220" s="3">
        <f t="shared" si="181"/>
        <v>6.4437498796687767E-2</v>
      </c>
      <c r="L220" s="3">
        <f t="shared" si="181"/>
        <v>6.4437498796687767E-2</v>
      </c>
      <c r="M220" s="3">
        <f t="shared" si="181"/>
        <v>6.4437498796687767E-2</v>
      </c>
      <c r="N220" s="3">
        <f t="shared" si="181"/>
        <v>6.4437498796687767E-2</v>
      </c>
      <c r="O220" s="3">
        <f t="shared" si="181"/>
        <v>6.4437498796687753E-2</v>
      </c>
      <c r="P220" s="3">
        <f t="shared" si="181"/>
        <v>6.4437498796687712E-2</v>
      </c>
      <c r="Q220" s="3">
        <f t="shared" si="181"/>
        <v>6.4437498796687226E-2</v>
      </c>
      <c r="R220" s="3">
        <f t="shared" si="181"/>
        <v>6.4437498796682369E-2</v>
      </c>
      <c r="S220" s="3">
        <f t="shared" si="181"/>
        <v>6.4437498796633838E-2</v>
      </c>
      <c r="T220" s="3">
        <f t="shared" si="181"/>
        <v>6.443749879614849E-2</v>
      </c>
      <c r="U220" s="3">
        <f t="shared" si="181"/>
        <v>6.4437498791295011E-2</v>
      </c>
      <c r="V220" s="3">
        <f t="shared" si="181"/>
        <v>6.4437498742760266E-2</v>
      </c>
      <c r="W220" s="3">
        <f t="shared" si="181"/>
        <v>6.4437498257412795E-2</v>
      </c>
      <c r="X220" s="3">
        <f t="shared" si="181"/>
        <v>6.4437493403938256E-2</v>
      </c>
      <c r="Y220" s="3">
        <f t="shared" si="181"/>
        <v>6.4437444869212976E-2</v>
      </c>
      <c r="Z220" s="3">
        <f t="shared" si="181"/>
        <v>6.4436959523970716E-2</v>
      </c>
      <c r="AA220" s="3">
        <f t="shared" si="181"/>
        <v>6.4432106272603776E-2</v>
      </c>
      <c r="AB220" s="3">
        <f t="shared" si="181"/>
        <v>6.4383593858889837E-2</v>
      </c>
      <c r="AC220" s="3">
        <f t="shared" si="181"/>
        <v>6.3900474126974749E-2</v>
      </c>
      <c r="AD220" s="3">
        <f t="shared" si="181"/>
        <v>5.9264242086988682E-2</v>
      </c>
      <c r="AE220" s="3">
        <f t="shared" si="181"/>
        <v>2.7904823275321004E-2</v>
      </c>
      <c r="AF220" s="3">
        <f t="shared" si="181"/>
        <v>1.4946678517775098E-5</v>
      </c>
      <c r="AG220" s="3"/>
      <c r="AH220" s="3"/>
    </row>
    <row r="221" spans="1:34" x14ac:dyDescent="0.25">
      <c r="B221" s="3">
        <f t="shared" ref="B221:AF221" si="182">$C29*EXP(-B$207/$A29/EXP(-$D$126))</f>
        <v>5.0984711138190433E-2</v>
      </c>
      <c r="C221" s="3">
        <f t="shared" si="182"/>
        <v>5.0984711138190433E-2</v>
      </c>
      <c r="D221" s="3">
        <f t="shared" si="182"/>
        <v>5.0984711138190433E-2</v>
      </c>
      <c r="E221" s="3">
        <f t="shared" si="182"/>
        <v>5.0984711138190433E-2</v>
      </c>
      <c r="F221" s="3">
        <f t="shared" si="182"/>
        <v>5.0984711138190433E-2</v>
      </c>
      <c r="G221" s="3">
        <f t="shared" si="182"/>
        <v>5.0984711138190433E-2</v>
      </c>
      <c r="H221" s="3">
        <f t="shared" si="182"/>
        <v>5.0984711138190433E-2</v>
      </c>
      <c r="I221" s="3">
        <f t="shared" si="182"/>
        <v>5.0984711138190433E-2</v>
      </c>
      <c r="J221" s="3">
        <f t="shared" si="182"/>
        <v>5.0984711138190433E-2</v>
      </c>
      <c r="K221" s="3">
        <f t="shared" si="182"/>
        <v>5.0984711138190433E-2</v>
      </c>
      <c r="L221" s="3">
        <f t="shared" si="182"/>
        <v>5.0984711138190433E-2</v>
      </c>
      <c r="M221" s="3">
        <f t="shared" si="182"/>
        <v>5.0984711138190433E-2</v>
      </c>
      <c r="N221" s="3">
        <f t="shared" si="182"/>
        <v>5.0984711138190433E-2</v>
      </c>
      <c r="O221" s="3">
        <f t="shared" si="182"/>
        <v>5.0984711138190433E-2</v>
      </c>
      <c r="P221" s="3">
        <f t="shared" si="182"/>
        <v>5.0984711138190426E-2</v>
      </c>
      <c r="Q221" s="3">
        <f t="shared" si="182"/>
        <v>5.0984711138190392E-2</v>
      </c>
      <c r="R221" s="3">
        <f t="shared" si="182"/>
        <v>5.0984711138190052E-2</v>
      </c>
      <c r="S221" s="3">
        <f t="shared" si="182"/>
        <v>5.0984711138186582E-2</v>
      </c>
      <c r="T221" s="3">
        <f t="shared" si="182"/>
        <v>5.0984711138151943E-2</v>
      </c>
      <c r="U221" s="3">
        <f t="shared" si="182"/>
        <v>5.0984711137805526E-2</v>
      </c>
      <c r="V221" s="3">
        <f t="shared" si="182"/>
        <v>5.0984711134341346E-2</v>
      </c>
      <c r="W221" s="3">
        <f t="shared" si="182"/>
        <v>5.0984711099699528E-2</v>
      </c>
      <c r="X221" s="3">
        <f t="shared" si="182"/>
        <v>5.0984710753281363E-2</v>
      </c>
      <c r="Y221" s="3">
        <f t="shared" si="182"/>
        <v>5.0984707289099873E-2</v>
      </c>
      <c r="Z221" s="3">
        <f t="shared" si="182"/>
        <v>5.0984672647297891E-2</v>
      </c>
      <c r="AA221" s="3">
        <f t="shared" si="182"/>
        <v>5.0984326230572641E-2</v>
      </c>
      <c r="AB221" s="3">
        <f t="shared" si="182"/>
        <v>5.0980862192773063E-2</v>
      </c>
      <c r="AC221" s="3">
        <f t="shared" si="182"/>
        <v>5.0946234756817095E-2</v>
      </c>
      <c r="AD221" s="3">
        <f t="shared" si="182"/>
        <v>5.0601251353534424E-2</v>
      </c>
      <c r="AE221" s="3">
        <f t="shared" si="182"/>
        <v>4.7277325647354894E-2</v>
      </c>
      <c r="AF221" s="3">
        <f t="shared" si="182"/>
        <v>2.3964553904202674E-2</v>
      </c>
      <c r="AG221" s="3"/>
      <c r="AH221" s="3"/>
    </row>
    <row r="222" spans="1:34" x14ac:dyDescent="0.25">
      <c r="B222" s="3">
        <f t="shared" ref="B222:AF222" si="183">$C30*EXP(-B$207/$A30/EXP(-$D$126))</f>
        <v>3.1725580310806592E-2</v>
      </c>
      <c r="C222" s="3">
        <f t="shared" si="183"/>
        <v>3.1725580310806592E-2</v>
      </c>
      <c r="D222" s="3">
        <f t="shared" si="183"/>
        <v>3.1725580310806592E-2</v>
      </c>
      <c r="E222" s="3">
        <f t="shared" si="183"/>
        <v>3.1725580310806592E-2</v>
      </c>
      <c r="F222" s="3">
        <f t="shared" si="183"/>
        <v>3.1725580310806592E-2</v>
      </c>
      <c r="G222" s="3">
        <f t="shared" si="183"/>
        <v>3.1725580310806592E-2</v>
      </c>
      <c r="H222" s="3">
        <f t="shared" si="183"/>
        <v>3.1725580310806592E-2</v>
      </c>
      <c r="I222" s="3">
        <f t="shared" si="183"/>
        <v>3.1725580310806592E-2</v>
      </c>
      <c r="J222" s="3">
        <f t="shared" si="183"/>
        <v>3.1725580310806592E-2</v>
      </c>
      <c r="K222" s="3">
        <f t="shared" si="183"/>
        <v>3.1725580310806592E-2</v>
      </c>
      <c r="L222" s="3">
        <f t="shared" si="183"/>
        <v>3.1725580310806592E-2</v>
      </c>
      <c r="M222" s="3">
        <f t="shared" si="183"/>
        <v>3.1725580310806592E-2</v>
      </c>
      <c r="N222" s="3">
        <f t="shared" si="183"/>
        <v>3.1725580310806592E-2</v>
      </c>
      <c r="O222" s="3">
        <f t="shared" si="183"/>
        <v>3.1725580310806592E-2</v>
      </c>
      <c r="P222" s="3">
        <f t="shared" si="183"/>
        <v>3.1725580310806592E-2</v>
      </c>
      <c r="Q222" s="3">
        <f t="shared" si="183"/>
        <v>3.1725580310806585E-2</v>
      </c>
      <c r="R222" s="3">
        <f t="shared" si="183"/>
        <v>3.1725580310806571E-2</v>
      </c>
      <c r="S222" s="3">
        <f t="shared" si="183"/>
        <v>3.1725580310806377E-2</v>
      </c>
      <c r="T222" s="3">
        <f t="shared" si="183"/>
        <v>3.1725580310804434E-2</v>
      </c>
      <c r="U222" s="3">
        <f t="shared" si="183"/>
        <v>3.1725580310784984E-2</v>
      </c>
      <c r="V222" s="3">
        <f t="shared" si="183"/>
        <v>3.1725580310590529E-2</v>
      </c>
      <c r="W222" s="3">
        <f t="shared" si="183"/>
        <v>3.1725580308645994E-2</v>
      </c>
      <c r="X222" s="3">
        <f t="shared" si="183"/>
        <v>3.172558028920059E-2</v>
      </c>
      <c r="Y222" s="3">
        <f t="shared" si="183"/>
        <v>3.1725580094746603E-2</v>
      </c>
      <c r="Z222" s="3">
        <f t="shared" si="183"/>
        <v>3.1725578150206782E-2</v>
      </c>
      <c r="AA222" s="3">
        <f t="shared" si="183"/>
        <v>3.1725558704815117E-2</v>
      </c>
      <c r="AB222" s="3">
        <f t="shared" si="183"/>
        <v>3.1725364251553936E-2</v>
      </c>
      <c r="AC222" s="3">
        <f t="shared" si="183"/>
        <v>3.1723419784492696E-2</v>
      </c>
      <c r="AD222" s="3">
        <f t="shared" si="183"/>
        <v>3.1703981667442045E-2</v>
      </c>
      <c r="AE222" s="3">
        <f t="shared" si="183"/>
        <v>3.1510254369321755E-2</v>
      </c>
      <c r="AF222" s="3">
        <f t="shared" si="183"/>
        <v>2.9636909758321416E-2</v>
      </c>
      <c r="AG222" s="3"/>
      <c r="AH222" s="3"/>
    </row>
    <row r="223" spans="1:34" x14ac:dyDescent="0.25">
      <c r="B223" s="3">
        <f t="shared" ref="B223:AF223" si="184">$C31*EXP(-B$207/$A31/EXP(-$D$126))</f>
        <v>1.5443830992985543E-2</v>
      </c>
      <c r="C223" s="3">
        <f t="shared" si="184"/>
        <v>1.5443830992985543E-2</v>
      </c>
      <c r="D223" s="3">
        <f t="shared" si="184"/>
        <v>1.5443830992985543E-2</v>
      </c>
      <c r="E223" s="3">
        <f t="shared" si="184"/>
        <v>1.5443830992985543E-2</v>
      </c>
      <c r="F223" s="3">
        <f t="shared" si="184"/>
        <v>1.5443830992985543E-2</v>
      </c>
      <c r="G223" s="3">
        <f t="shared" si="184"/>
        <v>1.5443830992985543E-2</v>
      </c>
      <c r="H223" s="3">
        <f t="shared" si="184"/>
        <v>1.5443830992985543E-2</v>
      </c>
      <c r="I223" s="3">
        <f t="shared" si="184"/>
        <v>1.5443830992985543E-2</v>
      </c>
      <c r="J223" s="3">
        <f t="shared" si="184"/>
        <v>1.5443830992985543E-2</v>
      </c>
      <c r="K223" s="3">
        <f t="shared" si="184"/>
        <v>1.5443830992985543E-2</v>
      </c>
      <c r="L223" s="3">
        <f t="shared" si="184"/>
        <v>1.5443830992985543E-2</v>
      </c>
      <c r="M223" s="3">
        <f t="shared" si="184"/>
        <v>1.5443830992985543E-2</v>
      </c>
      <c r="N223" s="3">
        <f t="shared" si="184"/>
        <v>1.5443830992985543E-2</v>
      </c>
      <c r="O223" s="3">
        <f t="shared" si="184"/>
        <v>1.5443830992985543E-2</v>
      </c>
      <c r="P223" s="3">
        <f t="shared" si="184"/>
        <v>1.5443830992985543E-2</v>
      </c>
      <c r="Q223" s="3">
        <f t="shared" si="184"/>
        <v>1.5443830992985543E-2</v>
      </c>
      <c r="R223" s="3">
        <f t="shared" si="184"/>
        <v>1.5443830992985541E-2</v>
      </c>
      <c r="S223" s="3">
        <f t="shared" si="184"/>
        <v>1.5443830992985533E-2</v>
      </c>
      <c r="T223" s="3">
        <f t="shared" si="184"/>
        <v>1.5443830992985449E-2</v>
      </c>
      <c r="U223" s="3">
        <f t="shared" si="184"/>
        <v>1.5443830992984594E-2</v>
      </c>
      <c r="V223" s="3">
        <f t="shared" si="184"/>
        <v>1.5443830992976054E-2</v>
      </c>
      <c r="W223" s="3">
        <f t="shared" si="184"/>
        <v>1.5443830992890666E-2</v>
      </c>
      <c r="X223" s="3">
        <f t="shared" si="184"/>
        <v>1.544383099203676E-2</v>
      </c>
      <c r="Y223" s="3">
        <f t="shared" si="184"/>
        <v>1.5443830983497723E-2</v>
      </c>
      <c r="Z223" s="3">
        <f t="shared" si="184"/>
        <v>1.5443830898107351E-2</v>
      </c>
      <c r="AA223" s="3">
        <f t="shared" si="184"/>
        <v>1.5443830044203643E-2</v>
      </c>
      <c r="AB223" s="3">
        <f t="shared" si="184"/>
        <v>1.5443821505169155E-2</v>
      </c>
      <c r="AC223" s="3">
        <f t="shared" si="184"/>
        <v>1.5443736115083954E-2</v>
      </c>
      <c r="AD223" s="3">
        <f t="shared" si="184"/>
        <v>1.5442882240198592E-2</v>
      </c>
      <c r="AE223" s="3">
        <f t="shared" si="184"/>
        <v>1.5434346087476925E-2</v>
      </c>
      <c r="AF223" s="3">
        <f t="shared" si="184"/>
        <v>1.534924364313343E-2</v>
      </c>
      <c r="AG223" s="3"/>
      <c r="AH223" s="3"/>
    </row>
    <row r="224" spans="1:34" x14ac:dyDescent="0.25">
      <c r="B224" s="3">
        <f t="shared" ref="B224:AF224" si="185">$C32*EXP(-B$207/$A32/EXP(-$D$126))</f>
        <v>7.0696001208784189E-3</v>
      </c>
      <c r="C224" s="3">
        <f t="shared" si="185"/>
        <v>7.0696001208784189E-3</v>
      </c>
      <c r="D224" s="3">
        <f t="shared" si="185"/>
        <v>7.0696001208784189E-3</v>
      </c>
      <c r="E224" s="3">
        <f t="shared" si="185"/>
        <v>7.0696001208784189E-3</v>
      </c>
      <c r="F224" s="3">
        <f t="shared" si="185"/>
        <v>7.0696001208784189E-3</v>
      </c>
      <c r="G224" s="3">
        <f t="shared" si="185"/>
        <v>7.0696001208784189E-3</v>
      </c>
      <c r="H224" s="3">
        <f t="shared" si="185"/>
        <v>7.0696001208784189E-3</v>
      </c>
      <c r="I224" s="3">
        <f t="shared" si="185"/>
        <v>7.0696001208784189E-3</v>
      </c>
      <c r="J224" s="3">
        <f t="shared" si="185"/>
        <v>7.0696001208784189E-3</v>
      </c>
      <c r="K224" s="3">
        <f t="shared" si="185"/>
        <v>7.0696001208784189E-3</v>
      </c>
      <c r="L224" s="3">
        <f t="shared" si="185"/>
        <v>7.0696001208784189E-3</v>
      </c>
      <c r="M224" s="3">
        <f t="shared" si="185"/>
        <v>7.0696001208784189E-3</v>
      </c>
      <c r="N224" s="3">
        <f t="shared" si="185"/>
        <v>7.0696001208784189E-3</v>
      </c>
      <c r="O224" s="3">
        <f t="shared" si="185"/>
        <v>7.0696001208784189E-3</v>
      </c>
      <c r="P224" s="3">
        <f t="shared" si="185"/>
        <v>7.0696001208784189E-3</v>
      </c>
      <c r="Q224" s="3">
        <f t="shared" si="185"/>
        <v>7.0696001208784189E-3</v>
      </c>
      <c r="R224" s="3">
        <f t="shared" si="185"/>
        <v>7.0696001208784189E-3</v>
      </c>
      <c r="S224" s="3">
        <f t="shared" si="185"/>
        <v>7.0696001208784189E-3</v>
      </c>
      <c r="T224" s="3">
        <f t="shared" si="185"/>
        <v>7.0696001208784146E-3</v>
      </c>
      <c r="U224" s="3">
        <f t="shared" si="185"/>
        <v>7.0696001208783799E-3</v>
      </c>
      <c r="V224" s="3">
        <f t="shared" si="185"/>
        <v>7.0696001208780269E-3</v>
      </c>
      <c r="W224" s="3">
        <f t="shared" si="185"/>
        <v>7.069600120874501E-3</v>
      </c>
      <c r="X224" s="3">
        <f t="shared" si="185"/>
        <v>7.0696001208392402E-3</v>
      </c>
      <c r="Y224" s="3">
        <f t="shared" si="185"/>
        <v>7.0696001204866299E-3</v>
      </c>
      <c r="Z224" s="3">
        <f t="shared" si="185"/>
        <v>7.0696001169605243E-3</v>
      </c>
      <c r="AA224" s="3">
        <f t="shared" si="185"/>
        <v>7.0696000816994672E-3</v>
      </c>
      <c r="AB224" s="3">
        <f t="shared" si="185"/>
        <v>7.0695997290889188E-3</v>
      </c>
      <c r="AC224" s="3">
        <f t="shared" si="185"/>
        <v>7.069596202984395E-3</v>
      </c>
      <c r="AD224" s="3">
        <f t="shared" si="185"/>
        <v>7.0695609420358815E-3</v>
      </c>
      <c r="AE224" s="3">
        <f t="shared" si="185"/>
        <v>7.0692083422234956E-3</v>
      </c>
      <c r="AF224" s="3">
        <f t="shared" si="185"/>
        <v>7.0656833111952576E-3</v>
      </c>
      <c r="AG224" s="3"/>
      <c r="AH224" s="3"/>
    </row>
    <row r="225" spans="2:34" x14ac:dyDescent="0.25">
      <c r="B225" s="3">
        <f t="shared" ref="B225:AF225" si="186">$C33*EXP(-B$207/$A33/EXP(-$D$126))</f>
        <v>3.5043206729719373E-3</v>
      </c>
      <c r="C225" s="3">
        <f t="shared" si="186"/>
        <v>3.5043206729719373E-3</v>
      </c>
      <c r="D225" s="3">
        <f t="shared" si="186"/>
        <v>3.5043206729719373E-3</v>
      </c>
      <c r="E225" s="3">
        <f t="shared" si="186"/>
        <v>3.5043206729719373E-3</v>
      </c>
      <c r="F225" s="3">
        <f t="shared" si="186"/>
        <v>3.5043206729719373E-3</v>
      </c>
      <c r="G225" s="3">
        <f t="shared" si="186"/>
        <v>3.5043206729719373E-3</v>
      </c>
      <c r="H225" s="3">
        <f t="shared" si="186"/>
        <v>3.5043206729719373E-3</v>
      </c>
      <c r="I225" s="3">
        <f t="shared" si="186"/>
        <v>3.5043206729719373E-3</v>
      </c>
      <c r="J225" s="3">
        <f t="shared" si="186"/>
        <v>3.5043206729719373E-3</v>
      </c>
      <c r="K225" s="3">
        <f t="shared" si="186"/>
        <v>3.5043206729719373E-3</v>
      </c>
      <c r="L225" s="3">
        <f t="shared" si="186"/>
        <v>3.5043206729719373E-3</v>
      </c>
      <c r="M225" s="3">
        <f t="shared" si="186"/>
        <v>3.5043206729719373E-3</v>
      </c>
      <c r="N225" s="3">
        <f t="shared" si="186"/>
        <v>3.5043206729719373E-3</v>
      </c>
      <c r="O225" s="3">
        <f t="shared" si="186"/>
        <v>3.5043206729719373E-3</v>
      </c>
      <c r="P225" s="3">
        <f t="shared" si="186"/>
        <v>3.5043206729719373E-3</v>
      </c>
      <c r="Q225" s="3">
        <f t="shared" si="186"/>
        <v>3.5043206729719373E-3</v>
      </c>
      <c r="R225" s="3">
        <f t="shared" si="186"/>
        <v>3.5043206729719373E-3</v>
      </c>
      <c r="S225" s="3">
        <f t="shared" si="186"/>
        <v>3.5043206729719373E-3</v>
      </c>
      <c r="T225" s="3">
        <f t="shared" si="186"/>
        <v>3.5043206729719373E-3</v>
      </c>
      <c r="U225" s="3">
        <f t="shared" si="186"/>
        <v>3.5043206729719356E-3</v>
      </c>
      <c r="V225" s="3">
        <f t="shared" si="186"/>
        <v>3.5043206729719199E-3</v>
      </c>
      <c r="W225" s="3">
        <f t="shared" si="186"/>
        <v>3.5043206729717621E-3</v>
      </c>
      <c r="X225" s="3">
        <f t="shared" si="186"/>
        <v>3.5043206729701852E-3</v>
      </c>
      <c r="Y225" s="3">
        <f t="shared" si="186"/>
        <v>3.5043206729544183E-3</v>
      </c>
      <c r="Z225" s="3">
        <f t="shared" si="186"/>
        <v>3.5043206727967476E-3</v>
      </c>
      <c r="AA225" s="3">
        <f t="shared" si="186"/>
        <v>3.5043206712200409E-3</v>
      </c>
      <c r="AB225" s="3">
        <f t="shared" si="186"/>
        <v>3.5043206554529745E-3</v>
      </c>
      <c r="AC225" s="3">
        <f t="shared" si="186"/>
        <v>3.5043204977823149E-3</v>
      </c>
      <c r="AD225" s="3">
        <f t="shared" si="186"/>
        <v>3.5043189210761088E-3</v>
      </c>
      <c r="AE225" s="3">
        <f t="shared" si="186"/>
        <v>3.504303154053064E-3</v>
      </c>
      <c r="AF225" s="3">
        <f t="shared" si="186"/>
        <v>3.504145487724306E-3</v>
      </c>
      <c r="AG225" s="3"/>
      <c r="AH225" s="3"/>
    </row>
    <row r="226" spans="2:34" x14ac:dyDescent="0.25">
      <c r="B226" s="3">
        <f t="shared" ref="B226:AF226" si="187">$C34*EXP(-B$207/$A34/EXP(-$D$126))</f>
        <v>2.9646797109614421E-3</v>
      </c>
      <c r="C226" s="3">
        <f t="shared" si="187"/>
        <v>2.9646797109614421E-3</v>
      </c>
      <c r="D226" s="3">
        <f t="shared" si="187"/>
        <v>2.9646797109614421E-3</v>
      </c>
      <c r="E226" s="3">
        <f t="shared" si="187"/>
        <v>2.9646797109614421E-3</v>
      </c>
      <c r="F226" s="3">
        <f t="shared" si="187"/>
        <v>2.9646797109614421E-3</v>
      </c>
      <c r="G226" s="3">
        <f t="shared" si="187"/>
        <v>2.9646797109614421E-3</v>
      </c>
      <c r="H226" s="3">
        <f t="shared" si="187"/>
        <v>2.9646797109614421E-3</v>
      </c>
      <c r="I226" s="3">
        <f t="shared" si="187"/>
        <v>2.9646797109614421E-3</v>
      </c>
      <c r="J226" s="3">
        <f t="shared" si="187"/>
        <v>2.9646797109614421E-3</v>
      </c>
      <c r="K226" s="3">
        <f t="shared" si="187"/>
        <v>2.9646797109614421E-3</v>
      </c>
      <c r="L226" s="3">
        <f t="shared" si="187"/>
        <v>2.9646797109614421E-3</v>
      </c>
      <c r="M226" s="3">
        <f t="shared" si="187"/>
        <v>2.9646797109614421E-3</v>
      </c>
      <c r="N226" s="3">
        <f t="shared" si="187"/>
        <v>2.9646797109614421E-3</v>
      </c>
      <c r="O226" s="3">
        <f t="shared" si="187"/>
        <v>2.9646797109614421E-3</v>
      </c>
      <c r="P226" s="3">
        <f t="shared" si="187"/>
        <v>2.9646797109614421E-3</v>
      </c>
      <c r="Q226" s="3">
        <f t="shared" si="187"/>
        <v>2.9646797109614421E-3</v>
      </c>
      <c r="R226" s="3">
        <f t="shared" si="187"/>
        <v>2.9646797109614421E-3</v>
      </c>
      <c r="S226" s="3">
        <f t="shared" si="187"/>
        <v>2.9646797109614421E-3</v>
      </c>
      <c r="T226" s="3">
        <f t="shared" si="187"/>
        <v>2.9646797109614421E-3</v>
      </c>
      <c r="U226" s="3">
        <f t="shared" si="187"/>
        <v>2.9646797109614421E-3</v>
      </c>
      <c r="V226" s="3">
        <f t="shared" si="187"/>
        <v>2.9646797109614408E-3</v>
      </c>
      <c r="W226" s="3">
        <f t="shared" si="187"/>
        <v>2.9646797109614286E-3</v>
      </c>
      <c r="X226" s="3">
        <f t="shared" si="187"/>
        <v>2.9646797109613085E-3</v>
      </c>
      <c r="Y226" s="3">
        <f t="shared" si="187"/>
        <v>2.964679710960105E-3</v>
      </c>
      <c r="Z226" s="3">
        <f t="shared" si="187"/>
        <v>2.9646797109480721E-3</v>
      </c>
      <c r="AA226" s="3">
        <f t="shared" si="187"/>
        <v>2.9646797108277426E-3</v>
      </c>
      <c r="AB226" s="3">
        <f t="shared" si="187"/>
        <v>2.9646797096244499E-3</v>
      </c>
      <c r="AC226" s="3">
        <f t="shared" si="187"/>
        <v>2.9646796975915189E-3</v>
      </c>
      <c r="AD226" s="3">
        <f t="shared" si="187"/>
        <v>2.9646795772622116E-3</v>
      </c>
      <c r="AE226" s="3">
        <f t="shared" si="187"/>
        <v>2.964678373969405E-3</v>
      </c>
      <c r="AF226" s="3">
        <f t="shared" si="187"/>
        <v>2.9646663410682053E-3</v>
      </c>
      <c r="AG226" s="3"/>
      <c r="AH226" s="3"/>
    </row>
    <row r="227" spans="2:34" x14ac:dyDescent="0.25">
      <c r="B227" s="3">
        <f t="shared" ref="B227:AF227" si="188">$C35*EXP(-B$207/$A35/EXP(-$D$126))</f>
        <v>0</v>
      </c>
      <c r="C227" s="3">
        <f t="shared" si="188"/>
        <v>0</v>
      </c>
      <c r="D227" s="3">
        <f t="shared" si="188"/>
        <v>0</v>
      </c>
      <c r="E227" s="3">
        <f t="shared" si="188"/>
        <v>0</v>
      </c>
      <c r="F227" s="3">
        <f t="shared" si="188"/>
        <v>0</v>
      </c>
      <c r="G227" s="3">
        <f t="shared" si="188"/>
        <v>0</v>
      </c>
      <c r="H227" s="3">
        <f t="shared" si="188"/>
        <v>0</v>
      </c>
      <c r="I227" s="3">
        <f t="shared" si="188"/>
        <v>0</v>
      </c>
      <c r="J227" s="3">
        <f t="shared" si="188"/>
        <v>0</v>
      </c>
      <c r="K227" s="3">
        <f t="shared" si="188"/>
        <v>0</v>
      </c>
      <c r="L227" s="3">
        <f t="shared" si="188"/>
        <v>0</v>
      </c>
      <c r="M227" s="3">
        <f t="shared" si="188"/>
        <v>0</v>
      </c>
      <c r="N227" s="3">
        <f t="shared" si="188"/>
        <v>0</v>
      </c>
      <c r="O227" s="3">
        <f t="shared" si="188"/>
        <v>0</v>
      </c>
      <c r="P227" s="3">
        <f t="shared" si="188"/>
        <v>0</v>
      </c>
      <c r="Q227" s="3">
        <f t="shared" si="188"/>
        <v>0</v>
      </c>
      <c r="R227" s="3">
        <f t="shared" si="188"/>
        <v>0</v>
      </c>
      <c r="S227" s="3">
        <f t="shared" si="188"/>
        <v>0</v>
      </c>
      <c r="T227" s="3">
        <f t="shared" si="188"/>
        <v>0</v>
      </c>
      <c r="U227" s="3">
        <f t="shared" si="188"/>
        <v>0</v>
      </c>
      <c r="V227" s="3">
        <f t="shared" si="188"/>
        <v>0</v>
      </c>
      <c r="W227" s="3">
        <f t="shared" si="188"/>
        <v>0</v>
      </c>
      <c r="X227" s="3">
        <f t="shared" si="188"/>
        <v>0</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3.098114236407119E-3</v>
      </c>
      <c r="C228" s="3">
        <f t="shared" si="189"/>
        <v>3.098114236407119E-3</v>
      </c>
      <c r="D228" s="3">
        <f t="shared" si="189"/>
        <v>3.098114236407119E-3</v>
      </c>
      <c r="E228" s="3">
        <f t="shared" si="189"/>
        <v>3.098114236407119E-3</v>
      </c>
      <c r="F228" s="3">
        <f t="shared" si="189"/>
        <v>3.098114236407119E-3</v>
      </c>
      <c r="G228" s="3">
        <f t="shared" si="189"/>
        <v>3.098114236407119E-3</v>
      </c>
      <c r="H228" s="3">
        <f t="shared" si="189"/>
        <v>3.098114236407119E-3</v>
      </c>
      <c r="I228" s="3">
        <f t="shared" si="189"/>
        <v>3.098114236407119E-3</v>
      </c>
      <c r="J228" s="3">
        <f t="shared" si="189"/>
        <v>3.098114236407119E-3</v>
      </c>
      <c r="K228" s="3">
        <f t="shared" si="189"/>
        <v>3.098114236407119E-3</v>
      </c>
      <c r="L228" s="3">
        <f t="shared" si="189"/>
        <v>3.098114236407119E-3</v>
      </c>
      <c r="M228" s="3">
        <f t="shared" si="189"/>
        <v>3.098114236407119E-3</v>
      </c>
      <c r="N228" s="3">
        <f t="shared" si="189"/>
        <v>3.098114236407119E-3</v>
      </c>
      <c r="O228" s="3">
        <f t="shared" si="189"/>
        <v>3.098114236407119E-3</v>
      </c>
      <c r="P228" s="3">
        <f t="shared" si="189"/>
        <v>3.098114236407119E-3</v>
      </c>
      <c r="Q228" s="3">
        <f t="shared" si="189"/>
        <v>3.098114236407119E-3</v>
      </c>
      <c r="R228" s="3">
        <f t="shared" si="189"/>
        <v>3.098114236407119E-3</v>
      </c>
      <c r="S228" s="3">
        <f t="shared" si="189"/>
        <v>3.098114236407119E-3</v>
      </c>
      <c r="T228" s="3">
        <f t="shared" si="189"/>
        <v>3.098114236407119E-3</v>
      </c>
      <c r="U228" s="3">
        <f t="shared" si="189"/>
        <v>3.098114236407119E-3</v>
      </c>
      <c r="V228" s="3">
        <f t="shared" si="189"/>
        <v>3.098114236407119E-3</v>
      </c>
      <c r="W228" s="3">
        <f t="shared" si="189"/>
        <v>3.098114236407119E-3</v>
      </c>
      <c r="X228" s="3">
        <f t="shared" si="189"/>
        <v>3.0981142364071182E-3</v>
      </c>
      <c r="Y228" s="3">
        <f t="shared" si="189"/>
        <v>3.0981142364071078E-3</v>
      </c>
      <c r="Z228" s="3">
        <f t="shared" si="189"/>
        <v>3.098114236407005E-3</v>
      </c>
      <c r="AA228" s="3">
        <f t="shared" si="189"/>
        <v>3.0981142364059824E-3</v>
      </c>
      <c r="AB228" s="3">
        <f t="shared" si="189"/>
        <v>3.0981142363957497E-3</v>
      </c>
      <c r="AC228" s="3">
        <f t="shared" si="189"/>
        <v>3.098114236293424E-3</v>
      </c>
      <c r="AD228" s="3">
        <f t="shared" si="189"/>
        <v>3.0981142352701678E-3</v>
      </c>
      <c r="AE228" s="3">
        <f t="shared" si="189"/>
        <v>3.0981142250376091E-3</v>
      </c>
      <c r="AF228" s="3">
        <f t="shared" si="189"/>
        <v>3.0981141227120214E-3</v>
      </c>
      <c r="AG228" s="3"/>
      <c r="AH228" s="3"/>
    </row>
    <row r="229" spans="2:34" x14ac:dyDescent="0.25">
      <c r="B229" s="3">
        <f t="shared" ref="B229:AF229" si="190">$C37*EXP(-B$207/$A37/EXP(-$D$126))</f>
        <v>1.3450651080742435E-3</v>
      </c>
      <c r="C229" s="3">
        <f t="shared" si="190"/>
        <v>1.3450651080742435E-3</v>
      </c>
      <c r="D229" s="3">
        <f t="shared" si="190"/>
        <v>1.3450651080742435E-3</v>
      </c>
      <c r="E229" s="3">
        <f t="shared" si="190"/>
        <v>1.3450651080742435E-3</v>
      </c>
      <c r="F229" s="3">
        <f t="shared" si="190"/>
        <v>1.3450651080742435E-3</v>
      </c>
      <c r="G229" s="3">
        <f t="shared" si="190"/>
        <v>1.3450651080742435E-3</v>
      </c>
      <c r="H229" s="3">
        <f t="shared" si="190"/>
        <v>1.3450651080742435E-3</v>
      </c>
      <c r="I229" s="3">
        <f t="shared" si="190"/>
        <v>1.3450651080742435E-3</v>
      </c>
      <c r="J229" s="3">
        <f t="shared" si="190"/>
        <v>1.3450651080742435E-3</v>
      </c>
      <c r="K229" s="3">
        <f t="shared" si="190"/>
        <v>1.3450651080742435E-3</v>
      </c>
      <c r="L229" s="3">
        <f t="shared" si="190"/>
        <v>1.3450651080742435E-3</v>
      </c>
      <c r="M229" s="3">
        <f t="shared" si="190"/>
        <v>1.3450651080742435E-3</v>
      </c>
      <c r="N229" s="3">
        <f t="shared" si="190"/>
        <v>1.3450651080742435E-3</v>
      </c>
      <c r="O229" s="3">
        <f t="shared" si="190"/>
        <v>1.3450651080742435E-3</v>
      </c>
      <c r="P229" s="3">
        <f t="shared" si="190"/>
        <v>1.3450651080742435E-3</v>
      </c>
      <c r="Q229" s="3">
        <f t="shared" si="190"/>
        <v>1.3450651080742435E-3</v>
      </c>
      <c r="R229" s="3">
        <f t="shared" si="190"/>
        <v>1.3450651080742435E-3</v>
      </c>
      <c r="S229" s="3">
        <f t="shared" si="190"/>
        <v>1.3450651080742435E-3</v>
      </c>
      <c r="T229" s="3">
        <f t="shared" si="190"/>
        <v>1.3450651080742435E-3</v>
      </c>
      <c r="U229" s="3">
        <f t="shared" si="190"/>
        <v>1.3450651080742435E-3</v>
      </c>
      <c r="V229" s="3">
        <f t="shared" si="190"/>
        <v>1.3450651080742435E-3</v>
      </c>
      <c r="W229" s="3">
        <f t="shared" si="190"/>
        <v>1.3450651080742435E-3</v>
      </c>
      <c r="X229" s="3">
        <f t="shared" si="190"/>
        <v>1.3450651080742435E-3</v>
      </c>
      <c r="Y229" s="3">
        <f t="shared" si="190"/>
        <v>1.345065108074243E-3</v>
      </c>
      <c r="Z229" s="3">
        <f t="shared" si="190"/>
        <v>1.3450651080742389E-3</v>
      </c>
      <c r="AA229" s="3">
        <f t="shared" si="190"/>
        <v>1.345065108074199E-3</v>
      </c>
      <c r="AB229" s="3">
        <f t="shared" si="190"/>
        <v>1.3450651080737981E-3</v>
      </c>
      <c r="AC229" s="3">
        <f t="shared" si="190"/>
        <v>1.3450651080697906E-3</v>
      </c>
      <c r="AD229" s="3">
        <f t="shared" si="190"/>
        <v>1.3450651080297155E-3</v>
      </c>
      <c r="AE229" s="3">
        <f t="shared" si="190"/>
        <v>1.3450651076289625E-3</v>
      </c>
      <c r="AF229" s="3">
        <f t="shared" si="190"/>
        <v>1.3450651036214329E-3</v>
      </c>
      <c r="AG229" s="3"/>
      <c r="AH229" s="3"/>
    </row>
    <row r="230" spans="2:34" x14ac:dyDescent="0.25">
      <c r="B230" s="3">
        <f t="shared" ref="B230:AF230" si="191">$C38*EXP(-B$207/$A38/EXP(-$D$126))</f>
        <v>1.5999872696703847E-4</v>
      </c>
      <c r="C230" s="3">
        <f t="shared" si="191"/>
        <v>1.5999872696703847E-4</v>
      </c>
      <c r="D230" s="3">
        <f t="shared" si="191"/>
        <v>1.5999872696703847E-4</v>
      </c>
      <c r="E230" s="3">
        <f t="shared" si="191"/>
        <v>1.5999872696703847E-4</v>
      </c>
      <c r="F230" s="3">
        <f t="shared" si="191"/>
        <v>1.5999872696703847E-4</v>
      </c>
      <c r="G230" s="3">
        <f t="shared" si="191"/>
        <v>1.5999872696703847E-4</v>
      </c>
      <c r="H230" s="3">
        <f t="shared" si="191"/>
        <v>1.5999872696703847E-4</v>
      </c>
      <c r="I230" s="3">
        <f t="shared" si="191"/>
        <v>1.5999872696703847E-4</v>
      </c>
      <c r="J230" s="3">
        <f t="shared" si="191"/>
        <v>1.5999872696703847E-4</v>
      </c>
      <c r="K230" s="3">
        <f t="shared" si="191"/>
        <v>1.5999872696703847E-4</v>
      </c>
      <c r="L230" s="3">
        <f t="shared" si="191"/>
        <v>1.5999872696703847E-4</v>
      </c>
      <c r="M230" s="3">
        <f t="shared" si="191"/>
        <v>1.5999872696703847E-4</v>
      </c>
      <c r="N230" s="3">
        <f t="shared" si="191"/>
        <v>1.5999872696703847E-4</v>
      </c>
      <c r="O230" s="3">
        <f t="shared" si="191"/>
        <v>1.5999872696703847E-4</v>
      </c>
      <c r="P230" s="3">
        <f t="shared" si="191"/>
        <v>1.5999872696703847E-4</v>
      </c>
      <c r="Q230" s="3">
        <f t="shared" si="191"/>
        <v>1.5999872696703847E-4</v>
      </c>
      <c r="R230" s="3">
        <f t="shared" si="191"/>
        <v>1.5999872696703847E-4</v>
      </c>
      <c r="S230" s="3">
        <f t="shared" si="191"/>
        <v>1.5999872696703847E-4</v>
      </c>
      <c r="T230" s="3">
        <f t="shared" si="191"/>
        <v>1.5999872696703847E-4</v>
      </c>
      <c r="U230" s="3">
        <f t="shared" si="191"/>
        <v>1.5999872696703847E-4</v>
      </c>
      <c r="V230" s="3">
        <f t="shared" si="191"/>
        <v>1.5999872696703847E-4</v>
      </c>
      <c r="W230" s="3">
        <f t="shared" si="191"/>
        <v>1.5999872696703847E-4</v>
      </c>
      <c r="X230" s="3">
        <f t="shared" si="191"/>
        <v>1.5999872696703847E-4</v>
      </c>
      <c r="Y230" s="3">
        <f t="shared" si="191"/>
        <v>1.5999872696703847E-4</v>
      </c>
      <c r="Z230" s="3">
        <f t="shared" si="191"/>
        <v>1.5999872696703841E-4</v>
      </c>
      <c r="AA230" s="3">
        <f t="shared" si="191"/>
        <v>1.5999872696703798E-4</v>
      </c>
      <c r="AB230" s="3">
        <f t="shared" si="191"/>
        <v>1.599987269670337E-4</v>
      </c>
      <c r="AC230" s="3">
        <f t="shared" si="191"/>
        <v>1.5999872696699068E-4</v>
      </c>
      <c r="AD230" s="3">
        <f t="shared" si="191"/>
        <v>1.5999872696656066E-4</v>
      </c>
      <c r="AE230" s="3">
        <f t="shared" si="191"/>
        <v>1.5999872696226036E-4</v>
      </c>
      <c r="AF230" s="3">
        <f t="shared" si="191"/>
        <v>1.599987269192576E-4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1.1033683083565872E-4</v>
      </c>
      <c r="C233" s="3">
        <f t="shared" si="194"/>
        <v>1.1033683083565872E-4</v>
      </c>
      <c r="D233" s="3">
        <f t="shared" si="194"/>
        <v>1.1033683083565872E-4</v>
      </c>
      <c r="E233" s="3">
        <f t="shared" si="194"/>
        <v>1.1033683083565872E-4</v>
      </c>
      <c r="F233" s="3">
        <f t="shared" si="194"/>
        <v>1.1033683083565872E-4</v>
      </c>
      <c r="G233" s="3">
        <f t="shared" si="194"/>
        <v>1.1033683083565872E-4</v>
      </c>
      <c r="H233" s="3">
        <f t="shared" si="194"/>
        <v>1.1033683083565872E-4</v>
      </c>
      <c r="I233" s="3">
        <f t="shared" si="194"/>
        <v>1.1033683083565872E-4</v>
      </c>
      <c r="J233" s="3">
        <f t="shared" si="194"/>
        <v>1.1033683083565872E-4</v>
      </c>
      <c r="K233" s="3">
        <f t="shared" si="194"/>
        <v>1.1033683083565872E-4</v>
      </c>
      <c r="L233" s="3">
        <f t="shared" si="194"/>
        <v>1.1033683083565872E-4</v>
      </c>
      <c r="M233" s="3">
        <f t="shared" si="194"/>
        <v>1.1033683083565872E-4</v>
      </c>
      <c r="N233" s="3">
        <f t="shared" si="194"/>
        <v>1.1033683083565872E-4</v>
      </c>
      <c r="O233" s="3">
        <f t="shared" si="194"/>
        <v>1.1033683083565872E-4</v>
      </c>
      <c r="P233" s="3">
        <f t="shared" si="194"/>
        <v>1.1033683083565872E-4</v>
      </c>
      <c r="Q233" s="3">
        <f t="shared" si="194"/>
        <v>1.1033683083565872E-4</v>
      </c>
      <c r="R233" s="3">
        <f t="shared" si="194"/>
        <v>1.1033683083565872E-4</v>
      </c>
      <c r="S233" s="3">
        <f t="shared" si="194"/>
        <v>1.1033683083565872E-4</v>
      </c>
      <c r="T233" s="3">
        <f t="shared" si="194"/>
        <v>1.1033683083565872E-4</v>
      </c>
      <c r="U233" s="3">
        <f t="shared" si="194"/>
        <v>1.1033683083565872E-4</v>
      </c>
      <c r="V233" s="3">
        <f t="shared" si="194"/>
        <v>1.1033683083565872E-4</v>
      </c>
      <c r="W233" s="3">
        <f t="shared" si="194"/>
        <v>1.1033683083565872E-4</v>
      </c>
      <c r="X233" s="3">
        <f t="shared" si="194"/>
        <v>1.1033683083565872E-4</v>
      </c>
      <c r="Y233" s="3">
        <f t="shared" si="194"/>
        <v>1.1033683083565872E-4</v>
      </c>
      <c r="Z233" s="3">
        <f t="shared" si="194"/>
        <v>1.1033683083565872E-4</v>
      </c>
      <c r="AA233" s="3">
        <f t="shared" si="194"/>
        <v>1.1033683083565872E-4</v>
      </c>
      <c r="AB233" s="3">
        <f t="shared" si="194"/>
        <v>1.103368308356587E-4</v>
      </c>
      <c r="AC233" s="3">
        <f t="shared" si="194"/>
        <v>1.1033683083565864E-4</v>
      </c>
      <c r="AD233" s="3">
        <f t="shared" si="194"/>
        <v>1.1033683083565781E-4</v>
      </c>
      <c r="AE233" s="3">
        <f t="shared" si="194"/>
        <v>1.1033683083564961E-4</v>
      </c>
      <c r="AF233" s="3">
        <f t="shared" si="194"/>
        <v>1.1033683083556759E-4</v>
      </c>
      <c r="AG233" s="3"/>
      <c r="AH233" s="3"/>
    </row>
    <row r="234" spans="2:34" x14ac:dyDescent="0.25">
      <c r="B234" s="3">
        <f t="shared" ref="B234:AF234" si="195">$C42*EXP(-B$207/$A42/EXP(-$D$126))</f>
        <v>5.3430093526516889E-5</v>
      </c>
      <c r="C234" s="3">
        <f t="shared" si="195"/>
        <v>5.3430093526516889E-5</v>
      </c>
      <c r="D234" s="3">
        <f t="shared" si="195"/>
        <v>5.3430093526516889E-5</v>
      </c>
      <c r="E234" s="3">
        <f t="shared" si="195"/>
        <v>5.3430093526516889E-5</v>
      </c>
      <c r="F234" s="3">
        <f t="shared" si="195"/>
        <v>5.3430093526516889E-5</v>
      </c>
      <c r="G234" s="3">
        <f t="shared" si="195"/>
        <v>5.3430093526516889E-5</v>
      </c>
      <c r="H234" s="3">
        <f t="shared" si="195"/>
        <v>5.3430093526516889E-5</v>
      </c>
      <c r="I234" s="3">
        <f t="shared" si="195"/>
        <v>5.3430093526516889E-5</v>
      </c>
      <c r="J234" s="3">
        <f t="shared" si="195"/>
        <v>5.3430093526516889E-5</v>
      </c>
      <c r="K234" s="3">
        <f t="shared" si="195"/>
        <v>5.3430093526516889E-5</v>
      </c>
      <c r="L234" s="3">
        <f t="shared" si="195"/>
        <v>5.3430093526516889E-5</v>
      </c>
      <c r="M234" s="3">
        <f t="shared" si="195"/>
        <v>5.3430093526516889E-5</v>
      </c>
      <c r="N234" s="3">
        <f t="shared" si="195"/>
        <v>5.3430093526516889E-5</v>
      </c>
      <c r="O234" s="3">
        <f t="shared" si="195"/>
        <v>5.3430093526516889E-5</v>
      </c>
      <c r="P234" s="3">
        <f t="shared" si="195"/>
        <v>5.3430093526516889E-5</v>
      </c>
      <c r="Q234" s="3">
        <f t="shared" si="195"/>
        <v>5.3430093526516889E-5</v>
      </c>
      <c r="R234" s="3">
        <f t="shared" si="195"/>
        <v>5.3430093526516889E-5</v>
      </c>
      <c r="S234" s="3">
        <f t="shared" si="195"/>
        <v>5.3430093526516889E-5</v>
      </c>
      <c r="T234" s="3">
        <f t="shared" si="195"/>
        <v>5.3430093526516889E-5</v>
      </c>
      <c r="U234" s="3">
        <f t="shared" si="195"/>
        <v>5.3430093526516889E-5</v>
      </c>
      <c r="V234" s="3">
        <f t="shared" si="195"/>
        <v>5.3430093526516889E-5</v>
      </c>
      <c r="W234" s="3">
        <f t="shared" si="195"/>
        <v>5.3430093526516889E-5</v>
      </c>
      <c r="X234" s="3">
        <f t="shared" si="195"/>
        <v>5.3430093526516889E-5</v>
      </c>
      <c r="Y234" s="3">
        <f t="shared" si="195"/>
        <v>5.3430093526516889E-5</v>
      </c>
      <c r="Z234" s="3">
        <f t="shared" si="195"/>
        <v>5.3430093526516889E-5</v>
      </c>
      <c r="AA234" s="3">
        <f t="shared" si="195"/>
        <v>5.3430093526516889E-5</v>
      </c>
      <c r="AB234" s="3">
        <f t="shared" si="195"/>
        <v>5.3430093526516889E-5</v>
      </c>
      <c r="AC234" s="3">
        <f t="shared" si="195"/>
        <v>5.3430093526516882E-5</v>
      </c>
      <c r="AD234" s="3">
        <f t="shared" si="195"/>
        <v>5.3430093526516848E-5</v>
      </c>
      <c r="AE234" s="3">
        <f t="shared" si="195"/>
        <v>5.3430093526516449E-5</v>
      </c>
      <c r="AF234" s="3">
        <f t="shared" si="195"/>
        <v>5.3430093526512478E-5</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1.1249816087007928E-3</v>
      </c>
      <c r="C240" s="3">
        <f t="shared" si="201"/>
        <v>1.1249816087007928E-3</v>
      </c>
      <c r="D240" s="3">
        <f t="shared" si="201"/>
        <v>1.1249816087007928E-3</v>
      </c>
      <c r="E240" s="3">
        <f t="shared" si="201"/>
        <v>1.1249816087007928E-3</v>
      </c>
      <c r="F240" s="3">
        <f t="shared" si="201"/>
        <v>1.1249816087007928E-3</v>
      </c>
      <c r="G240" s="3">
        <f t="shared" si="201"/>
        <v>1.1249816087007928E-3</v>
      </c>
      <c r="H240" s="3">
        <f t="shared" si="201"/>
        <v>1.1249816087007928E-3</v>
      </c>
      <c r="I240" s="3">
        <f t="shared" si="201"/>
        <v>1.1249816087007928E-3</v>
      </c>
      <c r="J240" s="3">
        <f t="shared" si="201"/>
        <v>1.1249816087007928E-3</v>
      </c>
      <c r="K240" s="3">
        <f t="shared" si="201"/>
        <v>1.1249816087007928E-3</v>
      </c>
      <c r="L240" s="3">
        <f t="shared" si="201"/>
        <v>1.1249816087007928E-3</v>
      </c>
      <c r="M240" s="3">
        <f t="shared" si="201"/>
        <v>1.1249816087007928E-3</v>
      </c>
      <c r="N240" s="3">
        <f t="shared" si="201"/>
        <v>1.1249816087007928E-3</v>
      </c>
      <c r="O240" s="3">
        <f t="shared" si="201"/>
        <v>1.1249816087007928E-3</v>
      </c>
      <c r="P240" s="3">
        <f t="shared" si="201"/>
        <v>1.1249816087007928E-3</v>
      </c>
      <c r="Q240" s="3">
        <f t="shared" si="201"/>
        <v>1.1249816087007928E-3</v>
      </c>
      <c r="R240" s="3">
        <f t="shared" si="201"/>
        <v>1.1249816087007928E-3</v>
      </c>
      <c r="S240" s="3">
        <f t="shared" si="201"/>
        <v>1.1249816087007928E-3</v>
      </c>
      <c r="T240" s="3">
        <f t="shared" si="201"/>
        <v>1.1249816087007928E-3</v>
      </c>
      <c r="U240" s="3">
        <f t="shared" si="201"/>
        <v>1.1249816087007928E-3</v>
      </c>
      <c r="V240" s="3">
        <f t="shared" si="201"/>
        <v>1.1249816087007928E-3</v>
      </c>
      <c r="W240" s="3">
        <f t="shared" si="201"/>
        <v>1.1249816087007928E-3</v>
      </c>
      <c r="X240" s="3">
        <f t="shared" si="201"/>
        <v>1.1249816087007928E-3</v>
      </c>
      <c r="Y240" s="3">
        <f t="shared" si="201"/>
        <v>1.1249816087007928E-3</v>
      </c>
      <c r="Z240" s="3">
        <f t="shared" si="201"/>
        <v>1.1249816087007928E-3</v>
      </c>
      <c r="AA240" s="3">
        <f t="shared" si="201"/>
        <v>1.1249816087007928E-3</v>
      </c>
      <c r="AB240" s="3">
        <f t="shared" si="201"/>
        <v>1.1249816087007928E-3</v>
      </c>
      <c r="AC240" s="3">
        <f t="shared" si="201"/>
        <v>1.1249816087007928E-3</v>
      </c>
      <c r="AD240" s="3">
        <f t="shared" si="201"/>
        <v>1.1249816087007928E-3</v>
      </c>
      <c r="AE240" s="3">
        <f t="shared" si="201"/>
        <v>1.1249816087007928E-3</v>
      </c>
      <c r="AF240" s="3">
        <f t="shared" si="201"/>
        <v>1.1249816087007928E-3</v>
      </c>
      <c r="AG240" s="3"/>
      <c r="AH240" s="3"/>
    </row>
    <row r="241" spans="1:34" x14ac:dyDescent="0.25">
      <c r="A241" s="79">
        <f>AVERAGE(B241:AF241)</f>
        <v>6.582006832939101E-2</v>
      </c>
      <c r="B241" s="80">
        <f>IF($A$64&lt;=B207,IF($B$64&gt;=B207,ABS((B209-B208)/B208),0),0)</f>
        <v>1.8431628923552546E-7</v>
      </c>
      <c r="C241" s="80">
        <f t="shared" ref="C241:AF241" si="202">IF($A$64&lt;=C207,IF($B$64&gt;=C207,ABS((C209-C208)/C208),0),0)</f>
        <v>4.6631107572327514E-6</v>
      </c>
      <c r="D241" s="80">
        <f t="shared" si="202"/>
        <v>9.0129817713363161E-6</v>
      </c>
      <c r="E241" s="80">
        <f t="shared" si="202"/>
        <v>1.0984648666807505E-4</v>
      </c>
      <c r="F241" s="80">
        <f t="shared" si="202"/>
        <v>1.0829342304002547E-3</v>
      </c>
      <c r="G241" s="80">
        <f t="shared" si="202"/>
        <v>9.5483349053540507E-3</v>
      </c>
      <c r="H241" s="80">
        <f t="shared" si="202"/>
        <v>4.1259582963907679E-2</v>
      </c>
      <c r="I241" s="80">
        <f t="shared" si="202"/>
        <v>6.4541591842994017E-2</v>
      </c>
      <c r="J241" s="80">
        <f t="shared" si="202"/>
        <v>8.6508651881265775E-2</v>
      </c>
      <c r="K241" s="80">
        <f t="shared" si="202"/>
        <v>0.11245768249970073</v>
      </c>
      <c r="L241" s="80">
        <f t="shared" si="202"/>
        <v>0.14056745859180381</v>
      </c>
      <c r="M241" s="80">
        <f t="shared" si="202"/>
        <v>0.17103218566983983</v>
      </c>
      <c r="N241" s="80">
        <f t="shared" si="202"/>
        <v>0.17590376535353039</v>
      </c>
      <c r="O241" s="80">
        <f t="shared" si="202"/>
        <v>2.1731812163920051E-2</v>
      </c>
      <c r="P241" s="80">
        <f t="shared" si="202"/>
        <v>0.21207297689903662</v>
      </c>
      <c r="Q241" s="80">
        <f t="shared" si="202"/>
        <v>0.18210538922738967</v>
      </c>
      <c r="R241" s="80">
        <f t="shared" si="202"/>
        <v>0.14188293414339379</v>
      </c>
      <c r="S241" s="80">
        <f t="shared" si="202"/>
        <v>8.9758510225026303E-2</v>
      </c>
      <c r="T241" s="80">
        <f t="shared" si="202"/>
        <v>3.1671039495216179E-2</v>
      </c>
      <c r="U241" s="80">
        <f t="shared" si="202"/>
        <v>1.2425151526785088E-2</v>
      </c>
      <c r="V241" s="80">
        <f t="shared" si="202"/>
        <v>1.7204844592988069E-3</v>
      </c>
      <c r="W241" s="80">
        <f t="shared" si="202"/>
        <v>1.1780100257980044E-2</v>
      </c>
      <c r="X241" s="80">
        <f t="shared" si="202"/>
        <v>1.844980162831909E-2</v>
      </c>
      <c r="Y241" s="80">
        <f t="shared" si="202"/>
        <v>1.4273316956074568E-2</v>
      </c>
      <c r="Z241" s="80">
        <f t="shared" si="202"/>
        <v>1.0547692703227262E-2</v>
      </c>
      <c r="AA241" s="80">
        <f t="shared" si="202"/>
        <v>1.1099865134323746E-3</v>
      </c>
      <c r="AB241" s="80">
        <f t="shared" si="202"/>
        <v>1.779570050483462E-2</v>
      </c>
      <c r="AC241" s="80">
        <f t="shared" si="202"/>
        <v>4.7972026146013133E-2</v>
      </c>
      <c r="AD241" s="80">
        <f t="shared" si="202"/>
        <v>9.2545633081166562E-2</v>
      </c>
      <c r="AE241" s="80">
        <f t="shared" si="202"/>
        <v>0.14486375912478069</v>
      </c>
      <c r="AF241" s="80">
        <f t="shared" si="202"/>
        <v>0.18468990832094428</v>
      </c>
    </row>
    <row r="242" spans="1:34" x14ac:dyDescent="0.25">
      <c r="B242" s="21">
        <f>(B209-B208)^2</f>
        <v>1.0707718766320026E-6</v>
      </c>
      <c r="C242" s="21">
        <f t="shared" ref="C242:AF242" si="203">(C209-C208)^2</f>
        <v>6.8537015928887184E-4</v>
      </c>
      <c r="D242" s="21">
        <f t="shared" si="203"/>
        <v>2.5603470458662346E-3</v>
      </c>
      <c r="E242" s="21">
        <f t="shared" si="203"/>
        <v>0.38023020635342158</v>
      </c>
      <c r="F242" s="21">
        <f t="shared" si="203"/>
        <v>36.883635922836326</v>
      </c>
      <c r="G242" s="21">
        <f t="shared" si="203"/>
        <v>2819.4911110967723</v>
      </c>
      <c r="H242" s="21">
        <f t="shared" si="203"/>
        <v>49488.158817242103</v>
      </c>
      <c r="I242" s="21">
        <f t="shared" si="203"/>
        <v>115857.31862834956</v>
      </c>
      <c r="J242" s="21">
        <f t="shared" si="203"/>
        <v>199811.07486608581</v>
      </c>
      <c r="K242" s="21">
        <f t="shared" si="203"/>
        <v>322071.7263564826</v>
      </c>
      <c r="L242" s="21">
        <f t="shared" si="203"/>
        <v>478425.14307389408</v>
      </c>
      <c r="M242" s="21">
        <f t="shared" si="203"/>
        <v>667976.07385289774</v>
      </c>
      <c r="N242" s="21">
        <f t="shared" si="203"/>
        <v>661822.26807010092</v>
      </c>
      <c r="O242" s="21">
        <f t="shared" si="203"/>
        <v>9412.965594310037</v>
      </c>
      <c r="P242" s="21">
        <f t="shared" si="203"/>
        <v>835989.1806978957</v>
      </c>
      <c r="Q242" s="21">
        <f t="shared" si="203"/>
        <v>571879.37660449545</v>
      </c>
      <c r="R242" s="21">
        <f t="shared" si="203"/>
        <v>315358.04795765306</v>
      </c>
      <c r="S242" s="21">
        <f t="shared" si="203"/>
        <v>112125.98712675265</v>
      </c>
      <c r="T242" s="21">
        <f t="shared" si="203"/>
        <v>12287.91407584212</v>
      </c>
      <c r="U242" s="21">
        <f t="shared" si="203"/>
        <v>1670.4290120119008</v>
      </c>
      <c r="V242" s="21">
        <f t="shared" si="203"/>
        <v>28.176431449575716</v>
      </c>
      <c r="W242" s="21">
        <f t="shared" si="203"/>
        <v>1171.3912267130208</v>
      </c>
      <c r="X242" s="21">
        <f t="shared" si="203"/>
        <v>2542.3724398478539</v>
      </c>
      <c r="Y242" s="21">
        <f t="shared" si="203"/>
        <v>1343.7065999617096</v>
      </c>
      <c r="Z242" s="21">
        <f t="shared" si="203"/>
        <v>633.42722939124076</v>
      </c>
      <c r="AA242" s="21">
        <f t="shared" si="203"/>
        <v>5.9457110846841443</v>
      </c>
      <c r="AB242" s="21">
        <f t="shared" si="203"/>
        <v>1250.8429015627089</v>
      </c>
      <c r="AC242" s="21">
        <f t="shared" si="203"/>
        <v>7099.6921969221912</v>
      </c>
      <c r="AD242" s="21">
        <f t="shared" si="203"/>
        <v>18974.857752765503</v>
      </c>
      <c r="AE242" s="21">
        <f t="shared" si="203"/>
        <v>29501.935366797785</v>
      </c>
      <c r="AF242" s="21">
        <f t="shared" si="203"/>
        <v>26262.965562551435</v>
      </c>
      <c r="AG242" s="3"/>
      <c r="AH242" s="3"/>
    </row>
    <row r="243" spans="1:34" x14ac:dyDescent="0.25">
      <c r="A243" s="71">
        <f>SUM(B243:AF243)</f>
        <v>4445847.7363770753</v>
      </c>
      <c r="B243" s="60">
        <f>IF($A$64&lt;=B207,IF($B$64&gt;=B207,ABS(B242),0),0)</f>
        <v>1.0707718766320026E-6</v>
      </c>
      <c r="C243" s="60">
        <f t="shared" ref="C243" si="204">IF($A$64&lt;=C207,IF($B$64&gt;=C207,ABS(C242),0),0)</f>
        <v>6.8537015928887184E-4</v>
      </c>
      <c r="D243" s="60">
        <f t="shared" ref="D243" si="205">IF($A$64&lt;=D207,IF($B$64&gt;=D207,ABS(D242),0),0)</f>
        <v>2.5603470458662346E-3</v>
      </c>
      <c r="E243" s="60">
        <f t="shared" ref="E243" si="206">IF($A$64&lt;=E207,IF($B$64&gt;=E207,ABS(E242),0),0)</f>
        <v>0.38023020635342158</v>
      </c>
      <c r="F243" s="60">
        <f t="shared" ref="F243" si="207">IF($A$64&lt;=F207,IF($B$64&gt;=F207,ABS(F242),0),0)</f>
        <v>36.883635922836326</v>
      </c>
      <c r="G243" s="60">
        <f t="shared" ref="G243" si="208">IF($A$64&lt;=G207,IF($B$64&gt;=G207,ABS(G242),0),0)</f>
        <v>2819.4911110967723</v>
      </c>
      <c r="H243" s="60">
        <f t="shared" ref="H243" si="209">IF($A$64&lt;=H207,IF($B$64&gt;=H207,ABS(H242),0),0)</f>
        <v>49488.158817242103</v>
      </c>
      <c r="I243" s="60">
        <f t="shared" ref="I243" si="210">IF($A$64&lt;=I207,IF($B$64&gt;=I207,ABS(I242),0),0)</f>
        <v>115857.31862834956</v>
      </c>
      <c r="J243" s="60">
        <f t="shared" ref="J243" si="211">IF($A$64&lt;=J207,IF($B$64&gt;=J207,ABS(J242),0),0)</f>
        <v>199811.07486608581</v>
      </c>
      <c r="K243" s="60">
        <f t="shared" ref="K243" si="212">IF($A$64&lt;=K207,IF($B$64&gt;=K207,ABS(K242),0),0)</f>
        <v>322071.7263564826</v>
      </c>
      <c r="L243" s="60">
        <f t="shared" ref="L243" si="213">IF($A$64&lt;=L207,IF($B$64&gt;=L207,ABS(L242),0),0)</f>
        <v>478425.14307389408</v>
      </c>
      <c r="M243" s="60">
        <f t="shared" ref="M243" si="214">IF($A$64&lt;=M207,IF($B$64&gt;=M207,ABS(M242),0),0)</f>
        <v>667976.07385289774</v>
      </c>
      <c r="N243" s="60">
        <f t="shared" ref="N243" si="215">IF($A$64&lt;=N207,IF($B$64&gt;=N207,ABS(N242),0),0)</f>
        <v>661822.26807010092</v>
      </c>
      <c r="O243" s="60">
        <f t="shared" ref="O243" si="216">IF($A$64&lt;=O207,IF($B$64&gt;=O207,ABS(O242),0),0)</f>
        <v>9412.965594310037</v>
      </c>
      <c r="P243" s="60">
        <f t="shared" ref="P243" si="217">IF($A$64&lt;=P207,IF($B$64&gt;=P207,ABS(P242),0),0)</f>
        <v>835989.1806978957</v>
      </c>
      <c r="Q243" s="60">
        <f t="shared" ref="Q243" si="218">IF($A$64&lt;=Q207,IF($B$64&gt;=Q207,ABS(Q242),0),0)</f>
        <v>571879.37660449545</v>
      </c>
      <c r="R243" s="60">
        <f t="shared" ref="R243" si="219">IF($A$64&lt;=R207,IF($B$64&gt;=R207,ABS(R242),0),0)</f>
        <v>315358.04795765306</v>
      </c>
      <c r="S243" s="60">
        <f t="shared" ref="S243" si="220">IF($A$64&lt;=S207,IF($B$64&gt;=S207,ABS(S242),0),0)</f>
        <v>112125.98712675265</v>
      </c>
      <c r="T243" s="60">
        <f t="shared" ref="T243" si="221">IF($A$64&lt;=T207,IF($B$64&gt;=T207,ABS(T242),0),0)</f>
        <v>12287.91407584212</v>
      </c>
      <c r="U243" s="60">
        <f t="shared" ref="U243" si="222">IF($A$64&lt;=U207,IF($B$64&gt;=U207,ABS(U242),0),0)</f>
        <v>1670.4290120119008</v>
      </c>
      <c r="V243" s="60">
        <f t="shared" ref="V243" si="223">IF($A$64&lt;=V207,IF($B$64&gt;=V207,ABS(V242),0),0)</f>
        <v>28.176431449575716</v>
      </c>
      <c r="W243" s="60">
        <f t="shared" ref="W243" si="224">IF($A$64&lt;=W207,IF($B$64&gt;=W207,ABS(W242),0),0)</f>
        <v>1171.3912267130208</v>
      </c>
      <c r="X243" s="60">
        <f t="shared" ref="X243" si="225">IF($A$64&lt;=X207,IF($B$64&gt;=X207,ABS(X242),0),0)</f>
        <v>2542.3724398478539</v>
      </c>
      <c r="Y243" s="60">
        <f t="shared" ref="Y243" si="226">IF($A$64&lt;=Y207,IF($B$64&gt;=Y207,ABS(Y242),0),0)</f>
        <v>1343.7065999617096</v>
      </c>
      <c r="Z243" s="60">
        <f t="shared" ref="Z243" si="227">IF($A$64&lt;=Z207,IF($B$64&gt;=Z207,ABS(Z242),0),0)</f>
        <v>633.42722939124076</v>
      </c>
      <c r="AA243" s="60">
        <f t="shared" ref="AA243" si="228">IF($A$64&lt;=AA207,IF($B$64&gt;=AA207,ABS(AA242),0),0)</f>
        <v>5.9457110846841443</v>
      </c>
      <c r="AB243" s="60">
        <f t="shared" ref="AB243" si="229">IF($A$64&lt;=AB207,IF($B$64&gt;=AB207,ABS(AB242),0),0)</f>
        <v>1250.8429015627089</v>
      </c>
      <c r="AC243" s="60">
        <f t="shared" ref="AC243" si="230">IF($A$64&lt;=AC207,IF($B$64&gt;=AC207,ABS(AC242),0),0)</f>
        <v>7099.6921969221912</v>
      </c>
      <c r="AD243" s="60">
        <f t="shared" ref="AD243" si="231">IF($A$64&lt;=AD207,IF($B$64&gt;=AD207,ABS(AD242),0),0)</f>
        <v>18974.857752765503</v>
      </c>
      <c r="AE243" s="60">
        <f t="shared" ref="AE243" si="232">IF($A$64&lt;=AE207,IF($B$64&gt;=AE207,ABS(AE242),0),0)</f>
        <v>29501.935366797785</v>
      </c>
      <c r="AF243" s="60">
        <f t="shared" ref="AF243" si="233">IF($A$64&lt;=AF207,IF($B$64&gt;=AF207,ABS(AF242),0),0)</f>
        <v>26262.965562551435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0" t="s">
        <v>22</v>
      </c>
      <c r="B248" s="27">
        <f>($C$17+SUM(B249:B279))*$B$51</f>
        <v>5614.1606998701363</v>
      </c>
      <c r="C248" s="27">
        <f t="shared" ref="C248:AF248" si="234">($C$17+SUM(C249:C279))*$B$51</f>
        <v>5614.1606987013683</v>
      </c>
      <c r="D248" s="27">
        <f t="shared" si="234"/>
        <v>5614.1606870136857</v>
      </c>
      <c r="E248" s="27">
        <f t="shared" si="234"/>
        <v>5614.1605701368599</v>
      </c>
      <c r="F248" s="27">
        <f t="shared" si="234"/>
        <v>5614.1594013689437</v>
      </c>
      <c r="G248" s="27">
        <f t="shared" si="234"/>
        <v>5614.1477137236607</v>
      </c>
      <c r="H248" s="27">
        <f t="shared" si="234"/>
        <v>5614.0308406585555</v>
      </c>
      <c r="I248" s="27">
        <f t="shared" si="234"/>
        <v>5612.862448714608</v>
      </c>
      <c r="J248" s="27">
        <f t="shared" si="234"/>
        <v>5601.2123340315366</v>
      </c>
      <c r="K248" s="27">
        <f t="shared" si="234"/>
        <v>5488.0266633559231</v>
      </c>
      <c r="L248" s="27">
        <f t="shared" si="234"/>
        <v>4631.2441785555702</v>
      </c>
      <c r="M248" s="27">
        <f t="shared" si="234"/>
        <v>3402.8187638820473</v>
      </c>
      <c r="N248" s="27">
        <f t="shared" si="234"/>
        <v>3396.4641753444971</v>
      </c>
      <c r="O248" s="27">
        <f t="shared" si="234"/>
        <v>3396.4174421608113</v>
      </c>
      <c r="P248" s="27">
        <f t="shared" si="234"/>
        <v>3395.9504467645538</v>
      </c>
      <c r="Q248" s="27">
        <f t="shared" si="234"/>
        <v>3391.3139698198197</v>
      </c>
      <c r="R248" s="27">
        <f t="shared" si="234"/>
        <v>3348.1359437804149</v>
      </c>
      <c r="S248" s="27">
        <f t="shared" si="234"/>
        <v>3120.3330839958217</v>
      </c>
      <c r="T248" s="27">
        <f t="shared" si="234"/>
        <v>2959.776330038937</v>
      </c>
      <c r="U248" s="27">
        <f t="shared" si="234"/>
        <v>2811.5771286933264</v>
      </c>
      <c r="V248" s="27">
        <f t="shared" si="234"/>
        <v>2635.8839362746858</v>
      </c>
      <c r="W248" s="27">
        <f t="shared" si="234"/>
        <v>2445.0090522611904</v>
      </c>
      <c r="X248" s="27">
        <f t="shared" si="234"/>
        <v>2232.2763501369627</v>
      </c>
      <c r="Y248" s="27">
        <f t="shared" si="234"/>
        <v>1993.7143337668615</v>
      </c>
      <c r="Z248" s="27">
        <f t="shared" si="234"/>
        <v>1720.2870924201388</v>
      </c>
      <c r="AA248" s="27">
        <f t="shared" si="234"/>
        <v>1403.4485426633707</v>
      </c>
      <c r="AB248" s="27">
        <f t="shared" si="234"/>
        <v>1063.842326436243</v>
      </c>
      <c r="AC248" s="27">
        <f t="shared" si="234"/>
        <v>752.82818741990548</v>
      </c>
      <c r="AD248" s="27">
        <f t="shared" si="234"/>
        <v>522.34542199294913</v>
      </c>
      <c r="AE248" s="27">
        <f t="shared" si="234"/>
        <v>384.15295374061219</v>
      </c>
      <c r="AF248" s="27">
        <f t="shared" si="234"/>
        <v>315.72157339050437</v>
      </c>
      <c r="AG248" s="27"/>
      <c r="AH248" s="27"/>
    </row>
    <row r="249" spans="1:34" x14ac:dyDescent="0.25">
      <c r="B249" s="3">
        <f t="shared" ref="B249:AF249" si="235">$C18*EXP(-B$246/$A18/EXP(-$E$126))</f>
        <v>0.39501743004468792</v>
      </c>
      <c r="C249" s="3">
        <f t="shared" si="235"/>
        <v>0.39501742983650578</v>
      </c>
      <c r="D249" s="3">
        <f t="shared" si="235"/>
        <v>0.39501742775468396</v>
      </c>
      <c r="E249" s="3">
        <f t="shared" si="235"/>
        <v>0.39501740693646598</v>
      </c>
      <c r="F249" s="3">
        <f t="shared" si="235"/>
        <v>0.39501719875434732</v>
      </c>
      <c r="G249" s="3">
        <f t="shared" si="235"/>
        <v>0.39501511693919439</v>
      </c>
      <c r="H249" s="3">
        <f t="shared" si="235"/>
        <v>0.39499429939109115</v>
      </c>
      <c r="I249" s="3">
        <f t="shared" si="235"/>
        <v>0.39478618424091211</v>
      </c>
      <c r="J249" s="3">
        <f t="shared" si="235"/>
        <v>0.39271105407662904</v>
      </c>
      <c r="K249" s="3">
        <f t="shared" si="235"/>
        <v>0.37255030841042097</v>
      </c>
      <c r="L249" s="3">
        <f t="shared" si="235"/>
        <v>0.21993935125284753</v>
      </c>
      <c r="M249" s="3">
        <f t="shared" si="235"/>
        <v>1.1310532814945474E-3</v>
      </c>
      <c r="N249" s="3">
        <f t="shared" si="235"/>
        <v>1.4631346924409035E-26</v>
      </c>
      <c r="O249" s="3">
        <f t="shared" si="235"/>
        <v>1.9199801874243622E-255</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5.9661445570693118E-2</v>
      </c>
      <c r="C250" s="3">
        <f t="shared" si="236"/>
        <v>5.9661445570693111E-2</v>
      </c>
      <c r="D250" s="3">
        <f t="shared" si="236"/>
        <v>5.9661445570693028E-2</v>
      </c>
      <c r="E250" s="3">
        <f t="shared" si="236"/>
        <v>5.9661445570692223E-2</v>
      </c>
      <c r="F250" s="3">
        <f t="shared" si="236"/>
        <v>5.9661445570684167E-2</v>
      </c>
      <c r="G250" s="3">
        <f t="shared" si="236"/>
        <v>5.9661445570603627E-2</v>
      </c>
      <c r="H250" s="3">
        <f t="shared" si="236"/>
        <v>5.9661445569798202E-2</v>
      </c>
      <c r="I250" s="3">
        <f t="shared" si="236"/>
        <v>5.9661445561743992E-2</v>
      </c>
      <c r="J250" s="3">
        <f t="shared" si="236"/>
        <v>5.9661445481201891E-2</v>
      </c>
      <c r="K250" s="3">
        <f t="shared" si="236"/>
        <v>5.9661444675780828E-2</v>
      </c>
      <c r="L250" s="3">
        <f t="shared" si="236"/>
        <v>5.9661436621570779E-2</v>
      </c>
      <c r="M250" s="3">
        <f t="shared" si="236"/>
        <v>5.9661356079530097E-2</v>
      </c>
      <c r="N250" s="3">
        <f t="shared" si="236"/>
        <v>5.9660550665103458E-2</v>
      </c>
      <c r="O250" s="3">
        <f t="shared" si="236"/>
        <v>5.9652497118822777E-2</v>
      </c>
      <c r="P250" s="3">
        <f t="shared" si="236"/>
        <v>5.9572021424726354E-2</v>
      </c>
      <c r="Q250" s="3">
        <f t="shared" si="236"/>
        <v>5.8773211608149106E-2</v>
      </c>
      <c r="R250" s="3">
        <f t="shared" si="236"/>
        <v>5.135116284082978E-2</v>
      </c>
      <c r="S250" s="3">
        <f t="shared" si="236"/>
        <v>1.3312477250864485E-2</v>
      </c>
      <c r="T250" s="3">
        <f t="shared" si="236"/>
        <v>1.8253444895535715E-8</v>
      </c>
      <c r="U250" s="3">
        <f t="shared" si="236"/>
        <v>4.2875030662080558E-67</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1.9174474308937255E-2</v>
      </c>
      <c r="C251" s="3">
        <f t="shared" si="237"/>
        <v>1.9174474308937255E-2</v>
      </c>
      <c r="D251" s="3">
        <f t="shared" si="237"/>
        <v>1.9174474308937251E-2</v>
      </c>
      <c r="E251" s="3">
        <f t="shared" si="237"/>
        <v>1.917447430893723E-2</v>
      </c>
      <c r="F251" s="3">
        <f t="shared" si="237"/>
        <v>1.9174474308936994E-2</v>
      </c>
      <c r="G251" s="3">
        <f t="shared" si="237"/>
        <v>1.9174474308934659E-2</v>
      </c>
      <c r="H251" s="3">
        <f t="shared" si="237"/>
        <v>1.917447430891131E-2</v>
      </c>
      <c r="I251" s="3">
        <f t="shared" si="237"/>
        <v>1.9174474308677802E-2</v>
      </c>
      <c r="J251" s="3">
        <f t="shared" si="237"/>
        <v>1.9174474306342736E-2</v>
      </c>
      <c r="K251" s="3">
        <f t="shared" si="237"/>
        <v>1.9174474282992071E-2</v>
      </c>
      <c r="L251" s="3">
        <f t="shared" si="237"/>
        <v>1.9174474049485413E-2</v>
      </c>
      <c r="M251" s="3">
        <f t="shared" si="237"/>
        <v>1.9174471714418984E-2</v>
      </c>
      <c r="N251" s="3">
        <f t="shared" si="237"/>
        <v>1.917444836377033E-2</v>
      </c>
      <c r="O251" s="3">
        <f t="shared" si="237"/>
        <v>1.9174214858847807E-2</v>
      </c>
      <c r="P251" s="3">
        <f t="shared" si="237"/>
        <v>1.9171879966015118E-2</v>
      </c>
      <c r="Q251" s="3">
        <f t="shared" si="237"/>
        <v>1.9148546669897397E-2</v>
      </c>
      <c r="R251" s="3">
        <f t="shared" si="237"/>
        <v>1.8916769908873463E-2</v>
      </c>
      <c r="S251" s="3">
        <f t="shared" si="237"/>
        <v>1.6747832907193085E-2</v>
      </c>
      <c r="T251" s="3">
        <f t="shared" si="237"/>
        <v>4.9553575733307723E-3</v>
      </c>
      <c r="U251" s="3">
        <f t="shared" si="237"/>
        <v>2.5482309549182912E-8</v>
      </c>
      <c r="V251" s="3">
        <f t="shared" si="237"/>
        <v>3.2951612795657083E-61</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3.042813256492289E-2</v>
      </c>
      <c r="C252" s="3">
        <f t="shared" si="238"/>
        <v>3.042813256492289E-2</v>
      </c>
      <c r="D252" s="3">
        <f t="shared" si="238"/>
        <v>3.042813256492289E-2</v>
      </c>
      <c r="E252" s="3">
        <f t="shared" si="238"/>
        <v>3.0428132564922886E-2</v>
      </c>
      <c r="F252" s="3">
        <f t="shared" si="238"/>
        <v>3.0428132564922852E-2</v>
      </c>
      <c r="G252" s="3">
        <f t="shared" si="238"/>
        <v>3.0428132564922519E-2</v>
      </c>
      <c r="H252" s="3">
        <f t="shared" si="238"/>
        <v>3.0428132564919178E-2</v>
      </c>
      <c r="I252" s="3">
        <f t="shared" si="238"/>
        <v>3.0428132564885749E-2</v>
      </c>
      <c r="J252" s="3">
        <f t="shared" si="238"/>
        <v>3.0428132564551479E-2</v>
      </c>
      <c r="K252" s="3">
        <f t="shared" si="238"/>
        <v>3.0428132561208777E-2</v>
      </c>
      <c r="L252" s="3">
        <f t="shared" si="238"/>
        <v>3.0428132527781752E-2</v>
      </c>
      <c r="M252" s="3">
        <f t="shared" si="238"/>
        <v>3.0428132193511526E-2</v>
      </c>
      <c r="N252" s="3">
        <f t="shared" si="238"/>
        <v>3.0428128850809477E-2</v>
      </c>
      <c r="O252" s="3">
        <f t="shared" si="238"/>
        <v>3.0428095423809167E-2</v>
      </c>
      <c r="P252" s="3">
        <f t="shared" si="238"/>
        <v>3.0427761155825749E-2</v>
      </c>
      <c r="Q252" s="3">
        <f t="shared" si="238"/>
        <v>3.0424418677950538E-2</v>
      </c>
      <c r="R252" s="3">
        <f t="shared" si="238"/>
        <v>3.0391014086889965E-2</v>
      </c>
      <c r="S252" s="3">
        <f t="shared" si="238"/>
        <v>3.005897876388549E-2</v>
      </c>
      <c r="T252" s="3">
        <f t="shared" si="238"/>
        <v>2.6931746571378742E-2</v>
      </c>
      <c r="U252" s="3">
        <f t="shared" si="238"/>
        <v>8.9777497181673296E-3</v>
      </c>
      <c r="V252" s="3">
        <f t="shared" si="238"/>
        <v>1.5212382708877149E-7</v>
      </c>
      <c r="W252" s="3">
        <f t="shared" si="238"/>
        <v>2.9682107280784914E-55</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3.3546614570255213E-2</v>
      </c>
      <c r="C253" s="3">
        <f t="shared" si="239"/>
        <v>3.3546614570255213E-2</v>
      </c>
      <c r="D253" s="3">
        <f t="shared" si="239"/>
        <v>3.3546614570255213E-2</v>
      </c>
      <c r="E253" s="3">
        <f t="shared" si="239"/>
        <v>3.3546614570255213E-2</v>
      </c>
      <c r="F253" s="3">
        <f t="shared" si="239"/>
        <v>3.3546614570255207E-2</v>
      </c>
      <c r="G253" s="3">
        <f t="shared" si="239"/>
        <v>3.3546614570255179E-2</v>
      </c>
      <c r="H253" s="3">
        <f t="shared" si="239"/>
        <v>3.3546614570254846E-2</v>
      </c>
      <c r="I253" s="3">
        <f t="shared" si="239"/>
        <v>3.3546614570251522E-2</v>
      </c>
      <c r="J253" s="3">
        <f t="shared" si="239"/>
        <v>3.3546614570218278E-2</v>
      </c>
      <c r="K253" s="3">
        <f t="shared" si="239"/>
        <v>3.3546614569885835E-2</v>
      </c>
      <c r="L253" s="3">
        <f t="shared" si="239"/>
        <v>3.3546614566561397E-2</v>
      </c>
      <c r="M253" s="3">
        <f t="shared" si="239"/>
        <v>3.354661453331706E-2</v>
      </c>
      <c r="N253" s="3">
        <f t="shared" si="239"/>
        <v>3.3546614200873681E-2</v>
      </c>
      <c r="O253" s="3">
        <f t="shared" si="239"/>
        <v>3.3546610876440099E-2</v>
      </c>
      <c r="P253" s="3">
        <f t="shared" si="239"/>
        <v>3.354657763212239E-2</v>
      </c>
      <c r="Q253" s="3">
        <f t="shared" si="239"/>
        <v>3.3546245190757239E-2</v>
      </c>
      <c r="R253" s="3">
        <f t="shared" si="239"/>
        <v>3.3542920958294684E-2</v>
      </c>
      <c r="S253" s="3">
        <f t="shared" si="239"/>
        <v>3.3509696745920789E-2</v>
      </c>
      <c r="T253" s="3">
        <f t="shared" si="239"/>
        <v>3.3179259223766237E-2</v>
      </c>
      <c r="U253" s="3">
        <f t="shared" si="239"/>
        <v>3.0048899057872433E-2</v>
      </c>
      <c r="V253" s="3">
        <f t="shared" si="239"/>
        <v>1.1154429360039585E-2</v>
      </c>
      <c r="W253" s="3">
        <f t="shared" si="239"/>
        <v>5.5416014004998221E-7</v>
      </c>
      <c r="X253" s="3">
        <f t="shared" si="239"/>
        <v>5.0759174834493249E-50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3.6056553536874446E-2</v>
      </c>
      <c r="C254" s="3">
        <f t="shared" si="240"/>
        <v>3.6056553536874446E-2</v>
      </c>
      <c r="D254" s="3">
        <f t="shared" si="240"/>
        <v>3.6056553536874446E-2</v>
      </c>
      <c r="E254" s="3">
        <f t="shared" si="240"/>
        <v>3.6056553536874446E-2</v>
      </c>
      <c r="F254" s="3">
        <f t="shared" si="240"/>
        <v>3.6056553536874446E-2</v>
      </c>
      <c r="G254" s="3">
        <f t="shared" si="240"/>
        <v>3.6056553536874439E-2</v>
      </c>
      <c r="H254" s="3">
        <f t="shared" si="240"/>
        <v>3.6056553536874411E-2</v>
      </c>
      <c r="I254" s="3">
        <f t="shared" si="240"/>
        <v>3.6056553536874092E-2</v>
      </c>
      <c r="J254" s="3">
        <f t="shared" si="240"/>
        <v>3.6056553536870865E-2</v>
      </c>
      <c r="K254" s="3">
        <f t="shared" si="240"/>
        <v>3.6056553536838627E-2</v>
      </c>
      <c r="L254" s="3">
        <f t="shared" si="240"/>
        <v>3.6056553536516302E-2</v>
      </c>
      <c r="M254" s="3">
        <f t="shared" si="240"/>
        <v>3.6056553533293012E-2</v>
      </c>
      <c r="N254" s="3">
        <f t="shared" si="240"/>
        <v>3.605655350106008E-2</v>
      </c>
      <c r="O254" s="3">
        <f t="shared" si="240"/>
        <v>3.6056553178730778E-2</v>
      </c>
      <c r="P254" s="3">
        <f t="shared" si="240"/>
        <v>3.6056549955437903E-2</v>
      </c>
      <c r="Q254" s="3">
        <f t="shared" si="240"/>
        <v>3.6056517722525036E-2</v>
      </c>
      <c r="R254" s="3">
        <f t="shared" si="240"/>
        <v>3.605619539498113E-2</v>
      </c>
      <c r="S254" s="3">
        <f t="shared" si="240"/>
        <v>3.6052972278017618E-2</v>
      </c>
      <c r="T254" s="3">
        <f t="shared" si="240"/>
        <v>3.6020756950690784E-2</v>
      </c>
      <c r="U254" s="3">
        <f t="shared" si="240"/>
        <v>3.57001826807073E-2</v>
      </c>
      <c r="V254" s="3">
        <f t="shared" si="240"/>
        <v>3.2647240092847675E-2</v>
      </c>
      <c r="W254" s="3">
        <f t="shared" si="240"/>
        <v>1.3353860031110257E-2</v>
      </c>
      <c r="X254" s="3">
        <f t="shared" si="240"/>
        <v>1.7506941770141499E-6</v>
      </c>
      <c r="Y254" s="3">
        <f t="shared" si="240"/>
        <v>2.6256991352417937E-45</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4.1431742608178009E-2</v>
      </c>
      <c r="C255" s="3">
        <f t="shared" si="241"/>
        <v>4.1431742608178009E-2</v>
      </c>
      <c r="D255" s="3">
        <f t="shared" si="241"/>
        <v>4.1431742608178009E-2</v>
      </c>
      <c r="E255" s="3">
        <f t="shared" si="241"/>
        <v>4.1431742608178009E-2</v>
      </c>
      <c r="F255" s="3">
        <f t="shared" si="241"/>
        <v>4.1431742608178009E-2</v>
      </c>
      <c r="G255" s="3">
        <f t="shared" si="241"/>
        <v>4.1431742608178009E-2</v>
      </c>
      <c r="H255" s="3">
        <f t="shared" si="241"/>
        <v>4.1431742608178002E-2</v>
      </c>
      <c r="I255" s="3">
        <f t="shared" si="241"/>
        <v>4.1431742608177974E-2</v>
      </c>
      <c r="J255" s="3">
        <f t="shared" si="241"/>
        <v>4.1431742608177634E-2</v>
      </c>
      <c r="K255" s="3">
        <f t="shared" si="241"/>
        <v>4.1431742608174296E-2</v>
      </c>
      <c r="L255" s="3">
        <f t="shared" si="241"/>
        <v>4.1431742608140885E-2</v>
      </c>
      <c r="M255" s="3">
        <f t="shared" si="241"/>
        <v>4.1431742607806771E-2</v>
      </c>
      <c r="N255" s="3">
        <f t="shared" si="241"/>
        <v>4.1431742604465624E-2</v>
      </c>
      <c r="O255" s="3">
        <f t="shared" si="241"/>
        <v>4.143174257105417E-2</v>
      </c>
      <c r="P255" s="3">
        <f t="shared" si="241"/>
        <v>4.1431742236939635E-2</v>
      </c>
      <c r="Q255" s="3">
        <f t="shared" si="241"/>
        <v>4.1431738895794448E-2</v>
      </c>
      <c r="R255" s="3">
        <f t="shared" si="241"/>
        <v>4.1431705484357345E-2</v>
      </c>
      <c r="S255" s="3">
        <f t="shared" si="241"/>
        <v>4.1431371371468226E-2</v>
      </c>
      <c r="T255" s="3">
        <f t="shared" si="241"/>
        <v>4.142803039076258E-2</v>
      </c>
      <c r="U255" s="3">
        <f t="shared" si="241"/>
        <v>4.1394635397839746E-2</v>
      </c>
      <c r="V255" s="3">
        <f t="shared" si="241"/>
        <v>4.1062162471308714E-2</v>
      </c>
      <c r="W255" s="3">
        <f t="shared" si="241"/>
        <v>3.7880819907501882E-2</v>
      </c>
      <c r="X255" s="3">
        <f t="shared" si="241"/>
        <v>1.6911997462679251E-2</v>
      </c>
      <c r="Y255" s="3">
        <f t="shared" si="241"/>
        <v>5.3204730552467664E-6</v>
      </c>
      <c r="Z255" s="3">
        <f t="shared" si="241"/>
        <v>5.0524692751280962E-41</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4.558861375636767E-2</v>
      </c>
      <c r="C256" s="3">
        <f t="shared" si="242"/>
        <v>4.558861375636767E-2</v>
      </c>
      <c r="D256" s="3">
        <f t="shared" si="242"/>
        <v>4.558861375636767E-2</v>
      </c>
      <c r="E256" s="3">
        <f t="shared" si="242"/>
        <v>4.558861375636767E-2</v>
      </c>
      <c r="F256" s="3">
        <f t="shared" si="242"/>
        <v>4.558861375636767E-2</v>
      </c>
      <c r="G256" s="3">
        <f t="shared" si="242"/>
        <v>4.558861375636767E-2</v>
      </c>
      <c r="H256" s="3">
        <f t="shared" si="242"/>
        <v>4.558861375636767E-2</v>
      </c>
      <c r="I256" s="3">
        <f t="shared" si="242"/>
        <v>4.5588613756367663E-2</v>
      </c>
      <c r="J256" s="3">
        <f t="shared" si="242"/>
        <v>4.5588613756367635E-2</v>
      </c>
      <c r="K256" s="3">
        <f t="shared" si="242"/>
        <v>4.5588613756367302E-2</v>
      </c>
      <c r="L256" s="3">
        <f t="shared" si="242"/>
        <v>4.5588613756363985E-2</v>
      </c>
      <c r="M256" s="3">
        <f t="shared" si="242"/>
        <v>4.5588613756330824E-2</v>
      </c>
      <c r="N256" s="3">
        <f t="shared" si="242"/>
        <v>4.558861375599918E-2</v>
      </c>
      <c r="O256" s="3">
        <f t="shared" si="242"/>
        <v>4.5588613752682798E-2</v>
      </c>
      <c r="P256" s="3">
        <f t="shared" si="242"/>
        <v>4.5588613719518931E-2</v>
      </c>
      <c r="Q256" s="3">
        <f t="shared" si="242"/>
        <v>4.558861338788027E-2</v>
      </c>
      <c r="R256" s="3">
        <f t="shared" si="242"/>
        <v>4.5588610071493854E-2</v>
      </c>
      <c r="S256" s="3">
        <f t="shared" si="242"/>
        <v>4.5588576907642918E-2</v>
      </c>
      <c r="T256" s="3">
        <f t="shared" si="242"/>
        <v>4.5588245270460431E-2</v>
      </c>
      <c r="U256" s="3">
        <f t="shared" si="242"/>
        <v>4.5584929031321136E-2</v>
      </c>
      <c r="V256" s="3">
        <f t="shared" si="242"/>
        <v>4.5551779904911931E-2</v>
      </c>
      <c r="W256" s="3">
        <f t="shared" si="242"/>
        <v>4.522161157572855E-2</v>
      </c>
      <c r="X256" s="3">
        <f t="shared" si="242"/>
        <v>4.2048729192582547E-2</v>
      </c>
      <c r="Y256" s="3">
        <f t="shared" si="242"/>
        <v>2.0315207897239198E-2</v>
      </c>
      <c r="Z256" s="3">
        <f t="shared" si="242"/>
        <v>1.4076841869541963E-5</v>
      </c>
      <c r="AA256" s="3">
        <f t="shared" si="242"/>
        <v>3.5920704172807099E-37</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5.454765248808658E-2</v>
      </c>
      <c r="C257" s="3">
        <f t="shared" si="243"/>
        <v>5.454765248808658E-2</v>
      </c>
      <c r="D257" s="3">
        <f t="shared" si="243"/>
        <v>5.454765248808658E-2</v>
      </c>
      <c r="E257" s="3">
        <f t="shared" si="243"/>
        <v>5.454765248808658E-2</v>
      </c>
      <c r="F257" s="3">
        <f t="shared" si="243"/>
        <v>5.454765248808658E-2</v>
      </c>
      <c r="G257" s="3">
        <f t="shared" si="243"/>
        <v>5.454765248808658E-2</v>
      </c>
      <c r="H257" s="3">
        <f t="shared" si="243"/>
        <v>5.454765248808658E-2</v>
      </c>
      <c r="I257" s="3">
        <f t="shared" si="243"/>
        <v>5.454765248808658E-2</v>
      </c>
      <c r="J257" s="3">
        <f t="shared" si="243"/>
        <v>5.4547652488086573E-2</v>
      </c>
      <c r="K257" s="3">
        <f t="shared" si="243"/>
        <v>5.4547652488086538E-2</v>
      </c>
      <c r="L257" s="3">
        <f t="shared" si="243"/>
        <v>5.4547652488086178E-2</v>
      </c>
      <c r="M257" s="3">
        <f t="shared" si="243"/>
        <v>5.4547652488082604E-2</v>
      </c>
      <c r="N257" s="3">
        <f t="shared" si="243"/>
        <v>5.4547652488046806E-2</v>
      </c>
      <c r="O257" s="3">
        <f t="shared" si="243"/>
        <v>5.454765248768885E-2</v>
      </c>
      <c r="P257" s="3">
        <f t="shared" si="243"/>
        <v>5.4547652484109276E-2</v>
      </c>
      <c r="Q257" s="3">
        <f t="shared" si="243"/>
        <v>5.4547652448313534E-2</v>
      </c>
      <c r="R257" s="3">
        <f t="shared" si="243"/>
        <v>5.4547652090356065E-2</v>
      </c>
      <c r="S257" s="3">
        <f t="shared" si="243"/>
        <v>5.4547648510781623E-2</v>
      </c>
      <c r="T257" s="3">
        <f t="shared" si="243"/>
        <v>5.4547612715050042E-2</v>
      </c>
      <c r="U257" s="3">
        <f t="shared" si="243"/>
        <v>5.4547254759026199E-2</v>
      </c>
      <c r="V257" s="3">
        <f t="shared" si="243"/>
        <v>5.4543675327980434E-2</v>
      </c>
      <c r="W257" s="3">
        <f t="shared" si="243"/>
        <v>5.4507893933649534E-2</v>
      </c>
      <c r="X257" s="3">
        <f t="shared" si="243"/>
        <v>5.4151368472418707E-2</v>
      </c>
      <c r="Y257" s="3">
        <f t="shared" si="243"/>
        <v>5.0711887730285336E-2</v>
      </c>
      <c r="Z257" s="3">
        <f t="shared" si="243"/>
        <v>2.6309535923746741E-2</v>
      </c>
      <c r="AA257" s="3">
        <f t="shared" si="243"/>
        <v>3.7166125633476885E-5</v>
      </c>
      <c r="AB257" s="3">
        <f t="shared" si="243"/>
        <v>1.1762193530736501E-33</v>
      </c>
      <c r="AC257" s="3">
        <f t="shared" si="243"/>
        <v>0</v>
      </c>
      <c r="AD257" s="3">
        <f t="shared" si="243"/>
        <v>0</v>
      </c>
      <c r="AE257" s="3">
        <f t="shared" si="243"/>
        <v>0</v>
      </c>
      <c r="AF257" s="3">
        <f t="shared" si="243"/>
        <v>0</v>
      </c>
      <c r="AG257" s="3"/>
      <c r="AH257" s="3"/>
    </row>
    <row r="258" spans="2:34" x14ac:dyDescent="0.25">
      <c r="B258" s="3">
        <f t="shared" ref="B258:AF258" si="244">$C27*EXP(-B$246/$A27/EXP(-$E$126))</f>
        <v>6.3488731508467941E-2</v>
      </c>
      <c r="C258" s="3">
        <f t="shared" si="244"/>
        <v>6.3488731508467941E-2</v>
      </c>
      <c r="D258" s="3">
        <f t="shared" si="244"/>
        <v>6.3488731508467941E-2</v>
      </c>
      <c r="E258" s="3">
        <f t="shared" si="244"/>
        <v>6.3488731508467941E-2</v>
      </c>
      <c r="F258" s="3">
        <f t="shared" si="244"/>
        <v>6.3488731508467941E-2</v>
      </c>
      <c r="G258" s="3">
        <f t="shared" si="244"/>
        <v>6.3488731508467941E-2</v>
      </c>
      <c r="H258" s="3">
        <f t="shared" si="244"/>
        <v>6.3488731508467941E-2</v>
      </c>
      <c r="I258" s="3">
        <f t="shared" si="244"/>
        <v>6.3488731508467941E-2</v>
      </c>
      <c r="J258" s="3">
        <f t="shared" si="244"/>
        <v>6.3488731508467941E-2</v>
      </c>
      <c r="K258" s="3">
        <f t="shared" si="244"/>
        <v>6.3488731508467927E-2</v>
      </c>
      <c r="L258" s="3">
        <f t="shared" si="244"/>
        <v>6.3488731508467899E-2</v>
      </c>
      <c r="M258" s="3">
        <f t="shared" si="244"/>
        <v>6.3488731508467525E-2</v>
      </c>
      <c r="N258" s="3">
        <f t="shared" si="244"/>
        <v>6.3488731508463764E-2</v>
      </c>
      <c r="O258" s="3">
        <f t="shared" si="244"/>
        <v>6.3488731508426183E-2</v>
      </c>
      <c r="P258" s="3">
        <f t="shared" si="244"/>
        <v>6.3488731508050344E-2</v>
      </c>
      <c r="Q258" s="3">
        <f t="shared" si="244"/>
        <v>6.3488731504291976E-2</v>
      </c>
      <c r="R258" s="3">
        <f t="shared" si="244"/>
        <v>6.3488731466708359E-2</v>
      </c>
      <c r="S258" s="3">
        <f t="shared" si="244"/>
        <v>6.3488731090872177E-2</v>
      </c>
      <c r="T258" s="3">
        <f t="shared" si="244"/>
        <v>6.3488727332510445E-2</v>
      </c>
      <c r="U258" s="3">
        <f t="shared" si="244"/>
        <v>6.3488689748905383E-2</v>
      </c>
      <c r="V258" s="3">
        <f t="shared" si="244"/>
        <v>6.3488313914078429E-2</v>
      </c>
      <c r="W258" s="3">
        <f t="shared" si="244"/>
        <v>6.3484555688172531E-2</v>
      </c>
      <c r="X258" s="3">
        <f t="shared" si="244"/>
        <v>6.3446985662805502E-2</v>
      </c>
      <c r="Y258" s="3">
        <f t="shared" si="244"/>
        <v>6.3072506103012321E-2</v>
      </c>
      <c r="Z258" s="3">
        <f t="shared" si="244"/>
        <v>5.9447148015556533E-2</v>
      </c>
      <c r="AA258" s="3">
        <f t="shared" si="244"/>
        <v>3.2888221655645436E-2</v>
      </c>
      <c r="AB258" s="3">
        <f t="shared" si="244"/>
        <v>8.8335253030583303E-5</v>
      </c>
      <c r="AC258" s="3">
        <f t="shared" si="244"/>
        <v>1.7261189618611016E-30</v>
      </c>
      <c r="AD258" s="3">
        <f t="shared" si="244"/>
        <v>1.4009975755968466E-287</v>
      </c>
      <c r="AE258" s="3">
        <f t="shared" si="244"/>
        <v>0</v>
      </c>
      <c r="AF258" s="3">
        <f t="shared" si="244"/>
        <v>0</v>
      </c>
      <c r="AG258" s="3"/>
      <c r="AH258" s="3"/>
    </row>
    <row r="259" spans="2:34" x14ac:dyDescent="0.25">
      <c r="B259" s="3">
        <f t="shared" ref="B259:AF259" si="245">$C28*EXP(-B$246/$A28/EXP(-$E$126))</f>
        <v>6.4437498796687767E-2</v>
      </c>
      <c r="C259" s="3">
        <f t="shared" si="245"/>
        <v>6.4437498796687767E-2</v>
      </c>
      <c r="D259" s="3">
        <f t="shared" si="245"/>
        <v>6.4437498796687767E-2</v>
      </c>
      <c r="E259" s="3">
        <f t="shared" si="245"/>
        <v>6.4437498796687767E-2</v>
      </c>
      <c r="F259" s="3">
        <f t="shared" si="245"/>
        <v>6.4437498796687767E-2</v>
      </c>
      <c r="G259" s="3">
        <f t="shared" si="245"/>
        <v>6.4437498796687767E-2</v>
      </c>
      <c r="H259" s="3">
        <f t="shared" si="245"/>
        <v>6.4437498796687767E-2</v>
      </c>
      <c r="I259" s="3">
        <f t="shared" si="245"/>
        <v>6.4437498796687767E-2</v>
      </c>
      <c r="J259" s="3">
        <f t="shared" si="245"/>
        <v>6.4437498796687767E-2</v>
      </c>
      <c r="K259" s="3">
        <f t="shared" si="245"/>
        <v>6.4437498796687767E-2</v>
      </c>
      <c r="L259" s="3">
        <f t="shared" si="245"/>
        <v>6.4437498796687753E-2</v>
      </c>
      <c r="M259" s="3">
        <f t="shared" si="245"/>
        <v>6.4437498796687726E-2</v>
      </c>
      <c r="N259" s="3">
        <f t="shared" si="245"/>
        <v>6.4437498796687392E-2</v>
      </c>
      <c r="O259" s="3">
        <f t="shared" si="245"/>
        <v>6.4437498796683951E-2</v>
      </c>
      <c r="P259" s="3">
        <f t="shared" si="245"/>
        <v>6.4437498796649534E-2</v>
      </c>
      <c r="Q259" s="3">
        <f t="shared" si="245"/>
        <v>6.4437498796305434E-2</v>
      </c>
      <c r="R259" s="3">
        <f t="shared" si="245"/>
        <v>6.4437498792864409E-2</v>
      </c>
      <c r="S259" s="3">
        <f t="shared" si="245"/>
        <v>6.4437498758454212E-2</v>
      </c>
      <c r="T259" s="3">
        <f t="shared" si="245"/>
        <v>6.4437498414352201E-2</v>
      </c>
      <c r="U259" s="3">
        <f t="shared" si="245"/>
        <v>6.4437494973332218E-2</v>
      </c>
      <c r="V259" s="3">
        <f t="shared" si="245"/>
        <v>6.4437460563142548E-2</v>
      </c>
      <c r="W259" s="3">
        <f t="shared" si="245"/>
        <v>6.4437116462256416E-2</v>
      </c>
      <c r="X259" s="3">
        <f t="shared" si="245"/>
        <v>6.4433675554457309E-2</v>
      </c>
      <c r="Y259" s="3">
        <f t="shared" si="245"/>
        <v>6.4399276580693207E-2</v>
      </c>
      <c r="Z259" s="3">
        <f t="shared" si="245"/>
        <v>6.4056295272167801E-2</v>
      </c>
      <c r="AA259" s="3">
        <f t="shared" si="245"/>
        <v>6.0725360751499993E-2</v>
      </c>
      <c r="AB259" s="3">
        <f t="shared" si="245"/>
        <v>3.5600243160601723E-2</v>
      </c>
      <c r="AC259" s="3">
        <f t="shared" si="245"/>
        <v>1.7071888782895349E-4</v>
      </c>
      <c r="AD259" s="3">
        <f t="shared" si="245"/>
        <v>1.0979123176919442E-27</v>
      </c>
      <c r="AE259" s="3">
        <f t="shared" si="245"/>
        <v>1.3287048026250042E-259</v>
      </c>
      <c r="AF259" s="3">
        <f t="shared" si="245"/>
        <v>0</v>
      </c>
      <c r="AG259" s="3"/>
      <c r="AH259" s="3"/>
    </row>
    <row r="260" spans="2:34" x14ac:dyDescent="0.25">
      <c r="B260" s="3">
        <f t="shared" ref="B260:AF260" si="246">$C29*EXP(-B$246/$A29/EXP(-$E$126))</f>
        <v>5.0984711138190433E-2</v>
      </c>
      <c r="C260" s="3">
        <f t="shared" si="246"/>
        <v>5.0984711138190433E-2</v>
      </c>
      <c r="D260" s="3">
        <f t="shared" si="246"/>
        <v>5.0984711138190433E-2</v>
      </c>
      <c r="E260" s="3">
        <f t="shared" si="246"/>
        <v>5.0984711138190433E-2</v>
      </c>
      <c r="F260" s="3">
        <f t="shared" si="246"/>
        <v>5.0984711138190433E-2</v>
      </c>
      <c r="G260" s="3">
        <f t="shared" si="246"/>
        <v>5.0984711138190433E-2</v>
      </c>
      <c r="H260" s="3">
        <f t="shared" si="246"/>
        <v>5.0984711138190433E-2</v>
      </c>
      <c r="I260" s="3">
        <f t="shared" si="246"/>
        <v>5.0984711138190433E-2</v>
      </c>
      <c r="J260" s="3">
        <f t="shared" si="246"/>
        <v>5.0984711138190433E-2</v>
      </c>
      <c r="K260" s="3">
        <f t="shared" si="246"/>
        <v>5.0984711138190433E-2</v>
      </c>
      <c r="L260" s="3">
        <f t="shared" si="246"/>
        <v>5.0984711138190433E-2</v>
      </c>
      <c r="M260" s="3">
        <f t="shared" si="246"/>
        <v>5.0984711138190433E-2</v>
      </c>
      <c r="N260" s="3">
        <f t="shared" si="246"/>
        <v>5.0984711138190406E-2</v>
      </c>
      <c r="O260" s="3">
        <f t="shared" si="246"/>
        <v>5.0984711138190163E-2</v>
      </c>
      <c r="P260" s="3">
        <f t="shared" si="246"/>
        <v>5.0984711138187706E-2</v>
      </c>
      <c r="Q260" s="3">
        <f t="shared" si="246"/>
        <v>5.0984711138163143E-2</v>
      </c>
      <c r="R260" s="3">
        <f t="shared" si="246"/>
        <v>5.0984711137917541E-2</v>
      </c>
      <c r="S260" s="3">
        <f t="shared" si="246"/>
        <v>5.0984711135461498E-2</v>
      </c>
      <c r="T260" s="3">
        <f t="shared" si="246"/>
        <v>5.0984711110901124E-2</v>
      </c>
      <c r="U260" s="3">
        <f t="shared" si="246"/>
        <v>5.0984710865297322E-2</v>
      </c>
      <c r="V260" s="3">
        <f t="shared" si="246"/>
        <v>5.0984708409259359E-2</v>
      </c>
      <c r="W260" s="3">
        <f t="shared" si="246"/>
        <v>5.0984683848886263E-2</v>
      </c>
      <c r="X260" s="3">
        <f t="shared" si="246"/>
        <v>5.098443824580598E-2</v>
      </c>
      <c r="Y260" s="3">
        <f t="shared" si="246"/>
        <v>5.0981982280073716E-2</v>
      </c>
      <c r="Z260" s="3">
        <f t="shared" si="246"/>
        <v>5.0957429128643775E-2</v>
      </c>
      <c r="AA260" s="3">
        <f t="shared" si="246"/>
        <v>5.0712547045520251E-2</v>
      </c>
      <c r="AB260" s="3">
        <f t="shared" si="246"/>
        <v>4.8327526571684175E-2</v>
      </c>
      <c r="AC260" s="3">
        <f t="shared" si="246"/>
        <v>2.985286487062078E-2</v>
      </c>
      <c r="AD260" s="3">
        <f t="shared" si="246"/>
        <v>2.4149074065293072E-4</v>
      </c>
      <c r="AE260" s="3">
        <f t="shared" si="246"/>
        <v>2.8976449307352101E-25</v>
      </c>
      <c r="AF260" s="3">
        <f t="shared" si="246"/>
        <v>1.792635546835191E-234</v>
      </c>
      <c r="AG260" s="3"/>
      <c r="AH260" s="3"/>
    </row>
    <row r="261" spans="2:34" x14ac:dyDescent="0.25">
      <c r="B261" s="3">
        <f t="shared" ref="B261:AF261" si="247">$C30*EXP(-B$246/$A30/EXP(-$E$126))</f>
        <v>3.1725580310806592E-2</v>
      </c>
      <c r="C261" s="3">
        <f t="shared" si="247"/>
        <v>3.1725580310806592E-2</v>
      </c>
      <c r="D261" s="3">
        <f t="shared" si="247"/>
        <v>3.1725580310806592E-2</v>
      </c>
      <c r="E261" s="3">
        <f t="shared" si="247"/>
        <v>3.1725580310806592E-2</v>
      </c>
      <c r="F261" s="3">
        <f t="shared" si="247"/>
        <v>3.1725580310806592E-2</v>
      </c>
      <c r="G261" s="3">
        <f t="shared" si="247"/>
        <v>3.1725580310806592E-2</v>
      </c>
      <c r="H261" s="3">
        <f t="shared" si="247"/>
        <v>3.1725580310806592E-2</v>
      </c>
      <c r="I261" s="3">
        <f t="shared" si="247"/>
        <v>3.1725580310806592E-2</v>
      </c>
      <c r="J261" s="3">
        <f t="shared" si="247"/>
        <v>3.1725580310806592E-2</v>
      </c>
      <c r="K261" s="3">
        <f t="shared" si="247"/>
        <v>3.1725580310806592E-2</v>
      </c>
      <c r="L261" s="3">
        <f t="shared" si="247"/>
        <v>3.1725580310806592E-2</v>
      </c>
      <c r="M261" s="3">
        <f t="shared" si="247"/>
        <v>3.1725580310806592E-2</v>
      </c>
      <c r="N261" s="3">
        <f t="shared" si="247"/>
        <v>3.1725580310806592E-2</v>
      </c>
      <c r="O261" s="3">
        <f t="shared" si="247"/>
        <v>3.1725580310806578E-2</v>
      </c>
      <c r="P261" s="3">
        <f t="shared" si="247"/>
        <v>3.1725580310806439E-2</v>
      </c>
      <c r="Q261" s="3">
        <f t="shared" si="247"/>
        <v>3.1725580310805059E-2</v>
      </c>
      <c r="R261" s="3">
        <f t="shared" si="247"/>
        <v>3.1725580310791271E-2</v>
      </c>
      <c r="S261" s="3">
        <f t="shared" si="247"/>
        <v>3.1725580310653409E-2</v>
      </c>
      <c r="T261" s="3">
        <f t="shared" si="247"/>
        <v>3.1725580309274769E-2</v>
      </c>
      <c r="U261" s="3">
        <f t="shared" si="247"/>
        <v>3.1725580295488352E-2</v>
      </c>
      <c r="V261" s="3">
        <f t="shared" si="247"/>
        <v>3.1725580157624222E-2</v>
      </c>
      <c r="W261" s="3">
        <f t="shared" si="247"/>
        <v>3.1725578778982938E-2</v>
      </c>
      <c r="X261" s="3">
        <f t="shared" si="247"/>
        <v>3.1725564992573417E-2</v>
      </c>
      <c r="Y261" s="3">
        <f t="shared" si="247"/>
        <v>3.1725427128807659E-2</v>
      </c>
      <c r="Z261" s="3">
        <f t="shared" si="247"/>
        <v>3.1724048524099546E-2</v>
      </c>
      <c r="AA261" s="3">
        <f t="shared" si="247"/>
        <v>3.1710265771431913E-2</v>
      </c>
      <c r="AB261" s="3">
        <f t="shared" si="247"/>
        <v>3.1572767157033083E-2</v>
      </c>
      <c r="AC261" s="3">
        <f t="shared" si="247"/>
        <v>3.0230149492497329E-2</v>
      </c>
      <c r="AD261" s="3">
        <f t="shared" si="247"/>
        <v>1.9575676318922149E-2</v>
      </c>
      <c r="AE261" s="3">
        <f t="shared" si="247"/>
        <v>2.5379413469637347E-4</v>
      </c>
      <c r="AF261" s="3">
        <f t="shared" si="247"/>
        <v>3.4050981780503892E-23</v>
      </c>
      <c r="AG261" s="3"/>
      <c r="AH261" s="3"/>
    </row>
    <row r="262" spans="2:34" x14ac:dyDescent="0.25">
      <c r="B262" s="3">
        <f t="shared" ref="B262:AF262" si="248">$C31*EXP(-B$246/$A31/EXP(-$E$126))</f>
        <v>1.5443830992985543E-2</v>
      </c>
      <c r="C262" s="3">
        <f t="shared" si="248"/>
        <v>1.5443830992985543E-2</v>
      </c>
      <c r="D262" s="3">
        <f t="shared" si="248"/>
        <v>1.5443830992985543E-2</v>
      </c>
      <c r="E262" s="3">
        <f t="shared" si="248"/>
        <v>1.5443830992985543E-2</v>
      </c>
      <c r="F262" s="3">
        <f t="shared" si="248"/>
        <v>1.5443830992985543E-2</v>
      </c>
      <c r="G262" s="3">
        <f t="shared" si="248"/>
        <v>1.5443830992985543E-2</v>
      </c>
      <c r="H262" s="3">
        <f t="shared" si="248"/>
        <v>1.5443830992985543E-2</v>
      </c>
      <c r="I262" s="3">
        <f t="shared" si="248"/>
        <v>1.5443830992985543E-2</v>
      </c>
      <c r="J262" s="3">
        <f t="shared" si="248"/>
        <v>1.5443830992985543E-2</v>
      </c>
      <c r="K262" s="3">
        <f t="shared" si="248"/>
        <v>1.5443830992985543E-2</v>
      </c>
      <c r="L262" s="3">
        <f t="shared" si="248"/>
        <v>1.5443830992985543E-2</v>
      </c>
      <c r="M262" s="3">
        <f t="shared" si="248"/>
        <v>1.5443830992985543E-2</v>
      </c>
      <c r="N262" s="3">
        <f t="shared" si="248"/>
        <v>1.5443830992985543E-2</v>
      </c>
      <c r="O262" s="3">
        <f t="shared" si="248"/>
        <v>1.5443830992985543E-2</v>
      </c>
      <c r="P262" s="3">
        <f t="shared" si="248"/>
        <v>1.5443830992985536E-2</v>
      </c>
      <c r="Q262" s="3">
        <f t="shared" si="248"/>
        <v>1.5443830992985476E-2</v>
      </c>
      <c r="R262" s="3">
        <f t="shared" si="248"/>
        <v>1.5443830992984872E-2</v>
      </c>
      <c r="S262" s="3">
        <f t="shared" si="248"/>
        <v>1.5443830992978816E-2</v>
      </c>
      <c r="T262" s="3">
        <f t="shared" si="248"/>
        <v>1.5443830992918276E-2</v>
      </c>
      <c r="U262" s="3">
        <f t="shared" si="248"/>
        <v>1.5443830992312875E-2</v>
      </c>
      <c r="V262" s="3">
        <f t="shared" si="248"/>
        <v>1.5443830986258861E-2</v>
      </c>
      <c r="W262" s="3">
        <f t="shared" si="248"/>
        <v>1.5443830925718733E-2</v>
      </c>
      <c r="X262" s="3">
        <f t="shared" si="248"/>
        <v>1.544383032031745E-2</v>
      </c>
      <c r="Y262" s="3">
        <f t="shared" si="248"/>
        <v>1.5443824266305932E-2</v>
      </c>
      <c r="Z262" s="3">
        <f t="shared" si="248"/>
        <v>1.544376372632128E-2</v>
      </c>
      <c r="AA262" s="3">
        <f t="shared" si="248"/>
        <v>1.5443158339527054E-2</v>
      </c>
      <c r="AB262" s="3">
        <f t="shared" si="248"/>
        <v>1.5437105776626409E-2</v>
      </c>
      <c r="AC262" s="3">
        <f t="shared" si="248"/>
        <v>1.5376710462694084E-2</v>
      </c>
      <c r="AD262" s="3">
        <f t="shared" si="248"/>
        <v>1.4785601786318475E-2</v>
      </c>
      <c r="AE262" s="3">
        <f t="shared" si="248"/>
        <v>9.9906717587803836E-3</v>
      </c>
      <c r="AF262" s="3">
        <f t="shared" si="248"/>
        <v>1.9822185793859709E-4</v>
      </c>
      <c r="AG262" s="3"/>
      <c r="AH262" s="3"/>
    </row>
    <row r="263" spans="2:34" x14ac:dyDescent="0.25">
      <c r="B263" s="3">
        <f t="shared" ref="B263:AF263" si="249">$C32*EXP(-B$246/$A32/EXP(-$E$126))</f>
        <v>7.0696001208784189E-3</v>
      </c>
      <c r="C263" s="3">
        <f t="shared" si="249"/>
        <v>7.0696001208784189E-3</v>
      </c>
      <c r="D263" s="3">
        <f t="shared" si="249"/>
        <v>7.0696001208784189E-3</v>
      </c>
      <c r="E263" s="3">
        <f t="shared" si="249"/>
        <v>7.0696001208784189E-3</v>
      </c>
      <c r="F263" s="3">
        <f t="shared" si="249"/>
        <v>7.0696001208784189E-3</v>
      </c>
      <c r="G263" s="3">
        <f t="shared" si="249"/>
        <v>7.0696001208784189E-3</v>
      </c>
      <c r="H263" s="3">
        <f t="shared" si="249"/>
        <v>7.0696001208784189E-3</v>
      </c>
      <c r="I263" s="3">
        <f t="shared" si="249"/>
        <v>7.0696001208784189E-3</v>
      </c>
      <c r="J263" s="3">
        <f t="shared" si="249"/>
        <v>7.0696001208784189E-3</v>
      </c>
      <c r="K263" s="3">
        <f t="shared" si="249"/>
        <v>7.0696001208784189E-3</v>
      </c>
      <c r="L263" s="3">
        <f t="shared" si="249"/>
        <v>7.0696001208784189E-3</v>
      </c>
      <c r="M263" s="3">
        <f t="shared" si="249"/>
        <v>7.0696001208784189E-3</v>
      </c>
      <c r="N263" s="3">
        <f t="shared" si="249"/>
        <v>7.0696001208784189E-3</v>
      </c>
      <c r="O263" s="3">
        <f t="shared" si="249"/>
        <v>7.0696001208784189E-3</v>
      </c>
      <c r="P263" s="3">
        <f t="shared" si="249"/>
        <v>7.0696001208784189E-3</v>
      </c>
      <c r="Q263" s="3">
        <f t="shared" si="249"/>
        <v>7.0696001208784155E-3</v>
      </c>
      <c r="R263" s="3">
        <f t="shared" si="249"/>
        <v>7.0696001208783912E-3</v>
      </c>
      <c r="S263" s="3">
        <f t="shared" si="249"/>
        <v>7.0696001208781414E-3</v>
      </c>
      <c r="T263" s="3">
        <f t="shared" si="249"/>
        <v>7.0696001208756416E-3</v>
      </c>
      <c r="U263" s="3">
        <f t="shared" si="249"/>
        <v>7.0696001208506417E-3</v>
      </c>
      <c r="V263" s="3">
        <f t="shared" si="249"/>
        <v>7.0696001206006481E-3</v>
      </c>
      <c r="W263" s="3">
        <f t="shared" si="249"/>
        <v>7.0696001181007068E-3</v>
      </c>
      <c r="X263" s="3">
        <f t="shared" si="249"/>
        <v>7.0696000931012972E-3</v>
      </c>
      <c r="Y263" s="3">
        <f t="shared" si="249"/>
        <v>7.0695998431072101E-3</v>
      </c>
      <c r="Z263" s="3">
        <f t="shared" si="249"/>
        <v>7.0695973431668209E-3</v>
      </c>
      <c r="AA263" s="3">
        <f t="shared" si="249"/>
        <v>7.0695723438115527E-3</v>
      </c>
      <c r="AB263" s="3">
        <f t="shared" si="249"/>
        <v>7.0693223551209373E-3</v>
      </c>
      <c r="AC263" s="3">
        <f t="shared" si="249"/>
        <v>7.0668229543579689E-3</v>
      </c>
      <c r="AD263" s="3">
        <f t="shared" si="249"/>
        <v>7.0418774975002157E-3</v>
      </c>
      <c r="AE263" s="3">
        <f t="shared" si="249"/>
        <v>6.7972150792341979E-3</v>
      </c>
      <c r="AF263" s="3">
        <f t="shared" si="249"/>
        <v>4.772615828715774E-3</v>
      </c>
      <c r="AG263" s="3"/>
      <c r="AH263" s="3"/>
    </row>
    <row r="264" spans="2:34" x14ac:dyDescent="0.25">
      <c r="B264" s="3">
        <f t="shared" ref="B264:AF264" si="250">$C33*EXP(-B$246/$A33/EXP(-$E$126))</f>
        <v>3.5043206729719373E-3</v>
      </c>
      <c r="C264" s="3">
        <f t="shared" si="250"/>
        <v>3.5043206729719373E-3</v>
      </c>
      <c r="D264" s="3">
        <f t="shared" si="250"/>
        <v>3.5043206729719373E-3</v>
      </c>
      <c r="E264" s="3">
        <f t="shared" si="250"/>
        <v>3.5043206729719373E-3</v>
      </c>
      <c r="F264" s="3">
        <f t="shared" si="250"/>
        <v>3.5043206729719373E-3</v>
      </c>
      <c r="G264" s="3">
        <f t="shared" si="250"/>
        <v>3.5043206729719373E-3</v>
      </c>
      <c r="H264" s="3">
        <f t="shared" si="250"/>
        <v>3.5043206729719373E-3</v>
      </c>
      <c r="I264" s="3">
        <f t="shared" si="250"/>
        <v>3.5043206729719373E-3</v>
      </c>
      <c r="J264" s="3">
        <f t="shared" si="250"/>
        <v>3.5043206729719373E-3</v>
      </c>
      <c r="K264" s="3">
        <f t="shared" si="250"/>
        <v>3.5043206729719373E-3</v>
      </c>
      <c r="L264" s="3">
        <f t="shared" si="250"/>
        <v>3.5043206729719373E-3</v>
      </c>
      <c r="M264" s="3">
        <f t="shared" si="250"/>
        <v>3.5043206729719373E-3</v>
      </c>
      <c r="N264" s="3">
        <f t="shared" si="250"/>
        <v>3.5043206729719373E-3</v>
      </c>
      <c r="O264" s="3">
        <f t="shared" si="250"/>
        <v>3.5043206729719373E-3</v>
      </c>
      <c r="P264" s="3">
        <f t="shared" si="250"/>
        <v>3.5043206729719373E-3</v>
      </c>
      <c r="Q264" s="3">
        <f t="shared" si="250"/>
        <v>3.5043206729719373E-3</v>
      </c>
      <c r="R264" s="3">
        <f t="shared" si="250"/>
        <v>3.504320672971936E-3</v>
      </c>
      <c r="S264" s="3">
        <f t="shared" si="250"/>
        <v>3.5043206729719247E-3</v>
      </c>
      <c r="T264" s="3">
        <f t="shared" si="250"/>
        <v>3.5043206729718133E-3</v>
      </c>
      <c r="U264" s="3">
        <f t="shared" si="250"/>
        <v>3.5043206729706952E-3</v>
      </c>
      <c r="V264" s="3">
        <f t="shared" si="250"/>
        <v>3.5043206729595167E-3</v>
      </c>
      <c r="W264" s="3">
        <f t="shared" si="250"/>
        <v>3.5043206728477315E-3</v>
      </c>
      <c r="X264" s="3">
        <f t="shared" si="250"/>
        <v>3.5043206717298766E-3</v>
      </c>
      <c r="Y264" s="3">
        <f t="shared" si="250"/>
        <v>3.5043206605513307E-3</v>
      </c>
      <c r="Z264" s="3">
        <f t="shared" si="250"/>
        <v>3.5043205487658696E-3</v>
      </c>
      <c r="AA264" s="3">
        <f t="shared" si="250"/>
        <v>3.5043194309114598E-3</v>
      </c>
      <c r="AB264" s="3">
        <f t="shared" si="250"/>
        <v>3.5043082523869727E-3</v>
      </c>
      <c r="AC264" s="3">
        <f t="shared" si="250"/>
        <v>3.5041964691033124E-3</v>
      </c>
      <c r="AD264" s="3">
        <f t="shared" si="250"/>
        <v>3.5030788323644328E-3</v>
      </c>
      <c r="AE264" s="3">
        <f t="shared" si="250"/>
        <v>3.4919220516229014E-3</v>
      </c>
      <c r="AF264" s="3">
        <f t="shared" si="250"/>
        <v>3.3822899872320705E-3</v>
      </c>
      <c r="AG264" s="3"/>
      <c r="AH264" s="3"/>
    </row>
    <row r="265" spans="2:34" x14ac:dyDescent="0.25">
      <c r="B265" s="3">
        <f t="shared" ref="B265:AF265" si="251">$C34*EXP(-B$246/$A34/EXP(-$E$126))</f>
        <v>2.9646797109614421E-3</v>
      </c>
      <c r="C265" s="3">
        <f t="shared" si="251"/>
        <v>2.9646797109614421E-3</v>
      </c>
      <c r="D265" s="3">
        <f t="shared" si="251"/>
        <v>2.9646797109614421E-3</v>
      </c>
      <c r="E265" s="3">
        <f t="shared" si="251"/>
        <v>2.9646797109614421E-3</v>
      </c>
      <c r="F265" s="3">
        <f t="shared" si="251"/>
        <v>2.9646797109614421E-3</v>
      </c>
      <c r="G265" s="3">
        <f t="shared" si="251"/>
        <v>2.9646797109614421E-3</v>
      </c>
      <c r="H265" s="3">
        <f t="shared" si="251"/>
        <v>2.9646797109614421E-3</v>
      </c>
      <c r="I265" s="3">
        <f t="shared" si="251"/>
        <v>2.9646797109614421E-3</v>
      </c>
      <c r="J265" s="3">
        <f t="shared" si="251"/>
        <v>2.9646797109614421E-3</v>
      </c>
      <c r="K265" s="3">
        <f t="shared" si="251"/>
        <v>2.9646797109614421E-3</v>
      </c>
      <c r="L265" s="3">
        <f t="shared" si="251"/>
        <v>2.9646797109614421E-3</v>
      </c>
      <c r="M265" s="3">
        <f t="shared" si="251"/>
        <v>2.9646797109614421E-3</v>
      </c>
      <c r="N265" s="3">
        <f t="shared" si="251"/>
        <v>2.9646797109614421E-3</v>
      </c>
      <c r="O265" s="3">
        <f t="shared" si="251"/>
        <v>2.9646797109614421E-3</v>
      </c>
      <c r="P265" s="3">
        <f t="shared" si="251"/>
        <v>2.9646797109614421E-3</v>
      </c>
      <c r="Q265" s="3">
        <f t="shared" si="251"/>
        <v>2.9646797109614421E-3</v>
      </c>
      <c r="R265" s="3">
        <f t="shared" si="251"/>
        <v>2.9646797109614421E-3</v>
      </c>
      <c r="S265" s="3">
        <f t="shared" si="251"/>
        <v>2.9646797109614412E-3</v>
      </c>
      <c r="T265" s="3">
        <f t="shared" si="251"/>
        <v>2.9646797109614325E-3</v>
      </c>
      <c r="U265" s="3">
        <f t="shared" si="251"/>
        <v>2.9646797109613471E-3</v>
      </c>
      <c r="V265" s="3">
        <f t="shared" si="251"/>
        <v>2.964679710960494E-3</v>
      </c>
      <c r="W265" s="3">
        <f t="shared" si="251"/>
        <v>2.9646797109519631E-3</v>
      </c>
      <c r="X265" s="3">
        <f t="shared" si="251"/>
        <v>2.9646797108666516E-3</v>
      </c>
      <c r="Y265" s="3">
        <f t="shared" si="251"/>
        <v>2.9646797100135402E-3</v>
      </c>
      <c r="Z265" s="3">
        <f t="shared" si="251"/>
        <v>2.9646797014824238E-3</v>
      </c>
      <c r="AA265" s="3">
        <f t="shared" si="251"/>
        <v>2.9646796161712629E-3</v>
      </c>
      <c r="AB265" s="3">
        <f t="shared" si="251"/>
        <v>2.9646787630597865E-3</v>
      </c>
      <c r="AC265" s="3">
        <f t="shared" si="251"/>
        <v>2.9646702319585262E-3</v>
      </c>
      <c r="AD265" s="3">
        <f t="shared" si="251"/>
        <v>2.9645849222960999E-3</v>
      </c>
      <c r="AE265" s="3">
        <f t="shared" si="251"/>
        <v>2.9637319606754058E-3</v>
      </c>
      <c r="AF265" s="3">
        <f t="shared" si="251"/>
        <v>2.9552158304626129E-3</v>
      </c>
      <c r="AG265" s="3"/>
      <c r="AH265" s="3"/>
    </row>
    <row r="266" spans="2:34" x14ac:dyDescent="0.25">
      <c r="B266" s="3">
        <f t="shared" ref="B266:AF266" si="252">$C35*EXP(-B$246/$A35/EXP(-$E$126))</f>
        <v>0</v>
      </c>
      <c r="C266" s="3">
        <f t="shared" si="252"/>
        <v>0</v>
      </c>
      <c r="D266" s="3">
        <f t="shared" si="252"/>
        <v>0</v>
      </c>
      <c r="E266" s="3">
        <f t="shared" si="252"/>
        <v>0</v>
      </c>
      <c r="F266" s="3">
        <f t="shared" si="252"/>
        <v>0</v>
      </c>
      <c r="G266" s="3">
        <f t="shared" si="252"/>
        <v>0</v>
      </c>
      <c r="H266" s="3">
        <f t="shared" si="252"/>
        <v>0</v>
      </c>
      <c r="I266" s="3">
        <f t="shared" si="252"/>
        <v>0</v>
      </c>
      <c r="J266" s="3">
        <f t="shared" si="252"/>
        <v>0</v>
      </c>
      <c r="K266" s="3">
        <f t="shared" si="252"/>
        <v>0</v>
      </c>
      <c r="L266" s="3">
        <f t="shared" si="252"/>
        <v>0</v>
      </c>
      <c r="M266" s="3">
        <f t="shared" si="252"/>
        <v>0</v>
      </c>
      <c r="N266" s="3">
        <f t="shared" si="252"/>
        <v>0</v>
      </c>
      <c r="O266" s="3">
        <f t="shared" si="252"/>
        <v>0</v>
      </c>
      <c r="P266" s="3">
        <f t="shared" si="252"/>
        <v>0</v>
      </c>
      <c r="Q266" s="3">
        <f t="shared" si="252"/>
        <v>0</v>
      </c>
      <c r="R266" s="3">
        <f t="shared" si="252"/>
        <v>0</v>
      </c>
      <c r="S266" s="3">
        <f t="shared" si="252"/>
        <v>0</v>
      </c>
      <c r="T266" s="3">
        <f t="shared" si="252"/>
        <v>0</v>
      </c>
      <c r="U266" s="3">
        <f t="shared" si="252"/>
        <v>0</v>
      </c>
      <c r="V266" s="3">
        <f t="shared" si="252"/>
        <v>0</v>
      </c>
      <c r="W266" s="3">
        <f t="shared" si="252"/>
        <v>0</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3.098114236407119E-3</v>
      </c>
      <c r="C267" s="3">
        <f t="shared" si="253"/>
        <v>3.098114236407119E-3</v>
      </c>
      <c r="D267" s="3">
        <f t="shared" si="253"/>
        <v>3.098114236407119E-3</v>
      </c>
      <c r="E267" s="3">
        <f t="shared" si="253"/>
        <v>3.098114236407119E-3</v>
      </c>
      <c r="F267" s="3">
        <f t="shared" si="253"/>
        <v>3.098114236407119E-3</v>
      </c>
      <c r="G267" s="3">
        <f t="shared" si="253"/>
        <v>3.098114236407119E-3</v>
      </c>
      <c r="H267" s="3">
        <f t="shared" si="253"/>
        <v>3.098114236407119E-3</v>
      </c>
      <c r="I267" s="3">
        <f t="shared" si="253"/>
        <v>3.098114236407119E-3</v>
      </c>
      <c r="J267" s="3">
        <f t="shared" si="253"/>
        <v>3.098114236407119E-3</v>
      </c>
      <c r="K267" s="3">
        <f t="shared" si="253"/>
        <v>3.098114236407119E-3</v>
      </c>
      <c r="L267" s="3">
        <f t="shared" si="253"/>
        <v>3.098114236407119E-3</v>
      </c>
      <c r="M267" s="3">
        <f t="shared" si="253"/>
        <v>3.098114236407119E-3</v>
      </c>
      <c r="N267" s="3">
        <f t="shared" si="253"/>
        <v>3.098114236407119E-3</v>
      </c>
      <c r="O267" s="3">
        <f t="shared" si="253"/>
        <v>3.098114236407119E-3</v>
      </c>
      <c r="P267" s="3">
        <f t="shared" si="253"/>
        <v>3.098114236407119E-3</v>
      </c>
      <c r="Q267" s="3">
        <f t="shared" si="253"/>
        <v>3.098114236407119E-3</v>
      </c>
      <c r="R267" s="3">
        <f t="shared" si="253"/>
        <v>3.098114236407119E-3</v>
      </c>
      <c r="S267" s="3">
        <f t="shared" si="253"/>
        <v>3.098114236407119E-3</v>
      </c>
      <c r="T267" s="3">
        <f t="shared" si="253"/>
        <v>3.098114236407119E-3</v>
      </c>
      <c r="U267" s="3">
        <f t="shared" si="253"/>
        <v>3.0981142364071182E-3</v>
      </c>
      <c r="V267" s="3">
        <f t="shared" si="253"/>
        <v>3.0981142364071112E-3</v>
      </c>
      <c r="W267" s="3">
        <f t="shared" si="253"/>
        <v>3.0981142364070384E-3</v>
      </c>
      <c r="X267" s="3">
        <f t="shared" si="253"/>
        <v>3.0981142364063128E-3</v>
      </c>
      <c r="Y267" s="3">
        <f t="shared" si="253"/>
        <v>3.0981142363990582E-3</v>
      </c>
      <c r="Z267" s="3">
        <f t="shared" si="253"/>
        <v>3.0981142363265112E-3</v>
      </c>
      <c r="AA267" s="3">
        <f t="shared" si="253"/>
        <v>3.0981142356010429E-3</v>
      </c>
      <c r="AB267" s="3">
        <f t="shared" si="253"/>
        <v>3.0981142283463556E-3</v>
      </c>
      <c r="AC267" s="3">
        <f t="shared" si="253"/>
        <v>3.0981141557994852E-3</v>
      </c>
      <c r="AD267" s="3">
        <f t="shared" si="253"/>
        <v>3.0981134303308742E-3</v>
      </c>
      <c r="AE267" s="3">
        <f t="shared" si="253"/>
        <v>3.0981061756541078E-3</v>
      </c>
      <c r="AF267" s="3">
        <f t="shared" si="253"/>
        <v>3.0980336298207685E-3</v>
      </c>
      <c r="AG267" s="3"/>
      <c r="AH267" s="3"/>
    </row>
    <row r="268" spans="2:34" x14ac:dyDescent="0.25">
      <c r="B268" s="3">
        <f t="shared" ref="B268:AF268" si="254">$C37*EXP(-B$246/$A37/EXP(-$E$126))</f>
        <v>1.3450651080742435E-3</v>
      </c>
      <c r="C268" s="3">
        <f t="shared" si="254"/>
        <v>1.3450651080742435E-3</v>
      </c>
      <c r="D268" s="3">
        <f t="shared" si="254"/>
        <v>1.3450651080742435E-3</v>
      </c>
      <c r="E268" s="3">
        <f t="shared" si="254"/>
        <v>1.3450651080742435E-3</v>
      </c>
      <c r="F268" s="3">
        <f t="shared" si="254"/>
        <v>1.3450651080742435E-3</v>
      </c>
      <c r="G268" s="3">
        <f t="shared" si="254"/>
        <v>1.3450651080742435E-3</v>
      </c>
      <c r="H268" s="3">
        <f t="shared" si="254"/>
        <v>1.3450651080742435E-3</v>
      </c>
      <c r="I268" s="3">
        <f t="shared" si="254"/>
        <v>1.3450651080742435E-3</v>
      </c>
      <c r="J268" s="3">
        <f t="shared" si="254"/>
        <v>1.3450651080742435E-3</v>
      </c>
      <c r="K268" s="3">
        <f t="shared" si="254"/>
        <v>1.3450651080742435E-3</v>
      </c>
      <c r="L268" s="3">
        <f t="shared" si="254"/>
        <v>1.3450651080742435E-3</v>
      </c>
      <c r="M268" s="3">
        <f t="shared" si="254"/>
        <v>1.3450651080742435E-3</v>
      </c>
      <c r="N268" s="3">
        <f t="shared" si="254"/>
        <v>1.3450651080742435E-3</v>
      </c>
      <c r="O268" s="3">
        <f t="shared" si="254"/>
        <v>1.3450651080742435E-3</v>
      </c>
      <c r="P268" s="3">
        <f t="shared" si="254"/>
        <v>1.3450651080742435E-3</v>
      </c>
      <c r="Q268" s="3">
        <f t="shared" si="254"/>
        <v>1.3450651080742435E-3</v>
      </c>
      <c r="R268" s="3">
        <f t="shared" si="254"/>
        <v>1.3450651080742435E-3</v>
      </c>
      <c r="S268" s="3">
        <f t="shared" si="254"/>
        <v>1.3450651080742435E-3</v>
      </c>
      <c r="T268" s="3">
        <f t="shared" si="254"/>
        <v>1.3450651080742435E-3</v>
      </c>
      <c r="U268" s="3">
        <f t="shared" si="254"/>
        <v>1.3450651080742435E-3</v>
      </c>
      <c r="V268" s="3">
        <f t="shared" si="254"/>
        <v>1.3450651080742432E-3</v>
      </c>
      <c r="W268" s="3">
        <f t="shared" si="254"/>
        <v>1.3450651080742404E-3</v>
      </c>
      <c r="X268" s="3">
        <f t="shared" si="254"/>
        <v>1.345065108074212E-3</v>
      </c>
      <c r="Y268" s="3">
        <f t="shared" si="254"/>
        <v>1.3450651080739277E-3</v>
      </c>
      <c r="Z268" s="3">
        <f t="shared" si="254"/>
        <v>1.3450651080710865E-3</v>
      </c>
      <c r="AA268" s="3">
        <f t="shared" si="254"/>
        <v>1.3450651080426739E-3</v>
      </c>
      <c r="AB268" s="3">
        <f t="shared" si="254"/>
        <v>1.3450651077585479E-3</v>
      </c>
      <c r="AC268" s="3">
        <f t="shared" si="254"/>
        <v>1.3450651049172866E-3</v>
      </c>
      <c r="AD268" s="3">
        <f t="shared" si="254"/>
        <v>1.3450650765046751E-3</v>
      </c>
      <c r="AE268" s="3">
        <f t="shared" si="254"/>
        <v>1.3450647923785926E-3</v>
      </c>
      <c r="AF268" s="3">
        <f t="shared" si="254"/>
        <v>1.3450619511210711E-3</v>
      </c>
      <c r="AG268" s="3"/>
      <c r="AH268" s="3"/>
    </row>
    <row r="269" spans="2:34" x14ac:dyDescent="0.25">
      <c r="B269" s="3">
        <f t="shared" ref="B269:AF269" si="255">$C38*EXP(-B$246/$A38/EXP(-$E$126))</f>
        <v>1.5999872696703847E-4</v>
      </c>
      <c r="C269" s="3">
        <f t="shared" si="255"/>
        <v>1.5999872696703847E-4</v>
      </c>
      <c r="D269" s="3">
        <f t="shared" si="255"/>
        <v>1.5999872696703847E-4</v>
      </c>
      <c r="E269" s="3">
        <f t="shared" si="255"/>
        <v>1.5999872696703847E-4</v>
      </c>
      <c r="F269" s="3">
        <f t="shared" si="255"/>
        <v>1.5999872696703847E-4</v>
      </c>
      <c r="G269" s="3">
        <f t="shared" si="255"/>
        <v>1.5999872696703847E-4</v>
      </c>
      <c r="H269" s="3">
        <f t="shared" si="255"/>
        <v>1.5999872696703847E-4</v>
      </c>
      <c r="I269" s="3">
        <f t="shared" si="255"/>
        <v>1.5999872696703847E-4</v>
      </c>
      <c r="J269" s="3">
        <f t="shared" si="255"/>
        <v>1.5999872696703847E-4</v>
      </c>
      <c r="K269" s="3">
        <f t="shared" si="255"/>
        <v>1.5999872696703847E-4</v>
      </c>
      <c r="L269" s="3">
        <f t="shared" si="255"/>
        <v>1.5999872696703847E-4</v>
      </c>
      <c r="M269" s="3">
        <f t="shared" si="255"/>
        <v>1.5999872696703847E-4</v>
      </c>
      <c r="N269" s="3">
        <f t="shared" si="255"/>
        <v>1.5999872696703847E-4</v>
      </c>
      <c r="O269" s="3">
        <f t="shared" si="255"/>
        <v>1.5999872696703847E-4</v>
      </c>
      <c r="P269" s="3">
        <f t="shared" si="255"/>
        <v>1.5999872696703847E-4</v>
      </c>
      <c r="Q269" s="3">
        <f t="shared" si="255"/>
        <v>1.5999872696703847E-4</v>
      </c>
      <c r="R269" s="3">
        <f t="shared" si="255"/>
        <v>1.5999872696703847E-4</v>
      </c>
      <c r="S269" s="3">
        <f t="shared" si="255"/>
        <v>1.5999872696703847E-4</v>
      </c>
      <c r="T269" s="3">
        <f t="shared" si="255"/>
        <v>1.5999872696703847E-4</v>
      </c>
      <c r="U269" s="3">
        <f t="shared" si="255"/>
        <v>1.5999872696703847E-4</v>
      </c>
      <c r="V269" s="3">
        <f t="shared" si="255"/>
        <v>1.5999872696703847E-4</v>
      </c>
      <c r="W269" s="3">
        <f t="shared" si="255"/>
        <v>1.5999872696703844E-4</v>
      </c>
      <c r="X269" s="3">
        <f t="shared" si="255"/>
        <v>1.5999872696703814E-4</v>
      </c>
      <c r="Y269" s="3">
        <f t="shared" si="255"/>
        <v>1.5999872696703508E-4</v>
      </c>
      <c r="Z269" s="3">
        <f t="shared" si="255"/>
        <v>1.5999872696700459E-4</v>
      </c>
      <c r="AA269" s="3">
        <f t="shared" si="255"/>
        <v>1.5999872696669971E-4</v>
      </c>
      <c r="AB269" s="3">
        <f t="shared" si="255"/>
        <v>1.5999872696365091E-4</v>
      </c>
      <c r="AC269" s="3">
        <f t="shared" si="255"/>
        <v>1.5999872693316276E-4</v>
      </c>
      <c r="AD269" s="3">
        <f t="shared" si="255"/>
        <v>1.5999872662828134E-4</v>
      </c>
      <c r="AE269" s="3">
        <f t="shared" si="255"/>
        <v>1.5999872357946708E-4</v>
      </c>
      <c r="AF269" s="3">
        <f t="shared" si="255"/>
        <v>1.599986930913278E-4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1.1033683083565872E-4</v>
      </c>
      <c r="C272" s="3">
        <f t="shared" si="258"/>
        <v>1.1033683083565872E-4</v>
      </c>
      <c r="D272" s="3">
        <f t="shared" si="258"/>
        <v>1.1033683083565872E-4</v>
      </c>
      <c r="E272" s="3">
        <f t="shared" si="258"/>
        <v>1.1033683083565872E-4</v>
      </c>
      <c r="F272" s="3">
        <f t="shared" si="258"/>
        <v>1.1033683083565872E-4</v>
      </c>
      <c r="G272" s="3">
        <f t="shared" si="258"/>
        <v>1.1033683083565872E-4</v>
      </c>
      <c r="H272" s="3">
        <f t="shared" si="258"/>
        <v>1.1033683083565872E-4</v>
      </c>
      <c r="I272" s="3">
        <f t="shared" si="258"/>
        <v>1.1033683083565872E-4</v>
      </c>
      <c r="J272" s="3">
        <f t="shared" si="258"/>
        <v>1.1033683083565872E-4</v>
      </c>
      <c r="K272" s="3">
        <f t="shared" si="258"/>
        <v>1.1033683083565872E-4</v>
      </c>
      <c r="L272" s="3">
        <f t="shared" si="258"/>
        <v>1.1033683083565872E-4</v>
      </c>
      <c r="M272" s="3">
        <f t="shared" si="258"/>
        <v>1.1033683083565872E-4</v>
      </c>
      <c r="N272" s="3">
        <f t="shared" si="258"/>
        <v>1.1033683083565872E-4</v>
      </c>
      <c r="O272" s="3">
        <f t="shared" si="258"/>
        <v>1.1033683083565872E-4</v>
      </c>
      <c r="P272" s="3">
        <f t="shared" si="258"/>
        <v>1.1033683083565872E-4</v>
      </c>
      <c r="Q272" s="3">
        <f t="shared" si="258"/>
        <v>1.1033683083565872E-4</v>
      </c>
      <c r="R272" s="3">
        <f t="shared" si="258"/>
        <v>1.1033683083565872E-4</v>
      </c>
      <c r="S272" s="3">
        <f t="shared" si="258"/>
        <v>1.1033683083565872E-4</v>
      </c>
      <c r="T272" s="3">
        <f t="shared" si="258"/>
        <v>1.1033683083565872E-4</v>
      </c>
      <c r="U272" s="3">
        <f t="shared" si="258"/>
        <v>1.1033683083565872E-4</v>
      </c>
      <c r="V272" s="3">
        <f t="shared" si="258"/>
        <v>1.1033683083565872E-4</v>
      </c>
      <c r="W272" s="3">
        <f t="shared" si="258"/>
        <v>1.1033683083565872E-4</v>
      </c>
      <c r="X272" s="3">
        <f t="shared" si="258"/>
        <v>1.1033683083565872E-4</v>
      </c>
      <c r="Y272" s="3">
        <f t="shared" si="258"/>
        <v>1.103368308356587E-4</v>
      </c>
      <c r="Z272" s="3">
        <f t="shared" si="258"/>
        <v>1.1033683083565865E-4</v>
      </c>
      <c r="AA272" s="3">
        <f t="shared" si="258"/>
        <v>1.1033683083565807E-4</v>
      </c>
      <c r="AB272" s="3">
        <f t="shared" si="258"/>
        <v>1.1033683083565227E-4</v>
      </c>
      <c r="AC272" s="3">
        <f t="shared" si="258"/>
        <v>1.1033683083559411E-4</v>
      </c>
      <c r="AD272" s="3">
        <f t="shared" si="258"/>
        <v>1.1033683083501261E-4</v>
      </c>
      <c r="AE272" s="3">
        <f t="shared" si="258"/>
        <v>1.1033683082919763E-4</v>
      </c>
      <c r="AF272" s="3">
        <f t="shared" si="258"/>
        <v>1.103368307710479E-4</v>
      </c>
      <c r="AG272" s="3"/>
      <c r="AH272" s="3"/>
    </row>
    <row r="273" spans="1:34" x14ac:dyDescent="0.25">
      <c r="B273" s="3">
        <f t="shared" ref="B273:AF273" si="259">$C42*EXP(-B$246/$A42/EXP(-$E$126))</f>
        <v>5.3430093526516889E-5</v>
      </c>
      <c r="C273" s="3">
        <f t="shared" si="259"/>
        <v>5.3430093526516889E-5</v>
      </c>
      <c r="D273" s="3">
        <f t="shared" si="259"/>
        <v>5.3430093526516889E-5</v>
      </c>
      <c r="E273" s="3">
        <f t="shared" si="259"/>
        <v>5.3430093526516889E-5</v>
      </c>
      <c r="F273" s="3">
        <f t="shared" si="259"/>
        <v>5.3430093526516889E-5</v>
      </c>
      <c r="G273" s="3">
        <f t="shared" si="259"/>
        <v>5.3430093526516889E-5</v>
      </c>
      <c r="H273" s="3">
        <f t="shared" si="259"/>
        <v>5.3430093526516889E-5</v>
      </c>
      <c r="I273" s="3">
        <f t="shared" si="259"/>
        <v>5.3430093526516889E-5</v>
      </c>
      <c r="J273" s="3">
        <f t="shared" si="259"/>
        <v>5.3430093526516889E-5</v>
      </c>
      <c r="K273" s="3">
        <f t="shared" si="259"/>
        <v>5.3430093526516889E-5</v>
      </c>
      <c r="L273" s="3">
        <f t="shared" si="259"/>
        <v>5.3430093526516889E-5</v>
      </c>
      <c r="M273" s="3">
        <f t="shared" si="259"/>
        <v>5.3430093526516889E-5</v>
      </c>
      <c r="N273" s="3">
        <f t="shared" si="259"/>
        <v>5.3430093526516889E-5</v>
      </c>
      <c r="O273" s="3">
        <f t="shared" si="259"/>
        <v>5.3430093526516889E-5</v>
      </c>
      <c r="P273" s="3">
        <f t="shared" si="259"/>
        <v>5.3430093526516889E-5</v>
      </c>
      <c r="Q273" s="3">
        <f t="shared" si="259"/>
        <v>5.3430093526516889E-5</v>
      </c>
      <c r="R273" s="3">
        <f t="shared" si="259"/>
        <v>5.3430093526516889E-5</v>
      </c>
      <c r="S273" s="3">
        <f t="shared" si="259"/>
        <v>5.3430093526516889E-5</v>
      </c>
      <c r="T273" s="3">
        <f t="shared" si="259"/>
        <v>5.3430093526516889E-5</v>
      </c>
      <c r="U273" s="3">
        <f t="shared" si="259"/>
        <v>5.3430093526516889E-5</v>
      </c>
      <c r="V273" s="3">
        <f t="shared" si="259"/>
        <v>5.3430093526516889E-5</v>
      </c>
      <c r="W273" s="3">
        <f t="shared" si="259"/>
        <v>5.3430093526516889E-5</v>
      </c>
      <c r="X273" s="3">
        <f t="shared" si="259"/>
        <v>5.3430093526516889E-5</v>
      </c>
      <c r="Y273" s="3">
        <f t="shared" si="259"/>
        <v>5.3430093526516889E-5</v>
      </c>
      <c r="Z273" s="3">
        <f t="shared" si="259"/>
        <v>5.3430093526516882E-5</v>
      </c>
      <c r="AA273" s="3">
        <f t="shared" si="259"/>
        <v>5.3430093526516862E-5</v>
      </c>
      <c r="AB273" s="3">
        <f t="shared" si="259"/>
        <v>5.3430093526516577E-5</v>
      </c>
      <c r="AC273" s="3">
        <f t="shared" si="259"/>
        <v>5.3430093526513765E-5</v>
      </c>
      <c r="AD273" s="3">
        <f t="shared" si="259"/>
        <v>5.3430093526485603E-5</v>
      </c>
      <c r="AE273" s="3">
        <f t="shared" si="259"/>
        <v>5.3430093526204015E-5</v>
      </c>
      <c r="AF273" s="3">
        <f t="shared" si="259"/>
        <v>5.3430093523388139E-5</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1.1249816087007928E-3</v>
      </c>
      <c r="C279" s="3">
        <f t="shared" si="265"/>
        <v>1.1249816087007928E-3</v>
      </c>
      <c r="D279" s="3">
        <f t="shared" si="265"/>
        <v>1.1249816087007928E-3</v>
      </c>
      <c r="E279" s="3">
        <f t="shared" si="265"/>
        <v>1.1249816087007928E-3</v>
      </c>
      <c r="F279" s="3">
        <f t="shared" si="265"/>
        <v>1.1249816087007928E-3</v>
      </c>
      <c r="G279" s="3">
        <f t="shared" si="265"/>
        <v>1.1249816087007928E-3</v>
      </c>
      <c r="H279" s="3">
        <f t="shared" si="265"/>
        <v>1.1249816087007928E-3</v>
      </c>
      <c r="I279" s="3">
        <f t="shared" si="265"/>
        <v>1.1249816087007928E-3</v>
      </c>
      <c r="J279" s="3">
        <f t="shared" si="265"/>
        <v>1.1249816087007928E-3</v>
      </c>
      <c r="K279" s="3">
        <f t="shared" si="265"/>
        <v>1.1249816087007928E-3</v>
      </c>
      <c r="L279" s="3">
        <f t="shared" si="265"/>
        <v>1.1249816087007928E-3</v>
      </c>
      <c r="M279" s="3">
        <f t="shared" si="265"/>
        <v>1.1249816087007928E-3</v>
      </c>
      <c r="N279" s="3">
        <f t="shared" si="265"/>
        <v>1.1249816087007928E-3</v>
      </c>
      <c r="O279" s="3">
        <f t="shared" si="265"/>
        <v>1.1249816087007928E-3</v>
      </c>
      <c r="P279" s="3">
        <f t="shared" si="265"/>
        <v>1.1249816087007928E-3</v>
      </c>
      <c r="Q279" s="3">
        <f t="shared" si="265"/>
        <v>1.1249816087007928E-3</v>
      </c>
      <c r="R279" s="3">
        <f t="shared" si="265"/>
        <v>1.1249816087007928E-3</v>
      </c>
      <c r="S279" s="3">
        <f t="shared" si="265"/>
        <v>1.1249816087007928E-3</v>
      </c>
      <c r="T279" s="3">
        <f t="shared" si="265"/>
        <v>1.1249816087007928E-3</v>
      </c>
      <c r="U279" s="3">
        <f t="shared" si="265"/>
        <v>1.1249816087007928E-3</v>
      </c>
      <c r="V279" s="3">
        <f t="shared" si="265"/>
        <v>1.1249816087007928E-3</v>
      </c>
      <c r="W279" s="3">
        <f t="shared" si="265"/>
        <v>1.1249816087007928E-3</v>
      </c>
      <c r="X279" s="3">
        <f t="shared" si="265"/>
        <v>1.1249816087007928E-3</v>
      </c>
      <c r="Y279" s="3">
        <f t="shared" si="265"/>
        <v>1.1249816087007928E-3</v>
      </c>
      <c r="Z279" s="3">
        <f t="shared" si="265"/>
        <v>1.1249816087007928E-3</v>
      </c>
      <c r="AA279" s="3">
        <f t="shared" si="265"/>
        <v>1.1249816087007928E-3</v>
      </c>
      <c r="AB279" s="3">
        <f t="shared" si="265"/>
        <v>1.1249816087007928E-3</v>
      </c>
      <c r="AC279" s="3">
        <f t="shared" si="265"/>
        <v>1.1249816087007928E-3</v>
      </c>
      <c r="AD279" s="3">
        <f t="shared" si="265"/>
        <v>1.1249816087007928E-3</v>
      </c>
      <c r="AE279" s="3">
        <f t="shared" si="265"/>
        <v>1.1249816087007928E-3</v>
      </c>
      <c r="AF279" s="3">
        <f t="shared" si="265"/>
        <v>1.1249816087007926E-3</v>
      </c>
      <c r="AG279" s="3"/>
      <c r="AH279" s="3"/>
    </row>
    <row r="280" spans="1:34" x14ac:dyDescent="0.25">
      <c r="A280" s="79">
        <f>AVERAGE(B280:AF280)</f>
        <v>6.0512116643921525E-2</v>
      </c>
      <c r="B280" s="80">
        <f>IF($D$61&lt;=B246,IF($E$61&gt;=B246,ABS((B248-B247)/B247),0),0)</f>
        <v>9.9868041816719862E-4</v>
      </c>
      <c r="C280" s="80">
        <f t="shared" ref="C280:AF280" si="266">IF($D$61&lt;=C246,IF($E$61&gt;=C246,ABS((C248-C247)/C247),0),0)</f>
        <v>1.1774992482605205E-3</v>
      </c>
      <c r="D280" s="80">
        <f t="shared" si="266"/>
        <v>2.964789279386675E-3</v>
      </c>
      <c r="E280" s="80">
        <f t="shared" si="266"/>
        <v>1.7818502701858727E-2</v>
      </c>
      <c r="F280" s="80">
        <f t="shared" si="266"/>
        <v>4.8507435519143431E-2</v>
      </c>
      <c r="G280" s="80">
        <f t="shared" si="266"/>
        <v>7.0788744964384698E-2</v>
      </c>
      <c r="H280" s="80">
        <f t="shared" si="266"/>
        <v>9.3560500030736918E-2</v>
      </c>
      <c r="I280" s="80">
        <f t="shared" si="266"/>
        <v>0.11991249649617636</v>
      </c>
      <c r="J280" s="80">
        <f t="shared" si="266"/>
        <v>0.14714930495902878</v>
      </c>
      <c r="K280" s="80">
        <f t="shared" si="266"/>
        <v>0.15837788969219871</v>
      </c>
      <c r="L280" s="80">
        <f t="shared" si="266"/>
        <v>1.0812549200779089E-2</v>
      </c>
      <c r="M280" s="80">
        <f t="shared" si="266"/>
        <v>0.23062864700261493</v>
      </c>
      <c r="N280" s="80">
        <f t="shared" si="266"/>
        <v>0.20465555426082666</v>
      </c>
      <c r="O280" s="80">
        <f t="shared" si="266"/>
        <v>0.17259859165040717</v>
      </c>
      <c r="P280" s="80">
        <f t="shared" si="266"/>
        <v>0.1301773202626981</v>
      </c>
      <c r="Q280" s="80">
        <f t="shared" si="266"/>
        <v>8.0781073439989692E-2</v>
      </c>
      <c r="R280" s="80">
        <f t="shared" si="266"/>
        <v>4.2257180318007119E-2</v>
      </c>
      <c r="S280" s="80">
        <f t="shared" si="266"/>
        <v>5.6701091936505015E-2</v>
      </c>
      <c r="T280" s="80">
        <f t="shared" si="266"/>
        <v>4.6399321552094704E-2</v>
      </c>
      <c r="U280" s="80">
        <f t="shared" si="266"/>
        <v>3.4357055232857946E-2</v>
      </c>
      <c r="V280" s="80">
        <f t="shared" si="266"/>
        <v>3.4198660147589252E-2</v>
      </c>
      <c r="W280" s="80">
        <f t="shared" si="266"/>
        <v>4.1445909161490595E-2</v>
      </c>
      <c r="X280" s="80">
        <f t="shared" si="266"/>
        <v>5.3375648300462999E-2</v>
      </c>
      <c r="Y280" s="80">
        <f t="shared" si="266"/>
        <v>7.6231170185901989E-2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31.372977527962814</v>
      </c>
      <c r="C281" s="21">
        <f t="shared" ref="C281:AF281" si="267">(C248-C247)^2</f>
        <v>43.598223679418346</v>
      </c>
      <c r="D281" s="21">
        <f t="shared" si="267"/>
        <v>275.41397115078519</v>
      </c>
      <c r="E281" s="21">
        <f t="shared" si="267"/>
        <v>9659.8724229334111</v>
      </c>
      <c r="F281" s="21">
        <f t="shared" si="267"/>
        <v>67459.494015271368</v>
      </c>
      <c r="G281" s="21">
        <f t="shared" si="267"/>
        <v>137749.01444305005</v>
      </c>
      <c r="H281" s="21">
        <f t="shared" si="267"/>
        <v>230700.760850099</v>
      </c>
      <c r="I281" s="21">
        <f t="shared" si="267"/>
        <v>361184.83450860594</v>
      </c>
      <c r="J281" s="21">
        <f t="shared" si="267"/>
        <v>516226.87517299515</v>
      </c>
      <c r="K281" s="21">
        <f t="shared" si="267"/>
        <v>563016.3544470839</v>
      </c>
      <c r="L281" s="21">
        <f t="shared" si="267"/>
        <v>2454.2019797281932</v>
      </c>
      <c r="M281" s="21">
        <f t="shared" si="267"/>
        <v>1040476.1196433863</v>
      </c>
      <c r="N281" s="21">
        <f t="shared" si="267"/>
        <v>763819.32610678347</v>
      </c>
      <c r="O281" s="21">
        <f t="shared" si="267"/>
        <v>501977.335308182</v>
      </c>
      <c r="P281" s="21">
        <f t="shared" si="267"/>
        <v>258304.45040498508</v>
      </c>
      <c r="Q281" s="21">
        <f t="shared" si="267"/>
        <v>88821.340211480885</v>
      </c>
      <c r="R281" s="21">
        <f t="shared" si="267"/>
        <v>21822.745425508976</v>
      </c>
      <c r="S281" s="21">
        <f t="shared" si="267"/>
        <v>35179.21086895121</v>
      </c>
      <c r="T281" s="21">
        <f t="shared" si="267"/>
        <v>20739.961383315138</v>
      </c>
      <c r="U281" s="21">
        <f t="shared" si="267"/>
        <v>10006.880791350035</v>
      </c>
      <c r="V281" s="21">
        <f t="shared" si="267"/>
        <v>8711.5441599305377</v>
      </c>
      <c r="W281" s="21">
        <f t="shared" si="267"/>
        <v>11176.119438062204</v>
      </c>
      <c r="X281" s="21">
        <f t="shared" si="267"/>
        <v>15842.616064605685</v>
      </c>
      <c r="Y281" s="21">
        <f t="shared" si="267"/>
        <v>27068.514791153721</v>
      </c>
      <c r="Z281" s="21">
        <f t="shared" si="267"/>
        <v>48024.897343466168</v>
      </c>
      <c r="AA281" s="21">
        <f t="shared" si="267"/>
        <v>86286.779406640737</v>
      </c>
      <c r="AB281" s="21">
        <f t="shared" si="267"/>
        <v>125028.24597278974</v>
      </c>
      <c r="AC281" s="21">
        <f t="shared" si="267"/>
        <v>126114.47084271107</v>
      </c>
      <c r="AD281" s="21">
        <f t="shared" si="267"/>
        <v>80433.438868357378</v>
      </c>
      <c r="AE281" s="21">
        <f t="shared" si="267"/>
        <v>32994.05527355626</v>
      </c>
      <c r="AF281" s="21">
        <f t="shared" si="267"/>
        <v>8636.4240142161416</v>
      </c>
      <c r="AG281" s="3"/>
      <c r="AH281" s="3"/>
    </row>
    <row r="282" spans="1:34" s="3" customFormat="1" x14ac:dyDescent="0.25">
      <c r="A282" s="71">
        <f>SUM(B282:AF282)</f>
        <v>4692747.9576098192</v>
      </c>
      <c r="B282" s="21">
        <f>IF($D$61&lt;=B246,IF($E$61&gt;=B246,ABS(B281),0),0)</f>
        <v>31.372977527962814</v>
      </c>
      <c r="C282" s="21">
        <f t="shared" ref="C282:AF282" si="268">IF($D$61&lt;=C246,IF($E$61&gt;=C246,ABS(C281),0),0)</f>
        <v>43.598223679418346</v>
      </c>
      <c r="D282" s="21">
        <f t="shared" si="268"/>
        <v>275.41397115078519</v>
      </c>
      <c r="E282" s="21">
        <f t="shared" si="268"/>
        <v>9659.8724229334111</v>
      </c>
      <c r="F282" s="21">
        <f t="shared" si="268"/>
        <v>67459.494015271368</v>
      </c>
      <c r="G282" s="21">
        <f t="shared" si="268"/>
        <v>137749.01444305005</v>
      </c>
      <c r="H282" s="21">
        <f t="shared" si="268"/>
        <v>230700.760850099</v>
      </c>
      <c r="I282" s="21">
        <f t="shared" si="268"/>
        <v>361184.83450860594</v>
      </c>
      <c r="J282" s="21">
        <f t="shared" si="268"/>
        <v>516226.87517299515</v>
      </c>
      <c r="K282" s="21">
        <f t="shared" si="268"/>
        <v>563016.3544470839</v>
      </c>
      <c r="L282" s="21">
        <f t="shared" si="268"/>
        <v>2454.2019797281932</v>
      </c>
      <c r="M282" s="21">
        <f t="shared" si="268"/>
        <v>1040476.1196433863</v>
      </c>
      <c r="N282" s="21">
        <f t="shared" si="268"/>
        <v>763819.32610678347</v>
      </c>
      <c r="O282" s="21">
        <f t="shared" si="268"/>
        <v>501977.335308182</v>
      </c>
      <c r="P282" s="21">
        <f t="shared" si="268"/>
        <v>258304.45040498508</v>
      </c>
      <c r="Q282" s="21">
        <f t="shared" si="268"/>
        <v>88821.340211480885</v>
      </c>
      <c r="R282" s="21">
        <f t="shared" si="268"/>
        <v>21822.745425508976</v>
      </c>
      <c r="S282" s="21">
        <f t="shared" si="268"/>
        <v>35179.21086895121</v>
      </c>
      <c r="T282" s="21">
        <f t="shared" si="268"/>
        <v>20739.961383315138</v>
      </c>
      <c r="U282" s="21">
        <f t="shared" si="268"/>
        <v>10006.880791350035</v>
      </c>
      <c r="V282" s="21">
        <f t="shared" si="268"/>
        <v>8711.5441599305377</v>
      </c>
      <c r="W282" s="21">
        <f t="shared" si="268"/>
        <v>11176.119438062204</v>
      </c>
      <c r="X282" s="21">
        <f t="shared" si="268"/>
        <v>15842.616064605685</v>
      </c>
      <c r="Y282" s="21">
        <f t="shared" si="268"/>
        <v>27068.514791153721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0" t="s">
        <v>22</v>
      </c>
      <c r="B287" s="27">
        <f>($C$17+SUM(B288:B318))*$B$51</f>
        <v>5614.1606793239043</v>
      </c>
      <c r="C287" s="27">
        <f t="shared" ref="C287:AF287" si="269">($C$17+SUM(C288:C318))*$B$51</f>
        <v>5614.1604932390528</v>
      </c>
      <c r="D287" s="27">
        <f t="shared" si="269"/>
        <v>5614.1586323913989</v>
      </c>
      <c r="E287" s="27">
        <f t="shared" si="269"/>
        <v>5614.1400240007397</v>
      </c>
      <c r="F287" s="27">
        <f t="shared" si="269"/>
        <v>5613.9539486816921</v>
      </c>
      <c r="G287" s="27">
        <f t="shared" si="269"/>
        <v>5612.0940539784333</v>
      </c>
      <c r="H287" s="27">
        <f t="shared" si="269"/>
        <v>5593.5806897354587</v>
      </c>
      <c r="I287" s="27">
        <f t="shared" si="269"/>
        <v>5416.7454809029196</v>
      </c>
      <c r="J287" s="27">
        <f t="shared" si="269"/>
        <v>4269.4354592761938</v>
      </c>
      <c r="K287" s="27">
        <f t="shared" si="269"/>
        <v>3396.6666322814881</v>
      </c>
      <c r="L287" s="27">
        <f t="shared" si="269"/>
        <v>3396.4611003984505</v>
      </c>
      <c r="M287" s="27">
        <f t="shared" si="269"/>
        <v>3396.386697918947</v>
      </c>
      <c r="N287" s="27">
        <f t="shared" si="269"/>
        <v>3395.64352569636</v>
      </c>
      <c r="O287" s="27">
        <f t="shared" si="269"/>
        <v>3388.2963881955002</v>
      </c>
      <c r="P287" s="27">
        <f t="shared" si="269"/>
        <v>3322.6493112701492</v>
      </c>
      <c r="Q287" s="27">
        <f t="shared" si="269"/>
        <v>3067.7505190242382</v>
      </c>
      <c r="R287" s="27">
        <f t="shared" si="269"/>
        <v>2932.5549873422406</v>
      </c>
      <c r="S287" s="27">
        <f t="shared" si="269"/>
        <v>2773.6789825434944</v>
      </c>
      <c r="T287" s="27">
        <f t="shared" si="269"/>
        <v>2594.060165099138</v>
      </c>
      <c r="U287" s="27">
        <f t="shared" si="269"/>
        <v>2399.3205910343468</v>
      </c>
      <c r="V287" s="27">
        <f t="shared" si="269"/>
        <v>2180.6789519981326</v>
      </c>
      <c r="W287" s="27">
        <f t="shared" si="269"/>
        <v>1936.7591029403895</v>
      </c>
      <c r="X287" s="27">
        <f t="shared" si="269"/>
        <v>1654.3118142128885</v>
      </c>
      <c r="Y287" s="27">
        <f t="shared" si="269"/>
        <v>1330.9549765406566</v>
      </c>
      <c r="Z287" s="27">
        <f t="shared" si="269"/>
        <v>995.15071191697791</v>
      </c>
      <c r="AA287" s="27">
        <f t="shared" si="269"/>
        <v>701.35818562844247</v>
      </c>
      <c r="AB287" s="27">
        <f t="shared" si="269"/>
        <v>491.50783960557339</v>
      </c>
      <c r="AC287" s="27">
        <f t="shared" si="269"/>
        <v>369.13670584330896</v>
      </c>
      <c r="AD287" s="27">
        <f t="shared" si="269"/>
        <v>308.70523003344459</v>
      </c>
      <c r="AE287" s="27">
        <f t="shared" si="269"/>
        <v>279.31146466062381</v>
      </c>
      <c r="AF287" s="27">
        <f t="shared" si="269"/>
        <v>262.23428073233816</v>
      </c>
      <c r="AG287" s="27"/>
      <c r="AH287" s="27"/>
    </row>
    <row r="288" spans="1:34" x14ac:dyDescent="0.25">
      <c r="B288" s="3">
        <f t="shared" ref="B288:AF288" si="270">$C18*EXP(-B$285/$A18/EXP(-$F$126))</f>
        <v>0.39501742638497234</v>
      </c>
      <c r="C288" s="3">
        <f t="shared" si="270"/>
        <v>0.39501739323935114</v>
      </c>
      <c r="D288" s="3">
        <f t="shared" si="270"/>
        <v>0.39501706178329232</v>
      </c>
      <c r="E288" s="3">
        <f t="shared" si="270"/>
        <v>0.3950137472380007</v>
      </c>
      <c r="F288" s="3">
        <f t="shared" si="270"/>
        <v>0.39498060331470569</v>
      </c>
      <c r="G288" s="3">
        <f t="shared" si="270"/>
        <v>0.39464931699637024</v>
      </c>
      <c r="H288" s="3">
        <f t="shared" si="270"/>
        <v>0.39135169790633323</v>
      </c>
      <c r="I288" s="3">
        <f t="shared" si="270"/>
        <v>0.35985363241787238</v>
      </c>
      <c r="J288" s="3">
        <f t="shared" si="270"/>
        <v>0.15549362056164348</v>
      </c>
      <c r="K288" s="3">
        <f t="shared" si="270"/>
        <v>3.5284131043556001E-5</v>
      </c>
      <c r="L288" s="3">
        <f t="shared" si="270"/>
        <v>1.2771677121669385E-41</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5.9661445570692972E-2</v>
      </c>
      <c r="C289" s="3">
        <f t="shared" si="271"/>
        <v>5.9661445570691696E-2</v>
      </c>
      <c r="D289" s="3">
        <f t="shared" si="271"/>
        <v>5.9661445570678873E-2</v>
      </c>
      <c r="E289" s="3">
        <f t="shared" si="271"/>
        <v>5.9661445570550635E-2</v>
      </c>
      <c r="F289" s="3">
        <f t="shared" si="271"/>
        <v>5.9661445569268293E-2</v>
      </c>
      <c r="G289" s="3">
        <f t="shared" si="271"/>
        <v>5.9661445556444814E-2</v>
      </c>
      <c r="H289" s="3">
        <f t="shared" si="271"/>
        <v>5.96614454282101E-2</v>
      </c>
      <c r="I289" s="3">
        <f t="shared" si="271"/>
        <v>5.9661444145862975E-2</v>
      </c>
      <c r="J289" s="3">
        <f t="shared" si="271"/>
        <v>5.9661431322393245E-2</v>
      </c>
      <c r="K289" s="3">
        <f t="shared" si="271"/>
        <v>5.9661303087847527E-2</v>
      </c>
      <c r="L289" s="3">
        <f t="shared" si="271"/>
        <v>5.966002075754949E-2</v>
      </c>
      <c r="M289" s="3">
        <f t="shared" si="271"/>
        <v>5.9647198970368645E-2</v>
      </c>
      <c r="N289" s="3">
        <f t="shared" si="271"/>
        <v>5.9519132558032581E-2</v>
      </c>
      <c r="O289" s="3">
        <f t="shared" si="271"/>
        <v>5.8253494620392671E-2</v>
      </c>
      <c r="P289" s="3">
        <f t="shared" si="271"/>
        <v>4.6986802331241771E-2</v>
      </c>
      <c r="Q289" s="3">
        <f t="shared" si="271"/>
        <v>5.4766496029875905E-3</v>
      </c>
      <c r="R289" s="3">
        <f t="shared" si="271"/>
        <v>2.5345776943791161E-12</v>
      </c>
      <c r="S289" s="3">
        <f t="shared" si="271"/>
        <v>1.142384068904496E-105</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1.9174474308937251E-2</v>
      </c>
      <c r="C290" s="3">
        <f t="shared" si="272"/>
        <v>1.9174474308937213E-2</v>
      </c>
      <c r="D290" s="3">
        <f t="shared" si="272"/>
        <v>1.9174474308936842E-2</v>
      </c>
      <c r="E290" s="3">
        <f t="shared" si="272"/>
        <v>1.9174474308933126E-2</v>
      </c>
      <c r="F290" s="3">
        <f t="shared" si="272"/>
        <v>1.9174474308895944E-2</v>
      </c>
      <c r="G290" s="3">
        <f t="shared" si="272"/>
        <v>1.9174474308524172E-2</v>
      </c>
      <c r="H290" s="3">
        <f t="shared" si="272"/>
        <v>1.9174474304806406E-2</v>
      </c>
      <c r="I290" s="3">
        <f t="shared" si="272"/>
        <v>1.917447426762876E-2</v>
      </c>
      <c r="J290" s="3">
        <f t="shared" si="272"/>
        <v>1.9174473895852296E-2</v>
      </c>
      <c r="K290" s="3">
        <f t="shared" si="272"/>
        <v>1.9174470178088092E-2</v>
      </c>
      <c r="L290" s="3">
        <f t="shared" si="272"/>
        <v>1.9174433000485686E-2</v>
      </c>
      <c r="M290" s="3">
        <f t="shared" si="272"/>
        <v>1.9174061228426215E-2</v>
      </c>
      <c r="N290" s="3">
        <f t="shared" si="272"/>
        <v>1.9170343904263212E-2</v>
      </c>
      <c r="O290" s="3">
        <f t="shared" si="272"/>
        <v>1.9133210277379593E-2</v>
      </c>
      <c r="P290" s="3">
        <f t="shared" si="272"/>
        <v>1.8765807210437045E-2</v>
      </c>
      <c r="Q290" s="3">
        <f t="shared" si="272"/>
        <v>1.5458284941402035E-2</v>
      </c>
      <c r="R290" s="3">
        <f t="shared" si="272"/>
        <v>2.2238315572095683E-3</v>
      </c>
      <c r="S290" s="3">
        <f t="shared" si="272"/>
        <v>8.4432119800013641E-12</v>
      </c>
      <c r="T290" s="3">
        <f t="shared" si="272"/>
        <v>5.2549154862662586E-96</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3.042813256492289E-2</v>
      </c>
      <c r="C291" s="3">
        <f t="shared" si="273"/>
        <v>3.0428132564922883E-2</v>
      </c>
      <c r="D291" s="3">
        <f t="shared" si="273"/>
        <v>3.0428132564922827E-2</v>
      </c>
      <c r="E291" s="3">
        <f t="shared" si="273"/>
        <v>3.04281325649223E-2</v>
      </c>
      <c r="F291" s="3">
        <f t="shared" si="273"/>
        <v>3.0428132564916978E-2</v>
      </c>
      <c r="G291" s="3">
        <f t="shared" si="273"/>
        <v>3.0428132564863753E-2</v>
      </c>
      <c r="H291" s="3">
        <f t="shared" si="273"/>
        <v>3.042813256433155E-2</v>
      </c>
      <c r="I291" s="3">
        <f t="shared" si="273"/>
        <v>3.0428132559009485E-2</v>
      </c>
      <c r="J291" s="3">
        <f t="shared" si="273"/>
        <v>3.0428132505788814E-2</v>
      </c>
      <c r="K291" s="3">
        <f t="shared" si="273"/>
        <v>3.0428131973582143E-2</v>
      </c>
      <c r="L291" s="3">
        <f t="shared" si="273"/>
        <v>3.0428126651515959E-2</v>
      </c>
      <c r="M291" s="3">
        <f t="shared" si="273"/>
        <v>3.0428073430905287E-2</v>
      </c>
      <c r="N291" s="3">
        <f t="shared" si="273"/>
        <v>3.0427541229918295E-2</v>
      </c>
      <c r="O291" s="3">
        <f t="shared" si="273"/>
        <v>3.0422219731985702E-2</v>
      </c>
      <c r="P291" s="3">
        <f t="shared" si="273"/>
        <v>3.0369055913277876E-2</v>
      </c>
      <c r="Q291" s="3">
        <f t="shared" si="273"/>
        <v>2.9842500833612267E-2</v>
      </c>
      <c r="R291" s="3">
        <f t="shared" si="273"/>
        <v>2.5053848663674803E-2</v>
      </c>
      <c r="S291" s="3">
        <f t="shared" si="273"/>
        <v>4.3577950448024858E-3</v>
      </c>
      <c r="T291" s="3">
        <f t="shared" si="273"/>
        <v>1.1045625391954687E-10</v>
      </c>
      <c r="U291" s="3">
        <f t="shared" si="273"/>
        <v>1.2089975065725005E-86</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3.3546614570255213E-2</v>
      </c>
      <c r="C292" s="3">
        <f t="shared" si="274"/>
        <v>3.3546614570255213E-2</v>
      </c>
      <c r="D292" s="3">
        <f t="shared" si="274"/>
        <v>3.3546614570255207E-2</v>
      </c>
      <c r="E292" s="3">
        <f t="shared" si="274"/>
        <v>3.3546614570255151E-2</v>
      </c>
      <c r="F292" s="3">
        <f t="shared" si="274"/>
        <v>3.3546614570254624E-2</v>
      </c>
      <c r="G292" s="3">
        <f t="shared" si="274"/>
        <v>3.3546614570249329E-2</v>
      </c>
      <c r="H292" s="3">
        <f t="shared" si="274"/>
        <v>3.3546614570196399E-2</v>
      </c>
      <c r="I292" s="3">
        <f t="shared" si="274"/>
        <v>3.3546614569667108E-2</v>
      </c>
      <c r="J292" s="3">
        <f t="shared" si="274"/>
        <v>3.3546614564374126E-2</v>
      </c>
      <c r="K292" s="3">
        <f t="shared" si="274"/>
        <v>3.3546614511444313E-2</v>
      </c>
      <c r="L292" s="3">
        <f t="shared" si="274"/>
        <v>3.3546613982146256E-2</v>
      </c>
      <c r="M292" s="3">
        <f t="shared" si="274"/>
        <v>3.3546608689166098E-2</v>
      </c>
      <c r="N292" s="3">
        <f t="shared" si="274"/>
        <v>3.3546555759410436E-2</v>
      </c>
      <c r="O292" s="3">
        <f t="shared" si="274"/>
        <v>3.3546026466447026E-2</v>
      </c>
      <c r="P292" s="3">
        <f t="shared" si="274"/>
        <v>3.3540733996102336E-2</v>
      </c>
      <c r="Q292" s="3">
        <f t="shared" si="274"/>
        <v>3.3487855194795496E-2</v>
      </c>
      <c r="R292" s="3">
        <f t="shared" si="274"/>
        <v>3.2963630711452599E-2</v>
      </c>
      <c r="S292" s="3">
        <f t="shared" si="274"/>
        <v>2.8152185200444383E-2</v>
      </c>
      <c r="T292" s="3">
        <f t="shared" si="274"/>
        <v>5.8114274194842981E-3</v>
      </c>
      <c r="U292" s="3">
        <f t="shared" si="274"/>
        <v>8.1656336417866809E-10</v>
      </c>
      <c r="V292" s="3">
        <f t="shared" si="274"/>
        <v>2.449405111396384E-78</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3.6056553536874446E-2</v>
      </c>
      <c r="C293" s="3">
        <f t="shared" si="275"/>
        <v>3.6056553536874446E-2</v>
      </c>
      <c r="D293" s="3">
        <f t="shared" si="275"/>
        <v>3.6056553536874446E-2</v>
      </c>
      <c r="E293" s="3">
        <f t="shared" si="275"/>
        <v>3.6056553536874439E-2</v>
      </c>
      <c r="F293" s="3">
        <f t="shared" si="275"/>
        <v>3.605655353687439E-2</v>
      </c>
      <c r="G293" s="3">
        <f t="shared" si="275"/>
        <v>3.6056553536873877E-2</v>
      </c>
      <c r="H293" s="3">
        <f t="shared" si="275"/>
        <v>3.6056553536868742E-2</v>
      </c>
      <c r="I293" s="3">
        <f t="shared" si="275"/>
        <v>3.6056553536817429E-2</v>
      </c>
      <c r="J293" s="3">
        <f t="shared" si="275"/>
        <v>3.6056553536304228E-2</v>
      </c>
      <c r="K293" s="3">
        <f t="shared" si="275"/>
        <v>3.6056553531172278E-2</v>
      </c>
      <c r="L293" s="3">
        <f t="shared" si="275"/>
        <v>3.6056553479852781E-2</v>
      </c>
      <c r="M293" s="3">
        <f t="shared" si="275"/>
        <v>3.6056552966657787E-2</v>
      </c>
      <c r="N293" s="3">
        <f t="shared" si="275"/>
        <v>3.6056547834708283E-2</v>
      </c>
      <c r="O293" s="3">
        <f t="shared" si="275"/>
        <v>3.6056496515253424E-2</v>
      </c>
      <c r="P293" s="3">
        <f t="shared" si="275"/>
        <v>3.6055983324722124E-2</v>
      </c>
      <c r="Q293" s="3">
        <f t="shared" si="275"/>
        <v>3.6050851821124018E-2</v>
      </c>
      <c r="R293" s="3">
        <f t="shared" si="275"/>
        <v>3.5999576935481101E-2</v>
      </c>
      <c r="S293" s="3">
        <f t="shared" si="275"/>
        <v>3.5490822049026913E-2</v>
      </c>
      <c r="T293" s="3">
        <f t="shared" si="275"/>
        <v>3.0782414081454833E-2</v>
      </c>
      <c r="U293" s="3">
        <f t="shared" si="275"/>
        <v>7.4159850963237137E-3</v>
      </c>
      <c r="V293" s="3">
        <f t="shared" si="275"/>
        <v>4.8846176255235653E-9</v>
      </c>
      <c r="W293" s="3">
        <f t="shared" si="275"/>
        <v>7.5066784122212899E-71</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4.1431742608178009E-2</v>
      </c>
      <c r="C294" s="3">
        <f t="shared" si="276"/>
        <v>4.1431742608178009E-2</v>
      </c>
      <c r="D294" s="3">
        <f t="shared" si="276"/>
        <v>4.1431742608178009E-2</v>
      </c>
      <c r="E294" s="3">
        <f t="shared" si="276"/>
        <v>4.1431742608178009E-2</v>
      </c>
      <c r="F294" s="3">
        <f t="shared" si="276"/>
        <v>4.1431742608178002E-2</v>
      </c>
      <c r="G294" s="3">
        <f t="shared" si="276"/>
        <v>4.1431742608177946E-2</v>
      </c>
      <c r="H294" s="3">
        <f t="shared" si="276"/>
        <v>4.1431742608177419E-2</v>
      </c>
      <c r="I294" s="3">
        <f t="shared" si="276"/>
        <v>4.1431742608172097E-2</v>
      </c>
      <c r="J294" s="3">
        <f t="shared" si="276"/>
        <v>4.1431742608118903E-2</v>
      </c>
      <c r="K294" s="3">
        <f t="shared" si="276"/>
        <v>4.143174260758694E-2</v>
      </c>
      <c r="L294" s="3">
        <f t="shared" si="276"/>
        <v>4.1431742602267355E-2</v>
      </c>
      <c r="M294" s="3">
        <f t="shared" si="276"/>
        <v>4.1431742549071476E-2</v>
      </c>
      <c r="N294" s="3">
        <f t="shared" si="276"/>
        <v>4.1431742017112687E-2</v>
      </c>
      <c r="O294" s="3">
        <f t="shared" si="276"/>
        <v>4.1431736697525187E-2</v>
      </c>
      <c r="P294" s="3">
        <f t="shared" si="276"/>
        <v>4.1431683501687772E-2</v>
      </c>
      <c r="Q294" s="3">
        <f t="shared" si="276"/>
        <v>4.1431151547070062E-2</v>
      </c>
      <c r="R294" s="3">
        <f t="shared" si="276"/>
        <v>4.1425832376524994E-2</v>
      </c>
      <c r="S294" s="3">
        <f t="shared" si="276"/>
        <v>4.1372678216432673E-2</v>
      </c>
      <c r="T294" s="3">
        <f t="shared" si="276"/>
        <v>4.0844873376222328E-2</v>
      </c>
      <c r="U294" s="3">
        <f t="shared" si="276"/>
        <v>3.5923342619838768E-2</v>
      </c>
      <c r="V294" s="3">
        <f t="shared" si="276"/>
        <v>9.9487519794513504E-3</v>
      </c>
      <c r="W294" s="3">
        <f t="shared" si="276"/>
        <v>2.6405065020790581E-8</v>
      </c>
      <c r="X294" s="3">
        <f t="shared" si="276"/>
        <v>4.5800857862957981E-64</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4.558861375636767E-2</v>
      </c>
      <c r="C295" s="3">
        <f t="shared" si="277"/>
        <v>4.558861375636767E-2</v>
      </c>
      <c r="D295" s="3">
        <f t="shared" si="277"/>
        <v>4.558861375636767E-2</v>
      </c>
      <c r="E295" s="3">
        <f t="shared" si="277"/>
        <v>4.558861375636767E-2</v>
      </c>
      <c r="F295" s="3">
        <f t="shared" si="277"/>
        <v>4.558861375636767E-2</v>
      </c>
      <c r="G295" s="3">
        <f t="shared" si="277"/>
        <v>4.5588613756367663E-2</v>
      </c>
      <c r="H295" s="3">
        <f t="shared" si="277"/>
        <v>4.5588613756367607E-2</v>
      </c>
      <c r="I295" s="3">
        <f t="shared" si="277"/>
        <v>4.558861375636708E-2</v>
      </c>
      <c r="J295" s="3">
        <f t="shared" si="277"/>
        <v>4.5588613756361807E-2</v>
      </c>
      <c r="K295" s="3">
        <f t="shared" si="277"/>
        <v>4.5588613756309002E-2</v>
      </c>
      <c r="L295" s="3">
        <f t="shared" si="277"/>
        <v>4.5588613755780986E-2</v>
      </c>
      <c r="M295" s="3">
        <f t="shared" si="277"/>
        <v>4.5588613750500821E-2</v>
      </c>
      <c r="N295" s="3">
        <f t="shared" si="277"/>
        <v>4.5588613697699135E-2</v>
      </c>
      <c r="O295" s="3">
        <f t="shared" si="277"/>
        <v>4.5588613169682303E-2</v>
      </c>
      <c r="P295" s="3">
        <f t="shared" si="277"/>
        <v>4.5588607889514347E-2</v>
      </c>
      <c r="Q295" s="3">
        <f t="shared" si="277"/>
        <v>4.5588555087868375E-2</v>
      </c>
      <c r="R295" s="3">
        <f t="shared" si="277"/>
        <v>4.5588027074772268E-2</v>
      </c>
      <c r="S295" s="3">
        <f t="shared" si="277"/>
        <v>4.5582747280153227E-2</v>
      </c>
      <c r="T295" s="3">
        <f t="shared" si="277"/>
        <v>4.5529982953758125E-2</v>
      </c>
      <c r="U295" s="3">
        <f t="shared" si="277"/>
        <v>4.5005687306380313E-2</v>
      </c>
      <c r="V295" s="3">
        <f t="shared" si="277"/>
        <v>4.0083580257522768E-2</v>
      </c>
      <c r="W295" s="3">
        <f t="shared" si="277"/>
        <v>1.2588024462999337E-2</v>
      </c>
      <c r="X295" s="3">
        <f t="shared" si="277"/>
        <v>1.1745413305739182E-7</v>
      </c>
      <c r="Y295" s="3">
        <f t="shared" si="277"/>
        <v>5.8745628929356126E-58</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5.454765248808658E-2</v>
      </c>
      <c r="C296" s="3">
        <f t="shared" si="278"/>
        <v>5.454765248808658E-2</v>
      </c>
      <c r="D296" s="3">
        <f t="shared" si="278"/>
        <v>5.454765248808658E-2</v>
      </c>
      <c r="E296" s="3">
        <f t="shared" si="278"/>
        <v>5.454765248808658E-2</v>
      </c>
      <c r="F296" s="3">
        <f t="shared" si="278"/>
        <v>5.454765248808658E-2</v>
      </c>
      <c r="G296" s="3">
        <f t="shared" si="278"/>
        <v>5.454765248808658E-2</v>
      </c>
      <c r="H296" s="3">
        <f t="shared" si="278"/>
        <v>5.4547652488086573E-2</v>
      </c>
      <c r="I296" s="3">
        <f t="shared" si="278"/>
        <v>5.4547652488086518E-2</v>
      </c>
      <c r="J296" s="3">
        <f t="shared" si="278"/>
        <v>5.4547652488085942E-2</v>
      </c>
      <c r="K296" s="3">
        <f t="shared" si="278"/>
        <v>5.4547652488080245E-2</v>
      </c>
      <c r="L296" s="3">
        <f t="shared" si="278"/>
        <v>5.4547652488023256E-2</v>
      </c>
      <c r="M296" s="3">
        <f t="shared" si="278"/>
        <v>5.4547652487453337E-2</v>
      </c>
      <c r="N296" s="3">
        <f t="shared" si="278"/>
        <v>5.4547652481754139E-2</v>
      </c>
      <c r="O296" s="3">
        <f t="shared" si="278"/>
        <v>5.4547652424762116E-2</v>
      </c>
      <c r="P296" s="3">
        <f t="shared" si="278"/>
        <v>5.4547651854841936E-2</v>
      </c>
      <c r="Q296" s="3">
        <f t="shared" si="278"/>
        <v>5.4547646155640464E-2</v>
      </c>
      <c r="R296" s="3">
        <f t="shared" si="278"/>
        <v>5.454758916365849E-2</v>
      </c>
      <c r="S296" s="3">
        <f t="shared" si="278"/>
        <v>5.454701924711379E-2</v>
      </c>
      <c r="T296" s="3">
        <f t="shared" si="278"/>
        <v>5.4541320409155256E-2</v>
      </c>
      <c r="U296" s="3">
        <f t="shared" si="278"/>
        <v>5.4484364765762787E-2</v>
      </c>
      <c r="V296" s="3">
        <f t="shared" si="278"/>
        <v>5.391806933124639E-2</v>
      </c>
      <c r="W296" s="3">
        <f t="shared" si="278"/>
        <v>4.8568953161292575E-2</v>
      </c>
      <c r="X296" s="3">
        <f t="shared" si="278"/>
        <v>1.7084522459456408E-2</v>
      </c>
      <c r="Y296" s="3">
        <f t="shared" si="278"/>
        <v>4.9550022412163152E-7</v>
      </c>
      <c r="Z296" s="3">
        <f t="shared" si="278"/>
        <v>2.0866709369806419E-52</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6.3488731508467941E-2</v>
      </c>
      <c r="C297" s="3">
        <f t="shared" si="279"/>
        <v>6.3488731508467941E-2</v>
      </c>
      <c r="D297" s="3">
        <f t="shared" si="279"/>
        <v>6.3488731508467941E-2</v>
      </c>
      <c r="E297" s="3">
        <f t="shared" si="279"/>
        <v>6.3488731508467941E-2</v>
      </c>
      <c r="F297" s="3">
        <f t="shared" si="279"/>
        <v>6.3488731508467941E-2</v>
      </c>
      <c r="G297" s="3">
        <f t="shared" si="279"/>
        <v>6.3488731508467941E-2</v>
      </c>
      <c r="H297" s="3">
        <f t="shared" si="279"/>
        <v>6.3488731508467941E-2</v>
      </c>
      <c r="I297" s="3">
        <f t="shared" si="279"/>
        <v>6.3488731508467927E-2</v>
      </c>
      <c r="J297" s="3">
        <f t="shared" si="279"/>
        <v>6.3488731508467872E-2</v>
      </c>
      <c r="K297" s="3">
        <f t="shared" si="279"/>
        <v>6.3488731508467275E-2</v>
      </c>
      <c r="L297" s="3">
        <f t="shared" si="279"/>
        <v>6.3488731508461294E-2</v>
      </c>
      <c r="M297" s="3">
        <f t="shared" si="279"/>
        <v>6.3488731508401453E-2</v>
      </c>
      <c r="N297" s="3">
        <f t="shared" si="279"/>
        <v>6.348873150780307E-2</v>
      </c>
      <c r="O297" s="3">
        <f t="shared" si="279"/>
        <v>6.3488731501819204E-2</v>
      </c>
      <c r="P297" s="3">
        <f t="shared" si="279"/>
        <v>6.3488731441980639E-2</v>
      </c>
      <c r="Q297" s="3">
        <f t="shared" si="279"/>
        <v>6.3488730843594937E-2</v>
      </c>
      <c r="R297" s="3">
        <f t="shared" si="279"/>
        <v>6.348872485973818E-2</v>
      </c>
      <c r="S297" s="3">
        <f t="shared" si="279"/>
        <v>6.3488665021201637E-2</v>
      </c>
      <c r="T297" s="3">
        <f t="shared" si="279"/>
        <v>6.348806663893819E-2</v>
      </c>
      <c r="U297" s="3">
        <f t="shared" si="279"/>
        <v>6.3482083126482042E-2</v>
      </c>
      <c r="V297" s="3">
        <f t="shared" si="279"/>
        <v>6.3422279008952795E-2</v>
      </c>
      <c r="W297" s="3">
        <f t="shared" si="279"/>
        <v>6.2827327751080755E-2</v>
      </c>
      <c r="X297" s="3">
        <f t="shared" si="279"/>
        <v>5.7176297812919434E-2</v>
      </c>
      <c r="Y297" s="3">
        <f t="shared" si="279"/>
        <v>2.2278731606879744E-2</v>
      </c>
      <c r="Z297" s="3">
        <f t="shared" si="279"/>
        <v>1.7973587286943834E-6</v>
      </c>
      <c r="AA297" s="3">
        <f t="shared" si="279"/>
        <v>2.0993159271295686E-47</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6.4437498796687767E-2</v>
      </c>
      <c r="C298" s="3">
        <f t="shared" si="280"/>
        <v>6.4437498796687767E-2</v>
      </c>
      <c r="D298" s="3">
        <f t="shared" si="280"/>
        <v>6.4437498796687767E-2</v>
      </c>
      <c r="E298" s="3">
        <f t="shared" si="280"/>
        <v>6.4437498796687767E-2</v>
      </c>
      <c r="F298" s="3">
        <f t="shared" si="280"/>
        <v>6.4437498796687767E-2</v>
      </c>
      <c r="G298" s="3">
        <f t="shared" si="280"/>
        <v>6.4437498796687767E-2</v>
      </c>
      <c r="H298" s="3">
        <f t="shared" si="280"/>
        <v>6.4437498796687767E-2</v>
      </c>
      <c r="I298" s="3">
        <f t="shared" si="280"/>
        <v>6.4437498796687767E-2</v>
      </c>
      <c r="J298" s="3">
        <f t="shared" si="280"/>
        <v>6.4437498796687753E-2</v>
      </c>
      <c r="K298" s="3">
        <f t="shared" si="280"/>
        <v>6.4437498796687698E-2</v>
      </c>
      <c r="L298" s="3">
        <f t="shared" si="280"/>
        <v>6.4437498796687157E-2</v>
      </c>
      <c r="M298" s="3">
        <f t="shared" si="280"/>
        <v>6.4437498796681675E-2</v>
      </c>
      <c r="N298" s="3">
        <f t="shared" si="280"/>
        <v>6.4437498796626899E-2</v>
      </c>
      <c r="O298" s="3">
        <f t="shared" si="280"/>
        <v>6.4437498796079032E-2</v>
      </c>
      <c r="P298" s="3">
        <f t="shared" si="280"/>
        <v>6.4437498790600428E-2</v>
      </c>
      <c r="Q298" s="3">
        <f t="shared" si="280"/>
        <v>6.4437498735814405E-2</v>
      </c>
      <c r="R298" s="3">
        <f t="shared" si="280"/>
        <v>6.4437498187954106E-2</v>
      </c>
      <c r="S298" s="3">
        <f t="shared" si="280"/>
        <v>6.4437492709351424E-2</v>
      </c>
      <c r="T298" s="3">
        <f t="shared" si="280"/>
        <v>6.4437437923350133E-2</v>
      </c>
      <c r="U298" s="3">
        <f t="shared" si="280"/>
        <v>6.443689006589913E-2</v>
      </c>
      <c r="V298" s="3">
        <f t="shared" si="280"/>
        <v>6.4431411747571152E-2</v>
      </c>
      <c r="W298" s="3">
        <f t="shared" si="280"/>
        <v>6.4376654174427117E-2</v>
      </c>
      <c r="X298" s="3">
        <f t="shared" si="280"/>
        <v>6.3831631418389434E-2</v>
      </c>
      <c r="Y298" s="3">
        <f t="shared" si="280"/>
        <v>5.862884960500802E-2</v>
      </c>
      <c r="Z298" s="3">
        <f t="shared" si="280"/>
        <v>2.5053341384047575E-2</v>
      </c>
      <c r="AA298" s="3">
        <f t="shared" si="280"/>
        <v>5.0863763588819088E-6</v>
      </c>
      <c r="AB298" s="3">
        <f t="shared" si="280"/>
        <v>6.0511351017667149E-43</v>
      </c>
      <c r="AC298" s="3">
        <f t="shared" si="280"/>
        <v>0</v>
      </c>
      <c r="AD298" s="3">
        <f t="shared" si="280"/>
        <v>0</v>
      </c>
      <c r="AE298" s="3">
        <f t="shared" si="280"/>
        <v>0</v>
      </c>
      <c r="AF298" s="3">
        <f t="shared" si="280"/>
        <v>0</v>
      </c>
      <c r="AG298" s="3"/>
      <c r="AH298" s="3"/>
    </row>
    <row r="299" spans="2:34" x14ac:dyDescent="0.25">
      <c r="B299" s="3">
        <f t="shared" ref="B299:AF299" si="281">$C29*EXP(-B$285/$A29/EXP(-$F$126))</f>
        <v>5.0984711138190433E-2</v>
      </c>
      <c r="C299" s="3">
        <f t="shared" si="281"/>
        <v>5.0984711138190433E-2</v>
      </c>
      <c r="D299" s="3">
        <f t="shared" si="281"/>
        <v>5.0984711138190433E-2</v>
      </c>
      <c r="E299" s="3">
        <f t="shared" si="281"/>
        <v>5.0984711138190433E-2</v>
      </c>
      <c r="F299" s="3">
        <f t="shared" si="281"/>
        <v>5.0984711138190433E-2</v>
      </c>
      <c r="G299" s="3">
        <f t="shared" si="281"/>
        <v>5.0984711138190433E-2</v>
      </c>
      <c r="H299" s="3">
        <f t="shared" si="281"/>
        <v>5.0984711138190433E-2</v>
      </c>
      <c r="I299" s="3">
        <f t="shared" si="281"/>
        <v>5.0984711138190433E-2</v>
      </c>
      <c r="J299" s="3">
        <f t="shared" si="281"/>
        <v>5.0984711138190433E-2</v>
      </c>
      <c r="K299" s="3">
        <f t="shared" si="281"/>
        <v>5.0984711138190426E-2</v>
      </c>
      <c r="L299" s="3">
        <f t="shared" si="281"/>
        <v>5.0984711138190385E-2</v>
      </c>
      <c r="M299" s="3">
        <f t="shared" si="281"/>
        <v>5.0984711138189996E-2</v>
      </c>
      <c r="N299" s="3">
        <f t="shared" si="281"/>
        <v>5.098471113818609E-2</v>
      </c>
      <c r="O299" s="3">
        <f t="shared" si="281"/>
        <v>5.0984711138146982E-2</v>
      </c>
      <c r="P299" s="3">
        <f t="shared" si="281"/>
        <v>5.0984711137755948E-2</v>
      </c>
      <c r="Q299" s="3">
        <f t="shared" si="281"/>
        <v>5.0984711133845582E-2</v>
      </c>
      <c r="R299" s="3">
        <f t="shared" si="281"/>
        <v>5.098471109474189E-2</v>
      </c>
      <c r="S299" s="3">
        <f t="shared" si="281"/>
        <v>5.0984710703705027E-2</v>
      </c>
      <c r="T299" s="3">
        <f t="shared" si="281"/>
        <v>5.0984706793336498E-2</v>
      </c>
      <c r="U299" s="3">
        <f t="shared" si="281"/>
        <v>5.0984667689667786E-2</v>
      </c>
      <c r="V299" s="3">
        <f t="shared" si="281"/>
        <v>5.0984276654630095E-2</v>
      </c>
      <c r="W299" s="3">
        <f t="shared" si="281"/>
        <v>5.0980366469200247E-2</v>
      </c>
      <c r="X299" s="3">
        <f t="shared" si="281"/>
        <v>5.0941281104922992E-2</v>
      </c>
      <c r="Y299" s="3">
        <f t="shared" si="281"/>
        <v>5.0552071794342894E-2</v>
      </c>
      <c r="Z299" s="3">
        <f t="shared" si="281"/>
        <v>4.6819839834942541E-2</v>
      </c>
      <c r="AA299" s="3">
        <f t="shared" si="281"/>
        <v>2.174400649897824E-2</v>
      </c>
      <c r="AB299" s="3">
        <f t="shared" si="281"/>
        <v>1.0149298464889765E-5</v>
      </c>
      <c r="AC299" s="3">
        <f t="shared" si="281"/>
        <v>4.9819638752935503E-39</v>
      </c>
      <c r="AD299" s="3">
        <f t="shared" si="281"/>
        <v>0</v>
      </c>
      <c r="AE299" s="3">
        <f t="shared" si="281"/>
        <v>0</v>
      </c>
      <c r="AF299" s="3">
        <f t="shared" si="281"/>
        <v>0</v>
      </c>
      <c r="AG299" s="3"/>
      <c r="AH299" s="3"/>
    </row>
    <row r="300" spans="2:34" x14ac:dyDescent="0.25">
      <c r="B300" s="3">
        <f t="shared" ref="B300:AF300" si="282">$C30*EXP(-B$285/$A30/EXP(-$F$126))</f>
        <v>3.1725580310806592E-2</v>
      </c>
      <c r="C300" s="3">
        <f t="shared" si="282"/>
        <v>3.1725580310806592E-2</v>
      </c>
      <c r="D300" s="3">
        <f t="shared" si="282"/>
        <v>3.1725580310806592E-2</v>
      </c>
      <c r="E300" s="3">
        <f t="shared" si="282"/>
        <v>3.1725580310806592E-2</v>
      </c>
      <c r="F300" s="3">
        <f t="shared" si="282"/>
        <v>3.1725580310806592E-2</v>
      </c>
      <c r="G300" s="3">
        <f t="shared" si="282"/>
        <v>3.1725580310806592E-2</v>
      </c>
      <c r="H300" s="3">
        <f t="shared" si="282"/>
        <v>3.1725580310806592E-2</v>
      </c>
      <c r="I300" s="3">
        <f t="shared" si="282"/>
        <v>3.1725580310806592E-2</v>
      </c>
      <c r="J300" s="3">
        <f t="shared" si="282"/>
        <v>3.1725580310806592E-2</v>
      </c>
      <c r="K300" s="3">
        <f t="shared" si="282"/>
        <v>3.1725580310806592E-2</v>
      </c>
      <c r="L300" s="3">
        <f t="shared" si="282"/>
        <v>3.1725580310806585E-2</v>
      </c>
      <c r="M300" s="3">
        <f t="shared" si="282"/>
        <v>3.1725580310806564E-2</v>
      </c>
      <c r="N300" s="3">
        <f t="shared" si="282"/>
        <v>3.1725580310806349E-2</v>
      </c>
      <c r="O300" s="3">
        <f t="shared" si="282"/>
        <v>3.1725580310804156E-2</v>
      </c>
      <c r="P300" s="3">
        <f t="shared" si="282"/>
        <v>3.1725580310782202E-2</v>
      </c>
      <c r="Q300" s="3">
        <f t="shared" si="282"/>
        <v>3.1725580310562704E-2</v>
      </c>
      <c r="R300" s="3">
        <f t="shared" si="282"/>
        <v>3.172558030836771E-2</v>
      </c>
      <c r="S300" s="3">
        <f t="shared" si="282"/>
        <v>3.172558028641774E-2</v>
      </c>
      <c r="T300" s="3">
        <f t="shared" si="282"/>
        <v>3.1725580066918044E-2</v>
      </c>
      <c r="U300" s="3">
        <f t="shared" si="282"/>
        <v>3.1725577871921241E-2</v>
      </c>
      <c r="V300" s="3">
        <f t="shared" si="282"/>
        <v>3.1725555921961524E-2</v>
      </c>
      <c r="W300" s="3">
        <f t="shared" si="282"/>
        <v>3.1725336423199635E-2</v>
      </c>
      <c r="X300" s="3">
        <f t="shared" si="282"/>
        <v>3.1723141519104152E-2</v>
      </c>
      <c r="Y300" s="3">
        <f t="shared" si="282"/>
        <v>3.1701200828359671E-2</v>
      </c>
      <c r="Z300" s="3">
        <f t="shared" si="282"/>
        <v>3.1482626808312486E-2</v>
      </c>
      <c r="AA300" s="3">
        <f t="shared" si="282"/>
        <v>2.9378082108542102E-2</v>
      </c>
      <c r="AB300" s="3">
        <f t="shared" si="282"/>
        <v>1.4707817423762325E-2</v>
      </c>
      <c r="AC300" s="3">
        <f t="shared" si="282"/>
        <v>1.4547760009926737E-5</v>
      </c>
      <c r="AD300" s="3">
        <f t="shared" si="282"/>
        <v>1.3039925411233212E-35</v>
      </c>
      <c r="AE300" s="3">
        <f t="shared" si="282"/>
        <v>0</v>
      </c>
      <c r="AF300" s="3">
        <f t="shared" si="282"/>
        <v>0</v>
      </c>
      <c r="AG300" s="3"/>
      <c r="AH300" s="3"/>
    </row>
    <row r="301" spans="2:34" x14ac:dyDescent="0.25">
      <c r="B301" s="3">
        <f t="shared" ref="B301:AF301" si="283">$C31*EXP(-B$285/$A31/EXP(-$F$126))</f>
        <v>1.5443830992985543E-2</v>
      </c>
      <c r="C301" s="3">
        <f t="shared" si="283"/>
        <v>1.5443830992985543E-2</v>
      </c>
      <c r="D301" s="3">
        <f t="shared" si="283"/>
        <v>1.5443830992985543E-2</v>
      </c>
      <c r="E301" s="3">
        <f t="shared" si="283"/>
        <v>1.5443830992985543E-2</v>
      </c>
      <c r="F301" s="3">
        <f t="shared" si="283"/>
        <v>1.5443830992985543E-2</v>
      </c>
      <c r="G301" s="3">
        <f t="shared" si="283"/>
        <v>1.5443830992985543E-2</v>
      </c>
      <c r="H301" s="3">
        <f t="shared" si="283"/>
        <v>1.5443830992985543E-2</v>
      </c>
      <c r="I301" s="3">
        <f t="shared" si="283"/>
        <v>1.5443830992985543E-2</v>
      </c>
      <c r="J301" s="3">
        <f t="shared" si="283"/>
        <v>1.5443830992985543E-2</v>
      </c>
      <c r="K301" s="3">
        <f t="shared" si="283"/>
        <v>1.5443830992985543E-2</v>
      </c>
      <c r="L301" s="3">
        <f t="shared" si="283"/>
        <v>1.5443830992985543E-2</v>
      </c>
      <c r="M301" s="3">
        <f t="shared" si="283"/>
        <v>1.5443830992985541E-2</v>
      </c>
      <c r="N301" s="3">
        <f t="shared" si="283"/>
        <v>1.5443830992985533E-2</v>
      </c>
      <c r="O301" s="3">
        <f t="shared" si="283"/>
        <v>1.5443830992985437E-2</v>
      </c>
      <c r="P301" s="3">
        <f t="shared" si="283"/>
        <v>1.5443830992984471E-2</v>
      </c>
      <c r="Q301" s="3">
        <f t="shared" si="283"/>
        <v>1.5443830992974833E-2</v>
      </c>
      <c r="R301" s="3">
        <f t="shared" si="283"/>
        <v>1.5443830992878445E-2</v>
      </c>
      <c r="S301" s="3">
        <f t="shared" si="283"/>
        <v>1.5443830991914558E-2</v>
      </c>
      <c r="T301" s="3">
        <f t="shared" si="283"/>
        <v>1.5443830982275692E-2</v>
      </c>
      <c r="U301" s="3">
        <f t="shared" si="283"/>
        <v>1.5443830885887026E-2</v>
      </c>
      <c r="V301" s="3">
        <f t="shared" si="283"/>
        <v>1.5443829922000408E-2</v>
      </c>
      <c r="W301" s="3">
        <f t="shared" si="283"/>
        <v>1.5443820283137531E-2</v>
      </c>
      <c r="X301" s="3">
        <f t="shared" si="283"/>
        <v>1.5443723894839634E-2</v>
      </c>
      <c r="Y301" s="3">
        <f t="shared" si="283"/>
        <v>1.5442760044946989E-2</v>
      </c>
      <c r="Z301" s="3">
        <f t="shared" si="283"/>
        <v>1.5433124853888423E-2</v>
      </c>
      <c r="AA301" s="3">
        <f t="shared" si="283"/>
        <v>1.5337102967493133E-2</v>
      </c>
      <c r="AB301" s="3">
        <f t="shared" si="283"/>
        <v>1.4409136967214709E-2</v>
      </c>
      <c r="AC301" s="3">
        <f t="shared" si="283"/>
        <v>7.7194139938580129E-3</v>
      </c>
      <c r="AD301" s="3">
        <f t="shared" si="283"/>
        <v>1.503307989212504E-5</v>
      </c>
      <c r="AE301" s="3">
        <f t="shared" si="283"/>
        <v>1.1794629192402186E-32</v>
      </c>
      <c r="AF301" s="3">
        <f t="shared" si="283"/>
        <v>1.0424315682546129E-303</v>
      </c>
      <c r="AG301" s="3"/>
      <c r="AH301" s="3"/>
    </row>
    <row r="302" spans="2:34" x14ac:dyDescent="0.25">
      <c r="B302" s="3">
        <f t="shared" ref="B302:AF302" si="284">$C32*EXP(-B$285/$A32/EXP(-$F$126))</f>
        <v>7.0696001208784189E-3</v>
      </c>
      <c r="C302" s="3">
        <f t="shared" si="284"/>
        <v>7.0696001208784189E-3</v>
      </c>
      <c r="D302" s="3">
        <f t="shared" si="284"/>
        <v>7.0696001208784189E-3</v>
      </c>
      <c r="E302" s="3">
        <f t="shared" si="284"/>
        <v>7.0696001208784189E-3</v>
      </c>
      <c r="F302" s="3">
        <f t="shared" si="284"/>
        <v>7.0696001208784189E-3</v>
      </c>
      <c r="G302" s="3">
        <f t="shared" si="284"/>
        <v>7.0696001208784189E-3</v>
      </c>
      <c r="H302" s="3">
        <f t="shared" si="284"/>
        <v>7.0696001208784189E-3</v>
      </c>
      <c r="I302" s="3">
        <f t="shared" si="284"/>
        <v>7.0696001208784189E-3</v>
      </c>
      <c r="J302" s="3">
        <f t="shared" si="284"/>
        <v>7.0696001208784189E-3</v>
      </c>
      <c r="K302" s="3">
        <f t="shared" si="284"/>
        <v>7.0696001208784189E-3</v>
      </c>
      <c r="L302" s="3">
        <f t="shared" si="284"/>
        <v>7.0696001208784189E-3</v>
      </c>
      <c r="M302" s="3">
        <f t="shared" si="284"/>
        <v>7.0696001208784189E-3</v>
      </c>
      <c r="N302" s="3">
        <f t="shared" si="284"/>
        <v>7.0696001208784181E-3</v>
      </c>
      <c r="O302" s="3">
        <f t="shared" si="284"/>
        <v>7.0696001208784146E-3</v>
      </c>
      <c r="P302" s="3">
        <f t="shared" si="284"/>
        <v>7.0696001208783747E-3</v>
      </c>
      <c r="Q302" s="3">
        <f t="shared" si="284"/>
        <v>7.0696001208779774E-3</v>
      </c>
      <c r="R302" s="3">
        <f t="shared" si="284"/>
        <v>7.0696001208739962E-3</v>
      </c>
      <c r="S302" s="3">
        <f t="shared" si="284"/>
        <v>7.0696001208341939E-3</v>
      </c>
      <c r="T302" s="3">
        <f t="shared" si="284"/>
        <v>7.0696001204361668E-3</v>
      </c>
      <c r="U302" s="3">
        <f t="shared" si="284"/>
        <v>7.0696001164558984E-3</v>
      </c>
      <c r="V302" s="3">
        <f t="shared" si="284"/>
        <v>7.0696000766532138E-3</v>
      </c>
      <c r="W302" s="3">
        <f t="shared" si="284"/>
        <v>7.0695996786263792E-3</v>
      </c>
      <c r="X302" s="3">
        <f t="shared" si="284"/>
        <v>7.0695956983592659E-3</v>
      </c>
      <c r="Y302" s="3">
        <f t="shared" si="284"/>
        <v>7.0695558958113911E-3</v>
      </c>
      <c r="Z302" s="3">
        <f t="shared" si="284"/>
        <v>7.0691578826575178E-3</v>
      </c>
      <c r="AA302" s="3">
        <f t="shared" si="284"/>
        <v>7.0651789833495711E-3</v>
      </c>
      <c r="AB302" s="3">
        <f t="shared" si="284"/>
        <v>7.0255129570441907E-3</v>
      </c>
      <c r="AC302" s="3">
        <f t="shared" si="284"/>
        <v>6.6408970258865678E-3</v>
      </c>
      <c r="AD302" s="3">
        <f t="shared" si="284"/>
        <v>3.7819328743442693E-3</v>
      </c>
      <c r="AE302" s="3">
        <f t="shared" si="284"/>
        <v>1.3570145930552118E-5</v>
      </c>
      <c r="AF302" s="3">
        <f t="shared" si="284"/>
        <v>4.800555945194831E-30</v>
      </c>
      <c r="AG302" s="3"/>
      <c r="AH302" s="3"/>
    </row>
    <row r="303" spans="2:34" x14ac:dyDescent="0.25">
      <c r="B303" s="3">
        <f t="shared" ref="B303:AF303" si="285">$C33*EXP(-B$285/$A33/EXP(-$F$126))</f>
        <v>3.5043206729719373E-3</v>
      </c>
      <c r="C303" s="3">
        <f t="shared" si="285"/>
        <v>3.5043206729719373E-3</v>
      </c>
      <c r="D303" s="3">
        <f t="shared" si="285"/>
        <v>3.5043206729719373E-3</v>
      </c>
      <c r="E303" s="3">
        <f t="shared" si="285"/>
        <v>3.5043206729719373E-3</v>
      </c>
      <c r="F303" s="3">
        <f t="shared" si="285"/>
        <v>3.5043206729719373E-3</v>
      </c>
      <c r="G303" s="3">
        <f t="shared" si="285"/>
        <v>3.5043206729719373E-3</v>
      </c>
      <c r="H303" s="3">
        <f t="shared" si="285"/>
        <v>3.5043206729719373E-3</v>
      </c>
      <c r="I303" s="3">
        <f t="shared" si="285"/>
        <v>3.5043206729719373E-3</v>
      </c>
      <c r="J303" s="3">
        <f t="shared" si="285"/>
        <v>3.5043206729719373E-3</v>
      </c>
      <c r="K303" s="3">
        <f t="shared" si="285"/>
        <v>3.5043206729719373E-3</v>
      </c>
      <c r="L303" s="3">
        <f t="shared" si="285"/>
        <v>3.5043206729719373E-3</v>
      </c>
      <c r="M303" s="3">
        <f t="shared" si="285"/>
        <v>3.5043206729719373E-3</v>
      </c>
      <c r="N303" s="3">
        <f t="shared" si="285"/>
        <v>3.5043206729719373E-3</v>
      </c>
      <c r="O303" s="3">
        <f t="shared" si="285"/>
        <v>3.5043206729719369E-3</v>
      </c>
      <c r="P303" s="3">
        <f t="shared" si="285"/>
        <v>3.5043206729719356E-3</v>
      </c>
      <c r="Q303" s="3">
        <f t="shared" si="285"/>
        <v>3.5043206729719173E-3</v>
      </c>
      <c r="R303" s="3">
        <f t="shared" si="285"/>
        <v>3.5043206729717395E-3</v>
      </c>
      <c r="S303" s="3">
        <f t="shared" si="285"/>
        <v>3.5043206729699597E-3</v>
      </c>
      <c r="T303" s="3">
        <f t="shared" si="285"/>
        <v>3.5043206729521619E-3</v>
      </c>
      <c r="U303" s="3">
        <f t="shared" si="285"/>
        <v>3.5043206727741832E-3</v>
      </c>
      <c r="V303" s="3">
        <f t="shared" si="285"/>
        <v>3.5043206709943963E-3</v>
      </c>
      <c r="W303" s="3">
        <f t="shared" si="285"/>
        <v>3.5043206531965299E-3</v>
      </c>
      <c r="X303" s="3">
        <f t="shared" si="285"/>
        <v>3.5043204752178681E-3</v>
      </c>
      <c r="Y303" s="3">
        <f t="shared" si="285"/>
        <v>3.5043186954317501E-3</v>
      </c>
      <c r="Z303" s="3">
        <f t="shared" si="285"/>
        <v>3.5043008976202855E-3</v>
      </c>
      <c r="AA303" s="3">
        <f t="shared" si="285"/>
        <v>3.5041229244771161E-3</v>
      </c>
      <c r="AB303" s="3">
        <f t="shared" si="285"/>
        <v>3.502343690099993E-3</v>
      </c>
      <c r="AC303" s="3">
        <f t="shared" si="285"/>
        <v>3.4846009585077593E-3</v>
      </c>
      <c r="AD303" s="3">
        <f t="shared" si="285"/>
        <v>3.3120428838112918E-3</v>
      </c>
      <c r="AE303" s="3">
        <f t="shared" si="285"/>
        <v>1.9930809910962519E-3</v>
      </c>
      <c r="AF303" s="3">
        <f t="shared" si="285"/>
        <v>1.2411232315924666E-5</v>
      </c>
      <c r="AG303" s="3"/>
      <c r="AH303" s="3"/>
    </row>
    <row r="304" spans="2:34" x14ac:dyDescent="0.25">
      <c r="B304" s="3">
        <f t="shared" ref="B304:AF304" si="286">$C34*EXP(-B$285/$A34/EXP(-$F$126))</f>
        <v>2.9646797109614421E-3</v>
      </c>
      <c r="C304" s="3">
        <f t="shared" si="286"/>
        <v>2.9646797109614421E-3</v>
      </c>
      <c r="D304" s="3">
        <f t="shared" si="286"/>
        <v>2.9646797109614421E-3</v>
      </c>
      <c r="E304" s="3">
        <f t="shared" si="286"/>
        <v>2.9646797109614421E-3</v>
      </c>
      <c r="F304" s="3">
        <f t="shared" si="286"/>
        <v>2.9646797109614421E-3</v>
      </c>
      <c r="G304" s="3">
        <f t="shared" si="286"/>
        <v>2.9646797109614421E-3</v>
      </c>
      <c r="H304" s="3">
        <f t="shared" si="286"/>
        <v>2.9646797109614421E-3</v>
      </c>
      <c r="I304" s="3">
        <f t="shared" si="286"/>
        <v>2.9646797109614421E-3</v>
      </c>
      <c r="J304" s="3">
        <f t="shared" si="286"/>
        <v>2.9646797109614421E-3</v>
      </c>
      <c r="K304" s="3">
        <f t="shared" si="286"/>
        <v>2.9646797109614421E-3</v>
      </c>
      <c r="L304" s="3">
        <f t="shared" si="286"/>
        <v>2.9646797109614421E-3</v>
      </c>
      <c r="M304" s="3">
        <f t="shared" si="286"/>
        <v>2.9646797109614421E-3</v>
      </c>
      <c r="N304" s="3">
        <f t="shared" si="286"/>
        <v>2.9646797109614421E-3</v>
      </c>
      <c r="O304" s="3">
        <f t="shared" si="286"/>
        <v>2.9646797109614421E-3</v>
      </c>
      <c r="P304" s="3">
        <f t="shared" si="286"/>
        <v>2.9646797109614421E-3</v>
      </c>
      <c r="Q304" s="3">
        <f t="shared" si="286"/>
        <v>2.9646797109614403E-3</v>
      </c>
      <c r="R304" s="3">
        <f t="shared" si="286"/>
        <v>2.9646797109614269E-3</v>
      </c>
      <c r="S304" s="3">
        <f t="shared" si="286"/>
        <v>2.9646797109612912E-3</v>
      </c>
      <c r="T304" s="3">
        <f t="shared" si="286"/>
        <v>2.9646797109599329E-3</v>
      </c>
      <c r="U304" s="3">
        <f t="shared" si="286"/>
        <v>2.96467971094635E-3</v>
      </c>
      <c r="V304" s="3">
        <f t="shared" si="286"/>
        <v>2.9646797108105224E-3</v>
      </c>
      <c r="W304" s="3">
        <f t="shared" si="286"/>
        <v>2.9646797094522448E-3</v>
      </c>
      <c r="X304" s="3">
        <f t="shared" si="286"/>
        <v>2.9646796958694706E-3</v>
      </c>
      <c r="Y304" s="3">
        <f t="shared" si="286"/>
        <v>2.9646795600417326E-3</v>
      </c>
      <c r="Z304" s="3">
        <f t="shared" si="286"/>
        <v>2.9646782017646919E-3</v>
      </c>
      <c r="AA304" s="3">
        <f t="shared" si="286"/>
        <v>2.9646646190285121E-3</v>
      </c>
      <c r="AB304" s="3">
        <f t="shared" si="286"/>
        <v>2.964528795089294E-3</v>
      </c>
      <c r="AC304" s="3">
        <f t="shared" si="286"/>
        <v>2.9631708978971692E-3</v>
      </c>
      <c r="AD304" s="3">
        <f t="shared" si="286"/>
        <v>2.9496260880437154E-3</v>
      </c>
      <c r="AE304" s="3">
        <f t="shared" si="286"/>
        <v>2.8175369887265028E-3</v>
      </c>
      <c r="AF304" s="3">
        <f t="shared" si="286"/>
        <v>1.7819529407046631E-3</v>
      </c>
      <c r="AG304" s="3"/>
      <c r="AH304" s="3"/>
    </row>
    <row r="305" spans="1:34" x14ac:dyDescent="0.25">
      <c r="B305" s="3">
        <f t="shared" ref="B305:AF305" si="287">$C35*EXP(-B$285/$A35/EXP(-$F$126))</f>
        <v>0</v>
      </c>
      <c r="C305" s="3">
        <f t="shared" si="287"/>
        <v>0</v>
      </c>
      <c r="D305" s="3">
        <f t="shared" si="287"/>
        <v>0</v>
      </c>
      <c r="E305" s="3">
        <f t="shared" si="287"/>
        <v>0</v>
      </c>
      <c r="F305" s="3">
        <f t="shared" si="287"/>
        <v>0</v>
      </c>
      <c r="G305" s="3">
        <f t="shared" si="287"/>
        <v>0</v>
      </c>
      <c r="H305" s="3">
        <f t="shared" si="287"/>
        <v>0</v>
      </c>
      <c r="I305" s="3">
        <f t="shared" si="287"/>
        <v>0</v>
      </c>
      <c r="J305" s="3">
        <f t="shared" si="287"/>
        <v>0</v>
      </c>
      <c r="K305" s="3">
        <f t="shared" si="287"/>
        <v>0</v>
      </c>
      <c r="L305" s="3">
        <f t="shared" si="287"/>
        <v>0</v>
      </c>
      <c r="M305" s="3">
        <f t="shared" si="287"/>
        <v>0</v>
      </c>
      <c r="N305" s="3">
        <f t="shared" si="287"/>
        <v>0</v>
      </c>
      <c r="O305" s="3">
        <f t="shared" si="287"/>
        <v>0</v>
      </c>
      <c r="P305" s="3">
        <f t="shared" si="287"/>
        <v>0</v>
      </c>
      <c r="Q305" s="3">
        <f t="shared" si="287"/>
        <v>0</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3.098114236407119E-3</v>
      </c>
      <c r="C306" s="3">
        <f t="shared" si="288"/>
        <v>3.098114236407119E-3</v>
      </c>
      <c r="D306" s="3">
        <f t="shared" si="288"/>
        <v>3.098114236407119E-3</v>
      </c>
      <c r="E306" s="3">
        <f t="shared" si="288"/>
        <v>3.098114236407119E-3</v>
      </c>
      <c r="F306" s="3">
        <f t="shared" si="288"/>
        <v>3.098114236407119E-3</v>
      </c>
      <c r="G306" s="3">
        <f t="shared" si="288"/>
        <v>3.098114236407119E-3</v>
      </c>
      <c r="H306" s="3">
        <f t="shared" si="288"/>
        <v>3.098114236407119E-3</v>
      </c>
      <c r="I306" s="3">
        <f t="shared" si="288"/>
        <v>3.098114236407119E-3</v>
      </c>
      <c r="J306" s="3">
        <f t="shared" si="288"/>
        <v>3.098114236407119E-3</v>
      </c>
      <c r="K306" s="3">
        <f t="shared" si="288"/>
        <v>3.098114236407119E-3</v>
      </c>
      <c r="L306" s="3">
        <f t="shared" si="288"/>
        <v>3.098114236407119E-3</v>
      </c>
      <c r="M306" s="3">
        <f t="shared" si="288"/>
        <v>3.098114236407119E-3</v>
      </c>
      <c r="N306" s="3">
        <f t="shared" si="288"/>
        <v>3.098114236407119E-3</v>
      </c>
      <c r="O306" s="3">
        <f t="shared" si="288"/>
        <v>3.098114236407119E-3</v>
      </c>
      <c r="P306" s="3">
        <f t="shared" si="288"/>
        <v>3.098114236407119E-3</v>
      </c>
      <c r="Q306" s="3">
        <f t="shared" si="288"/>
        <v>3.098114236407119E-3</v>
      </c>
      <c r="R306" s="3">
        <f t="shared" si="288"/>
        <v>3.098114236407119E-3</v>
      </c>
      <c r="S306" s="3">
        <f t="shared" si="288"/>
        <v>3.0981142364071177E-3</v>
      </c>
      <c r="T306" s="3">
        <f t="shared" si="288"/>
        <v>3.0981142364071065E-3</v>
      </c>
      <c r="U306" s="3">
        <f t="shared" si="288"/>
        <v>3.0981142364069907E-3</v>
      </c>
      <c r="V306" s="3">
        <f t="shared" si="288"/>
        <v>3.0981142364058358E-3</v>
      </c>
      <c r="W306" s="3">
        <f t="shared" si="288"/>
        <v>3.0981142363942851E-3</v>
      </c>
      <c r="X306" s="3">
        <f t="shared" si="288"/>
        <v>3.0981142362787803E-3</v>
      </c>
      <c r="Y306" s="3">
        <f t="shared" si="288"/>
        <v>3.0981142351237285E-3</v>
      </c>
      <c r="Z306" s="3">
        <f t="shared" si="288"/>
        <v>3.098114223573215E-3</v>
      </c>
      <c r="AA306" s="3">
        <f t="shared" si="288"/>
        <v>3.0981141080680778E-3</v>
      </c>
      <c r="AB306" s="3">
        <f t="shared" si="288"/>
        <v>3.0981129530169445E-3</v>
      </c>
      <c r="AC306" s="3">
        <f t="shared" si="288"/>
        <v>3.0981014025293009E-3</v>
      </c>
      <c r="AD306" s="3">
        <f t="shared" si="288"/>
        <v>3.0979859000212942E-3</v>
      </c>
      <c r="AE306" s="3">
        <f t="shared" si="288"/>
        <v>3.0968311117519263E-3</v>
      </c>
      <c r="AF306" s="3">
        <f t="shared" si="288"/>
        <v>3.0853068774937486E-3</v>
      </c>
      <c r="AG306" s="3"/>
      <c r="AH306" s="3"/>
    </row>
    <row r="307" spans="1:34" x14ac:dyDescent="0.25">
      <c r="B307" s="3">
        <f t="shared" ref="B307:AF307" si="289">$C37*EXP(-B$285/$A37/EXP(-$F$126))</f>
        <v>1.3450651080742435E-3</v>
      </c>
      <c r="C307" s="3">
        <f t="shared" si="289"/>
        <v>1.3450651080742435E-3</v>
      </c>
      <c r="D307" s="3">
        <f t="shared" si="289"/>
        <v>1.3450651080742435E-3</v>
      </c>
      <c r="E307" s="3">
        <f t="shared" si="289"/>
        <v>1.3450651080742435E-3</v>
      </c>
      <c r="F307" s="3">
        <f t="shared" si="289"/>
        <v>1.3450651080742435E-3</v>
      </c>
      <c r="G307" s="3">
        <f t="shared" si="289"/>
        <v>1.3450651080742435E-3</v>
      </c>
      <c r="H307" s="3">
        <f t="shared" si="289"/>
        <v>1.3450651080742435E-3</v>
      </c>
      <c r="I307" s="3">
        <f t="shared" si="289"/>
        <v>1.3450651080742435E-3</v>
      </c>
      <c r="J307" s="3">
        <f t="shared" si="289"/>
        <v>1.3450651080742435E-3</v>
      </c>
      <c r="K307" s="3">
        <f t="shared" si="289"/>
        <v>1.3450651080742435E-3</v>
      </c>
      <c r="L307" s="3">
        <f t="shared" si="289"/>
        <v>1.3450651080742435E-3</v>
      </c>
      <c r="M307" s="3">
        <f t="shared" si="289"/>
        <v>1.3450651080742435E-3</v>
      </c>
      <c r="N307" s="3">
        <f t="shared" si="289"/>
        <v>1.3450651080742435E-3</v>
      </c>
      <c r="O307" s="3">
        <f t="shared" si="289"/>
        <v>1.3450651080742435E-3</v>
      </c>
      <c r="P307" s="3">
        <f t="shared" si="289"/>
        <v>1.3450651080742435E-3</v>
      </c>
      <c r="Q307" s="3">
        <f t="shared" si="289"/>
        <v>1.3450651080742435E-3</v>
      </c>
      <c r="R307" s="3">
        <f t="shared" si="289"/>
        <v>1.3450651080742435E-3</v>
      </c>
      <c r="S307" s="3">
        <f t="shared" si="289"/>
        <v>1.3450651080742435E-3</v>
      </c>
      <c r="T307" s="3">
        <f t="shared" si="289"/>
        <v>1.345065108074243E-3</v>
      </c>
      <c r="U307" s="3">
        <f t="shared" si="289"/>
        <v>1.3450651080742385E-3</v>
      </c>
      <c r="V307" s="3">
        <f t="shared" si="289"/>
        <v>1.3450651080741931E-3</v>
      </c>
      <c r="W307" s="3">
        <f t="shared" si="289"/>
        <v>1.3450651080737408E-3</v>
      </c>
      <c r="X307" s="3">
        <f t="shared" si="289"/>
        <v>1.3450651080692171E-3</v>
      </c>
      <c r="Y307" s="3">
        <f t="shared" si="289"/>
        <v>1.3450651080239803E-3</v>
      </c>
      <c r="Z307" s="3">
        <f t="shared" si="289"/>
        <v>1.3450651075716101E-3</v>
      </c>
      <c r="AA307" s="3">
        <f t="shared" si="289"/>
        <v>1.3450651030479102E-3</v>
      </c>
      <c r="AB307" s="3">
        <f t="shared" si="289"/>
        <v>1.3450650578109128E-3</v>
      </c>
      <c r="AC307" s="3">
        <f t="shared" si="289"/>
        <v>1.3450646054410226E-3</v>
      </c>
      <c r="AD307" s="3">
        <f t="shared" si="289"/>
        <v>1.3450600817504882E-3</v>
      </c>
      <c r="AE307" s="3">
        <f t="shared" si="289"/>
        <v>1.3450148456819022E-3</v>
      </c>
      <c r="AF307" s="3">
        <f t="shared" si="289"/>
        <v>1.3445625686616361E-3</v>
      </c>
      <c r="AG307" s="3"/>
      <c r="AH307" s="3"/>
    </row>
    <row r="308" spans="1:34" x14ac:dyDescent="0.25">
      <c r="B308" s="3">
        <f t="shared" ref="B308:AF308" si="290">$C38*EXP(-B$285/$A38/EXP(-$F$126))</f>
        <v>1.5999872696703847E-4</v>
      </c>
      <c r="C308" s="3">
        <f t="shared" si="290"/>
        <v>1.5999872696703847E-4</v>
      </c>
      <c r="D308" s="3">
        <f t="shared" si="290"/>
        <v>1.5999872696703847E-4</v>
      </c>
      <c r="E308" s="3">
        <f t="shared" si="290"/>
        <v>1.5999872696703847E-4</v>
      </c>
      <c r="F308" s="3">
        <f t="shared" si="290"/>
        <v>1.5999872696703847E-4</v>
      </c>
      <c r="G308" s="3">
        <f t="shared" si="290"/>
        <v>1.5999872696703847E-4</v>
      </c>
      <c r="H308" s="3">
        <f t="shared" si="290"/>
        <v>1.5999872696703847E-4</v>
      </c>
      <c r="I308" s="3">
        <f t="shared" si="290"/>
        <v>1.5999872696703847E-4</v>
      </c>
      <c r="J308" s="3">
        <f t="shared" si="290"/>
        <v>1.5999872696703847E-4</v>
      </c>
      <c r="K308" s="3">
        <f t="shared" si="290"/>
        <v>1.5999872696703847E-4</v>
      </c>
      <c r="L308" s="3">
        <f t="shared" si="290"/>
        <v>1.5999872696703847E-4</v>
      </c>
      <c r="M308" s="3">
        <f t="shared" si="290"/>
        <v>1.5999872696703847E-4</v>
      </c>
      <c r="N308" s="3">
        <f t="shared" si="290"/>
        <v>1.5999872696703847E-4</v>
      </c>
      <c r="O308" s="3">
        <f t="shared" si="290"/>
        <v>1.5999872696703847E-4</v>
      </c>
      <c r="P308" s="3">
        <f t="shared" si="290"/>
        <v>1.5999872696703847E-4</v>
      </c>
      <c r="Q308" s="3">
        <f t="shared" si="290"/>
        <v>1.5999872696703847E-4</v>
      </c>
      <c r="R308" s="3">
        <f t="shared" si="290"/>
        <v>1.5999872696703847E-4</v>
      </c>
      <c r="S308" s="3">
        <f t="shared" si="290"/>
        <v>1.5999872696703847E-4</v>
      </c>
      <c r="T308" s="3">
        <f t="shared" si="290"/>
        <v>1.5999872696703847E-4</v>
      </c>
      <c r="U308" s="3">
        <f t="shared" si="290"/>
        <v>1.5999872696703841E-4</v>
      </c>
      <c r="V308" s="3">
        <f t="shared" si="290"/>
        <v>1.5999872696703793E-4</v>
      </c>
      <c r="W308" s="3">
        <f t="shared" si="290"/>
        <v>1.5999872696703308E-4</v>
      </c>
      <c r="X308" s="3">
        <f t="shared" si="290"/>
        <v>1.5999872696698453E-4</v>
      </c>
      <c r="Y308" s="3">
        <f t="shared" si="290"/>
        <v>1.5999872696649911E-4</v>
      </c>
      <c r="Z308" s="3">
        <f t="shared" si="290"/>
        <v>1.5999872696164497E-4</v>
      </c>
      <c r="AA308" s="3">
        <f t="shared" si="290"/>
        <v>1.5999872691310342E-4</v>
      </c>
      <c r="AB308" s="3">
        <f t="shared" si="290"/>
        <v>1.5999872642768798E-4</v>
      </c>
      <c r="AC308" s="3">
        <f t="shared" si="290"/>
        <v>1.599987215735336E-4</v>
      </c>
      <c r="AD308" s="3">
        <f t="shared" si="290"/>
        <v>1.5999867303199806E-4</v>
      </c>
      <c r="AE308" s="3">
        <f t="shared" si="290"/>
        <v>1.5999818761745264E-4</v>
      </c>
      <c r="AF308" s="3">
        <f t="shared" si="290"/>
        <v>1.5999333355299527E-4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1.1033683083565872E-4</v>
      </c>
      <c r="C311" s="3">
        <f t="shared" si="293"/>
        <v>1.1033683083565872E-4</v>
      </c>
      <c r="D311" s="3">
        <f t="shared" si="293"/>
        <v>1.1033683083565872E-4</v>
      </c>
      <c r="E311" s="3">
        <f t="shared" si="293"/>
        <v>1.1033683083565872E-4</v>
      </c>
      <c r="F311" s="3">
        <f t="shared" si="293"/>
        <v>1.1033683083565872E-4</v>
      </c>
      <c r="G311" s="3">
        <f t="shared" si="293"/>
        <v>1.1033683083565872E-4</v>
      </c>
      <c r="H311" s="3">
        <f t="shared" si="293"/>
        <v>1.1033683083565872E-4</v>
      </c>
      <c r="I311" s="3">
        <f t="shared" si="293"/>
        <v>1.1033683083565872E-4</v>
      </c>
      <c r="J311" s="3">
        <f t="shared" si="293"/>
        <v>1.1033683083565872E-4</v>
      </c>
      <c r="K311" s="3">
        <f t="shared" si="293"/>
        <v>1.1033683083565872E-4</v>
      </c>
      <c r="L311" s="3">
        <f t="shared" si="293"/>
        <v>1.1033683083565872E-4</v>
      </c>
      <c r="M311" s="3">
        <f t="shared" si="293"/>
        <v>1.1033683083565872E-4</v>
      </c>
      <c r="N311" s="3">
        <f t="shared" si="293"/>
        <v>1.1033683083565872E-4</v>
      </c>
      <c r="O311" s="3">
        <f t="shared" si="293"/>
        <v>1.1033683083565872E-4</v>
      </c>
      <c r="P311" s="3">
        <f t="shared" si="293"/>
        <v>1.1033683083565872E-4</v>
      </c>
      <c r="Q311" s="3">
        <f t="shared" si="293"/>
        <v>1.1033683083565872E-4</v>
      </c>
      <c r="R311" s="3">
        <f t="shared" si="293"/>
        <v>1.1033683083565872E-4</v>
      </c>
      <c r="S311" s="3">
        <f t="shared" si="293"/>
        <v>1.1033683083565872E-4</v>
      </c>
      <c r="T311" s="3">
        <f t="shared" si="293"/>
        <v>1.1033683083565872E-4</v>
      </c>
      <c r="U311" s="3">
        <f t="shared" si="293"/>
        <v>1.1033683083565872E-4</v>
      </c>
      <c r="V311" s="3">
        <f t="shared" si="293"/>
        <v>1.1033683083565872E-4</v>
      </c>
      <c r="W311" s="3">
        <f t="shared" si="293"/>
        <v>1.103368308356587E-4</v>
      </c>
      <c r="X311" s="3">
        <f t="shared" si="293"/>
        <v>1.1033683083565862E-4</v>
      </c>
      <c r="Y311" s="3">
        <f t="shared" si="293"/>
        <v>1.1033683083565769E-4</v>
      </c>
      <c r="Z311" s="3">
        <f t="shared" si="293"/>
        <v>1.1033683083564843E-4</v>
      </c>
      <c r="AA311" s="3">
        <f t="shared" si="293"/>
        <v>1.1033683083555584E-4</v>
      </c>
      <c r="AB311" s="3">
        <f t="shared" si="293"/>
        <v>1.1033683083463003E-4</v>
      </c>
      <c r="AC311" s="3">
        <f t="shared" si="293"/>
        <v>1.1033683082537174E-4</v>
      </c>
      <c r="AD311" s="3">
        <f t="shared" si="293"/>
        <v>1.1033683073278891E-4</v>
      </c>
      <c r="AE311" s="3">
        <f t="shared" si="293"/>
        <v>1.1033682980696066E-4</v>
      </c>
      <c r="AF311" s="3">
        <f t="shared" si="293"/>
        <v>1.1033682054867857E-4</v>
      </c>
      <c r="AG311" s="3"/>
      <c r="AH311" s="3"/>
    </row>
    <row r="312" spans="1:34" x14ac:dyDescent="0.25">
      <c r="B312" s="3">
        <f t="shared" ref="B312:AF312" si="294">$C42*EXP(-B$285/$A42/EXP(-$F$126))</f>
        <v>5.3430093526516889E-5</v>
      </c>
      <c r="C312" s="3">
        <f t="shared" si="294"/>
        <v>5.3430093526516889E-5</v>
      </c>
      <c r="D312" s="3">
        <f t="shared" si="294"/>
        <v>5.3430093526516889E-5</v>
      </c>
      <c r="E312" s="3">
        <f t="shared" si="294"/>
        <v>5.3430093526516889E-5</v>
      </c>
      <c r="F312" s="3">
        <f t="shared" si="294"/>
        <v>5.3430093526516889E-5</v>
      </c>
      <c r="G312" s="3">
        <f t="shared" si="294"/>
        <v>5.3430093526516889E-5</v>
      </c>
      <c r="H312" s="3">
        <f t="shared" si="294"/>
        <v>5.3430093526516889E-5</v>
      </c>
      <c r="I312" s="3">
        <f t="shared" si="294"/>
        <v>5.3430093526516889E-5</v>
      </c>
      <c r="J312" s="3">
        <f t="shared" si="294"/>
        <v>5.3430093526516889E-5</v>
      </c>
      <c r="K312" s="3">
        <f t="shared" si="294"/>
        <v>5.3430093526516889E-5</v>
      </c>
      <c r="L312" s="3">
        <f t="shared" si="294"/>
        <v>5.3430093526516889E-5</v>
      </c>
      <c r="M312" s="3">
        <f t="shared" si="294"/>
        <v>5.3430093526516889E-5</v>
      </c>
      <c r="N312" s="3">
        <f t="shared" si="294"/>
        <v>5.3430093526516889E-5</v>
      </c>
      <c r="O312" s="3">
        <f t="shared" si="294"/>
        <v>5.3430093526516889E-5</v>
      </c>
      <c r="P312" s="3">
        <f t="shared" si="294"/>
        <v>5.3430093526516889E-5</v>
      </c>
      <c r="Q312" s="3">
        <f t="shared" si="294"/>
        <v>5.3430093526516889E-5</v>
      </c>
      <c r="R312" s="3">
        <f t="shared" si="294"/>
        <v>5.3430093526516889E-5</v>
      </c>
      <c r="S312" s="3">
        <f t="shared" si="294"/>
        <v>5.3430093526516889E-5</v>
      </c>
      <c r="T312" s="3">
        <f t="shared" si="294"/>
        <v>5.3430093526516889E-5</v>
      </c>
      <c r="U312" s="3">
        <f t="shared" si="294"/>
        <v>5.3430093526516889E-5</v>
      </c>
      <c r="V312" s="3">
        <f t="shared" si="294"/>
        <v>5.3430093526516889E-5</v>
      </c>
      <c r="W312" s="3">
        <f t="shared" si="294"/>
        <v>5.3430093526516889E-5</v>
      </c>
      <c r="X312" s="3">
        <f t="shared" si="294"/>
        <v>5.3430093526516882E-5</v>
      </c>
      <c r="Y312" s="3">
        <f t="shared" si="294"/>
        <v>5.3430093526516842E-5</v>
      </c>
      <c r="Z312" s="3">
        <f t="shared" si="294"/>
        <v>5.3430093526516388E-5</v>
      </c>
      <c r="AA312" s="3">
        <f t="shared" si="294"/>
        <v>5.3430093526511908E-5</v>
      </c>
      <c r="AB312" s="3">
        <f t="shared" si="294"/>
        <v>5.343009352646707E-5</v>
      </c>
      <c r="AC312" s="3">
        <f t="shared" si="294"/>
        <v>5.3430093526018752E-5</v>
      </c>
      <c r="AD312" s="3">
        <f t="shared" si="294"/>
        <v>5.3430093521535468E-5</v>
      </c>
      <c r="AE312" s="3">
        <f t="shared" si="294"/>
        <v>5.3430093476702665E-5</v>
      </c>
      <c r="AF312" s="3">
        <f t="shared" si="294"/>
        <v>5.3430093028374671E-5</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1.1249816087007928E-3</v>
      </c>
      <c r="C318" s="3">
        <f t="shared" si="300"/>
        <v>1.1249816087007928E-3</v>
      </c>
      <c r="D318" s="3">
        <f t="shared" si="300"/>
        <v>1.1249816087007928E-3</v>
      </c>
      <c r="E318" s="3">
        <f t="shared" si="300"/>
        <v>1.1249816087007928E-3</v>
      </c>
      <c r="F318" s="3">
        <f t="shared" si="300"/>
        <v>1.1249816087007928E-3</v>
      </c>
      <c r="G318" s="3">
        <f t="shared" si="300"/>
        <v>1.1249816087007928E-3</v>
      </c>
      <c r="H318" s="3">
        <f t="shared" si="300"/>
        <v>1.1249816087007928E-3</v>
      </c>
      <c r="I318" s="3">
        <f t="shared" si="300"/>
        <v>1.1249816087007928E-3</v>
      </c>
      <c r="J318" s="3">
        <f t="shared" si="300"/>
        <v>1.1249816087007928E-3</v>
      </c>
      <c r="K318" s="3">
        <f t="shared" si="300"/>
        <v>1.1249816087007928E-3</v>
      </c>
      <c r="L318" s="3">
        <f t="shared" si="300"/>
        <v>1.1249816087007928E-3</v>
      </c>
      <c r="M318" s="3">
        <f t="shared" si="300"/>
        <v>1.1249816087007928E-3</v>
      </c>
      <c r="N318" s="3">
        <f t="shared" si="300"/>
        <v>1.1249816087007928E-3</v>
      </c>
      <c r="O318" s="3">
        <f t="shared" si="300"/>
        <v>1.1249816087007928E-3</v>
      </c>
      <c r="P318" s="3">
        <f t="shared" si="300"/>
        <v>1.1249816087007928E-3</v>
      </c>
      <c r="Q318" s="3">
        <f t="shared" si="300"/>
        <v>1.1249816087007928E-3</v>
      </c>
      <c r="R318" s="3">
        <f t="shared" si="300"/>
        <v>1.1249816087007928E-3</v>
      </c>
      <c r="S318" s="3">
        <f t="shared" si="300"/>
        <v>1.1249816087007928E-3</v>
      </c>
      <c r="T318" s="3">
        <f t="shared" si="300"/>
        <v>1.1249816087007928E-3</v>
      </c>
      <c r="U318" s="3">
        <f t="shared" si="300"/>
        <v>1.1249816087007928E-3</v>
      </c>
      <c r="V318" s="3">
        <f t="shared" si="300"/>
        <v>1.1249816087007928E-3</v>
      </c>
      <c r="W318" s="3">
        <f t="shared" si="300"/>
        <v>1.1249816087007928E-3</v>
      </c>
      <c r="X318" s="3">
        <f t="shared" si="300"/>
        <v>1.1249816087007928E-3</v>
      </c>
      <c r="Y318" s="3">
        <f t="shared" si="300"/>
        <v>1.1249816087007928E-3</v>
      </c>
      <c r="Z318" s="3">
        <f t="shared" si="300"/>
        <v>1.1249816087007928E-3</v>
      </c>
      <c r="AA318" s="3">
        <f t="shared" si="300"/>
        <v>1.1249816087007928E-3</v>
      </c>
      <c r="AB318" s="3">
        <f t="shared" si="300"/>
        <v>1.1249816087007928E-3</v>
      </c>
      <c r="AC318" s="3">
        <f t="shared" si="300"/>
        <v>1.1249816087007928E-3</v>
      </c>
      <c r="AD318" s="3">
        <f t="shared" si="300"/>
        <v>1.1249816087007926E-3</v>
      </c>
      <c r="AE318" s="3">
        <f t="shared" si="300"/>
        <v>1.1249816087007918E-3</v>
      </c>
      <c r="AF318" s="3">
        <f t="shared" si="300"/>
        <v>1.1249816087007824E-3</v>
      </c>
      <c r="AG318" s="3"/>
      <c r="AH318" s="3"/>
    </row>
    <row r="319" spans="1:34" x14ac:dyDescent="0.25">
      <c r="A319" s="79">
        <f>AVERAGE(B319:AF319)</f>
        <v>6.8771426990046416E-2</v>
      </c>
      <c r="B319" s="80">
        <f>IF($A$64&lt;=B285,IF($B$64&gt;=B285,ABS((B287-B286)/B286),0),0)</f>
        <v>1.3142375783887002E-2</v>
      </c>
      <c r="C319" s="80">
        <f t="shared" ref="C319:AF319" si="301">IF($A$64&lt;=C285,IF($B$64&gt;=C285,ABS((C287-C286)/C286),0),0)</f>
        <v>5.0713016419767366E-2</v>
      </c>
      <c r="D319" s="80">
        <f t="shared" si="301"/>
        <v>7.335339254971239E-2</v>
      </c>
      <c r="E319" s="80">
        <f t="shared" si="301"/>
        <v>9.6480755841272262E-2</v>
      </c>
      <c r="F319" s="80">
        <f t="shared" si="301"/>
        <v>0.12317042455019034</v>
      </c>
      <c r="G319" s="80">
        <f t="shared" si="301"/>
        <v>0.15278548934083364</v>
      </c>
      <c r="H319" s="80">
        <f t="shared" si="301"/>
        <v>0.18439251036759721</v>
      </c>
      <c r="I319" s="80">
        <f t="shared" si="301"/>
        <v>0.18620108316437847</v>
      </c>
      <c r="J319" s="80">
        <f t="shared" si="301"/>
        <v>3.1530311620961614E-2</v>
      </c>
      <c r="K319" s="80">
        <f t="shared" si="301"/>
        <v>0.20194857468836805</v>
      </c>
      <c r="L319" s="80">
        <f t="shared" si="301"/>
        <v>0.16930328705581771</v>
      </c>
      <c r="M319" s="80">
        <f t="shared" si="301"/>
        <v>0.12611678651771058</v>
      </c>
      <c r="N319" s="80">
        <f t="shared" si="301"/>
        <v>7.5775860176789167E-2</v>
      </c>
      <c r="O319" s="80">
        <f t="shared" si="301"/>
        <v>2.9279532855510774E-2</v>
      </c>
      <c r="P319" s="80">
        <f t="shared" si="301"/>
        <v>1.8020233349544191E-3</v>
      </c>
      <c r="Q319" s="80">
        <f t="shared" si="301"/>
        <v>3.0007823149702299E-2</v>
      </c>
      <c r="R319" s="80">
        <f t="shared" si="301"/>
        <v>1.8903741540239279E-2</v>
      </c>
      <c r="S319" s="80">
        <f t="shared" si="301"/>
        <v>8.7579000769953345E-3</v>
      </c>
      <c r="T319" s="80">
        <f t="shared" si="301"/>
        <v>2.0938263193927883E-3</v>
      </c>
      <c r="U319" s="80">
        <f t="shared" si="301"/>
        <v>3.8712519868664259E-3</v>
      </c>
      <c r="V319" s="80">
        <f t="shared" si="301"/>
        <v>2.4265006192490039E-3</v>
      </c>
      <c r="W319" s="80">
        <f t="shared" si="301"/>
        <v>4.1058305315056194E-3</v>
      </c>
      <c r="X319" s="80">
        <f t="shared" si="301"/>
        <v>2.2452014391806493E-2</v>
      </c>
      <c r="Y319" s="80">
        <f t="shared" si="301"/>
        <v>5.2605332691586341E-2</v>
      </c>
      <c r="Z319" s="80">
        <f t="shared" si="301"/>
        <v>8.8224356759243519E-2</v>
      </c>
      <c r="AA319" s="80">
        <f t="shared" si="301"/>
        <v>0.11282791630028076</v>
      </c>
      <c r="AB319" s="80">
        <f t="shared" si="301"/>
        <v>0.11350946703298416</v>
      </c>
      <c r="AC319" s="80">
        <f t="shared" si="301"/>
        <v>8.2440771494079676E-2</v>
      </c>
      <c r="AD319" s="80">
        <f t="shared" si="301"/>
        <v>4.5802735786236885E-2</v>
      </c>
      <c r="AE319" s="80">
        <f t="shared" si="301"/>
        <v>1.7724224359945379E-2</v>
      </c>
      <c r="AF319" s="80">
        <f t="shared" si="301"/>
        <v>1.0165119383573538E-2</v>
      </c>
    </row>
    <row r="320" spans="1:34" x14ac:dyDescent="0.25">
      <c r="B320" s="21">
        <f>(B287-B286)^2</f>
        <v>5303.6697930278397</v>
      </c>
      <c r="C320" s="21">
        <f t="shared" ref="C320:AF320" si="302">(C287-C286)^2</f>
        <v>73424.383574980049</v>
      </c>
      <c r="D320" s="21">
        <f t="shared" si="302"/>
        <v>147205.58990781661</v>
      </c>
      <c r="E320" s="21">
        <f t="shared" si="302"/>
        <v>244031.4762520091</v>
      </c>
      <c r="F320" s="21">
        <f t="shared" si="302"/>
        <v>379017.48914531484</v>
      </c>
      <c r="G320" s="21">
        <f t="shared" si="302"/>
        <v>553244.49126466736</v>
      </c>
      <c r="H320" s="21">
        <f t="shared" si="302"/>
        <v>758359.381602298</v>
      </c>
      <c r="I320" s="21">
        <f t="shared" si="302"/>
        <v>722977.25221426785</v>
      </c>
      <c r="J320" s="21">
        <f t="shared" si="302"/>
        <v>19320.811635391186</v>
      </c>
      <c r="K320" s="21">
        <f t="shared" si="302"/>
        <v>738797.9459782968</v>
      </c>
      <c r="L320" s="21">
        <f t="shared" si="302"/>
        <v>479180.44470556284</v>
      </c>
      <c r="M320" s="21">
        <f t="shared" si="302"/>
        <v>240255.45722501402</v>
      </c>
      <c r="N320" s="21">
        <f t="shared" si="302"/>
        <v>77508.854444544355</v>
      </c>
      <c r="O320" s="21">
        <f t="shared" si="302"/>
        <v>10444.861831461361</v>
      </c>
      <c r="P320" s="21">
        <f t="shared" si="302"/>
        <v>35.979610934410019</v>
      </c>
      <c r="Q320" s="21">
        <f t="shared" si="302"/>
        <v>9006.8430834628598</v>
      </c>
      <c r="R320" s="21">
        <f t="shared" si="302"/>
        <v>3192.7479227729496</v>
      </c>
      <c r="S320" s="21">
        <f t="shared" si="302"/>
        <v>600.55513517920303</v>
      </c>
      <c r="T320" s="21">
        <f t="shared" si="302"/>
        <v>29.625246970638486</v>
      </c>
      <c r="U320" s="21">
        <f t="shared" si="302"/>
        <v>85.609785701084093</v>
      </c>
      <c r="V320" s="21">
        <f t="shared" si="302"/>
        <v>27.863726449086521</v>
      </c>
      <c r="W320" s="21">
        <f t="shared" si="302"/>
        <v>63.756852928926214</v>
      </c>
      <c r="X320" s="21">
        <f t="shared" si="302"/>
        <v>1443.674202984866</v>
      </c>
      <c r="Y320" s="21">
        <f t="shared" si="302"/>
        <v>5461.6567227738296</v>
      </c>
      <c r="Z320" s="21">
        <f t="shared" si="302"/>
        <v>9272.1136100003823</v>
      </c>
      <c r="AA320" s="21">
        <f t="shared" si="302"/>
        <v>7956.043341451239</v>
      </c>
      <c r="AB320" s="21">
        <f t="shared" si="302"/>
        <v>3960.7448255218646</v>
      </c>
      <c r="AC320" s="21">
        <f t="shared" si="302"/>
        <v>1099.9940704235735</v>
      </c>
      <c r="AD320" s="21">
        <f t="shared" si="302"/>
        <v>219.58085845678613</v>
      </c>
      <c r="AE320" s="21">
        <f t="shared" si="302"/>
        <v>25.400667785398333</v>
      </c>
      <c r="AF320" s="21">
        <f t="shared" si="302"/>
        <v>7.2523438783367231</v>
      </c>
      <c r="AG320" s="3"/>
      <c r="AH320" s="3"/>
    </row>
    <row r="321" spans="1:34" x14ac:dyDescent="0.25">
      <c r="A321" s="71">
        <f>SUM(B321:AF321)</f>
        <v>4491561.551582328</v>
      </c>
      <c r="B321" s="60">
        <f>IF($A$64&lt;=B285,IF($B$64&gt;=B285,ABS(B320),0),0)</f>
        <v>5303.6697930278397</v>
      </c>
      <c r="C321" s="60">
        <f t="shared" ref="C321" si="303">IF($A$64&lt;=C285,IF($B$64&gt;=C285,ABS(C320),0),0)</f>
        <v>73424.383574980049</v>
      </c>
      <c r="D321" s="60">
        <f t="shared" ref="D321" si="304">IF($A$64&lt;=D285,IF($B$64&gt;=D285,ABS(D320),0),0)</f>
        <v>147205.58990781661</v>
      </c>
      <c r="E321" s="60">
        <f t="shared" ref="E321" si="305">IF($A$64&lt;=E285,IF($B$64&gt;=E285,ABS(E320),0),0)</f>
        <v>244031.4762520091</v>
      </c>
      <c r="F321" s="60">
        <f t="shared" ref="F321" si="306">IF($A$64&lt;=F285,IF($B$64&gt;=F285,ABS(F320),0),0)</f>
        <v>379017.48914531484</v>
      </c>
      <c r="G321" s="60">
        <f t="shared" ref="G321" si="307">IF($A$64&lt;=G285,IF($B$64&gt;=G285,ABS(G320),0),0)</f>
        <v>553244.49126466736</v>
      </c>
      <c r="H321" s="60">
        <f t="shared" ref="H321" si="308">IF($A$64&lt;=H285,IF($B$64&gt;=H285,ABS(H320),0),0)</f>
        <v>758359.381602298</v>
      </c>
      <c r="I321" s="60">
        <f t="shared" ref="I321" si="309">IF($A$64&lt;=I285,IF($B$64&gt;=I285,ABS(I320),0),0)</f>
        <v>722977.25221426785</v>
      </c>
      <c r="J321" s="60">
        <f t="shared" ref="J321" si="310">IF($A$64&lt;=J285,IF($B$64&gt;=J285,ABS(J320),0),0)</f>
        <v>19320.811635391186</v>
      </c>
      <c r="K321" s="60">
        <f t="shared" ref="K321" si="311">IF($A$64&lt;=K285,IF($B$64&gt;=K285,ABS(K320),0),0)</f>
        <v>738797.9459782968</v>
      </c>
      <c r="L321" s="60">
        <f t="shared" ref="L321" si="312">IF($A$64&lt;=L285,IF($B$64&gt;=L285,ABS(L320),0),0)</f>
        <v>479180.44470556284</v>
      </c>
      <c r="M321" s="60">
        <f t="shared" ref="M321" si="313">IF($A$64&lt;=M285,IF($B$64&gt;=M285,ABS(M320),0),0)</f>
        <v>240255.45722501402</v>
      </c>
      <c r="N321" s="60">
        <f t="shared" ref="N321" si="314">IF($A$64&lt;=N285,IF($B$64&gt;=N285,ABS(N320),0),0)</f>
        <v>77508.854444544355</v>
      </c>
      <c r="O321" s="60">
        <f t="shared" ref="O321" si="315">IF($A$64&lt;=O285,IF($B$64&gt;=O285,ABS(O320),0),0)</f>
        <v>10444.861831461361</v>
      </c>
      <c r="P321" s="60">
        <f t="shared" ref="P321" si="316">IF($A$64&lt;=P285,IF($B$64&gt;=P285,ABS(P320),0),0)</f>
        <v>35.979610934410019</v>
      </c>
      <c r="Q321" s="60">
        <f t="shared" ref="Q321" si="317">IF($A$64&lt;=Q285,IF($B$64&gt;=Q285,ABS(Q320),0),0)</f>
        <v>9006.8430834628598</v>
      </c>
      <c r="R321" s="60">
        <f t="shared" ref="R321" si="318">IF($A$64&lt;=R285,IF($B$64&gt;=R285,ABS(R320),0),0)</f>
        <v>3192.7479227729496</v>
      </c>
      <c r="S321" s="60">
        <f t="shared" ref="S321" si="319">IF($A$64&lt;=S285,IF($B$64&gt;=S285,ABS(S320),0),0)</f>
        <v>600.55513517920303</v>
      </c>
      <c r="T321" s="60">
        <f t="shared" ref="T321" si="320">IF($A$64&lt;=T285,IF($B$64&gt;=T285,ABS(T320),0),0)</f>
        <v>29.625246970638486</v>
      </c>
      <c r="U321" s="60">
        <f t="shared" ref="U321" si="321">IF($A$64&lt;=U285,IF($B$64&gt;=U285,ABS(U320),0),0)</f>
        <v>85.609785701084093</v>
      </c>
      <c r="V321" s="60">
        <f t="shared" ref="V321" si="322">IF($A$64&lt;=V285,IF($B$64&gt;=V285,ABS(V320),0),0)</f>
        <v>27.863726449086521</v>
      </c>
      <c r="W321" s="60">
        <f t="shared" ref="W321" si="323">IF($A$64&lt;=W285,IF($B$64&gt;=W285,ABS(W320),0),0)</f>
        <v>63.756852928926214</v>
      </c>
      <c r="X321" s="60">
        <f t="shared" ref="X321" si="324">IF($A$64&lt;=X285,IF($B$64&gt;=X285,ABS(X320),0),0)</f>
        <v>1443.674202984866</v>
      </c>
      <c r="Y321" s="60">
        <f t="shared" ref="Y321" si="325">IF($A$64&lt;=Y285,IF($B$64&gt;=Y285,ABS(Y320),0),0)</f>
        <v>5461.6567227738296</v>
      </c>
      <c r="Z321" s="60">
        <f t="shared" ref="Z321" si="326">IF($A$64&lt;=Z285,IF($B$64&gt;=Z285,ABS(Z320),0),0)</f>
        <v>9272.1136100003823</v>
      </c>
      <c r="AA321" s="60">
        <f t="shared" ref="AA321" si="327">IF($A$64&lt;=AA285,IF($B$64&gt;=AA285,ABS(AA320),0),0)</f>
        <v>7956.043341451239</v>
      </c>
      <c r="AB321" s="60">
        <f t="shared" ref="AB321" si="328">IF($A$64&lt;=AB285,IF($B$64&gt;=AB285,ABS(AB320),0),0)</f>
        <v>3960.7448255218646</v>
      </c>
      <c r="AC321" s="60">
        <f t="shared" ref="AC321" si="329">IF($A$64&lt;=AC285,IF($B$64&gt;=AC285,ABS(AC320),0),0)</f>
        <v>1099.9940704235735</v>
      </c>
      <c r="AD321" s="60">
        <f t="shared" ref="AD321" si="330">IF($A$64&lt;=AD285,IF($B$64&gt;=AD285,ABS(AD320),0),0)</f>
        <v>219.58085845678613</v>
      </c>
      <c r="AE321" s="60">
        <f t="shared" ref="AE321" si="331">IF($A$64&lt;=AE285,IF($B$64&gt;=AE285,ABS(AE320),0),0)</f>
        <v>25.400667785398333</v>
      </c>
      <c r="AF321" s="60">
        <f t="shared" ref="AF321" si="332">IF($A$64&lt;=AF285,IF($B$64&gt;=AF285,ABS(AF320),0),0)</f>
        <v>7.2523438783367231</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7" t="s">
        <v>22</v>
      </c>
      <c r="B326" s="27">
        <f>($C$17+SUM(B327:B357))*$B$51</f>
        <v>5412.7259866876284</v>
      </c>
      <c r="C326" s="27">
        <f t="shared" ref="C326:AF326" si="333">($C$17+SUM(C327:C357))*$B$51</f>
        <v>4252.2218051973496</v>
      </c>
      <c r="D326" s="27">
        <f t="shared" si="333"/>
        <v>3396.6308438193341</v>
      </c>
      <c r="E326" s="27">
        <f t="shared" si="333"/>
        <v>3396.4609237882846</v>
      </c>
      <c r="F326" s="27">
        <f t="shared" si="333"/>
        <v>3396.3849321894149</v>
      </c>
      <c r="G326" s="27">
        <f t="shared" si="333"/>
        <v>3395.6259055693981</v>
      </c>
      <c r="H326" s="27">
        <f t="shared" si="333"/>
        <v>3388.1238597935685</v>
      </c>
      <c r="I326" s="27">
        <f t="shared" si="333"/>
        <v>3321.2506834936703</v>
      </c>
      <c r="J326" s="27">
        <f t="shared" si="333"/>
        <v>3065.7455155322696</v>
      </c>
      <c r="K326" s="27">
        <f t="shared" si="333"/>
        <v>2931.3338493949004</v>
      </c>
      <c r="L326" s="27">
        <f t="shared" si="333"/>
        <v>2772.0181993586839</v>
      </c>
      <c r="M326" s="27">
        <f t="shared" si="333"/>
        <v>2592.2003890716219</v>
      </c>
      <c r="N326" s="27">
        <f t="shared" si="333"/>
        <v>2397.246025943512</v>
      </c>
      <c r="O326" s="27">
        <f t="shared" si="333"/>
        <v>2178.3009522910052</v>
      </c>
      <c r="P326" s="27">
        <f t="shared" si="333"/>
        <v>1934.0806876539957</v>
      </c>
      <c r="Q326" s="27">
        <f t="shared" si="333"/>
        <v>1651.1672832264514</v>
      </c>
      <c r="R326" s="27">
        <f t="shared" si="333"/>
        <v>1327.4691958718577</v>
      </c>
      <c r="S326" s="27">
        <f t="shared" si="333"/>
        <v>991.83037483593966</v>
      </c>
      <c r="T326" s="27">
        <f t="shared" si="333"/>
        <v>698.86693132007065</v>
      </c>
      <c r="U326" s="27">
        <f t="shared" si="333"/>
        <v>490.02821877089082</v>
      </c>
      <c r="V326" s="27">
        <f t="shared" si="333"/>
        <v>368.43475806035644</v>
      </c>
      <c r="W326" s="27">
        <f t="shared" si="333"/>
        <v>308.38755336013861</v>
      </c>
      <c r="X326" s="27">
        <f t="shared" si="333"/>
        <v>279.15051043174816</v>
      </c>
      <c r="Y326" s="27">
        <f t="shared" si="333"/>
        <v>262.1165771489907</v>
      </c>
      <c r="Z326" s="27">
        <f t="shared" si="333"/>
        <v>251.5774335995288</v>
      </c>
      <c r="AA326" s="27">
        <f t="shared" si="333"/>
        <v>245.94887065429009</v>
      </c>
      <c r="AB326" s="27">
        <f t="shared" si="333"/>
        <v>232.66837325515397</v>
      </c>
      <c r="AC326" s="27">
        <f t="shared" si="333"/>
        <v>227.19433284766669</v>
      </c>
      <c r="AD326" s="27">
        <f t="shared" si="333"/>
        <v>226.41476538783618</v>
      </c>
      <c r="AE326" s="27">
        <f t="shared" si="333"/>
        <v>226.33309681288495</v>
      </c>
      <c r="AF326" s="27">
        <f t="shared" si="333"/>
        <v>225.98453936997473</v>
      </c>
      <c r="AG326" s="27"/>
      <c r="AH326" s="27"/>
    </row>
    <row r="327" spans="1:34" x14ac:dyDescent="0.25">
      <c r="B327" s="3">
        <f t="shared" ref="B327:AF327" si="334">$C18*EXP(-B$363/$A18/EXP(-$G$126))</f>
        <v>0.3591376760615328</v>
      </c>
      <c r="C327" s="3">
        <f t="shared" si="334"/>
        <v>0.15242750734676849</v>
      </c>
      <c r="D327" s="3">
        <f t="shared" si="334"/>
        <v>2.8912599718179584E-5</v>
      </c>
      <c r="E327" s="3">
        <f t="shared" si="334"/>
        <v>1.743111240822286E-42</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5.9661444115426898E-2</v>
      </c>
      <c r="C328" s="3">
        <f t="shared" si="335"/>
        <v>5.9661431018032507E-2</v>
      </c>
      <c r="D328" s="3">
        <f t="shared" si="335"/>
        <v>5.9661300044246773E-2</v>
      </c>
      <c r="E328" s="3">
        <f t="shared" si="335"/>
        <v>5.965999032220317E-2</v>
      </c>
      <c r="F328" s="3">
        <f t="shared" si="335"/>
        <v>5.9646894683013901E-2</v>
      </c>
      <c r="G328" s="3">
        <f t="shared" si="335"/>
        <v>5.9516096287435316E-2</v>
      </c>
      <c r="H328" s="3">
        <f t="shared" si="335"/>
        <v>5.8223784379708932E-2</v>
      </c>
      <c r="I328" s="3">
        <f t="shared" si="335"/>
        <v>4.6747711153919423E-2</v>
      </c>
      <c r="J328" s="3">
        <f t="shared" si="335"/>
        <v>5.2042670318326462E-3</v>
      </c>
      <c r="K328" s="3">
        <f t="shared" si="335"/>
        <v>1.5217796583666403E-12</v>
      </c>
      <c r="L328" s="3">
        <f t="shared" si="335"/>
        <v>6.9546263006537221E-108</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1.9174474266746358E-2</v>
      </c>
      <c r="C329" s="3">
        <f t="shared" si="336"/>
        <v>1.9174473887028309E-2</v>
      </c>
      <c r="D329" s="3">
        <f t="shared" si="336"/>
        <v>1.9174470089848211E-2</v>
      </c>
      <c r="E329" s="3">
        <f t="shared" si="336"/>
        <v>1.9174432118088589E-2</v>
      </c>
      <c r="F329" s="3">
        <f t="shared" si="336"/>
        <v>1.9174052404628172E-2</v>
      </c>
      <c r="G329" s="3">
        <f t="shared" si="336"/>
        <v>1.9170255683572428E-2</v>
      </c>
      <c r="H329" s="3">
        <f t="shared" si="336"/>
        <v>1.9132329797571155E-2</v>
      </c>
      <c r="I329" s="3">
        <f t="shared" si="336"/>
        <v>1.8757173273472743E-2</v>
      </c>
      <c r="J329" s="3">
        <f t="shared" si="336"/>
        <v>1.5387310180025192E-2</v>
      </c>
      <c r="K329" s="3">
        <f t="shared" si="336"/>
        <v>2.123811117201072E-3</v>
      </c>
      <c r="L329" s="3">
        <f t="shared" si="336"/>
        <v>5.3290243335161151E-12</v>
      </c>
      <c r="M329" s="3">
        <f t="shared" si="336"/>
        <v>5.2718839135171098E-98</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3.0428132558883166E-2</v>
      </c>
      <c r="C330" s="3">
        <f t="shared" si="337"/>
        <v>3.042813250452564E-2</v>
      </c>
      <c r="D330" s="3">
        <f t="shared" si="337"/>
        <v>3.0428131960950396E-2</v>
      </c>
      <c r="E330" s="3">
        <f t="shared" si="337"/>
        <v>3.0428126525198509E-2</v>
      </c>
      <c r="F330" s="3">
        <f t="shared" si="337"/>
        <v>3.0428072167733008E-2</v>
      </c>
      <c r="G330" s="3">
        <f t="shared" si="337"/>
        <v>3.0427528598418782E-2</v>
      </c>
      <c r="H330" s="3">
        <f t="shared" si="337"/>
        <v>3.0422093439317798E-2</v>
      </c>
      <c r="I330" s="3">
        <f t="shared" si="337"/>
        <v>3.0367795217155515E-2</v>
      </c>
      <c r="J330" s="3">
        <f t="shared" si="337"/>
        <v>2.9830114772656475E-2</v>
      </c>
      <c r="K330" s="3">
        <f t="shared" si="337"/>
        <v>2.4950057244488982E-2</v>
      </c>
      <c r="L330" s="3">
        <f t="shared" si="337"/>
        <v>4.1805918249139245E-3</v>
      </c>
      <c r="M330" s="3">
        <f t="shared" si="337"/>
        <v>7.2928952000623206E-11</v>
      </c>
      <c r="N330" s="3">
        <f t="shared" si="337"/>
        <v>1.9033647869316619E-88</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3.3546614569654541E-2</v>
      </c>
      <c r="C331" s="3">
        <f t="shared" si="338"/>
        <v>3.3546614564248498E-2</v>
      </c>
      <c r="D331" s="3">
        <f t="shared" si="338"/>
        <v>3.3546614510188047E-2</v>
      </c>
      <c r="E331" s="3">
        <f t="shared" si="338"/>
        <v>3.3546613969583541E-2</v>
      </c>
      <c r="F331" s="3">
        <f t="shared" si="338"/>
        <v>3.3546608563538992E-2</v>
      </c>
      <c r="G331" s="3">
        <f t="shared" si="338"/>
        <v>3.3546554503141389E-2</v>
      </c>
      <c r="H331" s="3">
        <f t="shared" si="338"/>
        <v>3.3546013903956846E-2</v>
      </c>
      <c r="I331" s="3">
        <f t="shared" si="338"/>
        <v>3.3540608391231727E-2</v>
      </c>
      <c r="J331" s="3">
        <f t="shared" si="338"/>
        <v>3.3486601147452E-2</v>
      </c>
      <c r="K331" s="3">
        <f t="shared" si="338"/>
        <v>3.2951288628656643E-2</v>
      </c>
      <c r="L331" s="3">
        <f t="shared" si="338"/>
        <v>2.8046956571590186E-2</v>
      </c>
      <c r="M331" s="3">
        <f t="shared" si="338"/>
        <v>5.5978225828681649E-3</v>
      </c>
      <c r="N331" s="3">
        <f t="shared" si="338"/>
        <v>5.6150419847354351E-10</v>
      </c>
      <c r="O331" s="3">
        <f t="shared" si="338"/>
        <v>5.7901763168235359E-80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3.6056553536816208E-2</v>
      </c>
      <c r="C332" s="3">
        <f t="shared" si="339"/>
        <v>3.6056553536292051E-2</v>
      </c>
      <c r="D332" s="3">
        <f t="shared" si="339"/>
        <v>3.6056553531050473E-2</v>
      </c>
      <c r="E332" s="3">
        <f t="shared" si="339"/>
        <v>3.6056553478634727E-2</v>
      </c>
      <c r="F332" s="3">
        <f t="shared" si="339"/>
        <v>3.6056552954477281E-2</v>
      </c>
      <c r="G332" s="3">
        <f t="shared" si="339"/>
        <v>3.6056547712903189E-2</v>
      </c>
      <c r="H332" s="3">
        <f t="shared" si="339"/>
        <v>3.6056495297204193E-2</v>
      </c>
      <c r="I332" s="3">
        <f t="shared" si="339"/>
        <v>3.605597114440507E-2</v>
      </c>
      <c r="J332" s="3">
        <f t="shared" si="339"/>
        <v>3.6050730035473717E-2</v>
      </c>
      <c r="K332" s="3">
        <f t="shared" si="339"/>
        <v>3.5998360829614266E-2</v>
      </c>
      <c r="L332" s="3">
        <f t="shared" si="339"/>
        <v>3.5478834675808063E-2</v>
      </c>
      <c r="M332" s="3">
        <f t="shared" si="339"/>
        <v>3.0678601343636803E-2</v>
      </c>
      <c r="N332" s="3">
        <f t="shared" si="339"/>
        <v>7.1696449351795052E-3</v>
      </c>
      <c r="O332" s="3">
        <f t="shared" si="339"/>
        <v>3.4843243307241353E-9</v>
      </c>
      <c r="P332" s="3">
        <f t="shared" si="339"/>
        <v>2.5605179484006121E-72</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4.1431742608171972E-2</v>
      </c>
      <c r="C333" s="3">
        <f t="shared" si="340"/>
        <v>4.143174260811764E-2</v>
      </c>
      <c r="D333" s="3">
        <f t="shared" si="340"/>
        <v>4.1431742607574318E-2</v>
      </c>
      <c r="E333" s="3">
        <f t="shared" si="340"/>
        <v>4.1431742602141095E-2</v>
      </c>
      <c r="F333" s="3">
        <f t="shared" si="340"/>
        <v>4.1431742547808889E-2</v>
      </c>
      <c r="G333" s="3">
        <f t="shared" si="340"/>
        <v>4.1431742004486821E-2</v>
      </c>
      <c r="H333" s="3">
        <f t="shared" si="340"/>
        <v>4.1431736571266566E-2</v>
      </c>
      <c r="I333" s="3">
        <f t="shared" si="340"/>
        <v>4.1431682239103172E-2</v>
      </c>
      <c r="J333" s="3">
        <f t="shared" si="340"/>
        <v>4.1431138921387931E-2</v>
      </c>
      <c r="K333" s="3">
        <f t="shared" si="340"/>
        <v>4.1425706136086336E-2</v>
      </c>
      <c r="L333" s="3">
        <f t="shared" si="340"/>
        <v>4.1371417449146998E-2</v>
      </c>
      <c r="M333" s="3">
        <f t="shared" si="340"/>
        <v>4.0832428250288495E-2</v>
      </c>
      <c r="N333" s="3">
        <f t="shared" si="340"/>
        <v>3.5814036849461592E-2</v>
      </c>
      <c r="O333" s="3">
        <f t="shared" si="340"/>
        <v>9.6501477186806267E-3</v>
      </c>
      <c r="P333" s="3">
        <f t="shared" si="340"/>
        <v>1.9468873048213542E-8</v>
      </c>
      <c r="Q333" s="3">
        <f t="shared" si="340"/>
        <v>2.1747499625975596E-65</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4.5588613756367073E-2</v>
      </c>
      <c r="C334" s="3">
        <f t="shared" si="341"/>
        <v>4.5588613756361675E-2</v>
      </c>
      <c r="D334" s="3">
        <f t="shared" si="341"/>
        <v>4.5588613756307746E-2</v>
      </c>
      <c r="E334" s="3">
        <f t="shared" si="341"/>
        <v>4.5588613755768448E-2</v>
      </c>
      <c r="F334" s="3">
        <f t="shared" si="341"/>
        <v>4.5588613750375491E-2</v>
      </c>
      <c r="G334" s="3">
        <f t="shared" si="341"/>
        <v>4.5588613696445901E-2</v>
      </c>
      <c r="H334" s="3">
        <f t="shared" si="341"/>
        <v>4.5588613157150001E-2</v>
      </c>
      <c r="I334" s="3">
        <f t="shared" si="341"/>
        <v>4.5588607764191331E-2</v>
      </c>
      <c r="J334" s="3">
        <f t="shared" si="341"/>
        <v>4.5588553834639695E-2</v>
      </c>
      <c r="K334" s="3">
        <f t="shared" si="341"/>
        <v>4.5588014542632151E-2</v>
      </c>
      <c r="L334" s="3">
        <f t="shared" si="341"/>
        <v>4.5582621973421215E-2</v>
      </c>
      <c r="M334" s="3">
        <f t="shared" si="341"/>
        <v>4.5528731352409528E-2</v>
      </c>
      <c r="N334" s="3">
        <f t="shared" si="341"/>
        <v>4.4993316950038741E-2</v>
      </c>
      <c r="O334" s="3">
        <f t="shared" si="341"/>
        <v>3.9973541872189371E-2</v>
      </c>
      <c r="P334" s="3">
        <f t="shared" si="341"/>
        <v>1.2246692952496528E-2</v>
      </c>
      <c r="Q334" s="3">
        <f t="shared" si="341"/>
        <v>8.9223820478028696E-8</v>
      </c>
      <c r="R334" s="3">
        <f t="shared" si="341"/>
        <v>3.7592453836452418E-59</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5.4547652488086511E-2</v>
      </c>
      <c r="C335" s="3">
        <f t="shared" si="342"/>
        <v>5.4547652488085935E-2</v>
      </c>
      <c r="D335" s="3">
        <f t="shared" si="342"/>
        <v>5.4547652488080113E-2</v>
      </c>
      <c r="E335" s="3">
        <f t="shared" si="342"/>
        <v>5.4547652488021903E-2</v>
      </c>
      <c r="F335" s="3">
        <f t="shared" si="342"/>
        <v>5.4547652487439813E-2</v>
      </c>
      <c r="G335" s="3">
        <f t="shared" si="342"/>
        <v>5.4547652481618865E-2</v>
      </c>
      <c r="H335" s="3">
        <f t="shared" si="342"/>
        <v>5.4547652423409428E-2</v>
      </c>
      <c r="I335" s="3">
        <f t="shared" si="342"/>
        <v>5.4547651841315069E-2</v>
      </c>
      <c r="J335" s="3">
        <f t="shared" si="342"/>
        <v>5.4547646020371827E-2</v>
      </c>
      <c r="K335" s="3">
        <f t="shared" si="342"/>
        <v>5.4547587810973568E-2</v>
      </c>
      <c r="L335" s="3">
        <f t="shared" si="342"/>
        <v>5.4547005720407368E-2</v>
      </c>
      <c r="M335" s="3">
        <f t="shared" si="342"/>
        <v>5.4541185156374065E-2</v>
      </c>
      <c r="N335" s="3">
        <f t="shared" si="342"/>
        <v>5.4483013665426863E-2</v>
      </c>
      <c r="O335" s="3">
        <f t="shared" si="342"/>
        <v>5.3904700249457156E-2</v>
      </c>
      <c r="P335" s="3">
        <f t="shared" si="342"/>
        <v>4.8448659854932428E-2</v>
      </c>
      <c r="Q335" s="3">
        <f t="shared" si="342"/>
        <v>1.6666066078578057E-2</v>
      </c>
      <c r="R335" s="3">
        <f t="shared" si="342"/>
        <v>3.8667528007141493E-7</v>
      </c>
      <c r="S335" s="3">
        <f t="shared" si="342"/>
        <v>1.7477507707081076E-53</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6.3488731508467927E-2</v>
      </c>
      <c r="C336" s="3">
        <f t="shared" si="343"/>
        <v>6.3488731508467872E-2</v>
      </c>
      <c r="D336" s="3">
        <f t="shared" si="343"/>
        <v>6.3488731508467261E-2</v>
      </c>
      <c r="E336" s="3">
        <f t="shared" si="343"/>
        <v>6.3488731508461155E-2</v>
      </c>
      <c r="F336" s="3">
        <f t="shared" si="343"/>
        <v>6.3488731508400037E-2</v>
      </c>
      <c r="G336" s="3">
        <f t="shared" si="343"/>
        <v>6.3488731507788859E-2</v>
      </c>
      <c r="H336" s="3">
        <f t="shared" si="343"/>
        <v>6.3488731501677192E-2</v>
      </c>
      <c r="I336" s="3">
        <f t="shared" si="343"/>
        <v>6.3488731440560386E-2</v>
      </c>
      <c r="J336" s="3">
        <f t="shared" si="343"/>
        <v>6.3488730829392451E-2</v>
      </c>
      <c r="K336" s="3">
        <f t="shared" si="343"/>
        <v>6.3488724717713343E-2</v>
      </c>
      <c r="L336" s="3">
        <f t="shared" si="343"/>
        <v>6.3488663600954662E-2</v>
      </c>
      <c r="M336" s="3">
        <f t="shared" si="343"/>
        <v>6.3488052436603618E-2</v>
      </c>
      <c r="N336" s="3">
        <f t="shared" si="343"/>
        <v>6.3481941116664442E-2</v>
      </c>
      <c r="O336" s="3">
        <f t="shared" si="343"/>
        <v>6.3420860262880588E-2</v>
      </c>
      <c r="P336" s="3">
        <f t="shared" si="343"/>
        <v>6.2813274794676535E-2</v>
      </c>
      <c r="Q336" s="3">
        <f t="shared" si="343"/>
        <v>5.7048536887939275E-2</v>
      </c>
      <c r="R336" s="3">
        <f t="shared" si="343"/>
        <v>2.1785887463516122E-2</v>
      </c>
      <c r="S336" s="3">
        <f t="shared" si="343"/>
        <v>1.4370858354566437E-6</v>
      </c>
      <c r="T336" s="3">
        <f t="shared" si="343"/>
        <v>2.2415954565024271E-48</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6.4437498796687767E-2</v>
      </c>
      <c r="C337" s="3">
        <f t="shared" si="344"/>
        <v>6.4437498796687753E-2</v>
      </c>
      <c r="D337" s="3">
        <f t="shared" si="344"/>
        <v>6.4437498796687698E-2</v>
      </c>
      <c r="E337" s="3">
        <f t="shared" si="344"/>
        <v>6.4437498796687143E-2</v>
      </c>
      <c r="F337" s="3">
        <f t="shared" si="344"/>
        <v>6.443749879668155E-2</v>
      </c>
      <c r="G337" s="3">
        <f t="shared" si="344"/>
        <v>6.4437498796625595E-2</v>
      </c>
      <c r="H337" s="3">
        <f t="shared" si="344"/>
        <v>6.4437498796066028E-2</v>
      </c>
      <c r="I337" s="3">
        <f t="shared" si="344"/>
        <v>6.4437498790470393E-2</v>
      </c>
      <c r="J337" s="3">
        <f t="shared" si="344"/>
        <v>6.443749873451407E-2</v>
      </c>
      <c r="K337" s="3">
        <f t="shared" si="344"/>
        <v>6.4437498174950827E-2</v>
      </c>
      <c r="L337" s="3">
        <f t="shared" si="344"/>
        <v>6.443749257931862E-2</v>
      </c>
      <c r="M337" s="3">
        <f t="shared" si="344"/>
        <v>6.4437436623023259E-2</v>
      </c>
      <c r="N337" s="3">
        <f t="shared" si="344"/>
        <v>6.4436877062742176E-2</v>
      </c>
      <c r="O337" s="3">
        <f t="shared" si="344"/>
        <v>6.4431281727174716E-2</v>
      </c>
      <c r="P337" s="3">
        <f t="shared" si="344"/>
        <v>6.4375355087248815E-2</v>
      </c>
      <c r="Q337" s="3">
        <f t="shared" si="344"/>
        <v>6.3818751698965462E-2</v>
      </c>
      <c r="R337" s="3">
        <f t="shared" si="344"/>
        <v>5.8510657755946431E-2</v>
      </c>
      <c r="S337" s="3">
        <f t="shared" si="344"/>
        <v>2.4552839933907583E-2</v>
      </c>
      <c r="T337" s="3">
        <f t="shared" si="344"/>
        <v>4.1568969167178251E-6</v>
      </c>
      <c r="U337" s="3">
        <f t="shared" si="344"/>
        <v>8.0434891220526504E-44</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5.0984711138190433E-2</v>
      </c>
      <c r="C338" s="3">
        <f t="shared" si="345"/>
        <v>5.0984711138190433E-2</v>
      </c>
      <c r="D338" s="3">
        <f t="shared" si="345"/>
        <v>5.0984711138190426E-2</v>
      </c>
      <c r="E338" s="3">
        <f t="shared" si="345"/>
        <v>5.0984711138190385E-2</v>
      </c>
      <c r="F338" s="3">
        <f t="shared" si="345"/>
        <v>5.0984711138189989E-2</v>
      </c>
      <c r="G338" s="3">
        <f t="shared" si="345"/>
        <v>5.0984711138185992E-2</v>
      </c>
      <c r="H338" s="3">
        <f t="shared" si="345"/>
        <v>5.0984711138146052E-2</v>
      </c>
      <c r="I338" s="3">
        <f t="shared" si="345"/>
        <v>5.0984711137746663E-2</v>
      </c>
      <c r="J338" s="3">
        <f t="shared" si="345"/>
        <v>5.0984711133752768E-2</v>
      </c>
      <c r="K338" s="3">
        <f t="shared" si="345"/>
        <v>5.0984711093813778E-2</v>
      </c>
      <c r="L338" s="3">
        <f t="shared" si="345"/>
        <v>5.0984710694423896E-2</v>
      </c>
      <c r="M338" s="3">
        <f t="shared" si="345"/>
        <v>5.0984706700525212E-2</v>
      </c>
      <c r="N338" s="3">
        <f t="shared" si="345"/>
        <v>5.0984666761555636E-2</v>
      </c>
      <c r="O338" s="3">
        <f t="shared" si="345"/>
        <v>5.0984267373580569E-2</v>
      </c>
      <c r="P338" s="3">
        <f t="shared" si="345"/>
        <v>5.0980273665898981E-2</v>
      </c>
      <c r="Q338" s="3">
        <f t="shared" si="345"/>
        <v>5.094035379100615E-2</v>
      </c>
      <c r="R338" s="3">
        <f t="shared" si="345"/>
        <v>5.054287025899968E-2</v>
      </c>
      <c r="S338" s="3">
        <f t="shared" si="345"/>
        <v>4.673468769589726E-2</v>
      </c>
      <c r="T338" s="3">
        <f t="shared" si="345"/>
        <v>2.1351765000578529E-2</v>
      </c>
      <c r="U338" s="3">
        <f t="shared" si="345"/>
        <v>8.4601515243004365E-6</v>
      </c>
      <c r="V338" s="3">
        <f t="shared" si="345"/>
        <v>8.0690377453924402E-40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3.1725580310806592E-2</v>
      </c>
      <c r="C339" s="3">
        <f t="shared" si="346"/>
        <v>3.1725580310806592E-2</v>
      </c>
      <c r="D339" s="3">
        <f t="shared" si="346"/>
        <v>3.1725580310806592E-2</v>
      </c>
      <c r="E339" s="3">
        <f t="shared" si="346"/>
        <v>3.1725580310806585E-2</v>
      </c>
      <c r="F339" s="3">
        <f t="shared" si="346"/>
        <v>3.1725580310806564E-2</v>
      </c>
      <c r="G339" s="3">
        <f t="shared" si="346"/>
        <v>3.1725580310806342E-2</v>
      </c>
      <c r="H339" s="3">
        <f t="shared" si="346"/>
        <v>3.1725580310804101E-2</v>
      </c>
      <c r="I339" s="3">
        <f t="shared" si="346"/>
        <v>3.1725580310781681E-2</v>
      </c>
      <c r="J339" s="3">
        <f t="shared" si="346"/>
        <v>3.1725580310557493E-2</v>
      </c>
      <c r="K339" s="3">
        <f t="shared" si="346"/>
        <v>3.1725580308315612E-2</v>
      </c>
      <c r="L339" s="3">
        <f t="shared" si="346"/>
        <v>3.1725580285896761E-2</v>
      </c>
      <c r="M339" s="3">
        <f t="shared" si="346"/>
        <v>3.1725580061708294E-2</v>
      </c>
      <c r="N339" s="3">
        <f t="shared" si="346"/>
        <v>3.1725577819823728E-2</v>
      </c>
      <c r="O339" s="3">
        <f t="shared" si="346"/>
        <v>3.1725555400986753E-2</v>
      </c>
      <c r="P339" s="3">
        <f t="shared" si="346"/>
        <v>3.1725331213488306E-2</v>
      </c>
      <c r="Q339" s="3">
        <f t="shared" si="346"/>
        <v>3.1723089425633726E-2</v>
      </c>
      <c r="R339" s="3">
        <f t="shared" si="346"/>
        <v>3.1700680257796508E-2</v>
      </c>
      <c r="S339" s="3">
        <f t="shared" si="346"/>
        <v>3.1477457377083184E-2</v>
      </c>
      <c r="T339" s="3">
        <f t="shared" si="346"/>
        <v>2.932987907572145E-2</v>
      </c>
      <c r="U339" s="3">
        <f t="shared" si="346"/>
        <v>1.4468268221413536E-2</v>
      </c>
      <c r="V339" s="3">
        <f t="shared" si="346"/>
        <v>1.234466590818055E-5</v>
      </c>
      <c r="W339" s="3">
        <f t="shared" si="346"/>
        <v>2.5241039436823419E-36</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1.5443830992985543E-2</v>
      </c>
      <c r="C340" s="3">
        <f t="shared" si="347"/>
        <v>1.5443830992985543E-2</v>
      </c>
      <c r="D340" s="3">
        <f t="shared" si="347"/>
        <v>1.5443830992985543E-2</v>
      </c>
      <c r="E340" s="3">
        <f t="shared" si="347"/>
        <v>1.5443830992985543E-2</v>
      </c>
      <c r="F340" s="3">
        <f t="shared" si="347"/>
        <v>1.5443830992985541E-2</v>
      </c>
      <c r="G340" s="3">
        <f t="shared" si="347"/>
        <v>1.5443830992985533E-2</v>
      </c>
      <c r="H340" s="3">
        <f t="shared" si="347"/>
        <v>1.5443830992985434E-2</v>
      </c>
      <c r="I340" s="3">
        <f t="shared" si="347"/>
        <v>1.5443830992984449E-2</v>
      </c>
      <c r="J340" s="3">
        <f t="shared" si="347"/>
        <v>1.5443830992974604E-2</v>
      </c>
      <c r="K340" s="3">
        <f t="shared" si="347"/>
        <v>1.5443830992876157E-2</v>
      </c>
      <c r="L340" s="3">
        <f t="shared" si="347"/>
        <v>1.544383099189168E-2</v>
      </c>
      <c r="M340" s="3">
        <f t="shared" si="347"/>
        <v>1.5443830982046916E-2</v>
      </c>
      <c r="N340" s="3">
        <f t="shared" si="347"/>
        <v>1.5443830883599274E-2</v>
      </c>
      <c r="O340" s="3">
        <f t="shared" si="347"/>
        <v>1.5443829899122883E-2</v>
      </c>
      <c r="P340" s="3">
        <f t="shared" si="347"/>
        <v>1.5443820054362414E-2</v>
      </c>
      <c r="Q340" s="3">
        <f t="shared" si="347"/>
        <v>1.54437216071029E-2</v>
      </c>
      <c r="R340" s="3">
        <f t="shared" si="347"/>
        <v>1.5442737169022662E-2</v>
      </c>
      <c r="S340" s="3">
        <f t="shared" si="347"/>
        <v>1.5432896238898704E-2</v>
      </c>
      <c r="T340" s="3">
        <f t="shared" si="347"/>
        <v>1.533483119301369E-2</v>
      </c>
      <c r="U340" s="3">
        <f t="shared" si="347"/>
        <v>1.4387807972305615E-2</v>
      </c>
      <c r="V340" s="3">
        <f t="shared" si="347"/>
        <v>7.6059062034537078E-3</v>
      </c>
      <c r="W340" s="3">
        <f t="shared" si="347"/>
        <v>1.2963261756343076E-5</v>
      </c>
      <c r="X340" s="3">
        <f t="shared" si="347"/>
        <v>2.681313171123442E-33</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7.0696001208784189E-3</v>
      </c>
      <c r="C341" s="3">
        <f t="shared" si="348"/>
        <v>7.0696001208784189E-3</v>
      </c>
      <c r="D341" s="3">
        <f t="shared" si="348"/>
        <v>7.0696001208784189E-3</v>
      </c>
      <c r="E341" s="3">
        <f t="shared" si="348"/>
        <v>7.0696001208784189E-3</v>
      </c>
      <c r="F341" s="3">
        <f t="shared" si="348"/>
        <v>7.0696001208784189E-3</v>
      </c>
      <c r="G341" s="3">
        <f t="shared" si="348"/>
        <v>7.0696001208784181E-3</v>
      </c>
      <c r="H341" s="3">
        <f t="shared" si="348"/>
        <v>7.0696001208784146E-3</v>
      </c>
      <c r="I341" s="3">
        <f t="shared" si="348"/>
        <v>7.0696001208783738E-3</v>
      </c>
      <c r="J341" s="3">
        <f t="shared" si="348"/>
        <v>7.0696001208779679E-3</v>
      </c>
      <c r="K341" s="3">
        <f t="shared" si="348"/>
        <v>7.0696001208739017E-3</v>
      </c>
      <c r="L341" s="3">
        <f t="shared" si="348"/>
        <v>7.0696001208332485E-3</v>
      </c>
      <c r="M341" s="3">
        <f t="shared" si="348"/>
        <v>7.0696001204267203E-3</v>
      </c>
      <c r="N341" s="3">
        <f t="shared" si="348"/>
        <v>7.069600116361428E-3</v>
      </c>
      <c r="O341" s="3">
        <f t="shared" si="348"/>
        <v>7.0696000757085103E-3</v>
      </c>
      <c r="P341" s="3">
        <f t="shared" si="348"/>
        <v>7.0695996691793458E-3</v>
      </c>
      <c r="Q341" s="3">
        <f t="shared" si="348"/>
        <v>7.0695956038889837E-3</v>
      </c>
      <c r="R341" s="3">
        <f t="shared" si="348"/>
        <v>7.0695549511139398E-3</v>
      </c>
      <c r="S341" s="3">
        <f t="shared" si="348"/>
        <v>7.0691484362205353E-3</v>
      </c>
      <c r="T341" s="3">
        <f t="shared" si="348"/>
        <v>7.0650845727170579E-3</v>
      </c>
      <c r="U341" s="3">
        <f t="shared" si="348"/>
        <v>7.0245742076649881E-3</v>
      </c>
      <c r="V341" s="3">
        <f t="shared" si="348"/>
        <v>6.6320287897766988E-3</v>
      </c>
      <c r="W341" s="3">
        <f t="shared" si="348"/>
        <v>3.7317314578149481E-3</v>
      </c>
      <c r="X341" s="3">
        <f t="shared" si="348"/>
        <v>1.1872719052135646E-5</v>
      </c>
      <c r="Y341" s="3">
        <f t="shared" si="348"/>
        <v>1.2616772324439912E-30</v>
      </c>
      <c r="Z341" s="3">
        <f t="shared" si="348"/>
        <v>2.3170159111086187E-280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3.5043206729719373E-3</v>
      </c>
      <c r="C342" s="3">
        <f t="shared" si="349"/>
        <v>3.5043206729719373E-3</v>
      </c>
      <c r="D342" s="3">
        <f t="shared" si="349"/>
        <v>3.5043206729719373E-3</v>
      </c>
      <c r="E342" s="3">
        <f t="shared" si="349"/>
        <v>3.5043206729719373E-3</v>
      </c>
      <c r="F342" s="3">
        <f t="shared" si="349"/>
        <v>3.5043206729719373E-3</v>
      </c>
      <c r="G342" s="3">
        <f t="shared" si="349"/>
        <v>3.5043206729719373E-3</v>
      </c>
      <c r="H342" s="3">
        <f t="shared" si="349"/>
        <v>3.5043206729719369E-3</v>
      </c>
      <c r="I342" s="3">
        <f t="shared" si="349"/>
        <v>3.5043206729719356E-3</v>
      </c>
      <c r="J342" s="3">
        <f t="shared" si="349"/>
        <v>3.5043206729719169E-3</v>
      </c>
      <c r="K342" s="3">
        <f t="shared" si="349"/>
        <v>3.5043206729717352E-3</v>
      </c>
      <c r="L342" s="3">
        <f t="shared" si="349"/>
        <v>3.5043206729699176E-3</v>
      </c>
      <c r="M342" s="3">
        <f t="shared" si="349"/>
        <v>3.5043206729517395E-3</v>
      </c>
      <c r="N342" s="3">
        <f t="shared" si="349"/>
        <v>3.5043206727699591E-3</v>
      </c>
      <c r="O342" s="3">
        <f t="shared" si="349"/>
        <v>3.5043206709521541E-3</v>
      </c>
      <c r="P342" s="3">
        <f t="shared" si="349"/>
        <v>3.5043206527741034E-3</v>
      </c>
      <c r="Q342" s="3">
        <f t="shared" si="349"/>
        <v>3.5043204709936044E-3</v>
      </c>
      <c r="R342" s="3">
        <f t="shared" si="349"/>
        <v>3.5043186531891323E-3</v>
      </c>
      <c r="S342" s="3">
        <f t="shared" si="349"/>
        <v>3.5043004751962748E-3</v>
      </c>
      <c r="T342" s="3">
        <f t="shared" si="349"/>
        <v>3.5041187004538408E-3</v>
      </c>
      <c r="U342" s="3">
        <f t="shared" si="349"/>
        <v>3.5023014715439308E-3</v>
      </c>
      <c r="V342" s="3">
        <f t="shared" si="349"/>
        <v>3.484180934506695E-3</v>
      </c>
      <c r="W342" s="3">
        <f t="shared" si="349"/>
        <v>3.3080528052178114E-3</v>
      </c>
      <c r="X342" s="3">
        <f t="shared" si="349"/>
        <v>1.9691997321059701E-3</v>
      </c>
      <c r="Y342" s="3">
        <f t="shared" si="349"/>
        <v>1.1001783997809315E-5</v>
      </c>
      <c r="Z342" s="3">
        <f t="shared" si="349"/>
        <v>3.2598421742191959E-28</v>
      </c>
      <c r="AA342" s="3">
        <f t="shared" si="349"/>
        <v>1.7003220045924407E-253</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2.9646797109614421E-3</v>
      </c>
      <c r="C343" s="3">
        <f t="shared" si="350"/>
        <v>2.9646797109614421E-3</v>
      </c>
      <c r="D343" s="3">
        <f t="shared" si="350"/>
        <v>2.9646797109614421E-3</v>
      </c>
      <c r="E343" s="3">
        <f t="shared" si="350"/>
        <v>2.9646797109614421E-3</v>
      </c>
      <c r="F343" s="3">
        <f t="shared" si="350"/>
        <v>2.9646797109614421E-3</v>
      </c>
      <c r="G343" s="3">
        <f t="shared" si="350"/>
        <v>2.9646797109614421E-3</v>
      </c>
      <c r="H343" s="3">
        <f t="shared" si="350"/>
        <v>2.9646797109614421E-3</v>
      </c>
      <c r="I343" s="3">
        <f t="shared" si="350"/>
        <v>2.9646797109614421E-3</v>
      </c>
      <c r="J343" s="3">
        <f t="shared" si="350"/>
        <v>2.9646797109614403E-3</v>
      </c>
      <c r="K343" s="3">
        <f t="shared" si="350"/>
        <v>2.9646797109614265E-3</v>
      </c>
      <c r="L343" s="3">
        <f t="shared" si="350"/>
        <v>2.9646797109612881E-3</v>
      </c>
      <c r="M343" s="3">
        <f t="shared" si="350"/>
        <v>2.9646797109599008E-3</v>
      </c>
      <c r="N343" s="3">
        <f t="shared" si="350"/>
        <v>2.9646797109460278E-3</v>
      </c>
      <c r="O343" s="3">
        <f t="shared" si="350"/>
        <v>2.9646797108072984E-3</v>
      </c>
      <c r="P343" s="3">
        <f t="shared" si="350"/>
        <v>2.9646797094200067E-3</v>
      </c>
      <c r="Q343" s="3">
        <f t="shared" si="350"/>
        <v>2.9646796955470883E-3</v>
      </c>
      <c r="R343" s="3">
        <f t="shared" si="350"/>
        <v>2.9646795568179065E-3</v>
      </c>
      <c r="S343" s="3">
        <f t="shared" si="350"/>
        <v>2.9646781695264477E-3</v>
      </c>
      <c r="T343" s="3">
        <f t="shared" si="350"/>
        <v>2.964664296647563E-3</v>
      </c>
      <c r="U343" s="3">
        <f t="shared" si="350"/>
        <v>2.9645255714290789E-3</v>
      </c>
      <c r="V343" s="3">
        <f t="shared" si="350"/>
        <v>2.9631386762186103E-3</v>
      </c>
      <c r="W343" s="3">
        <f t="shared" si="350"/>
        <v>2.9493053598225651E-3</v>
      </c>
      <c r="X343" s="3">
        <f t="shared" si="350"/>
        <v>2.8144748325162261E-3</v>
      </c>
      <c r="Y343" s="3">
        <f t="shared" si="350"/>
        <v>1.7626807577755649E-3</v>
      </c>
      <c r="Z343" s="3">
        <f t="shared" si="350"/>
        <v>1.63657760719766E-5</v>
      </c>
      <c r="AA343" s="3">
        <f t="shared" si="350"/>
        <v>7.790512241771137E-26</v>
      </c>
      <c r="AB343" s="3">
        <f t="shared" si="350"/>
        <v>4.6543615071078254E-229</v>
      </c>
      <c r="AC343" s="3">
        <f t="shared" si="350"/>
        <v>0</v>
      </c>
      <c r="AD343" s="3">
        <f t="shared" si="350"/>
        <v>0</v>
      </c>
      <c r="AE343" s="3">
        <f t="shared" si="350"/>
        <v>0</v>
      </c>
      <c r="AF343" s="3">
        <f t="shared" si="350"/>
        <v>0</v>
      </c>
      <c r="AG343" s="3"/>
      <c r="AH343" s="3"/>
    </row>
    <row r="344" spans="2:34" x14ac:dyDescent="0.25">
      <c r="B344" s="3">
        <f t="shared" ref="B344:AF344" si="351">$C35*EXP(-B$363/$A35/EXP(-$G$126))</f>
        <v>0</v>
      </c>
      <c r="C344" s="3">
        <f t="shared" si="351"/>
        <v>0</v>
      </c>
      <c r="D344" s="3">
        <f t="shared" si="351"/>
        <v>0</v>
      </c>
      <c r="E344" s="3">
        <f t="shared" si="351"/>
        <v>0</v>
      </c>
      <c r="F344" s="3">
        <f t="shared" si="351"/>
        <v>0</v>
      </c>
      <c r="G344" s="3">
        <f t="shared" si="351"/>
        <v>0</v>
      </c>
      <c r="H344" s="3">
        <f t="shared" si="351"/>
        <v>0</v>
      </c>
      <c r="I344" s="3">
        <f t="shared" si="351"/>
        <v>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3.098114236407119E-3</v>
      </c>
      <c r="C345" s="3">
        <f t="shared" si="352"/>
        <v>3.098114236407119E-3</v>
      </c>
      <c r="D345" s="3">
        <f t="shared" si="352"/>
        <v>3.098114236407119E-3</v>
      </c>
      <c r="E345" s="3">
        <f t="shared" si="352"/>
        <v>3.098114236407119E-3</v>
      </c>
      <c r="F345" s="3">
        <f t="shared" si="352"/>
        <v>3.098114236407119E-3</v>
      </c>
      <c r="G345" s="3">
        <f t="shared" si="352"/>
        <v>3.098114236407119E-3</v>
      </c>
      <c r="H345" s="3">
        <f t="shared" si="352"/>
        <v>3.098114236407119E-3</v>
      </c>
      <c r="I345" s="3">
        <f t="shared" si="352"/>
        <v>3.098114236407119E-3</v>
      </c>
      <c r="J345" s="3">
        <f t="shared" si="352"/>
        <v>3.098114236407119E-3</v>
      </c>
      <c r="K345" s="3">
        <f t="shared" si="352"/>
        <v>3.098114236407119E-3</v>
      </c>
      <c r="L345" s="3">
        <f t="shared" si="352"/>
        <v>3.0981142364071177E-3</v>
      </c>
      <c r="M345" s="3">
        <f t="shared" si="352"/>
        <v>3.098114236407106E-3</v>
      </c>
      <c r="N345" s="3">
        <f t="shared" si="352"/>
        <v>3.0981142364069881E-3</v>
      </c>
      <c r="O345" s="3">
        <f t="shared" si="352"/>
        <v>3.098114236405808E-3</v>
      </c>
      <c r="P345" s="3">
        <f t="shared" si="352"/>
        <v>3.098114236394011E-3</v>
      </c>
      <c r="Q345" s="3">
        <f t="shared" si="352"/>
        <v>3.0981142362760386E-3</v>
      </c>
      <c r="R345" s="3">
        <f t="shared" si="352"/>
        <v>3.0981142350963138E-3</v>
      </c>
      <c r="S345" s="3">
        <f t="shared" si="352"/>
        <v>3.0981142232990671E-3</v>
      </c>
      <c r="T345" s="3">
        <f t="shared" si="352"/>
        <v>3.0981141053266019E-3</v>
      </c>
      <c r="U345" s="3">
        <f t="shared" si="352"/>
        <v>3.0981129256021974E-3</v>
      </c>
      <c r="V345" s="3">
        <f t="shared" si="352"/>
        <v>3.0981011283828593E-3</v>
      </c>
      <c r="W345" s="3">
        <f t="shared" si="352"/>
        <v>3.0979831586601743E-3</v>
      </c>
      <c r="X345" s="3">
        <f t="shared" si="352"/>
        <v>3.0968037084683968E-3</v>
      </c>
      <c r="Y345" s="3">
        <f t="shared" si="352"/>
        <v>3.085033875287582E-3</v>
      </c>
      <c r="Z345" s="3">
        <f t="shared" si="352"/>
        <v>2.9697680121782131E-3</v>
      </c>
      <c r="AA345" s="3">
        <f t="shared" si="352"/>
        <v>2.029310040662851E-3</v>
      </c>
      <c r="AB345" s="3">
        <f t="shared" si="352"/>
        <v>4.5040914026884049E-5</v>
      </c>
      <c r="AC345" s="3">
        <f t="shared" si="352"/>
        <v>1.3067578122788567E-21</v>
      </c>
      <c r="AD345" s="3">
        <f t="shared" si="352"/>
        <v>5.5217177689954694E-187</v>
      </c>
      <c r="AE345" s="3">
        <f t="shared" si="352"/>
        <v>0</v>
      </c>
      <c r="AF345" s="3">
        <f t="shared" si="352"/>
        <v>0</v>
      </c>
      <c r="AG345" s="3"/>
      <c r="AH345" s="3"/>
    </row>
    <row r="346" spans="2:34" x14ac:dyDescent="0.25">
      <c r="B346" s="3">
        <f t="shared" ref="B346:AF346" si="353">$C37*EXP(-B$363/$A37/EXP(-$G$126))</f>
        <v>1.3450651080742435E-3</v>
      </c>
      <c r="C346" s="3">
        <f t="shared" si="353"/>
        <v>1.3450651080742435E-3</v>
      </c>
      <c r="D346" s="3">
        <f t="shared" si="353"/>
        <v>1.3450651080742435E-3</v>
      </c>
      <c r="E346" s="3">
        <f t="shared" si="353"/>
        <v>1.3450651080742435E-3</v>
      </c>
      <c r="F346" s="3">
        <f t="shared" si="353"/>
        <v>1.3450651080742435E-3</v>
      </c>
      <c r="G346" s="3">
        <f t="shared" si="353"/>
        <v>1.3450651080742435E-3</v>
      </c>
      <c r="H346" s="3">
        <f t="shared" si="353"/>
        <v>1.3450651080742435E-3</v>
      </c>
      <c r="I346" s="3">
        <f t="shared" si="353"/>
        <v>1.3450651080742435E-3</v>
      </c>
      <c r="J346" s="3">
        <f t="shared" si="353"/>
        <v>1.3450651080742435E-3</v>
      </c>
      <c r="K346" s="3">
        <f t="shared" si="353"/>
        <v>1.3450651080742435E-3</v>
      </c>
      <c r="L346" s="3">
        <f t="shared" si="353"/>
        <v>1.3450651080742435E-3</v>
      </c>
      <c r="M346" s="3">
        <f t="shared" si="353"/>
        <v>1.345065108074243E-3</v>
      </c>
      <c r="N346" s="3">
        <f t="shared" si="353"/>
        <v>1.3450651080742385E-3</v>
      </c>
      <c r="O346" s="3">
        <f t="shared" si="353"/>
        <v>1.3450651080741921E-3</v>
      </c>
      <c r="P346" s="3">
        <f t="shared" si="353"/>
        <v>1.34506510807373E-3</v>
      </c>
      <c r="Q346" s="3">
        <f t="shared" si="353"/>
        <v>1.3450651080691098E-3</v>
      </c>
      <c r="R346" s="3">
        <f t="shared" si="353"/>
        <v>1.3450651080229065E-3</v>
      </c>
      <c r="S346" s="3">
        <f t="shared" si="353"/>
        <v>1.3450651075608733E-3</v>
      </c>
      <c r="T346" s="3">
        <f t="shared" si="353"/>
        <v>1.3450651029405418E-3</v>
      </c>
      <c r="U346" s="3">
        <f t="shared" si="353"/>
        <v>1.3450650567372281E-3</v>
      </c>
      <c r="V346" s="3">
        <f t="shared" si="353"/>
        <v>1.3450645947041763E-3</v>
      </c>
      <c r="W346" s="3">
        <f t="shared" si="353"/>
        <v>1.3450599743823897E-3</v>
      </c>
      <c r="X346" s="3">
        <f t="shared" si="353"/>
        <v>1.3450137720374118E-3</v>
      </c>
      <c r="Y346" s="3">
        <f t="shared" si="353"/>
        <v>1.3445518358655404E-3</v>
      </c>
      <c r="Z346" s="3">
        <f t="shared" si="353"/>
        <v>1.3399411908550777E-3</v>
      </c>
      <c r="AA346" s="3">
        <f t="shared" si="353"/>
        <v>1.2946954340517234E-3</v>
      </c>
      <c r="AB346" s="3">
        <f t="shared" si="353"/>
        <v>9.1830384246575176E-4</v>
      </c>
      <c r="AC346" s="3">
        <f t="shared" si="353"/>
        <v>2.9591995550485015E-5</v>
      </c>
      <c r="AD346" s="3">
        <f t="shared" si="353"/>
        <v>3.5731625014683824E-20</v>
      </c>
      <c r="AE346" s="3">
        <f t="shared" si="353"/>
        <v>2.3541705038124055E-169</v>
      </c>
      <c r="AF346" s="3">
        <f t="shared" si="353"/>
        <v>0</v>
      </c>
      <c r="AG346" s="3"/>
      <c r="AH346" s="3"/>
    </row>
    <row r="347" spans="2:34" x14ac:dyDescent="0.25">
      <c r="B347" s="3">
        <f t="shared" ref="B347:AF347" si="354">$C38*EXP(-B$363/$A38/EXP(-$G$126))</f>
        <v>1.5999872696703847E-4</v>
      </c>
      <c r="C347" s="3">
        <f t="shared" si="354"/>
        <v>1.5999872696703847E-4</v>
      </c>
      <c r="D347" s="3">
        <f t="shared" si="354"/>
        <v>1.5999872696703847E-4</v>
      </c>
      <c r="E347" s="3">
        <f t="shared" si="354"/>
        <v>1.5999872696703847E-4</v>
      </c>
      <c r="F347" s="3">
        <f t="shared" si="354"/>
        <v>1.5999872696703847E-4</v>
      </c>
      <c r="G347" s="3">
        <f t="shared" si="354"/>
        <v>1.5999872696703847E-4</v>
      </c>
      <c r="H347" s="3">
        <f t="shared" si="354"/>
        <v>1.5999872696703847E-4</v>
      </c>
      <c r="I347" s="3">
        <f t="shared" si="354"/>
        <v>1.5999872696703847E-4</v>
      </c>
      <c r="J347" s="3">
        <f t="shared" si="354"/>
        <v>1.5999872696703847E-4</v>
      </c>
      <c r="K347" s="3">
        <f t="shared" si="354"/>
        <v>1.5999872696703847E-4</v>
      </c>
      <c r="L347" s="3">
        <f t="shared" si="354"/>
        <v>1.5999872696703847E-4</v>
      </c>
      <c r="M347" s="3">
        <f t="shared" si="354"/>
        <v>1.5999872696703847E-4</v>
      </c>
      <c r="N347" s="3">
        <f t="shared" si="354"/>
        <v>1.5999872696703841E-4</v>
      </c>
      <c r="O347" s="3">
        <f t="shared" si="354"/>
        <v>1.5999872696703793E-4</v>
      </c>
      <c r="P347" s="3">
        <f t="shared" si="354"/>
        <v>1.5999872696703297E-4</v>
      </c>
      <c r="Q347" s="3">
        <f t="shared" si="354"/>
        <v>1.5999872696698339E-4</v>
      </c>
      <c r="R347" s="3">
        <f t="shared" si="354"/>
        <v>1.5999872696648759E-4</v>
      </c>
      <c r="S347" s="3">
        <f t="shared" si="354"/>
        <v>1.5999872696152975E-4</v>
      </c>
      <c r="T347" s="3">
        <f t="shared" si="354"/>
        <v>1.5999872691195132E-4</v>
      </c>
      <c r="U347" s="3">
        <f t="shared" si="354"/>
        <v>1.5999872641616678E-4</v>
      </c>
      <c r="V347" s="3">
        <f t="shared" si="354"/>
        <v>1.5999872145832188E-4</v>
      </c>
      <c r="W347" s="3">
        <f t="shared" si="354"/>
        <v>1.5999867187988114E-4</v>
      </c>
      <c r="X347" s="3">
        <f t="shared" si="354"/>
        <v>1.599981760963185E-4</v>
      </c>
      <c r="Y347" s="3">
        <f t="shared" si="354"/>
        <v>1.5999321834518637E-4</v>
      </c>
      <c r="Z347" s="3">
        <f t="shared" si="354"/>
        <v>1.5994364928230903E-4</v>
      </c>
      <c r="AA347" s="3">
        <f t="shared" si="354"/>
        <v>1.5944880253011812E-4</v>
      </c>
      <c r="AB347" s="3">
        <f t="shared" si="354"/>
        <v>1.545837631197616E-4</v>
      </c>
      <c r="AC347" s="3">
        <f t="shared" si="354"/>
        <v>1.1339398263211072E-4</v>
      </c>
      <c r="AD347" s="3">
        <f t="shared" si="354"/>
        <v>5.1150672046333007E-6</v>
      </c>
      <c r="AE347" s="3">
        <f t="shared" si="354"/>
        <v>1.7842869376907182E-19</v>
      </c>
      <c r="AF347" s="3">
        <f t="shared" si="354"/>
        <v>4.7599042502628629E-154</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1.1033683083565872E-4</v>
      </c>
      <c r="C350" s="3">
        <f t="shared" si="357"/>
        <v>1.1033683083565872E-4</v>
      </c>
      <c r="D350" s="3">
        <f t="shared" si="357"/>
        <v>1.1033683083565872E-4</v>
      </c>
      <c r="E350" s="3">
        <f t="shared" si="357"/>
        <v>1.1033683083565872E-4</v>
      </c>
      <c r="F350" s="3">
        <f t="shared" si="357"/>
        <v>1.1033683083565872E-4</v>
      </c>
      <c r="G350" s="3">
        <f t="shared" si="357"/>
        <v>1.1033683083565872E-4</v>
      </c>
      <c r="H350" s="3">
        <f t="shared" si="357"/>
        <v>1.1033683083565872E-4</v>
      </c>
      <c r="I350" s="3">
        <f t="shared" si="357"/>
        <v>1.1033683083565872E-4</v>
      </c>
      <c r="J350" s="3">
        <f t="shared" si="357"/>
        <v>1.1033683083565872E-4</v>
      </c>
      <c r="K350" s="3">
        <f t="shared" si="357"/>
        <v>1.1033683083565872E-4</v>
      </c>
      <c r="L350" s="3">
        <f t="shared" si="357"/>
        <v>1.1033683083565872E-4</v>
      </c>
      <c r="M350" s="3">
        <f t="shared" si="357"/>
        <v>1.1033683083565872E-4</v>
      </c>
      <c r="N350" s="3">
        <f t="shared" si="357"/>
        <v>1.1033683083565872E-4</v>
      </c>
      <c r="O350" s="3">
        <f t="shared" si="357"/>
        <v>1.1033683083565872E-4</v>
      </c>
      <c r="P350" s="3">
        <f t="shared" si="357"/>
        <v>1.103368308356587E-4</v>
      </c>
      <c r="Q350" s="3">
        <f t="shared" si="357"/>
        <v>1.1033683083565861E-4</v>
      </c>
      <c r="R350" s="3">
        <f t="shared" si="357"/>
        <v>1.1033683083565766E-4</v>
      </c>
      <c r="S350" s="3">
        <f t="shared" si="357"/>
        <v>1.103368308356482E-4</v>
      </c>
      <c r="T350" s="3">
        <f t="shared" si="357"/>
        <v>1.1033683083555364E-4</v>
      </c>
      <c r="U350" s="3">
        <f t="shared" si="357"/>
        <v>1.1033683083460804E-4</v>
      </c>
      <c r="V350" s="3">
        <f t="shared" si="357"/>
        <v>1.10336830825152E-4</v>
      </c>
      <c r="W350" s="3">
        <f t="shared" si="357"/>
        <v>1.1033683073059149E-4</v>
      </c>
      <c r="X350" s="3">
        <f t="shared" si="357"/>
        <v>1.1033682978498643E-4</v>
      </c>
      <c r="Y350" s="3">
        <f t="shared" si="357"/>
        <v>1.1033682032893635E-4</v>
      </c>
      <c r="Z350" s="3">
        <f t="shared" si="357"/>
        <v>1.1033672576848006E-4</v>
      </c>
      <c r="AA350" s="3">
        <f t="shared" si="357"/>
        <v>1.1033578016837438E-4</v>
      </c>
      <c r="AB350" s="3">
        <f t="shared" si="357"/>
        <v>1.1032632461302147E-4</v>
      </c>
      <c r="AC350" s="3">
        <f t="shared" si="357"/>
        <v>1.1023181361575463E-4</v>
      </c>
      <c r="AD350" s="3">
        <f t="shared" si="357"/>
        <v>1.0929114517303003E-4</v>
      </c>
      <c r="AE350" s="3">
        <f t="shared" si="357"/>
        <v>1.0031484687526234E-4</v>
      </c>
      <c r="AF350" s="3">
        <f t="shared" si="357"/>
        <v>4.2576268317917073E-5</v>
      </c>
      <c r="AG350" s="3"/>
      <c r="AH350" s="3"/>
    </row>
    <row r="351" spans="2:34" x14ac:dyDescent="0.25">
      <c r="B351" s="3">
        <f t="shared" ref="B351:AF351" si="358">$C42*EXP(-B$363/$A42/EXP(-$G$126))</f>
        <v>5.3430093526516889E-5</v>
      </c>
      <c r="C351" s="3">
        <f t="shared" si="358"/>
        <v>5.3430093526516889E-5</v>
      </c>
      <c r="D351" s="3">
        <f t="shared" si="358"/>
        <v>5.3430093526516889E-5</v>
      </c>
      <c r="E351" s="3">
        <f t="shared" si="358"/>
        <v>5.3430093526516889E-5</v>
      </c>
      <c r="F351" s="3">
        <f t="shared" si="358"/>
        <v>5.3430093526516889E-5</v>
      </c>
      <c r="G351" s="3">
        <f t="shared" si="358"/>
        <v>5.3430093526516889E-5</v>
      </c>
      <c r="H351" s="3">
        <f t="shared" si="358"/>
        <v>5.3430093526516889E-5</v>
      </c>
      <c r="I351" s="3">
        <f t="shared" si="358"/>
        <v>5.3430093526516889E-5</v>
      </c>
      <c r="J351" s="3">
        <f t="shared" si="358"/>
        <v>5.3430093526516889E-5</v>
      </c>
      <c r="K351" s="3">
        <f t="shared" si="358"/>
        <v>5.3430093526516889E-5</v>
      </c>
      <c r="L351" s="3">
        <f t="shared" si="358"/>
        <v>5.3430093526516889E-5</v>
      </c>
      <c r="M351" s="3">
        <f t="shared" si="358"/>
        <v>5.3430093526516889E-5</v>
      </c>
      <c r="N351" s="3">
        <f t="shared" si="358"/>
        <v>5.3430093526516889E-5</v>
      </c>
      <c r="O351" s="3">
        <f t="shared" si="358"/>
        <v>5.3430093526516889E-5</v>
      </c>
      <c r="P351" s="3">
        <f t="shared" si="358"/>
        <v>5.3430093526516889E-5</v>
      </c>
      <c r="Q351" s="3">
        <f t="shared" si="358"/>
        <v>5.3430093526516882E-5</v>
      </c>
      <c r="R351" s="3">
        <f t="shared" si="358"/>
        <v>5.3430093526516835E-5</v>
      </c>
      <c r="S351" s="3">
        <f t="shared" si="358"/>
        <v>5.3430093526516381E-5</v>
      </c>
      <c r="T351" s="3">
        <f t="shared" si="358"/>
        <v>5.34300935265118E-5</v>
      </c>
      <c r="U351" s="3">
        <f t="shared" si="358"/>
        <v>5.3430093526466013E-5</v>
      </c>
      <c r="V351" s="3">
        <f t="shared" si="358"/>
        <v>5.3430093526008107E-5</v>
      </c>
      <c r="W351" s="3">
        <f t="shared" si="358"/>
        <v>5.343009352142906E-5</v>
      </c>
      <c r="X351" s="3">
        <f t="shared" si="358"/>
        <v>5.3430093475638574E-5</v>
      </c>
      <c r="Y351" s="3">
        <f t="shared" si="358"/>
        <v>5.3430093017733756E-5</v>
      </c>
      <c r="Z351" s="3">
        <f t="shared" si="358"/>
        <v>5.3430088438685793E-5</v>
      </c>
      <c r="AA351" s="3">
        <f t="shared" si="358"/>
        <v>5.3430042648227752E-5</v>
      </c>
      <c r="AB351" s="3">
        <f t="shared" si="358"/>
        <v>5.3429584745805656E-5</v>
      </c>
      <c r="AC351" s="3">
        <f t="shared" si="358"/>
        <v>5.3425005937414796E-5</v>
      </c>
      <c r="AD351" s="3">
        <f t="shared" si="358"/>
        <v>5.337923942966751E-5</v>
      </c>
      <c r="AE351" s="3">
        <f t="shared" si="358"/>
        <v>5.2923725142266256E-5</v>
      </c>
      <c r="AF351" s="3">
        <f t="shared" si="358"/>
        <v>4.8576994735571959E-5</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1.1249816087007928E-3</v>
      </c>
      <c r="C357" s="3">
        <f t="shared" si="364"/>
        <v>1.1249816087007928E-3</v>
      </c>
      <c r="D357" s="3">
        <f t="shared" si="364"/>
        <v>1.1249816087007928E-3</v>
      </c>
      <c r="E357" s="3">
        <f t="shared" si="364"/>
        <v>1.1249816087007928E-3</v>
      </c>
      <c r="F357" s="3">
        <f t="shared" si="364"/>
        <v>1.1249816087007928E-3</v>
      </c>
      <c r="G357" s="3">
        <f t="shared" si="364"/>
        <v>1.1249816087007928E-3</v>
      </c>
      <c r="H357" s="3">
        <f t="shared" si="364"/>
        <v>1.1249816087007928E-3</v>
      </c>
      <c r="I357" s="3">
        <f t="shared" si="364"/>
        <v>1.1249816087007928E-3</v>
      </c>
      <c r="J357" s="3">
        <f t="shared" si="364"/>
        <v>1.1249816087007928E-3</v>
      </c>
      <c r="K357" s="3">
        <f t="shared" si="364"/>
        <v>1.1249816087007928E-3</v>
      </c>
      <c r="L357" s="3">
        <f t="shared" si="364"/>
        <v>1.1249816087007928E-3</v>
      </c>
      <c r="M357" s="3">
        <f t="shared" si="364"/>
        <v>1.1249816087007928E-3</v>
      </c>
      <c r="N357" s="3">
        <f t="shared" si="364"/>
        <v>1.1249816087007928E-3</v>
      </c>
      <c r="O357" s="3">
        <f t="shared" si="364"/>
        <v>1.1249816087007928E-3</v>
      </c>
      <c r="P357" s="3">
        <f t="shared" si="364"/>
        <v>1.1249816087007928E-3</v>
      </c>
      <c r="Q357" s="3">
        <f t="shared" si="364"/>
        <v>1.1249816087007928E-3</v>
      </c>
      <c r="R357" s="3">
        <f t="shared" si="364"/>
        <v>1.1249816087007928E-3</v>
      </c>
      <c r="S357" s="3">
        <f t="shared" si="364"/>
        <v>1.1249816087007928E-3</v>
      </c>
      <c r="T357" s="3">
        <f t="shared" si="364"/>
        <v>1.1249816087007928E-3</v>
      </c>
      <c r="U357" s="3">
        <f t="shared" si="364"/>
        <v>1.1249816087007928E-3</v>
      </c>
      <c r="V357" s="3">
        <f t="shared" si="364"/>
        <v>1.1249816087007928E-3</v>
      </c>
      <c r="W357" s="3">
        <f t="shared" si="364"/>
        <v>1.1249816087007926E-3</v>
      </c>
      <c r="X357" s="3">
        <f t="shared" si="364"/>
        <v>1.1249816087007918E-3</v>
      </c>
      <c r="Y357" s="3">
        <f t="shared" si="364"/>
        <v>1.124981608700782E-3</v>
      </c>
      <c r="Z357" s="3">
        <f t="shared" si="364"/>
        <v>1.1249816087006857E-3</v>
      </c>
      <c r="AA357" s="3">
        <f t="shared" si="364"/>
        <v>1.1249816086997216E-3</v>
      </c>
      <c r="AB357" s="3">
        <f t="shared" si="364"/>
        <v>1.1249816086900803E-3</v>
      </c>
      <c r="AC357" s="3">
        <f t="shared" si="364"/>
        <v>1.1249816085936676E-3</v>
      </c>
      <c r="AD357" s="3">
        <f t="shared" si="364"/>
        <v>1.1249816076295395E-3</v>
      </c>
      <c r="AE357" s="3">
        <f t="shared" si="364"/>
        <v>1.1249815979882593E-3</v>
      </c>
      <c r="AF357" s="3">
        <f t="shared" si="364"/>
        <v>1.1249815015754627E-3</v>
      </c>
      <c r="AG357" s="3"/>
      <c r="AH357" s="3"/>
    </row>
    <row r="358" spans="1:34" x14ac:dyDescent="0.25">
      <c r="A358" s="79">
        <f>AVERAGE(B358:AF358)</f>
        <v>4.0210128342499887E-2</v>
      </c>
      <c r="B358" s="80">
        <f>IF($A$64&lt;=B324,IF($B$64&gt;=B324,ABS((B326-B325)/B325),0),0)</f>
        <v>0.18528482974782487</v>
      </c>
      <c r="C358" s="80">
        <f t="shared" ref="C358:AF358" si="365">IF($A$64&lt;=C324,IF($B$64&gt;=C324,ABS((C326-C325)/C325),0),0)</f>
        <v>2.6487981264970248E-2</v>
      </c>
      <c r="D358" s="80">
        <f t="shared" si="365"/>
        <v>0.19353395984155833</v>
      </c>
      <c r="E358" s="80">
        <f t="shared" si="365"/>
        <v>0.1582743811555965</v>
      </c>
      <c r="F358" s="80">
        <f t="shared" si="365"/>
        <v>0.11251631063175725</v>
      </c>
      <c r="G358" s="80">
        <f t="shared" si="365"/>
        <v>6.202303511084916E-2</v>
      </c>
      <c r="H358" s="80">
        <f t="shared" si="365"/>
        <v>1.6972957196983961E-2</v>
      </c>
      <c r="I358" s="80">
        <f t="shared" si="365"/>
        <v>1.1485073714765211E-2</v>
      </c>
      <c r="J358" s="80">
        <f t="shared" si="365"/>
        <v>1.9322807592498863E-2</v>
      </c>
      <c r="K358" s="80">
        <f t="shared" si="365"/>
        <v>1.3325890661655451E-2</v>
      </c>
      <c r="L358" s="80">
        <f t="shared" si="365"/>
        <v>1.5252446436032869E-2</v>
      </c>
      <c r="M358" s="80">
        <f t="shared" si="365"/>
        <v>1.8656123136682568E-2</v>
      </c>
      <c r="N358" s="80">
        <f t="shared" si="365"/>
        <v>2.120603663891564E-2</v>
      </c>
      <c r="O358" s="80">
        <f t="shared" si="365"/>
        <v>2.5728224236757965E-2</v>
      </c>
      <c r="P358" s="80">
        <f t="shared" si="365"/>
        <v>2.9726569532292097E-2</v>
      </c>
      <c r="Q358" s="80">
        <f t="shared" si="365"/>
        <v>3.3223515488938093E-2</v>
      </c>
      <c r="R358" s="80">
        <f t="shared" si="365"/>
        <v>4.0145581756045975E-2</v>
      </c>
      <c r="S358" s="80">
        <f t="shared" si="365"/>
        <v>5.1229226769692646E-2</v>
      </c>
      <c r="T358" s="80">
        <f t="shared" si="365"/>
        <v>6.0037203930370826E-2</v>
      </c>
      <c r="U358" s="80">
        <f t="shared" si="365"/>
        <v>5.6723792484986144E-2</v>
      </c>
      <c r="V358" s="80">
        <f t="shared" si="365"/>
        <v>3.9322832127952081E-2</v>
      </c>
      <c r="W358" s="80">
        <f t="shared" si="365"/>
        <v>1.8198335582937989E-2</v>
      </c>
      <c r="X358" s="80">
        <f t="shared" si="365"/>
        <v>5.4880709426969104E-3</v>
      </c>
      <c r="Y358" s="80">
        <f t="shared" si="365"/>
        <v>4.6667747060954431E-4</v>
      </c>
      <c r="Z358" s="80">
        <f t="shared" si="365"/>
        <v>4.1466141206130515E-3</v>
      </c>
      <c r="AA358" s="80">
        <f t="shared" si="365"/>
        <v>2.5378687360483264E-3</v>
      </c>
      <c r="AB358" s="80">
        <f t="shared" si="365"/>
        <v>5.9877674275649545E-3</v>
      </c>
      <c r="AC358" s="80">
        <f t="shared" si="365"/>
        <v>4.4728436918347585E-3</v>
      </c>
      <c r="AD358" s="80">
        <f t="shared" si="365"/>
        <v>5.2231044985629202E-3</v>
      </c>
      <c r="AE358" s="80">
        <f t="shared" si="365"/>
        <v>5.3147482355957914E-3</v>
      </c>
      <c r="AF358" s="80">
        <f t="shared" si="365"/>
        <v>4.1991684539056705E-3</v>
      </c>
    </row>
    <row r="359" spans="1:34" x14ac:dyDescent="0.25">
      <c r="B359" s="21">
        <f>(B326-B325)^2</f>
        <v>715923.07021666702</v>
      </c>
      <c r="C359" s="21">
        <f t="shared" ref="C359:AF359" si="366">(C326-C325)^2</f>
        <v>13385.879352142882</v>
      </c>
      <c r="D359" s="21">
        <f t="shared" si="366"/>
        <v>664414.18348041864</v>
      </c>
      <c r="E359" s="21">
        <f t="shared" si="366"/>
        <v>407880.93093872158</v>
      </c>
      <c r="F359" s="21">
        <f t="shared" si="366"/>
        <v>185414.63797338217</v>
      </c>
      <c r="G359" s="21">
        <f t="shared" si="366"/>
        <v>50415.184383253152</v>
      </c>
      <c r="H359" s="21">
        <f t="shared" si="366"/>
        <v>3422.1784986034399</v>
      </c>
      <c r="I359" s="21">
        <f t="shared" si="366"/>
        <v>1422.1713677067792</v>
      </c>
      <c r="J359" s="21">
        <f t="shared" si="366"/>
        <v>3648.8878221392229</v>
      </c>
      <c r="K359" s="21">
        <f t="shared" si="366"/>
        <v>1567.384662005383</v>
      </c>
      <c r="L359" s="21">
        <f t="shared" si="366"/>
        <v>1843.4075012884371</v>
      </c>
      <c r="M359" s="21">
        <f t="shared" si="366"/>
        <v>2428.496646274481</v>
      </c>
      <c r="N359" s="21">
        <f t="shared" si="366"/>
        <v>2697.5013153648993</v>
      </c>
      <c r="O359" s="21">
        <f t="shared" si="366"/>
        <v>3308.9876350521599</v>
      </c>
      <c r="P359" s="21">
        <f t="shared" si="366"/>
        <v>3511.1589237663266</v>
      </c>
      <c r="Q359" s="21">
        <f t="shared" si="366"/>
        <v>3219.7426641558186</v>
      </c>
      <c r="R359" s="21">
        <f t="shared" si="366"/>
        <v>3082.5751911880966</v>
      </c>
      <c r="S359" s="21">
        <f t="shared" si="366"/>
        <v>2868.0572423158383</v>
      </c>
      <c r="T359" s="21">
        <f t="shared" si="366"/>
        <v>1992.5469774997259</v>
      </c>
      <c r="U359" s="21">
        <f t="shared" si="366"/>
        <v>868.35026000392384</v>
      </c>
      <c r="V359" s="21">
        <f t="shared" si="366"/>
        <v>227.43423051872821</v>
      </c>
      <c r="W359" s="21">
        <f t="shared" si="366"/>
        <v>32.674540846647112</v>
      </c>
      <c r="X359" s="21">
        <f t="shared" si="366"/>
        <v>2.3729921003603107</v>
      </c>
      <c r="Y359" s="21">
        <f t="shared" si="366"/>
        <v>1.4977112511949166E-2</v>
      </c>
      <c r="Z359" s="21">
        <f t="shared" si="366"/>
        <v>1.0792855264621102</v>
      </c>
      <c r="AA359" s="21">
        <f t="shared" si="366"/>
        <v>0.387638053866948</v>
      </c>
      <c r="AB359" s="21">
        <f t="shared" si="366"/>
        <v>1.9643600619647139</v>
      </c>
      <c r="AC359" s="21">
        <f t="shared" si="366"/>
        <v>1.0234957213904372</v>
      </c>
      <c r="AD359" s="21">
        <f t="shared" si="366"/>
        <v>1.3840188225395251</v>
      </c>
      <c r="AE359" s="21">
        <f t="shared" si="366"/>
        <v>1.4317177744346328</v>
      </c>
      <c r="AF359" s="21">
        <f t="shared" si="366"/>
        <v>0.89298535332625439</v>
      </c>
      <c r="AG359" s="3"/>
      <c r="AH359" s="3"/>
    </row>
    <row r="360" spans="1:34" x14ac:dyDescent="0.25">
      <c r="A360" s="71">
        <f>SUM(B360:AF360)</f>
        <v>2073585.9932938421</v>
      </c>
      <c r="B360" s="60">
        <f>IF($A$64&lt;=B324,IF($B$64&gt;=B324,ABS(B359),0),0)</f>
        <v>715923.07021666702</v>
      </c>
      <c r="C360" s="60">
        <f t="shared" ref="C360:AF360" si="367">IF($A$64&lt;=C324,IF($B$64&gt;=C324,ABS(C359),0),0)</f>
        <v>13385.879352142882</v>
      </c>
      <c r="D360" s="60">
        <f t="shared" si="367"/>
        <v>664414.18348041864</v>
      </c>
      <c r="E360" s="60">
        <f t="shared" si="367"/>
        <v>407880.93093872158</v>
      </c>
      <c r="F360" s="60">
        <f t="shared" si="367"/>
        <v>185414.63797338217</v>
      </c>
      <c r="G360" s="60">
        <f t="shared" si="367"/>
        <v>50415.184383253152</v>
      </c>
      <c r="H360" s="60">
        <f t="shared" si="367"/>
        <v>3422.1784986034399</v>
      </c>
      <c r="I360" s="60">
        <f t="shared" si="367"/>
        <v>1422.1713677067792</v>
      </c>
      <c r="J360" s="60">
        <f t="shared" si="367"/>
        <v>3648.8878221392229</v>
      </c>
      <c r="K360" s="60">
        <f t="shared" si="367"/>
        <v>1567.384662005383</v>
      </c>
      <c r="L360" s="60">
        <f t="shared" si="367"/>
        <v>1843.4075012884371</v>
      </c>
      <c r="M360" s="60">
        <f t="shared" si="367"/>
        <v>2428.496646274481</v>
      </c>
      <c r="N360" s="60">
        <f t="shared" si="367"/>
        <v>2697.5013153648993</v>
      </c>
      <c r="O360" s="60">
        <f t="shared" si="367"/>
        <v>3308.9876350521599</v>
      </c>
      <c r="P360" s="60">
        <f t="shared" si="367"/>
        <v>3511.1589237663266</v>
      </c>
      <c r="Q360" s="60">
        <f t="shared" si="367"/>
        <v>3219.7426641558186</v>
      </c>
      <c r="R360" s="60">
        <f t="shared" si="367"/>
        <v>3082.5751911880966</v>
      </c>
      <c r="S360" s="60">
        <f t="shared" si="367"/>
        <v>2868.0572423158383</v>
      </c>
      <c r="T360" s="60">
        <f t="shared" si="367"/>
        <v>1992.5469774997259</v>
      </c>
      <c r="U360" s="60">
        <f t="shared" si="367"/>
        <v>868.35026000392384</v>
      </c>
      <c r="V360" s="60">
        <f t="shared" si="367"/>
        <v>227.43423051872821</v>
      </c>
      <c r="W360" s="60">
        <f t="shared" si="367"/>
        <v>32.674540846647112</v>
      </c>
      <c r="X360" s="60">
        <f t="shared" si="367"/>
        <v>2.3729921003603107</v>
      </c>
      <c r="Y360" s="60">
        <f t="shared" si="367"/>
        <v>1.4977112511949166E-2</v>
      </c>
      <c r="Z360" s="60">
        <f t="shared" si="367"/>
        <v>1.0792855264621102</v>
      </c>
      <c r="AA360" s="60">
        <f t="shared" si="367"/>
        <v>0.387638053866948</v>
      </c>
      <c r="AB360" s="60">
        <f t="shared" si="367"/>
        <v>1.9643600619647139</v>
      </c>
      <c r="AC360" s="60">
        <f t="shared" si="367"/>
        <v>1.0234957213904372</v>
      </c>
      <c r="AD360" s="60">
        <f t="shared" si="367"/>
        <v>1.3840188225395251</v>
      </c>
      <c r="AE360" s="60">
        <f t="shared" si="367"/>
        <v>1.4317177744346328</v>
      </c>
      <c r="AF360" s="60">
        <f t="shared" si="367"/>
        <v>0.89298535332625439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0" t="s">
        <v>22</v>
      </c>
      <c r="B365" s="27">
        <f>($C$17+SUM(B366:B396))*$B$51</f>
        <v>3387.534115134968</v>
      </c>
      <c r="C365" s="27">
        <f t="shared" ref="C365:AF365" si="368">($C$17+SUM(C366:C396))*$B$51</f>
        <v>3316.5162353615651</v>
      </c>
      <c r="D365" s="27">
        <f t="shared" si="368"/>
        <v>3059.4511664683014</v>
      </c>
      <c r="E365" s="27">
        <f t="shared" si="368"/>
        <v>2927.3577904019799</v>
      </c>
      <c r="F365" s="27">
        <f t="shared" si="368"/>
        <v>2766.6480241207269</v>
      </c>
      <c r="G365" s="27">
        <f t="shared" si="368"/>
        <v>2586.1749833995455</v>
      </c>
      <c r="H365" s="27">
        <f t="shared" si="368"/>
        <v>2390.4995008079909</v>
      </c>
      <c r="I365" s="27">
        <f t="shared" si="368"/>
        <v>2170.5479947488616</v>
      </c>
      <c r="J365" s="27">
        <f t="shared" si="368"/>
        <v>1925.3126302912954</v>
      </c>
      <c r="K365" s="27">
        <f t="shared" si="368"/>
        <v>1640.8460202115759</v>
      </c>
      <c r="L365" s="27">
        <f t="shared" si="368"/>
        <v>1316.0068268754435</v>
      </c>
      <c r="M365" s="27">
        <f t="shared" si="368"/>
        <v>980.89535006002075</v>
      </c>
      <c r="N365" s="27">
        <f t="shared" si="368"/>
        <v>690.64768361699771</v>
      </c>
      <c r="O365" s="27">
        <f t="shared" si="368"/>
        <v>485.14031200160377</v>
      </c>
      <c r="P365" s="27">
        <f t="shared" si="368"/>
        <v>366.11579640775705</v>
      </c>
      <c r="Q365" s="27">
        <f t="shared" si="368"/>
        <v>307.33950173449483</v>
      </c>
      <c r="R365" s="27">
        <f t="shared" si="368"/>
        <v>278.62005415739202</v>
      </c>
      <c r="S365" s="27">
        <f t="shared" si="368"/>
        <v>261.72877509448057</v>
      </c>
      <c r="T365" s="27">
        <f t="shared" si="368"/>
        <v>251.49639785235664</v>
      </c>
      <c r="U365" s="27">
        <f t="shared" si="368"/>
        <v>245.58900922993135</v>
      </c>
      <c r="V365" s="27">
        <f t="shared" si="368"/>
        <v>232.46124938085993</v>
      </c>
      <c r="W365" s="27">
        <f t="shared" si="368"/>
        <v>227.13908308756024</v>
      </c>
      <c r="X365" s="27">
        <f t="shared" si="368"/>
        <v>226.40805524515369</v>
      </c>
      <c r="Y365" s="27">
        <f t="shared" si="368"/>
        <v>226.3290692906057</v>
      </c>
      <c r="Z365" s="27">
        <f t="shared" si="368"/>
        <v>225.96693963785063</v>
      </c>
      <c r="AA365" s="27">
        <f t="shared" si="368"/>
        <v>225.58093095181562</v>
      </c>
      <c r="AB365" s="27">
        <f t="shared" si="368"/>
        <v>225.47273756465603</v>
      </c>
      <c r="AC365" s="27">
        <f t="shared" si="368"/>
        <v>225.4721464754125</v>
      </c>
      <c r="AD365" s="27">
        <f t="shared" si="368"/>
        <v>225.46634957369622</v>
      </c>
      <c r="AE365" s="27">
        <f t="shared" si="368"/>
        <v>225.40867241561327</v>
      </c>
      <c r="AF365" s="27">
        <f t="shared" si="368"/>
        <v>224.86011892578654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5.8122230950435817E-2</v>
      </c>
      <c r="C367" s="3">
        <f t="shared" si="370"/>
        <v>4.5938711601513457E-2</v>
      </c>
      <c r="D367" s="3">
        <f t="shared" si="370"/>
        <v>4.37063119006226E-3</v>
      </c>
      <c r="E367" s="3">
        <f t="shared" si="370"/>
        <v>2.6558140213697842E-13</v>
      </c>
      <c r="F367" s="3">
        <f t="shared" si="370"/>
        <v>1.8227732522847847E-115</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1.9129317114554043E-2</v>
      </c>
      <c r="C368" s="3">
        <f t="shared" si="371"/>
        <v>1.8727658105960315E-2</v>
      </c>
      <c r="D368" s="3">
        <f t="shared" si="371"/>
        <v>1.5146891957572442E-2</v>
      </c>
      <c r="E368" s="3">
        <f t="shared" si="371"/>
        <v>1.8143625846411937E-3</v>
      </c>
      <c r="F368" s="3">
        <f t="shared" si="371"/>
        <v>1.103391462080964E-12</v>
      </c>
      <c r="G368" s="3">
        <f t="shared" si="371"/>
        <v>7.6345772946334815E-105</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3.0421661271544647E-2</v>
      </c>
      <c r="C369" s="3">
        <f t="shared" si="372"/>
        <v>3.0363481528640903E-2</v>
      </c>
      <c r="D369" s="3">
        <f t="shared" si="372"/>
        <v>2.9787768727869462E-2</v>
      </c>
      <c r="E369" s="3">
        <f t="shared" si="372"/>
        <v>2.4598126822471457E-2</v>
      </c>
      <c r="F369" s="3">
        <f t="shared" si="372"/>
        <v>3.6269591660152319E-3</v>
      </c>
      <c r="G369" s="3">
        <f t="shared" si="372"/>
        <v>1.7617690015120436E-11</v>
      </c>
      <c r="H369" s="3">
        <f t="shared" si="372"/>
        <v>1.2882849868463551E-94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3.3545970915327086E-2</v>
      </c>
      <c r="C370" s="3">
        <f t="shared" si="373"/>
        <v>3.3540178576683392E-2</v>
      </c>
      <c r="D370" s="3">
        <f t="shared" si="373"/>
        <v>3.3482310170313473E-2</v>
      </c>
      <c r="E370" s="3">
        <f t="shared" si="373"/>
        <v>3.2909089146610435E-2</v>
      </c>
      <c r="F370" s="3">
        <f t="shared" si="373"/>
        <v>2.7689832630139334E-2</v>
      </c>
      <c r="G370" s="3">
        <f t="shared" si="373"/>
        <v>4.9245325948842917E-3</v>
      </c>
      <c r="H370" s="3">
        <f t="shared" si="373"/>
        <v>1.5588770842456897E-10</v>
      </c>
      <c r="I370" s="3">
        <f t="shared" si="373"/>
        <v>1.5749995660192997E-85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3.6056491129057122E-2</v>
      </c>
      <c r="C371" s="3">
        <f t="shared" si="374"/>
        <v>3.6055929463561932E-2</v>
      </c>
      <c r="D371" s="3">
        <f t="shared" si="374"/>
        <v>3.6050313289797666E-2</v>
      </c>
      <c r="E371" s="3">
        <f t="shared" si="374"/>
        <v>3.5994199643191983E-2</v>
      </c>
      <c r="F371" s="3">
        <f t="shared" si="374"/>
        <v>3.5437844677846046E-2</v>
      </c>
      <c r="G371" s="3">
        <f t="shared" si="374"/>
        <v>3.0325997297787424E-2</v>
      </c>
      <c r="H371" s="3">
        <f t="shared" si="374"/>
        <v>6.3869425263926886E-3</v>
      </c>
      <c r="I371" s="3">
        <f t="shared" si="374"/>
        <v>1.0966604214173389E-9</v>
      </c>
      <c r="J371" s="3">
        <f t="shared" si="374"/>
        <v>2.4426643213586651E-77</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4.1431736139211327E-2</v>
      </c>
      <c r="C372" s="3">
        <f t="shared" si="375"/>
        <v>4.1431677918556668E-2</v>
      </c>
      <c r="D372" s="3">
        <f t="shared" si="375"/>
        <v>4.1431095716509693E-2</v>
      </c>
      <c r="E372" s="3">
        <f t="shared" si="375"/>
        <v>4.1425274145984882E-2</v>
      </c>
      <c r="F372" s="3">
        <f t="shared" si="375"/>
        <v>4.1367103411839627E-2</v>
      </c>
      <c r="G372" s="3">
        <f t="shared" si="375"/>
        <v>4.0789869886418785E-2</v>
      </c>
      <c r="H372" s="3">
        <f t="shared" si="375"/>
        <v>3.5442504233213844E-2</v>
      </c>
      <c r="I372" s="3">
        <f t="shared" si="375"/>
        <v>8.6945117571651086E-3</v>
      </c>
      <c r="J372" s="3">
        <f t="shared" si="375"/>
        <v>6.8620391413506494E-9</v>
      </c>
      <c r="K372" s="3">
        <f t="shared" si="375"/>
        <v>6.4347712040986345E-70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4.5588613114264633E-2</v>
      </c>
      <c r="C373" s="3">
        <f t="shared" si="376"/>
        <v>4.5588607335337726E-2</v>
      </c>
      <c r="D373" s="3">
        <f t="shared" si="376"/>
        <v>4.5588549546108963E-2</v>
      </c>
      <c r="E373" s="3">
        <f t="shared" si="376"/>
        <v>4.5587971657850342E-2</v>
      </c>
      <c r="F373" s="3">
        <f t="shared" si="376"/>
        <v>4.5582193178146393E-2</v>
      </c>
      <c r="G373" s="3">
        <f t="shared" si="376"/>
        <v>4.5524448650442889E-2</v>
      </c>
      <c r="H373" s="3">
        <f t="shared" si="376"/>
        <v>4.4951011483701724E-2</v>
      </c>
      <c r="I373" s="3">
        <f t="shared" si="376"/>
        <v>3.9599272532095615E-2</v>
      </c>
      <c r="J373" s="3">
        <f t="shared" si="376"/>
        <v>1.1147169328183855E-2</v>
      </c>
      <c r="K373" s="3">
        <f t="shared" si="376"/>
        <v>3.4828799363841136E-8</v>
      </c>
      <c r="L373" s="3">
        <f t="shared" si="376"/>
        <v>3.0880018815618155E-63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5.4547652418780554E-2</v>
      </c>
      <c r="C374" s="3">
        <f t="shared" si="377"/>
        <v>5.4547651795026325E-2</v>
      </c>
      <c r="D374" s="3">
        <f t="shared" si="377"/>
        <v>5.454764555748446E-2</v>
      </c>
      <c r="E374" s="3">
        <f t="shared" si="377"/>
        <v>5.4547583182104953E-2</v>
      </c>
      <c r="F374" s="3">
        <f t="shared" si="377"/>
        <v>5.4546959432232908E-2</v>
      </c>
      <c r="G374" s="3">
        <f t="shared" si="377"/>
        <v>5.4540722325789749E-2</v>
      </c>
      <c r="H374" s="3">
        <f t="shared" si="377"/>
        <v>5.4478390472499721E-2</v>
      </c>
      <c r="I374" s="3">
        <f t="shared" si="377"/>
        <v>5.3858976514290502E-2</v>
      </c>
      <c r="J374" s="3">
        <f t="shared" si="377"/>
        <v>4.8039267528951816E-2</v>
      </c>
      <c r="K374" s="3">
        <f t="shared" si="377"/>
        <v>1.5310140779502095E-2</v>
      </c>
      <c r="L374" s="3">
        <f t="shared" si="377"/>
        <v>1.6550352801423837E-7</v>
      </c>
      <c r="M374" s="3">
        <f t="shared" si="377"/>
        <v>3.6065169255293625E-57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6.3488731501191178E-2</v>
      </c>
      <c r="C375" s="3">
        <f t="shared" si="378"/>
        <v>6.3488731435700316E-2</v>
      </c>
      <c r="D375" s="3">
        <f t="shared" si="378"/>
        <v>6.3488730780791744E-2</v>
      </c>
      <c r="E375" s="3">
        <f t="shared" si="378"/>
        <v>6.3488724231706359E-2</v>
      </c>
      <c r="F375" s="3">
        <f t="shared" si="378"/>
        <v>6.3488658740889617E-2</v>
      </c>
      <c r="G375" s="3">
        <f t="shared" si="378"/>
        <v>6.3488003836437754E-2</v>
      </c>
      <c r="H375" s="3">
        <f t="shared" si="378"/>
        <v>6.3481455163462111E-2</v>
      </c>
      <c r="I375" s="3">
        <f t="shared" si="378"/>
        <v>6.3416005573820391E-2</v>
      </c>
      <c r="J375" s="3">
        <f t="shared" si="378"/>
        <v>6.2765209552709034E-2</v>
      </c>
      <c r="K375" s="3">
        <f t="shared" si="378"/>
        <v>5.6613496859253737E-2</v>
      </c>
      <c r="L375" s="3">
        <f t="shared" si="378"/>
        <v>2.0180408743509775E-2</v>
      </c>
      <c r="M375" s="3">
        <f t="shared" si="378"/>
        <v>6.6838967659872562E-7</v>
      </c>
      <c r="N375" s="3">
        <f t="shared" si="378"/>
        <v>1.0617627496799564E-51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6.4437498796021536E-2</v>
      </c>
      <c r="C376" s="3">
        <f t="shared" si="379"/>
        <v>6.443749879002543E-2</v>
      </c>
      <c r="D376" s="3">
        <f t="shared" si="379"/>
        <v>6.4437498730064366E-2</v>
      </c>
      <c r="E376" s="3">
        <f t="shared" si="379"/>
        <v>6.4437498130453782E-2</v>
      </c>
      <c r="F376" s="3">
        <f t="shared" si="379"/>
        <v>6.4437492134348198E-2</v>
      </c>
      <c r="G376" s="3">
        <f t="shared" si="379"/>
        <v>6.4437432173323136E-2</v>
      </c>
      <c r="H376" s="3">
        <f t="shared" si="379"/>
        <v>6.4436832566141133E-2</v>
      </c>
      <c r="I376" s="3">
        <f t="shared" si="379"/>
        <v>6.4430836801185193E-2</v>
      </c>
      <c r="J376" s="3">
        <f t="shared" si="379"/>
        <v>6.4370909827466891E-2</v>
      </c>
      <c r="K376" s="3">
        <f t="shared" si="379"/>
        <v>6.3774697139043254E-2</v>
      </c>
      <c r="L376" s="3">
        <f t="shared" si="379"/>
        <v>5.8108006696930212E-2</v>
      </c>
      <c r="M376" s="3">
        <f t="shared" si="379"/>
        <v>2.2914569814203287E-2</v>
      </c>
      <c r="N376" s="3">
        <f t="shared" si="379"/>
        <v>2.0838622811605351E-6</v>
      </c>
      <c r="O376" s="3">
        <f t="shared" si="379"/>
        <v>8.0619865155730544E-47</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5.0984711138142881E-2</v>
      </c>
      <c r="C377" s="3">
        <f t="shared" si="380"/>
        <v>5.0984711137714904E-2</v>
      </c>
      <c r="D377" s="3">
        <f t="shared" si="380"/>
        <v>5.0984711133435175E-2</v>
      </c>
      <c r="E377" s="3">
        <f t="shared" si="380"/>
        <v>5.0984711090637791E-2</v>
      </c>
      <c r="F377" s="3">
        <f t="shared" si="380"/>
        <v>5.0984710662664003E-2</v>
      </c>
      <c r="G377" s="3">
        <f t="shared" si="380"/>
        <v>5.0984706382926293E-2</v>
      </c>
      <c r="H377" s="3">
        <f t="shared" si="380"/>
        <v>5.0984663585569003E-2</v>
      </c>
      <c r="I377" s="3">
        <f t="shared" si="380"/>
        <v>5.0984235613971911E-2</v>
      </c>
      <c r="J377" s="3">
        <f t="shared" si="380"/>
        <v>5.0979956095580641E-2</v>
      </c>
      <c r="K377" s="3">
        <f t="shared" si="380"/>
        <v>5.0937180663492287E-2</v>
      </c>
      <c r="L377" s="3">
        <f t="shared" si="380"/>
        <v>5.0511395404192853E-2</v>
      </c>
      <c r="M377" s="3">
        <f t="shared" si="380"/>
        <v>4.6444468277925186E-2</v>
      </c>
      <c r="N377" s="3">
        <f t="shared" si="380"/>
        <v>2.0062279855675016E-2</v>
      </c>
      <c r="O377" s="3">
        <f t="shared" si="380"/>
        <v>4.5377772626179087E-6</v>
      </c>
      <c r="P377" s="3">
        <f t="shared" si="380"/>
        <v>1.5902744409188018E-42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3.1725580310803921E-2</v>
      </c>
      <c r="C378" s="3">
        <f t="shared" si="381"/>
        <v>3.1725580310779898E-2</v>
      </c>
      <c r="D378" s="3">
        <f t="shared" si="381"/>
        <v>3.1725580310539667E-2</v>
      </c>
      <c r="E378" s="3">
        <f t="shared" si="381"/>
        <v>3.1725580308137331E-2</v>
      </c>
      <c r="F378" s="3">
        <f t="shared" si="381"/>
        <v>3.1725580284113993E-2</v>
      </c>
      <c r="G378" s="3">
        <f t="shared" si="381"/>
        <v>3.1725580043880604E-2</v>
      </c>
      <c r="H378" s="3">
        <f t="shared" si="381"/>
        <v>3.1725577641546765E-2</v>
      </c>
      <c r="I378" s="3">
        <f t="shared" si="381"/>
        <v>3.1725553618218431E-2</v>
      </c>
      <c r="J378" s="3">
        <f t="shared" si="381"/>
        <v>3.1725313385935629E-2</v>
      </c>
      <c r="K378" s="3">
        <f t="shared" si="381"/>
        <v>3.1722911163155121E-2</v>
      </c>
      <c r="L378" s="3">
        <f t="shared" si="381"/>
        <v>3.1698898937300053E-2</v>
      </c>
      <c r="M378" s="3">
        <f t="shared" si="381"/>
        <v>3.1459774077149248E-2</v>
      </c>
      <c r="N378" s="3">
        <f t="shared" si="381"/>
        <v>2.9165526579691615E-2</v>
      </c>
      <c r="O378" s="3">
        <f t="shared" si="381"/>
        <v>1.3677667650500696E-2</v>
      </c>
      <c r="P378" s="3">
        <f t="shared" si="381"/>
        <v>7.0377574377377863E-6</v>
      </c>
      <c r="Q378" s="3">
        <f t="shared" si="381"/>
        <v>9.1549667512616685E-39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1.5443830992985427E-2</v>
      </c>
      <c r="C379" s="3">
        <f t="shared" si="382"/>
        <v>1.544383099298437E-2</v>
      </c>
      <c r="D379" s="3">
        <f t="shared" si="382"/>
        <v>1.5443830992973822E-2</v>
      </c>
      <c r="E379" s="3">
        <f t="shared" si="382"/>
        <v>1.544383099286833E-2</v>
      </c>
      <c r="F379" s="3">
        <f t="shared" si="382"/>
        <v>1.5443830991813394E-2</v>
      </c>
      <c r="G379" s="3">
        <f t="shared" si="382"/>
        <v>1.544383098126405E-2</v>
      </c>
      <c r="H379" s="3">
        <f t="shared" si="382"/>
        <v>1.5443830875770616E-2</v>
      </c>
      <c r="I379" s="3">
        <f t="shared" si="382"/>
        <v>1.5443829820836308E-2</v>
      </c>
      <c r="J379" s="3">
        <f t="shared" si="382"/>
        <v>1.5443819271497196E-2</v>
      </c>
      <c r="K379" s="3">
        <f t="shared" si="382"/>
        <v>1.544371377850241E-2</v>
      </c>
      <c r="L379" s="3">
        <f t="shared" si="382"/>
        <v>1.5442658888186557E-2</v>
      </c>
      <c r="M379" s="3">
        <f t="shared" si="382"/>
        <v>1.5432113947229599E-2</v>
      </c>
      <c r="N379" s="3">
        <f t="shared" si="382"/>
        <v>1.5327059758241099E-2</v>
      </c>
      <c r="O379" s="3">
        <f t="shared" si="382"/>
        <v>1.4315059039029689E-2</v>
      </c>
      <c r="P379" s="3">
        <f t="shared" si="382"/>
        <v>7.2299629526734145E-3</v>
      </c>
      <c r="Q379" s="3">
        <f t="shared" si="382"/>
        <v>7.8084593908563513E-6</v>
      </c>
      <c r="R379" s="3">
        <f t="shared" si="382"/>
        <v>1.6860024333328407E-35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7.0696001208784146E-3</v>
      </c>
      <c r="C380" s="3">
        <f t="shared" si="383"/>
        <v>7.0696001208783704E-3</v>
      </c>
      <c r="D380" s="3">
        <f t="shared" si="383"/>
        <v>7.0696001208779349E-3</v>
      </c>
      <c r="E380" s="3">
        <f t="shared" si="383"/>
        <v>7.0696001208735782E-3</v>
      </c>
      <c r="F380" s="3">
        <f t="shared" si="383"/>
        <v>7.0696001208300158E-3</v>
      </c>
      <c r="G380" s="3">
        <f t="shared" si="383"/>
        <v>7.069600120394392E-3</v>
      </c>
      <c r="H380" s="3">
        <f t="shared" si="383"/>
        <v>7.0696001160381518E-3</v>
      </c>
      <c r="I380" s="3">
        <f t="shared" si="383"/>
        <v>7.0696000724757482E-3</v>
      </c>
      <c r="J380" s="3">
        <f t="shared" si="383"/>
        <v>7.0695996368517287E-3</v>
      </c>
      <c r="K380" s="3">
        <f t="shared" si="383"/>
        <v>7.06959528061301E-3</v>
      </c>
      <c r="L380" s="3">
        <f t="shared" si="383"/>
        <v>7.0695517183734504E-3</v>
      </c>
      <c r="M380" s="3">
        <f t="shared" si="383"/>
        <v>7.0691161107410598E-3</v>
      </c>
      <c r="N380" s="3">
        <f t="shared" si="383"/>
        <v>7.0647615104006386E-3</v>
      </c>
      <c r="O380" s="3">
        <f t="shared" si="383"/>
        <v>7.0213627693866635E-3</v>
      </c>
      <c r="P380" s="3">
        <f t="shared" si="383"/>
        <v>6.6017713146242331E-3</v>
      </c>
      <c r="Q380" s="3">
        <f t="shared" si="383"/>
        <v>3.5649309164483981E-3</v>
      </c>
      <c r="R380" s="3">
        <f t="shared" si="383"/>
        <v>7.5154940893814472E-6</v>
      </c>
      <c r="S380" s="3">
        <f t="shared" si="383"/>
        <v>1.3032319876416078E-32</v>
      </c>
      <c r="T380" s="3">
        <f t="shared" si="383"/>
        <v>3.2037872342396674E-300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3.5043206729719369E-3</v>
      </c>
      <c r="C381" s="3">
        <f t="shared" si="384"/>
        <v>3.5043206729719351E-3</v>
      </c>
      <c r="D381" s="3">
        <f t="shared" si="384"/>
        <v>3.5043206729719156E-3</v>
      </c>
      <c r="E381" s="3">
        <f t="shared" si="384"/>
        <v>3.5043206729717209E-3</v>
      </c>
      <c r="F381" s="3">
        <f t="shared" si="384"/>
        <v>3.5043206729697728E-3</v>
      </c>
      <c r="G381" s="3">
        <f t="shared" si="384"/>
        <v>3.504320672950294E-3</v>
      </c>
      <c r="H381" s="3">
        <f t="shared" si="384"/>
        <v>3.5043206727555037E-3</v>
      </c>
      <c r="I381" s="3">
        <f t="shared" si="384"/>
        <v>3.5043206708076E-3</v>
      </c>
      <c r="J381" s="3">
        <f t="shared" si="384"/>
        <v>3.5043206513285662E-3</v>
      </c>
      <c r="K381" s="3">
        <f t="shared" si="384"/>
        <v>3.5043204565382321E-3</v>
      </c>
      <c r="L381" s="3">
        <f t="shared" si="384"/>
        <v>3.5043185086354903E-3</v>
      </c>
      <c r="M381" s="3">
        <f t="shared" si="384"/>
        <v>3.5042990296676167E-3</v>
      </c>
      <c r="N381" s="3">
        <f t="shared" si="384"/>
        <v>3.5041042459439098E-3</v>
      </c>
      <c r="O381" s="3">
        <f t="shared" si="384"/>
        <v>3.5021570040871179E-3</v>
      </c>
      <c r="P381" s="3">
        <f t="shared" si="384"/>
        <v>3.4827440012781615E-3</v>
      </c>
      <c r="Q381" s="3">
        <f t="shared" si="384"/>
        <v>3.2944351459245828E-3</v>
      </c>
      <c r="R381" s="3">
        <f t="shared" si="384"/>
        <v>1.8896225306131512E-3</v>
      </c>
      <c r="S381" s="3">
        <f t="shared" si="384"/>
        <v>7.2830957441146701E-6</v>
      </c>
      <c r="T381" s="3">
        <f t="shared" si="384"/>
        <v>5.2689687941142752E-30</v>
      </c>
      <c r="U381" s="3">
        <f t="shared" si="384"/>
        <v>2.0692916162824078E-271</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2.9646797109614421E-3</v>
      </c>
      <c r="C382" s="3">
        <f t="shared" si="385"/>
        <v>2.9646797109614416E-3</v>
      </c>
      <c r="D382" s="3">
        <f t="shared" si="385"/>
        <v>2.9646797109614403E-3</v>
      </c>
      <c r="E382" s="3">
        <f t="shared" si="385"/>
        <v>2.9646797109614256E-3</v>
      </c>
      <c r="F382" s="3">
        <f t="shared" si="385"/>
        <v>2.9646797109612768E-3</v>
      </c>
      <c r="G382" s="3">
        <f t="shared" si="385"/>
        <v>2.9646797109597906E-3</v>
      </c>
      <c r="H382" s="3">
        <f t="shared" si="385"/>
        <v>2.9646797109449245E-3</v>
      </c>
      <c r="I382" s="3">
        <f t="shared" si="385"/>
        <v>2.9646797107962665E-3</v>
      </c>
      <c r="J382" s="3">
        <f t="shared" si="385"/>
        <v>2.9646797093096878E-3</v>
      </c>
      <c r="K382" s="3">
        <f t="shared" si="385"/>
        <v>2.9646796944438995E-3</v>
      </c>
      <c r="L382" s="3">
        <f t="shared" si="385"/>
        <v>2.9646795457860193E-3</v>
      </c>
      <c r="M382" s="3">
        <f t="shared" si="385"/>
        <v>2.9646780592076307E-3</v>
      </c>
      <c r="N382" s="3">
        <f t="shared" si="385"/>
        <v>2.9646631934647388E-3</v>
      </c>
      <c r="O382" s="3">
        <f t="shared" si="385"/>
        <v>2.964514540135518E-3</v>
      </c>
      <c r="P382" s="3">
        <f t="shared" si="385"/>
        <v>2.9630284167370471E-3</v>
      </c>
      <c r="Q382" s="3">
        <f t="shared" si="385"/>
        <v>2.9482080961805803E-3</v>
      </c>
      <c r="R382" s="3">
        <f t="shared" si="385"/>
        <v>2.8040213344951393E-3</v>
      </c>
      <c r="S382" s="3">
        <f t="shared" si="385"/>
        <v>1.698294899442932E-3</v>
      </c>
      <c r="T382" s="3">
        <f t="shared" si="385"/>
        <v>1.1280569393470575E-5</v>
      </c>
      <c r="U382" s="3">
        <f t="shared" si="385"/>
        <v>1.8858631893492885E-27</v>
      </c>
      <c r="V382" s="3">
        <f t="shared" si="385"/>
        <v>3.2158945792633875E-245</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v>
      </c>
      <c r="C383" s="3">
        <f t="shared" si="386"/>
        <v>0</v>
      </c>
      <c r="D383" s="3">
        <f t="shared" si="386"/>
        <v>0</v>
      </c>
      <c r="E383" s="3">
        <f t="shared" si="386"/>
        <v>0</v>
      </c>
      <c r="F383" s="3">
        <f t="shared" si="386"/>
        <v>0</v>
      </c>
      <c r="G383" s="3">
        <f t="shared" si="386"/>
        <v>0</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3.098114236407119E-3</v>
      </c>
      <c r="C384" s="3">
        <f t="shared" si="387"/>
        <v>3.098114236407119E-3</v>
      </c>
      <c r="D384" s="3">
        <f t="shared" si="387"/>
        <v>3.098114236407119E-3</v>
      </c>
      <c r="E384" s="3">
        <f t="shared" si="387"/>
        <v>3.098114236407119E-3</v>
      </c>
      <c r="F384" s="3">
        <f t="shared" si="387"/>
        <v>3.0981142364071177E-3</v>
      </c>
      <c r="G384" s="3">
        <f t="shared" si="387"/>
        <v>3.0981142364071047E-3</v>
      </c>
      <c r="H384" s="3">
        <f t="shared" si="387"/>
        <v>3.0981142364069785E-3</v>
      </c>
      <c r="I384" s="3">
        <f t="shared" si="387"/>
        <v>3.0981142364057144E-3</v>
      </c>
      <c r="J384" s="3">
        <f t="shared" si="387"/>
        <v>3.0981142363930726E-3</v>
      </c>
      <c r="K384" s="3">
        <f t="shared" si="387"/>
        <v>3.0981142362666572E-3</v>
      </c>
      <c r="L384" s="3">
        <f t="shared" si="387"/>
        <v>3.0981142350025009E-3</v>
      </c>
      <c r="M384" s="3">
        <f t="shared" si="387"/>
        <v>3.0981142223609377E-3</v>
      </c>
      <c r="N384" s="3">
        <f t="shared" si="387"/>
        <v>3.0981140959453102E-3</v>
      </c>
      <c r="O384" s="3">
        <f t="shared" si="387"/>
        <v>3.0981128317893176E-3</v>
      </c>
      <c r="P384" s="3">
        <f t="shared" si="387"/>
        <v>3.0981001902577604E-3</v>
      </c>
      <c r="Q384" s="3">
        <f t="shared" si="387"/>
        <v>3.0979737777791908E-3</v>
      </c>
      <c r="R384" s="3">
        <f t="shared" si="387"/>
        <v>3.0967099366507943E-3</v>
      </c>
      <c r="S384" s="3">
        <f t="shared" si="387"/>
        <v>3.0840998483182927E-3</v>
      </c>
      <c r="T384" s="3">
        <f t="shared" si="387"/>
        <v>2.9607889622581315E-3</v>
      </c>
      <c r="U384" s="3">
        <f t="shared" si="387"/>
        <v>1.9687822436968033E-3</v>
      </c>
      <c r="V384" s="3">
        <f t="shared" si="387"/>
        <v>3.327361534818957E-5</v>
      </c>
      <c r="W384" s="3">
        <f t="shared" si="387"/>
        <v>6.3259109023505736E-23</v>
      </c>
      <c r="X384" s="3">
        <f t="shared" si="387"/>
        <v>3.9025983904644873E-200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1.3450651080742435E-3</v>
      </c>
      <c r="C385" s="3">
        <f t="shared" si="388"/>
        <v>1.3450651080742435E-3</v>
      </c>
      <c r="D385" s="3">
        <f t="shared" si="388"/>
        <v>1.3450651080742435E-3</v>
      </c>
      <c r="E385" s="3">
        <f t="shared" si="388"/>
        <v>1.3450651080742435E-3</v>
      </c>
      <c r="F385" s="3">
        <f t="shared" si="388"/>
        <v>1.3450651080742435E-3</v>
      </c>
      <c r="G385" s="3">
        <f t="shared" si="388"/>
        <v>1.3450651080742428E-3</v>
      </c>
      <c r="H385" s="3">
        <f t="shared" si="388"/>
        <v>1.345065108074238E-3</v>
      </c>
      <c r="I385" s="3">
        <f t="shared" si="388"/>
        <v>1.3450651080741886E-3</v>
      </c>
      <c r="J385" s="3">
        <f t="shared" si="388"/>
        <v>1.3450651080736933E-3</v>
      </c>
      <c r="K385" s="3">
        <f t="shared" si="388"/>
        <v>1.3450651080687424E-3</v>
      </c>
      <c r="L385" s="3">
        <f t="shared" si="388"/>
        <v>1.3450651080192323E-3</v>
      </c>
      <c r="M385" s="3">
        <f t="shared" si="388"/>
        <v>1.3450651075241318E-3</v>
      </c>
      <c r="N385" s="3">
        <f t="shared" si="388"/>
        <v>1.3450651025731283E-3</v>
      </c>
      <c r="O385" s="3">
        <f t="shared" si="388"/>
        <v>1.3450650530630929E-3</v>
      </c>
      <c r="P385" s="3">
        <f t="shared" si="388"/>
        <v>1.3450645579628393E-3</v>
      </c>
      <c r="Q385" s="3">
        <f t="shared" si="388"/>
        <v>1.3450596069703258E-3</v>
      </c>
      <c r="R385" s="3">
        <f t="shared" si="388"/>
        <v>1.3450100980474946E-3</v>
      </c>
      <c r="S385" s="3">
        <f t="shared" si="388"/>
        <v>1.3445151090358959E-3</v>
      </c>
      <c r="T385" s="3">
        <f t="shared" si="388"/>
        <v>1.339575226956008E-3</v>
      </c>
      <c r="U385" s="3">
        <f t="shared" si="388"/>
        <v>1.2911637127791988E-3</v>
      </c>
      <c r="V385" s="3">
        <f t="shared" si="388"/>
        <v>8.9355925581155557E-4</v>
      </c>
      <c r="W385" s="3">
        <f t="shared" si="388"/>
        <v>2.2518725925097699E-5</v>
      </c>
      <c r="X385" s="3">
        <f t="shared" si="388"/>
        <v>2.3267428562515655E-21</v>
      </c>
      <c r="Y385" s="3">
        <f t="shared" si="388"/>
        <v>3.2269640665563896E-181</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1.5999872696703847E-4</v>
      </c>
      <c r="C386" s="3">
        <f t="shared" si="389"/>
        <v>1.5999872696703847E-4</v>
      </c>
      <c r="D386" s="3">
        <f t="shared" si="389"/>
        <v>1.5999872696703847E-4</v>
      </c>
      <c r="E386" s="3">
        <f t="shared" si="389"/>
        <v>1.5999872696703847E-4</v>
      </c>
      <c r="F386" s="3">
        <f t="shared" si="389"/>
        <v>1.5999872696703847E-4</v>
      </c>
      <c r="G386" s="3">
        <f t="shared" si="389"/>
        <v>1.5999872696703847E-4</v>
      </c>
      <c r="H386" s="3">
        <f t="shared" si="389"/>
        <v>1.5999872696703841E-4</v>
      </c>
      <c r="I386" s="3">
        <f t="shared" si="389"/>
        <v>1.5999872696703787E-4</v>
      </c>
      <c r="J386" s="3">
        <f t="shared" si="389"/>
        <v>1.5999872696703256E-4</v>
      </c>
      <c r="K386" s="3">
        <f t="shared" si="389"/>
        <v>1.5999872696697943E-4</v>
      </c>
      <c r="L386" s="3">
        <f t="shared" si="389"/>
        <v>1.5999872696644818E-4</v>
      </c>
      <c r="M386" s="3">
        <f t="shared" si="389"/>
        <v>1.599987269611355E-4</v>
      </c>
      <c r="N386" s="3">
        <f t="shared" si="389"/>
        <v>1.5999872690800878E-4</v>
      </c>
      <c r="O386" s="3">
        <f t="shared" si="389"/>
        <v>1.5999872637674151E-4</v>
      </c>
      <c r="P386" s="3">
        <f t="shared" si="389"/>
        <v>1.5999872106406895E-4</v>
      </c>
      <c r="Q386" s="3">
        <f t="shared" si="389"/>
        <v>1.5999866793735314E-4</v>
      </c>
      <c r="R386" s="3">
        <f t="shared" si="389"/>
        <v>1.5999813667116514E-4</v>
      </c>
      <c r="S386" s="3">
        <f t="shared" si="389"/>
        <v>1.599928241063063E-4</v>
      </c>
      <c r="T386" s="3">
        <f t="shared" si="389"/>
        <v>1.5993970815863959E-4</v>
      </c>
      <c r="U386" s="3">
        <f t="shared" si="389"/>
        <v>1.5940951758336896E-4</v>
      </c>
      <c r="V386" s="3">
        <f t="shared" si="389"/>
        <v>1.542033221101233E-4</v>
      </c>
      <c r="W386" s="3">
        <f t="shared" si="389"/>
        <v>1.1063398516920832E-4</v>
      </c>
      <c r="X386" s="3">
        <f t="shared" si="389"/>
        <v>3.9979450446276105E-6</v>
      </c>
      <c r="Y386" s="3">
        <f t="shared" si="389"/>
        <v>1.5181666808529281E-20</v>
      </c>
      <c r="Z386" s="3">
        <f t="shared" si="389"/>
        <v>9.4655491023431114E-165</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1.1033683083565872E-4</v>
      </c>
      <c r="C389" s="3">
        <f t="shared" si="392"/>
        <v>1.1033683083565872E-4</v>
      </c>
      <c r="D389" s="3">
        <f t="shared" si="392"/>
        <v>1.1033683083565872E-4</v>
      </c>
      <c r="E389" s="3">
        <f t="shared" si="392"/>
        <v>1.1033683083565872E-4</v>
      </c>
      <c r="F389" s="3">
        <f t="shared" si="392"/>
        <v>1.1033683083565872E-4</v>
      </c>
      <c r="G389" s="3">
        <f t="shared" si="392"/>
        <v>1.1033683083565872E-4</v>
      </c>
      <c r="H389" s="3">
        <f t="shared" si="392"/>
        <v>1.1033683083565872E-4</v>
      </c>
      <c r="I389" s="3">
        <f t="shared" si="392"/>
        <v>1.1033683083565872E-4</v>
      </c>
      <c r="J389" s="3">
        <f t="shared" si="392"/>
        <v>1.103368308356587E-4</v>
      </c>
      <c r="K389" s="3">
        <f t="shared" si="392"/>
        <v>1.1033683083565861E-4</v>
      </c>
      <c r="L389" s="3">
        <f t="shared" si="392"/>
        <v>1.1033683083565759E-4</v>
      </c>
      <c r="M389" s="3">
        <f t="shared" si="392"/>
        <v>1.1033683083564745E-4</v>
      </c>
      <c r="N389" s="3">
        <f t="shared" si="392"/>
        <v>1.1033683083554612E-4</v>
      </c>
      <c r="O389" s="3">
        <f t="shared" si="392"/>
        <v>1.1033683083453284E-4</v>
      </c>
      <c r="P389" s="3">
        <f t="shared" si="392"/>
        <v>1.1033683082440004E-4</v>
      </c>
      <c r="Q389" s="3">
        <f t="shared" si="392"/>
        <v>1.1033683072307194E-4</v>
      </c>
      <c r="R389" s="3">
        <f t="shared" si="392"/>
        <v>1.1033682970979094E-4</v>
      </c>
      <c r="S389" s="3">
        <f t="shared" si="392"/>
        <v>1.1033681957698155E-4</v>
      </c>
      <c r="T389" s="3">
        <f t="shared" si="392"/>
        <v>1.1033671824893871E-4</v>
      </c>
      <c r="U389" s="3">
        <f t="shared" si="392"/>
        <v>1.1033570497362834E-4</v>
      </c>
      <c r="V389" s="3">
        <f t="shared" si="392"/>
        <v>1.1032557273230728E-4</v>
      </c>
      <c r="W389" s="3">
        <f t="shared" si="392"/>
        <v>1.1022430147997908E-4</v>
      </c>
      <c r="X389" s="3">
        <f t="shared" si="392"/>
        <v>1.0921668770357037E-4</v>
      </c>
      <c r="Y389" s="3">
        <f t="shared" si="392"/>
        <v>9.9633516968091951E-5</v>
      </c>
      <c r="Z389" s="3">
        <f t="shared" si="392"/>
        <v>3.9771324658439641E-5</v>
      </c>
      <c r="AA389" s="3">
        <f t="shared" si="392"/>
        <v>4.0852252797768697E-9</v>
      </c>
      <c r="AB389" s="3">
        <f t="shared" si="392"/>
        <v>5.3416515634947755E-49</v>
      </c>
      <c r="AC389" s="3">
        <f t="shared" si="392"/>
        <v>0</v>
      </c>
      <c r="AD389" s="3">
        <f t="shared" si="392"/>
        <v>0</v>
      </c>
      <c r="AE389" s="3">
        <f t="shared" si="392"/>
        <v>0</v>
      </c>
      <c r="AF389" s="3">
        <f t="shared" si="392"/>
        <v>0</v>
      </c>
      <c r="AG389" s="3"/>
      <c r="AH389" s="3"/>
    </row>
    <row r="390" spans="1:34" x14ac:dyDescent="0.25">
      <c r="B390" s="3">
        <f t="shared" ref="B390:AF390" si="393">$C42*EXP(-B$363/$A42/EXP(-$H$126))</f>
        <v>5.3430093526516889E-5</v>
      </c>
      <c r="C390" s="3">
        <f t="shared" si="393"/>
        <v>5.3430093526516889E-5</v>
      </c>
      <c r="D390" s="3">
        <f t="shared" si="393"/>
        <v>5.3430093526516889E-5</v>
      </c>
      <c r="E390" s="3">
        <f t="shared" si="393"/>
        <v>5.3430093526516889E-5</v>
      </c>
      <c r="F390" s="3">
        <f t="shared" si="393"/>
        <v>5.3430093526516889E-5</v>
      </c>
      <c r="G390" s="3">
        <f t="shared" si="393"/>
        <v>5.3430093526516889E-5</v>
      </c>
      <c r="H390" s="3">
        <f t="shared" si="393"/>
        <v>5.3430093526516889E-5</v>
      </c>
      <c r="I390" s="3">
        <f t="shared" si="393"/>
        <v>5.3430093526516889E-5</v>
      </c>
      <c r="J390" s="3">
        <f t="shared" si="393"/>
        <v>5.3430093526516889E-5</v>
      </c>
      <c r="K390" s="3">
        <f t="shared" si="393"/>
        <v>5.3430093526516882E-5</v>
      </c>
      <c r="L390" s="3">
        <f t="shared" si="393"/>
        <v>5.3430093526516835E-5</v>
      </c>
      <c r="M390" s="3">
        <f t="shared" si="393"/>
        <v>5.343009352651634E-5</v>
      </c>
      <c r="N390" s="3">
        <f t="shared" si="393"/>
        <v>5.3430093526511441E-5</v>
      </c>
      <c r="O390" s="3">
        <f t="shared" si="393"/>
        <v>5.3430093526462367E-5</v>
      </c>
      <c r="P390" s="3">
        <f t="shared" si="393"/>
        <v>5.3430093525971691E-5</v>
      </c>
      <c r="Q390" s="3">
        <f t="shared" si="393"/>
        <v>5.3430093521064924E-5</v>
      </c>
      <c r="R390" s="3">
        <f t="shared" si="393"/>
        <v>5.3430093471997268E-5</v>
      </c>
      <c r="S390" s="3">
        <f t="shared" si="393"/>
        <v>5.3430092981320697E-5</v>
      </c>
      <c r="T390" s="3">
        <f t="shared" si="393"/>
        <v>5.3430088074555206E-5</v>
      </c>
      <c r="U390" s="3">
        <f t="shared" si="393"/>
        <v>5.3430039006925065E-5</v>
      </c>
      <c r="V390" s="3">
        <f t="shared" si="393"/>
        <v>5.3429548333102095E-5</v>
      </c>
      <c r="W390" s="3">
        <f t="shared" si="393"/>
        <v>5.3424641842700681E-5</v>
      </c>
      <c r="X390" s="3">
        <f t="shared" si="393"/>
        <v>5.3375601713104218E-5</v>
      </c>
      <c r="Y390" s="3">
        <f t="shared" si="393"/>
        <v>5.2887669461431051E-5</v>
      </c>
      <c r="Z390" s="3">
        <f t="shared" si="393"/>
        <v>4.8247063919299481E-5</v>
      </c>
      <c r="AA390" s="3">
        <f t="shared" si="393"/>
        <v>1.9259077681313493E-5</v>
      </c>
      <c r="AB390" s="3">
        <f t="shared" si="393"/>
        <v>1.9782512069834378E-9</v>
      </c>
      <c r="AC390" s="3">
        <f t="shared" si="393"/>
        <v>2.5866697499105048E-49</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1.1249816087007928E-3</v>
      </c>
      <c r="C396" s="3">
        <f t="shared" si="399"/>
        <v>1.1249816087007928E-3</v>
      </c>
      <c r="D396" s="3">
        <f t="shared" si="399"/>
        <v>1.1249816087007928E-3</v>
      </c>
      <c r="E396" s="3">
        <f t="shared" si="399"/>
        <v>1.1249816087007928E-3</v>
      </c>
      <c r="F396" s="3">
        <f t="shared" si="399"/>
        <v>1.1249816087007928E-3</v>
      </c>
      <c r="G396" s="3">
        <f t="shared" si="399"/>
        <v>1.1249816087007928E-3</v>
      </c>
      <c r="H396" s="3">
        <f t="shared" si="399"/>
        <v>1.1249816087007928E-3</v>
      </c>
      <c r="I396" s="3">
        <f t="shared" si="399"/>
        <v>1.1249816087007928E-3</v>
      </c>
      <c r="J396" s="3">
        <f t="shared" si="399"/>
        <v>1.1249816087007928E-3</v>
      </c>
      <c r="K396" s="3">
        <f t="shared" si="399"/>
        <v>1.1249816087007928E-3</v>
      </c>
      <c r="L396" s="3">
        <f t="shared" si="399"/>
        <v>1.1249816087007928E-3</v>
      </c>
      <c r="M396" s="3">
        <f t="shared" si="399"/>
        <v>1.1249816087007928E-3</v>
      </c>
      <c r="N396" s="3">
        <f t="shared" si="399"/>
        <v>1.1249816087007928E-3</v>
      </c>
      <c r="O396" s="3">
        <f t="shared" si="399"/>
        <v>1.1249816087007928E-3</v>
      </c>
      <c r="P396" s="3">
        <f t="shared" si="399"/>
        <v>1.1249816087007928E-3</v>
      </c>
      <c r="Q396" s="3">
        <f t="shared" si="399"/>
        <v>1.1249816087007926E-3</v>
      </c>
      <c r="R396" s="3">
        <f t="shared" si="399"/>
        <v>1.1249816087007918E-3</v>
      </c>
      <c r="S396" s="3">
        <f t="shared" si="399"/>
        <v>1.1249816087007813E-3</v>
      </c>
      <c r="T396" s="3">
        <f t="shared" si="399"/>
        <v>1.1249816087006781E-3</v>
      </c>
      <c r="U396" s="3">
        <f t="shared" si="399"/>
        <v>1.1249816086996449E-3</v>
      </c>
      <c r="V396" s="3">
        <f t="shared" si="399"/>
        <v>1.1249816086893135E-3</v>
      </c>
      <c r="W396" s="3">
        <f t="shared" si="399"/>
        <v>1.1249816085860008E-3</v>
      </c>
      <c r="X396" s="3">
        <f t="shared" si="399"/>
        <v>1.124981607552871E-3</v>
      </c>
      <c r="Y396" s="3">
        <f t="shared" si="399"/>
        <v>1.1249815972215749E-3</v>
      </c>
      <c r="Z396" s="3">
        <f t="shared" si="399"/>
        <v>1.1249814939086182E-3</v>
      </c>
      <c r="AA396" s="3">
        <f t="shared" si="399"/>
        <v>1.1249804607795734E-3</v>
      </c>
      <c r="AB396" s="3">
        <f t="shared" si="399"/>
        <v>1.124970129541309E-3</v>
      </c>
      <c r="AC396" s="3">
        <f t="shared" si="399"/>
        <v>1.1248668223767405E-3</v>
      </c>
      <c r="AD396" s="3">
        <f t="shared" si="399"/>
        <v>1.1238342723615146E-3</v>
      </c>
      <c r="AE396" s="3">
        <f t="shared" si="399"/>
        <v>1.1135607584446456E-3</v>
      </c>
      <c r="AF396" s="3">
        <f t="shared" si="399"/>
        <v>1.0158518542754615E-3</v>
      </c>
      <c r="AG396" s="3"/>
      <c r="AH396" s="3"/>
    </row>
    <row r="397" spans="1:34" x14ac:dyDescent="0.25">
      <c r="A397" s="79">
        <f>AVERAGE(B397:AF397)</f>
        <v>2.6110934544725287E-3</v>
      </c>
      <c r="B397" s="80">
        <f>IF($A$64&lt;=B363,IF($B$64&gt;=B363,ABS((B365-B364)/B364),0),0)</f>
        <v>1.7617971496853752E-2</v>
      </c>
      <c r="C397" s="80">
        <f t="shared" ref="C397:AF397" si="400">IF($A$64&lt;=C363,IF($B$64&gt;=C363,ABS((C365-C364)/C364),0),0)</f>
        <v>2.3744922647438865E-2</v>
      </c>
      <c r="D397" s="80">
        <f t="shared" si="400"/>
        <v>7.3062961221907162E-3</v>
      </c>
      <c r="E397" s="80">
        <f t="shared" si="400"/>
        <v>7.6249250871823152E-4</v>
      </c>
      <c r="F397" s="80">
        <f t="shared" si="400"/>
        <v>7.3302366139119449E-4</v>
      </c>
      <c r="G397" s="80">
        <f t="shared" si="400"/>
        <v>6.5558304614190741E-4</v>
      </c>
      <c r="H397" s="80">
        <f t="shared" si="400"/>
        <v>8.2318495140584844E-4</v>
      </c>
      <c r="I397" s="80">
        <f t="shared" si="400"/>
        <v>1.0283056287122578E-3</v>
      </c>
      <c r="J397" s="80">
        <f t="shared" si="400"/>
        <v>1.3754233649220556E-3</v>
      </c>
      <c r="K397" s="80">
        <f t="shared" si="400"/>
        <v>1.7345128269364843E-3</v>
      </c>
      <c r="L397" s="80">
        <f t="shared" si="400"/>
        <v>2.7766357955774099E-3</v>
      </c>
      <c r="M397" s="80">
        <f t="shared" si="400"/>
        <v>2.7653828437961387E-3</v>
      </c>
      <c r="N397" s="80">
        <f t="shared" si="400"/>
        <v>4.3441451300524668E-3</v>
      </c>
      <c r="O397" s="80">
        <f t="shared" si="400"/>
        <v>1.6456368118296491E-3</v>
      </c>
      <c r="P397" s="80">
        <f t="shared" si="400"/>
        <v>3.4408776465088262E-3</v>
      </c>
      <c r="Q397" s="80">
        <f t="shared" si="400"/>
        <v>5.4599586557495825E-4</v>
      </c>
      <c r="R397" s="80">
        <f t="shared" si="400"/>
        <v>1.6066697236497337E-3</v>
      </c>
      <c r="S397" s="80">
        <f t="shared" si="400"/>
        <v>2.1815525427521882E-4</v>
      </c>
      <c r="T397" s="80">
        <f t="shared" si="400"/>
        <v>5.953912696502518E-4</v>
      </c>
      <c r="U397" s="80">
        <f t="shared" si="400"/>
        <v>2.1953057407560054E-3</v>
      </c>
      <c r="V397" s="80">
        <f t="shared" si="400"/>
        <v>6.7458529279130412E-4</v>
      </c>
      <c r="W397" s="80">
        <f t="shared" si="400"/>
        <v>4.4777927577232618E-4</v>
      </c>
      <c r="X397" s="80">
        <f t="shared" si="400"/>
        <v>8.1078381635257679E-6</v>
      </c>
      <c r="Y397" s="80">
        <f t="shared" si="400"/>
        <v>1.1917414122777388E-4</v>
      </c>
      <c r="Z397" s="80">
        <f t="shared" si="400"/>
        <v>1.9553729809680297E-5</v>
      </c>
      <c r="AA397" s="80">
        <f t="shared" si="400"/>
        <v>1.1223996862128883E-4</v>
      </c>
      <c r="AB397" s="80">
        <f t="shared" si="400"/>
        <v>8.2367747888775994E-5</v>
      </c>
      <c r="AC397" s="80">
        <f t="shared" si="400"/>
        <v>4.0293263774506135E-4</v>
      </c>
      <c r="AD397" s="80">
        <f t="shared" si="400"/>
        <v>7.8959661668535149E-4</v>
      </c>
      <c r="AE397" s="80">
        <f t="shared" si="400"/>
        <v>6.5385998461611175E-4</v>
      </c>
      <c r="AF397" s="80">
        <f t="shared" si="400"/>
        <v>1.7177875189452107E-3</v>
      </c>
    </row>
    <row r="398" spans="1:34" x14ac:dyDescent="0.25">
      <c r="B398" s="21">
        <f>(B365-B364)^2</f>
        <v>3690.7815700641736</v>
      </c>
      <c r="C398" s="21">
        <f t="shared" ref="C398:AF398" si="401">(C365-C364)^2</f>
        <v>5917.2817945233301</v>
      </c>
      <c r="D398" s="21">
        <f t="shared" si="401"/>
        <v>507.0503146103211</v>
      </c>
      <c r="E398" s="21">
        <f t="shared" si="401"/>
        <v>4.9746294331941572</v>
      </c>
      <c r="F398" s="21">
        <f t="shared" si="401"/>
        <v>4.1188951740981672</v>
      </c>
      <c r="G398" s="21">
        <f t="shared" si="401"/>
        <v>2.8783318238199569</v>
      </c>
      <c r="H398" s="21">
        <f t="shared" si="401"/>
        <v>3.8787113724206055</v>
      </c>
      <c r="I398" s="21">
        <f t="shared" si="401"/>
        <v>4.9920260984396894</v>
      </c>
      <c r="J398" s="21">
        <f t="shared" si="401"/>
        <v>7.0318697028038715</v>
      </c>
      <c r="K398" s="21">
        <f t="shared" si="401"/>
        <v>8.1282784830893124</v>
      </c>
      <c r="L398" s="21">
        <f t="shared" si="401"/>
        <v>13.426698302687813</v>
      </c>
      <c r="M398" s="21">
        <f t="shared" si="401"/>
        <v>7.3987983026960613</v>
      </c>
      <c r="N398" s="21">
        <f t="shared" si="401"/>
        <v>9.0803641818583483</v>
      </c>
      <c r="O398" s="21">
        <f t="shared" si="401"/>
        <v>0.63948928656104342</v>
      </c>
      <c r="P398" s="21">
        <f t="shared" si="401"/>
        <v>1.5979723358591411</v>
      </c>
      <c r="Q398" s="21">
        <f t="shared" si="401"/>
        <v>2.8128162176796132E-2</v>
      </c>
      <c r="R398" s="21">
        <f t="shared" si="401"/>
        <v>0.20103636459732879</v>
      </c>
      <c r="S398" s="21">
        <f t="shared" si="401"/>
        <v>3.2587033990185859E-3</v>
      </c>
      <c r="T398" s="21">
        <f t="shared" si="401"/>
        <v>2.2395020597142563E-2</v>
      </c>
      <c r="U398" s="21">
        <f t="shared" si="401"/>
        <v>0.29195558981330277</v>
      </c>
      <c r="V398" s="21">
        <f t="shared" si="401"/>
        <v>2.4557781587785335E-2</v>
      </c>
      <c r="W398" s="21">
        <f t="shared" si="401"/>
        <v>1.0353823062525611E-2</v>
      </c>
      <c r="X398" s="21">
        <f t="shared" si="401"/>
        <v>3.3697752311932416E-6</v>
      </c>
      <c r="Y398" s="21">
        <f t="shared" si="401"/>
        <v>7.2734629344944207E-4</v>
      </c>
      <c r="Z398" s="21">
        <f t="shared" si="401"/>
        <v>1.9523874697251976E-5</v>
      </c>
      <c r="AA398" s="21">
        <f t="shared" si="401"/>
        <v>6.4120564678205971E-4</v>
      </c>
      <c r="AB398" s="21">
        <f t="shared" si="401"/>
        <v>3.4496418308777493E-4</v>
      </c>
      <c r="AC398" s="21">
        <f t="shared" si="401"/>
        <v>8.2470908734424767E-3</v>
      </c>
      <c r="AD398" s="21">
        <f t="shared" si="401"/>
        <v>3.1643787551245285E-2</v>
      </c>
      <c r="AE398" s="21">
        <f t="shared" si="401"/>
        <v>2.1694168657431342E-2</v>
      </c>
      <c r="AF398" s="21">
        <f t="shared" si="401"/>
        <v>0.14971216548050983</v>
      </c>
      <c r="AG398" s="3"/>
      <c r="AH398" s="3"/>
    </row>
    <row r="399" spans="1:34" x14ac:dyDescent="0.25">
      <c r="A399" s="71">
        <f>SUM(B399:AF399)</f>
        <v>10184.054462762928</v>
      </c>
      <c r="B399" s="60">
        <f>IF($A$64&lt;=B363,IF($B$64&gt;=B363,ABS(B398),0),0)</f>
        <v>3690.7815700641736</v>
      </c>
      <c r="C399" s="60">
        <f t="shared" ref="C399" si="402">IF($A$64&lt;=C363,IF($B$64&gt;=C363,ABS(C398),0),0)</f>
        <v>5917.2817945233301</v>
      </c>
      <c r="D399" s="60">
        <f t="shared" ref="D399" si="403">IF($A$64&lt;=D363,IF($B$64&gt;=D363,ABS(D398),0),0)</f>
        <v>507.0503146103211</v>
      </c>
      <c r="E399" s="60">
        <f t="shared" ref="E399" si="404">IF($A$64&lt;=E363,IF($B$64&gt;=E363,ABS(E398),0),0)</f>
        <v>4.9746294331941572</v>
      </c>
      <c r="F399" s="60">
        <f t="shared" ref="F399" si="405">IF($A$64&lt;=F363,IF($B$64&gt;=F363,ABS(F398),0),0)</f>
        <v>4.1188951740981672</v>
      </c>
      <c r="G399" s="60">
        <f t="shared" ref="G399" si="406">IF($A$64&lt;=G363,IF($B$64&gt;=G363,ABS(G398),0),0)</f>
        <v>2.8783318238199569</v>
      </c>
      <c r="H399" s="60">
        <f t="shared" ref="H399" si="407">IF($A$64&lt;=H363,IF($B$64&gt;=H363,ABS(H398),0),0)</f>
        <v>3.8787113724206055</v>
      </c>
      <c r="I399" s="60">
        <f t="shared" ref="I399" si="408">IF($A$64&lt;=I363,IF($B$64&gt;=I363,ABS(I398),0),0)</f>
        <v>4.9920260984396894</v>
      </c>
      <c r="J399" s="60">
        <f t="shared" ref="J399" si="409">IF($A$64&lt;=J363,IF($B$64&gt;=J363,ABS(J398),0),0)</f>
        <v>7.0318697028038715</v>
      </c>
      <c r="K399" s="60">
        <f t="shared" ref="K399" si="410">IF($A$64&lt;=K363,IF($B$64&gt;=K363,ABS(K398),0),0)</f>
        <v>8.1282784830893124</v>
      </c>
      <c r="L399" s="60">
        <f t="shared" ref="L399" si="411">IF($A$64&lt;=L363,IF($B$64&gt;=L363,ABS(L398),0),0)</f>
        <v>13.426698302687813</v>
      </c>
      <c r="M399" s="60">
        <f t="shared" ref="M399" si="412">IF($A$64&lt;=M363,IF($B$64&gt;=M363,ABS(M398),0),0)</f>
        <v>7.3987983026960613</v>
      </c>
      <c r="N399" s="60">
        <f t="shared" ref="N399" si="413">IF($A$64&lt;=N363,IF($B$64&gt;=N363,ABS(N398),0),0)</f>
        <v>9.0803641818583483</v>
      </c>
      <c r="O399" s="60">
        <f t="shared" ref="O399" si="414">IF($A$64&lt;=O363,IF($B$64&gt;=O363,ABS(O398),0),0)</f>
        <v>0.63948928656104342</v>
      </c>
      <c r="P399" s="60">
        <f t="shared" ref="P399" si="415">IF($A$64&lt;=P363,IF($B$64&gt;=P363,ABS(P398),0),0)</f>
        <v>1.5979723358591411</v>
      </c>
      <c r="Q399" s="60">
        <f t="shared" ref="Q399" si="416">IF($A$64&lt;=Q363,IF($B$64&gt;=Q363,ABS(Q398),0),0)</f>
        <v>2.8128162176796132E-2</v>
      </c>
      <c r="R399" s="60">
        <f t="shared" ref="R399" si="417">IF($A$64&lt;=R363,IF($B$64&gt;=R363,ABS(R398),0),0)</f>
        <v>0.20103636459732879</v>
      </c>
      <c r="S399" s="60">
        <f t="shared" ref="S399" si="418">IF($A$64&lt;=S363,IF($B$64&gt;=S363,ABS(S398),0),0)</f>
        <v>3.2587033990185859E-3</v>
      </c>
      <c r="T399" s="60">
        <f t="shared" ref="T399" si="419">IF($A$64&lt;=T363,IF($B$64&gt;=T363,ABS(T398),0),0)</f>
        <v>2.2395020597142563E-2</v>
      </c>
      <c r="U399" s="60">
        <f t="shared" ref="U399" si="420">IF($A$64&lt;=U363,IF($B$64&gt;=U363,ABS(U398),0),0)</f>
        <v>0.29195558981330277</v>
      </c>
      <c r="V399" s="60">
        <f t="shared" ref="V399" si="421">IF($A$64&lt;=V363,IF($B$64&gt;=V363,ABS(V398),0),0)</f>
        <v>2.4557781587785335E-2</v>
      </c>
      <c r="W399" s="60">
        <f t="shared" ref="W399" si="422">IF($A$64&lt;=W363,IF($B$64&gt;=W363,ABS(W398),0),0)</f>
        <v>1.0353823062525611E-2</v>
      </c>
      <c r="X399" s="60">
        <f t="shared" ref="X399" si="423">IF($A$64&lt;=X363,IF($B$64&gt;=X363,ABS(X398),0),0)</f>
        <v>3.3697752311932416E-6</v>
      </c>
      <c r="Y399" s="60">
        <f t="shared" ref="Y399" si="424">IF($A$64&lt;=Y363,IF($B$64&gt;=Y363,ABS(Y398),0),0)</f>
        <v>7.2734629344944207E-4</v>
      </c>
      <c r="Z399" s="60">
        <f t="shared" ref="Z399" si="425">IF($A$64&lt;=Z363,IF($B$64&gt;=Z363,ABS(Z398),0),0)</f>
        <v>1.9523874697251976E-5</v>
      </c>
      <c r="AA399" s="60">
        <f t="shared" ref="AA399" si="426">IF($A$64&lt;=AA363,IF($B$64&gt;=AA363,ABS(AA398),0),0)</f>
        <v>6.4120564678205971E-4</v>
      </c>
      <c r="AB399" s="60">
        <f t="shared" ref="AB399" si="427">IF($A$64&lt;=AB363,IF($B$64&gt;=AB363,ABS(AB398),0),0)</f>
        <v>3.4496418308777493E-4</v>
      </c>
      <c r="AC399" s="60">
        <f t="shared" ref="AC399" si="428">IF($A$64&lt;=AC363,IF($B$64&gt;=AC363,ABS(AC398),0),0)</f>
        <v>8.2470908734424767E-3</v>
      </c>
      <c r="AD399" s="60">
        <f t="shared" ref="AD399" si="429">IF($A$64&lt;=AD363,IF($B$64&gt;=AD363,ABS(AD398),0),0)</f>
        <v>3.1643787551245285E-2</v>
      </c>
      <c r="AE399" s="60">
        <f t="shared" ref="AE399" si="430">IF($A$64&lt;=AE363,IF($B$64&gt;=AE363,ABS(AE398),0),0)</f>
        <v>2.1694168657431342E-2</v>
      </c>
      <c r="AF399" s="60">
        <f t="shared" ref="AF399" si="431">IF($A$64&lt;=AF363,IF($B$64&gt;=AF363,ABS(AF398),0),0)</f>
        <v>0.14971216548050983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-59.999898573957836</v>
      </c>
      <c r="C403" s="107">
        <f t="shared" ref="C403:H403" si="432">IF(C125=$B$2,0,C126)</f>
        <v>-48.304090284066596</v>
      </c>
      <c r="D403" s="107">
        <f t="shared" si="432"/>
        <v>-41.637760530499037</v>
      </c>
      <c r="E403" s="107">
        <f t="shared" si="432"/>
        <v>-35.073932180427455</v>
      </c>
      <c r="F403" s="107">
        <f t="shared" si="432"/>
        <v>-30.003679822882582</v>
      </c>
      <c r="G403" s="107">
        <f t="shared" si="432"/>
        <v>-13.864447925187026</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8.757398945968045E-42</v>
      </c>
      <c r="C404" s="3">
        <f t="shared" ref="C404:H419" si="433">$A404/EXP(-C$403)</f>
        <v>1.0514778689420054E-36</v>
      </c>
      <c r="D404" s="3">
        <f t="shared" si="433"/>
        <v>8.2594354388362626E-34</v>
      </c>
      <c r="E404" s="3">
        <f t="shared" si="433"/>
        <v>5.8557805845824456E-31</v>
      </c>
      <c r="F404" s="3">
        <f t="shared" si="433"/>
        <v>9.3232518523086303E-29</v>
      </c>
      <c r="G404" s="3">
        <f t="shared" si="433"/>
        <v>9.5224076931477911E-22</v>
      </c>
      <c r="H404" s="3">
        <f t="shared" si="433"/>
        <v>1.0000000000000001E-15</v>
      </c>
      <c r="I404" s="109">
        <f>Comparison!AL3</f>
        <v>1.0000000000000001E-15</v>
      </c>
      <c r="J404" s="3">
        <f>Comparison!AM3</f>
        <v>5627.8046868132324</v>
      </c>
      <c r="K404" s="3">
        <f>Comparison!AN3</f>
        <v>5619.5329931741162</v>
      </c>
      <c r="L404" s="3">
        <f>Comparison!AO3</f>
        <v>5614.15966521874</v>
      </c>
      <c r="M404" s="3">
        <f>Comparison!AP3</f>
        <v>5608.5595412821331</v>
      </c>
      <c r="N404" s="3">
        <f>Comparison!AQ3</f>
        <v>5541.3343805505365</v>
      </c>
      <c r="O404" s="3">
        <f>Comparison!AR3</f>
        <v>4566.6036136134571</v>
      </c>
      <c r="P404" s="3">
        <f>Comparison!AS3</f>
        <v>3448.2859181540075</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8.7573989459680439E-41</v>
      </c>
      <c r="C405" s="3">
        <f t="shared" si="433"/>
        <v>1.0514778689420054E-35</v>
      </c>
      <c r="D405" s="3">
        <f t="shared" si="433"/>
        <v>8.2594354388362623E-33</v>
      </c>
      <c r="E405" s="3">
        <f t="shared" si="433"/>
        <v>5.8557805845824446E-30</v>
      </c>
      <c r="F405" s="3">
        <f t="shared" si="433"/>
        <v>9.3232518523086292E-28</v>
      </c>
      <c r="G405" s="3">
        <f t="shared" si="433"/>
        <v>9.5224076931477907E-21</v>
      </c>
      <c r="H405" s="3">
        <f t="shared" si="433"/>
        <v>1E-14</v>
      </c>
      <c r="I405" s="109">
        <f>Comparison!AL4</f>
        <v>1E-14</v>
      </c>
      <c r="J405" s="3">
        <f>Comparison!AM4</f>
        <v>5627.8375717832278</v>
      </c>
      <c r="K405" s="3">
        <f>Comparison!AN4</f>
        <v>5619.5658717740425</v>
      </c>
      <c r="L405" s="3">
        <f>Comparison!AO4</f>
        <v>5614.1868795733999</v>
      </c>
      <c r="M405" s="3">
        <f>Comparison!AP4</f>
        <v>5607.5578036030483</v>
      </c>
      <c r="N405" s="3">
        <f>Comparison!AQ4</f>
        <v>5343.1911525840997</v>
      </c>
      <c r="O405" s="3">
        <f>Comparison!AR4</f>
        <v>4367.9191662396088</v>
      </c>
      <c r="P405" s="3">
        <f>Comparison!AS4</f>
        <v>3239.5923652397146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8.7573989459680439E-40</v>
      </c>
      <c r="C406" s="3">
        <f t="shared" si="433"/>
        <v>1.0514778689420054E-34</v>
      </c>
      <c r="D406" s="3">
        <f t="shared" si="433"/>
        <v>8.259435438836262E-32</v>
      </c>
      <c r="E406" s="3">
        <f t="shared" si="433"/>
        <v>5.8557805845824447E-29</v>
      </c>
      <c r="F406" s="3">
        <f t="shared" si="433"/>
        <v>9.3232518523086288E-27</v>
      </c>
      <c r="G406" s="3">
        <f t="shared" si="433"/>
        <v>9.522407693147791E-20</v>
      </c>
      <c r="H406" s="3">
        <f t="shared" si="433"/>
        <v>1E-13</v>
      </c>
      <c r="I406" s="109">
        <f>Comparison!AL5</f>
        <v>1E-13</v>
      </c>
      <c r="J406" s="3">
        <f>Comparison!AM5</f>
        <v>5627.8172471251501</v>
      </c>
      <c r="K406" s="3">
        <f>Comparison!AN5</f>
        <v>5619.5453722286029</v>
      </c>
      <c r="L406" s="3">
        <f>Comparison!AO5</f>
        <v>5614.1101001096886</v>
      </c>
      <c r="M406" s="3">
        <f>Comparison!AP5</f>
        <v>5597.5650860558781</v>
      </c>
      <c r="N406" s="3">
        <f>Comparison!AQ5</f>
        <v>5230.4848257433341</v>
      </c>
      <c r="O406" s="3">
        <f>Comparison!AR5</f>
        <v>4211.7468990411771</v>
      </c>
      <c r="P406" s="3">
        <f>Comparison!AS5</f>
        <v>3081.9689442141253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8.7573989459680436E-39</v>
      </c>
      <c r="C407" s="3">
        <f t="shared" si="433"/>
        <v>1.0514778689420053E-33</v>
      </c>
      <c r="D407" s="3">
        <f t="shared" si="433"/>
        <v>8.2594354388362622E-31</v>
      </c>
      <c r="E407" s="3">
        <f t="shared" si="433"/>
        <v>5.8557805845824447E-28</v>
      </c>
      <c r="F407" s="3">
        <f t="shared" si="433"/>
        <v>9.3232518523086285E-26</v>
      </c>
      <c r="G407" s="3">
        <f t="shared" si="433"/>
        <v>9.522407693147791E-19</v>
      </c>
      <c r="H407" s="3">
        <f t="shared" si="433"/>
        <v>9.9999999999999998E-13</v>
      </c>
      <c r="I407" s="109">
        <f>Comparison!AL6</f>
        <v>9.9999999999999998E-13</v>
      </c>
      <c r="J407" s="3">
        <f>Comparison!AM6</f>
        <v>5627.8109307653194</v>
      </c>
      <c r="K407" s="3">
        <f>Comparison!AN6</f>
        <v>5619.5381902049257</v>
      </c>
      <c r="L407" s="3">
        <f>Comparison!AO6</f>
        <v>5613.5440717227957</v>
      </c>
      <c r="M407" s="3">
        <f>Comparison!AP6</f>
        <v>5515.87592015054</v>
      </c>
      <c r="N407" s="3">
        <f>Comparison!AQ6</f>
        <v>5120.1446027142574</v>
      </c>
      <c r="O407" s="3">
        <f>Comparison!AR6</f>
        <v>4035.1164889708966</v>
      </c>
      <c r="P407" s="3">
        <f>Comparison!AS6</f>
        <v>2925.1274026703973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8.7573989459680439E-38</v>
      </c>
      <c r="C408" s="3">
        <f t="shared" si="433"/>
        <v>1.0514778689420052E-32</v>
      </c>
      <c r="D408" s="3">
        <f t="shared" si="433"/>
        <v>8.2594354388362619E-30</v>
      </c>
      <c r="E408" s="3">
        <f t="shared" si="433"/>
        <v>5.8557805845824444E-27</v>
      </c>
      <c r="F408" s="3">
        <f t="shared" si="433"/>
        <v>9.323251852308628E-25</v>
      </c>
      <c r="G408" s="3">
        <f t="shared" si="433"/>
        <v>9.5224076931477898E-18</v>
      </c>
      <c r="H408" s="3">
        <f t="shared" si="433"/>
        <v>9.9999999999999994E-12</v>
      </c>
      <c r="I408" s="109">
        <f>Comparison!AL7</f>
        <v>9.9999999999999994E-12</v>
      </c>
      <c r="J408" s="3">
        <f>Comparison!AM7</f>
        <v>5627.8090666274475</v>
      </c>
      <c r="K408" s="3">
        <f>Comparison!AN7</f>
        <v>5619.5270202096081</v>
      </c>
      <c r="L408" s="3">
        <f>Comparison!AO7</f>
        <v>5608.0875082385601</v>
      </c>
      <c r="M408" s="3">
        <f>Comparison!AP7</f>
        <v>5354.4297457358771</v>
      </c>
      <c r="N408" s="3">
        <f>Comparison!AQ7</f>
        <v>4998.3099857085181</v>
      </c>
      <c r="O408" s="3">
        <f>Comparison!AR7</f>
        <v>3826.9829326183326</v>
      </c>
      <c r="P408" s="3">
        <f>Comparison!AS7</f>
        <v>2768.6775302611704</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8.7573989459680437E-37</v>
      </c>
      <c r="C409" s="3">
        <f t="shared" si="433"/>
        <v>1.0514778689420054E-31</v>
      </c>
      <c r="D409" s="3">
        <f t="shared" si="433"/>
        <v>8.2594354388362624E-29</v>
      </c>
      <c r="E409" s="3">
        <f t="shared" si="433"/>
        <v>5.8557805845824448E-26</v>
      </c>
      <c r="F409" s="3">
        <f t="shared" si="433"/>
        <v>9.3232518523086288E-24</v>
      </c>
      <c r="G409" s="3">
        <f t="shared" si="433"/>
        <v>9.5224076931477908E-17</v>
      </c>
      <c r="H409" s="3">
        <f t="shared" si="433"/>
        <v>1E-10</v>
      </c>
      <c r="I409" s="109">
        <f>Comparison!AL8</f>
        <v>1E-10</v>
      </c>
      <c r="J409" s="3">
        <f>Comparison!AM8</f>
        <v>5627.8083245923272</v>
      </c>
      <c r="K409" s="3">
        <f>Comparison!AN8</f>
        <v>5619.4334394084344</v>
      </c>
      <c r="L409" s="3">
        <f>Comparison!AO8</f>
        <v>5561.0618011761198</v>
      </c>
      <c r="M409" s="3">
        <f>Comparison!AP8</f>
        <v>5243.0021702463746</v>
      </c>
      <c r="N409" s="3">
        <f>Comparison!AQ8</f>
        <v>4868.289986185935</v>
      </c>
      <c r="O409" s="3">
        <f>Comparison!AR8</f>
        <v>3620.1591645384274</v>
      </c>
      <c r="P409" s="3">
        <f>Comparison!AS8</f>
        <v>2587.8715481120807</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8.7573989459680447E-36</v>
      </c>
      <c r="C410" s="3">
        <f t="shared" si="433"/>
        <v>1.0514778689420053E-30</v>
      </c>
      <c r="D410" s="3">
        <f t="shared" si="433"/>
        <v>8.259435438836262E-28</v>
      </c>
      <c r="E410" s="3">
        <f t="shared" si="433"/>
        <v>5.8557805845824455E-25</v>
      </c>
      <c r="F410" s="3">
        <f t="shared" si="433"/>
        <v>9.32325185230863E-23</v>
      </c>
      <c r="G410" s="3">
        <f t="shared" si="433"/>
        <v>9.5224076931477917E-16</v>
      </c>
      <c r="H410" s="3">
        <f t="shared" si="433"/>
        <v>1.0000000000000001E-9</v>
      </c>
      <c r="I410" s="109">
        <f>Comparison!AL9</f>
        <v>1.0000000000000001E-9</v>
      </c>
      <c r="J410" s="3">
        <f>Comparison!AM9</f>
        <v>5627.808252198668</v>
      </c>
      <c r="K410" s="3">
        <f>Comparison!AN9</f>
        <v>5618.5096180858227</v>
      </c>
      <c r="L410" s="3">
        <f>Comparison!AO9</f>
        <v>5391.7011748892737</v>
      </c>
      <c r="M410" s="3">
        <f>Comparison!AP9</f>
        <v>5133.7176502815901</v>
      </c>
      <c r="N410" s="3">
        <f>Comparison!AQ9</f>
        <v>4722.7423685745798</v>
      </c>
      <c r="O410" s="3">
        <f>Comparison!AR9</f>
        <v>3446.6232486673289</v>
      </c>
      <c r="P410" s="3">
        <f>Comparison!AS9</f>
        <v>2392.4689452404186</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8.7573989459680444E-35</v>
      </c>
      <c r="C411" s="3">
        <f t="shared" si="433"/>
        <v>1.0514778689420053E-29</v>
      </c>
      <c r="D411" s="3">
        <f t="shared" si="433"/>
        <v>8.259435438836262E-27</v>
      </c>
      <c r="E411" s="3">
        <f t="shared" si="433"/>
        <v>5.8557805845824448E-24</v>
      </c>
      <c r="F411" s="3">
        <f t="shared" si="433"/>
        <v>9.3232518523086302E-22</v>
      </c>
      <c r="G411" s="3">
        <f t="shared" si="433"/>
        <v>9.5224076931477906E-15</v>
      </c>
      <c r="H411" s="3">
        <f t="shared" si="433"/>
        <v>1E-8</v>
      </c>
      <c r="I411" s="109">
        <f>Comparison!AL10</f>
        <v>1E-8</v>
      </c>
      <c r="J411" s="3">
        <f>Comparison!AM10</f>
        <v>5627.808053116114</v>
      </c>
      <c r="K411" s="3">
        <f>Comparison!AN10</f>
        <v>5609.604774269872</v>
      </c>
      <c r="L411" s="3">
        <f>Comparison!AO10</f>
        <v>5273.7806689105482</v>
      </c>
      <c r="M411" s="3">
        <f>Comparison!AP10</f>
        <v>5011.8758976932013</v>
      </c>
      <c r="N411" s="3">
        <f>Comparison!AQ10</f>
        <v>4566.4647906515956</v>
      </c>
      <c r="O411" s="3">
        <f>Comparison!AR10</f>
        <v>3283.5389960784037</v>
      </c>
      <c r="P411" s="3">
        <f>Comparison!AS10</f>
        <v>2172.7822789963197</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8.7573989459680442E-34</v>
      </c>
      <c r="C412" s="3">
        <f t="shared" si="433"/>
        <v>1.0514778689420052E-28</v>
      </c>
      <c r="D412" s="3">
        <f t="shared" si="433"/>
        <v>8.2594354388362617E-26</v>
      </c>
      <c r="E412" s="3">
        <f t="shared" si="433"/>
        <v>5.8557805845824442E-23</v>
      </c>
      <c r="F412" s="3">
        <f t="shared" si="433"/>
        <v>9.3232518523086279E-21</v>
      </c>
      <c r="G412" s="3">
        <f t="shared" si="433"/>
        <v>9.5224076931477902E-14</v>
      </c>
      <c r="H412" s="3">
        <f t="shared" si="433"/>
        <v>9.9999999999999995E-8</v>
      </c>
      <c r="I412" s="109">
        <f>Comparison!AL11</f>
        <v>9.9999999999999995E-8</v>
      </c>
      <c r="J412" s="3">
        <f>Comparison!AM11</f>
        <v>5627.8079807224613</v>
      </c>
      <c r="K412" s="3">
        <f>Comparison!AN11</f>
        <v>5534.6820731552771</v>
      </c>
      <c r="L412" s="3">
        <f>Comparison!AO11</f>
        <v>5167.1400623232676</v>
      </c>
      <c r="M412" s="3">
        <f>Comparison!AP11</f>
        <v>4882.7230333645084</v>
      </c>
      <c r="N412" s="3">
        <f>Comparison!AQ11</f>
        <v>4408.434781704007</v>
      </c>
      <c r="O412" s="3">
        <f>Comparison!AR11</f>
        <v>3126.1515402495047</v>
      </c>
      <c r="P412" s="3">
        <f>Comparison!AS11</f>
        <v>1927.9643975704516</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8.7573989459680442E-33</v>
      </c>
      <c r="C413" s="3">
        <f t="shared" si="433"/>
        <v>1.0514778689420053E-27</v>
      </c>
      <c r="D413" s="3">
        <f t="shared" si="433"/>
        <v>8.2594354388362615E-25</v>
      </c>
      <c r="E413" s="3">
        <f t="shared" si="433"/>
        <v>5.8557805845824449E-22</v>
      </c>
      <c r="F413" s="3">
        <f t="shared" si="433"/>
        <v>9.3232518523086288E-20</v>
      </c>
      <c r="G413" s="3">
        <f t="shared" si="433"/>
        <v>9.52240769314779E-13</v>
      </c>
      <c r="H413" s="3">
        <f t="shared" si="433"/>
        <v>9.9999999999999995E-7</v>
      </c>
      <c r="I413" s="109">
        <f>Comparison!AL12</f>
        <v>9.9999999999999995E-7</v>
      </c>
      <c r="J413" s="3">
        <f>Comparison!AM12</f>
        <v>5627.8066052434133</v>
      </c>
      <c r="K413" s="3">
        <f>Comparison!AN12</f>
        <v>5370.399425083704</v>
      </c>
      <c r="L413" s="3">
        <f>Comparison!AO12</f>
        <v>5046.4639033804824</v>
      </c>
      <c r="M413" s="3">
        <f>Comparison!AP12</f>
        <v>4737.6825060207148</v>
      </c>
      <c r="N413" s="3">
        <f>Comparison!AQ12</f>
        <v>4256.2001953133786</v>
      </c>
      <c r="O413" s="3">
        <f>Comparison!AR12</f>
        <v>2970.9240585633979</v>
      </c>
      <c r="P413" s="3">
        <f>Comparison!AS12</f>
        <v>1643.6970338003</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8.7573989459680447E-32</v>
      </c>
      <c r="C414" s="3">
        <f t="shared" si="433"/>
        <v>1.0514778689420054E-26</v>
      </c>
      <c r="D414" s="3">
        <f t="shared" si="433"/>
        <v>8.2594354388362626E-24</v>
      </c>
      <c r="E414" s="3">
        <f t="shared" si="433"/>
        <v>5.8557805845824454E-21</v>
      </c>
      <c r="F414" s="3">
        <f t="shared" si="433"/>
        <v>9.3232518523086296E-19</v>
      </c>
      <c r="G414" s="3">
        <f t="shared" si="433"/>
        <v>9.5224076931477912E-12</v>
      </c>
      <c r="H414" s="3">
        <f t="shared" si="433"/>
        <v>1.0000000000000001E-5</v>
      </c>
      <c r="I414" s="109">
        <f>Comparison!AL13</f>
        <v>1.0000000000000001E-5</v>
      </c>
      <c r="J414" s="3">
        <f>Comparison!AM13</f>
        <v>5627.7932848495184</v>
      </c>
      <c r="K414" s="3">
        <f>Comparison!AN13</f>
        <v>5257.8155746015464</v>
      </c>
      <c r="L414" s="3">
        <f>Comparison!AO13</f>
        <v>4920.6469341545144</v>
      </c>
      <c r="M414" s="3">
        <f>Comparison!AP13</f>
        <v>4581.7042756516666</v>
      </c>
      <c r="N414" s="3">
        <f>Comparison!AQ13</f>
        <v>4088.6897076558816</v>
      </c>
      <c r="O414" s="3">
        <f>Comparison!AR13</f>
        <v>2814.9531210575578</v>
      </c>
      <c r="P414" s="3">
        <f>Comparison!AS13</f>
        <v>1319.6710728146086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8.7573989459680452E-31</v>
      </c>
      <c r="C415" s="3">
        <f t="shared" si="433"/>
        <v>1.0514778689420054E-25</v>
      </c>
      <c r="D415" s="3">
        <f t="shared" si="433"/>
        <v>8.2594354388362629E-23</v>
      </c>
      <c r="E415" s="3">
        <f t="shared" si="433"/>
        <v>5.8557805845824456E-20</v>
      </c>
      <c r="F415" s="3">
        <f t="shared" si="433"/>
        <v>9.3232518523086299E-18</v>
      </c>
      <c r="G415" s="3">
        <f t="shared" si="433"/>
        <v>9.5224076931477912E-11</v>
      </c>
      <c r="H415" s="3">
        <f t="shared" si="433"/>
        <v>1E-4</v>
      </c>
      <c r="I415" s="109">
        <f>Comparison!AL14</f>
        <v>1E-4</v>
      </c>
      <c r="J415" s="3">
        <f>Comparison!AM14</f>
        <v>5627.6610797391322</v>
      </c>
      <c r="K415" s="3">
        <f>Comparison!AN14</f>
        <v>5148.9525022518937</v>
      </c>
      <c r="L415" s="3">
        <f>Comparison!AO14</f>
        <v>4778.6212241451321</v>
      </c>
      <c r="M415" s="3">
        <f>Comparison!AP14</f>
        <v>4422.8560767502513</v>
      </c>
      <c r="N415" s="3">
        <f>Comparison!AQ14</f>
        <v>3886.5453020717396</v>
      </c>
      <c r="O415" s="3">
        <f>Comparison!AR14</f>
        <v>2641.4801683555684</v>
      </c>
      <c r="P415" s="3">
        <f>Comparison!AS14</f>
        <v>983.6154232764427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8.7573989459680441E-30</v>
      </c>
      <c r="C416" s="3">
        <f t="shared" si="433"/>
        <v>1.0514778689420052E-24</v>
      </c>
      <c r="D416" s="3">
        <f t="shared" si="433"/>
        <v>8.2594354388362626E-22</v>
      </c>
      <c r="E416" s="3">
        <f t="shared" si="433"/>
        <v>5.8557805845824449E-19</v>
      </c>
      <c r="F416" s="3">
        <f t="shared" si="433"/>
        <v>9.3232518523086296E-17</v>
      </c>
      <c r="G416" s="3">
        <f t="shared" si="433"/>
        <v>9.5224076931477922E-10</v>
      </c>
      <c r="H416" s="3">
        <f t="shared" si="433"/>
        <v>1E-3</v>
      </c>
      <c r="I416" s="109">
        <f>Comparison!AL15</f>
        <v>1E-3</v>
      </c>
      <c r="J416" s="3">
        <f>Comparison!AM15</f>
        <v>5626.3493372203875</v>
      </c>
      <c r="K416" s="3">
        <f>Comparison!AN15</f>
        <v>5026.92102925375</v>
      </c>
      <c r="L416" s="3">
        <f>Comparison!AO15</f>
        <v>4624.8276392807802</v>
      </c>
      <c r="M416" s="3">
        <f>Comparison!AP15</f>
        <v>4270.4317526073974</v>
      </c>
      <c r="N416" s="3">
        <f>Comparison!AQ15</f>
        <v>3674.0476464355193</v>
      </c>
      <c r="O416" s="3">
        <f>Comparison!AR15</f>
        <v>2449.1835010011705</v>
      </c>
      <c r="P416" s="3">
        <f>Comparison!AS15</f>
        <v>693.66104788005293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8.7573989459680441E-29</v>
      </c>
      <c r="C417" s="3">
        <f t="shared" si="433"/>
        <v>1.0514778689420053E-23</v>
      </c>
      <c r="D417" s="3">
        <f t="shared" si="433"/>
        <v>8.2594354388362623E-21</v>
      </c>
      <c r="E417" s="3">
        <f t="shared" si="433"/>
        <v>5.8557805845824447E-18</v>
      </c>
      <c r="F417" s="3">
        <f t="shared" si="433"/>
        <v>9.3232518523086289E-16</v>
      </c>
      <c r="G417" s="3">
        <f t="shared" si="433"/>
        <v>9.5224076931477914E-9</v>
      </c>
      <c r="H417" s="3">
        <f t="shared" si="433"/>
        <v>0.01</v>
      </c>
      <c r="I417" s="109">
        <f>Comparison!AL16</f>
        <v>0.01</v>
      </c>
      <c r="J417" s="3">
        <f>Comparison!AM16</f>
        <v>5613.8255139047442</v>
      </c>
      <c r="K417" s="3">
        <f>Comparison!AN16</f>
        <v>4898.1924827249632</v>
      </c>
      <c r="L417" s="3">
        <f>Comparison!AO16</f>
        <v>4464.4431086830655</v>
      </c>
      <c r="M417" s="3">
        <f>Comparison!AP16</f>
        <v>4104.9210309366072</v>
      </c>
      <c r="N417" s="3">
        <f>Comparison!AQ16</f>
        <v>3490.4964950029853</v>
      </c>
      <c r="O417" s="3">
        <f>Comparison!AR16</f>
        <v>2235.8247528873858</v>
      </c>
      <c r="P417" s="3">
        <f>Comparison!AS16</f>
        <v>485.93999274200024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8.7573989459680441E-28</v>
      </c>
      <c r="C418" s="3">
        <f t="shared" si="433"/>
        <v>1.0514778689420054E-22</v>
      </c>
      <c r="D418" s="3">
        <f t="shared" si="433"/>
        <v>8.2594354388362623E-20</v>
      </c>
      <c r="E418" s="3">
        <f t="shared" si="433"/>
        <v>5.855780584582445E-17</v>
      </c>
      <c r="F418" s="3">
        <f t="shared" si="433"/>
        <v>9.3232518523086297E-15</v>
      </c>
      <c r="G418" s="3">
        <f t="shared" si="433"/>
        <v>9.5224076931477914E-8</v>
      </c>
      <c r="H418" s="3">
        <f t="shared" si="433"/>
        <v>0.1</v>
      </c>
      <c r="I418" s="109">
        <f>Comparison!AL17</f>
        <v>0.1</v>
      </c>
      <c r="J418" s="3">
        <f>Comparison!AM17</f>
        <v>5517.4172060787987</v>
      </c>
      <c r="K418" s="3">
        <f>Comparison!AN17</f>
        <v>4753.3269146217463</v>
      </c>
      <c r="L418" s="3">
        <f>Comparison!AO17</f>
        <v>4311.3670250981177</v>
      </c>
      <c r="M418" s="3">
        <f>Comparison!AP17</f>
        <v>3904.1870554469519</v>
      </c>
      <c r="N418" s="3">
        <f>Comparison!AQ17</f>
        <v>3328.6476119407066</v>
      </c>
      <c r="O418" s="3">
        <f>Comparison!AR17</f>
        <v>1993.335720552192</v>
      </c>
      <c r="P418" s="3">
        <f>Comparison!AS17</f>
        <v>367.37990571310178</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8.7573989459680434E-27</v>
      </c>
      <c r="C419" s="3">
        <f t="shared" si="433"/>
        <v>1.0514778689420054E-21</v>
      </c>
      <c r="D419" s="3">
        <f t="shared" si="433"/>
        <v>8.2594354388362623E-19</v>
      </c>
      <c r="E419" s="3">
        <f t="shared" si="433"/>
        <v>5.8557805845824452E-16</v>
      </c>
      <c r="F419" s="3">
        <f t="shared" si="433"/>
        <v>9.3232518523086294E-14</v>
      </c>
      <c r="G419" s="3">
        <f t="shared" si="433"/>
        <v>9.5224076931477909E-7</v>
      </c>
      <c r="H419" s="3">
        <f t="shared" si="433"/>
        <v>1</v>
      </c>
      <c r="I419" s="109">
        <f>Comparison!AL18</f>
        <v>1</v>
      </c>
      <c r="J419" s="3">
        <f>Comparison!AM18</f>
        <v>5360.9194936383001</v>
      </c>
      <c r="K419" s="3">
        <f>Comparison!AN18</f>
        <v>4597.3394014710702</v>
      </c>
      <c r="L419" s="3">
        <f>Comparison!AO18</f>
        <v>4152.6891106145395</v>
      </c>
      <c r="M419" s="3">
        <f>Comparison!AP18</f>
        <v>3689.3430627142566</v>
      </c>
      <c r="N419" s="3">
        <f>Comparison!AQ18</f>
        <v>3162.6549081928265</v>
      </c>
      <c r="O419" s="3">
        <f>Comparison!AR18</f>
        <v>1707.9100595434049</v>
      </c>
      <c r="P419" s="3">
        <f>Comparison!AS18</f>
        <v>307.17178720865763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8.7573989459680446E-26</v>
      </c>
      <c r="C420" s="3">
        <f t="shared" si="434"/>
        <v>1.0514778689420053E-20</v>
      </c>
      <c r="D420" s="3">
        <f t="shared" si="434"/>
        <v>8.2594354388362626E-18</v>
      </c>
      <c r="E420" s="3">
        <f t="shared" si="434"/>
        <v>5.8557805845824446E-15</v>
      </c>
      <c r="F420" s="3">
        <f t="shared" si="434"/>
        <v>9.3232518523086281E-13</v>
      </c>
      <c r="G420" s="3">
        <f t="shared" si="434"/>
        <v>9.5224076931477907E-6</v>
      </c>
      <c r="H420" s="3">
        <f t="shared" si="434"/>
        <v>10</v>
      </c>
      <c r="I420" s="109">
        <f>Comparison!AL19</f>
        <v>10</v>
      </c>
      <c r="J420" s="3">
        <f>Comparison!AM19</f>
        <v>5250.254742360099</v>
      </c>
      <c r="K420" s="3">
        <f>Comparison!AN19</f>
        <v>4437.480614548972</v>
      </c>
      <c r="L420" s="3">
        <f>Comparison!AO19</f>
        <v>3957.9636218361616</v>
      </c>
      <c r="M420" s="3">
        <f>Comparison!AP19</f>
        <v>3495.8611800317371</v>
      </c>
      <c r="N420" s="3">
        <f>Comparison!AQ19</f>
        <v>2989.0593935666489</v>
      </c>
      <c r="O420" s="3">
        <f>Comparison!AR19</f>
        <v>1382.9901395885138</v>
      </c>
      <c r="P420" s="3">
        <f>Comparison!AS19</f>
        <v>279.06842494658031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8.7573989459680434E-25</v>
      </c>
      <c r="C421" s="3">
        <f t="shared" si="434"/>
        <v>1.0514778689420053E-19</v>
      </c>
      <c r="D421" s="3">
        <f t="shared" si="434"/>
        <v>8.259435438836262E-17</v>
      </c>
      <c r="E421" s="3">
        <f t="shared" si="434"/>
        <v>5.8557805845824453E-14</v>
      </c>
      <c r="F421" s="3">
        <f t="shared" si="434"/>
        <v>9.3232518523086285E-12</v>
      </c>
      <c r="G421" s="3">
        <f t="shared" si="434"/>
        <v>9.5224076931477907E-5</v>
      </c>
      <c r="H421" s="3">
        <f t="shared" si="434"/>
        <v>100</v>
      </c>
      <c r="I421" s="109">
        <f>Comparison!AL20</f>
        <v>100</v>
      </c>
      <c r="J421" s="3">
        <f>Comparison!AM20</f>
        <v>5138.7770947931922</v>
      </c>
      <c r="K421" s="3">
        <f>Comparison!AN20</f>
        <v>4282.6976933023134</v>
      </c>
      <c r="L421" s="3">
        <f>Comparison!AO20</f>
        <v>3730.5898476111606</v>
      </c>
      <c r="M421" s="3">
        <f>Comparison!AP20</f>
        <v>3307.8943029856523</v>
      </c>
      <c r="N421" s="3">
        <f>Comparison!AQ20</f>
        <v>2798.1852090008501</v>
      </c>
      <c r="O421" s="3">
        <f>Comparison!AR20</f>
        <v>1045.3846206276212</v>
      </c>
      <c r="P421" s="3">
        <f>Comparison!AS20</f>
        <v>261.67169004040318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8.7573989459680434E-24</v>
      </c>
      <c r="C422" s="3">
        <f t="shared" si="434"/>
        <v>1.0514778689420052E-18</v>
      </c>
      <c r="D422" s="3">
        <f t="shared" si="434"/>
        <v>8.2594354388362625E-16</v>
      </c>
      <c r="E422" s="3">
        <f t="shared" si="434"/>
        <v>5.8557805845824448E-13</v>
      </c>
      <c r="F422" s="3">
        <f t="shared" si="434"/>
        <v>9.3232518523086288E-11</v>
      </c>
      <c r="G422" s="3">
        <f t="shared" si="434"/>
        <v>9.5224076931477912E-4</v>
      </c>
      <c r="H422" s="3">
        <f t="shared" si="434"/>
        <v>1000</v>
      </c>
      <c r="I422" s="109">
        <f>Comparison!AL21</f>
        <v>1000</v>
      </c>
      <c r="J422" s="3">
        <f>Comparison!AM21</f>
        <v>5015.7448530146003</v>
      </c>
      <c r="K422" s="3">
        <f>Comparison!AN21</f>
        <v>4104.6708903026465</v>
      </c>
      <c r="L422" s="3">
        <f>Comparison!AO21</f>
        <v>3500.0702814112506</v>
      </c>
      <c r="M422" s="3">
        <f>Comparison!AP21</f>
        <v>3103.7900841852515</v>
      </c>
      <c r="N422" s="3">
        <f>Comparison!AQ21</f>
        <v>2599.5030730508342</v>
      </c>
      <c r="O422" s="3">
        <f>Comparison!AR21</f>
        <v>743.50488577028852</v>
      </c>
      <c r="P422" s="3">
        <f>Comparison!AS21</f>
        <v>251.34674819282765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8.7573989459680437E-23</v>
      </c>
      <c r="C423" s="3">
        <f t="shared" si="434"/>
        <v>1.0514778689420054E-17</v>
      </c>
      <c r="D423" s="3">
        <f t="shared" si="434"/>
        <v>8.2594354388362629E-15</v>
      </c>
      <c r="E423" s="3">
        <f t="shared" si="434"/>
        <v>5.855780584582445E-12</v>
      </c>
      <c r="F423" s="3">
        <f t="shared" si="434"/>
        <v>9.3232518523086299E-10</v>
      </c>
      <c r="G423" s="3">
        <f t="shared" si="434"/>
        <v>9.522407693147791E-3</v>
      </c>
      <c r="H423" s="3">
        <f t="shared" si="434"/>
        <v>10000</v>
      </c>
      <c r="I423" s="109">
        <f>Comparison!AL22</f>
        <v>10000</v>
      </c>
      <c r="J423" s="3">
        <f>Comparison!AM22</f>
        <v>4881.370820360753</v>
      </c>
      <c r="K423" s="3">
        <f>Comparison!AN22</f>
        <v>3863.6251591234022</v>
      </c>
      <c r="L423" s="3">
        <f>Comparison!AO22</f>
        <v>3289.3669034465734</v>
      </c>
      <c r="M423" s="3">
        <f>Comparison!AP22</f>
        <v>2911.6115267339505</v>
      </c>
      <c r="N423" s="3">
        <f>Comparison!AQ22</f>
        <v>2390.0680354035449</v>
      </c>
      <c r="O423" s="3">
        <f>Comparison!AR22</f>
        <v>519.49600219625086</v>
      </c>
      <c r="P423" s="3">
        <f>Comparison!AS22</f>
        <v>246.12933837944422</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8.7573989459680437E-22</v>
      </c>
      <c r="C424" s="3">
        <f t="shared" si="434"/>
        <v>1.0514778689420053E-16</v>
      </c>
      <c r="D424" s="3">
        <f t="shared" si="434"/>
        <v>8.2594354388362626E-14</v>
      </c>
      <c r="E424" s="3">
        <f t="shared" si="434"/>
        <v>5.8557805845824445E-11</v>
      </c>
      <c r="F424" s="3">
        <f t="shared" si="434"/>
        <v>9.3232518523086299E-9</v>
      </c>
      <c r="G424" s="3">
        <f t="shared" si="434"/>
        <v>9.5224076931477913E-2</v>
      </c>
      <c r="H424" s="3">
        <f t="shared" si="434"/>
        <v>100000</v>
      </c>
      <c r="I424" s="109">
        <f>Comparison!AL23</f>
        <v>100000</v>
      </c>
      <c r="J424" s="3">
        <f>Comparison!AM23</f>
        <v>4715.1502303445186</v>
      </c>
      <c r="K424" s="3">
        <f>Comparison!AN23</f>
        <v>3593.12923880173</v>
      </c>
      <c r="L424" s="3">
        <f>Comparison!AO23</f>
        <v>3085.2633506749817</v>
      </c>
      <c r="M424" s="3">
        <f>Comparison!AP23</f>
        <v>2729.2195894835777</v>
      </c>
      <c r="N424" s="3">
        <f>Comparison!AQ23</f>
        <v>2175.40034172183</v>
      </c>
      <c r="O424" s="3">
        <f>Comparison!AR23</f>
        <v>383.51568079468302</v>
      </c>
      <c r="P424" s="3">
        <f>Comparison!AS23</f>
        <v>232.30454015462297</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8.7573989459680441E-21</v>
      </c>
      <c r="C425" s="3">
        <f t="shared" si="434"/>
        <v>1.0514778689420053E-15</v>
      </c>
      <c r="D425" s="3">
        <f t="shared" si="434"/>
        <v>8.2594354388362626E-13</v>
      </c>
      <c r="E425" s="3">
        <f t="shared" si="434"/>
        <v>5.8557805845824453E-10</v>
      </c>
      <c r="F425" s="3">
        <f t="shared" si="434"/>
        <v>9.3232518523086292E-8</v>
      </c>
      <c r="G425" s="3">
        <f t="shared" si="434"/>
        <v>0.95224076931477908</v>
      </c>
      <c r="H425" s="3">
        <f t="shared" si="434"/>
        <v>1000000</v>
      </c>
      <c r="I425" s="109">
        <f>Comparison!AL24</f>
        <v>1000000</v>
      </c>
      <c r="J425" s="3">
        <f>Comparison!AM24</f>
        <v>4502.659399288631</v>
      </c>
      <c r="K425" s="3">
        <f>Comparison!AN24</f>
        <v>3360.468185804395</v>
      </c>
      <c r="L425" s="3">
        <f>Comparison!AO24</f>
        <v>2905.3736728917142</v>
      </c>
      <c r="M425" s="3">
        <f>Comparison!AP24</f>
        <v>2550.726219448276</v>
      </c>
      <c r="N425" s="3">
        <f>Comparison!AQ24</f>
        <v>1944.7438917872487</v>
      </c>
      <c r="O425" s="3">
        <f>Comparison!AR24</f>
        <v>314.10371823238006</v>
      </c>
      <c r="P425" s="3">
        <f>Comparison!AS24</f>
        <v>227.24083682489959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8.7573989459680444E-20</v>
      </c>
      <c r="C426" s="3">
        <f t="shared" si="434"/>
        <v>1.0514778689420053E-14</v>
      </c>
      <c r="D426" s="3">
        <f t="shared" si="434"/>
        <v>8.2594354388362618E-12</v>
      </c>
      <c r="E426" s="3">
        <f t="shared" si="434"/>
        <v>5.8557805845824444E-9</v>
      </c>
      <c r="F426" s="3">
        <f t="shared" si="434"/>
        <v>9.3232518523086289E-7</v>
      </c>
      <c r="G426" s="3">
        <f t="shared" si="434"/>
        <v>9.522407693147791</v>
      </c>
      <c r="H426" s="3">
        <f t="shared" si="434"/>
        <v>10000000</v>
      </c>
      <c r="I426" s="109">
        <f>Comparison!AL25</f>
        <v>10000000</v>
      </c>
      <c r="J426" s="3">
        <f>Comparison!AM25</f>
        <v>4273.4157788380835</v>
      </c>
      <c r="K426" s="3">
        <f>Comparison!AN25</f>
        <v>3169.2406182554596</v>
      </c>
      <c r="L426" s="3">
        <f>Comparison!AO25</f>
        <v>2732.9260794562178</v>
      </c>
      <c r="M426" s="3">
        <f>Comparison!AP25</f>
        <v>2358.1438044871866</v>
      </c>
      <c r="N426" s="3">
        <f>Comparison!AQ25</f>
        <v>1692.3075271682321</v>
      </c>
      <c r="O426" s="3">
        <f>Comparison!AR25</f>
        <v>280.6909623460773</v>
      </c>
      <c r="P426" s="3">
        <f>Comparison!AS25</f>
        <v>226.40989093990805</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8.7573989459680449E-19</v>
      </c>
      <c r="C427" s="3">
        <f t="shared" si="434"/>
        <v>1.0514778689420054E-13</v>
      </c>
      <c r="D427" s="3">
        <f t="shared" si="434"/>
        <v>8.2594354388362618E-11</v>
      </c>
      <c r="E427" s="3">
        <f t="shared" si="434"/>
        <v>5.8557805845824451E-8</v>
      </c>
      <c r="F427" s="3">
        <f t="shared" si="434"/>
        <v>9.3232518523086296E-6</v>
      </c>
      <c r="G427" s="3">
        <f t="shared" si="434"/>
        <v>95.22407693147791</v>
      </c>
      <c r="H427" s="3">
        <f t="shared" si="434"/>
        <v>100000000</v>
      </c>
      <c r="I427" s="109">
        <f>Comparison!AL26</f>
        <v>100000000</v>
      </c>
      <c r="J427" s="3">
        <f>Comparison!AM26</f>
        <v>4058.4470173916279</v>
      </c>
      <c r="K427" s="3">
        <f>Comparison!AN26</f>
        <v>2988.8293612758935</v>
      </c>
      <c r="L427" s="3">
        <f>Comparison!AO26</f>
        <v>2568.1909736158736</v>
      </c>
      <c r="M427" s="3">
        <f>Comparison!AP26</f>
        <v>2158.239452794789</v>
      </c>
      <c r="N427" s="3">
        <f>Comparison!AQ26</f>
        <v>1404.857998960405</v>
      </c>
      <c r="O427" s="3">
        <f>Comparison!AR26</f>
        <v>262.23895816268134</v>
      </c>
      <c r="P427" s="3">
        <f>Comparison!AS26</f>
        <v>226.30209993218824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8.7573989459680445E-18</v>
      </c>
      <c r="C428" s="3">
        <f t="shared" si="434"/>
        <v>1.0514778689420053E-12</v>
      </c>
      <c r="D428" s="3">
        <f t="shared" si="434"/>
        <v>8.2594354388362621E-10</v>
      </c>
      <c r="E428" s="3">
        <f t="shared" si="434"/>
        <v>5.8557805845824448E-7</v>
      </c>
      <c r="F428" s="3">
        <f t="shared" si="434"/>
        <v>9.3232518523086289E-5</v>
      </c>
      <c r="G428" s="3">
        <f t="shared" si="434"/>
        <v>952.24076931477907</v>
      </c>
      <c r="H428" s="3">
        <f t="shared" si="434"/>
        <v>1000000000</v>
      </c>
      <c r="I428" s="109">
        <f>Comparison!AL27</f>
        <v>1000000000</v>
      </c>
      <c r="J428" s="3">
        <f>Comparison!AM27</f>
        <v>3848.5922465336935</v>
      </c>
      <c r="K428" s="3">
        <f>Comparison!AN27</f>
        <v>2827.4607055264137</v>
      </c>
      <c r="L428" s="3">
        <f>Comparison!AO27</f>
        <v>2386.1123895749793</v>
      </c>
      <c r="M428" s="3">
        <f>Comparison!AP27</f>
        <v>1939.4329282086981</v>
      </c>
      <c r="N428" s="3">
        <f>Comparison!AQ27</f>
        <v>1091.4425267820036</v>
      </c>
      <c r="O428" s="3">
        <f>Comparison!AR27</f>
        <v>250.5385469230996</v>
      </c>
      <c r="P428" s="3">
        <f>Comparison!AS27</f>
        <v>225.971358220734</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8.7573989459680442E-17</v>
      </c>
      <c r="C429" s="3">
        <f t="shared" si="434"/>
        <v>1.0514778689420053E-11</v>
      </c>
      <c r="D429" s="3">
        <f t="shared" si="434"/>
        <v>8.2594354388362616E-9</v>
      </c>
      <c r="E429" s="3">
        <f t="shared" si="434"/>
        <v>5.855780584582445E-6</v>
      </c>
      <c r="F429" s="3">
        <f t="shared" si="434"/>
        <v>9.3232518523086289E-4</v>
      </c>
      <c r="G429" s="3">
        <f t="shared" si="434"/>
        <v>9522.4076931477903</v>
      </c>
      <c r="H429" s="3">
        <f t="shared" si="434"/>
        <v>10000000000</v>
      </c>
      <c r="I429" s="109">
        <f>Comparison!AL28</f>
        <v>10000000000</v>
      </c>
      <c r="J429" s="3">
        <f>Comparison!AM28</f>
        <v>3623.9563394023553</v>
      </c>
      <c r="K429" s="3">
        <f>Comparison!AN28</f>
        <v>2670.1707037079254</v>
      </c>
      <c r="L429" s="3">
        <f>Comparison!AO28</f>
        <v>2196.768027007945</v>
      </c>
      <c r="M429" s="3">
        <f>Comparison!AP28</f>
        <v>1697.1946565213088</v>
      </c>
      <c r="N429" s="3">
        <f>Comparison!AQ28</f>
        <v>790.55484106714846</v>
      </c>
      <c r="O429" s="3">
        <f>Comparison!AR28</f>
        <v>245.32626479673095</v>
      </c>
      <c r="P429" s="3">
        <f>Comparison!AS28</f>
        <v>225.60625299057205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8.7573989459680444E-16</v>
      </c>
      <c r="C430" s="3">
        <f t="shared" si="434"/>
        <v>1.0514778689420053E-10</v>
      </c>
      <c r="D430" s="3">
        <f t="shared" si="434"/>
        <v>8.2594354388362626E-8</v>
      </c>
      <c r="E430" s="3">
        <f t="shared" si="434"/>
        <v>5.8557805845824445E-5</v>
      </c>
      <c r="F430" s="3">
        <f t="shared" si="434"/>
        <v>9.3232518523086293E-3</v>
      </c>
      <c r="G430" s="3">
        <f t="shared" si="434"/>
        <v>95224.076931477917</v>
      </c>
      <c r="H430" s="3">
        <f t="shared" si="434"/>
        <v>100000000000</v>
      </c>
      <c r="I430" s="109">
        <f>Comparison!AL29</f>
        <v>100000000000</v>
      </c>
      <c r="J430" s="3">
        <f>Comparison!AM29</f>
        <v>3404.5451338992034</v>
      </c>
      <c r="K430" s="3">
        <f>Comparison!AN29</f>
        <v>2515.5612619665249</v>
      </c>
      <c r="L430" s="3">
        <f>Comparison!AO29</f>
        <v>1987.4046244520723</v>
      </c>
      <c r="M430" s="3">
        <f>Comparison!AP29</f>
        <v>1417.4356606109552</v>
      </c>
      <c r="N430" s="3">
        <f>Comparison!AQ29</f>
        <v>554.44228824478739</v>
      </c>
      <c r="O430" s="3">
        <f>Comparison!AR29</f>
        <v>234.06992955511652</v>
      </c>
      <c r="P430" s="3">
        <f>Comparison!AS29</f>
        <v>225.49131077609314</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8.7573989459680436E-15</v>
      </c>
      <c r="C431" s="3">
        <f t="shared" si="434"/>
        <v>1.0514778689420054E-9</v>
      </c>
      <c r="D431" s="3">
        <f t="shared" si="434"/>
        <v>8.2594354388362624E-7</v>
      </c>
      <c r="E431" s="3">
        <f t="shared" si="434"/>
        <v>5.8557805845824444E-4</v>
      </c>
      <c r="F431" s="3">
        <f t="shared" si="434"/>
        <v>9.3232518523086297E-2</v>
      </c>
      <c r="G431" s="3">
        <f t="shared" si="434"/>
        <v>952240.76931477909</v>
      </c>
      <c r="H431" s="3">
        <f t="shared" si="434"/>
        <v>1000000000000</v>
      </c>
      <c r="I431" s="109">
        <f>Comparison!AL30</f>
        <v>1000000000000</v>
      </c>
      <c r="J431" s="3">
        <f>Comparison!AM30</f>
        <v>3224.8694264190117</v>
      </c>
      <c r="K431" s="3">
        <f>Comparison!AN30</f>
        <v>2336.7097855049965</v>
      </c>
      <c r="L431" s="3">
        <f>Comparison!AO30</f>
        <v>1756.4334468648422</v>
      </c>
      <c r="M431" s="3">
        <f>Comparison!AP30</f>
        <v>1107.9541803332813</v>
      </c>
      <c r="N431" s="3">
        <f>Comparison!AQ30</f>
        <v>402.30286435501444</v>
      </c>
      <c r="O431" s="3">
        <f>Comparison!AR30</f>
        <v>226.1826531941249</v>
      </c>
      <c r="P431" s="3">
        <f>Comparison!AS30</f>
        <v>225.3813329804162</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8.7573989459680439E-14</v>
      </c>
      <c r="C432" s="3">
        <f t="shared" si="434"/>
        <v>1.0514778689420053E-8</v>
      </c>
      <c r="D432" s="3">
        <f t="shared" si="434"/>
        <v>8.2594354388362622E-6</v>
      </c>
      <c r="E432" s="3">
        <f t="shared" si="434"/>
        <v>5.8557805845824446E-3</v>
      </c>
      <c r="F432" s="3">
        <f t="shared" si="434"/>
        <v>0.93232518523086294</v>
      </c>
      <c r="G432" s="3">
        <f t="shared" si="434"/>
        <v>9522407.6931477915</v>
      </c>
      <c r="H432" s="3">
        <f t="shared" si="434"/>
        <v>10000000000000</v>
      </c>
      <c r="I432" s="109">
        <f>Comparison!AL31</f>
        <v>10000000000000</v>
      </c>
      <c r="J432" s="3">
        <f>Comparison!AM31</f>
        <v>3068.1804215620291</v>
      </c>
      <c r="K432" s="3">
        <f>Comparison!AN31</f>
        <v>2150.3686174171794</v>
      </c>
      <c r="L432" s="3">
        <f>Comparison!AO31</f>
        <v>1488.4468583518017</v>
      </c>
      <c r="M432" s="3">
        <f>Comparison!AP31</f>
        <v>805.95331833639966</v>
      </c>
      <c r="N432" s="3">
        <f>Comparison!AQ31</f>
        <v>323.52349101295181</v>
      </c>
      <c r="O432" s="3">
        <f>Comparison!AR31</f>
        <v>225.23832209445587</v>
      </c>
      <c r="P432" s="3">
        <f>Comparison!AS31</f>
        <v>225.28846256587596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8.7573989459680444E-13</v>
      </c>
      <c r="C433" s="3">
        <f t="shared" si="434"/>
        <v>1.0514778689420053E-7</v>
      </c>
      <c r="D433" s="3">
        <f t="shared" si="434"/>
        <v>8.2594354388362625E-5</v>
      </c>
      <c r="E433" s="3">
        <f t="shared" si="434"/>
        <v>5.855780584582445E-2</v>
      </c>
      <c r="F433" s="3">
        <f t="shared" si="434"/>
        <v>9.3232518523086299</v>
      </c>
      <c r="G433" s="3">
        <f t="shared" si="434"/>
        <v>95224076.931477904</v>
      </c>
      <c r="H433" s="3">
        <f t="shared" si="434"/>
        <v>100000000000000</v>
      </c>
      <c r="I433" s="109">
        <f>Comparison!AL32</f>
        <v>100000000000000</v>
      </c>
      <c r="J433" s="3">
        <f>Comparison!AM32</f>
        <v>2915.919267959634</v>
      </c>
      <c r="K433" s="3">
        <f>Comparison!AN32</f>
        <v>1940.5173332718871</v>
      </c>
      <c r="L433" s="3">
        <f>Comparison!AO32</f>
        <v>1185.6745633902476</v>
      </c>
      <c r="M433" s="3">
        <f>Comparison!AP32</f>
        <v>565.79561192848462</v>
      </c>
      <c r="N433" s="3">
        <f>Comparison!AQ32</f>
        <v>284.35137217816799</v>
      </c>
      <c r="O433" s="3">
        <f>Comparison!AR32</f>
        <v>225.13655271656646</v>
      </c>
      <c r="P433" s="3">
        <f>Comparison!AS32</f>
        <v>225.26138301118297</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8.7573989459680438E-12</v>
      </c>
      <c r="C434" s="3">
        <f t="shared" si="434"/>
        <v>1.0514778689420052E-6</v>
      </c>
      <c r="D434" s="3">
        <f t="shared" si="434"/>
        <v>8.2594354388362617E-4</v>
      </c>
      <c r="E434" s="3">
        <f t="shared" si="434"/>
        <v>0.58557805845824451</v>
      </c>
      <c r="F434" s="3">
        <f t="shared" si="434"/>
        <v>93.232518523086284</v>
      </c>
      <c r="G434" s="3">
        <f t="shared" si="434"/>
        <v>952240769.31477904</v>
      </c>
      <c r="H434" s="3">
        <f t="shared" si="434"/>
        <v>1000000000000000</v>
      </c>
      <c r="I434" s="109">
        <f>Comparison!AL33</f>
        <v>1000000000000000</v>
      </c>
      <c r="J434" s="3">
        <f>Comparison!AM33</f>
        <v>2771.0117587804812</v>
      </c>
      <c r="K434" s="3">
        <f>Comparison!AN33</f>
        <v>1703.202634105066</v>
      </c>
      <c r="L434" s="3">
        <f>Comparison!AO33</f>
        <v>877.46280556758461</v>
      </c>
      <c r="M434" s="3">
        <f>Comparison!AP33</f>
        <v>408.65393596789795</v>
      </c>
      <c r="N434" s="3">
        <f>Comparison!AQ33</f>
        <v>264.92729834801332</v>
      </c>
      <c r="O434" s="3">
        <f>Comparison!AR33</f>
        <v>225.03956034728361</v>
      </c>
      <c r="P434" s="3">
        <f>Comparison!AS33</f>
        <v>225.24704548920718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-59.999898573957836</v>
      </c>
      <c r="M1" s="54">
        <v>1</v>
      </c>
      <c r="N1" s="56">
        <f>INDEX($H$217:$P$217,1,Q1)</f>
        <v>0.51053074193547776</v>
      </c>
      <c r="O1" s="11"/>
      <c r="P1" s="55">
        <v>1</v>
      </c>
      <c r="Q1" s="11">
        <v>2</v>
      </c>
    </row>
    <row r="2" spans="1:17" x14ac:dyDescent="0.25">
      <c r="A2" s="11">
        <f>'Mastercurve bestimmen'!M119</f>
        <v>0</v>
      </c>
      <c r="B2" s="11">
        <f>'Mastercurve bestimmen'!N119</f>
        <v>-48.304090284066596</v>
      </c>
      <c r="M2" s="54">
        <v>2</v>
      </c>
      <c r="N2" s="56">
        <f t="shared" ref="N2:N9" si="0">INDEX($H$217:$P$217,1,Q2)</f>
        <v>1.591766651950233E-2</v>
      </c>
      <c r="O2" s="11"/>
      <c r="P2" s="55">
        <v>2</v>
      </c>
      <c r="Q2" s="11">
        <f>Q1+1</f>
        <v>3</v>
      </c>
    </row>
    <row r="3" spans="1:17" x14ac:dyDescent="0.25">
      <c r="A3" s="11">
        <f>'Mastercurve bestimmen'!M120</f>
        <v>25</v>
      </c>
      <c r="B3" s="11">
        <f>'Mastercurve bestimmen'!N120</f>
        <v>-41.637760530499037</v>
      </c>
      <c r="M3" s="54">
        <v>3</v>
      </c>
      <c r="N3" s="56">
        <f t="shared" si="0"/>
        <v>7.0587531715780155E-4</v>
      </c>
      <c r="O3" s="11"/>
      <c r="P3" s="55">
        <v>3</v>
      </c>
      <c r="Q3" s="11">
        <f t="shared" ref="Q3:Q8" si="1">Q2+1</f>
        <v>4</v>
      </c>
    </row>
    <row r="4" spans="1:17" x14ac:dyDescent="0.25">
      <c r="A4" s="11">
        <f>'Mastercurve bestimmen'!M121</f>
        <v>50</v>
      </c>
      <c r="B4" s="11">
        <f>'Mastercurve bestimmen'!N121</f>
        <v>-35.073932180427455</v>
      </c>
      <c r="M4" s="54">
        <v>4</v>
      </c>
      <c r="N4" s="56">
        <f t="shared" si="0"/>
        <v>1.395418314926032E-5</v>
      </c>
      <c r="O4" s="11"/>
      <c r="P4" s="55">
        <v>4</v>
      </c>
      <c r="Q4" s="11">
        <f t="shared" si="1"/>
        <v>5</v>
      </c>
    </row>
    <row r="5" spans="1:17" x14ac:dyDescent="0.25">
      <c r="A5" s="11">
        <f>'Mastercurve bestimmen'!M122</f>
        <v>80</v>
      </c>
      <c r="B5" s="11">
        <f>'Mastercurve bestimmen'!N122</f>
        <v>-30.003679822882582</v>
      </c>
      <c r="M5" s="54">
        <v>5</v>
      </c>
      <c r="N5" s="56">
        <f t="shared" si="0"/>
        <v>1.4004639732018242E-7</v>
      </c>
      <c r="O5" s="11"/>
      <c r="P5" s="55">
        <v>5</v>
      </c>
      <c r="Q5" s="11">
        <f t="shared" si="1"/>
        <v>6</v>
      </c>
    </row>
    <row r="6" spans="1:17" x14ac:dyDescent="0.25">
      <c r="A6" s="11">
        <f>'Mastercurve bestimmen'!M123</f>
        <v>125</v>
      </c>
      <c r="B6" s="11">
        <f>'Mastercurve bestimmen'!N123</f>
        <v>-13.864447925187026</v>
      </c>
      <c r="M6" s="54">
        <v>6</v>
      </c>
      <c r="N6" s="56">
        <f t="shared" si="0"/>
        <v>7.5576046661320867E-10</v>
      </c>
      <c r="O6" s="11"/>
      <c r="P6" s="55">
        <v>6</v>
      </c>
      <c r="Q6" s="11">
        <f t="shared" si="1"/>
        <v>7</v>
      </c>
    </row>
    <row r="7" spans="1:17" x14ac:dyDescent="0.25">
      <c r="A7" s="11">
        <f>'Mastercurve bestimmen'!M124</f>
        <v>160</v>
      </c>
      <c r="B7" s="11">
        <f>'Mastercurve bestimmen'!N124</f>
        <v>0</v>
      </c>
      <c r="M7" s="54">
        <v>7</v>
      </c>
      <c r="N7" s="56">
        <f t="shared" si="0"/>
        <v>2.1023384243898659E-12</v>
      </c>
      <c r="O7" s="11"/>
      <c r="P7" s="55">
        <v>7</v>
      </c>
      <c r="Q7" s="11">
        <f t="shared" si="1"/>
        <v>8</v>
      </c>
    </row>
    <row r="8" spans="1:17" x14ac:dyDescent="0.25">
      <c r="A8" s="11"/>
      <c r="B8" s="11"/>
      <c r="M8" s="54">
        <v>8</v>
      </c>
      <c r="N8" s="56">
        <f t="shared" si="0"/>
        <v>2.3757236620407153E-15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-59.999898573957836</v>
      </c>
      <c r="E15" s="11">
        <f>A15-'Mastercurve bestimmen'!$B$2</f>
        <v>-200</v>
      </c>
      <c r="F15" s="11">
        <f>B15</f>
        <v>-59.999898573957836</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-59.759753971475405</v>
      </c>
      <c r="E16" s="11">
        <f>A16-'Mastercurve bestimmen'!$B$2</f>
        <v>-199</v>
      </c>
      <c r="F16" s="11">
        <f t="shared" ref="F16:F79" si="4">B16</f>
        <v>-59.759753971475405</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-59.519413306686161</v>
      </c>
      <c r="E17" s="11">
        <f>A17-'Mastercurve bestimmen'!$B$2</f>
        <v>-198</v>
      </c>
      <c r="F17" s="11">
        <f t="shared" si="4"/>
        <v>-59.519413306686161</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-59.278680517283306</v>
      </c>
      <c r="E18" s="11">
        <f>A18-'Mastercurve bestimmen'!$B$2</f>
        <v>-197</v>
      </c>
      <c r="F18" s="11">
        <f t="shared" si="4"/>
        <v>-59.278680517283306</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-59.037359540960004</v>
      </c>
      <c r="E19" s="11">
        <f>A19-'Mastercurve bestimmen'!$B$2</f>
        <v>-196</v>
      </c>
      <c r="F19" s="11">
        <f t="shared" si="4"/>
        <v>-59.037359540960004</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-58.795254315409473</v>
      </c>
      <c r="E20" s="11">
        <f>A20-'Mastercurve bestimmen'!$B$2</f>
        <v>-195</v>
      </c>
      <c r="F20" s="11">
        <f t="shared" si="4"/>
        <v>-58.795254315409473</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-58.552168778324898</v>
      </c>
      <c r="E21" s="11">
        <f>A21-'Mastercurve bestimmen'!$B$2</f>
        <v>-194</v>
      </c>
      <c r="F21" s="11">
        <f t="shared" si="4"/>
        <v>-58.552168778324898</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-58.307906867399446</v>
      </c>
      <c r="E22" s="11">
        <f>A22-'Mastercurve bestimmen'!$B$2</f>
        <v>-193</v>
      </c>
      <c r="F22" s="11">
        <f t="shared" si="4"/>
        <v>-58.307906867399446</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-58.062272520326339</v>
      </c>
      <c r="E23" s="11">
        <f>A23-'Mastercurve bestimmen'!$B$2</f>
        <v>-192</v>
      </c>
      <c r="F23" s="11">
        <f t="shared" si="4"/>
        <v>-58.062272520326339</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-57.81506967479875</v>
      </c>
      <c r="E24" s="11">
        <f>A24-'Mastercurve bestimmen'!$B$2</f>
        <v>-191</v>
      </c>
      <c r="F24" s="11">
        <f t="shared" si="4"/>
        <v>-57.81506967479875</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-57.566102268509866</v>
      </c>
      <c r="E25" s="11">
        <f>A25-'Mastercurve bestimmen'!$B$2</f>
        <v>-190</v>
      </c>
      <c r="F25" s="11">
        <f t="shared" si="4"/>
        <v>-57.566102268509866</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-57.315174239152881</v>
      </c>
      <c r="E26" s="11">
        <f>A26-'Mastercurve bestimmen'!$B$2</f>
        <v>-189</v>
      </c>
      <c r="F26" s="11">
        <f t="shared" si="4"/>
        <v>-57.315174239152881</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-57.062089524420998</v>
      </c>
      <c r="E27" s="11">
        <f>A27-'Mastercurve bestimmen'!$B$2</f>
        <v>-188</v>
      </c>
      <c r="F27" s="11">
        <f t="shared" si="4"/>
        <v>-57.062089524420998</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-56.806652062007387</v>
      </c>
      <c r="E28" s="11">
        <f>A28-'Mastercurve bestimmen'!$B$2</f>
        <v>-187</v>
      </c>
      <c r="F28" s="11">
        <f t="shared" si="4"/>
        <v>-56.806652062007387</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-56.548665789605252</v>
      </c>
      <c r="E29" s="11">
        <f>A29-'Mastercurve bestimmen'!$B$2</f>
        <v>-186</v>
      </c>
      <c r="F29" s="11">
        <f t="shared" si="4"/>
        <v>-56.548665789605252</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-56.287934644907779</v>
      </c>
      <c r="E30" s="11">
        <f>A30-'Mastercurve bestimmen'!$B$2</f>
        <v>-185</v>
      </c>
      <c r="F30" s="11">
        <f t="shared" si="4"/>
        <v>-56.287934644907779</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-56.024262565608154</v>
      </c>
      <c r="E31" s="11">
        <f>A31-'Mastercurve bestimmen'!$B$2</f>
        <v>-184</v>
      </c>
      <c r="F31" s="11">
        <f t="shared" si="4"/>
        <v>-56.024262565608154</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-55.757453489399566</v>
      </c>
      <c r="E32" s="11">
        <f>A32-'Mastercurve bestimmen'!$B$2</f>
        <v>-183</v>
      </c>
      <c r="F32" s="11">
        <f t="shared" si="4"/>
        <v>-55.757453489399566</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-55.487311353975215</v>
      </c>
      <c r="E33" s="11">
        <f>A33-'Mastercurve bestimmen'!$B$2</f>
        <v>-182</v>
      </c>
      <c r="F33" s="11">
        <f t="shared" si="4"/>
        <v>-55.487311353975215</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-55.213640097028282</v>
      </c>
      <c r="E34" s="11">
        <f>A34-'Mastercurve bestimmen'!$B$2</f>
        <v>-181</v>
      </c>
      <c r="F34" s="11">
        <f t="shared" si="4"/>
        <v>-55.213640097028282</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-54.93624365625196</v>
      </c>
      <c r="E35" s="11">
        <f>A35-'Mastercurve bestimmen'!$B$2</f>
        <v>-180</v>
      </c>
      <c r="F35" s="11">
        <f t="shared" si="4"/>
        <v>-54.93624365625196</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-54.654925969339445</v>
      </c>
      <c r="E36" s="11">
        <f>A36-'Mastercurve bestimmen'!$B$2</f>
        <v>-179</v>
      </c>
      <c r="F36" s="11">
        <f t="shared" si="4"/>
        <v>-54.654925969339445</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-54.369490973983915</v>
      </c>
      <c r="E37" s="11">
        <f>A37-'Mastercurve bestimmen'!$B$2</f>
        <v>-178</v>
      </c>
      <c r="F37" s="11">
        <f t="shared" si="4"/>
        <v>-54.369490973983915</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-54.079742607878565</v>
      </c>
      <c r="E38" s="11">
        <f>A38-'Mastercurve bestimmen'!$B$2</f>
        <v>-177</v>
      </c>
      <c r="F38" s="11">
        <f t="shared" si="4"/>
        <v>-54.079742607878565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-53.785484808716589</v>
      </c>
      <c r="E39" s="11">
        <f>A39-'Mastercurve bestimmen'!$B$2</f>
        <v>-176</v>
      </c>
      <c r="F39" s="11">
        <f t="shared" si="4"/>
        <v>-53.785484808716589</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-53.486521514191175</v>
      </c>
      <c r="E40" s="11">
        <f>A40-'Mastercurve bestimmen'!$B$2</f>
        <v>-175</v>
      </c>
      <c r="F40" s="11">
        <f t="shared" si="4"/>
        <v>-53.486521514191175</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-53.182656661995509</v>
      </c>
      <c r="E41" s="11">
        <f>A41-'Mastercurve bestimmen'!$B$2</f>
        <v>-174</v>
      </c>
      <c r="F41" s="11">
        <f t="shared" si="4"/>
        <v>-53.182656661995509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-52.873694189822793</v>
      </c>
      <c r="E42" s="11">
        <f>A42-'Mastercurve bestimmen'!$B$2</f>
        <v>-173</v>
      </c>
      <c r="F42" s="11">
        <f t="shared" si="4"/>
        <v>-52.873694189822793</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-52.559438035366213</v>
      </c>
      <c r="E43" s="11">
        <f>A43-'Mastercurve bestimmen'!$B$2</f>
        <v>-172</v>
      </c>
      <c r="F43" s="11">
        <f t="shared" si="4"/>
        <v>-52.559438035366213</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-52.239692136318936</v>
      </c>
      <c r="E44" s="11">
        <f>A44-'Mastercurve bestimmen'!$B$2</f>
        <v>-171</v>
      </c>
      <c r="F44" s="11">
        <f t="shared" si="4"/>
        <v>-52.239692136318936</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-51.914260430374185</v>
      </c>
      <c r="E45" s="11">
        <f>A45-'Mastercurve bestimmen'!$B$2</f>
        <v>-170</v>
      </c>
      <c r="F45" s="11">
        <f t="shared" si="4"/>
        <v>-51.914260430374185</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-51.582946855225124</v>
      </c>
      <c r="E46" s="11">
        <f>A46-'Mastercurve bestimmen'!$B$2</f>
        <v>-169</v>
      </c>
      <c r="F46" s="11">
        <f t="shared" si="4"/>
        <v>-51.582946855225124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-51.245555348564963</v>
      </c>
      <c r="E47" s="11">
        <f>A47-'Mastercurve bestimmen'!$B$2</f>
        <v>-168</v>
      </c>
      <c r="F47" s="11">
        <f t="shared" si="4"/>
        <v>-51.245555348564963</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-50.901889848086896</v>
      </c>
      <c r="E48" s="11">
        <f>A48-'Mastercurve bestimmen'!$B$2</f>
        <v>-167</v>
      </c>
      <c r="F48" s="11">
        <f t="shared" si="4"/>
        <v>-50.901889848086896</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-50.55175429148408</v>
      </c>
      <c r="E49" s="11">
        <f>A49-'Mastercurve bestimmen'!$B$2</f>
        <v>-166</v>
      </c>
      <c r="F49" s="11">
        <f t="shared" si="4"/>
        <v>-50.55175429148408</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-50.19495261644974</v>
      </c>
      <c r="E50" s="11">
        <f>A50-'Mastercurve bestimmen'!$B$2</f>
        <v>-165</v>
      </c>
      <c r="F50" s="11">
        <f t="shared" si="4"/>
        <v>-50.19495261644974</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-49.83128876067704</v>
      </c>
      <c r="E51" s="11">
        <f>A51-'Mastercurve bestimmen'!$B$2</f>
        <v>-164</v>
      </c>
      <c r="F51" s="11">
        <f t="shared" si="4"/>
        <v>-49.83128876067704</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-49.46056666185919</v>
      </c>
      <c r="E52" s="11">
        <f>A52-'Mastercurve bestimmen'!$B$2</f>
        <v>-163</v>
      </c>
      <c r="F52" s="11">
        <f t="shared" si="4"/>
        <v>-49.46056666185919</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-49.082590257689375</v>
      </c>
      <c r="E53" s="11">
        <f>A53-'Mastercurve bestimmen'!$B$2</f>
        <v>-162</v>
      </c>
      <c r="F53" s="11">
        <f t="shared" si="4"/>
        <v>-49.082590257689375</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-48.697163485860777</v>
      </c>
      <c r="E54" s="11">
        <f>A54-'Mastercurve bestimmen'!$B$2</f>
        <v>-161</v>
      </c>
      <c r="F54" s="11">
        <f t="shared" si="4"/>
        <v>-48.697163485860777</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-48.304090284066596</v>
      </c>
      <c r="E55" s="11">
        <f>A55-'Mastercurve bestimmen'!$B$2</f>
        <v>-160</v>
      </c>
      <c r="F55" s="11">
        <f t="shared" si="4"/>
        <v>-48.304090284066596</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-48.097669463267394</v>
      </c>
      <c r="E56" s="11">
        <f>A56-'Mastercurve bestimmen'!$B$2</f>
        <v>-159</v>
      </c>
      <c r="F56" s="11">
        <f t="shared" si="4"/>
        <v>-48.097669463267394</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-47.88373189575276</v>
      </c>
      <c r="E57" s="11">
        <f>A57-'Mastercurve bestimmen'!$B$2</f>
        <v>-158</v>
      </c>
      <c r="F57" s="11">
        <f t="shared" si="4"/>
        <v>-47.88373189575276</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-47.66260332707968</v>
      </c>
      <c r="E58" s="11">
        <f>A58-'Mastercurve bestimmen'!$B$2</f>
        <v>-157</v>
      </c>
      <c r="F58" s="11">
        <f t="shared" si="4"/>
        <v>-47.66260332707968</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-47.434609502805131</v>
      </c>
      <c r="E59" s="11">
        <f>A59-'Mastercurve bestimmen'!$B$2</f>
        <v>-156</v>
      </c>
      <c r="F59" s="11">
        <f t="shared" si="4"/>
        <v>-47.434609502805131</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-47.200076168486078</v>
      </c>
      <c r="E60" s="11">
        <f>A60-'Mastercurve bestimmen'!$B$2</f>
        <v>-155</v>
      </c>
      <c r="F60" s="11">
        <f t="shared" si="4"/>
        <v>-47.200076168486078</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-46.959329069679491</v>
      </c>
      <c r="E61" s="11">
        <f>A61-'Mastercurve bestimmen'!$B$2</f>
        <v>-154</v>
      </c>
      <c r="F61" s="11">
        <f t="shared" si="4"/>
        <v>-46.959329069679491</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-46.712693951942349</v>
      </c>
      <c r="E62" s="11">
        <f>A62-'Mastercurve bestimmen'!$B$2</f>
        <v>-153</v>
      </c>
      <c r="F62" s="11">
        <f t="shared" si="4"/>
        <v>-46.712693951942349</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-46.460496560831629</v>
      </c>
      <c r="E63" s="11">
        <f>A63-'Mastercurve bestimmen'!$B$2</f>
        <v>-152</v>
      </c>
      <c r="F63" s="11">
        <f t="shared" si="4"/>
        <v>-46.460496560831629</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-46.203062641904296</v>
      </c>
      <c r="E64" s="11">
        <f>A64-'Mastercurve bestimmen'!$B$2</f>
        <v>-151</v>
      </c>
      <c r="F64" s="11">
        <f t="shared" si="4"/>
        <v>-46.203062641904296</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-45.940717940717334</v>
      </c>
      <c r="E65" s="11">
        <f>A65-'Mastercurve bestimmen'!$B$2</f>
        <v>-150</v>
      </c>
      <c r="F65" s="11">
        <f t="shared" si="4"/>
        <v>-45.940717940717334</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-45.673788202827708</v>
      </c>
      <c r="E66" s="11">
        <f>A66-'Mastercurve bestimmen'!$B$2</f>
        <v>-149</v>
      </c>
      <c r="F66" s="11">
        <f t="shared" si="4"/>
        <v>-45.673788202827708</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-45.40259917379241</v>
      </c>
      <c r="E67" s="11">
        <f>A67-'Mastercurve bestimmen'!$B$2</f>
        <v>-148</v>
      </c>
      <c r="F67" s="11">
        <f t="shared" si="4"/>
        <v>-45.40259917379241</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-45.127476599168389</v>
      </c>
      <c r="E68" s="11">
        <f>A68-'Mastercurve bestimmen'!$B$2</f>
        <v>-147</v>
      </c>
      <c r="F68" s="11">
        <f t="shared" si="4"/>
        <v>-45.127476599168389</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-44.848746224512624</v>
      </c>
      <c r="E69" s="11">
        <f>A69-'Mastercurve bestimmen'!$B$2</f>
        <v>-146</v>
      </c>
      <c r="F69" s="11">
        <f t="shared" si="4"/>
        <v>-44.848746224512624</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-44.566733795382106</v>
      </c>
      <c r="E70" s="11">
        <f>A70-'Mastercurve bestimmen'!$B$2</f>
        <v>-145</v>
      </c>
      <c r="F70" s="11">
        <f t="shared" si="4"/>
        <v>-44.566733795382106</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-44.281765057333786</v>
      </c>
      <c r="E71" s="11">
        <f>A71-'Mastercurve bestimmen'!$B$2</f>
        <v>-144</v>
      </c>
      <c r="F71" s="11">
        <f t="shared" si="4"/>
        <v>-44.281765057333786</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-43.994165755924655</v>
      </c>
      <c r="E72" s="11">
        <f>A72-'Mastercurve bestimmen'!$B$2</f>
        <v>-143</v>
      </c>
      <c r="F72" s="11">
        <f t="shared" si="4"/>
        <v>-43.994165755924655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-43.704261636711678</v>
      </c>
      <c r="E73" s="11">
        <f>A73-'Mastercurve bestimmen'!$B$2</f>
        <v>-142</v>
      </c>
      <c r="F73" s="11">
        <f t="shared" si="4"/>
        <v>-43.704261636711678</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-43.412378445251839</v>
      </c>
      <c r="E74" s="11">
        <f>A74-'Mastercurve bestimmen'!$B$2</f>
        <v>-141</v>
      </c>
      <c r="F74" s="11">
        <f t="shared" si="4"/>
        <v>-43.412378445251839</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-43.118841927102089</v>
      </c>
      <c r="E75" s="11">
        <f>A75-'Mastercurve bestimmen'!$B$2</f>
        <v>-140</v>
      </c>
      <c r="F75" s="11">
        <f t="shared" si="4"/>
        <v>-43.118841927102089</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-42.823977827819434</v>
      </c>
      <c r="E76" s="11">
        <f>A76-'Mastercurve bestimmen'!$B$2</f>
        <v>-139</v>
      </c>
      <c r="F76" s="11">
        <f t="shared" si="4"/>
        <v>-42.823977827819434</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-42.528111892960823</v>
      </c>
      <c r="E77" s="11">
        <f>A77-'Mastercurve bestimmen'!$B$2</f>
        <v>-138</v>
      </c>
      <c r="F77" s="11">
        <f t="shared" si="4"/>
        <v>-42.528111892960823</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-42.231569868083234</v>
      </c>
      <c r="E78" s="11">
        <f>A78-'Mastercurve bestimmen'!$B$2</f>
        <v>-137</v>
      </c>
      <c r="F78" s="11">
        <f t="shared" si="4"/>
        <v>-42.231569868083234</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-41.934677498743646</v>
      </c>
      <c r="E79" s="11">
        <f>A79-'Mastercurve bestimmen'!$B$2</f>
        <v>-136</v>
      </c>
      <c r="F79" s="11">
        <f t="shared" si="4"/>
        <v>-41.934677498743646</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-41.63776053049903</v>
      </c>
      <c r="E80" s="11">
        <f>A80-'Mastercurve bestimmen'!$B$2</f>
        <v>-135</v>
      </c>
      <c r="F80" s="11">
        <f t="shared" ref="F80:F143" si="10">B80</f>
        <v>-41.63776053049903</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-41.341139223130114</v>
      </c>
      <c r="E81" s="11">
        <f>A81-'Mastercurve bestimmen'!$B$2</f>
        <v>-134</v>
      </c>
      <c r="F81" s="11">
        <f t="shared" si="10"/>
        <v>-41.341139223130114</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-41.045111893312587</v>
      </c>
      <c r="E82" s="11">
        <f>A82-'Mastercurve bestimmen'!$B$2</f>
        <v>-133</v>
      </c>
      <c r="F82" s="11">
        <f t="shared" si="10"/>
        <v>-41.045111893312587</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-40.749971371945911</v>
      </c>
      <c r="E83" s="11">
        <f>A83-'Mastercurve bestimmen'!$B$2</f>
        <v>-132</v>
      </c>
      <c r="F83" s="11">
        <f t="shared" si="10"/>
        <v>-40.749971371945911</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-40.456010489929518</v>
      </c>
      <c r="E84" s="11">
        <f>A84-'Mastercurve bestimmen'!$B$2</f>
        <v>-131</v>
      </c>
      <c r="F84" s="11">
        <f t="shared" si="10"/>
        <v>-40.456010489929518</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-40.16352207816287</v>
      </c>
      <c r="E85" s="11">
        <f>A85-'Mastercurve bestimmen'!$B$2</f>
        <v>-130</v>
      </c>
      <c r="F85" s="11">
        <f t="shared" si="10"/>
        <v>-40.16352207816287</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-39.872798967545421</v>
      </c>
      <c r="E86" s="11">
        <f>A86-'Mastercurve bestimmen'!$B$2</f>
        <v>-129</v>
      </c>
      <c r="F86" s="11">
        <f t="shared" si="10"/>
        <v>-39.872798967545421</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-39.584133988976603</v>
      </c>
      <c r="E87" s="11">
        <f>A87-'Mastercurve bestimmen'!$B$2</f>
        <v>-128</v>
      </c>
      <c r="F87" s="11">
        <f t="shared" si="10"/>
        <v>-39.584133988976603</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-39.297819973355885</v>
      </c>
      <c r="E88" s="11">
        <f>A88-'Mastercurve bestimmen'!$B$2</f>
        <v>-127</v>
      </c>
      <c r="F88" s="11">
        <f t="shared" si="10"/>
        <v>-39.297819973355885</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-39.014149751582707</v>
      </c>
      <c r="E89" s="11">
        <f>A89-'Mastercurve bestimmen'!$B$2</f>
        <v>-126</v>
      </c>
      <c r="F89" s="11">
        <f t="shared" si="10"/>
        <v>-39.014149751582707</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-38.733416154556508</v>
      </c>
      <c r="E90" s="11">
        <f>A90-'Mastercurve bestimmen'!$B$2</f>
        <v>-125</v>
      </c>
      <c r="F90" s="11">
        <f t="shared" si="10"/>
        <v>-38.733416154556508</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-38.45591201317675</v>
      </c>
      <c r="E91" s="11">
        <f>A91-'Mastercurve bestimmen'!$B$2</f>
        <v>-124</v>
      </c>
      <c r="F91" s="11">
        <f t="shared" si="10"/>
        <v>-38.45591201317675</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-38.18193015834288</v>
      </c>
      <c r="E92" s="11">
        <f>A92-'Mastercurve bestimmen'!$B$2</f>
        <v>-123</v>
      </c>
      <c r="F92" s="11">
        <f t="shared" si="10"/>
        <v>-38.18193015834288</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-37.911763420954344</v>
      </c>
      <c r="E93" s="11">
        <f>A93-'Mastercurve bestimmen'!$B$2</f>
        <v>-122</v>
      </c>
      <c r="F93" s="11">
        <f t="shared" si="10"/>
        <v>-37.911763420954344</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-37.64570463191059</v>
      </c>
      <c r="E94" s="11">
        <f>A94-'Mastercurve bestimmen'!$B$2</f>
        <v>-121</v>
      </c>
      <c r="F94" s="11">
        <f t="shared" si="10"/>
        <v>-37.64570463191059</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-37.384046622111065</v>
      </c>
      <c r="E95" s="11">
        <f>A95-'Mastercurve bestimmen'!$B$2</f>
        <v>-120</v>
      </c>
      <c r="F95" s="11">
        <f t="shared" si="10"/>
        <v>-37.384046622111065</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-37.127082222455229</v>
      </c>
      <c r="E96" s="11">
        <f>A96-'Mastercurve bestimmen'!$B$2</f>
        <v>-119</v>
      </c>
      <c r="F96" s="11">
        <f t="shared" si="10"/>
        <v>-37.127082222455229</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-36.875104263842516</v>
      </c>
      <c r="E97" s="11">
        <f>A97-'Mastercurve bestimmen'!$B$2</f>
        <v>-118</v>
      </c>
      <c r="F97" s="11">
        <f t="shared" si="10"/>
        <v>-36.875104263842516</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-36.628405577172387</v>
      </c>
      <c r="E98" s="11">
        <f>A98-'Mastercurve bestimmen'!$B$2</f>
        <v>-117</v>
      </c>
      <c r="F98" s="11">
        <f t="shared" si="10"/>
        <v>-36.628405577172387</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-36.387278993344289</v>
      </c>
      <c r="E99" s="11">
        <f>A99-'Mastercurve bestimmen'!$B$2</f>
        <v>-116</v>
      </c>
      <c r="F99" s="11">
        <f t="shared" si="10"/>
        <v>-36.387278993344289</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-36.152017343257668</v>
      </c>
      <c r="E100" s="11">
        <f>A100-'Mastercurve bestimmen'!$B$2</f>
        <v>-115</v>
      </c>
      <c r="F100" s="11">
        <f t="shared" si="10"/>
        <v>-36.152017343257668</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-35.92291345781198</v>
      </c>
      <c r="E101" s="11">
        <f>A101-'Mastercurve bestimmen'!$B$2</f>
        <v>-114</v>
      </c>
      <c r="F101" s="11">
        <f t="shared" si="10"/>
        <v>-35.92291345781198</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-35.700260167906663</v>
      </c>
      <c r="E102" s="11">
        <f>A102-'Mastercurve bestimmen'!$B$2</f>
        <v>-113</v>
      </c>
      <c r="F102" s="11">
        <f t="shared" si="10"/>
        <v>-35.700260167906663</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-35.484350304441172</v>
      </c>
      <c r="E103" s="11">
        <f>A103-'Mastercurve bestimmen'!$B$2</f>
        <v>-112</v>
      </c>
      <c r="F103" s="11">
        <f t="shared" si="10"/>
        <v>-35.484350304441172</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-35.275476698314954</v>
      </c>
      <c r="E104" s="11">
        <f>A104-'Mastercurve bestimmen'!$B$2</f>
        <v>-111</v>
      </c>
      <c r="F104" s="11">
        <f t="shared" si="10"/>
        <v>-35.275476698314954</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-35.073932180427455</v>
      </c>
      <c r="E105" s="11">
        <f>A105-'Mastercurve bestimmen'!$B$2</f>
        <v>-110</v>
      </c>
      <c r="F105" s="11">
        <f t="shared" si="10"/>
        <v>-35.073932180427455</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-34.879865715599863</v>
      </c>
      <c r="E106" s="11">
        <f>A106-'Mastercurve bestimmen'!$B$2</f>
        <v>-109</v>
      </c>
      <c r="F106" s="11">
        <f t="shared" si="10"/>
        <v>-34.879865715599863</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-34.692850804340296</v>
      </c>
      <c r="E107" s="11">
        <f>A107-'Mastercurve bestimmen'!$B$2</f>
        <v>-108</v>
      </c>
      <c r="F107" s="11">
        <f t="shared" si="10"/>
        <v>-34.692850804340296</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-34.512317081078606</v>
      </c>
      <c r="E108" s="11">
        <f>A108-'Mastercurve bestimmen'!$B$2</f>
        <v>-107</v>
      </c>
      <c r="F108" s="11">
        <f t="shared" si="10"/>
        <v>-34.512317081078606</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-34.337694180244632</v>
      </c>
      <c r="E109" s="11">
        <f>A109-'Mastercurve bestimmen'!$B$2</f>
        <v>-106</v>
      </c>
      <c r="F109" s="11">
        <f t="shared" si="10"/>
        <v>-34.337694180244632</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-34.16841173626824</v>
      </c>
      <c r="E110" s="11">
        <f>A110-'Mastercurve bestimmen'!$B$2</f>
        <v>-105</v>
      </c>
      <c r="F110" s="11">
        <f t="shared" si="10"/>
        <v>-34.16841173626824</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-34.003899383579267</v>
      </c>
      <c r="E111" s="11">
        <f>A111-'Mastercurve bestimmen'!$B$2</f>
        <v>-104</v>
      </c>
      <c r="F111" s="11">
        <f t="shared" si="10"/>
        <v>-34.003899383579267</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-33.843586756607571</v>
      </c>
      <c r="E112" s="11">
        <f>A112-'Mastercurve bestimmen'!$B$2</f>
        <v>-103</v>
      </c>
      <c r="F112" s="11">
        <f t="shared" si="10"/>
        <v>-33.843586756607571</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-33.686903489783006</v>
      </c>
      <c r="E113" s="11">
        <f>A113-'Mastercurve bestimmen'!$B$2</f>
        <v>-102</v>
      </c>
      <c r="F113" s="11">
        <f t="shared" si="10"/>
        <v>-33.686903489783006</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-33.533279217535409</v>
      </c>
      <c r="E114" s="11">
        <f>A114-'Mastercurve bestimmen'!$B$2</f>
        <v>-101</v>
      </c>
      <c r="F114" s="11">
        <f t="shared" si="10"/>
        <v>-33.533279217535409</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-33.382143574294645</v>
      </c>
      <c r="E115" s="11">
        <f>A115-'Mastercurve bestimmen'!$B$2</f>
        <v>-100</v>
      </c>
      <c r="F115" s="11">
        <f t="shared" si="10"/>
        <v>-33.382143574294645</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-33.232926194490553</v>
      </c>
      <c r="E116" s="11">
        <f>A116-'Mastercurve bestimmen'!$B$2</f>
        <v>-99</v>
      </c>
      <c r="F116" s="11">
        <f t="shared" si="10"/>
        <v>-33.232926194490553</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-33.085056712552984</v>
      </c>
      <c r="E117" s="11">
        <f>A117-'Mastercurve bestimmen'!$B$2</f>
        <v>-98</v>
      </c>
      <c r="F117" s="11">
        <f t="shared" si="10"/>
        <v>-33.085056712552984</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-32.937964762911804</v>
      </c>
      <c r="E118" s="11">
        <f>A118-'Mastercurve bestimmen'!$B$2</f>
        <v>-97</v>
      </c>
      <c r="F118" s="11">
        <f t="shared" si="10"/>
        <v>-32.937964762911804</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-32.791079979996844</v>
      </c>
      <c r="E119" s="11">
        <f>A119-'Mastercurve bestimmen'!$B$2</f>
        <v>-96</v>
      </c>
      <c r="F119" s="11">
        <f t="shared" si="10"/>
        <v>-32.791079979996844</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-32.643831998237971</v>
      </c>
      <c r="E120" s="11">
        <f>A120-'Mastercurve bestimmen'!$B$2</f>
        <v>-95</v>
      </c>
      <c r="F120" s="11">
        <f t="shared" si="10"/>
        <v>-32.643831998237971</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-32.495650452065021</v>
      </c>
      <c r="E121" s="11">
        <f>A121-'Mastercurve bestimmen'!$B$2</f>
        <v>-94</v>
      </c>
      <c r="F121" s="11">
        <f t="shared" si="10"/>
        <v>-32.495650452065021</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-32.345964975907847</v>
      </c>
      <c r="E122" s="11">
        <f>A122-'Mastercurve bestimmen'!$B$2</f>
        <v>-93</v>
      </c>
      <c r="F122" s="11">
        <f t="shared" si="10"/>
        <v>-32.345964975907847</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-32.194205204196308</v>
      </c>
      <c r="E123" s="11">
        <f>A123-'Mastercurve bestimmen'!$B$2</f>
        <v>-92</v>
      </c>
      <c r="F123" s="11">
        <f t="shared" si="10"/>
        <v>-32.194205204196308</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-32.039800771360255</v>
      </c>
      <c r="E124" s="11">
        <f>A124-'Mastercurve bestimmen'!$B$2</f>
        <v>-91</v>
      </c>
      <c r="F124" s="11">
        <f t="shared" si="10"/>
        <v>-32.039800771360255</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-31.882181311829527</v>
      </c>
      <c r="E125" s="11">
        <f>A125-'Mastercurve bestimmen'!$B$2</f>
        <v>-90</v>
      </c>
      <c r="F125" s="11">
        <f t="shared" si="10"/>
        <v>-31.882181311829527</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-31.720776460033981</v>
      </c>
      <c r="E126" s="11">
        <f>A126-'Mastercurve bestimmen'!$B$2</f>
        <v>-89</v>
      </c>
      <c r="F126" s="11">
        <f t="shared" si="10"/>
        <v>-31.720776460033981</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-31.555015850403471</v>
      </c>
      <c r="E127" s="11">
        <f>A127-'Mastercurve bestimmen'!$B$2</f>
        <v>-88</v>
      </c>
      <c r="F127" s="11">
        <f t="shared" si="10"/>
        <v>-31.555015850403471</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-31.384329117367837</v>
      </c>
      <c r="E128" s="11">
        <f>A128-'Mastercurve bestimmen'!$B$2</f>
        <v>-87</v>
      </c>
      <c r="F128" s="11">
        <f t="shared" si="10"/>
        <v>-31.384329117367837</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-31.208145895356939</v>
      </c>
      <c r="E129" s="11">
        <f>A129-'Mastercurve bestimmen'!$B$2</f>
        <v>-86</v>
      </c>
      <c r="F129" s="11">
        <f t="shared" si="10"/>
        <v>-31.208145895356939</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-31.025895818800631</v>
      </c>
      <c r="E130" s="11">
        <f>A130-'Mastercurve bestimmen'!$B$2</f>
        <v>-85</v>
      </c>
      <c r="F130" s="11">
        <f t="shared" si="10"/>
        <v>-31.025895818800631</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-30.837008522128748</v>
      </c>
      <c r="E131" s="11">
        <f>A131-'Mastercurve bestimmen'!$B$2</f>
        <v>-84</v>
      </c>
      <c r="F131" s="11">
        <f t="shared" si="10"/>
        <v>-30.837008522128748</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-30.640913639771153</v>
      </c>
      <c r="E132" s="11">
        <f>A132-'Mastercurve bestimmen'!$B$2</f>
        <v>-83</v>
      </c>
      <c r="F132" s="11">
        <f t="shared" si="10"/>
        <v>-30.640913639771153</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-30.437040806157693</v>
      </c>
      <c r="E133" s="11">
        <f>A133-'Mastercurve bestimmen'!$B$2</f>
        <v>-82</v>
      </c>
      <c r="F133" s="11">
        <f t="shared" si="10"/>
        <v>-30.437040806157693</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-30.224819655718218</v>
      </c>
      <c r="E134" s="11">
        <f>A134-'Mastercurve bestimmen'!$B$2</f>
        <v>-81</v>
      </c>
      <c r="F134" s="11">
        <f t="shared" si="10"/>
        <v>-30.224819655718218</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-30.003679822882582</v>
      </c>
      <c r="E135" s="11">
        <f>A135-'Mastercurve bestimmen'!$B$2</f>
        <v>-80</v>
      </c>
      <c r="F135" s="11">
        <f t="shared" si="10"/>
        <v>-30.003679822882582</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-29.77318582684968</v>
      </c>
      <c r="E136" s="11">
        <f>A136-'Mastercurve bestimmen'!$B$2</f>
        <v>-79</v>
      </c>
      <c r="F136" s="11">
        <f t="shared" si="10"/>
        <v>-29.77318582684968</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-29.533441725894633</v>
      </c>
      <c r="E137" s="11">
        <f>A137-'Mastercurve bestimmen'!$B$2</f>
        <v>-78</v>
      </c>
      <c r="F137" s="11">
        <f t="shared" si="10"/>
        <v>-29.533441725894633</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-29.2846864630616</v>
      </c>
      <c r="E138" s="11">
        <f>A138-'Mastercurve bestimmen'!$B$2</f>
        <v>-77</v>
      </c>
      <c r="F138" s="11">
        <f t="shared" si="10"/>
        <v>-29.2846864630616</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-29.027158981394756</v>
      </c>
      <c r="E139" s="11">
        <f>A139-'Mastercurve bestimmen'!$B$2</f>
        <v>-76</v>
      </c>
      <c r="F139" s="11">
        <f t="shared" si="10"/>
        <v>-29.027158981394756</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-28.761098223938259</v>
      </c>
      <c r="E140" s="11">
        <f>A140-'Mastercurve bestimmen'!$B$2</f>
        <v>-75</v>
      </c>
      <c r="F140" s="11">
        <f t="shared" si="10"/>
        <v>-28.761098223938259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-28.486743133736276</v>
      </c>
      <c r="E141" s="11">
        <f>A141-'Mastercurve bestimmen'!$B$2</f>
        <v>-74</v>
      </c>
      <c r="F141" s="11">
        <f t="shared" si="10"/>
        <v>-28.486743133736276</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-28.204332653832978</v>
      </c>
      <c r="E142" s="11">
        <f>A142-'Mastercurve bestimmen'!$B$2</f>
        <v>-73</v>
      </c>
      <c r="F142" s="11">
        <f t="shared" si="10"/>
        <v>-28.204332653832978</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-27.914105727272521</v>
      </c>
      <c r="E143" s="11">
        <f>A143-'Mastercurve bestimmen'!$B$2</f>
        <v>-72</v>
      </c>
      <c r="F143" s="11">
        <f t="shared" si="10"/>
        <v>-27.914105727272521</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-27.616301297099078</v>
      </c>
      <c r="E144" s="11">
        <f>A144-'Mastercurve bestimmen'!$B$2</f>
        <v>-71</v>
      </c>
      <c r="F144" s="11">
        <f t="shared" ref="F144:F207" si="15">B144</f>
        <v>-27.616301297099078</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-27.311158306356813</v>
      </c>
      <c r="E145" s="11">
        <f>A145-'Mastercurve bestimmen'!$B$2</f>
        <v>-70</v>
      </c>
      <c r="F145" s="11">
        <f t="shared" si="15"/>
        <v>-27.311158306356813</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-26.998915698089895</v>
      </c>
      <c r="E146" s="11">
        <f>A146-'Mastercurve bestimmen'!$B$2</f>
        <v>-69</v>
      </c>
      <c r="F146" s="11">
        <f t="shared" si="15"/>
        <v>-26.998915698089895</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-26.679812415342482</v>
      </c>
      <c r="E147" s="11">
        <f>A147-'Mastercurve bestimmen'!$B$2</f>
        <v>-68</v>
      </c>
      <c r="F147" s="11">
        <f t="shared" si="15"/>
        <v>-26.679812415342482</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-26.35408740115874</v>
      </c>
      <c r="E148" s="11">
        <f>A148-'Mastercurve bestimmen'!$B$2</f>
        <v>-67</v>
      </c>
      <c r="F148" s="11">
        <f t="shared" si="15"/>
        <v>-26.35408740115874</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-26.021979598582845</v>
      </c>
      <c r="E149" s="11">
        <f>A149-'Mastercurve bestimmen'!$B$2</f>
        <v>-66</v>
      </c>
      <c r="F149" s="11">
        <f t="shared" si="15"/>
        <v>-26.021979598582845</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-25.683727950658952</v>
      </c>
      <c r="E150" s="11">
        <f>A150-'Mastercurve bestimmen'!$B$2</f>
        <v>-65</v>
      </c>
      <c r="F150" s="11">
        <f t="shared" si="15"/>
        <v>-25.683727950658952</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-25.33957140043124</v>
      </c>
      <c r="E151" s="11">
        <f>A151-'Mastercurve bestimmen'!$B$2</f>
        <v>-64</v>
      </c>
      <c r="F151" s="11">
        <f t="shared" si="15"/>
        <v>-25.33957140043124</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-24.989748890943854</v>
      </c>
      <c r="E152" s="11">
        <f>A152-'Mastercurve bestimmen'!$B$2</f>
        <v>-63</v>
      </c>
      <c r="F152" s="11">
        <f t="shared" si="15"/>
        <v>-24.989748890943854</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-24.634499365240977</v>
      </c>
      <c r="E153" s="11">
        <f>A153-'Mastercurve bestimmen'!$B$2</f>
        <v>-62</v>
      </c>
      <c r="F153" s="11">
        <f t="shared" si="15"/>
        <v>-24.634499365240977</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-24.274061766366767</v>
      </c>
      <c r="E154" s="11">
        <f>A154-'Mastercurve bestimmen'!$B$2</f>
        <v>-61</v>
      </c>
      <c r="F154" s="11">
        <f t="shared" si="15"/>
        <v>-24.274061766366767</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-23.908675037365391</v>
      </c>
      <c r="E155" s="11">
        <f>A155-'Mastercurve bestimmen'!$B$2</f>
        <v>-60</v>
      </c>
      <c r="F155" s="11">
        <f t="shared" si="15"/>
        <v>-23.908675037365391</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-23.53857812128102</v>
      </c>
      <c r="E156" s="11">
        <f>A156-'Mastercurve bestimmen'!$B$2</f>
        <v>-59</v>
      </c>
      <c r="F156" s="11">
        <f t="shared" si="15"/>
        <v>-23.53857812128102</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-23.164009961157813</v>
      </c>
      <c r="E157" s="11">
        <f>A157-'Mastercurve bestimmen'!$B$2</f>
        <v>-58</v>
      </c>
      <c r="F157" s="11">
        <f t="shared" si="15"/>
        <v>-23.164009961157813</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-22.785209500039937</v>
      </c>
      <c r="E158" s="11">
        <f>A158-'Mastercurve bestimmen'!$B$2</f>
        <v>-57</v>
      </c>
      <c r="F158" s="11">
        <f t="shared" si="15"/>
        <v>-22.785209500039937</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-22.402415680971558</v>
      </c>
      <c r="E159" s="11">
        <f>A159-'Mastercurve bestimmen'!$B$2</f>
        <v>-56</v>
      </c>
      <c r="F159" s="11">
        <f t="shared" si="15"/>
        <v>-22.402415680971558</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-22.015867446996843</v>
      </c>
      <c r="E160" s="11">
        <f>A160-'Mastercurve bestimmen'!$B$2</f>
        <v>-55</v>
      </c>
      <c r="F160" s="11">
        <f t="shared" si="15"/>
        <v>-22.015867446996843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-21.62580374115996</v>
      </c>
      <c r="E161" s="11">
        <f>A161-'Mastercurve bestimmen'!$B$2</f>
        <v>-54</v>
      </c>
      <c r="F161" s="11">
        <f t="shared" si="15"/>
        <v>-21.62580374115996</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-21.23246350650507</v>
      </c>
      <c r="E162" s="11">
        <f>A162-'Mastercurve bestimmen'!$B$2</f>
        <v>-53</v>
      </c>
      <c r="F162" s="11">
        <f t="shared" si="15"/>
        <v>-21.23246350650507</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-20.836085686076338</v>
      </c>
      <c r="E163" s="11">
        <f>A163-'Mastercurve bestimmen'!$B$2</f>
        <v>-52</v>
      </c>
      <c r="F163" s="11">
        <f t="shared" si="15"/>
        <v>-20.836085686076338</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-20.436909222917933</v>
      </c>
      <c r="E164" s="11">
        <f>A164-'Mastercurve bestimmen'!$B$2</f>
        <v>-51</v>
      </c>
      <c r="F164" s="11">
        <f t="shared" si="15"/>
        <v>-20.436909222917933</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-20.035173060074019</v>
      </c>
      <c r="E165" s="11">
        <f>A165-'Mastercurve bestimmen'!$B$2</f>
        <v>-50</v>
      </c>
      <c r="F165" s="11">
        <f t="shared" si="15"/>
        <v>-20.035173060074019</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-19.631116140588766</v>
      </c>
      <c r="E166" s="11">
        <f>A166-'Mastercurve bestimmen'!$B$2</f>
        <v>-49</v>
      </c>
      <c r="F166" s="11">
        <f t="shared" si="15"/>
        <v>-19.631116140588766</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-19.224977407506334</v>
      </c>
      <c r="E167" s="11">
        <f>A167-'Mastercurve bestimmen'!$B$2</f>
        <v>-48</v>
      </c>
      <c r="F167" s="11">
        <f t="shared" si="15"/>
        <v>-19.224977407506334</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-18.816995803870892</v>
      </c>
      <c r="E168" s="11">
        <f>A168-'Mastercurve bestimmen'!$B$2</f>
        <v>-47</v>
      </c>
      <c r="F168" s="11">
        <f t="shared" si="15"/>
        <v>-18.816995803870892</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-18.407410272726604</v>
      </c>
      <c r="E169" s="11">
        <f>A169-'Mastercurve bestimmen'!$B$2</f>
        <v>-46</v>
      </c>
      <c r="F169" s="11">
        <f t="shared" si="15"/>
        <v>-18.407410272726604</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-17.996459757117634</v>
      </c>
      <c r="E170" s="11">
        <f>A170-'Mastercurve bestimmen'!$B$2</f>
        <v>-45</v>
      </c>
      <c r="F170" s="11">
        <f t="shared" si="15"/>
        <v>-17.996459757117634</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-17.584383200088151</v>
      </c>
      <c r="E171" s="11">
        <f>A171-'Mastercurve bestimmen'!$B$2</f>
        <v>-44</v>
      </c>
      <c r="F171" s="11">
        <f t="shared" si="15"/>
        <v>-17.584383200088151</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-17.171419544682323</v>
      </c>
      <c r="E172" s="11">
        <f>A172-'Mastercurve bestimmen'!$B$2</f>
        <v>-43</v>
      </c>
      <c r="F172" s="11">
        <f t="shared" si="15"/>
        <v>-17.171419544682323</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-16.757807733944311</v>
      </c>
      <c r="E173" s="11">
        <f>A173-'Mastercurve bestimmen'!$B$2</f>
        <v>-42</v>
      </c>
      <c r="F173" s="11">
        <f t="shared" si="15"/>
        <v>-16.757807733944311</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-16.34378671091828</v>
      </c>
      <c r="E174" s="11">
        <f>A174-'Mastercurve bestimmen'!$B$2</f>
        <v>-41</v>
      </c>
      <c r="F174" s="11">
        <f t="shared" si="15"/>
        <v>-16.34378671091828</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-15.929595418648397</v>
      </c>
      <c r="E175" s="11">
        <f>A175-'Mastercurve bestimmen'!$B$2</f>
        <v>-40</v>
      </c>
      <c r="F175" s="11">
        <f t="shared" si="15"/>
        <v>-15.929595418648397</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-15.515472800178831</v>
      </c>
      <c r="E176" s="11">
        <f>A176-'Mastercurve bestimmen'!$B$2</f>
        <v>-39</v>
      </c>
      <c r="F176" s="11">
        <f t="shared" si="15"/>
        <v>-15.515472800178831</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-15.101657798553745</v>
      </c>
      <c r="E177" s="11">
        <f>A177-'Mastercurve bestimmen'!$B$2</f>
        <v>-38</v>
      </c>
      <c r="F177" s="11">
        <f t="shared" si="15"/>
        <v>-15.101657798553745</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-14.688389356817305</v>
      </c>
      <c r="E178" s="11">
        <f>A178-'Mastercurve bestimmen'!$B$2</f>
        <v>-37</v>
      </c>
      <c r="F178" s="11">
        <f t="shared" si="15"/>
        <v>-14.688389356817305</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-14.275906418013676</v>
      </c>
      <c r="E179" s="11">
        <f>A179-'Mastercurve bestimmen'!$B$2</f>
        <v>-36</v>
      </c>
      <c r="F179" s="11">
        <f t="shared" si="15"/>
        <v>-14.275906418013676</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-13.864447925187026</v>
      </c>
      <c r="E180" s="11">
        <f>A180-'Mastercurve bestimmen'!$B$2</f>
        <v>-35</v>
      </c>
      <c r="F180" s="11">
        <f t="shared" si="15"/>
        <v>-13.864447925187026</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-13.454206981402628</v>
      </c>
      <c r="E181" s="11">
        <f>A181-'Mastercurve bestimmen'!$B$2</f>
        <v>-34</v>
      </c>
      <c r="F181" s="11">
        <f t="shared" si="15"/>
        <v>-13.454206981402628</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-13.045193329810196</v>
      </c>
      <c r="E182" s="11">
        <f>A182-'Mastercurve bestimmen'!$B$2</f>
        <v>-33</v>
      </c>
      <c r="F182" s="11">
        <f t="shared" si="15"/>
        <v>-13.045193329810196</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-12.637370873580558</v>
      </c>
      <c r="E183" s="11">
        <f>A183-'Mastercurve bestimmen'!$B$2</f>
        <v>-32</v>
      </c>
      <c r="F183" s="11">
        <f t="shared" si="15"/>
        <v>-12.637370873580558</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-12.230703515884535</v>
      </c>
      <c r="E184" s="11">
        <f>A184-'Mastercurve bestimmen'!$B$2</f>
        <v>-31</v>
      </c>
      <c r="F184" s="11">
        <f t="shared" si="15"/>
        <v>-12.230703515884535</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-11.825155159892955</v>
      </c>
      <c r="E185" s="11">
        <f>A185-'Mastercurve bestimmen'!$B$2</f>
        <v>-30</v>
      </c>
      <c r="F185" s="11">
        <f t="shared" si="15"/>
        <v>-11.825155159892955</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-11.420689708776637</v>
      </c>
      <c r="E186" s="11">
        <f>A186-'Mastercurve bestimmen'!$B$2</f>
        <v>-29</v>
      </c>
      <c r="F186" s="11">
        <f t="shared" si="15"/>
        <v>-11.420689708776637</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-11.01727106570641</v>
      </c>
      <c r="E187" s="11">
        <f>A187-'Mastercurve bestimmen'!$B$2</f>
        <v>-28</v>
      </c>
      <c r="F187" s="11">
        <f t="shared" si="15"/>
        <v>-11.01727106570641</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-10.614863133853099</v>
      </c>
      <c r="E188" s="11">
        <f>A188-'Mastercurve bestimmen'!$B$2</f>
        <v>-27</v>
      </c>
      <c r="F188" s="11">
        <f t="shared" si="15"/>
        <v>-10.614863133853099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-10.213429816387526</v>
      </c>
      <c r="E189" s="11">
        <f>A189-'Mastercurve bestimmen'!$B$2</f>
        <v>-26</v>
      </c>
      <c r="F189" s="11">
        <f t="shared" si="15"/>
        <v>-10.213429816387526</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-9.8129350164805178</v>
      </c>
      <c r="E190" s="11">
        <f>A190-'Mastercurve bestimmen'!$B$2</f>
        <v>-25</v>
      </c>
      <c r="F190" s="11">
        <f t="shared" si="15"/>
        <v>-9.8129350164805178</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-9.413342637302895</v>
      </c>
      <c r="E191" s="11">
        <f>A191-'Mastercurve bestimmen'!$B$2</f>
        <v>-24</v>
      </c>
      <c r="F191" s="11">
        <f t="shared" si="15"/>
        <v>-9.413342637302895</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-9.0146165820254858</v>
      </c>
      <c r="E192" s="11">
        <f>A192-'Mastercurve bestimmen'!$B$2</f>
        <v>-23</v>
      </c>
      <c r="F192" s="11">
        <f t="shared" si="15"/>
        <v>-9.0146165820254858</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-8.6167207538191128</v>
      </c>
      <c r="E193" s="11">
        <f>A193-'Mastercurve bestimmen'!$B$2</f>
        <v>-22</v>
      </c>
      <c r="F193" s="11">
        <f t="shared" si="15"/>
        <v>-8.6167207538191128</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-8.2196190558546025</v>
      </c>
      <c r="E194" s="11">
        <f>A194-'Mastercurve bestimmen'!$B$2</f>
        <v>-21</v>
      </c>
      <c r="F194" s="11">
        <f t="shared" si="15"/>
        <v>-8.2196190558546025</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-7.8232753913027775</v>
      </c>
      <c r="E195" s="11">
        <f>A195-'Mastercurve bestimmen'!$B$2</f>
        <v>-20</v>
      </c>
      <c r="F195" s="11">
        <f t="shared" si="15"/>
        <v>-7.8232753913027775</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-7.4276536633344623</v>
      </c>
      <c r="E196" s="11">
        <f>A196-'Mastercurve bestimmen'!$B$2</f>
        <v>-19</v>
      </c>
      <c r="F196" s="11">
        <f t="shared" si="15"/>
        <v>-7.4276536633344623</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-7.0327177751204824</v>
      </c>
      <c r="E197" s="11">
        <f>A197-'Mastercurve bestimmen'!$B$2</f>
        <v>-18</v>
      </c>
      <c r="F197" s="11">
        <f t="shared" si="15"/>
        <v>-7.0327177751204824</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-6.6384316298316612</v>
      </c>
      <c r="E198" s="11">
        <f>A198-'Mastercurve bestimmen'!$B$2</f>
        <v>-17</v>
      </c>
      <c r="F198" s="11">
        <f t="shared" si="15"/>
        <v>-6.6384316298316612</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-6.2447591306388244</v>
      </c>
      <c r="E199" s="11">
        <f>A199-'Mastercurve bestimmen'!$B$2</f>
        <v>-16</v>
      </c>
      <c r="F199" s="11">
        <f t="shared" si="15"/>
        <v>-6.2447591306388244</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-5.8516641807127954</v>
      </c>
      <c r="E200" s="11">
        <f>A200-'Mastercurve bestimmen'!$B$2</f>
        <v>-15</v>
      </c>
      <c r="F200" s="11">
        <f t="shared" si="15"/>
        <v>-5.8516641807127954</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-5.4591106832243987</v>
      </c>
      <c r="E201" s="11">
        <f>A201-'Mastercurve bestimmen'!$B$2</f>
        <v>-14</v>
      </c>
      <c r="F201" s="11">
        <f t="shared" si="15"/>
        <v>-5.4591106832243987</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-5.0670625413444599</v>
      </c>
      <c r="E202" s="11">
        <f>A202-'Mastercurve bestimmen'!$B$2</f>
        <v>-13</v>
      </c>
      <c r="F202" s="11">
        <f t="shared" si="15"/>
        <v>-5.0670625413444599</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-4.6754836582438024</v>
      </c>
      <c r="E203" s="11">
        <f>A203-'Mastercurve bestimmen'!$B$2</f>
        <v>-12</v>
      </c>
      <c r="F203" s="11">
        <f t="shared" si="15"/>
        <v>-4.6754836582438024</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-4.2843379370932517</v>
      </c>
      <c r="E204" s="11">
        <f>A204-'Mastercurve bestimmen'!$B$2</f>
        <v>-11</v>
      </c>
      <c r="F204" s="11">
        <f t="shared" si="15"/>
        <v>-4.2843379370932517</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-3.8935892810636314</v>
      </c>
      <c r="E205" s="11">
        <f>A205-'Mastercurve bestimmen'!$B$2</f>
        <v>-10</v>
      </c>
      <c r="F205" s="11">
        <f t="shared" si="15"/>
        <v>-3.8935892810636314</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-3.5032015933257656</v>
      </c>
      <c r="E206" s="11">
        <f>A206-'Mastercurve bestimmen'!$B$2</f>
        <v>-9</v>
      </c>
      <c r="F206" s="11">
        <f t="shared" si="15"/>
        <v>-3.5032015933257656</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-3.1131387770504801</v>
      </c>
      <c r="E207" s="11">
        <f>A207-'Mastercurve bestimmen'!$B$2</f>
        <v>-8</v>
      </c>
      <c r="F207" s="11">
        <f t="shared" si="15"/>
        <v>-3.1131387770504801</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-2.7233647354085986</v>
      </c>
      <c r="E208" s="11">
        <f>A208-'Mastercurve bestimmen'!$B$2</f>
        <v>-7</v>
      </c>
      <c r="F208" s="11">
        <f t="shared" ref="F208:F215" si="21">B208</f>
        <v>-2.7233647354085986</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-2.3338433715709455</v>
      </c>
      <c r="E209" s="11">
        <f>A209-'Mastercurve bestimmen'!$B$2</f>
        <v>-6</v>
      </c>
      <c r="F209" s="11">
        <f t="shared" si="21"/>
        <v>-2.3338433715709455</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-1.9445385887083459</v>
      </c>
      <c r="E210" s="11">
        <f>A210-'Mastercurve bestimmen'!$B$2</f>
        <v>-5</v>
      </c>
      <c r="F210" s="11">
        <f t="shared" si="21"/>
        <v>-1.9445385887083459</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-1.5554142899916235</v>
      </c>
      <c r="E211" s="11">
        <f>A211-'Mastercurve bestimmen'!$B$2</f>
        <v>-4</v>
      </c>
      <c r="F211" s="11">
        <f t="shared" si="21"/>
        <v>-1.5554142899916235</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-1.1664343785916031</v>
      </c>
      <c r="E212" s="11">
        <f>A212-'Mastercurve bestimmen'!$B$2</f>
        <v>-3</v>
      </c>
      <c r="F212" s="11">
        <f t="shared" si="21"/>
        <v>-1.1664343785916031</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-0.77756275767910976</v>
      </c>
      <c r="E213" s="11">
        <f>A213-'Mastercurve bestimmen'!$B$2</f>
        <v>-2</v>
      </c>
      <c r="F213" s="11">
        <f t="shared" si="21"/>
        <v>-0.77756275767910976</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-0.38876333042496708</v>
      </c>
      <c r="E214" s="11">
        <f>A214-'Mastercurve bestimmen'!$B$2</f>
        <v>-1</v>
      </c>
      <c r="F214" s="11">
        <f t="shared" si="21"/>
        <v>-0.38876333042496708</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0.51053074193547776</v>
      </c>
      <c r="J217" s="98">
        <v>1.591766651950233E-2</v>
      </c>
      <c r="K217" s="98">
        <v>7.0587531715780155E-4</v>
      </c>
      <c r="L217" s="98">
        <v>1.395418314926032E-5</v>
      </c>
      <c r="M217" s="98">
        <v>1.4004639732018242E-7</v>
      </c>
      <c r="N217" s="98">
        <v>7.5576046661320867E-10</v>
      </c>
      <c r="O217" s="98">
        <v>2.1023384243898659E-12</v>
      </c>
      <c r="P217" s="98">
        <v>2.3757236620407153E-15</v>
      </c>
    </row>
    <row r="218" spans="1:16" x14ac:dyDescent="0.25">
      <c r="G218" s="11"/>
      <c r="H218" s="11">
        <v>0</v>
      </c>
      <c r="I218" s="11">
        <v>1.4628776804812876E-2</v>
      </c>
      <c r="J218" s="11">
        <v>1.4507972595682785E-3</v>
      </c>
      <c r="K218" s="3">
        <v>5.5047412419193147E-5</v>
      </c>
      <c r="L218" s="3">
        <v>1.049389327639149E-6</v>
      </c>
      <c r="M218" s="3">
        <v>1.1048070020370591E-8</v>
      </c>
      <c r="N218" s="3">
        <v>6.5178122137540338E-11</v>
      </c>
      <c r="O218" s="11">
        <v>2.0178140116183538E-13</v>
      </c>
      <c r="P218" s="11">
        <v>2.5512521689401164E-16</v>
      </c>
    </row>
    <row r="219" spans="1:16" x14ac:dyDescent="0.25">
      <c r="G219" s="11"/>
      <c r="H219" s="11">
        <v>0.99997136906927764</v>
      </c>
      <c r="I219" s="11">
        <v>0.1997700945880225</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-59.965522631974636</v>
      </c>
      <c r="G222">
        <f>F15</f>
        <v>-59.999898573957836</v>
      </c>
    </row>
    <row r="223" spans="1:16" x14ac:dyDescent="0.25">
      <c r="E223" s="11">
        <f t="shared" ref="E223:E286" si="25">E16</f>
        <v>-199</v>
      </c>
      <c r="F223" s="11">
        <f t="shared" ref="F223:F286" si="26">$H$217*0+E223*$I$217+E223^2*$J$217+E223^3*$K$217+E223^4*$L$217+E223^5*$M$217+E223^6*$N$217+E223^7*$O$217+E223^8*$P$217</f>
        <v>-59.760966859406835</v>
      </c>
      <c r="G223" s="11">
        <f t="shared" ref="G223:G286" si="27">F16</f>
        <v>-59.759753971475405</v>
      </c>
    </row>
    <row r="224" spans="1:16" x14ac:dyDescent="0.25">
      <c r="E224" s="11">
        <f t="shared" si="25"/>
        <v>-198</v>
      </c>
      <c r="F224" s="11">
        <f t="shared" si="26"/>
        <v>-59.546524697375389</v>
      </c>
      <c r="G224" s="11">
        <f t="shared" si="27"/>
        <v>-59.519413306686161</v>
      </c>
    </row>
    <row r="225" spans="5:7" x14ac:dyDescent="0.25">
      <c r="E225" s="11">
        <f t="shared" si="25"/>
        <v>-197</v>
      </c>
      <c r="F225" s="11">
        <f t="shared" si="26"/>
        <v>-59.323248843557849</v>
      </c>
      <c r="G225" s="11">
        <f t="shared" si="27"/>
        <v>-59.278680517283306</v>
      </c>
    </row>
    <row r="226" spans="5:7" x14ac:dyDescent="0.25">
      <c r="E226" s="11">
        <f t="shared" si="25"/>
        <v>-196</v>
      </c>
      <c r="F226" s="11">
        <f t="shared" si="26"/>
        <v>-59.092091957143566</v>
      </c>
      <c r="G226" s="11">
        <f t="shared" si="27"/>
        <v>-59.037359540960004</v>
      </c>
    </row>
    <row r="227" spans="5:7" x14ac:dyDescent="0.25">
      <c r="E227" s="11">
        <f t="shared" si="25"/>
        <v>-195</v>
      </c>
      <c r="F227" s="11">
        <f t="shared" si="26"/>
        <v>-58.853913662286686</v>
      </c>
      <c r="G227" s="11">
        <f t="shared" si="27"/>
        <v>-58.795254315409473</v>
      </c>
    </row>
    <row r="228" spans="5:7" x14ac:dyDescent="0.25">
      <c r="E228" s="11">
        <f t="shared" si="25"/>
        <v>-194</v>
      </c>
      <c r="F228" s="11">
        <f t="shared" si="26"/>
        <v>-58.609487235965389</v>
      </c>
      <c r="G228" s="11">
        <f t="shared" si="27"/>
        <v>-58.552168778324898</v>
      </c>
    </row>
    <row r="229" spans="5:7" x14ac:dyDescent="0.25">
      <c r="E229" s="11">
        <f t="shared" si="25"/>
        <v>-193</v>
      </c>
      <c r="F229" s="11">
        <f t="shared" si="26"/>
        <v>-58.359505988622004</v>
      </c>
      <c r="G229" s="11">
        <f t="shared" si="27"/>
        <v>-58.307906867399446</v>
      </c>
    </row>
    <row r="230" spans="5:7" x14ac:dyDescent="0.25">
      <c r="E230" s="11">
        <f t="shared" si="25"/>
        <v>-192</v>
      </c>
      <c r="F230" s="11">
        <f t="shared" si="26"/>
        <v>-58.10458934549024</v>
      </c>
      <c r="G230" s="11">
        <f t="shared" si="27"/>
        <v>-58.062272520326339</v>
      </c>
    </row>
    <row r="231" spans="5:7" x14ac:dyDescent="0.25">
      <c r="E231" s="11">
        <f t="shared" si="25"/>
        <v>-191</v>
      </c>
      <c r="F231" s="11">
        <f t="shared" si="26"/>
        <v>-57.845288636884106</v>
      </c>
      <c r="G231" s="11">
        <f t="shared" si="27"/>
        <v>-57.81506967479875</v>
      </c>
    </row>
    <row r="232" spans="5:7" x14ac:dyDescent="0.25">
      <c r="E232" s="11">
        <f t="shared" si="25"/>
        <v>-190</v>
      </c>
      <c r="F232" s="11">
        <f t="shared" si="26"/>
        <v>-57.582092605180151</v>
      </c>
      <c r="G232" s="11">
        <f t="shared" si="27"/>
        <v>-57.566102268509866</v>
      </c>
    </row>
    <row r="233" spans="5:7" x14ac:dyDescent="0.25">
      <c r="E233" s="11">
        <f t="shared" si="25"/>
        <v>-189</v>
      </c>
      <c r="F233" s="11">
        <f t="shared" si="26"/>
        <v>-57.315432636567493</v>
      </c>
      <c r="G233" s="11">
        <f t="shared" si="27"/>
        <v>-57.315174239152881</v>
      </c>
    </row>
    <row r="234" spans="5:7" x14ac:dyDescent="0.25">
      <c r="E234" s="11">
        <f t="shared" si="25"/>
        <v>-188</v>
      </c>
      <c r="F234" s="11">
        <f t="shared" si="26"/>
        <v>-57.045687724979416</v>
      </c>
      <c r="G234" s="11">
        <f t="shared" si="27"/>
        <v>-57.062089524420998</v>
      </c>
    </row>
    <row r="235" spans="5:7" x14ac:dyDescent="0.25">
      <c r="E235" s="11">
        <f t="shared" si="25"/>
        <v>-187</v>
      </c>
      <c r="F235" s="11">
        <f t="shared" si="26"/>
        <v>-56.773189176294181</v>
      </c>
      <c r="G235" s="11">
        <f t="shared" si="27"/>
        <v>-56.806652062007387</v>
      </c>
    </row>
    <row r="236" spans="5:7" x14ac:dyDescent="0.25">
      <c r="E236" s="11">
        <f t="shared" si="25"/>
        <v>-186</v>
      </c>
      <c r="F236" s="11">
        <f t="shared" si="26"/>
        <v>-56.498225059905053</v>
      </c>
      <c r="G236" s="11">
        <f t="shared" si="27"/>
        <v>-56.548665789605252</v>
      </c>
    </row>
    <row r="237" spans="5:7" x14ac:dyDescent="0.25">
      <c r="E237" s="11">
        <f t="shared" si="25"/>
        <v>-185</v>
      </c>
      <c r="F237" s="11">
        <f t="shared" si="26"/>
        <v>-56.221044415490724</v>
      </c>
      <c r="G237" s="11">
        <f t="shared" si="27"/>
        <v>-56.287934644907779</v>
      </c>
    </row>
    <row r="238" spans="5:7" x14ac:dyDescent="0.25">
      <c r="E238" s="11">
        <f t="shared" si="25"/>
        <v>-184</v>
      </c>
      <c r="F238" s="11">
        <f t="shared" si="26"/>
        <v>-55.941861222140233</v>
      </c>
      <c r="G238" s="11">
        <f t="shared" si="27"/>
        <v>-56.024262565608154</v>
      </c>
    </row>
    <row r="239" spans="5:7" x14ac:dyDescent="0.25">
      <c r="E239" s="11">
        <f t="shared" si="25"/>
        <v>-183</v>
      </c>
      <c r="F239" s="11">
        <f t="shared" si="26"/>
        <v>-55.660858137161085</v>
      </c>
      <c r="G239" s="11">
        <f t="shared" si="27"/>
        <v>-55.757453489399566</v>
      </c>
    </row>
    <row r="240" spans="5:7" x14ac:dyDescent="0.25">
      <c r="E240" s="11">
        <f t="shared" si="25"/>
        <v>-182</v>
      </c>
      <c r="F240" s="11">
        <f t="shared" si="26"/>
        <v>-55.378190011762399</v>
      </c>
      <c r="G240" s="11">
        <f t="shared" si="27"/>
        <v>-55.487311353975215</v>
      </c>
    </row>
    <row r="241" spans="5:7" x14ac:dyDescent="0.25">
      <c r="E241" s="11">
        <f t="shared" si="25"/>
        <v>-181</v>
      </c>
      <c r="F241" s="11">
        <f t="shared" si="26"/>
        <v>-55.093987190662574</v>
      </c>
      <c r="G241" s="11">
        <f t="shared" si="27"/>
        <v>-55.213640097028282</v>
      </c>
    </row>
    <row r="242" spans="5:7" x14ac:dyDescent="0.25">
      <c r="E242" s="11">
        <f t="shared" si="25"/>
        <v>-180</v>
      </c>
      <c r="F242" s="11">
        <f t="shared" si="26"/>
        <v>-54.808358602592762</v>
      </c>
      <c r="G242" s="11">
        <f t="shared" si="27"/>
        <v>-54.93624365625196</v>
      </c>
    </row>
    <row r="243" spans="5:7" x14ac:dyDescent="0.25">
      <c r="E243" s="11">
        <f t="shared" si="25"/>
        <v>-179</v>
      </c>
      <c r="F243" s="11">
        <f t="shared" si="26"/>
        <v>-54.521394648658315</v>
      </c>
      <c r="G243" s="11">
        <f t="shared" si="27"/>
        <v>-54.654925969339445</v>
      </c>
    </row>
    <row r="244" spans="5:7" x14ac:dyDescent="0.25">
      <c r="E244" s="11">
        <f t="shared" si="25"/>
        <v>-178</v>
      </c>
      <c r="F244" s="11">
        <f t="shared" si="26"/>
        <v>-54.23316989521436</v>
      </c>
      <c r="G244" s="11">
        <f t="shared" si="27"/>
        <v>-54.369490973983915</v>
      </c>
    </row>
    <row r="245" spans="5:7" x14ac:dyDescent="0.25">
      <c r="E245" s="11">
        <f t="shared" si="25"/>
        <v>-177</v>
      </c>
      <c r="F245" s="11">
        <f t="shared" si="26"/>
        <v>-53.943745578081689</v>
      </c>
      <c r="G245" s="11">
        <f t="shared" si="27"/>
        <v>-54.079742607878565</v>
      </c>
    </row>
    <row r="246" spans="5:7" x14ac:dyDescent="0.25">
      <c r="E246" s="11">
        <f t="shared" si="25"/>
        <v>-176</v>
      </c>
      <c r="F246" s="11">
        <f t="shared" si="26"/>
        <v>-53.653171924648177</v>
      </c>
      <c r="G246" s="11">
        <f t="shared" si="27"/>
        <v>-53.785484808716589</v>
      </c>
    </row>
    <row r="247" spans="5:7" x14ac:dyDescent="0.25">
      <c r="E247" s="11">
        <f t="shared" si="25"/>
        <v>-175</v>
      </c>
      <c r="F247" s="11">
        <f t="shared" si="26"/>
        <v>-53.361490300304013</v>
      </c>
      <c r="G247" s="11">
        <f t="shared" si="27"/>
        <v>-53.486521514191175</v>
      </c>
    </row>
    <row r="248" spans="5:7" x14ac:dyDescent="0.25">
      <c r="E248" s="11">
        <f t="shared" si="25"/>
        <v>-174</v>
      </c>
      <c r="F248" s="11">
        <f t="shared" si="26"/>
        <v>-53.068735185733658</v>
      </c>
      <c r="G248" s="11">
        <f t="shared" si="27"/>
        <v>-53.182656661995509</v>
      </c>
    </row>
    <row r="249" spans="5:7" x14ac:dyDescent="0.25">
      <c r="E249" s="11">
        <f t="shared" si="25"/>
        <v>-173</v>
      </c>
      <c r="F249" s="11">
        <f t="shared" si="26"/>
        <v>-52.774935991271605</v>
      </c>
      <c r="G249" s="11">
        <f t="shared" si="27"/>
        <v>-52.873694189822793</v>
      </c>
    </row>
    <row r="250" spans="5:7" x14ac:dyDescent="0.25">
      <c r="E250" s="11">
        <f t="shared" si="25"/>
        <v>-172</v>
      </c>
      <c r="F250" s="11">
        <f t="shared" si="26"/>
        <v>-52.480118714587888</v>
      </c>
      <c r="G250" s="11">
        <f t="shared" si="27"/>
        <v>-52.559438035366213</v>
      </c>
    </row>
    <row r="251" spans="5:7" x14ac:dyDescent="0.25">
      <c r="E251" s="11">
        <f t="shared" si="25"/>
        <v>-171</v>
      </c>
      <c r="F251" s="11">
        <f t="shared" si="26"/>
        <v>-52.184307447816309</v>
      </c>
      <c r="G251" s="11">
        <f t="shared" si="27"/>
        <v>-52.239692136318936</v>
      </c>
    </row>
    <row r="252" spans="5:7" x14ac:dyDescent="0.25">
      <c r="E252" s="11">
        <f t="shared" si="25"/>
        <v>-170</v>
      </c>
      <c r="F252" s="11">
        <f t="shared" si="26"/>
        <v>-51.887525740141882</v>
      </c>
      <c r="G252" s="11">
        <f t="shared" si="27"/>
        <v>-51.914260430374185</v>
      </c>
    </row>
    <row r="253" spans="5:7" x14ac:dyDescent="0.25">
      <c r="E253" s="11">
        <f t="shared" si="25"/>
        <v>-169</v>
      </c>
      <c r="F253" s="11">
        <f t="shared" si="26"/>
        <v>-51.589797821769707</v>
      </c>
      <c r="G253" s="11">
        <f t="shared" si="27"/>
        <v>-51.582946855225124</v>
      </c>
    </row>
    <row r="254" spans="5:7" x14ac:dyDescent="0.25">
      <c r="E254" s="11">
        <f t="shared" si="25"/>
        <v>-168</v>
      </c>
      <c r="F254" s="11">
        <f t="shared" si="26"/>
        <v>-51.291149695126023</v>
      </c>
      <c r="G254" s="11">
        <f t="shared" si="27"/>
        <v>-51.245555348564963</v>
      </c>
    </row>
    <row r="255" spans="5:7" x14ac:dyDescent="0.25">
      <c r="E255" s="11">
        <f t="shared" si="25"/>
        <v>-167</v>
      </c>
      <c r="F255" s="11">
        <f t="shared" si="26"/>
        <v>-50.991610099049922</v>
      </c>
      <c r="G255" s="11">
        <f t="shared" si="27"/>
        <v>-50.901889848086896</v>
      </c>
    </row>
    <row r="256" spans="5:7" x14ac:dyDescent="0.25">
      <c r="E256" s="11">
        <f t="shared" si="25"/>
        <v>-166</v>
      </c>
      <c r="F256" s="11">
        <f t="shared" si="26"/>
        <v>-50.691211351487709</v>
      </c>
      <c r="G256" s="11">
        <f t="shared" si="27"/>
        <v>-50.55175429148408</v>
      </c>
    </row>
    <row r="257" spans="5:7" x14ac:dyDescent="0.25">
      <c r="E257" s="11">
        <f t="shared" si="25"/>
        <v>-165</v>
      </c>
      <c r="F257" s="11">
        <f t="shared" si="26"/>
        <v>-50.389990076448157</v>
      </c>
      <c r="G257" s="11">
        <f t="shared" si="27"/>
        <v>-50.19495261644974</v>
      </c>
    </row>
    <row r="258" spans="5:7" x14ac:dyDescent="0.25">
      <c r="E258" s="11">
        <f t="shared" si="25"/>
        <v>-164</v>
      </c>
      <c r="F258" s="11">
        <f t="shared" si="26"/>
        <v>-50.087987820468925</v>
      </c>
      <c r="G258" s="11">
        <f t="shared" si="27"/>
        <v>-49.83128876067704</v>
      </c>
    </row>
    <row r="259" spans="5:7" x14ac:dyDescent="0.25">
      <c r="E259" s="11">
        <f t="shared" si="25"/>
        <v>-163</v>
      </c>
      <c r="F259" s="11">
        <f t="shared" si="26"/>
        <v>-49.785251564054079</v>
      </c>
      <c r="G259" s="11">
        <f t="shared" si="27"/>
        <v>-49.46056666185919</v>
      </c>
    </row>
    <row r="260" spans="5:7" x14ac:dyDescent="0.25">
      <c r="E260" s="11">
        <f t="shared" si="25"/>
        <v>-162</v>
      </c>
      <c r="F260" s="11">
        <f t="shared" si="26"/>
        <v>-49.48183413333436</v>
      </c>
      <c r="G260" s="11">
        <f t="shared" si="27"/>
        <v>-49.082590257689375</v>
      </c>
    </row>
    <row r="261" spans="5:7" x14ac:dyDescent="0.25">
      <c r="E261" s="11">
        <f t="shared" si="25"/>
        <v>-161</v>
      </c>
      <c r="F261" s="11">
        <f t="shared" si="26"/>
        <v>-49.177794517055872</v>
      </c>
      <c r="G261" s="11">
        <f t="shared" si="27"/>
        <v>-48.697163485860777</v>
      </c>
    </row>
    <row r="262" spans="5:7" x14ac:dyDescent="0.25">
      <c r="E262" s="11">
        <f t="shared" si="25"/>
        <v>-160</v>
      </c>
      <c r="F262" s="11">
        <f t="shared" si="26"/>
        <v>-48.873198094026861</v>
      </c>
      <c r="G262" s="11">
        <f t="shared" si="27"/>
        <v>-48.304090284066596</v>
      </c>
    </row>
    <row r="263" spans="5:7" x14ac:dyDescent="0.25">
      <c r="E263" s="11">
        <f t="shared" si="25"/>
        <v>-159</v>
      </c>
      <c r="F263" s="11">
        <f t="shared" si="26"/>
        <v>-48.568116775940666</v>
      </c>
      <c r="G263" s="11">
        <f t="shared" si="27"/>
        <v>-48.097669463267394</v>
      </c>
    </row>
    <row r="264" spans="5:7" x14ac:dyDescent="0.25">
      <c r="E264" s="11">
        <f t="shared" si="25"/>
        <v>-158</v>
      </c>
      <c r="F264" s="11">
        <f t="shared" si="26"/>
        <v>-48.26262907050841</v>
      </c>
      <c r="G264" s="11">
        <f t="shared" si="27"/>
        <v>-47.88373189575276</v>
      </c>
    </row>
    <row r="265" spans="5:7" x14ac:dyDescent="0.25">
      <c r="E265" s="11">
        <f t="shared" si="25"/>
        <v>-157</v>
      </c>
      <c r="F265" s="11">
        <f t="shared" si="26"/>
        <v>-47.956820069596688</v>
      </c>
      <c r="G265" s="11">
        <f t="shared" si="27"/>
        <v>-47.66260332707968</v>
      </c>
    </row>
    <row r="266" spans="5:7" x14ac:dyDescent="0.25">
      <c r="E266" s="11">
        <f t="shared" si="25"/>
        <v>-156</v>
      </c>
      <c r="F266" s="11">
        <f t="shared" si="26"/>
        <v>-47.650781367152376</v>
      </c>
      <c r="G266" s="11">
        <f t="shared" si="27"/>
        <v>-47.434609502805131</v>
      </c>
    </row>
    <row r="267" spans="5:7" x14ac:dyDescent="0.25">
      <c r="E267" s="11">
        <f t="shared" si="25"/>
        <v>-155</v>
      </c>
      <c r="F267" s="11">
        <f t="shared" si="26"/>
        <v>-47.344610911407585</v>
      </c>
      <c r="G267" s="11">
        <f t="shared" si="27"/>
        <v>-47.200076168486078</v>
      </c>
    </row>
    <row r="268" spans="5:7" x14ac:dyDescent="0.25">
      <c r="E268" s="11">
        <f t="shared" si="25"/>
        <v>-154</v>
      </c>
      <c r="F268" s="11">
        <f t="shared" si="26"/>
        <v>-47.038412795912791</v>
      </c>
      <c r="G268" s="11">
        <f t="shared" si="27"/>
        <v>-46.959329069679491</v>
      </c>
    </row>
    <row r="269" spans="5:7" x14ac:dyDescent="0.25">
      <c r="E269" s="11">
        <f t="shared" si="25"/>
        <v>-153</v>
      </c>
      <c r="F269" s="11">
        <f t="shared" si="26"/>
        <v>-46.732296993791579</v>
      </c>
      <c r="G269" s="11">
        <f t="shared" si="27"/>
        <v>-46.712693951942349</v>
      </c>
    </row>
    <row r="270" spans="5:7" x14ac:dyDescent="0.25">
      <c r="E270" s="11">
        <f t="shared" si="25"/>
        <v>-152</v>
      </c>
      <c r="F270" s="11">
        <f t="shared" si="26"/>
        <v>-46.426379039482413</v>
      </c>
      <c r="G270" s="11">
        <f t="shared" si="27"/>
        <v>-46.460496560831629</v>
      </c>
    </row>
    <row r="271" spans="5:7" x14ac:dyDescent="0.25">
      <c r="E271" s="11">
        <f t="shared" si="25"/>
        <v>-151</v>
      </c>
      <c r="F271" s="11">
        <f t="shared" si="26"/>
        <v>-46.120779662202153</v>
      </c>
      <c r="G271" s="11">
        <f t="shared" si="27"/>
        <v>-46.203062641904296</v>
      </c>
    </row>
    <row r="272" spans="5:7" x14ac:dyDescent="0.25">
      <c r="E272" s="11">
        <f t="shared" si="25"/>
        <v>-150</v>
      </c>
      <c r="F272" s="11">
        <f t="shared" si="26"/>
        <v>-45.815624375225298</v>
      </c>
      <c r="G272" s="11">
        <f t="shared" si="27"/>
        <v>-45.940717940717334</v>
      </c>
    </row>
    <row r="273" spans="5:7" x14ac:dyDescent="0.25">
      <c r="E273" s="11">
        <f t="shared" si="25"/>
        <v>-149</v>
      </c>
      <c r="F273" s="11">
        <f t="shared" si="26"/>
        <v>-45.51104302500346</v>
      </c>
      <c r="G273" s="11">
        <f t="shared" si="27"/>
        <v>-45.673788202827708</v>
      </c>
    </row>
    <row r="274" spans="5:7" x14ac:dyDescent="0.25">
      <c r="E274" s="11">
        <f t="shared" si="25"/>
        <v>-148</v>
      </c>
      <c r="F274" s="11">
        <f t="shared" si="26"/>
        <v>-45.207169304016475</v>
      </c>
      <c r="G274" s="11">
        <f t="shared" si="27"/>
        <v>-45.40259917379241</v>
      </c>
    </row>
    <row r="275" spans="5:7" x14ac:dyDescent="0.25">
      <c r="E275" s="11">
        <f t="shared" si="25"/>
        <v>-147</v>
      </c>
      <c r="F275" s="11">
        <f t="shared" si="26"/>
        <v>-44.904140231207862</v>
      </c>
      <c r="G275" s="11">
        <f t="shared" si="27"/>
        <v>-45.127476599168389</v>
      </c>
    </row>
    <row r="276" spans="5:7" x14ac:dyDescent="0.25">
      <c r="E276" s="11">
        <f t="shared" si="25"/>
        <v>-146</v>
      </c>
      <c r="F276" s="11">
        <f t="shared" si="26"/>
        <v>-44.602095603704981</v>
      </c>
      <c r="G276" s="11">
        <f t="shared" si="27"/>
        <v>-44.848746224512624</v>
      </c>
    </row>
    <row r="277" spans="5:7" x14ac:dyDescent="0.25">
      <c r="E277" s="11">
        <f t="shared" si="25"/>
        <v>-145</v>
      </c>
      <c r="F277" s="11">
        <f t="shared" si="26"/>
        <v>-44.30117742345476</v>
      </c>
      <c r="G277" s="11">
        <f t="shared" si="27"/>
        <v>-44.566733795382106</v>
      </c>
    </row>
    <row r="278" spans="5:7" x14ac:dyDescent="0.25">
      <c r="E278" s="11">
        <f t="shared" si="25"/>
        <v>-144</v>
      </c>
      <c r="F278" s="11">
        <f t="shared" si="26"/>
        <v>-44.001529302329857</v>
      </c>
      <c r="G278" s="11">
        <f t="shared" si="27"/>
        <v>-44.281765057333786</v>
      </c>
    </row>
    <row r="279" spans="5:7" x14ac:dyDescent="0.25">
      <c r="E279" s="11">
        <f t="shared" si="25"/>
        <v>-143</v>
      </c>
      <c r="F279" s="11">
        <f t="shared" si="26"/>
        <v>-43.703295849115307</v>
      </c>
      <c r="G279" s="11">
        <f t="shared" si="27"/>
        <v>-43.994165755924655</v>
      </c>
    </row>
    <row r="280" spans="5:7" x14ac:dyDescent="0.25">
      <c r="E280" s="11">
        <f t="shared" si="25"/>
        <v>-142</v>
      </c>
      <c r="F280" s="11">
        <f t="shared" si="26"/>
        <v>-43.406622041731794</v>
      </c>
      <c r="G280" s="11">
        <f t="shared" si="27"/>
        <v>-43.704261636711678</v>
      </c>
    </row>
    <row r="281" spans="5:7" x14ac:dyDescent="0.25">
      <c r="E281" s="11">
        <f t="shared" si="25"/>
        <v>-141</v>
      </c>
      <c r="F281" s="11">
        <f t="shared" si="26"/>
        <v>-43.111652587937783</v>
      </c>
      <c r="G281" s="11">
        <f t="shared" si="27"/>
        <v>-43.412378445251839</v>
      </c>
    </row>
    <row r="282" spans="5:7" x14ac:dyDescent="0.25">
      <c r="E282" s="11">
        <f t="shared" si="25"/>
        <v>-140</v>
      </c>
      <c r="F282" s="11">
        <f t="shared" si="26"/>
        <v>-42.818531277665102</v>
      </c>
      <c r="G282" s="11">
        <f t="shared" si="27"/>
        <v>-43.118841927102089</v>
      </c>
    </row>
    <row r="283" spans="5:7" x14ac:dyDescent="0.25">
      <c r="E283" s="11">
        <f t="shared" si="25"/>
        <v>-139</v>
      </c>
      <c r="F283" s="11">
        <f t="shared" si="26"/>
        <v>-42.527400330031696</v>
      </c>
      <c r="G283" s="11">
        <f t="shared" si="27"/>
        <v>-42.823977827819434</v>
      </c>
    </row>
    <row r="284" spans="5:7" x14ac:dyDescent="0.25">
      <c r="E284" s="11">
        <f t="shared" si="25"/>
        <v>-138</v>
      </c>
      <c r="F284" s="11">
        <f t="shared" si="26"/>
        <v>-42.238399738000112</v>
      </c>
      <c r="G284" s="11">
        <f t="shared" si="27"/>
        <v>-42.528111892960823</v>
      </c>
    </row>
    <row r="285" spans="5:7" x14ac:dyDescent="0.25">
      <c r="E285" s="11">
        <f t="shared" si="25"/>
        <v>-137</v>
      </c>
      <c r="F285" s="11">
        <f t="shared" si="26"/>
        <v>-41.951666613541647</v>
      </c>
      <c r="G285" s="11">
        <f t="shared" si="27"/>
        <v>-42.231569868083234</v>
      </c>
    </row>
    <row r="286" spans="5:7" x14ac:dyDescent="0.25">
      <c r="E286" s="11">
        <f t="shared" si="25"/>
        <v>-136</v>
      </c>
      <c r="F286" s="11">
        <f t="shared" si="26"/>
        <v>-41.667334536067585</v>
      </c>
      <c r="G286" s="11">
        <f t="shared" si="27"/>
        <v>-41.934677498743646</v>
      </c>
    </row>
    <row r="287" spans="5:7" x14ac:dyDescent="0.25">
      <c r="E287" s="11">
        <f t="shared" ref="E287:E350" si="28">E80</f>
        <v>-135</v>
      </c>
      <c r="F287" s="11">
        <f t="shared" ref="F287:F350" si="29">$H$217*0+E287*$I$217+E287^2*$J$217+E287^3*$K$217+E287^4*$L$217+E287^5*$M$217+E287^6*$N$217+E287^7*$O$217+E287^8*$P$217</f>
        <v>-41.385532906808635</v>
      </c>
      <c r="G287" s="11">
        <f t="shared" ref="G287:G350" si="30">F80</f>
        <v>-41.63776053049903</v>
      </c>
    </row>
    <row r="288" spans="5:7" x14ac:dyDescent="0.25">
      <c r="E288" s="11">
        <f t="shared" si="28"/>
        <v>-134</v>
      </c>
      <c r="F288" s="11">
        <f t="shared" si="29"/>
        <v>-41.106386311705961</v>
      </c>
      <c r="G288" s="11">
        <f t="shared" si="30"/>
        <v>-41.341139223130114</v>
      </c>
    </row>
    <row r="289" spans="5:7" x14ac:dyDescent="0.25">
      <c r="E289" s="11">
        <f t="shared" si="28"/>
        <v>-133</v>
      </c>
      <c r="F289" s="11">
        <f t="shared" si="29"/>
        <v>-40.830013895305569</v>
      </c>
      <c r="G289" s="11">
        <f t="shared" si="30"/>
        <v>-41.045111893312587</v>
      </c>
    </row>
    <row r="290" spans="5:7" x14ac:dyDescent="0.25">
      <c r="E290" s="11">
        <f t="shared" si="28"/>
        <v>-132</v>
      </c>
      <c r="F290" s="11">
        <f t="shared" si="29"/>
        <v>-40.556528748025016</v>
      </c>
      <c r="G290" s="11">
        <f t="shared" si="30"/>
        <v>-40.749971371945911</v>
      </c>
    </row>
    <row r="291" spans="5:7" x14ac:dyDescent="0.25">
      <c r="E291" s="11">
        <f t="shared" si="28"/>
        <v>-131</v>
      </c>
      <c r="F291" s="11">
        <f t="shared" si="29"/>
        <v>-40.286037309096713</v>
      </c>
      <c r="G291" s="11">
        <f t="shared" si="30"/>
        <v>-40.456010489929518</v>
      </c>
    </row>
    <row r="292" spans="5:7" x14ac:dyDescent="0.25">
      <c r="E292" s="11">
        <f t="shared" si="28"/>
        <v>-130</v>
      </c>
      <c r="F292" s="11">
        <f t="shared" si="29"/>
        <v>-40.018638787370577</v>
      </c>
      <c r="G292" s="11">
        <f t="shared" si="30"/>
        <v>-40.16352207816287</v>
      </c>
    </row>
    <row r="293" spans="5:7" x14ac:dyDescent="0.25">
      <c r="E293" s="11">
        <f t="shared" si="28"/>
        <v>-129</v>
      </c>
      <c r="F293" s="11">
        <f t="shared" si="29"/>
        <v>-39.754424602066564</v>
      </c>
      <c r="G293" s="11">
        <f t="shared" si="30"/>
        <v>-39.872798967545421</v>
      </c>
    </row>
    <row r="294" spans="5:7" x14ac:dyDescent="0.25">
      <c r="E294" s="11">
        <f t="shared" si="28"/>
        <v>-128</v>
      </c>
      <c r="F294" s="11">
        <f t="shared" si="29"/>
        <v>-39.493477845493544</v>
      </c>
      <c r="G294" s="11">
        <f t="shared" si="30"/>
        <v>-39.584133988976603</v>
      </c>
    </row>
    <row r="295" spans="5:7" x14ac:dyDescent="0.25">
      <c r="E295" s="11">
        <f t="shared" si="28"/>
        <v>-127</v>
      </c>
      <c r="F295" s="11">
        <f t="shared" si="29"/>
        <v>-39.235872769626354</v>
      </c>
      <c r="G295" s="11">
        <f t="shared" si="30"/>
        <v>-39.297819973355885</v>
      </c>
    </row>
    <row r="296" spans="5:7" x14ac:dyDescent="0.25">
      <c r="E296" s="11">
        <f t="shared" si="28"/>
        <v>-126</v>
      </c>
      <c r="F296" s="11">
        <f t="shared" si="29"/>
        <v>-38.981674298353425</v>
      </c>
      <c r="G296" s="11">
        <f t="shared" si="30"/>
        <v>-39.014149751582707</v>
      </c>
    </row>
    <row r="297" spans="5:7" x14ac:dyDescent="0.25">
      <c r="E297" s="11">
        <f t="shared" si="28"/>
        <v>-125</v>
      </c>
      <c r="F297" s="11">
        <f t="shared" si="29"/>
        <v>-38.730937567107674</v>
      </c>
      <c r="G297" s="11">
        <f t="shared" si="30"/>
        <v>-38.733416154556508</v>
      </c>
    </row>
    <row r="298" spans="5:7" x14ac:dyDescent="0.25">
      <c r="E298" s="11">
        <f t="shared" si="28"/>
        <v>-124</v>
      </c>
      <c r="F298" s="11">
        <f t="shared" si="29"/>
        <v>-38.48370749150169</v>
      </c>
      <c r="G298" s="11">
        <f t="shared" si="30"/>
        <v>-38.45591201317675</v>
      </c>
    </row>
    <row r="299" spans="5:7" x14ac:dyDescent="0.25">
      <c r="E299" s="11">
        <f t="shared" si="28"/>
        <v>-123</v>
      </c>
      <c r="F299" s="11">
        <f t="shared" si="29"/>
        <v>-38.240018366485117</v>
      </c>
      <c r="G299" s="11">
        <f t="shared" si="30"/>
        <v>-38.18193015834288</v>
      </c>
    </row>
    <row r="300" spans="5:7" x14ac:dyDescent="0.25">
      <c r="E300" s="11">
        <f t="shared" si="28"/>
        <v>-122</v>
      </c>
      <c r="F300" s="11">
        <f t="shared" si="29"/>
        <v>-37.999893497449392</v>
      </c>
      <c r="G300" s="11">
        <f t="shared" si="30"/>
        <v>-37.911763420954344</v>
      </c>
    </row>
    <row r="301" spans="5:7" x14ac:dyDescent="0.25">
      <c r="E301" s="11">
        <f t="shared" si="28"/>
        <v>-121</v>
      </c>
      <c r="F301" s="11">
        <f t="shared" si="29"/>
        <v>-37.763344864612634</v>
      </c>
      <c r="G301" s="11">
        <f t="shared" si="30"/>
        <v>-37.64570463191059</v>
      </c>
    </row>
    <row r="302" spans="5:7" x14ac:dyDescent="0.25">
      <c r="E302" s="11">
        <f t="shared" si="28"/>
        <v>-120</v>
      </c>
      <c r="F302" s="11">
        <f t="shared" si="29"/>
        <v>-37.530372821915023</v>
      </c>
      <c r="G302" s="11">
        <f t="shared" si="30"/>
        <v>-37.384046622111065</v>
      </c>
    </row>
    <row r="303" spans="5:7" x14ac:dyDescent="0.25">
      <c r="E303" s="11">
        <f t="shared" si="28"/>
        <v>-119</v>
      </c>
      <c r="F303" s="11">
        <f t="shared" si="29"/>
        <v>-37.300965831570039</v>
      </c>
      <c r="G303" s="11">
        <f t="shared" si="30"/>
        <v>-37.127082222455229</v>
      </c>
    </row>
    <row r="304" spans="5:7" x14ac:dyDescent="0.25">
      <c r="E304" s="11">
        <f t="shared" si="28"/>
        <v>-118</v>
      </c>
      <c r="F304" s="11">
        <f t="shared" si="29"/>
        <v>-37.075100235306408</v>
      </c>
      <c r="G304" s="11">
        <f t="shared" si="30"/>
        <v>-36.875104263842516</v>
      </c>
    </row>
    <row r="305" spans="5:7" x14ac:dyDescent="0.25">
      <c r="E305" s="11">
        <f t="shared" si="28"/>
        <v>-117</v>
      </c>
      <c r="F305" s="11">
        <f t="shared" si="29"/>
        <v>-36.852740063248987</v>
      </c>
      <c r="G305" s="11">
        <f t="shared" si="30"/>
        <v>-36.628405577172387</v>
      </c>
    </row>
    <row r="306" spans="5:7" x14ac:dyDescent="0.25">
      <c r="E306" s="11">
        <f t="shared" si="28"/>
        <v>-116</v>
      </c>
      <c r="F306" s="11">
        <f t="shared" si="29"/>
        <v>-36.63383688129494</v>
      </c>
      <c r="G306" s="11">
        <f t="shared" si="30"/>
        <v>-36.387278993344289</v>
      </c>
    </row>
    <row r="307" spans="5:7" x14ac:dyDescent="0.25">
      <c r="E307" s="11">
        <f t="shared" si="28"/>
        <v>-115</v>
      </c>
      <c r="F307" s="11">
        <f t="shared" si="29"/>
        <v>-36.418329677739138</v>
      </c>
      <c r="G307" s="11">
        <f t="shared" si="30"/>
        <v>-36.152017343257668</v>
      </c>
    </row>
    <row r="308" spans="5:7" x14ac:dyDescent="0.25">
      <c r="E308" s="11">
        <f t="shared" si="28"/>
        <v>-114</v>
      </c>
      <c r="F308" s="11">
        <f t="shared" si="29"/>
        <v>-36.206144789794678</v>
      </c>
      <c r="G308" s="11">
        <f t="shared" si="30"/>
        <v>-35.92291345781198</v>
      </c>
    </row>
    <row r="309" spans="5:7" x14ac:dyDescent="0.25">
      <c r="E309" s="11">
        <f t="shared" si="28"/>
        <v>-113</v>
      </c>
      <c r="F309" s="11">
        <f t="shared" si="29"/>
        <v>-35.997195870598901</v>
      </c>
      <c r="G309" s="11">
        <f t="shared" si="30"/>
        <v>-35.700260167906663</v>
      </c>
    </row>
    <row r="310" spans="5:7" x14ac:dyDescent="0.25">
      <c r="E310" s="11">
        <f t="shared" si="28"/>
        <v>-112</v>
      </c>
      <c r="F310" s="11">
        <f t="shared" si="29"/>
        <v>-35.791383897146076</v>
      </c>
      <c r="G310" s="11">
        <f t="shared" si="30"/>
        <v>-35.484350304441172</v>
      </c>
    </row>
    <row r="311" spans="5:7" x14ac:dyDescent="0.25">
      <c r="E311" s="11">
        <f t="shared" si="28"/>
        <v>-111</v>
      </c>
      <c r="F311" s="11">
        <f t="shared" si="29"/>
        <v>-35.588597219533384</v>
      </c>
      <c r="G311" s="11">
        <f t="shared" si="30"/>
        <v>-35.275476698314954</v>
      </c>
    </row>
    <row r="312" spans="5:7" x14ac:dyDescent="0.25">
      <c r="E312" s="11">
        <f t="shared" si="28"/>
        <v>-110</v>
      </c>
      <c r="F312" s="11">
        <f t="shared" si="29"/>
        <v>-35.388711651794047</v>
      </c>
      <c r="G312" s="11">
        <f t="shared" si="30"/>
        <v>-35.073932180427455</v>
      </c>
    </row>
    <row r="313" spans="5:7" x14ac:dyDescent="0.25">
      <c r="E313" s="11">
        <f t="shared" si="28"/>
        <v>-109</v>
      </c>
      <c r="F313" s="11">
        <f t="shared" si="29"/>
        <v>-35.191590604497563</v>
      </c>
      <c r="G313" s="11">
        <f t="shared" si="30"/>
        <v>-34.879865715599863</v>
      </c>
    </row>
    <row r="314" spans="5:7" x14ac:dyDescent="0.25">
      <c r="E314" s="11">
        <f t="shared" si="28"/>
        <v>-108</v>
      </c>
      <c r="F314" s="11">
        <f t="shared" si="29"/>
        <v>-34.997085259199437</v>
      </c>
      <c r="G314" s="11">
        <f t="shared" si="30"/>
        <v>-34.692850804340296</v>
      </c>
    </row>
    <row r="315" spans="5:7" x14ac:dyDescent="0.25">
      <c r="E315" s="11">
        <f t="shared" si="28"/>
        <v>-107</v>
      </c>
      <c r="F315" s="11">
        <f t="shared" si="29"/>
        <v>-34.80503478473338</v>
      </c>
      <c r="G315" s="11">
        <f t="shared" si="30"/>
        <v>-34.512317081078606</v>
      </c>
    </row>
    <row r="316" spans="5:7" x14ac:dyDescent="0.25">
      <c r="E316" s="11">
        <f t="shared" si="28"/>
        <v>-106</v>
      </c>
      <c r="F316" s="11">
        <f t="shared" si="29"/>
        <v>-34.615266595234701</v>
      </c>
      <c r="G316" s="11">
        <f t="shared" si="30"/>
        <v>-34.337694180244632</v>
      </c>
    </row>
    <row r="317" spans="5:7" x14ac:dyDescent="0.25">
      <c r="E317" s="11">
        <f t="shared" si="28"/>
        <v>-105</v>
      </c>
      <c r="F317" s="11">
        <f t="shared" si="29"/>
        <v>-34.427596649697108</v>
      </c>
      <c r="G317" s="11">
        <f t="shared" si="30"/>
        <v>-34.16841173626824</v>
      </c>
    </row>
    <row r="318" spans="5:7" x14ac:dyDescent="0.25">
      <c r="E318" s="11">
        <f t="shared" si="28"/>
        <v>-104</v>
      </c>
      <c r="F318" s="11">
        <f t="shared" si="29"/>
        <v>-34.241829792761138</v>
      </c>
      <c r="G318" s="11">
        <f t="shared" si="30"/>
        <v>-34.003899383579267</v>
      </c>
    </row>
    <row r="319" spans="5:7" x14ac:dyDescent="0.25">
      <c r="E319" s="11">
        <f t="shared" si="28"/>
        <v>-103</v>
      </c>
      <c r="F319" s="11">
        <f t="shared" si="29"/>
        <v>-34.057760136339269</v>
      </c>
      <c r="G319" s="11">
        <f t="shared" si="30"/>
        <v>-33.843586756607571</v>
      </c>
    </row>
    <row r="320" spans="5:7" x14ac:dyDescent="0.25">
      <c r="E320" s="11">
        <f t="shared" si="28"/>
        <v>-102</v>
      </c>
      <c r="F320" s="11">
        <f t="shared" si="29"/>
        <v>-33.875171481590669</v>
      </c>
      <c r="G320" s="11">
        <f t="shared" si="30"/>
        <v>-33.686903489783006</v>
      </c>
    </row>
    <row r="321" spans="5:7" x14ac:dyDescent="0.25">
      <c r="E321" s="11">
        <f t="shared" si="28"/>
        <v>-101</v>
      </c>
      <c r="F321" s="11">
        <f t="shared" si="29"/>
        <v>-33.693837780659038</v>
      </c>
      <c r="G321" s="11">
        <f t="shared" si="30"/>
        <v>-33.533279217535409</v>
      </c>
    </row>
    <row r="322" spans="5:7" x14ac:dyDescent="0.25">
      <c r="E322" s="11">
        <f t="shared" si="28"/>
        <v>-100</v>
      </c>
      <c r="F322" s="11">
        <f t="shared" si="29"/>
        <v>-33.51352363748893</v>
      </c>
      <c r="G322" s="11">
        <f t="shared" si="30"/>
        <v>-33.382143574294645</v>
      </c>
    </row>
    <row r="323" spans="5:7" x14ac:dyDescent="0.25">
      <c r="E323" s="11">
        <f t="shared" si="28"/>
        <v>-99</v>
      </c>
      <c r="F323" s="11">
        <f t="shared" si="29"/>
        <v>-33.333984846947729</v>
      </c>
      <c r="G323" s="11">
        <f t="shared" si="30"/>
        <v>-33.232926194490553</v>
      </c>
    </row>
    <row r="324" spans="5:7" x14ac:dyDescent="0.25">
      <c r="E324" s="11">
        <f t="shared" si="28"/>
        <v>-98</v>
      </c>
      <c r="F324" s="11">
        <f t="shared" si="29"/>
        <v>-33.154968971375723</v>
      </c>
      <c r="G324" s="11">
        <f t="shared" si="30"/>
        <v>-33.085056712552984</v>
      </c>
    </row>
    <row r="325" spans="5:7" x14ac:dyDescent="0.25">
      <c r="E325" s="11">
        <f t="shared" si="28"/>
        <v>-97</v>
      </c>
      <c r="F325" s="11">
        <f t="shared" si="29"/>
        <v>-32.976215953598853</v>
      </c>
      <c r="G325" s="11">
        <f t="shared" si="30"/>
        <v>-32.937964762911804</v>
      </c>
    </row>
    <row r="326" spans="5:7" x14ac:dyDescent="0.25">
      <c r="E326" s="11">
        <f t="shared" si="28"/>
        <v>-96</v>
      </c>
      <c r="F326" s="11">
        <f t="shared" si="29"/>
        <v>-32.797458765337595</v>
      </c>
      <c r="G326" s="11">
        <f t="shared" si="30"/>
        <v>-32.791079979996844</v>
      </c>
    </row>
    <row r="327" spans="5:7" x14ac:dyDescent="0.25">
      <c r="E327" s="11">
        <f t="shared" si="28"/>
        <v>-95</v>
      </c>
      <c r="F327" s="11">
        <f t="shared" si="29"/>
        <v>-32.618424089851892</v>
      </c>
      <c r="G327" s="11">
        <f t="shared" si="30"/>
        <v>-32.643831998237971</v>
      </c>
    </row>
    <row r="328" spans="5:7" x14ac:dyDescent="0.25">
      <c r="E328" s="11">
        <f t="shared" si="28"/>
        <v>-94</v>
      </c>
      <c r="F328" s="11">
        <f t="shared" si="29"/>
        <v>-32.438833037563306</v>
      </c>
      <c r="G328" s="11">
        <f t="shared" si="30"/>
        <v>-32.495650452065021</v>
      </c>
    </row>
    <row r="329" spans="5:7" x14ac:dyDescent="0.25">
      <c r="E329" s="11">
        <f t="shared" si="28"/>
        <v>-93</v>
      </c>
      <c r="F329" s="11">
        <f t="shared" si="29"/>
        <v>-32.258401893309625</v>
      </c>
      <c r="G329" s="11">
        <f t="shared" si="30"/>
        <v>-32.345964975907847</v>
      </c>
    </row>
    <row r="330" spans="5:7" x14ac:dyDescent="0.25">
      <c r="E330" s="11">
        <f t="shared" si="28"/>
        <v>-92</v>
      </c>
      <c r="F330" s="11">
        <f t="shared" si="29"/>
        <v>-32.076842893772628</v>
      </c>
      <c r="G330" s="11">
        <f t="shared" si="30"/>
        <v>-32.194205204196308</v>
      </c>
    </row>
    <row r="331" spans="5:7" x14ac:dyDescent="0.25">
      <c r="E331" s="11">
        <f t="shared" si="28"/>
        <v>-91</v>
      </c>
      <c r="F331" s="11">
        <f t="shared" si="29"/>
        <v>-31.893865033548025</v>
      </c>
      <c r="G331" s="11">
        <f t="shared" si="30"/>
        <v>-32.039800771360255</v>
      </c>
    </row>
    <row r="332" spans="5:7" x14ac:dyDescent="0.25">
      <c r="E332" s="11">
        <f t="shared" si="28"/>
        <v>-90</v>
      </c>
      <c r="F332" s="11">
        <f t="shared" si="29"/>
        <v>-31.709174898205916</v>
      </c>
      <c r="G332" s="11">
        <f t="shared" si="30"/>
        <v>-31.882181311829527</v>
      </c>
    </row>
    <row r="333" spans="5:7" x14ac:dyDescent="0.25">
      <c r="E333" s="11">
        <f t="shared" si="28"/>
        <v>-89</v>
      </c>
      <c r="F333" s="11">
        <f t="shared" si="29"/>
        <v>-31.522477522616434</v>
      </c>
      <c r="G333" s="11">
        <f t="shared" si="30"/>
        <v>-31.720776460033981</v>
      </c>
    </row>
    <row r="334" spans="5:7" x14ac:dyDescent="0.25">
      <c r="E334" s="11">
        <f t="shared" si="28"/>
        <v>-88</v>
      </c>
      <c r="F334" s="11">
        <f t="shared" si="29"/>
        <v>-31.333477272702844</v>
      </c>
      <c r="G334" s="11">
        <f t="shared" si="30"/>
        <v>-31.555015850403471</v>
      </c>
    </row>
    <row r="335" spans="5:7" x14ac:dyDescent="0.25">
      <c r="E335" s="11">
        <f t="shared" si="28"/>
        <v>-87</v>
      </c>
      <c r="F335" s="11">
        <f t="shared" si="29"/>
        <v>-31.141878748699185</v>
      </c>
      <c r="G335" s="11">
        <f t="shared" si="30"/>
        <v>-31.384329117367837</v>
      </c>
    </row>
    <row r="336" spans="5:7" x14ac:dyDescent="0.25">
      <c r="E336" s="11">
        <f t="shared" si="28"/>
        <v>-86</v>
      </c>
      <c r="F336" s="11">
        <f t="shared" si="29"/>
        <v>-30.947387707887685</v>
      </c>
      <c r="G336" s="11">
        <f t="shared" si="30"/>
        <v>-31.208145895356939</v>
      </c>
    </row>
    <row r="337" spans="5:7" x14ac:dyDescent="0.25">
      <c r="E337" s="11">
        <f t="shared" si="28"/>
        <v>-85</v>
      </c>
      <c r="F337" s="11">
        <f t="shared" si="29"/>
        <v>-30.749712004697969</v>
      </c>
      <c r="G337" s="11">
        <f t="shared" si="30"/>
        <v>-31.025895818800631</v>
      </c>
    </row>
    <row r="338" spans="5:7" x14ac:dyDescent="0.25">
      <c r="E338" s="11">
        <f t="shared" si="28"/>
        <v>-84</v>
      </c>
      <c r="F338" s="11">
        <f t="shared" si="29"/>
        <v>-30.548562545953743</v>
      </c>
      <c r="G338" s="11">
        <f t="shared" si="30"/>
        <v>-30.837008522128748</v>
      </c>
    </row>
    <row r="339" spans="5:7" x14ac:dyDescent="0.25">
      <c r="E339" s="11">
        <f t="shared" si="28"/>
        <v>-83</v>
      </c>
      <c r="F339" s="11">
        <f t="shared" si="29"/>
        <v>-30.343654258958772</v>
      </c>
      <c r="G339" s="11">
        <f t="shared" si="30"/>
        <v>-30.640913639771153</v>
      </c>
    </row>
    <row r="340" spans="5:7" x14ac:dyDescent="0.25">
      <c r="E340" s="11">
        <f t="shared" si="28"/>
        <v>-82</v>
      </c>
      <c r="F340" s="11">
        <f t="shared" si="29"/>
        <v>-30.134707070012492</v>
      </c>
      <c r="G340" s="11">
        <f t="shared" si="30"/>
        <v>-30.437040806157693</v>
      </c>
    </row>
    <row r="341" spans="5:7" x14ac:dyDescent="0.25">
      <c r="E341" s="11">
        <f t="shared" si="28"/>
        <v>-81</v>
      </c>
      <c r="F341" s="11">
        <f t="shared" si="29"/>
        <v>-29.921446890857375</v>
      </c>
      <c r="G341" s="11">
        <f t="shared" si="30"/>
        <v>-30.224819655718218</v>
      </c>
    </row>
    <row r="342" spans="5:7" x14ac:dyDescent="0.25">
      <c r="E342" s="11">
        <f t="shared" si="28"/>
        <v>-80</v>
      </c>
      <c r="F342" s="11">
        <f t="shared" si="29"/>
        <v>-29.70360661045952</v>
      </c>
      <c r="G342" s="11">
        <f t="shared" si="30"/>
        <v>-30.003679822882582</v>
      </c>
    </row>
    <row r="343" spans="5:7" x14ac:dyDescent="0.25">
      <c r="E343" s="11">
        <f t="shared" si="28"/>
        <v>-79</v>
      </c>
      <c r="F343" s="11">
        <f t="shared" si="29"/>
        <v>-29.480927089427151</v>
      </c>
      <c r="G343" s="11">
        <f t="shared" si="30"/>
        <v>-29.77318582684968</v>
      </c>
    </row>
    <row r="344" spans="5:7" x14ac:dyDescent="0.25">
      <c r="E344" s="11">
        <f t="shared" si="28"/>
        <v>-78</v>
      </c>
      <c r="F344" s="11">
        <f t="shared" si="29"/>
        <v>-29.253158154281667</v>
      </c>
      <c r="G344" s="11">
        <f t="shared" si="30"/>
        <v>-29.533441725894633</v>
      </c>
    </row>
    <row r="345" spans="5:7" x14ac:dyDescent="0.25">
      <c r="E345" s="11">
        <f t="shared" si="28"/>
        <v>-77</v>
      </c>
      <c r="F345" s="11">
        <f t="shared" si="29"/>
        <v>-29.020059588694309</v>
      </c>
      <c r="G345" s="11">
        <f t="shared" si="30"/>
        <v>-29.2846864630616</v>
      </c>
    </row>
    <row r="346" spans="5:7" x14ac:dyDescent="0.25">
      <c r="E346" s="11">
        <f t="shared" si="28"/>
        <v>-76</v>
      </c>
      <c r="F346" s="11">
        <f t="shared" si="29"/>
        <v>-28.781402118707341</v>
      </c>
      <c r="G346" s="11">
        <f t="shared" si="30"/>
        <v>-29.027158981394756</v>
      </c>
    </row>
    <row r="347" spans="5:7" x14ac:dyDescent="0.25">
      <c r="E347" s="11">
        <f t="shared" si="28"/>
        <v>-75</v>
      </c>
      <c r="F347" s="11">
        <f t="shared" si="29"/>
        <v>-28.536968388865464</v>
      </c>
      <c r="G347" s="11">
        <f t="shared" si="30"/>
        <v>-28.761098223938259</v>
      </c>
    </row>
    <row r="348" spans="5:7" x14ac:dyDescent="0.25">
      <c r="E348" s="11">
        <f t="shared" si="28"/>
        <v>-74</v>
      </c>
      <c r="F348" s="11">
        <f t="shared" si="29"/>
        <v>-28.286553926083471</v>
      </c>
      <c r="G348" s="11">
        <f t="shared" si="30"/>
        <v>-28.486743133736276</v>
      </c>
    </row>
    <row r="349" spans="5:7" x14ac:dyDescent="0.25">
      <c r="E349" s="11">
        <f t="shared" si="28"/>
        <v>-73</v>
      </c>
      <c r="F349" s="11">
        <f t="shared" si="29"/>
        <v>-28.029968087983871</v>
      </c>
      <c r="G349" s="11">
        <f t="shared" si="30"/>
        <v>-28.204332653832978</v>
      </c>
    </row>
    <row r="350" spans="5:7" x14ac:dyDescent="0.25">
      <c r="E350" s="11">
        <f t="shared" si="28"/>
        <v>-72</v>
      </c>
      <c r="F350" s="11">
        <f t="shared" si="29"/>
        <v>-27.767034992338576</v>
      </c>
      <c r="G350" s="11">
        <f t="shared" si="30"/>
        <v>-27.914105727272521</v>
      </c>
    </row>
    <row r="351" spans="5:7" x14ac:dyDescent="0.25">
      <c r="E351" s="11">
        <f t="shared" ref="E351:E414" si="31">E144</f>
        <v>-71</v>
      </c>
      <c r="F351" s="11">
        <f t="shared" ref="F351:F414" si="32">$H$217*0+E351*$I$217+E351^2*$J$217+E351^3*$K$217+E351^4*$L$217+E351^5*$M$217+E351^6*$N$217+E351^7*$O$217+E351^8*$P$217</f>
        <v>-27.497594424157697</v>
      </c>
      <c r="G351" s="11">
        <f t="shared" ref="G351:G414" si="33">F144</f>
        <v>-27.616301297099078</v>
      </c>
    </row>
    <row r="352" spans="5:7" x14ac:dyDescent="0.25">
      <c r="E352" s="11">
        <f t="shared" si="31"/>
        <v>-70</v>
      </c>
      <c r="F352" s="11">
        <f t="shared" si="32"/>
        <v>-27.221502716868304</v>
      </c>
      <c r="G352" s="11">
        <f t="shared" si="33"/>
        <v>-27.311158306356813</v>
      </c>
    </row>
    <row r="353" spans="5:7" x14ac:dyDescent="0.25">
      <c r="E353" s="11">
        <f t="shared" si="31"/>
        <v>-69</v>
      </c>
      <c r="F353" s="11">
        <f t="shared" si="32"/>
        <v>-26.938633603932974</v>
      </c>
      <c r="G353" s="11">
        <f t="shared" si="33"/>
        <v>-26.998915698089895</v>
      </c>
    </row>
    <row r="354" spans="5:7" x14ac:dyDescent="0.25">
      <c r="E354" s="11">
        <f t="shared" si="31"/>
        <v>-68</v>
      </c>
      <c r="F354" s="11">
        <f t="shared" si="32"/>
        <v>-26.648879037160761</v>
      </c>
      <c r="G354" s="11">
        <f t="shared" si="33"/>
        <v>-26.679812415342482</v>
      </c>
    </row>
    <row r="355" spans="5:7" x14ac:dyDescent="0.25">
      <c r="E355" s="11">
        <f t="shared" si="31"/>
        <v>-67</v>
      </c>
      <c r="F355" s="11">
        <f t="shared" si="32"/>
        <v>-26.352149967868417</v>
      </c>
      <c r="G355" s="11">
        <f t="shared" si="33"/>
        <v>-26.35408740115874</v>
      </c>
    </row>
    <row r="356" spans="5:7" x14ac:dyDescent="0.25">
      <c r="E356" s="11">
        <f t="shared" si="31"/>
        <v>-66</v>
      </c>
      <c r="F356" s="11">
        <f t="shared" si="32"/>
        <v>-26.048377086953277</v>
      </c>
      <c r="G356" s="11">
        <f t="shared" si="33"/>
        <v>-26.021979598582845</v>
      </c>
    </row>
    <row r="357" spans="5:7" x14ac:dyDescent="0.25">
      <c r="E357" s="11">
        <f t="shared" si="31"/>
        <v>-65</v>
      </c>
      <c r="F357" s="11">
        <f t="shared" si="32"/>
        <v>-25.737511519843011</v>
      </c>
      <c r="G357" s="11">
        <f t="shared" si="33"/>
        <v>-25.683727950658952</v>
      </c>
    </row>
    <row r="358" spans="5:7" x14ac:dyDescent="0.25">
      <c r="E358" s="11">
        <f t="shared" si="31"/>
        <v>-64</v>
      </c>
      <c r="F358" s="11">
        <f t="shared" si="32"/>
        <v>-25.419525472193484</v>
      </c>
      <c r="G358" s="11">
        <f t="shared" si="33"/>
        <v>-25.33957140043124</v>
      </c>
    </row>
    <row r="359" spans="5:7" x14ac:dyDescent="0.25">
      <c r="E359" s="11">
        <f t="shared" si="31"/>
        <v>-63</v>
      </c>
      <c r="F359" s="11">
        <f t="shared" si="32"/>
        <v>-25.094412822107444</v>
      </c>
      <c r="G359" s="11">
        <f t="shared" si="33"/>
        <v>-24.989748890943854</v>
      </c>
    </row>
    <row r="360" spans="5:7" x14ac:dyDescent="0.25">
      <c r="E360" s="11">
        <f t="shared" si="31"/>
        <v>-62</v>
      </c>
      <c r="F360" s="11">
        <f t="shared" si="32"/>
        <v>-24.76218965455363</v>
      </c>
      <c r="G360" s="11">
        <f t="shared" si="33"/>
        <v>-24.634499365240977</v>
      </c>
    </row>
    <row r="361" spans="5:7" x14ac:dyDescent="0.25">
      <c r="E361" s="11">
        <f t="shared" si="31"/>
        <v>-61</v>
      </c>
      <c r="F361" s="11">
        <f t="shared" si="32"/>
        <v>-24.422894733568121</v>
      </c>
      <c r="G361" s="11">
        <f t="shared" si="33"/>
        <v>-24.274061766366767</v>
      </c>
    </row>
    <row r="362" spans="5:7" x14ac:dyDescent="0.25">
      <c r="E362" s="11">
        <f t="shared" si="31"/>
        <v>-60</v>
      </c>
      <c r="F362" s="11">
        <f t="shared" si="32"/>
        <v>-24.076589907725452</v>
      </c>
      <c r="G362" s="11">
        <f t="shared" si="33"/>
        <v>-23.908675037365391</v>
      </c>
    </row>
    <row r="363" spans="5:7" x14ac:dyDescent="0.25">
      <c r="E363" s="11">
        <f t="shared" si="31"/>
        <v>-59</v>
      </c>
      <c r="F363" s="11">
        <f t="shared" si="32"/>
        <v>-23.723360444269598</v>
      </c>
      <c r="G363" s="11">
        <f t="shared" si="33"/>
        <v>-23.53857812128102</v>
      </c>
    </row>
    <row r="364" spans="5:7" x14ac:dyDescent="0.25">
      <c r="E364" s="11">
        <f t="shared" si="31"/>
        <v>-58</v>
      </c>
      <c r="F364" s="11">
        <f t="shared" si="32"/>
        <v>-23.363315287201285</v>
      </c>
      <c r="G364" s="11">
        <f t="shared" si="33"/>
        <v>-23.164009961157813</v>
      </c>
    </row>
    <row r="365" spans="5:7" x14ac:dyDescent="0.25">
      <c r="E365" s="11">
        <f t="shared" si="31"/>
        <v>-57</v>
      </c>
      <c r="F365" s="11">
        <f t="shared" si="32"/>
        <v>-22.99658723451995</v>
      </c>
      <c r="G365" s="11">
        <f t="shared" si="33"/>
        <v>-22.785209500039937</v>
      </c>
    </row>
    <row r="366" spans="5:7" x14ac:dyDescent="0.25">
      <c r="E366" s="11">
        <f t="shared" si="31"/>
        <v>-56</v>
      </c>
      <c r="F366" s="11">
        <f t="shared" si="32"/>
        <v>-22.623333029724666</v>
      </c>
      <c r="G366" s="11">
        <f t="shared" si="33"/>
        <v>-22.402415680971558</v>
      </c>
    </row>
    <row r="367" spans="5:7" x14ac:dyDescent="0.25">
      <c r="E367" s="11">
        <f t="shared" si="31"/>
        <v>-55</v>
      </c>
      <c r="F367" s="11">
        <f t="shared" si="32"/>
        <v>-22.243733362581846</v>
      </c>
      <c r="G367" s="11">
        <f t="shared" si="33"/>
        <v>-22.015867446996843</v>
      </c>
    </row>
    <row r="368" spans="5:7" x14ac:dyDescent="0.25">
      <c r="E368" s="11">
        <f t="shared" si="31"/>
        <v>-54</v>
      </c>
      <c r="F368" s="11">
        <f t="shared" si="32"/>
        <v>-21.857992774071512</v>
      </c>
      <c r="G368" s="11">
        <f t="shared" si="33"/>
        <v>-21.62580374115996</v>
      </c>
    </row>
    <row r="369" spans="5:7" x14ac:dyDescent="0.25">
      <c r="E369" s="11">
        <f t="shared" si="31"/>
        <v>-53</v>
      </c>
      <c r="F369" s="11">
        <f t="shared" si="32"/>
        <v>-21.466339460328971</v>
      </c>
      <c r="G369" s="11">
        <f t="shared" si="33"/>
        <v>-21.23246350650507</v>
      </c>
    </row>
    <row r="370" spans="5:7" x14ac:dyDescent="0.25">
      <c r="E370" s="11">
        <f t="shared" si="31"/>
        <v>-52</v>
      </c>
      <c r="F370" s="11">
        <f t="shared" si="32"/>
        <v>-21.069024970301712</v>
      </c>
      <c r="G370" s="11">
        <f t="shared" si="33"/>
        <v>-20.836085686076338</v>
      </c>
    </row>
    <row r="371" spans="5:7" x14ac:dyDescent="0.25">
      <c r="E371" s="11">
        <f t="shared" si="31"/>
        <v>-51</v>
      </c>
      <c r="F371" s="11">
        <f t="shared" si="32"/>
        <v>-20.666323791746905</v>
      </c>
      <c r="G371" s="11">
        <f t="shared" si="33"/>
        <v>-20.436909222917933</v>
      </c>
    </row>
    <row r="372" spans="5:7" x14ac:dyDescent="0.25">
      <c r="E372" s="11">
        <f t="shared" si="31"/>
        <v>-50</v>
      </c>
      <c r="F372" s="11">
        <f t="shared" si="32"/>
        <v>-20.258532820097994</v>
      </c>
      <c r="G372" s="11">
        <f t="shared" si="33"/>
        <v>-20.035173060074019</v>
      </c>
    </row>
    <row r="373" spans="5:7" x14ac:dyDescent="0.25">
      <c r="E373" s="11">
        <f t="shared" si="31"/>
        <v>-49</v>
      </c>
      <c r="F373" s="11">
        <f t="shared" si="32"/>
        <v>-19.8459707046338</v>
      </c>
      <c r="G373" s="11">
        <f t="shared" si="33"/>
        <v>-19.631116140588766</v>
      </c>
    </row>
    <row r="374" spans="5:7" x14ac:dyDescent="0.25">
      <c r="E374" s="11">
        <f t="shared" si="31"/>
        <v>-48</v>
      </c>
      <c r="F374" s="11">
        <f t="shared" si="32"/>
        <v>-19.42897706628732</v>
      </c>
      <c r="G374" s="11">
        <f t="shared" si="33"/>
        <v>-19.224977407506334</v>
      </c>
    </row>
    <row r="375" spans="5:7" x14ac:dyDescent="0.25">
      <c r="E375" s="11">
        <f t="shared" si="31"/>
        <v>-47</v>
      </c>
      <c r="F375" s="11">
        <f t="shared" si="32"/>
        <v>-19.00791158133589</v>
      </c>
      <c r="G375" s="11">
        <f t="shared" si="33"/>
        <v>-18.816995803870892</v>
      </c>
    </row>
    <row r="376" spans="5:7" x14ac:dyDescent="0.25">
      <c r="E376" s="11">
        <f t="shared" si="31"/>
        <v>-46</v>
      </c>
      <c r="F376" s="11">
        <f t="shared" si="32"/>
        <v>-18.583152925118391</v>
      </c>
      <c r="G376" s="11">
        <f t="shared" si="33"/>
        <v>-18.407410272726604</v>
      </c>
    </row>
    <row r="377" spans="5:7" x14ac:dyDescent="0.25">
      <c r="E377" s="11">
        <f t="shared" si="31"/>
        <v>-45</v>
      </c>
      <c r="F377" s="11">
        <f t="shared" si="32"/>
        <v>-18.15509756982965</v>
      </c>
      <c r="G377" s="11">
        <f t="shared" si="33"/>
        <v>-17.996459757117634</v>
      </c>
    </row>
    <row r="378" spans="5:7" x14ac:dyDescent="0.25">
      <c r="E378" s="11">
        <f t="shared" si="31"/>
        <v>-44</v>
      </c>
      <c r="F378" s="11">
        <f t="shared" si="32"/>
        <v>-17.724158430346012</v>
      </c>
      <c r="G378" s="11">
        <f t="shared" si="33"/>
        <v>-17.584383200088151</v>
      </c>
    </row>
    <row r="379" spans="5:7" x14ac:dyDescent="0.25">
      <c r="E379" s="11">
        <f t="shared" si="31"/>
        <v>-43</v>
      </c>
      <c r="F379" s="11">
        <f t="shared" si="32"/>
        <v>-17.290763351940747</v>
      </c>
      <c r="G379" s="11">
        <f t="shared" si="33"/>
        <v>-17.171419544682323</v>
      </c>
    </row>
    <row r="380" spans="5:7" x14ac:dyDescent="0.25">
      <c r="E380" s="11">
        <f t="shared" si="31"/>
        <v>-42</v>
      </c>
      <c r="F380" s="11">
        <f t="shared" si="32"/>
        <v>-16.855353433651697</v>
      </c>
      <c r="G380" s="11">
        <f t="shared" si="33"/>
        <v>-16.757807733944311</v>
      </c>
    </row>
    <row r="381" spans="5:7" x14ac:dyDescent="0.25">
      <c r="E381" s="11">
        <f t="shared" si="31"/>
        <v>-41</v>
      </c>
      <c r="F381" s="11">
        <f t="shared" si="32"/>
        <v>-16.418381180968119</v>
      </c>
      <c r="G381" s="11">
        <f t="shared" si="33"/>
        <v>-16.34378671091828</v>
      </c>
    </row>
    <row r="382" spans="5:7" x14ac:dyDescent="0.25">
      <c r="E382" s="11">
        <f t="shared" si="31"/>
        <v>-40</v>
      </c>
      <c r="F382" s="11">
        <f t="shared" si="32"/>
        <v>-15.980308481407722</v>
      </c>
      <c r="G382" s="11">
        <f t="shared" si="33"/>
        <v>-15.929595418648397</v>
      </c>
    </row>
    <row r="383" spans="5:7" x14ac:dyDescent="0.25">
      <c r="E383" s="11">
        <f t="shared" si="31"/>
        <v>-39</v>
      </c>
      <c r="F383" s="11">
        <f t="shared" si="32"/>
        <v>-15.541604396459183</v>
      </c>
      <c r="G383" s="11">
        <f t="shared" si="33"/>
        <v>-15.515472800178831</v>
      </c>
    </row>
    <row r="384" spans="5:7" x14ac:dyDescent="0.25">
      <c r="E384" s="11">
        <f t="shared" si="31"/>
        <v>-38</v>
      </c>
      <c r="F384" s="11">
        <f t="shared" si="32"/>
        <v>-15.102742763269541</v>
      </c>
      <c r="G384" s="11">
        <f t="shared" si="33"/>
        <v>-15.101657798553745</v>
      </c>
    </row>
    <row r="385" spans="5:7" x14ac:dyDescent="0.25">
      <c r="E385" s="11">
        <f t="shared" si="31"/>
        <v>-37</v>
      </c>
      <c r="F385" s="11">
        <f t="shared" si="32"/>
        <v>-14.664199599360257</v>
      </c>
      <c r="G385" s="11">
        <f t="shared" si="33"/>
        <v>-14.688389356817305</v>
      </c>
    </row>
    <row r="386" spans="5:7" x14ac:dyDescent="0.25">
      <c r="E386" s="11">
        <f t="shared" si="31"/>
        <v>-36</v>
      </c>
      <c r="F386" s="11">
        <f t="shared" si="32"/>
        <v>-14.226450303559728</v>
      </c>
      <c r="G386" s="11">
        <f t="shared" si="33"/>
        <v>-14.275906418013676</v>
      </c>
    </row>
    <row r="387" spans="5:7" x14ac:dyDescent="0.25">
      <c r="E387" s="11">
        <f t="shared" si="31"/>
        <v>-35</v>
      </c>
      <c r="F387" s="11">
        <f t="shared" si="32"/>
        <v>-13.78996664624434</v>
      </c>
      <c r="G387" s="11">
        <f t="shared" si="33"/>
        <v>-13.864447925187026</v>
      </c>
    </row>
    <row r="388" spans="5:7" x14ac:dyDescent="0.25">
      <c r="E388" s="11">
        <f t="shared" si="31"/>
        <v>-34</v>
      </c>
      <c r="F388" s="11">
        <f t="shared" si="32"/>
        <v>-13.355213541884515</v>
      </c>
      <c r="G388" s="11">
        <f t="shared" si="33"/>
        <v>-13.454206981402628</v>
      </c>
    </row>
    <row r="389" spans="5:7" x14ac:dyDescent="0.25">
      <c r="E389" s="11">
        <f t="shared" si="31"/>
        <v>-33</v>
      </c>
      <c r="F389" s="11">
        <f t="shared" si="32"/>
        <v>-12.922645596796093</v>
      </c>
      <c r="G389" s="11">
        <f t="shared" si="33"/>
        <v>-13.045193329810196</v>
      </c>
    </row>
    <row r="390" spans="5:7" x14ac:dyDescent="0.25">
      <c r="E390" s="11">
        <f t="shared" si="31"/>
        <v>-32</v>
      </c>
      <c r="F390" s="11">
        <f t="shared" si="32"/>
        <v>-12.492703424901872</v>
      </c>
      <c r="G390" s="11">
        <f t="shared" si="33"/>
        <v>-12.637370873580558</v>
      </c>
    </row>
    <row r="391" spans="5:7" x14ac:dyDescent="0.25">
      <c r="E391" s="11">
        <f t="shared" si="31"/>
        <v>-31</v>
      </c>
      <c r="F391" s="11">
        <f t="shared" si="32"/>
        <v>-12.06580972421227</v>
      </c>
      <c r="G391" s="11">
        <f t="shared" si="33"/>
        <v>-12.230703515884535</v>
      </c>
    </row>
    <row r="392" spans="5:7" x14ac:dyDescent="0.25">
      <c r="E392" s="11">
        <f t="shared" si="31"/>
        <v>-30</v>
      </c>
      <c r="F392" s="11">
        <f t="shared" si="32"/>
        <v>-11.642365106638165</v>
      </c>
      <c r="G392" s="11">
        <f t="shared" si="33"/>
        <v>-11.825155159892955</v>
      </c>
    </row>
    <row r="393" spans="5:7" x14ac:dyDescent="0.25">
      <c r="E393" s="11">
        <f t="shared" si="31"/>
        <v>-29</v>
      </c>
      <c r="F393" s="11">
        <f t="shared" si="32"/>
        <v>-11.222743673653369</v>
      </c>
      <c r="G393" s="11">
        <f t="shared" si="33"/>
        <v>-11.420689708776637</v>
      </c>
    </row>
    <row r="394" spans="5:7" x14ac:dyDescent="0.25">
      <c r="E394" s="11">
        <f t="shared" si="31"/>
        <v>-28</v>
      </c>
      <c r="F394" s="11">
        <f t="shared" si="32"/>
        <v>-10.8072883302283</v>
      </c>
      <c r="G394" s="11">
        <f t="shared" si="33"/>
        <v>-11.01727106570641</v>
      </c>
    </row>
    <row r="395" spans="5:7" x14ac:dyDescent="0.25">
      <c r="E395" s="11">
        <f t="shared" si="31"/>
        <v>-27</v>
      </c>
      <c r="F395" s="11">
        <f t="shared" si="32"/>
        <v>-10.396305829360525</v>
      </c>
      <c r="G395" s="11">
        <f t="shared" si="33"/>
        <v>-10.614863133853099</v>
      </c>
    </row>
    <row r="396" spans="5:7" x14ac:dyDescent="0.25">
      <c r="E396" s="11">
        <f t="shared" si="31"/>
        <v>-26</v>
      </c>
      <c r="F396" s="11">
        <f t="shared" si="32"/>
        <v>-9.9900615394323413</v>
      </c>
      <c r="G396" s="11">
        <f t="shared" si="33"/>
        <v>-10.213429816387526</v>
      </c>
    </row>
    <row r="397" spans="5:7" x14ac:dyDescent="0.25">
      <c r="E397" s="11">
        <f t="shared" si="31"/>
        <v>-25</v>
      </c>
      <c r="F397" s="11">
        <f t="shared" si="32"/>
        <v>-9.5887739265294929</v>
      </c>
      <c r="G397" s="11">
        <f t="shared" si="33"/>
        <v>-9.8129350164805178</v>
      </c>
    </row>
    <row r="398" spans="5:7" x14ac:dyDescent="0.25">
      <c r="E398" s="11">
        <f t="shared" si="31"/>
        <v>-24</v>
      </c>
      <c r="F398" s="11">
        <f t="shared" si="32"/>
        <v>-9.1926087437594184</v>
      </c>
      <c r="G398" s="11">
        <f t="shared" si="33"/>
        <v>-9.413342637302895</v>
      </c>
    </row>
    <row r="399" spans="5:7" x14ac:dyDescent="0.25">
      <c r="E399" s="11">
        <f t="shared" si="31"/>
        <v>-23</v>
      </c>
      <c r="F399" s="11">
        <f t="shared" si="32"/>
        <v>-8.8016729195117396</v>
      </c>
      <c r="G399" s="11">
        <f t="shared" si="33"/>
        <v>-9.0146165820254858</v>
      </c>
    </row>
    <row r="400" spans="5:7" x14ac:dyDescent="0.25">
      <c r="E400" s="11">
        <f t="shared" si="31"/>
        <v>-22</v>
      </c>
      <c r="F400" s="11">
        <f t="shared" si="32"/>
        <v>-8.4160081365078216</v>
      </c>
      <c r="G400" s="11">
        <f t="shared" si="33"/>
        <v>-8.6167207538191128</v>
      </c>
    </row>
    <row r="401" spans="5:7" x14ac:dyDescent="0.25">
      <c r="E401" s="11">
        <f t="shared" si="31"/>
        <v>-21</v>
      </c>
      <c r="F401" s="11">
        <f t="shared" si="32"/>
        <v>-8.0355840933903231</v>
      </c>
      <c r="G401" s="11">
        <f t="shared" si="33"/>
        <v>-8.2196190558546025</v>
      </c>
    </row>
    <row r="402" spans="5:7" x14ac:dyDescent="0.25">
      <c r="E402" s="11">
        <f t="shared" si="31"/>
        <v>-20</v>
      </c>
      <c r="F402" s="11">
        <f t="shared" si="32"/>
        <v>-7.6602914405081917</v>
      </c>
      <c r="G402" s="11">
        <f t="shared" si="33"/>
        <v>-7.8232753913027775</v>
      </c>
    </row>
    <row r="403" spans="5:7" x14ac:dyDescent="0.25">
      <c r="E403" s="11">
        <f t="shared" si="31"/>
        <v>-19</v>
      </c>
      <c r="F403" s="11">
        <f t="shared" si="32"/>
        <v>-7.2899343814564537</v>
      </c>
      <c r="G403" s="11">
        <f t="shared" si="33"/>
        <v>-7.4276536633344623</v>
      </c>
    </row>
    <row r="404" spans="5:7" x14ac:dyDescent="0.25">
      <c r="E404" s="11">
        <f t="shared" si="31"/>
        <v>-18</v>
      </c>
      <c r="F404" s="11">
        <f t="shared" si="32"/>
        <v>-6.9242229318344597</v>
      </c>
      <c r="G404" s="11">
        <f t="shared" si="33"/>
        <v>-7.0327177751204824</v>
      </c>
    </row>
    <row r="405" spans="5:7" x14ac:dyDescent="0.25">
      <c r="E405" s="11">
        <f t="shared" si="31"/>
        <v>-17</v>
      </c>
      <c r="F405" s="11">
        <f t="shared" si="32"/>
        <v>-6.5627648265905973</v>
      </c>
      <c r="G405" s="11">
        <f t="shared" si="33"/>
        <v>-6.6384316298316612</v>
      </c>
    </row>
    <row r="406" spans="5:7" x14ac:dyDescent="0.25">
      <c r="E406" s="11">
        <f t="shared" si="31"/>
        <v>-16</v>
      </c>
      <c r="F406" s="11">
        <f t="shared" si="32"/>
        <v>-6.2050570672254395</v>
      </c>
      <c r="G406" s="11">
        <f t="shared" si="33"/>
        <v>-6.2447591306388244</v>
      </c>
    </row>
    <row r="407" spans="5:7" x14ac:dyDescent="0.25">
      <c r="E407" s="11">
        <f t="shared" si="31"/>
        <v>-15</v>
      </c>
      <c r="F407" s="11">
        <f t="shared" si="32"/>
        <v>-5.8504771000297451</v>
      </c>
      <c r="G407" s="11">
        <f t="shared" si="33"/>
        <v>-5.8516641807127954</v>
      </c>
    </row>
    <row r="408" spans="5:7" x14ac:dyDescent="0.25">
      <c r="E408" s="11">
        <f t="shared" si="31"/>
        <v>-14</v>
      </c>
      <c r="F408" s="11">
        <f t="shared" si="32"/>
        <v>-5.4982736164377704</v>
      </c>
      <c r="G408" s="11">
        <f t="shared" si="33"/>
        <v>-5.4591106832243987</v>
      </c>
    </row>
    <row r="409" spans="5:7" x14ac:dyDescent="0.25">
      <c r="E409" s="11">
        <f t="shared" si="31"/>
        <v>-13</v>
      </c>
      <c r="F409" s="11">
        <f t="shared" si="32"/>
        <v>-5.1475569664806802</v>
      </c>
      <c r="G409" s="11">
        <f t="shared" si="33"/>
        <v>-5.0670625413444599</v>
      </c>
    </row>
    <row r="410" spans="5:7" x14ac:dyDescent="0.25">
      <c r="E410" s="11">
        <f t="shared" si="31"/>
        <v>-12</v>
      </c>
      <c r="F410" s="11">
        <f t="shared" si="32"/>
        <v>-4.7972891762289374</v>
      </c>
      <c r="G410" s="11">
        <f t="shared" si="33"/>
        <v>-4.6754836582438024</v>
      </c>
    </row>
    <row r="411" spans="5:7" x14ac:dyDescent="0.25">
      <c r="E411" s="11">
        <f t="shared" si="31"/>
        <v>-11</v>
      </c>
      <c r="F411" s="11">
        <f t="shared" si="32"/>
        <v>-4.4462735600169161</v>
      </c>
      <c r="G411" s="11">
        <f t="shared" si="33"/>
        <v>-4.2843379370932517</v>
      </c>
    </row>
    <row r="412" spans="5:7" x14ac:dyDescent="0.25">
      <c r="E412" s="11">
        <f t="shared" si="31"/>
        <v>-10</v>
      </c>
      <c r="F412" s="11">
        <f t="shared" si="32"/>
        <v>-4.0931439181470255</v>
      </c>
      <c r="G412" s="11">
        <f t="shared" si="33"/>
        <v>-3.8935892810636314</v>
      </c>
    </row>
    <row r="413" spans="5:7" x14ac:dyDescent="0.25">
      <c r="E413" s="11">
        <f t="shared" si="31"/>
        <v>-9</v>
      </c>
      <c r="F413" s="11">
        <f t="shared" si="32"/>
        <v>-3.7363533106749713</v>
      </c>
      <c r="G413" s="11">
        <f t="shared" si="33"/>
        <v>-3.5032015933257656</v>
      </c>
    </row>
    <row r="414" spans="5:7" x14ac:dyDescent="0.25">
      <c r="E414" s="11">
        <f t="shared" si="31"/>
        <v>-8</v>
      </c>
      <c r="F414" s="11">
        <f t="shared" si="32"/>
        <v>-3.3741623977819275</v>
      </c>
      <c r="G414" s="11">
        <f t="shared" si="33"/>
        <v>-3.1131387770504801</v>
      </c>
    </row>
    <row r="415" spans="5:7" x14ac:dyDescent="0.25">
      <c r="E415" s="11">
        <f t="shared" ref="E415:E422" si="34">E208</f>
        <v>-7</v>
      </c>
      <c r="F415" s="11">
        <f t="shared" ref="F415:F422" si="35">$H$217*0+E415*$I$217+E415^2*$J$217+E415^3*$K$217+E415^4*$L$217+E415^5*$M$217+E415^6*$N$217+E415^7*$O$217+E415^8*$P$217</f>
        <v>-3.0046273371436247</v>
      </c>
      <c r="G415" s="11">
        <f t="shared" ref="G415:G422" si="36">F208</f>
        <v>-2.7233647354085986</v>
      </c>
    </row>
    <row r="416" spans="5:7" x14ac:dyDescent="0.25">
      <c r="E416" s="11">
        <f t="shared" si="34"/>
        <v>-6</v>
      </c>
      <c r="F416" s="11">
        <f t="shared" si="35"/>
        <v>-2.6255872286105637</v>
      </c>
      <c r="G416" s="11">
        <f t="shared" si="36"/>
        <v>-2.3338433715709455</v>
      </c>
    </row>
    <row r="417" spans="5:7" x14ac:dyDescent="0.25">
      <c r="E417" s="11">
        <f t="shared" si="34"/>
        <v>-5</v>
      </c>
      <c r="F417" s="11">
        <f t="shared" si="35"/>
        <v>-2.2346510964177755</v>
      </c>
      <c r="G417" s="11">
        <f t="shared" si="36"/>
        <v>-1.9445385887083459</v>
      </c>
    </row>
    <row r="418" spans="5:7" x14ac:dyDescent="0.25">
      <c r="E418" s="11">
        <f t="shared" si="34"/>
        <v>-4</v>
      </c>
      <c r="F418" s="11">
        <f t="shared" si="35"/>
        <v>-1.8291843990467642</v>
      </c>
      <c r="G418" s="11">
        <f t="shared" si="36"/>
        <v>-1.5554142899916235</v>
      </c>
    </row>
    <row r="419" spans="5:7" x14ac:dyDescent="0.25">
      <c r="E419" s="11">
        <f t="shared" si="34"/>
        <v>-3</v>
      </c>
      <c r="F419" s="11">
        <f t="shared" si="35"/>
        <v>-1.4062950567664785</v>
      </c>
      <c r="G419" s="11">
        <f t="shared" si="36"/>
        <v>-1.1664343785916031</v>
      </c>
    </row>
    <row r="420" spans="5:7" x14ac:dyDescent="0.25">
      <c r="E420" s="11">
        <f t="shared" si="34"/>
        <v>-2</v>
      </c>
      <c r="F420" s="11">
        <f t="shared" si="35"/>
        <v>-0.96281898678435585</v>
      </c>
      <c r="G420" s="11">
        <f t="shared" si="36"/>
        <v>-0.77756275767910976</v>
      </c>
    </row>
    <row r="421" spans="5:7" x14ac:dyDescent="0.25">
      <c r="E421" s="11">
        <f t="shared" si="34"/>
        <v>-1</v>
      </c>
      <c r="F421" s="11">
        <f t="shared" si="35"/>
        <v>-0.49530513584272079</v>
      </c>
      <c r="G421" s="11">
        <f t="shared" si="36"/>
        <v>-0.38876333042496708</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2022-01-07T10:16:38Z</dcterms:modified>
</cp:coreProperties>
</file>