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P31" i="11" s="1"/>
  <c r="O30" i="11"/>
  <c r="N30" i="11"/>
  <c r="P30" i="11" s="1"/>
  <c r="O29" i="11"/>
  <c r="N29" i="11"/>
  <c r="P29" i="11" s="1"/>
  <c r="O28" i="11"/>
  <c r="N28" i="11"/>
  <c r="P28" i="11" s="1"/>
  <c r="P27" i="11"/>
  <c r="O27" i="11"/>
  <c r="N27" i="11"/>
  <c r="O26" i="11"/>
  <c r="N26" i="11"/>
  <c r="O25" i="11"/>
  <c r="P25" i="11" s="1"/>
  <c r="N25" i="11"/>
  <c r="O24" i="11"/>
  <c r="N24" i="11"/>
  <c r="P24" i="11" s="1"/>
  <c r="O23" i="11"/>
  <c r="N23" i="11"/>
  <c r="P23" i="11" s="1"/>
  <c r="O22" i="11"/>
  <c r="N22" i="11"/>
  <c r="P22" i="11" s="1"/>
  <c r="O21" i="11"/>
  <c r="N21" i="11"/>
  <c r="P21" i="11" s="1"/>
  <c r="O20" i="11"/>
  <c r="N20" i="11"/>
  <c r="O19" i="11"/>
  <c r="P19" i="11" s="1"/>
  <c r="N19" i="11"/>
  <c r="O18" i="11"/>
  <c r="N18" i="11"/>
  <c r="P18" i="11" s="1"/>
  <c r="O17" i="11"/>
  <c r="N17" i="11"/>
  <c r="P17" i="11" s="1"/>
  <c r="O16" i="11"/>
  <c r="N16" i="11"/>
  <c r="P16" i="11" s="1"/>
  <c r="P15" i="11"/>
  <c r="O15" i="11"/>
  <c r="N15" i="11"/>
  <c r="O14" i="11"/>
  <c r="N14" i="11"/>
  <c r="O13" i="11"/>
  <c r="P13" i="11" s="1"/>
  <c r="N13" i="11"/>
  <c r="O12" i="11"/>
  <c r="N12" i="11"/>
  <c r="P12" i="11" s="1"/>
  <c r="O11" i="11"/>
  <c r="N11" i="11"/>
  <c r="P11" i="11" s="1"/>
  <c r="O10" i="11"/>
  <c r="N10" i="11"/>
  <c r="P10" i="11" s="1"/>
  <c r="O9" i="11"/>
  <c r="N9" i="11"/>
  <c r="P9" i="11" s="1"/>
  <c r="O8" i="11"/>
  <c r="N8" i="11"/>
  <c r="O7" i="11"/>
  <c r="P7" i="11" s="1"/>
  <c r="N7" i="11"/>
  <c r="O6" i="11"/>
  <c r="N6" i="11"/>
  <c r="P6" i="11" s="1"/>
  <c r="O5" i="11"/>
  <c r="N5" i="11"/>
  <c r="P5" i="11" s="1"/>
  <c r="O4" i="11"/>
  <c r="N4" i="11"/>
  <c r="P4" i="11" s="1"/>
  <c r="P3" i="11"/>
  <c r="O3" i="11"/>
  <c r="N3" i="11"/>
  <c r="P14" i="11" l="1"/>
  <c r="P26"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P5" i="37" s="1"/>
  <c r="B30" i="39" s="1"/>
  <c r="R6" i="37"/>
  <c r="R7" i="37"/>
  <c r="P6" i="37" s="1"/>
  <c r="B31" i="39" s="1"/>
  <c r="R8" i="37"/>
  <c r="R9" i="37"/>
  <c r="P7" i="37" s="1"/>
  <c r="R10" i="37"/>
  <c r="R11" i="37"/>
  <c r="P8" i="37" s="1"/>
  <c r="B32" i="39" s="1"/>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D403" i="43"/>
  <c r="C403" i="43"/>
  <c r="B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M15" i="44"/>
  <c r="K15" i="44"/>
  <c r="O15" i="44"/>
  <c r="I15" i="44"/>
  <c r="J14" i="43"/>
  <c r="A6" i="43"/>
  <c r="K14" i="43"/>
  <c r="B405" i="43" l="1"/>
  <c r="B424" i="43"/>
  <c r="B425" i="43"/>
  <c r="B413" i="43"/>
  <c r="B414" i="43"/>
  <c r="B408" i="43"/>
  <c r="B415" i="43"/>
  <c r="B417" i="43"/>
  <c r="B409" i="43"/>
  <c r="B406" i="43"/>
  <c r="B429" i="43"/>
  <c r="B411" i="43"/>
  <c r="B416" i="43"/>
  <c r="B432" i="43"/>
  <c r="B404" i="43"/>
  <c r="B428" i="43"/>
  <c r="B433" i="43"/>
  <c r="B422" i="43"/>
  <c r="B410" i="43"/>
  <c r="B407" i="43"/>
  <c r="B431" i="43"/>
  <c r="B427" i="43"/>
  <c r="B420" i="43"/>
  <c r="B434" i="43"/>
  <c r="B430" i="43"/>
  <c r="B423" i="43"/>
  <c r="B418" i="43"/>
  <c r="B419" i="43"/>
  <c r="B426" i="43"/>
  <c r="B421" i="43"/>
  <c r="B412" i="43"/>
  <c r="C406" i="43"/>
  <c r="C423" i="43"/>
  <c r="C428" i="43"/>
  <c r="C404" i="43"/>
  <c r="C408" i="43"/>
  <c r="C415" i="43"/>
  <c r="C409" i="43"/>
  <c r="C421" i="43"/>
  <c r="C434" i="43"/>
  <c r="C407" i="43"/>
  <c r="C414" i="43"/>
  <c r="C418" i="43"/>
  <c r="C425" i="43"/>
  <c r="C427" i="43"/>
  <c r="C429" i="43"/>
  <c r="C432" i="43"/>
  <c r="C424" i="43"/>
  <c r="C433" i="43"/>
  <c r="C410" i="43"/>
  <c r="C412" i="43"/>
  <c r="C420" i="43"/>
  <c r="C422" i="43"/>
  <c r="C431" i="43"/>
  <c r="C417" i="43"/>
  <c r="C419" i="43"/>
  <c r="C426" i="43"/>
  <c r="C430" i="43"/>
  <c r="C405" i="43"/>
  <c r="C413" i="43"/>
  <c r="C411" i="43"/>
  <c r="C416" i="43"/>
  <c r="H434" i="43"/>
  <c r="H418" i="43"/>
  <c r="H415" i="43"/>
  <c r="H410" i="43"/>
  <c r="H424" i="43"/>
  <c r="H405" i="43"/>
  <c r="H408" i="43"/>
  <c r="H420" i="43"/>
  <c r="H429" i="43"/>
  <c r="H417" i="43"/>
  <c r="H414" i="43"/>
  <c r="H430" i="43"/>
  <c r="H423" i="43"/>
  <c r="H426" i="43"/>
  <c r="H406" i="43"/>
  <c r="H416" i="43"/>
  <c r="H404" i="43"/>
  <c r="H413" i="43"/>
  <c r="H427" i="43"/>
  <c r="H409" i="43"/>
  <c r="H422" i="43"/>
  <c r="H421" i="43"/>
  <c r="H419" i="43"/>
  <c r="H433" i="43"/>
  <c r="H428" i="43"/>
  <c r="H431" i="43"/>
  <c r="H432" i="43"/>
  <c r="H412" i="43"/>
  <c r="H425" i="43"/>
  <c r="H407" i="43"/>
  <c r="H411" i="43"/>
  <c r="D406" i="43"/>
  <c r="D417" i="43"/>
  <c r="D419" i="43"/>
  <c r="D426" i="43"/>
  <c r="D430" i="43"/>
  <c r="D434" i="43"/>
  <c r="D427" i="43"/>
  <c r="D432" i="43"/>
  <c r="D422" i="43"/>
  <c r="D431" i="43"/>
  <c r="D411" i="43"/>
  <c r="D416" i="43"/>
  <c r="D423" i="43"/>
  <c r="D428" i="43"/>
  <c r="D404" i="43"/>
  <c r="D425" i="43"/>
  <c r="D410" i="43"/>
  <c r="D409" i="43"/>
  <c r="D421" i="43"/>
  <c r="D429" i="43"/>
  <c r="D412" i="43"/>
  <c r="D407" i="43"/>
  <c r="D414" i="43"/>
  <c r="D418" i="43"/>
  <c r="D420" i="43"/>
  <c r="D405" i="43"/>
  <c r="D408" i="43"/>
  <c r="D413" i="43"/>
  <c r="D415" i="43"/>
  <c r="D424" i="43"/>
  <c r="D433" i="43"/>
  <c r="G410" i="43"/>
  <c r="G413" i="43"/>
  <c r="G431" i="43"/>
  <c r="G434" i="43"/>
  <c r="G416" i="43"/>
  <c r="G428" i="43"/>
  <c r="G429" i="43"/>
  <c r="G411" i="43"/>
  <c r="G427" i="43"/>
  <c r="G409" i="43"/>
  <c r="G423" i="43"/>
  <c r="G421" i="43"/>
  <c r="G404" i="43"/>
  <c r="G412" i="43"/>
  <c r="G422" i="43"/>
  <c r="G426" i="43"/>
  <c r="G408" i="43"/>
  <c r="G424" i="43"/>
  <c r="G420" i="43"/>
  <c r="G418" i="43"/>
  <c r="G406" i="43"/>
  <c r="G419" i="43"/>
  <c r="G405" i="43"/>
  <c r="G425" i="43"/>
  <c r="G414" i="43"/>
  <c r="G407" i="43"/>
  <c r="G430" i="43"/>
  <c r="G417" i="43"/>
  <c r="G433" i="43"/>
  <c r="G415" i="43"/>
  <c r="G432" i="43"/>
  <c r="L15" i="44"/>
  <c r="E405" i="43"/>
  <c r="E408" i="43"/>
  <c r="E413" i="43"/>
  <c r="E415" i="43"/>
  <c r="E424" i="43"/>
  <c r="E433" i="43"/>
  <c r="E406" i="43"/>
  <c r="E417" i="43"/>
  <c r="E419" i="43"/>
  <c r="E426" i="43"/>
  <c r="E430" i="43"/>
  <c r="E418" i="43"/>
  <c r="E425" i="43"/>
  <c r="E411" i="43"/>
  <c r="E416" i="43"/>
  <c r="E423" i="43"/>
  <c r="E404" i="43"/>
  <c r="E427" i="43"/>
  <c r="E410" i="43"/>
  <c r="E420" i="43"/>
  <c r="E422" i="43"/>
  <c r="E431" i="43"/>
  <c r="E434" i="43"/>
  <c r="E429" i="43"/>
  <c r="E414" i="43"/>
  <c r="E421" i="43"/>
  <c r="E409" i="43"/>
  <c r="E432" i="43"/>
  <c r="E412" i="43"/>
  <c r="E407" i="43"/>
  <c r="E428" i="43"/>
  <c r="F415" i="43"/>
  <c r="F410" i="43"/>
  <c r="F420" i="43"/>
  <c r="F431" i="43"/>
  <c r="F424" i="43"/>
  <c r="F404" i="43"/>
  <c r="F434" i="43"/>
  <c r="F419" i="43"/>
  <c r="F430" i="43"/>
  <c r="F416" i="43"/>
  <c r="F423" i="43"/>
  <c r="F427" i="43"/>
  <c r="F421" i="43"/>
  <c r="F425" i="43"/>
  <c r="F426" i="43"/>
  <c r="F412" i="43"/>
  <c r="F433" i="43"/>
  <c r="F417" i="43"/>
  <c r="F414" i="43"/>
  <c r="F422" i="43"/>
  <c r="F411" i="43"/>
  <c r="F405" i="43"/>
  <c r="F413" i="43"/>
  <c r="F432" i="43"/>
  <c r="F418" i="43"/>
  <c r="F409" i="43"/>
  <c r="F428" i="43"/>
  <c r="F429" i="43"/>
  <c r="F406" i="43"/>
  <c r="F408" i="43"/>
  <c r="F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Y247" i="43"/>
  <c r="L427" i="43"/>
  <c r="N247" i="43"/>
  <c r="L416" i="43"/>
  <c r="Y169" i="43"/>
  <c r="K427" i="43"/>
  <c r="G208" i="43"/>
  <c r="K409" i="43"/>
  <c r="Z169" i="43"/>
  <c r="K428" i="43"/>
  <c r="N169" i="43"/>
  <c r="K416" i="43"/>
  <c r="H169" i="43"/>
  <c r="K410" i="43"/>
  <c r="D169" i="43"/>
  <c r="K406" i="43"/>
  <c r="K208" i="43"/>
  <c r="K413" i="43"/>
  <c r="AD169" i="43"/>
  <c r="K432" i="43"/>
  <c r="R169" i="43"/>
  <c r="K420" i="43"/>
  <c r="F169" i="43"/>
  <c r="K408" i="43"/>
  <c r="L169" i="43"/>
  <c r="K414"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M247" i="43"/>
  <c r="L415" i="43"/>
  <c r="D247" i="43"/>
  <c r="L406" i="43"/>
  <c r="V247" i="43"/>
  <c r="L424" i="43"/>
  <c r="AE247" i="43"/>
  <c r="L433" i="43"/>
  <c r="G130" i="43"/>
  <c r="J409" i="43"/>
  <c r="T130" i="43"/>
  <c r="J422" i="43"/>
  <c r="J130" i="43"/>
  <c r="J412" i="43"/>
  <c r="AD130" i="43"/>
  <c r="J432" i="43"/>
  <c r="M130" i="43"/>
  <c r="J415" i="43"/>
  <c r="AE130" i="43"/>
  <c r="J433" i="43"/>
  <c r="AC130" i="43"/>
  <c r="J431" i="43"/>
  <c r="F130" i="43"/>
  <c r="J408" i="43"/>
  <c r="N130" i="43"/>
  <c r="J416" i="43"/>
  <c r="Z130" i="43"/>
  <c r="J428" i="43"/>
  <c r="AB130" i="43"/>
  <c r="J430" i="43"/>
  <c r="P130" i="43"/>
  <c r="J418" i="43"/>
  <c r="R130" i="43"/>
  <c r="J420" i="43"/>
  <c r="E130" i="43"/>
  <c r="J407" i="43"/>
  <c r="S130" i="43"/>
  <c r="J421" i="43"/>
  <c r="W130" i="43"/>
  <c r="J425" i="43"/>
  <c r="D130" i="43"/>
  <c r="J406" i="43"/>
  <c r="AF130" i="43"/>
  <c r="J434" i="43"/>
  <c r="X130" i="43"/>
  <c r="J426" i="43"/>
  <c r="V130" i="43"/>
  <c r="J424" i="43"/>
  <c r="K130" i="43"/>
  <c r="J413" i="43"/>
  <c r="Q130" i="43"/>
  <c r="J419" i="43"/>
  <c r="L130" i="43"/>
  <c r="J414" i="43"/>
  <c r="Y130" i="43"/>
  <c r="J427" i="43"/>
  <c r="I130" i="43"/>
  <c r="J411" i="43"/>
  <c r="O130" i="43"/>
  <c r="J417" i="43"/>
  <c r="C130" i="43"/>
  <c r="J405"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<sst xmlns="http://schemas.openxmlformats.org/spreadsheetml/2006/main" count="311" uniqueCount="164">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</sst>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-6.5441251428571432E-4</c:v>
                </c:pt>
                <c:pt idx="1">
                  <c:v>-6.5440097142857156E-4</c:v>
                </c:pt>
                <c:pt idx="2">
                  <c:v>-6.5440331428571433E-4</c:v>
                </c:pt>
                <c:pt idx="3">
                  <c:v>-6.5440402857142857E-4</c:v>
                </c:pt>
                <c:pt idx="4">
                  <c:v>-6.5440422857142863E-4</c:v>
                </c:pt>
                <c:pt idx="5">
                  <c:v>-6.5440431428571435E-4</c:v>
                </c:pt>
                <c:pt idx="6">
                  <c:v>-6.5440431428571435E-4</c:v>
                </c:pt>
                <c:pt idx="7">
                  <c:v>-6.5440434285714288E-4</c:v>
                </c:pt>
                <c:pt idx="8">
                  <c:v>-6.5440434285714288E-4</c:v>
                </c:pt>
                <c:pt idx="9">
                  <c:v>-6.5440448571428577E-4</c:v>
                </c:pt>
                <c:pt idx="10">
                  <c:v>-6.5440582857142864E-4</c:v>
                </c:pt>
                <c:pt idx="11">
                  <c:v>-6.5441911428571441E-4</c:v>
                </c:pt>
                <c:pt idx="12">
                  <c:v>-6.545510285714286E-4</c:v>
                </c:pt>
                <c:pt idx="13">
                  <c:v>-6.5581351428571437E-4</c:v>
                </c:pt>
                <c:pt idx="14">
                  <c:v>-6.6577194285714295E-4</c:v>
                </c:pt>
                <c:pt idx="15">
                  <c:v>-6.8263214285714286E-4</c:v>
                </c:pt>
                <c:pt idx="16">
                  <c:v>-6.9511814285714288E-4</c:v>
                </c:pt>
                <c:pt idx="17">
                  <c:v>-7.0820794285714282E-4</c:v>
                </c:pt>
                <c:pt idx="18">
                  <c:v>-7.2330377142857153E-4</c:v>
                </c:pt>
                <c:pt idx="19">
                  <c:v>-7.408148285714286E-4</c:v>
                </c:pt>
                <c:pt idx="20">
                  <c:v>-7.6518460000000012E-4</c:v>
                </c:pt>
                <c:pt idx="21">
                  <c:v>-8.0167111428571425E-4</c:v>
                </c:pt>
                <c:pt idx="22">
                  <c:v>-8.4621368571428577E-4</c:v>
                </c:pt>
                <c:pt idx="23">
                  <c:v>-8.9196245714285715E-4</c:v>
                </c:pt>
                <c:pt idx="24">
                  <c:v>-9.4004797142857143E-4</c:v>
                </c:pt>
                <c:pt idx="25">
                  <c:v>-9.9600322857142857E-4</c:v>
                </c:pt>
                <c:pt idx="26">
                  <c:v>-1.0570064285714287E-3</c:v>
                </c:pt>
                <c:pt idx="27">
                  <c:v>-1.1131610285714285E-3</c:v>
                </c:pt>
                <c:pt idx="28">
                  <c:v>-1.1673316285714286E-3</c:v>
                </c:pt>
                <c:pt idx="29">
                  <c:v>-1.2253101428571429E-3</c:v>
                </c:pt>
                <c:pt idx="30">
                  <c:v>-1.2862524285714287E-3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-6.5559585714285726E-4</c:v>
                </c:pt>
                <c:pt idx="1">
                  <c:v>-6.555841714285715E-4</c:v>
                </c:pt>
                <c:pt idx="2">
                  <c:v>-6.5558654285714291E-4</c:v>
                </c:pt>
                <c:pt idx="3">
                  <c:v>-6.5558734285714286E-4</c:v>
                </c:pt>
                <c:pt idx="4">
                  <c:v>-6.5558848571428577E-4</c:v>
                </c:pt>
                <c:pt idx="5">
                  <c:v>-6.555979428571429E-4</c:v>
                </c:pt>
                <c:pt idx="6">
                  <c:v>-6.5569128571428569E-4</c:v>
                </c:pt>
                <c:pt idx="7">
                  <c:v>-6.5659254285714292E-4</c:v>
                </c:pt>
                <c:pt idx="8">
                  <c:v>-6.6432717142857146E-4</c:v>
                </c:pt>
                <c:pt idx="9">
                  <c:v>-6.8198111428571437E-4</c:v>
                </c:pt>
                <c:pt idx="10">
                  <c:v>-6.9466899999999997E-4</c:v>
                </c:pt>
                <c:pt idx="11">
                  <c:v>-7.0743394285714299E-4</c:v>
                </c:pt>
                <c:pt idx="12">
                  <c:v>-7.2235682857142854E-4</c:v>
                </c:pt>
                <c:pt idx="13">
                  <c:v>-7.3885014285714288E-4</c:v>
                </c:pt>
                <c:pt idx="14">
                  <c:v>-7.5840702857142865E-4</c:v>
                </c:pt>
                <c:pt idx="15">
                  <c:v>-7.8074914285714285E-4</c:v>
                </c:pt>
                <c:pt idx="16">
                  <c:v>-8.0518002857142871E-4</c:v>
                </c:pt>
                <c:pt idx="17">
                  <c:v>-8.3068905714285719E-4</c:v>
                </c:pt>
                <c:pt idx="18">
                  <c:v>-8.6402994285714294E-4</c:v>
                </c:pt>
                <c:pt idx="19">
                  <c:v>-9.1796040000000003E-4</c:v>
                </c:pt>
                <c:pt idx="20">
                  <c:v>-9.8926382857142869E-4</c:v>
                </c:pt>
                <c:pt idx="21">
                  <c:v>-1.0603785142857143E-3</c:v>
                </c:pt>
                <c:pt idx="22">
                  <c:v>-1.1258349714285715E-3</c:v>
                </c:pt>
                <c:pt idx="23">
                  <c:v>-1.1932491142857143E-3</c:v>
                </c:pt>
                <c:pt idx="24">
                  <c:v>-1.2596230285714287E-3</c:v>
                </c:pt>
                <c:pt idx="25">
                  <c:v>-1.3309826000000001E-3</c:v>
                </c:pt>
                <c:pt idx="26">
                  <c:v>-1.4092666000000002E-3</c:v>
                </c:pt>
                <c:pt idx="27">
                  <c:v>-1.5122779142857142E-3</c:v>
                </c:pt>
                <c:pt idx="28">
                  <c:v>-1.6372292571428572E-3</c:v>
                </c:pt>
                <c:pt idx="29">
                  <c:v>-1.8063294857142858E-3</c:v>
                </c:pt>
                <c:pt idx="30">
                  <c:v>-2.0472368857142858E-3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-6.5636251428571434E-4</c:v>
                </c:pt>
                <c:pt idx="1">
                  <c:v>-6.5635131428571432E-4</c:v>
                </c:pt>
                <c:pt idx="2">
                  <c:v>-6.5635940000000005E-4</c:v>
                </c:pt>
                <c:pt idx="3">
                  <c:v>-6.5641682857142864E-4</c:v>
                </c:pt>
                <c:pt idx="4">
                  <c:v>-6.5697040000000013E-4</c:v>
                </c:pt>
                <c:pt idx="5">
                  <c:v>-6.6178457142857146E-4</c:v>
                </c:pt>
                <c:pt idx="6">
                  <c:v>-6.7988582857142867E-4</c:v>
                </c:pt>
                <c:pt idx="7">
                  <c:v>-6.9310382857142863E-4</c:v>
                </c:pt>
                <c:pt idx="8">
                  <c:v>-7.0554688571428581E-4</c:v>
                </c:pt>
                <c:pt idx="9">
                  <c:v>-7.2022191428571436E-4</c:v>
                </c:pt>
                <c:pt idx="10">
                  <c:v>-7.3623651428571431E-4</c:v>
                </c:pt>
                <c:pt idx="11">
                  <c:v>-7.5526031428571443E-4</c:v>
                </c:pt>
                <c:pt idx="12">
                  <c:v>-7.7708708571428569E-4</c:v>
                </c:pt>
                <c:pt idx="13">
                  <c:v>-8.0133854285714299E-4</c:v>
                </c:pt>
                <c:pt idx="14">
                  <c:v>-8.2604820000000008E-4</c:v>
                </c:pt>
                <c:pt idx="15">
                  <c:v>-8.5347311428571435E-4</c:v>
                </c:pt>
                <c:pt idx="16">
                  <c:v>-8.9017040000000005E-4</c:v>
                </c:pt>
                <c:pt idx="17">
                  <c:v>-9.3959582857142869E-4</c:v>
                </c:pt>
                <c:pt idx="18">
                  <c:v>-1.0019475428571429E-3</c:v>
                </c:pt>
                <c:pt idx="19">
                  <c:v>-1.0711912285714287E-3</c:v>
                </c:pt>
                <c:pt idx="20">
                  <c:v>-1.1466639428571429E-3</c:v>
                </c:pt>
                <c:pt idx="21">
                  <c:v>-1.2204355428571429E-3</c:v>
                </c:pt>
                <c:pt idx="22">
                  <c:v>-1.2976860000000002E-3</c:v>
                </c:pt>
                <c:pt idx="23">
                  <c:v>-1.3792314000000002E-3</c:v>
                </c:pt>
                <c:pt idx="24">
                  <c:v>-1.4804677714285717E-3</c:v>
                </c:pt>
                <c:pt idx="25">
                  <c:v>-1.6026793142857143E-3</c:v>
                </c:pt>
                <c:pt idx="26">
                  <c:v>-1.7641265142857145E-3</c:v>
                </c:pt>
                <c:pt idx="27">
                  <c:v>-1.9859938571428573E-3</c:v>
                </c:pt>
                <c:pt idx="28">
                  <c:v>-2.3278832285714285E-3</c:v>
                </c:pt>
                <c:pt idx="29">
                  <c:v>-2.8962108571428573E-3</c:v>
                </c:pt>
                <c:pt idx="30">
                  <c:v>-3.869394E-3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-6.5715740000000004E-4</c:v>
                </c:pt>
                <c:pt idx="1">
                  <c:v>-6.5725068571428577E-4</c:v>
                </c:pt>
                <c:pt idx="2">
                  <c:v>-6.5826888571428571E-4</c:v>
                </c:pt>
                <c:pt idx="3">
                  <c:v>-6.6676645714285727E-4</c:v>
                </c:pt>
                <c:pt idx="4">
                  <c:v>-6.8426140000000006E-4</c:v>
                </c:pt>
                <c:pt idx="5">
                  <c:v>-6.9691962857142858E-4</c:v>
                </c:pt>
                <c:pt idx="6">
                  <c:v>-7.0983691428571434E-4</c:v>
                </c:pt>
                <c:pt idx="7">
                  <c:v>-7.2485928571428579E-4</c:v>
                </c:pt>
                <c:pt idx="8">
                  <c:v>-7.4154751428571434E-4</c:v>
                </c:pt>
                <c:pt idx="9">
                  <c:v>-7.6130077142857143E-4</c:v>
                </c:pt>
                <c:pt idx="10">
                  <c:v>-7.8384359999999998E-4</c:v>
                </c:pt>
                <c:pt idx="11">
                  <c:v>-8.0832005714285714E-4</c:v>
                </c:pt>
                <c:pt idx="12">
                  <c:v>-8.3339802857142859E-4</c:v>
                </c:pt>
                <c:pt idx="13">
                  <c:v>-8.6259620000000016E-4</c:v>
                </c:pt>
                <c:pt idx="14">
                  <c:v>-9.0110842857142853E-4</c:v>
                </c:pt>
                <c:pt idx="15">
                  <c:v>-9.4679897142857159E-4</c:v>
                </c:pt>
                <c:pt idx="16">
                  <c:v>-9.9414297142857142E-4</c:v>
                </c:pt>
                <c:pt idx="17">
                  <c:v>-1.0514203142857144E-3</c:v>
                </c:pt>
                <c:pt idx="18">
                  <c:v>-1.1262160285714286E-3</c:v>
                </c:pt>
                <c:pt idx="19">
                  <c:v>-1.2071150000000001E-3</c:v>
                </c:pt>
                <c:pt idx="20">
                  <c:v>-1.2919337999999999E-3</c:v>
                </c:pt>
                <c:pt idx="21">
                  <c:v>-1.3833840857142858E-3</c:v>
                </c:pt>
                <c:pt idx="22">
                  <c:v>-1.494031E-3</c:v>
                </c:pt>
                <c:pt idx="23">
                  <c:v>-1.6276288571428572E-3</c:v>
                </c:pt>
                <c:pt idx="24">
                  <c:v>-1.8037072000000002E-3</c:v>
                </c:pt>
                <c:pt idx="25">
                  <c:v>-2.0501415714285717E-3</c:v>
                </c:pt>
                <c:pt idx="26">
                  <c:v>-2.4371894571428572E-3</c:v>
                </c:pt>
                <c:pt idx="27">
                  <c:v>-3.0883197142857147E-3</c:v>
                </c:pt>
                <c:pt idx="28">
                  <c:v>-4.1963188571428568E-3</c:v>
                </c:pt>
                <c:pt idx="29">
                  <c:v>-5.9082431428571424E-3</c:v>
                </c:pt>
                <c:pt idx="30">
                  <c:v>-8.1043811428571436E-3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-6.6437708571428578E-4</c:v>
                </c:pt>
                <c:pt idx="1">
                  <c:v>-6.8582485714285715E-4</c:v>
                </c:pt>
                <c:pt idx="2">
                  <c:v>-6.9870320000000002E-4</c:v>
                </c:pt>
                <c:pt idx="3">
                  <c:v>-7.1182891428571437E-4</c:v>
                </c:pt>
                <c:pt idx="4">
                  <c:v>-7.269515428571429E-4</c:v>
                </c:pt>
                <c:pt idx="5">
                  <c:v>-7.4387068571428569E-4</c:v>
                </c:pt>
                <c:pt idx="6">
                  <c:v>-7.6384202857142868E-4</c:v>
                </c:pt>
                <c:pt idx="7">
                  <c:v>-7.8660660000000001E-4</c:v>
                </c:pt>
                <c:pt idx="8">
                  <c:v>-8.1115248571428573E-4</c:v>
                </c:pt>
                <c:pt idx="9">
                  <c:v>-8.3640171428571431E-4</c:v>
                </c:pt>
                <c:pt idx="10">
                  <c:v>-8.6621125714285722E-4</c:v>
                </c:pt>
                <c:pt idx="11">
                  <c:v>-9.0536308571428567E-4</c:v>
                </c:pt>
                <c:pt idx="12">
                  <c:v>-9.5081022857142856E-4</c:v>
                </c:pt>
                <c:pt idx="13">
                  <c:v>-9.9418331428571425E-4</c:v>
                </c:pt>
                <c:pt idx="14">
                  <c:v>-1.0362681714285716E-3</c:v>
                </c:pt>
                <c:pt idx="15">
                  <c:v>-1.0851435142857145E-3</c:v>
                </c:pt>
                <c:pt idx="16">
                  <c:v>-1.1484603714285715E-3</c:v>
                </c:pt>
                <c:pt idx="17">
                  <c:v>-1.233926742857143E-3</c:v>
                </c:pt>
                <c:pt idx="18">
                  <c:v>-1.3368808000000002E-3</c:v>
                </c:pt>
                <c:pt idx="19">
                  <c:v>-1.4592771714285716E-3</c:v>
                </c:pt>
                <c:pt idx="20">
                  <c:v>-1.6042480571428572E-3</c:v>
                </c:pt>
                <c:pt idx="21">
                  <c:v>-1.7905833142857143E-3</c:v>
                </c:pt>
                <c:pt idx="22">
                  <c:v>-2.0483691428571432E-3</c:v>
                </c:pt>
                <c:pt idx="23">
                  <c:v>-2.4503183428571432E-3</c:v>
                </c:pt>
                <c:pt idx="24">
                  <c:v>-3.1242568571428577E-3</c:v>
                </c:pt>
                <c:pt idx="25">
                  <c:v>-4.2644768571428572E-3</c:v>
                </c:pt>
                <c:pt idx="26">
                  <c:v>-6.0131102857142859E-3</c:v>
                </c:pt>
                <c:pt idx="27">
                  <c:v>-8.2161508571428586E-3</c:v>
                </c:pt>
                <c:pt idx="28">
                  <c:v>-1.0166911142857143E-2</c:v>
                </c:pt>
                <c:pt idx="29">
                  <c:v>-1.1538860857142858E-2</c:v>
                </c:pt>
                <c:pt idx="30">
                  <c:v>-1.2370231428571429E-2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-7.8725765714285714E-4</c:v>
                </c:pt>
                <c:pt idx="1">
                  <c:v>-8.184972571428572E-4</c:v>
                </c:pt>
                <c:pt idx="2">
                  <c:v>-8.4497211428571429E-4</c:v>
                </c:pt>
                <c:pt idx="3">
                  <c:v>-8.7721979999999999E-4</c:v>
                </c:pt>
                <c:pt idx="4">
                  <c:v>-9.1876260000000015E-4</c:v>
                </c:pt>
                <c:pt idx="5">
                  <c:v>-9.6440574285714287E-4</c:v>
                </c:pt>
                <c:pt idx="6">
                  <c:v>-1.0065965428571429E-3</c:v>
                </c:pt>
                <c:pt idx="7">
                  <c:v>-1.0500243142857143E-3</c:v>
                </c:pt>
                <c:pt idx="8">
                  <c:v>-1.0958992000000001E-3</c:v>
                </c:pt>
                <c:pt idx="9">
                  <c:v>-1.1455540285714287E-3</c:v>
                </c:pt>
                <c:pt idx="10">
                  <c:v>-1.2005413142857145E-3</c:v>
                </c:pt>
                <c:pt idx="11">
                  <c:v>-1.2687796E-3</c:v>
                </c:pt>
                <c:pt idx="12">
                  <c:v>-1.3549035142857145E-3</c:v>
                </c:pt>
                <c:pt idx="13">
                  <c:v>-1.4672013142857142E-3</c:v>
                </c:pt>
                <c:pt idx="14">
                  <c:v>-1.6285401428571432E-3</c:v>
                </c:pt>
                <c:pt idx="15">
                  <c:v>-1.8959442285714288E-3</c:v>
                </c:pt>
                <c:pt idx="16">
                  <c:v>-2.3460856285714288E-3</c:v>
                </c:pt>
                <c:pt idx="17">
                  <c:v>-3.101782571428572E-3</c:v>
                </c:pt>
                <c:pt idx="18">
                  <c:v>-4.3462051428571433E-3</c:v>
                </c:pt>
                <c:pt idx="19">
                  <c:v>-6.201710571428572E-3</c:v>
                </c:pt>
                <c:pt idx="20">
                  <c:v>-8.4074260000000008E-3</c:v>
                </c:pt>
                <c:pt idx="21">
                  <c:v>-1.0299126285714286E-2</c:v>
                </c:pt>
                <c:pt idx="22">
                  <c:v>-1.1566711142857143E-2</c:v>
                </c:pt>
                <c:pt idx="23">
                  <c:v>-1.2418748E-2</c:v>
                </c:pt>
                <c:pt idx="24">
                  <c:v>-1.3019599142857143E-2</c:v>
                </c:pt>
                <c:pt idx="25">
                  <c:v>-1.3295077428571431E-2</c:v>
                </c:pt>
                <c:pt idx="26">
                  <c:v>-1.3949406571428574E-2</c:v>
                </c:pt>
                <c:pt idx="27">
                  <c:v>-1.4434227142857142E-2</c:v>
                </c:pt>
                <c:pt idx="28">
                  <c:v>-1.4485463428571431E-2</c:v>
                </c:pt>
                <c:pt idx="29">
                  <c:v>-1.4493383714285714E-2</c:v>
                </c:pt>
                <c:pt idx="30">
                  <c:v>-1.4499507428571428E-2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-1.0072007142857143E-3</c:v>
                </c:pt>
                <c:pt idx="1">
                  <c:v>-1.0636676000000001E-3</c:v>
                </c:pt>
                <c:pt idx="2">
                  <c:v>-1.1109540285714286E-3</c:v>
                </c:pt>
                <c:pt idx="3">
                  <c:v>-1.1626929428571429E-3</c:v>
                </c:pt>
                <c:pt idx="4">
                  <c:v>-1.2196940285714285E-3</c:v>
                </c:pt>
                <c:pt idx="5">
                  <c:v>-1.2935296285714287E-3</c:v>
                </c:pt>
                <c:pt idx="6">
                  <c:v>-1.3849060571428573E-3</c:v>
                </c:pt>
                <c:pt idx="7">
                  <c:v>-1.5058213428571429E-3</c:v>
                </c:pt>
                <c:pt idx="8">
                  <c:v>-1.6706613714285716E-3</c:v>
                </c:pt>
                <c:pt idx="9">
                  <c:v>-1.9194069142857144E-3</c:v>
                </c:pt>
                <c:pt idx="10">
                  <c:v>-2.3250146857142859E-3</c:v>
                </c:pt>
                <c:pt idx="11">
                  <c:v>-3.0115682857142861E-3</c:v>
                </c:pt>
                <c:pt idx="12">
                  <c:v>-4.1215134285714286E-3</c:v>
                </c:pt>
                <c:pt idx="13">
                  <c:v>-5.7726682857142863E-3</c:v>
                </c:pt>
                <c:pt idx="14">
                  <c:v>-7.6871359999999998E-3</c:v>
                </c:pt>
                <c:pt idx="15">
                  <c:v>-9.4130968571428577E-3</c:v>
                </c:pt>
                <c:pt idx="16">
                  <c:v>-1.0685877142857144E-2</c:v>
                </c:pt>
                <c:pt idx="17">
                  <c:v>-1.1711472000000001E-2</c:v>
                </c:pt>
                <c:pt idx="18">
                  <c:v>-1.2468404000000001E-2</c:v>
                </c:pt>
                <c:pt idx="19">
                  <c:v>-1.2940604285714285E-2</c:v>
                </c:pt>
                <c:pt idx="20">
                  <c:v>-1.3820527428571429E-2</c:v>
                </c:pt>
                <c:pt idx="21">
                  <c:v>-1.4231560857142857E-2</c:v>
                </c:pt>
                <c:pt idx="22">
                  <c:v>-1.4360789142857143E-2</c:v>
                </c:pt>
                <c:pt idx="23">
                  <c:v>-1.4368254571428573E-2</c:v>
                </c:pt>
                <c:pt idx="24">
                  <c:v>-1.4427086857142859E-2</c:v>
                </c:pt>
                <c:pt idx="25">
                  <c:v>-1.4475546000000001E-2</c:v>
                </c:pt>
                <c:pt idx="26">
                  <c:v>-1.4482518857142858E-2</c:v>
                </c:pt>
                <c:pt idx="27">
                  <c:v>-1.448888942857143E-2</c:v>
                </c:pt>
                <c:pt idx="28">
                  <c:v>-1.4494310857142858E-2</c:v>
                </c:pt>
                <c:pt idx="29">
                  <c:v>-1.4496432857142858E-2</c:v>
                </c:pt>
                <c:pt idx="30">
                  <c:v>-1.4497870571428572E-2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48344520"/>
        <c:axId val="5483464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83445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46480"/>
        <c:crossesAt val="-8.0000000000000019E-3"/>
        <c:crossBetween val="midCat"/>
      </c:valAx>
      <c:valAx>
        <c:axId val="548346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44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15280.881373295428</c:v>
                </c:pt>
                <c:pt idx="1">
                  <c:v>15281.150909922677</c:v>
                </c:pt>
                <c:pt idx="2">
                  <c:v>15281.096201224267</c:v>
                </c:pt>
                <c:pt idx="3">
                  <c:v>15281.079521820968</c:v>
                </c:pt>
                <c:pt idx="4">
                  <c:v>15281.074851594565</c:v>
                </c:pt>
                <c:pt idx="5">
                  <c:v>15281.072850069839</c:v>
                </c:pt>
                <c:pt idx="6">
                  <c:v>15281.072850069839</c:v>
                </c:pt>
                <c:pt idx="7">
                  <c:v>15281.072182895048</c:v>
                </c:pt>
                <c:pt idx="8">
                  <c:v>15281.072182895048</c:v>
                </c:pt>
                <c:pt idx="9">
                  <c:v>15281.068847021961</c:v>
                </c:pt>
                <c:pt idx="10">
                  <c:v>15281.037489886136</c:v>
                </c:pt>
                <c:pt idx="11">
                  <c:v>15280.727261328244</c:v>
                </c:pt>
                <c:pt idx="12">
                  <c:v>15277.647675270193</c:v>
                </c:pt>
                <c:pt idx="13">
                  <c:v>15248.237162193274</c:v>
                </c:pt>
                <c:pt idx="14">
                  <c:v>15020.158339934333</c:v>
                </c:pt>
                <c:pt idx="15">
                  <c:v>14649.178338050717</c:v>
                </c:pt>
                <c:pt idx="16">
                  <c:v>14386.043729051607</c:v>
                </c:pt>
                <c:pt idx="17">
                  <c:v>14120.146633285027</c:v>
                </c:pt>
                <c:pt idx="18">
                  <c:v>13825.449824835499</c:v>
                </c:pt>
                <c:pt idx="19">
                  <c:v>13498.649884322354</c:v>
                </c:pt>
                <c:pt idx="20">
                  <c:v>13068.741843471495</c:v>
                </c:pt>
                <c:pt idx="21">
                  <c:v>12473.943269004971</c:v>
                </c:pt>
                <c:pt idx="22">
                  <c:v>11817.346101604393</c:v>
                </c:pt>
                <c:pt idx="23">
                  <c:v>11211.234194802433</c:v>
                </c:pt>
                <c:pt idx="24">
                  <c:v>10637.754991166255</c:v>
                </c:pt>
                <c:pt idx="25">
                  <c:v>10040.128097117757</c:v>
                </c:pt>
                <c:pt idx="26">
                  <c:v>9460.6803986190098</c:v>
                </c:pt>
                <c:pt idx="27">
                  <c:v>8983.4262459165202</c:v>
                </c:pt>
                <c:pt idx="28">
                  <c:v>8566.5459199781326</c:v>
                </c:pt>
                <c:pt idx="29">
                  <c:v>8161.1990713488167</c:v>
                </c:pt>
                <c:pt idx="30">
                  <c:v>7774.5237076881258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15253.299561075408</c:v>
                </c:pt>
                <c:pt idx="1">
                  <c:v>15253.571449428351</c:v>
                </c:pt>
                <c:pt idx="2">
                  <c:v>15253.516273257417</c:v>
                </c:pt>
                <c:pt idx="3">
                  <c:v>15253.497659699435</c:v>
                </c:pt>
                <c:pt idx="4">
                  <c:v>15253.47106898112</c:v>
                </c:pt>
                <c:pt idx="5">
                  <c:v>15253.251034344743</c:v>
                </c:pt>
                <c:pt idx="6">
                  <c:v>15251.07961303218</c:v>
                </c:pt>
                <c:pt idx="7">
                  <c:v>15230.145557982272</c:v>
                </c:pt>
                <c:pt idx="8">
                  <c:v>15052.824015155011</c:v>
                </c:pt>
                <c:pt idx="9">
                  <c:v>14663.162645601538</c:v>
                </c:pt>
                <c:pt idx="10">
                  <c:v>14395.345121201608</c:v>
                </c:pt>
                <c:pt idx="11">
                  <c:v>14135.595416319131</c:v>
                </c:pt>
                <c:pt idx="12">
                  <c:v>13843.573708268992</c:v>
                </c:pt>
                <c:pt idx="13">
                  <c:v>13534.544314128265</c:v>
                </c:pt>
                <c:pt idx="14">
                  <c:v>13185.531809794105</c:v>
                </c:pt>
                <c:pt idx="15">
                  <c:v>12808.211307674461</c:v>
                </c:pt>
                <c:pt idx="16">
                  <c:v>12419.582758084871</c:v>
                </c:pt>
                <c:pt idx="17">
                  <c:v>12038.198786914147</c:v>
                </c:pt>
                <c:pt idx="18">
                  <c:v>11573.672975883639</c:v>
                </c:pt>
                <c:pt idx="19">
                  <c:v>10893.716112372604</c:v>
                </c:pt>
                <c:pt idx="20">
                  <c:v>10108.526877446588</c:v>
                </c:pt>
                <c:pt idx="21">
                  <c:v>9430.5947030020106</c:v>
                </c:pt>
                <c:pt idx="22">
                  <c:v>8882.2964766416917</c:v>
                </c:pt>
                <c:pt idx="23">
                  <c:v>8380.4797173355182</c:v>
                </c:pt>
                <c:pt idx="24">
                  <c:v>7938.8831207232379</c:v>
                </c:pt>
                <c:pt idx="25">
                  <c:v>7513.2462287636217</c:v>
                </c:pt>
                <c:pt idx="26">
                  <c:v>7095.8894505837288</c:v>
                </c:pt>
                <c:pt idx="27">
                  <c:v>6612.5411906998879</c:v>
                </c:pt>
                <c:pt idx="28">
                  <c:v>6107.8801007081229</c:v>
                </c:pt>
                <c:pt idx="29">
                  <c:v>5536.0885591953065</c:v>
                </c:pt>
                <c:pt idx="30">
                  <c:v>4884.632584426583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15235.483109334004</c:v>
                </c:pt>
                <c:pt idx="1">
                  <c:v>15235.743088109259</c:v>
                </c:pt>
                <c:pt idx="2">
                  <c:v>15235.55539846005</c:v>
                </c:pt>
                <c:pt idx="3">
                  <c:v>15234.222470748005</c:v>
                </c:pt>
                <c:pt idx="4">
                  <c:v>15221.385925454173</c:v>
                </c:pt>
                <c:pt idx="5">
                  <c:v>15110.657503563956</c:v>
                </c:pt>
                <c:pt idx="6">
                  <c:v>14708.351872860669</c:v>
                </c:pt>
                <c:pt idx="7">
                  <c:v>14427.852780168907</c:v>
                </c:pt>
                <c:pt idx="8">
                  <c:v>14173.402508716539</c:v>
                </c:pt>
                <c:pt idx="9">
                  <c:v>13884.609453903631</c:v>
                </c:pt>
                <c:pt idx="10">
                  <c:v>13582.591743227855</c:v>
                </c:pt>
                <c:pt idx="11">
                  <c:v>13240.467969586718</c:v>
                </c:pt>
                <c:pt idx="12">
                  <c:v>12868.570568005469</c:v>
                </c:pt>
                <c:pt idx="13">
                  <c:v>12479.120203485245</c:v>
                </c:pt>
                <c:pt idx="14">
                  <c:v>12105.831112518614</c:v>
                </c:pt>
                <c:pt idx="15">
                  <c:v>11716.830715129398</c:v>
                </c:pt>
                <c:pt idx="16">
                  <c:v>11233.80422444961</c:v>
                </c:pt>
                <c:pt idx="17">
                  <c:v>10642.873984662219</c:v>
                </c:pt>
                <c:pt idx="18">
                  <c:v>9980.5624269351538</c:v>
                </c:pt>
                <c:pt idx="19">
                  <c:v>9335.4013114318404</c:v>
                </c:pt>
                <c:pt idx="20">
                  <c:v>8720.9509484382997</c:v>
                </c:pt>
                <c:pt idx="21">
                  <c:v>8193.7961070759648</c:v>
                </c:pt>
                <c:pt idx="22">
                  <c:v>7706.024415767758</c:v>
                </c:pt>
                <c:pt idx="23">
                  <c:v>7250.4149775012365</c:v>
                </c:pt>
                <c:pt idx="24">
                  <c:v>6754.6218789690629</c:v>
                </c:pt>
                <c:pt idx="25">
                  <c:v>6239.5514254558293</c:v>
                </c:pt>
                <c:pt idx="26">
                  <c:v>5668.5276928956237</c:v>
                </c:pt>
                <c:pt idx="27">
                  <c:v>5035.2623015594136</c:v>
                </c:pt>
                <c:pt idx="28">
                  <c:v>4295.7481188335996</c:v>
                </c:pt>
                <c:pt idx="29">
                  <c:v>3452.787277327282</c:v>
                </c:pt>
                <c:pt idx="30">
                  <c:v>2584.3840146544912</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15217.054544314649</c:v>
                </c:pt>
                <c:pt idx="1">
                  <c:v>15214.894738576373</c:v>
                </c:pt>
                <c:pt idx="2">
                  <c:v>15191.360577750882</c:v>
                </c:pt>
                <c:pt idx="3">
                  <c:v>14997.755050322607</c:v>
                </c:pt>
                <c:pt idx="4">
                  <c:v>14614.297986120508</c:v>
                </c:pt>
                <c:pt idx="5">
                  <c:v>14348.856869619767</c:v>
                </c:pt>
                <c:pt idx="6">
                  <c:v>14087.742971303025</c:v>
                </c:pt>
                <c:pt idx="7">
                  <c:v>13795.781053071383</c:v>
                </c:pt>
                <c:pt idx="8">
                  <c:v>13485.312548896298</c:v>
                </c:pt>
                <c:pt idx="9">
                  <c:v>13135.412934411093</c:v>
                </c:pt>
                <c:pt idx="10">
                  <c:v>12757.647061224969</c:v>
                </c:pt>
                <c:pt idx="11">
                  <c:v>12371.337209355757</c:v>
                </c:pt>
                <c:pt idx="12">
                  <c:v>11999.068460890801</c:v>
                </c:pt>
                <c:pt idx="13">
                  <c:v>11592.909869067355</c:v>
                </c:pt>
                <c:pt idx="14">
                  <c:v>11097.44364044346</c:v>
                </c:pt>
                <c:pt idx="15">
                  <c:v>10561.904165264948</c:v>
                </c:pt>
                <c:pt idx="16">
                  <c:v>10058.915354629647</c:v>
                </c:pt>
                <c:pt idx="17">
                  <c:v>9510.9442571437576</c:v>
                </c:pt>
                <c:pt idx="18">
                  <c:v>8879.2911362526975</c:v>
                </c:pt>
                <c:pt idx="19">
                  <c:v>8284.2148428277324</c:v>
                </c:pt>
                <c:pt idx="20">
                  <c:v>7740.334682783282</c:v>
                </c:pt>
                <c:pt idx="21">
                  <c:v>7228.6504545385724</c:v>
                </c:pt>
                <c:pt idx="22">
                  <c:v>6693.3015446131976</c:v>
                </c:pt>
                <c:pt idx="23">
                  <c:v>6143.9067979871152</c:v>
                </c:pt>
                <c:pt idx="24">
                  <c:v>5544.1370971962624</c:v>
                </c:pt>
                <c:pt idx="25">
                  <c:v>4877.7119294409695</c:v>
                </c:pt>
                <c:pt idx="26">
                  <c:v>4103.0868448459096</c:v>
                </c:pt>
                <c:pt idx="27">
                  <c:v>3238.0067237672188</c:v>
                </c:pt>
                <c:pt idx="28">
                  <c:v>2383.0410272513682</c:v>
                </c:pt>
                <c:pt idx="29">
                  <c:v>1692.5505193687986</c:v>
                </c:pt>
                <c:pt idx="30">
                  <c:v>1233.9005068651754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15051.693104750579</c:v>
                </c:pt>
                <c:pt idx="1">
                  <c:v>14580.982149961652</c:v>
                </c:pt>
                <c:pt idx="2">
                  <c:v>14312.228711704769</c:v>
                </c:pt>
                <c:pt idx="3">
                  <c:v>14048.319475803413</c:v>
                </c:pt>
                <c:pt idx="4">
                  <c:v>13756.075075784182</c:v>
                </c:pt>
                <c:pt idx="5">
                  <c:v>13443.196770682955</c:v>
                </c:pt>
                <c:pt idx="6">
                  <c:v>13091.71219434265</c:v>
                </c:pt>
                <c:pt idx="7">
                  <c:v>12712.835107155215</c:v>
                </c:pt>
                <c:pt idx="8">
                  <c:v>12328.138267608447</c:v>
                </c:pt>
                <c:pt idx="9">
                  <c:v>11955.97740798509</c:v>
                </c:pt>
                <c:pt idx="10">
                  <c:v>11544.527870700231</c:v>
                </c:pt>
                <c:pt idx="11">
                  <c:v>11045.292389086646</c:v>
                </c:pt>
                <c:pt idx="12">
                  <c:v>10517.345837796443</c:v>
                </c:pt>
                <c:pt idx="13">
                  <c:v>10058.507174991815</c:v>
                </c:pt>
                <c:pt idx="14">
                  <c:v>9650.0117206285195</c:v>
                </c:pt>
                <c:pt idx="15">
                  <c:v>9215.3709332930084</c:v>
                </c:pt>
                <c:pt idx="16">
                  <c:v>8707.3095848844878</c:v>
                </c:pt>
                <c:pt idx="17">
                  <c:v>8104.2088259187221</c:v>
                </c:pt>
                <c:pt idx="18">
                  <c:v>7480.0984500637596</c:v>
                </c:pt>
                <c:pt idx="19">
                  <c:v>6852.7077623029054</c:v>
                </c:pt>
                <c:pt idx="20">
                  <c:v>6233.4499677125095</c:v>
                </c:pt>
                <c:pt idx="21">
                  <c:v>5584.7722472434198</c:v>
                </c:pt>
                <c:pt idx="22">
                  <c:v>4881.932553451581</c:v>
                </c:pt>
                <c:pt idx="23">
                  <c:v>4081.1023715145952</c:v>
                </c:pt>
                <c:pt idx="24">
                  <c:v>3200.7611592937433</c:v>
                </c:pt>
                <c:pt idx="25">
                  <c:v>2344.9535159864527</c:v>
                </c:pt>
                <c:pt idx="26">
                  <c:v>1663.0328606740529</c:v>
                </c:pt>
                <c:pt idx="27">
                  <c:v>1217.1149451700148</c:v>
                </c:pt>
                <c:pt idx="28">
                  <c:v>983.58290531786452</c:v>
                </c:pt>
                <c:pt idx="29">
                  <c:v>866.63667443478505</c:v>
                </c:pt>
                <c:pt idx="30">
                  <c:v>808.39231325155947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12702.321672287504</c:v>
                </c:pt>
                <c:pt idx="1">
                  <c:v>12217.511925338853</c:v>
                </c:pt>
                <c:pt idx="2">
                  <c:v>11834.710082063908</c:v>
                </c:pt>
                <c:pt idx="3">
                  <c:v>11399.651489854652</c:v>
                </c:pt>
                <c:pt idx="4">
                  <c:v>10884.204472406689</c:v>
                </c:pt>
                <c:pt idx="5">
                  <c:v>10369.07968877711</c:v>
                </c:pt>
                <c:pt idx="6">
                  <c:v>9934.4668635715843</c:v>
                </c:pt>
                <c:pt idx="7">
                  <c:v>9523.5889911773738</c:v>
                </c:pt>
                <c:pt idx="8">
                  <c:v>9124.9268180869185</c:v>
                </c:pt>
                <c:pt idx="9">
                  <c:v>8729.4005787492806</c:v>
                </c:pt>
                <c:pt idx="10">
                  <c:v>8329.5759013088991</c:v>
                </c:pt>
                <c:pt idx="11">
                  <c:v>7881.5895211429943</c:v>
                </c:pt>
                <c:pt idx="12">
                  <c:v>7380.5993523249927</c:v>
                </c:pt>
                <c:pt idx="13">
                  <c:v>6815.6972752361226</c:v>
                </c:pt>
                <c:pt idx="14">
                  <c:v>6140.4688388312006</c:v>
                </c:pt>
                <c:pt idx="15">
                  <c:v>5274.4167519816128</c:v>
                </c:pt>
                <c:pt idx="16">
                  <c:v>4262.419017539939</c:v>
                </c:pt>
                <c:pt idx="17">
                  <c:v>3223.9526045806465</c:v>
                </c:pt>
                <c:pt idx="18">
                  <c:v>2300.8577992308296</c:v>
                </c:pt>
                <c:pt idx="19">
                  <c:v>1612.4583507766772</c:v>
                </c:pt>
                <c:pt idx="20">
                  <c:v>1189.4246824176626</c:v>
                </c:pt>
                <c:pt idx="21">
                  <c:v>970.95614934548394</c:v>
                </c:pt>
                <c:pt idx="22">
                  <c:v>864.54998975014234</c:v>
                </c:pt>
                <c:pt idx="23">
                  <c:v>805.23415081777966</c:v>
                </c:pt>
                <c:pt idx="24">
                  <c:v>768.07280241698027</c:v>
                </c:pt>
                <c:pt idx="25">
                  <c:v>752.15808660954224</c:v>
                </c:pt>
                <c:pt idx="26">
                  <c:v>716.87637382956348</c:v>
                </c:pt>
                <c:pt idx="27">
                  <c:v>692.79774393383821</c:v>
                </c:pt>
                <c:pt idx="28">
                  <c:v>690.34726084605563</c:v>
                </c:pt>
                <c:pt idx="29">
                  <c:v>689.9700026670298</c:v>
                </c:pt>
                <c:pt idx="30">
                  <c:v>689.67860110164133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9928.5076531064533</c:v>
                </c:pt>
                <c:pt idx="1">
                  <c:v>9401.4333049159341</c:v>
                </c:pt>
                <c:pt idx="2">
                  <c:v>9001.2725484770599</c:v>
                </c:pt>
                <c:pt idx="3">
                  <c:v>8600.7230554152193</c:v>
                </c:pt>
                <c:pt idx="4">
                  <c:v>8198.7775341595625</c:v>
                </c:pt>
                <c:pt idx="5">
                  <c:v>7730.7854254903914</c:v>
                </c:pt>
                <c:pt idx="6">
                  <c:v>7220.7063781861052</c:v>
                </c:pt>
                <c:pt idx="7">
                  <c:v>6640.8940525613862</c:v>
                </c:pt>
                <c:pt idx="8">
                  <c:v>5985.6534489985033</c:v>
                </c:pt>
                <c:pt idx="9">
                  <c:v>5209.9426784243851</c:v>
                </c:pt>
                <c:pt idx="10">
                  <c:v>4301.0481015210544</c:v>
                </c:pt>
                <c:pt idx="11">
                  <c:v>3320.5290570484913</c:v>
                </c:pt>
                <c:pt idx="12">
                  <c:v>2426.293198677296</c:v>
                </c:pt>
                <c:pt idx="13">
                  <c:v>1732.301165606061</c:v>
                </c:pt>
                <c:pt idx="14">
                  <c:v>1300.8746040137705</c:v>
                </c:pt>
                <c:pt idx="15">
                  <c:v>1062.3496338945868</c:v>
                </c:pt>
                <c:pt idx="16">
                  <c:v>935.81461459009836</c:v>
                </c:pt>
                <c:pt idx="17">
                  <c:v>853.86363046421491</c:v>
                </c:pt>
                <c:pt idx="18">
                  <c:v>802.02726828549987</c:v>
                </c:pt>
                <c:pt idx="19">
                  <c:v>772.76143982236204</c:v>
                </c:pt>
                <c:pt idx="20">
                  <c:v>723.56138734089245</c:v>
                </c:pt>
                <c:pt idx="21">
                  <c:v>702.66361507219881</c:v>
                </c:pt>
                <c:pt idx="22">
                  <c:v>696.34056321855132</c:v>
                </c:pt>
                <c:pt idx="23">
                  <c:v>695.97876000089161</c:v>
                </c:pt>
                <c:pt idx="24">
                  <c:v>693.14062492449705</c:v>
                </c:pt>
                <c:pt idx="25">
                  <c:v>690.82022881900275</c:v>
                </c:pt>
                <c:pt idx="26">
                  <c:v>690.48762156922339</c:v>
                </c:pt>
                <c:pt idx="27">
                  <c:v>690.18402337176065</c:v>
                </c:pt>
                <c:pt idx="28">
                  <c:v>689.92586805684232</c:v>
                </c:pt>
                <c:pt idx="29">
                  <c:v>689.82487612962518</c:v>
                </c:pt>
                <c:pt idx="30">
                  <c:v>689.75646807796227</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548344912"/>
        <c:axId val="5483484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834491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48440"/>
        <c:crosses val="autoZero"/>
        <c:crossBetween val="midCat"/>
      </c:valAx>
      <c:valAx>
        <c:axId val="54834844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44912"/>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17887.896349146788</c:v>
                </c:pt>
                <c:pt idx="1">
                  <c:v>17890.224072091831</c:v>
                </c:pt>
                <c:pt idx="2">
                  <c:v>17890.165364114393</c:v>
                </c:pt>
                <c:pt idx="3">
                  <c:v>17890.151098682742</c:v>
                </c:pt>
                <c:pt idx="4">
                  <c:v>17890.150001342783</c:v>
                </c:pt>
                <c:pt idx="5">
                  <c:v>17890.147806663277</c:v>
                </c:pt>
                <c:pt idx="6">
                  <c:v>17890.150001342779</c:v>
                </c:pt>
                <c:pt idx="7">
                  <c:v>17890.147806663284</c:v>
                </c:pt>
                <c:pt idx="8">
                  <c:v>17890.150001342783</c:v>
                </c:pt>
                <c:pt idx="9">
                  <c:v>17890.150550012742</c:v>
                </c:pt>
                <c:pt idx="10">
                  <c:v>17890.167558798203</c:v>
                </c:pt>
                <c:pt idx="11">
                  <c:v>17890.348622067453</c:v>
                </c:pt>
                <c:pt idx="12">
                  <c:v>17892.128723989717</c:v>
                </c:pt>
                <c:pt idx="13">
                  <c:v>17909.203083035532</c:v>
                </c:pt>
                <c:pt idx="14">
                  <c:v>18030.338238636232</c:v>
                </c:pt>
                <c:pt idx="15">
                  <c:v>18260.359354898443</c:v>
                </c:pt>
                <c:pt idx="16">
                  <c:v>18448.318275025311</c:v>
                </c:pt>
                <c:pt idx="17">
                  <c:v>18659.966395213218</c:v>
                </c:pt>
                <c:pt idx="18">
                  <c:v>18919.025274520449</c:v>
                </c:pt>
                <c:pt idx="19">
                  <c:v>19174.761648399253</c:v>
                </c:pt>
                <c:pt idx="20">
                  <c:v>19076.986706011034</c:v>
                </c:pt>
                <c:pt idx="21">
                  <c:v>18105.744895951731</c:v>
                </c:pt>
                <c:pt idx="22">
                  <c:v>16784.781171772425</c:v>
                </c:pt>
                <c:pt idx="23">
                  <c:v>15731.382066637958</c:v>
                </c:pt>
                <c:pt idx="24">
                  <c:v>15029.148604313825</c:v>
                </c:pt>
                <c:pt idx="25">
                  <c:v>14581.858742867964</c:v>
                </c:pt>
                <c:pt idx="26">
                  <c:v>14259.069613633399</c:v>
                </c:pt>
                <c:pt idx="27">
                  <c:v>13971.416716824058</c:v>
                </c:pt>
                <c:pt idx="28">
                  <c:v>13732.445275715132</c:v>
                </c:pt>
                <c:pt idx="29">
                  <c:v>13523.736727466689</c:v>
                </c:pt>
                <c:pt idx="30">
                  <c:v>13335.087468839225</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17798.636016276327</c:v>
                </c:pt>
                <c:pt idx="1">
                  <c:v>17800.978589979797</c:v>
                </c:pt>
                <c:pt idx="2">
                  <c:v>17800.919379849729</c:v>
                </c:pt>
                <c:pt idx="3">
                  <c:v>17800.907429229064</c:v>
                </c:pt>
                <c:pt idx="4">
                  <c:v>17800.917750218701</c:v>
                </c:pt>
                <c:pt idx="5">
                  <c:v>17801.037800503767</c:v>
                </c:pt>
                <c:pt idx="6">
                  <c:v>17802.232959511875</c:v>
                </c:pt>
                <c:pt idx="7">
                  <c:v>17813.800063852799</c:v>
                </c:pt>
                <c:pt idx="8">
                  <c:v>17902.570630116781</c:v>
                </c:pt>
                <c:pt idx="9">
                  <c:v>18127.325651718518</c:v>
                </c:pt>
                <c:pt idx="10">
                  <c:v>18307.326938510811</c:v>
                </c:pt>
                <c:pt idx="11">
                  <c:v>18502.151456603013</c:v>
                </c:pt>
                <c:pt idx="12">
                  <c:v>18749.636056171559</c:v>
                </c:pt>
                <c:pt idx="13">
                  <c:v>19049.686677284855</c:v>
                </c:pt>
                <c:pt idx="14">
                  <c:v>19444.120375771519</c:v>
                </c:pt>
                <c:pt idx="15">
                  <c:v>19950.966225294305</c:v>
                </c:pt>
                <c:pt idx="16">
                  <c:v>20574.974118152189</c:v>
                </c:pt>
                <c:pt idx="17">
                  <c:v>21219.216146392715</c:v>
                </c:pt>
                <c:pt idx="18">
                  <c:v>21389.333787031665</c:v>
                </c:pt>
                <c:pt idx="19">
                  <c:v>20124.158005229059</c:v>
                </c:pt>
                <c:pt idx="20">
                  <c:v>18047.082879835914</c:v>
                </c:pt>
                <c:pt idx="21">
                  <c:v>16231.68080909827</c:v>
                </c:pt>
                <c:pt idx="22">
                  <c:v>15003.193965663946</c:v>
                </c:pt>
                <c:pt idx="23">
                  <c:v>14247.705478271253</c:v>
                </c:pt>
                <c:pt idx="24">
                  <c:v>13766.894536305024</c:v>
                </c:pt>
                <c:pt idx="25">
                  <c:v>13447.969977061217</c:v>
                </c:pt>
                <c:pt idx="26">
                  <c:v>13199.030557603601</c:v>
                </c:pt>
                <c:pt idx="27">
                  <c:v>12954.434626833649</c:v>
                </c:pt>
                <c:pt idx="28">
                  <c:v>12755.64127346492</c:v>
                </c:pt>
                <c:pt idx="29">
                  <c:v>12544.368535483687</c:v>
                </c:pt>
                <c:pt idx="30">
                  <c:v>12326.565661378891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17742.097844506447</c:v>
                </c:pt>
                <c:pt idx="1">
                  <c:v>17744.455785348626</c:v>
                </c:pt>
                <c:pt idx="2">
                  <c:v>17744.465501210168</c:v>
                </c:pt>
                <c:pt idx="3">
                  <c:v>17745.156974013491</c:v>
                </c:pt>
                <c:pt idx="4">
                  <c:v>17752.014161278741</c:v>
                </c:pt>
                <c:pt idx="5">
                  <c:v>17812.36022068395</c:v>
                </c:pt>
                <c:pt idx="6">
                  <c:v>18022.373448129467</c:v>
                </c:pt>
                <c:pt idx="7">
                  <c:v>18201.152817336686</c:v>
                </c:pt>
                <c:pt idx="8">
                  <c:v>18382.274353091783</c:v>
                </c:pt>
                <c:pt idx="9">
                  <c:v>18613.635971057858</c:v>
                </c:pt>
                <c:pt idx="10">
                  <c:v>18890.403395497124</c:v>
                </c:pt>
                <c:pt idx="11">
                  <c:v>19253.675815518305</c:v>
                </c:pt>
                <c:pt idx="12">
                  <c:v>19721.705325716935</c:v>
                </c:pt>
                <c:pt idx="13">
                  <c:v>20313.485838859611</c:v>
                </c:pt>
                <c:pt idx="14">
                  <c:v>21004.697910734707</c:v>
                </c:pt>
                <c:pt idx="15">
                  <c:v>21880.71223343744</c:v>
                </c:pt>
                <c:pt idx="16">
                  <c:v>23154.671885068165</c:v>
                </c:pt>
                <c:pt idx="17">
                  <c:v>24111.567944951763</c:v>
                </c:pt>
                <c:pt idx="18">
                  <c:v>22407.887576426907</c:v>
                </c:pt>
                <c:pt idx="19">
                  <c:v>19215.064610654747</c:v>
                </c:pt>
                <c:pt idx="20">
                  <c:v>16769.174233157639</c:v>
                </c:pt>
                <c:pt idx="21">
                  <c:v>15192.356942256018</c:v>
                </c:pt>
                <c:pt idx="22">
                  <c:v>14246.46150459566</c:v>
                </c:pt>
                <c:pt idx="23">
                  <c:v>13666.648040977747</c:v>
                </c:pt>
                <c:pt idx="24">
                  <c:v>13307.46969565968</c:v>
                </c:pt>
                <c:pt idx="25">
                  <c:v>13026.128105494072</c:v>
                </c:pt>
                <c:pt idx="26">
                  <c:v>12786.503531340009</c:v>
                </c:pt>
                <c:pt idx="27">
                  <c:v>12596.389824290796</c:v>
                </c:pt>
                <c:pt idx="28">
                  <c:v>12567.368726562543</c:v>
                </c:pt>
                <c:pt idx="29">
                  <c:v>13091.656859145447</c:v>
                </c:pt>
                <c:pt idx="30">
                  <c:v>15746.4784575578</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17685.042669005619</c:v>
                </c:pt>
                <c:pt idx="1">
                  <c:v>17688.670543982822</c:v>
                </c:pt>
                <c:pt idx="2">
                  <c:v>17700.78227444068</c:v>
                </c:pt>
                <c:pt idx="3">
                  <c:v>17791.946267102245</c:v>
                </c:pt>
                <c:pt idx="4">
                  <c:v>18001.312244230281</c:v>
                </c:pt>
                <c:pt idx="5">
                  <c:v>18169.790063961402</c:v>
                </c:pt>
                <c:pt idx="6">
                  <c:v>18354.891940555735</c:v>
                </c:pt>
                <c:pt idx="7">
                  <c:v>18589.057796503643</c:v>
                </c:pt>
                <c:pt idx="8">
                  <c:v>18874.510969509851</c:v>
                </c:pt>
                <c:pt idx="9">
                  <c:v>19249.387195758627</c:v>
                </c:pt>
                <c:pt idx="10">
                  <c:v>19731.237988608878</c:v>
                </c:pt>
                <c:pt idx="11">
                  <c:v>20327.965588819865</c:v>
                </c:pt>
                <c:pt idx="12">
                  <c:v>21029.103016829111</c:v>
                </c:pt>
                <c:pt idx="13">
                  <c:v>21974.910303125034</c:v>
                </c:pt>
                <c:pt idx="14">
                  <c:v>23478.708802496651</c:v>
                </c:pt>
                <c:pt idx="15">
                  <c:v>25663.282193011033</c:v>
                </c:pt>
                <c:pt idx="16">
                  <c:v>27344.049075536772</c:v>
                </c:pt>
                <c:pt idx="17">
                  <c:v>25408.490486661882</c:v>
                </c:pt>
                <c:pt idx="18">
                  <c:v>21261.118425948283</c:v>
                </c:pt>
                <c:pt idx="19">
                  <c:v>17842.401938031515</c:v>
                </c:pt>
                <c:pt idx="20">
                  <c:v>15741.810559183754</c:v>
                </c:pt>
                <c:pt idx="21">
                  <c:v>14511.672878699197</c:v>
                </c:pt>
                <c:pt idx="22">
                  <c:v>13804.365090117459</c:v>
                </c:pt>
                <c:pt idx="23">
                  <c:v>13361.103049912273</c:v>
                </c:pt>
                <c:pt idx="24">
                  <c:v>13073.163924551845</c:v>
                </c:pt>
                <c:pt idx="25">
                  <c:v>12902.460458658872</c:v>
                </c:pt>
                <c:pt idx="26">
                  <c:v>12991.681797336068</c:v>
                </c:pt>
                <c:pt idx="27">
                  <c:v>13928.63524446146</c:v>
                </c:pt>
                <c:pt idx="28">
                  <c:v>18386.741037356907</c:v>
                </c:pt>
                <c:pt idx="29">
                  <c:v>66003.239816172267</c:v>
                </c:pt>
                <c:pt idx="30">
                  <c:v>-21172.163565247098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17682.361733025027</c:v>
                </c:pt>
                <c:pt idx="1">
                  <c:v>17927.525958186816</c:v>
                </c:pt>
                <c:pt idx="2">
                  <c:v>18092.250732335538</c:v>
                </c:pt>
                <c:pt idx="3">
                  <c:v>18273.160442504519</c:v>
                </c:pt>
                <c:pt idx="4">
                  <c:v>18500.183368531787</c:v>
                </c:pt>
                <c:pt idx="5">
                  <c:v>18779.056767468257</c:v>
                </c:pt>
                <c:pt idx="6">
                  <c:v>19144.73678092847</c:v>
                </c:pt>
                <c:pt idx="7">
                  <c:v>19614.538452817538</c:v>
                </c:pt>
                <c:pt idx="8">
                  <c:v>20192.39428661397</c:v>
                </c:pt>
                <c:pt idx="9">
                  <c:v>20873.567133984088</c:v>
                </c:pt>
                <c:pt idx="10">
                  <c:v>21806.095464095375</c:v>
                </c:pt>
                <c:pt idx="11">
                  <c:v>23292.087704426362</c:v>
                </c:pt>
                <c:pt idx="12">
                  <c:v>25516.013996189828</c:v>
                </c:pt>
                <c:pt idx="13">
                  <c:v>28337.924077033844</c:v>
                </c:pt>
                <c:pt idx="14">
                  <c:v>31873.090460384003</c:v>
                </c:pt>
                <c:pt idx="15">
                  <c:v>35639.156191045739</c:v>
                </c:pt>
                <c:pt idx="16">
                  <c:v>33384.392376874275</c:v>
                </c:pt>
                <c:pt idx="17">
                  <c:v>26034.472319182001</c:v>
                </c:pt>
                <c:pt idx="18">
                  <c:v>20355.82209662873</c:v>
                </c:pt>
                <c:pt idx="19">
                  <c:v>17195.408275737307</c:v>
                </c:pt>
                <c:pt idx="20">
                  <c:v>15440.023010045727</c:v>
                </c:pt>
                <c:pt idx="21">
                  <c:v>14512.649474069873</c:v>
                </c:pt>
                <c:pt idx="22">
                  <c:v>14123.339690450282</c:v>
                </c:pt>
                <c:pt idx="23">
                  <c:v>14318.572194527354</c:v>
                </c:pt>
                <c:pt idx="24">
                  <c:v>15828.991893113925</c:v>
                </c:pt>
                <c:pt idx="25">
                  <c:v>23134.21253916619</c:v>
                </c:pt>
                <c:pt idx="26">
                  <c:v>1045400.2389489568</c:v>
                </c:pt>
                <c:pt idx="27">
                  <c:v>-15991.636830841391</c:v>
                </c:pt>
                <c:pt idx="28">
                  <c:v>-8151.4910358053148</c:v>
                </c:pt>
                <c:pt idx="29">
                  <c:v>-6047.6907065828036</c:v>
                </c:pt>
                <c:pt idx="30">
                  <c:v>-5245.1288488380833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19384.159707753337</c:v>
                </c:pt>
                <c:pt idx="1">
                  <c:v>20071.601711522675</c:v>
                </c:pt>
                <c:pt idx="2">
                  <c:v>20754.902041013345</c:v>
                </c:pt>
                <c:pt idx="3">
                  <c:v>21727.388198464927</c:v>
                </c:pt>
                <c:pt idx="4">
                  <c:v>23267.175446668254</c:v>
                </c:pt>
                <c:pt idx="5">
                  <c:v>25463.225173555536</c:v>
                </c:pt>
                <c:pt idx="6">
                  <c:v>28153.363759880132</c:v>
                </c:pt>
                <c:pt idx="7">
                  <c:v>31874.00479111827</c:v>
                </c:pt>
                <c:pt idx="8">
                  <c:v>37505.293604297243</c:v>
                </c:pt>
                <c:pt idx="9">
                  <c:v>47143.590081365801</c:v>
                </c:pt>
                <c:pt idx="10">
                  <c:v>67796.268725813425</c:v>
                </c:pt>
                <c:pt idx="11">
                  <c:v>161949.31449168763</c:v>
                </c:pt>
                <c:pt idx="12">
                  <c:v>-182320.43911096553</c:v>
                </c:pt>
                <c:pt idx="13">
                  <c:v>-46936.117530183925</c:v>
                </c:pt>
                <c:pt idx="14">
                  <c:v>-25426.6648853472</c:v>
                </c:pt>
                <c:pt idx="15">
                  <c:v>-19927.078280395661</c:v>
                </c:pt>
                <c:pt idx="16">
                  <c:v>-17320.277011602957</c:v>
                </c:pt>
                <c:pt idx="17">
                  <c:v>-12795.439383689765</c:v>
                </c:pt>
                <c:pt idx="18">
                  <c:v>-8106.4477573720824</c:v>
                </c:pt>
                <c:pt idx="19">
                  <c:v>-5173.61697762321</c:v>
                </c:pt>
                <c:pt idx="20">
                  <c:v>-3911.1000259361867</c:v>
                </c:pt>
                <c:pt idx="21">
                  <c:v>-3548.9729880567934</c:v>
                </c:pt>
                <c:pt idx="22">
                  <c:v>-3598.7937254722879</c:v>
                </c:pt>
                <c:pt idx="23">
                  <c:v>-3801.2027439905219</c:v>
                </c:pt>
                <c:pt idx="24">
                  <c:v>-3897.6312758405943</c:v>
                </c:pt>
                <c:pt idx="25">
                  <c:v>-3801.6523719106594</c:v>
                </c:pt>
                <c:pt idx="26">
                  <c:v>-3813.639426929863</c:v>
                </c:pt>
                <c:pt idx="27">
                  <c:v>-3665.525222112492</c:v>
                </c:pt>
                <c:pt idx="28">
                  <c:v>-3542.225452731831</c:v>
                </c:pt>
                <c:pt idx="29">
                  <c:v>-3556.1765655889499</c:v>
                </c:pt>
                <c:pt idx="30">
                  <c:v>-3553.2468249709182</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27409.891352672657</c:v>
                </c:pt>
                <c:pt idx="1">
                  <c:v>31991.394863205656</c:v>
                </c:pt>
                <c:pt idx="2">
                  <c:v>37800.156190245332</c:v>
                </c:pt>
                <c:pt idx="3">
                  <c:v>48013.918000184509</c:v>
                </c:pt>
                <c:pt idx="4">
                  <c:v>70547.633056363571</c:v>
                </c:pt>
                <c:pt idx="5">
                  <c:v>203134.8937575481</c:v>
                </c:pt>
                <c:pt idx="6">
                  <c:v>-132990.74916348737</c:v>
                </c:pt>
                <c:pt idx="7">
                  <c:v>-39248.047774069455</c:v>
                </c:pt>
                <c:pt idx="8">
                  <c:v>-19065.74161867275</c:v>
                </c:pt>
                <c:pt idx="9">
                  <c:v>-10236.708978787085</c:v>
                </c:pt>
                <c:pt idx="10">
                  <c:v>-5531.5690915263876</c:v>
                </c:pt>
                <c:pt idx="11">
                  <c:v>-2944.9785120905003</c:v>
                </c:pt>
                <c:pt idx="12">
                  <c:v>-1624.6511003738688</c:v>
                </c:pt>
                <c:pt idx="13">
                  <c:v>-1022.2855026684425</c:v>
                </c:pt>
                <c:pt idx="14">
                  <c:v>-801.59586284923773</c:v>
                </c:pt>
                <c:pt idx="15">
                  <c:v>-772.35895881334068</c:v>
                </c:pt>
                <c:pt idx="16">
                  <c:v>-882.79775254825859</c:v>
                </c:pt>
                <c:pt idx="17">
                  <c:v>-1081.7555619389434</c:v>
                </c:pt>
                <c:pt idx="18">
                  <c:v>-1400.2878991920745</c:v>
                </c:pt>
                <c:pt idx="19">
                  <c:v>-1844.4410050011215</c:v>
                </c:pt>
                <c:pt idx="20">
                  <c:v>-2102.5726237595277</c:v>
                </c:pt>
                <c:pt idx="21">
                  <c:v>-2541.633961283937</c:v>
                </c:pt>
                <c:pt idx="22">
                  <c:v>-3071.3069727443426</c:v>
                </c:pt>
                <c:pt idx="23">
                  <c:v>-3075.1563826847623</c:v>
                </c:pt>
                <c:pt idx="24">
                  <c:v>-3428.8775363652135</c:v>
                </c:pt>
                <c:pt idx="25">
                  <c:v>-3710.4048125858671</c:v>
                </c:pt>
                <c:pt idx="26">
                  <c:v>-3703.4967781694272</c:v>
                </c:pt>
                <c:pt idx="27">
                  <c:v>-3693.1226143087497</c:v>
                </c:pt>
                <c:pt idx="28">
                  <c:v>-3684.8513025633579</c:v>
                </c:pt>
                <c:pt idx="29">
                  <c:v>-3689.0517271455119</c:v>
                </c:pt>
                <c:pt idx="30">
                  <c:v>-3695.1345108143387</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48357456"/>
        <c:axId val="44593443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4835745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934432"/>
        <c:crosses val="autoZero"/>
        <c:crossBetween val="midCat"/>
        <c:majorUnit val="10000"/>
      </c:valAx>
      <c:valAx>
        <c:axId val="445934432"/>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5745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0.35762364044906925</c:v>
                </c:pt>
                <c:pt idx="1">
                  <c:v>0.3576396542198636</c:v>
                </c:pt>
                <c:pt idx="2">
                  <c:v>0.35763969672525237</c:v>
                </c:pt>
                <c:pt idx="3">
                  <c:v>0.35763973859574127</c:v>
                </c:pt>
                <c:pt idx="4">
                  <c:v>0.35763977337205471</c:v>
                </c:pt>
                <c:pt idx="5">
                  <c:v>0.35763977455440282</c:v>
                </c:pt>
                <c:pt idx="6">
                  <c:v>0.35763979201848606</c:v>
                </c:pt>
                <c:pt idx="7">
                  <c:v>0.35763978076987968</c:v>
                </c:pt>
                <c:pt idx="8">
                  <c:v>0.35763979823396214</c:v>
                </c:pt>
                <c:pt idx="9">
                  <c:v>0.35763983367735386</c:v>
                </c:pt>
                <c:pt idx="10">
                  <c:v>0.35764026115031106</c:v>
                </c:pt>
                <c:pt idx="11">
                  <c:v>0.35764459202619342</c:v>
                </c:pt>
                <c:pt idx="12">
                  <c:v>0.35768744167758004</c:v>
                </c:pt>
                <c:pt idx="13">
                  <c:v>0.35809682046808339</c:v>
                </c:pt>
                <c:pt idx="14">
                  <c:v>0.36115847133926332</c:v>
                </c:pt>
                <c:pt idx="15">
                  <c:v>0.36629344606224856</c:v>
                </c:pt>
                <c:pt idx="16">
                  <c:v>0.37003292554379758</c:v>
                </c:pt>
                <c:pt idx="17">
                  <c:v>0.37388199301270603</c:v>
                </c:pt>
                <c:pt idx="18">
                  <c:v>0.37820505527967851</c:v>
                </c:pt>
                <c:pt idx="19">
                  <c:v>0.38266998975143934</c:v>
                </c:pt>
                <c:pt idx="20">
                  <c:v>0.38582454482225592</c:v>
                </c:pt>
                <c:pt idx="21">
                  <c:v>0.38517508907910197</c:v>
                </c:pt>
                <c:pt idx="22">
                  <c:v>0.38265812562912593</c:v>
                </c:pt>
                <c:pt idx="23">
                  <c:v>0.38122219493799325</c:v>
                </c:pt>
                <c:pt idx="24">
                  <c:v>0.38203196256336952</c:v>
                </c:pt>
                <c:pt idx="25">
                  <c:v>0.38524407537061056</c:v>
                </c:pt>
                <c:pt idx="26">
                  <c:v>0.3894191480116691</c:v>
                </c:pt>
                <c:pt idx="27">
                  <c:v>0.39283565596824449</c:v>
                </c:pt>
                <c:pt idx="28">
                  <c:v>0.39603034094338768</c:v>
                </c:pt>
                <c:pt idx="29">
                  <c:v>0.39942130103270651</c:v>
                </c:pt>
                <c:pt idx="30">
                  <c:v>0.40283123719216629</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0.35716789808006716</c:v>
                </c:pt>
                <c:pt idx="1">
                  <c:v>0.35718414887206806</c:v>
                </c:pt>
                <c:pt idx="2">
                  <c:v>0.35718419043640259</c:v>
                </c:pt>
                <c:pt idx="3">
                  <c:v>0.35718426883252391</c:v>
                </c:pt>
                <c:pt idx="4">
                  <c:v>0.35718460060115237</c:v>
                </c:pt>
                <c:pt idx="5">
                  <c:v>0.35718762387818875</c:v>
                </c:pt>
                <c:pt idx="6">
                  <c:v>0.35721754074598261</c:v>
                </c:pt>
                <c:pt idx="7">
                  <c:v>0.35750611414193423</c:v>
                </c:pt>
                <c:pt idx="8">
                  <c:v>0.35986347690731219</c:v>
                </c:pt>
                <c:pt idx="9">
                  <c:v>0.36518361903528196</c:v>
                </c:pt>
                <c:pt idx="10">
                  <c:v>0.36894732393618918</c:v>
                </c:pt>
                <c:pt idx="11">
                  <c:v>0.37266710171990614</c:v>
                </c:pt>
                <c:pt idx="12">
                  <c:v>0.37694362291624062</c:v>
                </c:pt>
                <c:pt idx="13">
                  <c:v>0.38158559120146346</c:v>
                </c:pt>
                <c:pt idx="14">
                  <c:v>0.38697927226864914</c:v>
                </c:pt>
                <c:pt idx="15">
                  <c:v>0.39300258140350192</c:v>
                </c:pt>
                <c:pt idx="16">
                  <c:v>0.39939571987822703</c:v>
                </c:pt>
                <c:pt idx="17">
                  <c:v>0.40544577845648766</c:v>
                </c:pt>
                <c:pt idx="18">
                  <c:v>0.40981741108972153</c:v>
                </c:pt>
                <c:pt idx="19">
                  <c:v>0.40977911465461908</c:v>
                </c:pt>
                <c:pt idx="20">
                  <c:v>0.40664671455258761</c:v>
                </c:pt>
                <c:pt idx="21">
                  <c:v>0.40316678831235681</c:v>
                </c:pt>
                <c:pt idx="22">
                  <c:v>0.4013288270820915</c:v>
                </c:pt>
                <c:pt idx="23">
                  <c:v>0.40196690816734976</c:v>
                </c:pt>
                <c:pt idx="24">
                  <c:v>0.40388920440278658</c:v>
                </c:pt>
                <c:pt idx="25">
                  <c:v>0.40688500145896506</c:v>
                </c:pt>
                <c:pt idx="26">
                  <c:v>0.41039885568848361</c:v>
                </c:pt>
                <c:pt idx="27">
                  <c:v>0.41492564282449457</c:v>
                </c:pt>
                <c:pt idx="28">
                  <c:v>0.42019374056070763</c:v>
                </c:pt>
                <c:pt idx="29">
                  <c:v>0.4264465625413823</c:v>
                </c:pt>
                <c:pt idx="30">
                  <c:v>0.433955210794156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0.35688010475744064</c:v>
                </c:pt>
                <c:pt idx="1">
                  <c:v>0.35689668111537481</c:v>
                </c:pt>
                <c:pt idx="2">
                  <c:v>0.3568985223644241</c:v>
                </c:pt>
                <c:pt idx="3">
                  <c:v>0.35691661774667655</c:v>
                </c:pt>
                <c:pt idx="4">
                  <c:v>0.3570924047719653</c:v>
                </c:pt>
                <c:pt idx="5">
                  <c:v>0.35861262145730638</c:v>
                </c:pt>
                <c:pt idx="6">
                  <c:v>0.36398062464605402</c:v>
                </c:pt>
                <c:pt idx="7">
                  <c:v>0.36788517440841889</c:v>
                </c:pt>
                <c:pt idx="8">
                  <c:v>0.37149393453289181</c:v>
                </c:pt>
                <c:pt idx="9">
                  <c:v>0.37567708000474614</c:v>
                </c:pt>
                <c:pt idx="10">
                  <c:v>0.38016321075083098</c:v>
                </c:pt>
                <c:pt idx="11">
                  <c:v>0.38538579943165097</c:v>
                </c:pt>
                <c:pt idx="12">
                  <c:v>0.39124866608074232</c:v>
                </c:pt>
                <c:pt idx="13">
                  <c:v>0.39761218809285848</c:v>
                </c:pt>
                <c:pt idx="14">
                  <c:v>0.40394346410847626</c:v>
                </c:pt>
                <c:pt idx="15">
                  <c:v>0.41075221417134605</c:v>
                </c:pt>
                <c:pt idx="16">
                  <c:v>0.41913939815824675</c:v>
                </c:pt>
                <c:pt idx="17">
                  <c:v>0.42643314052297376</c:v>
                </c:pt>
                <c:pt idx="18">
                  <c:v>0.42576600246308877</c:v>
                </c:pt>
                <c:pt idx="19">
                  <c:v>0.41902706287496805</c:v>
                </c:pt>
                <c:pt idx="20">
                  <c:v>0.41332358978859368</c:v>
                </c:pt>
                <c:pt idx="21">
                  <c:v>0.41011054507847361</c:v>
                </c:pt>
                <c:pt idx="22">
                  <c:v>0.40984867349596565</c:v>
                </c:pt>
                <c:pt idx="23">
                  <c:v>0.41158018464901114</c:v>
                </c:pt>
                <c:pt idx="24">
                  <c:v>0.41540312779906702</c:v>
                </c:pt>
                <c:pt idx="25">
                  <c:v>0.42016620524886755</c:v>
                </c:pt>
                <c:pt idx="26">
                  <c:v>0.42611313850052995</c:v>
                </c:pt>
                <c:pt idx="27">
                  <c:v>0.43337691232968134</c:v>
                </c:pt>
                <c:pt idx="28">
                  <c:v>0.44303039598954852</c:v>
                </c:pt>
                <c:pt idx="29">
                  <c:v>0.45604341357150596</c:v>
                </c:pt>
                <c:pt idx="30">
                  <c:v>0.47264590490692571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0.35659204759338153</c:v>
                </c:pt>
                <c:pt idx="1">
                  <c:v>0.35664181016558416</c:v>
                </c:pt>
                <c:pt idx="2">
                  <c:v>0.35696149523961357</c:v>
                </c:pt>
                <c:pt idx="3">
                  <c:v>0.35950801535735832</c:v>
                </c:pt>
                <c:pt idx="4">
                  <c:v>0.36469229031895872</c:v>
                </c:pt>
                <c:pt idx="5">
                  <c:v>0.36838174043188504</c:v>
                </c:pt>
                <c:pt idx="6">
                  <c:v>0.37208003351433799</c:v>
                </c:pt>
                <c:pt idx="7">
                  <c:v>0.37630912403688199</c:v>
                </c:pt>
                <c:pt idx="8">
                  <c:v>0.38092130730626911</c:v>
                </c:pt>
                <c:pt idx="9">
                  <c:v>0.38626986060362029</c:v>
                </c:pt>
                <c:pt idx="10">
                  <c:v>0.39223816004694234</c:v>
                </c:pt>
                <c:pt idx="11">
                  <c:v>0.39856882008760186</c:v>
                </c:pt>
                <c:pt idx="12">
                  <c:v>0.40490109150726161</c:v>
                </c:pt>
                <c:pt idx="13">
                  <c:v>0.41207465158254641</c:v>
                </c:pt>
                <c:pt idx="14">
                  <c:v>0.4212233536506389</c:v>
                </c:pt>
                <c:pt idx="15">
                  <c:v>0.43140716188840084</c:v>
                </c:pt>
                <c:pt idx="16">
                  <c:v>0.43868918652804295</c:v>
                </c:pt>
                <c:pt idx="17">
                  <c:v>0.43761308342883454</c:v>
                </c:pt>
                <c:pt idx="18">
                  <c:v>0.43039491966537452</c:v>
                </c:pt>
                <c:pt idx="19">
                  <c:v>0.42261678228077459</c:v>
                </c:pt>
                <c:pt idx="20">
                  <c:v>0.41804908491220133</c:v>
                </c:pt>
                <c:pt idx="21">
                  <c:v>0.41697889789640691</c:v>
                </c:pt>
                <c:pt idx="22">
                  <c:v>0.41918858635272149</c:v>
                </c:pt>
                <c:pt idx="23">
                  <c:v>0.42336078372377278</c:v>
                </c:pt>
                <c:pt idx="24">
                  <c:v>0.4293191109003564</c:v>
                </c:pt>
                <c:pt idx="25">
                  <c:v>0.43699248365496152</c:v>
                </c:pt>
                <c:pt idx="26">
                  <c:v>0.44736264187023572</c:v>
                </c:pt>
                <c:pt idx="27">
                  <c:v>0.4612547979164629</c:v>
                </c:pt>
                <c:pt idx="28">
                  <c:v>0.47839891779979143</c:v>
                </c:pt>
                <c:pt idx="29">
                  <c:v>0.49572609232495563</c:v>
                </c:pt>
                <c:pt idx="30">
                  <c:v>0.5097132295357425</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0.35812893349121266</c:v>
                </c:pt>
                <c:pt idx="1">
                  <c:v>0.36444511655828826</c:v>
                </c:pt>
                <c:pt idx="2">
                  <c:v>0.3681550743884221</c:v>
                </c:pt>
                <c:pt idx="3">
                  <c:v>0.37186745354381301</c:v>
                </c:pt>
                <c:pt idx="4">
                  <c:v>0.37607262405857356</c:v>
                </c:pt>
                <c:pt idx="5">
                  <c:v>0.38068981190816814</c:v>
                </c:pt>
                <c:pt idx="6">
                  <c:v>0.38602862199891669</c:v>
                </c:pt>
                <c:pt idx="7">
                  <c:v>0.39197778697218444</c:v>
                </c:pt>
                <c:pt idx="8">
                  <c:v>0.39824437448558647</c:v>
                </c:pt>
                <c:pt idx="9">
                  <c:v>0.4045365419077504</c:v>
                </c:pt>
                <c:pt idx="10">
                  <c:v>0.41176375515652824</c:v>
                </c:pt>
                <c:pt idx="11">
                  <c:v>0.42096534719393408</c:v>
                </c:pt>
                <c:pt idx="12">
                  <c:v>0.43130231966372867</c:v>
                </c:pt>
                <c:pt idx="13">
                  <c:v>0.4408418959010032</c:v>
                </c:pt>
                <c:pt idx="14">
                  <c:v>0.44953939942628196</c:v>
                </c:pt>
                <c:pt idx="15">
                  <c:v>0.45690427833600827</c:v>
                </c:pt>
                <c:pt idx="16">
                  <c:v>0.4565300381158745</c:v>
                </c:pt>
                <c:pt idx="17">
                  <c:v>0.44811873064193941</c:v>
                </c:pt>
                <c:pt idx="18">
                  <c:v>0.43875545438093122</c:v>
                </c:pt>
                <c:pt idx="19">
                  <c:v>0.43358006148680145</c:v>
                </c:pt>
                <c:pt idx="20">
                  <c:v>0.4327132914713831</c:v>
                </c:pt>
                <c:pt idx="21">
                  <c:v>0.43586316708030148</c:v>
                </c:pt>
                <c:pt idx="22">
                  <c:v>0.44238930427160728</c:v>
                </c:pt>
                <c:pt idx="23">
                  <c:v>0.45249639982639217</c:v>
                </c:pt>
                <c:pt idx="24">
                  <c:v>0.46629853645653235</c:v>
                </c:pt>
                <c:pt idx="25">
                  <c:v>0.48310616428650532</c:v>
                </c:pt>
                <c:pt idx="26">
                  <c:v>0.49973486504678405</c:v>
                </c:pt>
                <c:pt idx="27">
                  <c:v>0.51268491105741276</c:v>
                </c:pt>
                <c:pt idx="28">
                  <c:v>0.52011049064515702</c:v>
                </c:pt>
                <c:pt idx="29">
                  <c:v>0.52388340488079377</c:v>
                </c:pt>
                <c:pt idx="30">
                  <c:v>0.52568708149818655</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0.39078434949124302</c:v>
                </c:pt>
                <c:pt idx="1">
                  <c:v>0.3985505981624024</c:v>
                </c:pt>
                <c:pt idx="2">
                  <c:v>0.40496453915097924</c:v>
                </c:pt>
                <c:pt idx="3">
                  <c:v>0.41255543935510808</c:v>
                </c:pt>
                <c:pt idx="4">
                  <c:v>0.42203462414711757</c:v>
                </c:pt>
                <c:pt idx="5">
                  <c:v>0.43213035912181719</c:v>
                </c:pt>
                <c:pt idx="6">
                  <c:v>0.44118839612261734</c:v>
                </c:pt>
                <c:pt idx="7">
                  <c:v>0.45020190144712569</c:v>
                </c:pt>
                <c:pt idx="8">
                  <c:v>0.45945049377846842</c:v>
                </c:pt>
                <c:pt idx="9">
                  <c:v>0.46913896260451993</c:v>
                </c:pt>
                <c:pt idx="10">
                  <c:v>0.47952302278119963</c:v>
                </c:pt>
                <c:pt idx="11">
                  <c:v>0.49188883103551972</c:v>
                </c:pt>
                <c:pt idx="12">
                  <c:v>0.50674691163564767</c:v>
                </c:pt>
                <c:pt idx="13">
                  <c:v>0.52420203471542304</c:v>
                </c:pt>
                <c:pt idx="14">
                  <c:v>0.54024953637267237</c:v>
                </c:pt>
                <c:pt idx="15">
                  <c:v>0.54411431752784523</c:v>
                </c:pt>
                <c:pt idx="16">
                  <c:v>0.54101569328909038</c:v>
                </c:pt>
                <c:pt idx="17">
                  <c:v>0.54199351174932675</c:v>
                </c:pt>
                <c:pt idx="18">
                  <c:v>0.54730509729407284</c:v>
                </c:pt>
                <c:pt idx="19">
                  <c:v>0.55194490810300412</c:v>
                </c:pt>
                <c:pt idx="20">
                  <c:v>0.55068585455626617</c:v>
                </c:pt>
                <c:pt idx="21">
                  <c:v>0.54559798720235408</c:v>
                </c:pt>
                <c:pt idx="22">
                  <c:v>0.54003887856602484</c:v>
                </c:pt>
                <c:pt idx="23">
                  <c:v>0.53530611252323612</c:v>
                </c:pt>
                <c:pt idx="24">
                  <c:v>0.53284357207662114</c:v>
                </c:pt>
                <c:pt idx="25">
                  <c:v>0.53297505106669874</c:v>
                </c:pt>
                <c:pt idx="26">
                  <c:v>0.53132949454910749</c:v>
                </c:pt>
                <c:pt idx="27">
                  <c:v>0.53150061277960459</c:v>
                </c:pt>
                <c:pt idx="28">
                  <c:v>0.53248180510897214</c:v>
                </c:pt>
                <c:pt idx="29">
                  <c:v>0.5323366959777095</c:v>
                </c:pt>
                <c:pt idx="30">
                  <c:v>0.53234969006631871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0.43962941136005662</c:v>
                </c:pt>
                <c:pt idx="1">
                  <c:v>0.45102103057652321</c:v>
                </c:pt>
                <c:pt idx="2">
                  <c:v>0.46031201342496075</c:v>
                </c:pt>
                <c:pt idx="3">
                  <c:v>0.47014503497582316</c:v>
                </c:pt>
                <c:pt idx="4">
                  <c:v>0.48063063403887413</c:v>
                </c:pt>
                <c:pt idx="5">
                  <c:v>0.49365710039398952</c:v>
                </c:pt>
                <c:pt idx="6">
                  <c:v>0.50904913364727045</c:v>
                </c:pt>
                <c:pt idx="7">
                  <c:v>0.52820052813322738</c:v>
                </c:pt>
                <c:pt idx="8">
                  <c:v>0.55232468414390823</c:v>
                </c:pt>
                <c:pt idx="9">
                  <c:v>0.58482450576027634</c:v>
                </c:pt>
                <c:pt idx="10">
                  <c:v>0.62959096024880401</c:v>
                </c:pt>
                <c:pt idx="11">
                  <c:v>0.6879203896517514</c:v>
                </c:pt>
                <c:pt idx="12">
                  <c:v>0.74890402603149187</c:v>
                </c:pt>
                <c:pt idx="13">
                  <c:v>0.78242292410555969</c:v>
                </c:pt>
                <c:pt idx="14">
                  <c:v>0.77047598927425187</c:v>
                </c:pt>
                <c:pt idx="15">
                  <c:v>0.72924350173628905</c:v>
                </c:pt>
                <c:pt idx="16">
                  <c:v>0.6766759169713189</c:v>
                </c:pt>
                <c:pt idx="17">
                  <c:v>0.63155523307159245</c:v>
                </c:pt>
                <c:pt idx="18">
                  <c:v>0.59545980612846905</c:v>
                </c:pt>
                <c:pt idx="19">
                  <c:v>0.56982797116010153</c:v>
                </c:pt>
                <c:pt idx="20">
                  <c:v>0.55735524337855535</c:v>
                </c:pt>
                <c:pt idx="21">
                  <c:v>0.54607689553096517</c:v>
                </c:pt>
                <c:pt idx="22">
                  <c:v>0.5377874180491713</c:v>
                </c:pt>
                <c:pt idx="23">
                  <c:v>0.53772050769622259</c:v>
                </c:pt>
                <c:pt idx="24">
                  <c:v>0.53369132792356211</c:v>
                </c:pt>
                <c:pt idx="25">
                  <c:v>0.53103076634997293</c:v>
                </c:pt>
                <c:pt idx="26">
                  <c:v>0.53107367905377789</c:v>
                </c:pt>
                <c:pt idx="27">
                  <c:v>0.53114726549188529</c:v>
                </c:pt>
                <c:pt idx="28">
                  <c:v>0.53120550470955219</c:v>
                </c:pt>
                <c:pt idx="29">
                  <c:v>0.53116541084047963</c:v>
                </c:pt>
                <c:pt idx="30">
                  <c:v>0.53111102207778416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5937176"/>
        <c:axId val="4459352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59371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5935216"/>
        <c:crosses val="autoZero"/>
        <c:crossBetween val="midCat"/>
        <c:majorUnit val="10000"/>
      </c:valAx>
      <c:valAx>
        <c:axId val="445935216"/>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5937176"/>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5619.5329931741162</c:v>
                </c:pt>
                <c:pt idx="1">
                  <c:v>5619.5658717740425</c:v>
                </c:pt>
                <c:pt idx="2">
                  <c:v>5619.5453722286029</c:v>
                </c:pt>
                <c:pt idx="3">
                  <c:v>5619.5381902049257</c:v>
                </c:pt>
                <c:pt idx="4">
                  <c:v>5619.5270202096081</c:v>
                </c:pt>
                <c:pt idx="5">
                  <c:v>5619.4334394084344</c:v>
                </c:pt>
                <c:pt idx="6">
                  <c:v>5618.5096180858227</c:v>
                </c:pt>
                <c:pt idx="7">
                  <c:v>5609.604774269872</c:v>
                </c:pt>
                <c:pt idx="8">
                  <c:v>5534.6820731552771</c:v>
                </c:pt>
                <c:pt idx="9">
                  <c:v>5370.399425083704</c:v>
                </c:pt>
                <c:pt idx="10">
                  <c:v>5257.8155746015464</c:v>
                </c:pt>
                <c:pt idx="11">
                  <c:v>5148.9525022518937</c:v>
                </c:pt>
                <c:pt idx="12">
                  <c:v>5026.92102925375</c:v>
                </c:pt>
                <c:pt idx="13">
                  <c:v>4898.1924827249632</c:v>
                </c:pt>
                <c:pt idx="14">
                  <c:v>4753.3269146217463</c:v>
                </c:pt>
                <c:pt idx="15">
                  <c:v>4597.3394014710702</c:v>
                </c:pt>
                <c:pt idx="16">
                  <c:v>4437.480614548972</c:v>
                </c:pt>
                <c:pt idx="17">
                  <c:v>4282.6976933023134</c:v>
                </c:pt>
                <c:pt idx="18">
                  <c:v>4104.6708903026465</c:v>
                </c:pt>
                <c:pt idx="19">
                  <c:v>3863.6251591234022</c:v>
                </c:pt>
                <c:pt idx="20">
                  <c:v>3593.12923880173</c:v>
                </c:pt>
                <c:pt idx="21">
                  <c:v>3360.468185804395</c:v>
                </c:pt>
                <c:pt idx="22">
                  <c:v>3169.2406182554596</c:v>
                </c:pt>
                <c:pt idx="23">
                  <c:v>2988.8293612758935</c:v>
                </c:pt>
                <c:pt idx="24">
                  <c:v>2827.4607055264137</c:v>
                </c:pt>
                <c:pt idx="25">
                  <c:v>2670.1707037079254</c:v>
                </c:pt>
                <c:pt idx="26">
                  <c:v>2515.5612619665249</c:v>
                </c:pt>
                <c:pt idx="27">
                  <c:v>2336.7097855049965</c:v>
                </c:pt>
                <c:pt idx="28">
                  <c:v>2150.3686174171794</c:v>
                </c:pt>
                <c:pt idx="29">
                  <c:v>1940.5173332718871</c:v>
                </c:pt>
                <c:pt idx="30">
                  <c:v>1703.202634105066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5614.15966521874</c:v>
                </c:pt>
                <c:pt idx="1">
                  <c:v>5614.1868795733999</c:v>
                </c:pt>
                <c:pt idx="2">
                  <c:v>5614.1101001096886</c:v>
                </c:pt>
                <c:pt idx="3">
                  <c:v>5613.5440717227957</c:v>
                </c:pt>
                <c:pt idx="4">
                  <c:v>5608.0875082385601</c:v>
                </c:pt>
                <c:pt idx="5">
                  <c:v>5561.0618011761198</c:v>
                </c:pt>
                <c:pt idx="6">
                  <c:v>5391.7011748892737</c:v>
                </c:pt>
                <c:pt idx="7">
                  <c:v>5273.7806689105482</c:v>
                </c:pt>
                <c:pt idx="8">
                  <c:v>5167.1400623232676</c:v>
                </c:pt>
                <c:pt idx="9">
                  <c:v>5046.4639033804824</c:v>
                </c:pt>
                <c:pt idx="10">
                  <c:v>4920.6469341545144</c:v>
                </c:pt>
                <c:pt idx="11">
                  <c:v>4778.6212241451321</c:v>
                </c:pt>
                <c:pt idx="12">
                  <c:v>4624.8276392807802</c:v>
                </c:pt>
                <c:pt idx="13">
                  <c:v>4464.4431086830655</c:v>
                </c:pt>
                <c:pt idx="14">
                  <c:v>4311.3670250981177</c:v>
                </c:pt>
                <c:pt idx="15">
                  <c:v>4152.6891106145395</c:v>
                </c:pt>
                <c:pt idx="16">
                  <c:v>3957.9636218361616</c:v>
                </c:pt>
                <c:pt idx="17">
                  <c:v>3730.5898476111606</c:v>
                </c:pt>
                <c:pt idx="18">
                  <c:v>3500.0702814112506</c:v>
                </c:pt>
                <c:pt idx="19">
                  <c:v>3289.3669034465734</c:v>
                </c:pt>
                <c:pt idx="20">
                  <c:v>3085.2633506749817</c:v>
                </c:pt>
                <c:pt idx="21">
                  <c:v>2905.3736728917142</c:v>
                </c:pt>
                <c:pt idx="22">
                  <c:v>2732.9260794562178</c:v>
                </c:pt>
                <c:pt idx="23">
                  <c:v>2568.1909736158736</c:v>
                </c:pt>
                <c:pt idx="24">
                  <c:v>2386.1123895749793</c:v>
                </c:pt>
                <c:pt idx="25">
                  <c:v>2196.768027007945</c:v>
                </c:pt>
                <c:pt idx="26">
                  <c:v>1987.4046244520723</c:v>
                </c:pt>
                <c:pt idx="27">
                  <c:v>1756.4334468648422</c:v>
                </c:pt>
                <c:pt idx="28">
                  <c:v>1488.4468583518017</c:v>
                </c:pt>
                <c:pt idx="29">
                  <c:v>1185.6745633902476</c:v>
                </c:pt>
                <c:pt idx="30">
                  <c:v>877.46280556758461</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5939136"/>
        <c:axId val="44593874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593913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938744"/>
        <c:crosses val="autoZero"/>
        <c:crossBetween val="midCat"/>
        <c:majorUnit val="10000"/>
      </c:valAx>
      <c:valAx>
        <c:axId val="445938744"/>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939136"/>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1.0964990086610091E-2</c:v>
                </c:pt>
                <c:pt idx="1">
                  <c:v>1.4709339798317105E-2</c:v>
                </c:pt>
                <c:pt idx="2">
                  <c:v>3.9774022562346512E-3</c:v>
                </c:pt>
                <c:pt idx="3">
                  <c:v>6.6157840287132941E-4</c:v>
                </c:pt>
                <c:pt idx="4">
                  <c:v>9.347073875399E-5</c:v>
                </c:pt>
                <c:pt idx="5">
                  <c:v>1.234876468816084E-5</c:v>
                </c:pt>
                <c:pt idx="6">
                  <c:v>2.9406607665633784E-6</c:v>
                </c:pt>
                <c:pt idx="7">
                  <c:v>3.4733752804675946E-6</c:v>
                </c:pt>
                <c:pt idx="8">
                  <c:v>9.0413975920745678E-6</c:v>
                </c:pt>
                <c:pt idx="9">
                  <c:v>1.908239718421543E-5</c:v>
                </c:pt>
                <c:pt idx="10">
                  <c:v>3.2758888419336383E-5</c:v>
                </c:pt>
                <c:pt idx="11">
                  <c:v>5.1130904948262451E-5</c:v>
                </c:pt>
                <c:pt idx="12">
                  <c:v>6.7491922991847009E-5</c:v>
                </c:pt>
                <c:pt idx="13">
                  <c:v>7.3694951181864775E-5</c:v>
                </c:pt>
                <c:pt idx="14">
                  <c:v>7.0261506259065238E-5</c:v>
                </c:pt>
                <c:pt idx="15">
                  <c:v>5.7307315546353456E-5</c:v>
                </c:pt>
                <c:pt idx="16">
                  <c:v>3.9612271256483E-5</c:v>
                </c:pt>
                <c:pt idx="17">
                  <c:v>2.5049626174191295E-5</c:v>
                </c:pt>
                <c:pt idx="18">
                  <c:v>1.3260716966917314E-5</c:v>
                </c:pt>
                <c:pt idx="19">
                  <c:v>6.403547215838724E-6</c:v>
                </c:pt>
                <c:pt idx="20">
                  <c:v>3.728968820073313E-6</c:v>
                </c:pt>
                <c:pt idx="21">
                  <c:v>8.2807797218977624E-7</c:v>
                </c:pt>
                <c:pt idx="22">
                  <c:v>2.2050286442333048E-6</c:v>
                </c:pt>
                <c:pt idx="23">
                  <c:v>5.5044353620907781E-7</c:v>
                </c:pt>
                <c:pt idx="24">
                  <c:v>1.7481450271023667E-6</c:v>
                </c:pt>
                <c:pt idx="25">
                  <c:v>2.5495480843905443E-6</c:v>
                </c:pt>
                <c:pt idx="26">
                  <c:v>2.483677302249323E-6</c:v>
                </c:pt>
                <c:pt idx="27">
                  <c:v>7.556279703190178E-8</c:v>
                </c:pt>
                <c:pt idx="28">
                  <c:v>4.8599705303499039E-7</c:v>
                </c:pt>
                <c:pt idx="29">
                  <c:v>5.7034252312240682E-6</c:v>
                </c:pt>
                <c:pt idx="30">
                  <c:v>1.5401716703334278E-5</c:v>
                </c:pt>
              </c:numCache>
            </c:numRef>
          </c:yVal>
          <c:smooth val="1"/>
        </c:ser>
        <c:dLbls>
          <c:showLegendKey val="0"/>
          <c:showVal val="0"/>
          <c:showCatName val="0"/>
          <c:showSerName val="0"/>
          <c:showPercent val="0"/>
          <c:showBubbleSize val="0"/>
        </c:dLbls>
        <c:axId val="445939528"/>
        <c:axId val="445936392"/>
      </c:scatterChart>
      <c:valAx>
        <c:axId val="4459395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936392"/>
        <c:crossesAt val="-1.5000000000000005E-3"/>
        <c:crossBetween val="midCat"/>
      </c:valAx>
      <c:valAx>
        <c:axId val="44593639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939528"/>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5480.5737040012082</c:v>
                </c:pt>
                <c:pt idx="1">
                  <c:v>5421.7859668548208</c:v>
                </c:pt>
                <c:pt idx="2">
                  <c:v>5209.6810835962215</c:v>
                </c:pt>
                <c:pt idx="3">
                  <c:v>5123.5319798029914</c:v>
                </c:pt>
                <c:pt idx="4">
                  <c:v>4997.8427899816324</c:v>
                </c:pt>
                <c:pt idx="5">
                  <c:v>4868.3501035534082</c:v>
                </c:pt>
                <c:pt idx="6">
                  <c:v>4722.728480591386</c:v>
                </c:pt>
                <c:pt idx="7">
                  <c:v>4566.4806516975186</c:v>
                </c:pt>
                <c:pt idx="8">
                  <c:v>4408.3949232923869</c:v>
                </c:pt>
                <c:pt idx="9">
                  <c:v>4256.2814138160011</c:v>
                </c:pt>
                <c:pt idx="10">
                  <c:v>4088.5557667259673</c:v>
                </c:pt>
                <c:pt idx="11">
                  <c:v>3886.7440246501569</c:v>
                </c:pt>
                <c:pt idx="12">
                  <c:v>3673.7996778946977</c:v>
                </c:pt>
                <c:pt idx="13">
                  <c:v>3490.753726971785</c:v>
                </c:pt>
                <c:pt idx="14">
                  <c:v>3328.413736145686</c:v>
                </c:pt>
                <c:pt idx="15">
                  <c:v>3162.8361514556145</c:v>
                </c:pt>
                <c:pt idx="16">
                  <c:v>2988.9409901351491</c:v>
                </c:pt>
                <c:pt idx="17">
                  <c:v>2798.2553024943018</c:v>
                </c:pt>
                <c:pt idx="18">
                  <c:v>2599.4686017763279</c:v>
                </c:pt>
                <c:pt idx="19">
                  <c:v>2390.0833403170586</c:v>
                </c:pt>
                <c:pt idx="20">
                  <c:v>2175.3922297217846</c:v>
                </c:pt>
                <c:pt idx="21">
                  <c:v>1944.7422813876703</c:v>
                </c:pt>
                <c:pt idx="22">
                  <c:v>1692.3112587548044</c:v>
                </c:pt>
                <c:pt idx="23">
                  <c:v>1404.8587722554098</c:v>
                </c:pt>
                <c:pt idx="24">
                  <c:v>1091.4444347818292</c:v>
                </c:pt>
                <c:pt idx="25">
                  <c:v>790.55282550956781</c:v>
                </c:pt>
                <c:pt idx="26">
                  <c:v>554.44091118906067</c:v>
                </c:pt>
                <c:pt idx="27">
                  <c:v>402.30283395588475</c:v>
                </c:pt>
                <c:pt idx="28">
                  <c:v>323.52333378148859</c:v>
                </c:pt>
                <c:pt idx="29">
                  <c:v>284.34975040137738</c:v>
                </c:pt>
                <c:pt idx="30">
                  <c:v>264.93137868320946</c:v>
                </c:pt>
              </c:numCache>
            </c:numRef>
          </c:yVal>
          <c:smooth val="1"/>
        </c:ser>
        <c:dLbls>
          <c:showLegendKey val="0"/>
          <c:showVal val="0"/>
          <c:showCatName val="0"/>
          <c:showSerName val="0"/>
          <c:showPercent val="0"/>
          <c:showBubbleSize val="0"/>
        </c:dLbls>
        <c:axId val="445937960"/>
        <c:axId val="445933648"/>
      </c:scatterChart>
      <c:valAx>
        <c:axId val="4459379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933648"/>
        <c:crosses val="autoZero"/>
        <c:crossBetween val="midCat"/>
      </c:valAx>
      <c:valAx>
        <c:axId val="4459336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937960"/>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2.4243889674830659E-3</c:v>
                </c:pt>
                <c:pt idx="1">
                  <c:v>2.4302193187108038E-3</c:v>
                </c:pt>
                <c:pt idx="2">
                  <c:v>2.4266291153983558E-3</c:v>
                </c:pt>
                <c:pt idx="3">
                  <c:v>2.4256343291828401E-3</c:v>
                </c:pt>
                <c:pt idx="4">
                  <c:v>2.4265522361281273E-3</c:v>
                </c:pt>
                <c:pt idx="5">
                  <c:v>2.4389002881778149E-3</c:v>
                </c:pt>
                <c:pt idx="6">
                  <c:v>2.5633019205823088E-3</c:v>
                </c:pt>
                <c:pt idx="7">
                  <c:v>3.7700480021442208E-3</c:v>
                </c:pt>
                <c:pt idx="8">
                  <c:v>1.2768913191832503E-2</c:v>
                </c:pt>
                <c:pt idx="9">
                  <c:v>2.4802702309964921E-2</c:v>
                </c:pt>
                <c:pt idx="10">
                  <c:v>2.4847296381717149E-2</c:v>
                </c:pt>
                <c:pt idx="11">
                  <c:v>2.4831788922422601E-2</c:v>
                </c:pt>
                <c:pt idx="12">
                  <c:v>2.4678404337573262E-2</c:v>
                </c:pt>
                <c:pt idx="13">
                  <c:v>2.3238235825028538E-2</c:v>
                </c:pt>
                <c:pt idx="14">
                  <c:v>1.3108193884242612E-2</c:v>
                </c:pt>
                <c:pt idx="15">
                  <c:v>2.0422565027565249E-2</c:v>
                </c:pt>
                <c:pt idx="16">
                  <c:v>2.0665036133955726E-2</c:v>
                </c:pt>
                <c:pt idx="17">
                  <c:v>2.1471889383217851E-2</c:v>
                </c:pt>
                <c:pt idx="18">
                  <c:v>2.329402397298231E-2</c:v>
                </c:pt>
                <c:pt idx="19">
                  <c:v>2.5244518676907923E-2</c:v>
                </c:pt>
                <c:pt idx="20">
                  <c:v>2.3638667848083897E-2</c:v>
                </c:pt>
                <c:pt idx="21">
                  <c:v>1.2782199035591925E-2</c:v>
                </c:pt>
                <c:pt idx="22">
                  <c:v>4.094607727663957E-3</c:v>
                </c:pt>
                <c:pt idx="23">
                  <c:v>1.7359820599006679E-2</c:v>
                </c:pt>
                <c:pt idx="24">
                  <c:v>2.224760778440027E-2</c:v>
                </c:pt>
                <c:pt idx="25">
                  <c:v>2.5869566762250308E-2</c:v>
                </c:pt>
                <c:pt idx="26">
                  <c:v>3.4890880885469586E-2</c:v>
                </c:pt>
                <c:pt idx="27">
                  <c:v>4.2284376789588816E-2</c:v>
                </c:pt>
                <c:pt idx="28">
                  <c:v>4.1084399615469828E-2</c:v>
                </c:pt>
                <c:pt idx="29">
                  <c:v>3.6968759233222188E-2</c:v>
                </c:pt>
                <c:pt idx="30">
                  <c:v>2.2526353163829296E-2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2.1503856453804562E-2</c:v>
                </c:pt>
                <c:pt idx="1">
                  <c:v>2.1342831147391543E-2</c:v>
                </c:pt>
                <c:pt idx="2">
                  <c:v>1.9733530033566357E-2</c:v>
                </c:pt>
                <c:pt idx="3">
                  <c:v>6.5944814284660813E-3</c:v>
                </c:pt>
                <c:pt idx="4">
                  <c:v>1.1007410548957302E-2</c:v>
                </c:pt>
                <c:pt idx="5">
                  <c:v>8.0422573744550925E-3</c:v>
                </c:pt>
                <c:pt idx="6">
                  <c:v>3.0445171163142252E-3</c:v>
                </c:pt>
                <c:pt idx="7">
                  <c:v>4.4030957240810764E-3</c:v>
                </c:pt>
                <c:pt idx="8">
                  <c:v>4.6679907227388222E-3</c:v>
                </c:pt>
                <c:pt idx="9">
                  <c:v>5.2313149545664657E-3</c:v>
                </c:pt>
                <c:pt idx="10">
                  <c:v>5.6152362125459678E-3</c:v>
                </c:pt>
                <c:pt idx="11">
                  <c:v>5.6541087729465866E-3</c:v>
                </c:pt>
                <c:pt idx="12">
                  <c:v>5.7336753228375906E-3</c:v>
                </c:pt>
                <c:pt idx="13">
                  <c:v>6.9843105976495779E-3</c:v>
                </c:pt>
                <c:pt idx="14">
                  <c:v>8.1967662067082923E-3</c:v>
                </c:pt>
                <c:pt idx="15">
                  <c:v>7.883579904292148E-3</c:v>
                </c:pt>
                <c:pt idx="16">
                  <c:v>4.3828838800966724E-3</c:v>
                </c:pt>
                <c:pt idx="17">
                  <c:v>3.061394789551238E-3</c:v>
                </c:pt>
                <c:pt idx="18">
                  <c:v>1.5822224164237102E-2</c:v>
                </c:pt>
                <c:pt idx="19">
                  <c:v>2.2788864167857137E-2</c:v>
                </c:pt>
                <c:pt idx="20">
                  <c:v>2.1332096241760176E-2</c:v>
                </c:pt>
                <c:pt idx="21">
                  <c:v>1.4660227475082116E-2</c:v>
                </c:pt>
                <c:pt idx="22">
                  <c:v>8.9425811970611953E-3</c:v>
                </c:pt>
                <c:pt idx="23">
                  <c:v>2.2965002250269896E-3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1.0982727899538048E-2</c:v>
                </c:pt>
                <c:pt idx="1">
                  <c:v>1.4562728506535066E-2</c:v>
                </c:pt>
                <c:pt idx="2">
                  <c:v>4.1543914037003703E-3</c:v>
                </c:pt>
                <c:pt idx="3">
                  <c:v>5.5888761545934049E-4</c:v>
                </c:pt>
                <c:pt idx="4">
                  <c:v>2.5371359763566809E-4</c:v>
                </c:pt>
                <c:pt idx="5">
                  <c:v>1.583676484975602E-4</c:v>
                </c:pt>
                <c:pt idx="6">
                  <c:v>2.0837400136222825E-4</c:v>
                </c:pt>
                <c:pt idx="7">
                  <c:v>2.2291876196493763E-4</c:v>
                </c:pt>
                <c:pt idx="8">
                  <c:v>2.4373307236899119E-4</c:v>
                </c:pt>
                <c:pt idx="9">
                  <c:v>2.1704226437518746E-4</c:v>
                </c:pt>
                <c:pt idx="10">
                  <c:v>3.2398896406766613E-4</c:v>
                </c:pt>
                <c:pt idx="11">
                  <c:v>3.1097320813634435E-4</c:v>
                </c:pt>
                <c:pt idx="12">
                  <c:v>4.230573484636019E-4</c:v>
                </c:pt>
                <c:pt idx="13">
                  <c:v>2.0682477248560533E-4</c:v>
                </c:pt>
                <c:pt idx="14">
                  <c:v>3.6872114299796852E-4</c:v>
                </c:pt>
                <c:pt idx="15">
                  <c:v>2.4217428755049768E-4</c:v>
                </c:pt>
                <c:pt idx="16">
                  <c:v>3.8938513815511274E-4</c:v>
                </c:pt>
                <c:pt idx="17">
                  <c:v>3.4362809650666118E-4</c:v>
                </c:pt>
                <c:pt idx="18">
                  <c:v>4.3059506404672699E-4</c:v>
                </c:pt>
                <c:pt idx="19">
                  <c:v>4.3038786610274222E-4</c:v>
                </c:pt>
                <c:pt idx="20">
                  <c:v>5.4417693307887963E-4</c:v>
                </c:pt>
                <c:pt idx="21">
                  <c:v>5.3581498400714206E-4</c:v>
                </c:pt>
                <c:pt idx="22">
                  <c:v>1.0424380356007644E-3</c:v>
                </c:pt>
                <c:pt idx="23">
                  <c:v>1.3931618198407302E-3</c:v>
                </c:pt>
                <c:pt idx="24">
                  <c:v>1.8094469572971347E-3</c:v>
                </c:pt>
                <c:pt idx="25">
                  <c:v>2.2559617897940339E-3</c:v>
                </c:pt>
                <c:pt idx="26">
                  <c:v>2.156302739935596E-3</c:v>
                </c:pt>
                <c:pt idx="27">
                  <c:v>1.785516214622424E-3</c:v>
                </c:pt>
                <c:pt idx="28">
                  <c:v>9.0848739813436112E-4</c:v>
                </c:pt>
                <c:pt idx="29">
                  <c:v>6.8948688312320369E-4</c:v>
                </c:pt>
                <c:pt idx="30">
                  <c:v>2.5415622587408751E-4</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4.1154981901034288E-4</c:v>
                </c:pt>
                <c:pt idx="1">
                  <c:v>1.4387477617982222E-2</c:v>
                </c:pt>
                <c:pt idx="2">
                  <c:v>1.2937159436600841E-2</c:v>
                </c:pt>
                <c:pt idx="3">
                  <c:v>6.2405151558363936E-3</c:v>
                </c:pt>
                <c:pt idx="4">
                  <c:v>5.6138073631177027E-3</c:v>
                </c:pt>
                <c:pt idx="5">
                  <c:v>1.3807021694139275E-2</c:v>
                </c:pt>
                <c:pt idx="6">
                  <c:v>1.9795581581131271E-2</c:v>
                </c:pt>
                <c:pt idx="7">
                  <c:v>2.1929964967039996E-2</c:v>
                </c:pt>
                <c:pt idx="8">
                  <c:v>1.345173650265047E-2</c:v>
                </c:pt>
                <c:pt idx="9">
                  <c:v>1.2532843322743003E-2</c:v>
                </c:pt>
                <c:pt idx="10">
                  <c:v>4.1851678933118378E-3</c:v>
                </c:pt>
                <c:pt idx="11">
                  <c:v>2.8336854893117956E-2</c:v>
                </c:pt>
                <c:pt idx="12">
                  <c:v>3.7516421098900188E-2</c:v>
                </c:pt>
                <c:pt idx="13">
                  <c:v>4.3621024874182894E-2</c:v>
                </c:pt>
                <c:pt idx="14">
                  <c:v>1.8843156334417459E-2</c:v>
                </c:pt>
                <c:pt idx="15">
                  <c:v>1.5169237235107819E-2</c:v>
                </c:pt>
                <c:pt idx="16">
                  <c:v>7.9145190517418088E-3</c:v>
                </c:pt>
                <c:pt idx="17">
                  <c:v>4.5628635348174515E-4</c:v>
                </c:pt>
                <c:pt idx="18">
                  <c:v>7.7340264086025512E-2</c:v>
                </c:pt>
                <c:pt idx="19">
                  <c:v>9.0103230266568898E-2</c:v>
                </c:pt>
                <c:pt idx="20">
                  <c:v>3.5953890210538395E-2</c:v>
                </c:pt>
                <c:pt idx="21">
                  <c:v>1.4471644482367102E-2</c:v>
                </c:pt>
                <c:pt idx="22">
                  <c:v>1.0854661460290543E-2</c:v>
                </c:pt>
                <c:pt idx="23">
                  <c:v>1.0383517034964847E-2</c:v>
                </c:pt>
                <c:pt idx="24">
                  <c:v>8.9350704183832116E-3</c:v>
                </c:pt>
                <c:pt idx="25">
                  <c:v>7.3312009137757195E-3</c:v>
                </c:pt>
                <c:pt idx="26">
                  <c:v>6.8251967151288801E-3</c:v>
                </c:pt>
                <c:pt idx="27">
                  <c:v>6.3405639634154113E-3</c:v>
                </c:pt>
                <c:pt idx="28">
                  <c:v>5.9309488296197411E-3</c:v>
                </c:pt>
                <c:pt idx="29">
                  <c:v>5.8114478886242774E-3</c:v>
                </c:pt>
                <c:pt idx="30">
                  <c:v>5.7481653706093691E-3</c:v>
                </c:pt>
              </c:numCache>
            </c:numRef>
          </c:yVal>
          <c:smooth val="1"/>
        </c:ser>
        <c:dLbls>
          <c:showLegendKey val="0"/>
          <c:showVal val="0"/>
          <c:showCatName val="0"/>
          <c:showSerName val="0"/>
          <c:showPercent val="0"/>
          <c:showBubbleSize val="0"/>
        </c:dLbls>
        <c:axId val="445934824"/>
        <c:axId val="445935608"/>
      </c:scatterChart>
      <c:valAx>
        <c:axId val="44593482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935608"/>
        <c:crossesAt val="1.0000000000000005E-9"/>
        <c:crossBetween val="midCat"/>
      </c:valAx>
      <c:valAx>
        <c:axId val="445935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93482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-30.413945965899352</c:v>
                </c:pt>
                <c:pt idx="1">
                  <c:v>-17.933032284387114</c:v>
                </c:pt>
                <c:pt idx="2">
                  <c:v>-11.928921389382172</c:v>
                </c:pt>
                <c:pt idx="3">
                  <c:v>-6.7704218531652627</c:v>
                </c:pt>
                <c:pt idx="4">
                  <c:v>0</c:v>
                </c:pt>
                <c:pt idx="5">
                  <c:v>16.290464904619554</c:v>
                </c:pt>
                <c:pt idx="6">
                  <c:v>30.467850818974018</c:v>
                </c:pt>
              </c:numCache>
            </c:numRef>
          </c:yVal>
          <c:smooth val="0"/>
        </c:ser>
        <c:dLbls>
          <c:showLegendKey val="0"/>
          <c:showVal val="0"/>
          <c:showCatName val="0"/>
          <c:showSerName val="0"/>
          <c:showPercent val="0"/>
          <c:showBubbleSize val="0"/>
        </c:dLbls>
        <c:axId val="452969232"/>
        <c:axId val="452969624"/>
      </c:scatterChart>
      <c:valAx>
        <c:axId val="45296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69624"/>
        <c:crossesAt val="-100"/>
        <c:crossBetween val="midCat"/>
      </c:valAx>
      <c:valAx>
        <c:axId val="452969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69232"/>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ser>
        <c:dLbls>
          <c:showLegendKey val="0"/>
          <c:showVal val="0"/>
          <c:showCatName val="0"/>
          <c:showSerName val="0"/>
          <c:showPercent val="0"/>
          <c:showBubbleSize val="0"/>
        </c:dLbls>
        <c:axId val="452967272"/>
        <c:axId val="452970016"/>
      </c:scatterChart>
      <c:valAx>
        <c:axId val="45296727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70016"/>
        <c:crosses val="autoZero"/>
        <c:crossBetween val="midCat"/>
      </c:valAx>
      <c:valAx>
        <c:axId val="45297001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67272"/>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6.1857319154219809E-29</c:v>
                </c:pt>
                <c:pt idx="1">
                  <c:v>6.1857319154219802E-28</c:v>
                </c:pt>
                <c:pt idx="2">
                  <c:v>6.1857319154219806E-27</c:v>
                </c:pt>
                <c:pt idx="3">
                  <c:v>6.1857319154219799E-26</c:v>
                </c:pt>
                <c:pt idx="4">
                  <c:v>6.1857319154219796E-25</c:v>
                </c:pt>
                <c:pt idx="5">
                  <c:v>6.1857319154219802E-24</c:v>
                </c:pt>
                <c:pt idx="6">
                  <c:v>6.1857319154219809E-23</c:v>
                </c:pt>
                <c:pt idx="7">
                  <c:v>6.1857319154219802E-22</c:v>
                </c:pt>
                <c:pt idx="8">
                  <c:v>6.1857319154219798E-21</c:v>
                </c:pt>
                <c:pt idx="9">
                  <c:v>6.18573191542198E-20</c:v>
                </c:pt>
                <c:pt idx="10">
                  <c:v>6.1857319154219812E-19</c:v>
                </c:pt>
                <c:pt idx="11">
                  <c:v>6.1857319154219806E-18</c:v>
                </c:pt>
                <c:pt idx="12">
                  <c:v>6.1857319154219808E-17</c:v>
                </c:pt>
                <c:pt idx="13">
                  <c:v>6.1857319154219805E-16</c:v>
                </c:pt>
                <c:pt idx="14">
                  <c:v>6.1857319154219807E-15</c:v>
                </c:pt>
                <c:pt idx="15">
                  <c:v>6.1857319154219806E-14</c:v>
                </c:pt>
                <c:pt idx="16">
                  <c:v>6.1857319154219798E-13</c:v>
                </c:pt>
                <c:pt idx="17">
                  <c:v>6.1857319154219804E-12</c:v>
                </c:pt>
                <c:pt idx="18">
                  <c:v>6.1857319154219802E-11</c:v>
                </c:pt>
                <c:pt idx="19">
                  <c:v>6.1857319154219802E-10</c:v>
                </c:pt>
                <c:pt idx="20">
                  <c:v>6.1857319154219807E-9</c:v>
                </c:pt>
                <c:pt idx="21">
                  <c:v>6.1857319154219807E-8</c:v>
                </c:pt>
                <c:pt idx="22">
                  <c:v>6.1857319154219801E-7</c:v>
                </c:pt>
                <c:pt idx="23">
                  <c:v>6.1857319154219806E-6</c:v>
                </c:pt>
                <c:pt idx="24">
                  <c:v>6.1857319154219804E-5</c:v>
                </c:pt>
                <c:pt idx="25">
                  <c:v>6.1857319154219798E-4</c:v>
                </c:pt>
                <c:pt idx="26">
                  <c:v>6.1857319154219803E-3</c:v>
                </c:pt>
                <c:pt idx="27">
                  <c:v>6.1857319154219804E-2</c:v>
                </c:pt>
                <c:pt idx="28">
                  <c:v>0.61857319154219803</c:v>
                </c:pt>
                <c:pt idx="29">
                  <c:v>6.1857319154219805</c:v>
                </c:pt>
                <c:pt idx="30">
                  <c:v>61.857319154219802</c:v>
                </c:pt>
              </c:numCache>
            </c:numRef>
          </c:xVal>
          <c:yVal>
            <c:numRef>
              <c:f>'Mastercurve bestimmen'!$J$404:$J$434</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1.6284822719704427E-23</c:v>
                </c:pt>
                <c:pt idx="1">
                  <c:v>1.6284822719704427E-22</c:v>
                </c:pt>
                <c:pt idx="2">
                  <c:v>1.6284822719704426E-21</c:v>
                </c:pt>
                <c:pt idx="3">
                  <c:v>1.6284822719704425E-20</c:v>
                </c:pt>
                <c:pt idx="4">
                  <c:v>1.6284822719704425E-19</c:v>
                </c:pt>
                <c:pt idx="5">
                  <c:v>1.6284822719704426E-18</c:v>
                </c:pt>
                <c:pt idx="6">
                  <c:v>1.6284822719704428E-17</c:v>
                </c:pt>
                <c:pt idx="7">
                  <c:v>1.6284822719704428E-16</c:v>
                </c:pt>
                <c:pt idx="8">
                  <c:v>1.6284822719704426E-15</c:v>
                </c:pt>
                <c:pt idx="9">
                  <c:v>1.6284822719704427E-14</c:v>
                </c:pt>
                <c:pt idx="10">
                  <c:v>1.6284822719704428E-13</c:v>
                </c:pt>
                <c:pt idx="11">
                  <c:v>1.6284822719704428E-12</c:v>
                </c:pt>
                <c:pt idx="12">
                  <c:v>1.6284822719704427E-11</c:v>
                </c:pt>
                <c:pt idx="13">
                  <c:v>1.6284822719704427E-10</c:v>
                </c:pt>
                <c:pt idx="14">
                  <c:v>1.6284822719704428E-9</c:v>
                </c:pt>
                <c:pt idx="15">
                  <c:v>1.6284822719704426E-8</c:v>
                </c:pt>
                <c:pt idx="16">
                  <c:v>1.6284822719704427E-7</c:v>
                </c:pt>
                <c:pt idx="17">
                  <c:v>1.6284822719704426E-6</c:v>
                </c:pt>
                <c:pt idx="18">
                  <c:v>1.6284822719704428E-5</c:v>
                </c:pt>
                <c:pt idx="19">
                  <c:v>1.6284822719704427E-4</c:v>
                </c:pt>
                <c:pt idx="20">
                  <c:v>1.6284822719704426E-3</c:v>
                </c:pt>
                <c:pt idx="21">
                  <c:v>1.6284822719704425E-2</c:v>
                </c:pt>
                <c:pt idx="22">
                  <c:v>0.16284822719704425</c:v>
                </c:pt>
                <c:pt idx="23">
                  <c:v>1.6284822719704426</c:v>
                </c:pt>
                <c:pt idx="24">
                  <c:v>16.284822719704426</c:v>
                </c:pt>
                <c:pt idx="25">
                  <c:v>162.84822719704425</c:v>
                </c:pt>
                <c:pt idx="26">
                  <c:v>1628.4822719704425</c:v>
                </c:pt>
                <c:pt idx="27">
                  <c:v>16284.822719704427</c:v>
                </c:pt>
                <c:pt idx="28">
                  <c:v>162848.22719704427</c:v>
                </c:pt>
                <c:pt idx="29">
                  <c:v>1628482.2719704427</c:v>
                </c:pt>
                <c:pt idx="30">
                  <c:v>16284822.719704427</c:v>
                </c:pt>
              </c:numCache>
            </c:numRef>
          </c:xVal>
          <c:yVal>
            <c:numRef>
              <c:f>'Mastercurve bestimmen'!$K$404:$K$434</c:f>
              <c:numCache>
                <c:formatCode>0.00E+00</c:formatCode>
                <c:ptCount val="31"/>
                <c:pt idx="0">
                  <c:v>5619.5329931741162</c:v>
                </c:pt>
                <c:pt idx="1">
                  <c:v>5619.5658717740425</c:v>
                </c:pt>
                <c:pt idx="2">
                  <c:v>5619.5453722286029</c:v>
                </c:pt>
                <c:pt idx="3">
                  <c:v>5619.5381902049257</c:v>
                </c:pt>
                <c:pt idx="4">
                  <c:v>5619.5270202096081</c:v>
                </c:pt>
                <c:pt idx="5">
                  <c:v>5619.4334394084344</c:v>
                </c:pt>
                <c:pt idx="6">
                  <c:v>5618.5096180858227</c:v>
                </c:pt>
                <c:pt idx="7">
                  <c:v>5609.604774269872</c:v>
                </c:pt>
                <c:pt idx="8">
                  <c:v>5534.6820731552771</c:v>
                </c:pt>
                <c:pt idx="9">
                  <c:v>5370.399425083704</c:v>
                </c:pt>
                <c:pt idx="10">
                  <c:v>5257.8155746015464</c:v>
                </c:pt>
                <c:pt idx="11">
                  <c:v>5148.9525022518937</c:v>
                </c:pt>
                <c:pt idx="12">
                  <c:v>5026.92102925375</c:v>
                </c:pt>
                <c:pt idx="13">
                  <c:v>4898.1924827249632</c:v>
                </c:pt>
                <c:pt idx="14">
                  <c:v>4753.3269146217463</c:v>
                </c:pt>
                <c:pt idx="15">
                  <c:v>4597.3394014710702</c:v>
                </c:pt>
                <c:pt idx="16">
                  <c:v>4437.480614548972</c:v>
                </c:pt>
                <c:pt idx="17">
                  <c:v>4282.6976933023134</c:v>
                </c:pt>
                <c:pt idx="18">
                  <c:v>4104.6708903026465</c:v>
                </c:pt>
                <c:pt idx="19">
                  <c:v>3863.6251591234022</c:v>
                </c:pt>
                <c:pt idx="20">
                  <c:v>3593.12923880173</c:v>
                </c:pt>
                <c:pt idx="21">
                  <c:v>3360.468185804395</c:v>
                </c:pt>
                <c:pt idx="22">
                  <c:v>3169.2406182554596</c:v>
                </c:pt>
                <c:pt idx="23">
                  <c:v>2988.8293612758935</c:v>
                </c:pt>
                <c:pt idx="24">
                  <c:v>2827.4607055264137</c:v>
                </c:pt>
                <c:pt idx="25">
                  <c:v>2670.1707037079254</c:v>
                </c:pt>
                <c:pt idx="26">
                  <c:v>2515.5612619665249</c:v>
                </c:pt>
                <c:pt idx="27">
                  <c:v>2336.7097855049965</c:v>
                </c:pt>
                <c:pt idx="28">
                  <c:v>2150.3686174171794</c:v>
                </c:pt>
                <c:pt idx="29">
                  <c:v>1940.5173332718871</c:v>
                </c:pt>
                <c:pt idx="30">
                  <c:v>1703.202634105066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6.5968295907489954E-21</c:v>
                </c:pt>
                <c:pt idx="1">
                  <c:v>6.5968295907489951E-20</c:v>
                </c:pt>
                <c:pt idx="2">
                  <c:v>6.5968295907489951E-19</c:v>
                </c:pt>
                <c:pt idx="3">
                  <c:v>6.5968295907489944E-18</c:v>
                </c:pt>
                <c:pt idx="4">
                  <c:v>6.5968295907489945E-17</c:v>
                </c:pt>
                <c:pt idx="5">
                  <c:v>6.5968295907489953E-16</c:v>
                </c:pt>
                <c:pt idx="6">
                  <c:v>6.5968295907489954E-15</c:v>
                </c:pt>
                <c:pt idx="7">
                  <c:v>6.5968295907489953E-14</c:v>
                </c:pt>
                <c:pt idx="8">
                  <c:v>6.596829590748994E-13</c:v>
                </c:pt>
                <c:pt idx="9">
                  <c:v>6.5968295907489942E-12</c:v>
                </c:pt>
                <c:pt idx="10">
                  <c:v>6.5968295907489947E-11</c:v>
                </c:pt>
                <c:pt idx="11">
                  <c:v>6.596829590748995E-10</c:v>
                </c:pt>
                <c:pt idx="12">
                  <c:v>6.5968295907489946E-9</c:v>
                </c:pt>
                <c:pt idx="13">
                  <c:v>6.5968295907489947E-8</c:v>
                </c:pt>
                <c:pt idx="14">
                  <c:v>6.5968295907489955E-7</c:v>
                </c:pt>
                <c:pt idx="15">
                  <c:v>6.5968295907489949E-6</c:v>
                </c:pt>
                <c:pt idx="16">
                  <c:v>6.5968295907489947E-5</c:v>
                </c:pt>
                <c:pt idx="17">
                  <c:v>6.5968295907489944E-4</c:v>
                </c:pt>
                <c:pt idx="18">
                  <c:v>6.5968295907489951E-3</c:v>
                </c:pt>
                <c:pt idx="19">
                  <c:v>6.5968295907489941E-2</c:v>
                </c:pt>
                <c:pt idx="20">
                  <c:v>0.65968295907489949</c:v>
                </c:pt>
                <c:pt idx="21">
                  <c:v>6.5968295907489951</c:v>
                </c:pt>
                <c:pt idx="22">
                  <c:v>65.968295907489946</c:v>
                </c:pt>
                <c:pt idx="23">
                  <c:v>659.68295907489949</c:v>
                </c:pt>
                <c:pt idx="24">
                  <c:v>6596.8295907489946</c:v>
                </c:pt>
                <c:pt idx="25">
                  <c:v>65968.295907489941</c:v>
                </c:pt>
                <c:pt idx="26">
                  <c:v>659682.95907489944</c:v>
                </c:pt>
                <c:pt idx="27">
                  <c:v>6596829.5907489946</c:v>
                </c:pt>
                <c:pt idx="28">
                  <c:v>65968295.907489948</c:v>
                </c:pt>
                <c:pt idx="29">
                  <c:v>659682959.07489944</c:v>
                </c:pt>
                <c:pt idx="30">
                  <c:v>6596829590.7489948</c:v>
                </c:pt>
              </c:numCache>
            </c:numRef>
          </c:xVal>
          <c:yVal>
            <c:numRef>
              <c:f>'Mastercurve bestimmen'!$L$404:$L$434</c:f>
              <c:numCache>
                <c:formatCode>0.00E+00</c:formatCode>
                <c:ptCount val="31"/>
                <c:pt idx="0">
                  <c:v>5614.15966521874</c:v>
                </c:pt>
                <c:pt idx="1">
                  <c:v>5614.1868795733999</c:v>
                </c:pt>
                <c:pt idx="2">
                  <c:v>5614.1101001096886</c:v>
                </c:pt>
                <c:pt idx="3">
                  <c:v>5613.5440717227957</c:v>
                </c:pt>
                <c:pt idx="4">
                  <c:v>5608.0875082385601</c:v>
                </c:pt>
                <c:pt idx="5">
                  <c:v>5561.0618011761198</c:v>
                </c:pt>
                <c:pt idx="6">
                  <c:v>5391.7011748892737</c:v>
                </c:pt>
                <c:pt idx="7">
                  <c:v>5273.7806689105482</c:v>
                </c:pt>
                <c:pt idx="8">
                  <c:v>5167.1400623232676</c:v>
                </c:pt>
                <c:pt idx="9">
                  <c:v>5046.4639033804824</c:v>
                </c:pt>
                <c:pt idx="10">
                  <c:v>4920.6469341545144</c:v>
                </c:pt>
                <c:pt idx="11">
                  <c:v>4778.6212241451321</c:v>
                </c:pt>
                <c:pt idx="12">
                  <c:v>4624.8276392807802</c:v>
                </c:pt>
                <c:pt idx="13">
                  <c:v>4464.4431086830655</c:v>
                </c:pt>
                <c:pt idx="14">
                  <c:v>4311.3670250981177</c:v>
                </c:pt>
                <c:pt idx="15">
                  <c:v>4152.6891106145395</c:v>
                </c:pt>
                <c:pt idx="16">
                  <c:v>3957.9636218361616</c:v>
                </c:pt>
                <c:pt idx="17">
                  <c:v>3730.5898476111606</c:v>
                </c:pt>
                <c:pt idx="18">
                  <c:v>3500.0702814112506</c:v>
                </c:pt>
                <c:pt idx="19">
                  <c:v>3289.3669034465734</c:v>
                </c:pt>
                <c:pt idx="20">
                  <c:v>3085.2633506749817</c:v>
                </c:pt>
                <c:pt idx="21">
                  <c:v>2905.3736728917142</c:v>
                </c:pt>
                <c:pt idx="22">
                  <c:v>2732.9260794562178</c:v>
                </c:pt>
                <c:pt idx="23">
                  <c:v>2568.1909736158736</c:v>
                </c:pt>
                <c:pt idx="24">
                  <c:v>2386.1123895749793</c:v>
                </c:pt>
                <c:pt idx="25">
                  <c:v>2196.768027007945</c:v>
                </c:pt>
                <c:pt idx="26">
                  <c:v>1987.4046244520723</c:v>
                </c:pt>
                <c:pt idx="27">
                  <c:v>1756.4334468648422</c:v>
                </c:pt>
                <c:pt idx="28">
                  <c:v>1488.4468583518017</c:v>
                </c:pt>
                <c:pt idx="29">
                  <c:v>1185.6745633902476</c:v>
                </c:pt>
                <c:pt idx="30">
                  <c:v>877.46280556758461</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1.147210594387753E-18</c:v>
                </c:pt>
                <c:pt idx="1">
                  <c:v>1.1472105943877529E-17</c:v>
                </c:pt>
                <c:pt idx="2">
                  <c:v>1.1472105943877529E-16</c:v>
                </c:pt>
                <c:pt idx="3">
                  <c:v>1.1472105943877529E-15</c:v>
                </c:pt>
                <c:pt idx="4">
                  <c:v>1.1472105943877528E-14</c:v>
                </c:pt>
                <c:pt idx="5">
                  <c:v>1.147210594387753E-13</c:v>
                </c:pt>
                <c:pt idx="6">
                  <c:v>1.1472105943877529E-12</c:v>
                </c:pt>
                <c:pt idx="7">
                  <c:v>1.1472105943877528E-11</c:v>
                </c:pt>
                <c:pt idx="8">
                  <c:v>1.1472105943877528E-10</c:v>
                </c:pt>
                <c:pt idx="9">
                  <c:v>1.1472105943877528E-9</c:v>
                </c:pt>
                <c:pt idx="10">
                  <c:v>1.147210594387753E-8</c:v>
                </c:pt>
                <c:pt idx="11">
                  <c:v>1.147210594387753E-7</c:v>
                </c:pt>
                <c:pt idx="12">
                  <c:v>1.1472105943877529E-6</c:v>
                </c:pt>
                <c:pt idx="13">
                  <c:v>1.1472105943877529E-5</c:v>
                </c:pt>
                <c:pt idx="14">
                  <c:v>1.147210594387753E-4</c:v>
                </c:pt>
                <c:pt idx="15">
                  <c:v>1.1472105943877528E-3</c:v>
                </c:pt>
                <c:pt idx="16">
                  <c:v>1.147210594387753E-2</c:v>
                </c:pt>
                <c:pt idx="17">
                  <c:v>0.11472105943877529</c:v>
                </c:pt>
                <c:pt idx="18">
                  <c:v>1.1472105943877529</c:v>
                </c:pt>
                <c:pt idx="19">
                  <c:v>11.472105943877528</c:v>
                </c:pt>
                <c:pt idx="20">
                  <c:v>114.72105943877528</c:v>
                </c:pt>
                <c:pt idx="21">
                  <c:v>1147.210594387753</c:v>
                </c:pt>
                <c:pt idx="22">
                  <c:v>11472.105943877528</c:v>
                </c:pt>
                <c:pt idx="23">
                  <c:v>114721.05943877529</c:v>
                </c:pt>
                <c:pt idx="24">
                  <c:v>1147210.5943877529</c:v>
                </c:pt>
                <c:pt idx="25">
                  <c:v>11472105.943877529</c:v>
                </c:pt>
                <c:pt idx="26">
                  <c:v>114721059.43877529</c:v>
                </c:pt>
                <c:pt idx="27">
                  <c:v>1147210594.3877528</c:v>
                </c:pt>
                <c:pt idx="28">
                  <c:v>11472105943.877529</c:v>
                </c:pt>
                <c:pt idx="29">
                  <c:v>114721059438.77528</c:v>
                </c:pt>
                <c:pt idx="30">
                  <c:v>1147210594387.7529</c:v>
                </c:pt>
              </c:numCache>
            </c:numRef>
          </c:xVal>
          <c:yVal>
            <c:numRef>
              <c:f>'Mastercurve bestimmen'!$M$404:$M$434</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1.1881164685810612E-8</c:v>
                </c:pt>
                <c:pt idx="1">
                  <c:v>1.1881164685810611E-7</c:v>
                </c:pt>
                <c:pt idx="2">
                  <c:v>1.1881164685810611E-6</c:v>
                </c:pt>
                <c:pt idx="3">
                  <c:v>1.1881164685810611E-5</c:v>
                </c:pt>
                <c:pt idx="4">
                  <c:v>1.188116468581061E-4</c:v>
                </c:pt>
                <c:pt idx="5">
                  <c:v>1.1881164685810612E-3</c:v>
                </c:pt>
                <c:pt idx="6">
                  <c:v>1.1881164685810611E-2</c:v>
                </c:pt>
                <c:pt idx="7">
                  <c:v>0.11881164685810611</c:v>
                </c:pt>
                <c:pt idx="8">
                  <c:v>1.188116468581061</c:v>
                </c:pt>
                <c:pt idx="9">
                  <c:v>11.88116468581061</c:v>
                </c:pt>
                <c:pt idx="10">
                  <c:v>118.81164685810612</c:v>
                </c:pt>
                <c:pt idx="11">
                  <c:v>1188.1164685810611</c:v>
                </c:pt>
                <c:pt idx="12">
                  <c:v>11881.164685810611</c:v>
                </c:pt>
                <c:pt idx="13">
                  <c:v>118811.64685810612</c:v>
                </c:pt>
                <c:pt idx="14">
                  <c:v>1188116.4685810611</c:v>
                </c:pt>
                <c:pt idx="15">
                  <c:v>11881164.685810611</c:v>
                </c:pt>
                <c:pt idx="16">
                  <c:v>118811646.85810611</c:v>
                </c:pt>
                <c:pt idx="17">
                  <c:v>1188116468.5810611</c:v>
                </c:pt>
                <c:pt idx="18">
                  <c:v>11881164685.810612</c:v>
                </c:pt>
                <c:pt idx="19">
                  <c:v>118811646858.10611</c:v>
                </c:pt>
                <c:pt idx="20">
                  <c:v>1188116468581.061</c:v>
                </c:pt>
                <c:pt idx="21">
                  <c:v>11881164685810.611</c:v>
                </c:pt>
                <c:pt idx="22">
                  <c:v>118811646858106.11</c:v>
                </c:pt>
                <c:pt idx="23">
                  <c:v>1188116468581061</c:v>
                </c:pt>
                <c:pt idx="24">
                  <c:v>1.1881164685810612E+16</c:v>
                </c:pt>
                <c:pt idx="25">
                  <c:v>1.1881164685810611E+17</c:v>
                </c:pt>
                <c:pt idx="26">
                  <c:v>1.1881164685810611E+18</c:v>
                </c:pt>
                <c:pt idx="27">
                  <c:v>1.188116468581061E+19</c:v>
                </c:pt>
                <c:pt idx="28">
                  <c:v>1.1881164685810611E+20</c:v>
                </c:pt>
                <c:pt idx="29">
                  <c:v>1.1881164685810611E+21</c:v>
                </c:pt>
                <c:pt idx="30">
                  <c:v>1.188116468581061E+22</c:v>
                </c:pt>
              </c:numCache>
            </c:numRef>
          </c:xVal>
          <c:yVal>
            <c:numRef>
              <c:f>'Mastercurve bestimmen'!$O$404:$O$434</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1.7061589400385737E-2</c:v>
                </c:pt>
                <c:pt idx="1">
                  <c:v>0.17061589400385738</c:v>
                </c:pt>
                <c:pt idx="2">
                  <c:v>1.7061589400385737</c:v>
                </c:pt>
                <c:pt idx="3">
                  <c:v>17.061589400385738</c:v>
                </c:pt>
                <c:pt idx="4">
                  <c:v>170.61589400385736</c:v>
                </c:pt>
                <c:pt idx="5">
                  <c:v>1706.1589400385737</c:v>
                </c:pt>
                <c:pt idx="6">
                  <c:v>17061.589400385739</c:v>
                </c:pt>
                <c:pt idx="7">
                  <c:v>170615.89400385736</c:v>
                </c:pt>
                <c:pt idx="8">
                  <c:v>1706158.9400385737</c:v>
                </c:pt>
                <c:pt idx="9">
                  <c:v>17061589.400385737</c:v>
                </c:pt>
                <c:pt idx="10">
                  <c:v>170615894.00385737</c:v>
                </c:pt>
                <c:pt idx="11">
                  <c:v>1706158940.0385737</c:v>
                </c:pt>
                <c:pt idx="12">
                  <c:v>17061589400.385738</c:v>
                </c:pt>
                <c:pt idx="13">
                  <c:v>170615894003.85736</c:v>
                </c:pt>
                <c:pt idx="14">
                  <c:v>1706158940038.5737</c:v>
                </c:pt>
                <c:pt idx="15">
                  <c:v>17061589400385.736</c:v>
                </c:pt>
                <c:pt idx="16">
                  <c:v>170615894003857.37</c:v>
                </c:pt>
                <c:pt idx="17">
                  <c:v>1706158940038573.7</c:v>
                </c:pt>
                <c:pt idx="18">
                  <c:v>1.7061589400385738E+16</c:v>
                </c:pt>
                <c:pt idx="19">
                  <c:v>1.7061589400385738E+17</c:v>
                </c:pt>
                <c:pt idx="20">
                  <c:v>1.7061589400385738E+18</c:v>
                </c:pt>
                <c:pt idx="21">
                  <c:v>1.7061589400385737E+19</c:v>
                </c:pt>
                <c:pt idx="22">
                  <c:v>1.7061589400385736E+20</c:v>
                </c:pt>
                <c:pt idx="23">
                  <c:v>1.7061589400385736E+21</c:v>
                </c:pt>
                <c:pt idx="24">
                  <c:v>1.7061589400385736E+22</c:v>
                </c:pt>
                <c:pt idx="25">
                  <c:v>1.7061589400385737E+23</c:v>
                </c:pt>
                <c:pt idx="26">
                  <c:v>1.7061589400385737E+24</c:v>
                </c:pt>
                <c:pt idx="27">
                  <c:v>1.7061589400385736E+25</c:v>
                </c:pt>
                <c:pt idx="28">
                  <c:v>1.7061589400385736E+26</c:v>
                </c:pt>
                <c:pt idx="29">
                  <c:v>1.7061589400385738E+27</c:v>
                </c:pt>
                <c:pt idx="30">
                  <c:v>1.7061589400385738E+28</c:v>
                </c:pt>
              </c:numCache>
            </c:numRef>
          </c:xVal>
          <c:yVal>
            <c:numRef>
              <c:f>'Mastercurve bestimmen'!$P$404:$P$434</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1"/>
        </c:ser>
        <c:dLbls>
          <c:showLegendKey val="0"/>
          <c:showVal val="0"/>
          <c:showCatName val="0"/>
          <c:showSerName val="0"/>
          <c:showPercent val="0"/>
          <c:showBubbleSize val="0"/>
        </c:dLbls>
        <c:axId val="452968056"/>
        <c:axId val="452973152"/>
      </c:scatterChart>
      <c:valAx>
        <c:axId val="45296805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73152"/>
        <c:crosses val="autoZero"/>
        <c:crossBetween val="midCat"/>
      </c:valAx>
      <c:valAx>
        <c:axId val="452973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68056"/>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SJM6 CTU @Tref 80°C E+-15</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6.1857319154219809E-29</c:v>
                </c:pt>
                <c:pt idx="1">
                  <c:v>6.1857319154219802E-28</c:v>
                </c:pt>
                <c:pt idx="2">
                  <c:v>6.1857319154219806E-27</c:v>
                </c:pt>
                <c:pt idx="3">
                  <c:v>6.1857319154219799E-26</c:v>
                </c:pt>
                <c:pt idx="4">
                  <c:v>6.1857319154219796E-25</c:v>
                </c:pt>
                <c:pt idx="5">
                  <c:v>6.1857319154219802E-24</c:v>
                </c:pt>
                <c:pt idx="6">
                  <c:v>6.1857319154219809E-23</c:v>
                </c:pt>
                <c:pt idx="7">
                  <c:v>6.1857319154219802E-22</c:v>
                </c:pt>
                <c:pt idx="8">
                  <c:v>6.1857319154219798E-21</c:v>
                </c:pt>
                <c:pt idx="9">
                  <c:v>6.18573191542198E-20</c:v>
                </c:pt>
                <c:pt idx="10">
                  <c:v>6.1857319154219812E-19</c:v>
                </c:pt>
                <c:pt idx="11">
                  <c:v>6.1857319154219806E-18</c:v>
                </c:pt>
                <c:pt idx="12">
                  <c:v>6.1857319154219808E-17</c:v>
                </c:pt>
                <c:pt idx="13">
                  <c:v>6.1857319154219805E-16</c:v>
                </c:pt>
                <c:pt idx="14">
                  <c:v>6.1857319154219807E-15</c:v>
                </c:pt>
                <c:pt idx="15">
                  <c:v>6.1857319154219806E-14</c:v>
                </c:pt>
                <c:pt idx="16">
                  <c:v>6.1857319154219798E-13</c:v>
                </c:pt>
                <c:pt idx="17">
                  <c:v>6.1857319154219804E-12</c:v>
                </c:pt>
                <c:pt idx="18">
                  <c:v>6.1857319154219802E-11</c:v>
                </c:pt>
                <c:pt idx="19">
                  <c:v>6.1857319154219802E-10</c:v>
                </c:pt>
                <c:pt idx="20">
                  <c:v>6.1857319154219807E-9</c:v>
                </c:pt>
                <c:pt idx="21">
                  <c:v>6.1857319154219807E-8</c:v>
                </c:pt>
                <c:pt idx="22">
                  <c:v>6.1857319154219801E-7</c:v>
                </c:pt>
                <c:pt idx="23">
                  <c:v>6.1857319154219806E-6</c:v>
                </c:pt>
                <c:pt idx="24">
                  <c:v>6.1857319154219804E-5</c:v>
                </c:pt>
                <c:pt idx="25">
                  <c:v>6.1857319154219798E-4</c:v>
                </c:pt>
                <c:pt idx="26">
                  <c:v>6.1857319154219803E-3</c:v>
                </c:pt>
                <c:pt idx="27">
                  <c:v>6.1857319154219804E-2</c:v>
                </c:pt>
                <c:pt idx="28">
                  <c:v>0.61857319154219803</c:v>
                </c:pt>
                <c:pt idx="29">
                  <c:v>6.1857319154219805</c:v>
                </c:pt>
                <c:pt idx="30">
                  <c:v>61.857319154219802</c:v>
                </c:pt>
              </c:numCache>
            </c:numRef>
          </c:xVal>
          <c:yVal>
            <c:numRef>
              <c:f>'Mastercurve bestimmen'!$J$404:$J$434</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1.6284822719704427E-23</c:v>
                </c:pt>
                <c:pt idx="1">
                  <c:v>1.6284822719704427E-22</c:v>
                </c:pt>
                <c:pt idx="2">
                  <c:v>1.6284822719704426E-21</c:v>
                </c:pt>
                <c:pt idx="3">
                  <c:v>1.6284822719704425E-20</c:v>
                </c:pt>
                <c:pt idx="4">
                  <c:v>1.6284822719704425E-19</c:v>
                </c:pt>
                <c:pt idx="5">
                  <c:v>1.6284822719704426E-18</c:v>
                </c:pt>
                <c:pt idx="6">
                  <c:v>1.6284822719704428E-17</c:v>
                </c:pt>
                <c:pt idx="7">
                  <c:v>1.6284822719704428E-16</c:v>
                </c:pt>
                <c:pt idx="8">
                  <c:v>1.6284822719704426E-15</c:v>
                </c:pt>
                <c:pt idx="9">
                  <c:v>1.6284822719704427E-14</c:v>
                </c:pt>
                <c:pt idx="10">
                  <c:v>1.6284822719704428E-13</c:v>
                </c:pt>
                <c:pt idx="11">
                  <c:v>1.6284822719704428E-12</c:v>
                </c:pt>
                <c:pt idx="12">
                  <c:v>1.6284822719704427E-11</c:v>
                </c:pt>
                <c:pt idx="13">
                  <c:v>1.6284822719704427E-10</c:v>
                </c:pt>
                <c:pt idx="14">
                  <c:v>1.6284822719704428E-9</c:v>
                </c:pt>
                <c:pt idx="15">
                  <c:v>1.6284822719704426E-8</c:v>
                </c:pt>
                <c:pt idx="16">
                  <c:v>1.6284822719704427E-7</c:v>
                </c:pt>
                <c:pt idx="17">
                  <c:v>1.6284822719704426E-6</c:v>
                </c:pt>
                <c:pt idx="18">
                  <c:v>1.6284822719704428E-5</c:v>
                </c:pt>
                <c:pt idx="19">
                  <c:v>1.6284822719704427E-4</c:v>
                </c:pt>
                <c:pt idx="20">
                  <c:v>1.6284822719704426E-3</c:v>
                </c:pt>
                <c:pt idx="21">
                  <c:v>1.6284822719704425E-2</c:v>
                </c:pt>
                <c:pt idx="22">
                  <c:v>0.16284822719704425</c:v>
                </c:pt>
                <c:pt idx="23">
                  <c:v>1.6284822719704426</c:v>
                </c:pt>
                <c:pt idx="24">
                  <c:v>16.284822719704426</c:v>
                </c:pt>
                <c:pt idx="25">
                  <c:v>162.84822719704425</c:v>
                </c:pt>
                <c:pt idx="26">
                  <c:v>1628.4822719704425</c:v>
                </c:pt>
                <c:pt idx="27">
                  <c:v>16284.822719704427</c:v>
                </c:pt>
                <c:pt idx="28">
                  <c:v>162848.22719704427</c:v>
                </c:pt>
                <c:pt idx="29">
                  <c:v>1628482.2719704427</c:v>
                </c:pt>
                <c:pt idx="30">
                  <c:v>16284822.719704427</c:v>
                </c:pt>
              </c:numCache>
            </c:numRef>
          </c:xVal>
          <c:yVal>
            <c:numRef>
              <c:f>'Mastercurve bestimmen'!$K$404:$K$434</c:f>
              <c:numCache>
                <c:formatCode>0.00E+00</c:formatCode>
                <c:ptCount val="31"/>
                <c:pt idx="0">
                  <c:v>5619.5329931741162</c:v>
                </c:pt>
                <c:pt idx="1">
                  <c:v>5619.5658717740425</c:v>
                </c:pt>
                <c:pt idx="2">
                  <c:v>5619.5453722286029</c:v>
                </c:pt>
                <c:pt idx="3">
                  <c:v>5619.5381902049257</c:v>
                </c:pt>
                <c:pt idx="4">
                  <c:v>5619.5270202096081</c:v>
                </c:pt>
                <c:pt idx="5">
                  <c:v>5619.4334394084344</c:v>
                </c:pt>
                <c:pt idx="6">
                  <c:v>5618.5096180858227</c:v>
                </c:pt>
                <c:pt idx="7">
                  <c:v>5609.604774269872</c:v>
                </c:pt>
                <c:pt idx="8">
                  <c:v>5534.6820731552771</c:v>
                </c:pt>
                <c:pt idx="9">
                  <c:v>5370.399425083704</c:v>
                </c:pt>
                <c:pt idx="10">
                  <c:v>5257.8155746015464</c:v>
                </c:pt>
                <c:pt idx="11">
                  <c:v>5148.9525022518937</c:v>
                </c:pt>
                <c:pt idx="12">
                  <c:v>5026.92102925375</c:v>
                </c:pt>
                <c:pt idx="13">
                  <c:v>4898.1924827249632</c:v>
                </c:pt>
                <c:pt idx="14">
                  <c:v>4753.3269146217463</c:v>
                </c:pt>
                <c:pt idx="15">
                  <c:v>4597.3394014710702</c:v>
                </c:pt>
                <c:pt idx="16">
                  <c:v>4437.480614548972</c:v>
                </c:pt>
                <c:pt idx="17">
                  <c:v>4282.6976933023134</c:v>
                </c:pt>
                <c:pt idx="18">
                  <c:v>4104.6708903026465</c:v>
                </c:pt>
                <c:pt idx="19">
                  <c:v>3863.6251591234022</c:v>
                </c:pt>
                <c:pt idx="20">
                  <c:v>3593.12923880173</c:v>
                </c:pt>
                <c:pt idx="21">
                  <c:v>3360.468185804395</c:v>
                </c:pt>
                <c:pt idx="22">
                  <c:v>3169.2406182554596</c:v>
                </c:pt>
                <c:pt idx="23">
                  <c:v>2988.8293612758935</c:v>
                </c:pt>
                <c:pt idx="24">
                  <c:v>2827.4607055264137</c:v>
                </c:pt>
                <c:pt idx="25">
                  <c:v>2670.1707037079254</c:v>
                </c:pt>
                <c:pt idx="26">
                  <c:v>2515.5612619665249</c:v>
                </c:pt>
                <c:pt idx="27">
                  <c:v>2336.7097855049965</c:v>
                </c:pt>
                <c:pt idx="28">
                  <c:v>2150.3686174171794</c:v>
                </c:pt>
                <c:pt idx="29">
                  <c:v>1940.5173332718871</c:v>
                </c:pt>
                <c:pt idx="30">
                  <c:v>1703.202634105066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6.5968295907489954E-21</c:v>
                </c:pt>
                <c:pt idx="1">
                  <c:v>6.5968295907489951E-20</c:v>
                </c:pt>
                <c:pt idx="2">
                  <c:v>6.5968295907489951E-19</c:v>
                </c:pt>
                <c:pt idx="3">
                  <c:v>6.5968295907489944E-18</c:v>
                </c:pt>
                <c:pt idx="4">
                  <c:v>6.5968295907489945E-17</c:v>
                </c:pt>
                <c:pt idx="5">
                  <c:v>6.5968295907489953E-16</c:v>
                </c:pt>
                <c:pt idx="6">
                  <c:v>6.5968295907489954E-15</c:v>
                </c:pt>
                <c:pt idx="7">
                  <c:v>6.5968295907489953E-14</c:v>
                </c:pt>
                <c:pt idx="8">
                  <c:v>6.596829590748994E-13</c:v>
                </c:pt>
                <c:pt idx="9">
                  <c:v>6.5968295907489942E-12</c:v>
                </c:pt>
                <c:pt idx="10">
                  <c:v>6.5968295907489947E-11</c:v>
                </c:pt>
                <c:pt idx="11">
                  <c:v>6.596829590748995E-10</c:v>
                </c:pt>
                <c:pt idx="12">
                  <c:v>6.5968295907489946E-9</c:v>
                </c:pt>
                <c:pt idx="13">
                  <c:v>6.5968295907489947E-8</c:v>
                </c:pt>
                <c:pt idx="14">
                  <c:v>6.5968295907489955E-7</c:v>
                </c:pt>
                <c:pt idx="15">
                  <c:v>6.5968295907489949E-6</c:v>
                </c:pt>
                <c:pt idx="16">
                  <c:v>6.5968295907489947E-5</c:v>
                </c:pt>
                <c:pt idx="17">
                  <c:v>6.5968295907489944E-4</c:v>
                </c:pt>
                <c:pt idx="18">
                  <c:v>6.5968295907489951E-3</c:v>
                </c:pt>
                <c:pt idx="19">
                  <c:v>6.5968295907489941E-2</c:v>
                </c:pt>
                <c:pt idx="20">
                  <c:v>0.65968295907489949</c:v>
                </c:pt>
                <c:pt idx="21">
                  <c:v>6.5968295907489951</c:v>
                </c:pt>
                <c:pt idx="22">
                  <c:v>65.968295907489946</c:v>
                </c:pt>
                <c:pt idx="23">
                  <c:v>659.68295907489949</c:v>
                </c:pt>
                <c:pt idx="24">
                  <c:v>6596.8295907489946</c:v>
                </c:pt>
                <c:pt idx="25">
                  <c:v>65968.295907489941</c:v>
                </c:pt>
                <c:pt idx="26">
                  <c:v>659682.95907489944</c:v>
                </c:pt>
                <c:pt idx="27">
                  <c:v>6596829.5907489946</c:v>
                </c:pt>
                <c:pt idx="28">
                  <c:v>65968295.907489948</c:v>
                </c:pt>
                <c:pt idx="29">
                  <c:v>659682959.07489944</c:v>
                </c:pt>
                <c:pt idx="30">
                  <c:v>6596829590.7489948</c:v>
                </c:pt>
              </c:numCache>
            </c:numRef>
          </c:xVal>
          <c:yVal>
            <c:numRef>
              <c:f>'Mastercurve bestimmen'!$L$404:$L$434</c:f>
              <c:numCache>
                <c:formatCode>0.00E+00</c:formatCode>
                <c:ptCount val="31"/>
                <c:pt idx="0">
                  <c:v>5614.15966521874</c:v>
                </c:pt>
                <c:pt idx="1">
                  <c:v>5614.1868795733999</c:v>
                </c:pt>
                <c:pt idx="2">
                  <c:v>5614.1101001096886</c:v>
                </c:pt>
                <c:pt idx="3">
                  <c:v>5613.5440717227957</c:v>
                </c:pt>
                <c:pt idx="4">
                  <c:v>5608.0875082385601</c:v>
                </c:pt>
                <c:pt idx="5">
                  <c:v>5561.0618011761198</c:v>
                </c:pt>
                <c:pt idx="6">
                  <c:v>5391.7011748892737</c:v>
                </c:pt>
                <c:pt idx="7">
                  <c:v>5273.7806689105482</c:v>
                </c:pt>
                <c:pt idx="8">
                  <c:v>5167.1400623232676</c:v>
                </c:pt>
                <c:pt idx="9">
                  <c:v>5046.4639033804824</c:v>
                </c:pt>
                <c:pt idx="10">
                  <c:v>4920.6469341545144</c:v>
                </c:pt>
                <c:pt idx="11">
                  <c:v>4778.6212241451321</c:v>
                </c:pt>
                <c:pt idx="12">
                  <c:v>4624.8276392807802</c:v>
                </c:pt>
                <c:pt idx="13">
                  <c:v>4464.4431086830655</c:v>
                </c:pt>
                <c:pt idx="14">
                  <c:v>4311.3670250981177</c:v>
                </c:pt>
                <c:pt idx="15">
                  <c:v>4152.6891106145395</c:v>
                </c:pt>
                <c:pt idx="16">
                  <c:v>3957.9636218361616</c:v>
                </c:pt>
                <c:pt idx="17">
                  <c:v>3730.5898476111606</c:v>
                </c:pt>
                <c:pt idx="18">
                  <c:v>3500.0702814112506</c:v>
                </c:pt>
                <c:pt idx="19">
                  <c:v>3289.3669034465734</c:v>
                </c:pt>
                <c:pt idx="20">
                  <c:v>3085.2633506749817</c:v>
                </c:pt>
                <c:pt idx="21">
                  <c:v>2905.3736728917142</c:v>
                </c:pt>
                <c:pt idx="22">
                  <c:v>2732.9260794562178</c:v>
                </c:pt>
                <c:pt idx="23">
                  <c:v>2568.1909736158736</c:v>
                </c:pt>
                <c:pt idx="24">
                  <c:v>2386.1123895749793</c:v>
                </c:pt>
                <c:pt idx="25">
                  <c:v>2196.768027007945</c:v>
                </c:pt>
                <c:pt idx="26">
                  <c:v>1987.4046244520723</c:v>
                </c:pt>
                <c:pt idx="27">
                  <c:v>1756.4334468648422</c:v>
                </c:pt>
                <c:pt idx="28">
                  <c:v>1488.4468583518017</c:v>
                </c:pt>
                <c:pt idx="29">
                  <c:v>1185.6745633902476</c:v>
                </c:pt>
                <c:pt idx="30">
                  <c:v>877.46280556758461</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1.147210594387753E-18</c:v>
                </c:pt>
                <c:pt idx="1">
                  <c:v>1.1472105943877529E-17</c:v>
                </c:pt>
                <c:pt idx="2">
                  <c:v>1.1472105943877529E-16</c:v>
                </c:pt>
                <c:pt idx="3">
                  <c:v>1.1472105943877529E-15</c:v>
                </c:pt>
                <c:pt idx="4">
                  <c:v>1.1472105943877528E-14</c:v>
                </c:pt>
                <c:pt idx="5">
                  <c:v>1.147210594387753E-13</c:v>
                </c:pt>
                <c:pt idx="6">
                  <c:v>1.1472105943877529E-12</c:v>
                </c:pt>
                <c:pt idx="7">
                  <c:v>1.1472105943877528E-11</c:v>
                </c:pt>
                <c:pt idx="8">
                  <c:v>1.1472105943877528E-10</c:v>
                </c:pt>
                <c:pt idx="9">
                  <c:v>1.1472105943877528E-9</c:v>
                </c:pt>
                <c:pt idx="10">
                  <c:v>1.147210594387753E-8</c:v>
                </c:pt>
                <c:pt idx="11">
                  <c:v>1.147210594387753E-7</c:v>
                </c:pt>
                <c:pt idx="12">
                  <c:v>1.1472105943877529E-6</c:v>
                </c:pt>
                <c:pt idx="13">
                  <c:v>1.1472105943877529E-5</c:v>
                </c:pt>
                <c:pt idx="14">
                  <c:v>1.147210594387753E-4</c:v>
                </c:pt>
                <c:pt idx="15">
                  <c:v>1.1472105943877528E-3</c:v>
                </c:pt>
                <c:pt idx="16">
                  <c:v>1.147210594387753E-2</c:v>
                </c:pt>
                <c:pt idx="17">
                  <c:v>0.11472105943877529</c:v>
                </c:pt>
                <c:pt idx="18">
                  <c:v>1.1472105943877529</c:v>
                </c:pt>
                <c:pt idx="19">
                  <c:v>11.472105943877528</c:v>
                </c:pt>
                <c:pt idx="20">
                  <c:v>114.72105943877528</c:v>
                </c:pt>
                <c:pt idx="21">
                  <c:v>1147.210594387753</c:v>
                </c:pt>
                <c:pt idx="22">
                  <c:v>11472.105943877528</c:v>
                </c:pt>
                <c:pt idx="23">
                  <c:v>114721.05943877529</c:v>
                </c:pt>
                <c:pt idx="24">
                  <c:v>1147210.5943877529</c:v>
                </c:pt>
                <c:pt idx="25">
                  <c:v>11472105.943877529</c:v>
                </c:pt>
                <c:pt idx="26">
                  <c:v>114721059.43877529</c:v>
                </c:pt>
                <c:pt idx="27">
                  <c:v>1147210594.3877528</c:v>
                </c:pt>
                <c:pt idx="28">
                  <c:v>11472105943.877529</c:v>
                </c:pt>
                <c:pt idx="29">
                  <c:v>114721059438.77528</c:v>
                </c:pt>
                <c:pt idx="30">
                  <c:v>1147210594387.7529</c:v>
                </c:pt>
              </c:numCache>
            </c:numRef>
          </c:xVal>
          <c:yVal>
            <c:numRef>
              <c:f>'Mastercurve bestimmen'!$M$404:$M$434</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1.1881164685810612E-8</c:v>
                </c:pt>
                <c:pt idx="1">
                  <c:v>1.1881164685810611E-7</c:v>
                </c:pt>
                <c:pt idx="2">
                  <c:v>1.1881164685810611E-6</c:v>
                </c:pt>
                <c:pt idx="3">
                  <c:v>1.1881164685810611E-5</c:v>
                </c:pt>
                <c:pt idx="4">
                  <c:v>1.188116468581061E-4</c:v>
                </c:pt>
                <c:pt idx="5">
                  <c:v>1.1881164685810612E-3</c:v>
                </c:pt>
                <c:pt idx="6">
                  <c:v>1.1881164685810611E-2</c:v>
                </c:pt>
                <c:pt idx="7">
                  <c:v>0.11881164685810611</c:v>
                </c:pt>
                <c:pt idx="8">
                  <c:v>1.188116468581061</c:v>
                </c:pt>
                <c:pt idx="9">
                  <c:v>11.88116468581061</c:v>
                </c:pt>
                <c:pt idx="10">
                  <c:v>118.81164685810612</c:v>
                </c:pt>
                <c:pt idx="11">
                  <c:v>1188.1164685810611</c:v>
                </c:pt>
                <c:pt idx="12">
                  <c:v>11881.164685810611</c:v>
                </c:pt>
                <c:pt idx="13">
                  <c:v>118811.64685810612</c:v>
                </c:pt>
                <c:pt idx="14">
                  <c:v>1188116.4685810611</c:v>
                </c:pt>
                <c:pt idx="15">
                  <c:v>11881164.685810611</c:v>
                </c:pt>
                <c:pt idx="16">
                  <c:v>118811646.85810611</c:v>
                </c:pt>
                <c:pt idx="17">
                  <c:v>1188116468.5810611</c:v>
                </c:pt>
                <c:pt idx="18">
                  <c:v>11881164685.810612</c:v>
                </c:pt>
                <c:pt idx="19">
                  <c:v>118811646858.10611</c:v>
                </c:pt>
                <c:pt idx="20">
                  <c:v>1188116468581.061</c:v>
                </c:pt>
                <c:pt idx="21">
                  <c:v>11881164685810.611</c:v>
                </c:pt>
                <c:pt idx="22">
                  <c:v>118811646858106.11</c:v>
                </c:pt>
                <c:pt idx="23">
                  <c:v>1188116468581061</c:v>
                </c:pt>
                <c:pt idx="24">
                  <c:v>1.1881164685810612E+16</c:v>
                </c:pt>
                <c:pt idx="25">
                  <c:v>1.1881164685810611E+17</c:v>
                </c:pt>
                <c:pt idx="26">
                  <c:v>1.1881164685810611E+18</c:v>
                </c:pt>
                <c:pt idx="27">
                  <c:v>1.188116468581061E+19</c:v>
                </c:pt>
                <c:pt idx="28">
                  <c:v>1.1881164685810611E+20</c:v>
                </c:pt>
                <c:pt idx="29">
                  <c:v>1.1881164685810611E+21</c:v>
                </c:pt>
                <c:pt idx="30">
                  <c:v>1.188116468581061E+22</c:v>
                </c:pt>
              </c:numCache>
            </c:numRef>
          </c:xVal>
          <c:yVal>
            <c:numRef>
              <c:f>'Mastercurve bestimmen'!$O$404:$O$434</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1.7061589400385737E-2</c:v>
                </c:pt>
                <c:pt idx="1">
                  <c:v>0.17061589400385738</c:v>
                </c:pt>
                <c:pt idx="2">
                  <c:v>1.7061589400385737</c:v>
                </c:pt>
                <c:pt idx="3">
                  <c:v>17.061589400385738</c:v>
                </c:pt>
                <c:pt idx="4">
                  <c:v>170.61589400385736</c:v>
                </c:pt>
                <c:pt idx="5">
                  <c:v>1706.1589400385737</c:v>
                </c:pt>
                <c:pt idx="6">
                  <c:v>17061.589400385739</c:v>
                </c:pt>
                <c:pt idx="7">
                  <c:v>170615.89400385736</c:v>
                </c:pt>
                <c:pt idx="8">
                  <c:v>1706158.9400385737</c:v>
                </c:pt>
                <c:pt idx="9">
                  <c:v>17061589.400385737</c:v>
                </c:pt>
                <c:pt idx="10">
                  <c:v>170615894.00385737</c:v>
                </c:pt>
                <c:pt idx="11">
                  <c:v>1706158940.0385737</c:v>
                </c:pt>
                <c:pt idx="12">
                  <c:v>17061589400.385738</c:v>
                </c:pt>
                <c:pt idx="13">
                  <c:v>170615894003.85736</c:v>
                </c:pt>
                <c:pt idx="14">
                  <c:v>1706158940038.5737</c:v>
                </c:pt>
                <c:pt idx="15">
                  <c:v>17061589400385.736</c:v>
                </c:pt>
                <c:pt idx="16">
                  <c:v>170615894003857.37</c:v>
                </c:pt>
                <c:pt idx="17">
                  <c:v>1706158940038573.7</c:v>
                </c:pt>
                <c:pt idx="18">
                  <c:v>1.7061589400385738E+16</c:v>
                </c:pt>
                <c:pt idx="19">
                  <c:v>1.7061589400385738E+17</c:v>
                </c:pt>
                <c:pt idx="20">
                  <c:v>1.7061589400385738E+18</c:v>
                </c:pt>
                <c:pt idx="21">
                  <c:v>1.7061589400385737E+19</c:v>
                </c:pt>
                <c:pt idx="22">
                  <c:v>1.7061589400385736E+20</c:v>
                </c:pt>
                <c:pt idx="23">
                  <c:v>1.7061589400385736E+21</c:v>
                </c:pt>
                <c:pt idx="24">
                  <c:v>1.7061589400385736E+22</c:v>
                </c:pt>
                <c:pt idx="25">
                  <c:v>1.7061589400385737E+23</c:v>
                </c:pt>
                <c:pt idx="26">
                  <c:v>1.7061589400385737E+24</c:v>
                </c:pt>
                <c:pt idx="27">
                  <c:v>1.7061589400385736E+25</c:v>
                </c:pt>
                <c:pt idx="28">
                  <c:v>1.7061589400385736E+26</c:v>
                </c:pt>
                <c:pt idx="29">
                  <c:v>1.7061589400385738E+27</c:v>
                </c:pt>
                <c:pt idx="30">
                  <c:v>1.7061589400385738E+28</c:v>
                </c:pt>
              </c:numCache>
            </c:numRef>
          </c:xVal>
          <c:yVal>
            <c:numRef>
              <c:f>'Mastercurve bestimmen'!$P$404:$P$434</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1"/>
        </c:ser>
        <c:dLbls>
          <c:showLegendKey val="0"/>
          <c:showVal val="0"/>
          <c:showCatName val="0"/>
          <c:showSerName val="0"/>
          <c:showPercent val="0"/>
          <c:showBubbleSize val="0"/>
        </c:dLbls>
        <c:axId val="452968840"/>
        <c:axId val="452970408"/>
      </c:scatterChart>
      <c:valAx>
        <c:axId val="45296884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70408"/>
        <c:crosses val="autoZero"/>
        <c:crossBetween val="midCat"/>
      </c:valAx>
      <c:valAx>
        <c:axId val="452970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68840"/>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-30.413945965899352</c:v>
                </c:pt>
                <c:pt idx="1">
                  <c:v>-30.163000041454666</c:v>
                </c:pt>
                <c:pt idx="2">
                  <c:v>-29.911824935330458</c:v>
                </c:pt>
                <c:pt idx="3">
                  <c:v>-29.660191465847205</c:v>
                </c:pt>
                <c:pt idx="4">
                  <c:v>-29.40787045132538</c:v>
                </c:pt>
                <c:pt idx="5">
                  <c:v>-29.154632710085455</c:v>
                </c:pt>
                <c:pt idx="6">
                  <c:v>-28.900249060447912</c:v>
                </c:pt>
                <c:pt idx="7">
                  <c:v>-28.644490320733226</c:v>
                </c:pt>
                <c:pt idx="8">
                  <c:v>-28.387127309261871</c:v>
                </c:pt>
                <c:pt idx="9">
                  <c:v>-28.127930844354328</c:v>
                </c:pt>
                <c:pt idx="10">
                  <c:v>-27.866671744331065</c:v>
                </c:pt>
                <c:pt idx="11">
                  <c:v>-27.603120827512569</c:v>
                </c:pt>
                <c:pt idx="12">
                  <c:v>-27.337048912219309</c:v>
                </c:pt>
                <c:pt idx="13">
                  <c:v>-27.068226816771755</c:v>
                </c:pt>
                <c:pt idx="14">
                  <c:v>-26.796425359490403</c:v>
                </c:pt>
                <c:pt idx="15">
                  <c:v>-26.521415358695705</c:v>
                </c:pt>
                <c:pt idx="16">
                  <c:v>-26.242967632708151</c:v>
                </c:pt>
                <c:pt idx="17">
                  <c:v>-25.960852999848214</c:v>
                </c:pt>
                <c:pt idx="18">
                  <c:v>-25.674842278436373</c:v>
                </c:pt>
                <c:pt idx="19">
                  <c:v>-25.384706286793101</c:v>
                </c:pt>
                <c:pt idx="20">
                  <c:v>-25.090215843238873</c:v>
                </c:pt>
                <c:pt idx="21">
                  <c:v>-24.791141766094167</c:v>
                </c:pt>
                <c:pt idx="22">
                  <c:v>-24.487254873679461</c:v>
                </c:pt>
                <c:pt idx="23">
                  <c:v>-24.178325984315229</c:v>
                </c:pt>
                <c:pt idx="24">
                  <c:v>-23.864125916321946</c:v>
                </c:pt>
                <c:pt idx="25">
                  <c:v>-23.544425488020089</c:v>
                </c:pt>
                <c:pt idx="26">
                  <c:v>-23.218995517730136</c:v>
                </c:pt>
                <c:pt idx="27">
                  <c:v>-22.887606823772558</c:v>
                </c:pt>
                <c:pt idx="28">
                  <c:v>-22.550030224467836</c:v>
                </c:pt>
                <c:pt idx="29">
                  <c:v>-22.206036538136445</c:v>
                </c:pt>
                <c:pt idx="30">
                  <c:v>-21.855396583098859</c:v>
                </c:pt>
                <c:pt idx="31">
                  <c:v>-21.497881177675559</c:v>
                </c:pt>
                <c:pt idx="32">
                  <c:v>-21.133261140187017</c:v>
                </c:pt>
                <c:pt idx="33">
                  <c:v>-20.761307288953706</c:v>
                </c:pt>
                <c:pt idx="34">
                  <c:v>-20.381790442296108</c:v>
                </c:pt>
                <c:pt idx="35">
                  <c:v>-19.994481418534697</c:v>
                </c:pt>
                <c:pt idx="36">
                  <c:v>-19.599151035989951</c:v>
                </c:pt>
                <c:pt idx="37">
                  <c:v>-19.195570112982342</c:v>
                </c:pt>
                <c:pt idx="38">
                  <c:v>-18.783509467832349</c:v>
                </c:pt>
                <c:pt idx="39">
                  <c:v>-18.362739918860449</c:v>
                </c:pt>
                <c:pt idx="40">
                  <c:v>-17.933032284387114</c:v>
                </c:pt>
                <c:pt idx="41">
                  <c:v>-17.746107024932101</c:v>
                </c:pt>
                <c:pt idx="42">
                  <c:v>-17.550560344736777</c:v>
                </c:pt>
                <c:pt idx="43">
                  <c:v>-17.346938090241764</c:v>
                </c:pt>
                <c:pt idx="44">
                  <c:v>-17.135786107887711</c:v>
                </c:pt>
                <c:pt idx="45">
                  <c:v>-16.917650244115247</c:v>
                </c:pt>
                <c:pt idx="46">
                  <c:v>-16.693076345365018</c:v>
                </c:pt>
                <c:pt idx="47">
                  <c:v>-16.462610258077657</c:v>
                </c:pt>
                <c:pt idx="48">
                  <c:v>-16.226797828693801</c:v>
                </c:pt>
                <c:pt idx="49">
                  <c:v>-15.986184903654085</c:v>
                </c:pt>
                <c:pt idx="50">
                  <c:v>-15.741317329399148</c:v>
                </c:pt>
                <c:pt idx="51">
                  <c:v>-15.492740952369633</c:v>
                </c:pt>
                <c:pt idx="52">
                  <c:v>-15.241001619006171</c:v>
                </c:pt>
                <c:pt idx="53">
                  <c:v>-14.986645175749402</c:v>
                </c:pt>
                <c:pt idx="54">
                  <c:v>-14.730217469039962</c:v>
                </c:pt>
                <c:pt idx="55">
                  <c:v>-14.472264345318489</c:v>
                </c:pt>
                <c:pt idx="56">
                  <c:v>-14.213331651025619</c:v>
                </c:pt>
                <c:pt idx="57">
                  <c:v>-13.953965232601995</c:v>
                </c:pt>
                <c:pt idx="58">
                  <c:v>-13.694710936488246</c:v>
                </c:pt>
                <c:pt idx="59">
                  <c:v>-13.436114609125017</c:v>
                </c:pt>
                <c:pt idx="60">
                  <c:v>-13.178722096952939</c:v>
                </c:pt>
                <c:pt idx="61">
                  <c:v>-12.923079246412653</c:v>
                </c:pt>
                <c:pt idx="62">
                  <c:v>-12.669731903944795</c:v>
                </c:pt>
                <c:pt idx="63">
                  <c:v>-12.419225915990005</c:v>
                </c:pt>
                <c:pt idx="64">
                  <c:v>-12.17210712898892</c:v>
                </c:pt>
                <c:pt idx="65">
                  <c:v>-11.928921389382172</c:v>
                </c:pt>
                <c:pt idx="66">
                  <c:v>-11.690089506983968</c:v>
                </c:pt>
                <c:pt idx="67">
                  <c:v>-11.45553214510276</c:v>
                </c:pt>
                <c:pt idx="68">
                  <c:v>-11.225044930420561</c:v>
                </c:pt>
                <c:pt idx="69">
                  <c:v>-10.998423489619395</c:v>
                </c:pt>
                <c:pt idx="70">
                  <c:v>-10.775463449381276</c:v>
                </c:pt>
                <c:pt idx="71">
                  <c:v>-10.555960436388222</c:v>
                </c:pt>
                <c:pt idx="72">
                  <c:v>-10.339710077322248</c:v>
                </c:pt>
                <c:pt idx="73">
                  <c:v>-10.126507998865373</c:v>
                </c:pt>
                <c:pt idx="74">
                  <c:v>-9.9161498276996127</c:v>
                </c:pt>
                <c:pt idx="75">
                  <c:v>-9.7084311905069871</c:v>
                </c:pt>
                <c:pt idx="76">
                  <c:v>-9.5031477139695113</c:v>
                </c:pt>
                <c:pt idx="77">
                  <c:v>-9.3000950247692042</c:v>
                </c:pt>
                <c:pt idx="78">
                  <c:v>-9.0990687495880813</c:v>
                </c:pt>
                <c:pt idx="79">
                  <c:v>-8.8998645151081597</c:v>
                </c:pt>
                <c:pt idx="80">
                  <c:v>-8.7022779480114565</c:v>
                </c:pt>
                <c:pt idx="81">
                  <c:v>-8.5061046749799907</c:v>
                </c:pt>
                <c:pt idx="82">
                  <c:v>-8.3111403226957776</c:v>
                </c:pt>
                <c:pt idx="83">
                  <c:v>-8.1171805178408345</c:v>
                </c:pt>
                <c:pt idx="84">
                  <c:v>-7.9240208870971811</c:v>
                </c:pt>
                <c:pt idx="85">
                  <c:v>-7.7314570571468302</c:v>
                </c:pt>
                <c:pt idx="86">
                  <c:v>-7.5392846546718042</c:v>
                </c:pt>
                <c:pt idx="87">
                  <c:v>-7.3472993063541159</c:v>
                </c:pt>
                <c:pt idx="88">
                  <c:v>-7.155296638875785</c:v>
                </c:pt>
                <c:pt idx="89">
                  <c:v>-6.9630722789188289</c:v>
                </c:pt>
                <c:pt idx="90">
                  <c:v>-6.7704218531652618</c:v>
                </c:pt>
                <c:pt idx="91">
                  <c:v>-6.57714916989607</c:v>
                </c:pt>
                <c:pt idx="92">
                  <c:v>-6.3830907637880951</c:v>
                </c:pt>
                <c:pt idx="93">
                  <c:v>-6.1880913511171425</c:v>
                </c:pt>
                <c:pt idx="94">
                  <c:v>-5.9919956481590226</c:v>
                </c:pt>
                <c:pt idx="95">
                  <c:v>-5.7946483711895453</c:v>
                </c:pt>
                <c:pt idx="96">
                  <c:v>-5.5958942364845177</c:v>
                </c:pt>
                <c:pt idx="97">
                  <c:v>-5.3955779603197467</c:v>
                </c:pt>
                <c:pt idx="98">
                  <c:v>-5.1935442589710412</c:v>
                </c:pt>
                <c:pt idx="99">
                  <c:v>-4.9896378487142092</c:v>
                </c:pt>
                <c:pt idx="100">
                  <c:v>-4.7837034458250614</c:v>
                </c:pt>
                <c:pt idx="101">
                  <c:v>-4.5755857665794029</c:v>
                </c:pt>
                <c:pt idx="102">
                  <c:v>-4.3651295272530426</c:v>
                </c:pt>
                <c:pt idx="103">
                  <c:v>-4.1521794441217885</c:v>
                </c:pt>
                <c:pt idx="104">
                  <c:v>-3.9365802334614513</c:v>
                </c:pt>
                <c:pt idx="105">
                  <c:v>-3.7181766115478365</c:v>
                </c:pt>
                <c:pt idx="106">
                  <c:v>-3.4968132946567536</c:v>
                </c:pt>
                <c:pt idx="107">
                  <c:v>-3.2723349990640092</c:v>
                </c:pt>
                <c:pt idx="108">
                  <c:v>-3.0445864410454142</c:v>
                </c:pt>
                <c:pt idx="109">
                  <c:v>-2.8134123368767745</c:v>
                </c:pt>
                <c:pt idx="110">
                  <c:v>-2.5786574028338993</c:v>
                </c:pt>
                <c:pt idx="111">
                  <c:v>-2.3401663551925975</c:v>
                </c:pt>
                <c:pt idx="112">
                  <c:v>-2.0977839102286757</c:v>
                </c:pt>
                <c:pt idx="113">
                  <c:v>-1.8513547842179432</c:v>
                </c:pt>
                <c:pt idx="114">
                  <c:v>-1.6007236934362079</c:v>
                </c:pt>
                <c:pt idx="115">
                  <c:v>-1.3457353541592783</c:v>
                </c:pt>
                <c:pt idx="116">
                  <c:v>-1.0862344826629622</c:v>
                </c:pt>
                <c:pt idx="117">
                  <c:v>-0.82206579522306811</c:v>
                </c:pt>
                <c:pt idx="118">
                  <c:v>-0.55307400811540441</c:v>
                </c:pt>
                <c:pt idx="119">
                  <c:v>-0.27910383761577895</c:v>
                </c:pt>
                <c:pt idx="120">
                  <c:v>0</c:v>
                </c:pt>
                <c:pt idx="121">
                  <c:v>0.28434779006006278</c:v>
                </c:pt>
                <c:pt idx="122">
                  <c:v>0.57386982430829525</c:v>
                </c:pt>
                <c:pt idx="123">
                  <c:v>0.86845139609252175</c:v>
                </c:pt>
                <c:pt idx="124">
                  <c:v>1.1679777987605671</c:v>
                </c:pt>
                <c:pt idx="125">
                  <c:v>1.4723343256602548</c:v>
                </c:pt>
                <c:pt idx="126">
                  <c:v>1.7814062701394102</c:v>
                </c:pt>
                <c:pt idx="127">
                  <c:v>2.0950789255458573</c:v>
                </c:pt>
                <c:pt idx="128">
                  <c:v>2.4132375852274208</c:v>
                </c:pt>
                <c:pt idx="129">
                  <c:v>2.7357675425319252</c:v>
                </c:pt>
                <c:pt idx="130">
                  <c:v>3.0625540908071942</c:v>
                </c:pt>
                <c:pt idx="131">
                  <c:v>3.3934825234010533</c:v>
                </c:pt>
                <c:pt idx="132">
                  <c:v>3.7284381336613257</c:v>
                </c:pt>
                <c:pt idx="133">
                  <c:v>4.0673062149358374</c:v>
                </c:pt>
                <c:pt idx="134">
                  <c:v>4.4099720605724118</c:v>
                </c:pt>
                <c:pt idx="135">
                  <c:v>4.7563209639188733</c:v>
                </c:pt>
                <c:pt idx="136">
                  <c:v>5.1062382183230461</c:v>
                </c:pt>
                <c:pt idx="137">
                  <c:v>5.4596091171327554</c:v>
                </c:pt>
                <c:pt idx="138">
                  <c:v>5.8163189536958262</c:v>
                </c:pt>
                <c:pt idx="139">
                  <c:v>6.1762530213600808</c:v>
                </c:pt>
                <c:pt idx="140">
                  <c:v>6.5392966134733461</c:v>
                </c:pt>
                <c:pt idx="141">
                  <c:v>6.9053350233834454</c:v>
                </c:pt>
                <c:pt idx="142">
                  <c:v>7.2742535444382028</c:v>
                </c:pt>
                <c:pt idx="143">
                  <c:v>7.6459374699854425</c:v>
                </c:pt>
                <c:pt idx="144">
                  <c:v>8.0202720933729896</c:v>
                </c:pt>
                <c:pt idx="145">
                  <c:v>8.3971427079486674</c:v>
                </c:pt>
                <c:pt idx="146">
                  <c:v>8.7764346070603043</c:v>
                </c:pt>
                <c:pt idx="147">
                  <c:v>9.1580330840557203</c:v>
                </c:pt>
                <c:pt idx="148">
                  <c:v>9.5418234322827402</c:v>
                </c:pt>
                <c:pt idx="149">
                  <c:v>9.927690945089191</c:v>
                </c:pt>
                <c:pt idx="150">
                  <c:v>10.315520915822896</c:v>
                </c:pt>
                <c:pt idx="151">
                  <c:v>10.705198637831678</c:v>
                </c:pt>
                <c:pt idx="152">
                  <c:v>11.096609404463365</c:v>
                </c:pt>
                <c:pt idx="153">
                  <c:v>11.489638509065777</c:v>
                </c:pt>
                <c:pt idx="154">
                  <c:v>11.88417124498674</c:v>
                </c:pt>
                <c:pt idx="155">
                  <c:v>12.280092905574083</c:v>
                </c:pt>
                <c:pt idx="156">
                  <c:v>12.677288784175623</c:v>
                </c:pt>
                <c:pt idx="157">
                  <c:v>13.075644174139189</c:v>
                </c:pt>
                <c:pt idx="158">
                  <c:v>13.475044368812606</c:v>
                </c:pt>
                <c:pt idx="159">
                  <c:v>13.875374661543695</c:v>
                </c:pt>
                <c:pt idx="160">
                  <c:v>14.276520345680284</c:v>
                </c:pt>
                <c:pt idx="161">
                  <c:v>14.678366714570194</c:v>
                </c:pt>
                <c:pt idx="162">
                  <c:v>15.080799061561251</c:v>
                </c:pt>
                <c:pt idx="163">
                  <c:v>15.483702680001281</c:v>
                </c:pt>
                <c:pt idx="164">
                  <c:v>15.886962863238107</c:v>
                </c:pt>
                <c:pt idx="165">
                  <c:v>16.290464904619554</c:v>
                </c:pt>
                <c:pt idx="166">
                  <c:v>16.69411260978551</c:v>
                </c:pt>
                <c:pt idx="167">
                  <c:v>17.097883833544127</c:v>
                </c:pt>
                <c:pt idx="168">
                  <c:v>17.501774942995624</c:v>
                </c:pt>
                <c:pt idx="169">
                  <c:v>17.905782305240209</c:v>
                </c:pt>
                <c:pt idx="170">
                  <c:v>18.309902287378105</c:v>
                </c:pt>
                <c:pt idx="171">
                  <c:v>18.714131256509525</c:v>
                </c:pt>
                <c:pt idx="172">
                  <c:v>19.118465579734682</c:v>
                </c:pt>
                <c:pt idx="173">
                  <c:v>19.522901624153796</c:v>
                </c:pt>
                <c:pt idx="174">
                  <c:v>19.927435756867084</c:v>
                </c:pt>
                <c:pt idx="175">
                  <c:v>20.332064344974761</c:v>
                </c:pt>
                <c:pt idx="176">
                  <c:v>20.736783755577036</c:v>
                </c:pt>
                <c:pt idx="177">
                  <c:v>21.141590355774134</c:v>
                </c:pt>
                <c:pt idx="178">
                  <c:v>21.546480512666271</c:v>
                </c:pt>
                <c:pt idx="179">
                  <c:v>21.951450593353652</c:v>
                </c:pt>
                <c:pt idx="180">
                  <c:v>22.356496964936504</c:v>
                </c:pt>
                <c:pt idx="181">
                  <c:v>22.76161599451504</c:v>
                </c:pt>
                <c:pt idx="182">
                  <c:v>23.166804049189473</c:v>
                </c:pt>
                <c:pt idx="183">
                  <c:v>23.572057496060019</c:v>
                </c:pt>
                <c:pt idx="184">
                  <c:v>23.977372702226894</c:v>
                </c:pt>
                <c:pt idx="185">
                  <c:v>24.382746034790323</c:v>
                </c:pt>
                <c:pt idx="186">
                  <c:v>24.788173860850506</c:v>
                </c:pt>
                <c:pt idx="187">
                  <c:v>25.193652547507668</c:v>
                </c:pt>
                <c:pt idx="188">
                  <c:v>25.599178461862028</c:v>
                </c:pt>
                <c:pt idx="189">
                  <c:v>26.004747971013799</c:v>
                </c:pt>
                <c:pt idx="190">
                  <c:v>26.410357442063187</c:v>
                </c:pt>
                <c:pt idx="191">
                  <c:v>26.816003242110426</c:v>
                </c:pt>
                <c:pt idx="192">
                  <c:v>27.221681738255718</c:v>
                </c:pt>
                <c:pt idx="193">
                  <c:v>27.627389297599279</c:v>
                </c:pt>
                <c:pt idx="194">
                  <c:v>28.033122287241337</c:v>
                </c:pt>
                <c:pt idx="195">
                  <c:v>28.438877074282097</c:v>
                </c:pt>
                <c:pt idx="196">
                  <c:v>28.844650025821775</c:v>
                </c:pt>
                <c:pt idx="197">
                  <c:v>29.250437508960591</c:v>
                </c:pt>
                <c:pt idx="198">
                  <c:v>29.656235890798762</c:v>
                </c:pt>
                <c:pt idx="199">
                  <c:v>30.062041538436496</c:v>
                </c:pt>
                <c:pt idx="200">
                  <c:v>30.467850818974018</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-30.413945965899352</c:v>
                </c:pt>
                <c:pt idx="1">
                  <c:v>-17.933032284387114</c:v>
                </c:pt>
                <c:pt idx="2">
                  <c:v>-11.928921389382172</c:v>
                </c:pt>
                <c:pt idx="3">
                  <c:v>-6.7704218531652627</c:v>
                </c:pt>
                <c:pt idx="4">
                  <c:v>0</c:v>
                </c:pt>
                <c:pt idx="5">
                  <c:v>16.290464904619554</c:v>
                </c:pt>
                <c:pt idx="6">
                  <c:v>30.467850818974018</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-30.257787948368609</c:v>
                </c:pt>
                <c:pt idx="1">
                  <c:v>-30.074767979119525</c:v>
                </c:pt>
                <c:pt idx="2">
                  <c:v>-29.879991840859713</c:v>
                </c:pt>
                <c:pt idx="3">
                  <c:v>-29.674033014247467</c:v>
                </c:pt>
                <c:pt idx="4">
                  <c:v>-29.457456871297556</c:v>
                </c:pt>
                <c:pt idx="5">
                  <c:v>-29.230820354032502</c:v>
                </c:pt>
                <c:pt idx="6">
                  <c:v>-28.994671666576874</c:v>
                </c:pt>
                <c:pt idx="7">
                  <c:v>-28.749549980617203</c:v>
                </c:pt>
                <c:pt idx="8">
                  <c:v>-28.495985154147572</c:v>
                </c:pt>
                <c:pt idx="9">
                  <c:v>-28.234497463418883</c:v>
                </c:pt>
                <c:pt idx="10">
                  <c:v>-27.965597348006511</c:v>
                </c:pt>
                <c:pt idx="11">
                  <c:v>-27.689785168909872</c:v>
                </c:pt>
                <c:pt idx="12">
                  <c:v>-27.407550979593609</c:v>
                </c:pt>
                <c:pt idx="13">
                  <c:v>-27.119374309878733</c:v>
                </c:pt>
                <c:pt idx="14">
                  <c:v>-26.8257239625888</c:v>
                </c:pt>
                <c:pt idx="15">
                  <c:v>-26.527057822854626</c:v>
                </c:pt>
                <c:pt idx="16">
                  <c:v>-26.223822679977395</c:v>
                </c:pt>
                <c:pt idx="17">
                  <c:v>-25.916454061748848</c:v>
                </c:pt>
                <c:pt idx="18">
                  <c:v>-25.605376081123776</c:v>
                </c:pt>
                <c:pt idx="19">
                  <c:v>-25.291001295138244</c:v>
                </c:pt>
                <c:pt idx="20">
                  <c:v>-24.973730575964144</c:v>
                </c:pt>
                <c:pt idx="21">
                  <c:v>-24.653952993988227</c:v>
                </c:pt>
                <c:pt idx="22">
                  <c:v>-24.332045712801694</c:v>
                </c:pt>
                <c:pt idx="23">
                  <c:v>-24.008373895983436</c:v>
                </c:pt>
                <c:pt idx="24">
                  <c:v>-23.683290625557966</c:v>
                </c:pt>
                <c:pt idx="25">
                  <c:v>-23.357136832006528</c:v>
                </c:pt>
                <c:pt idx="26">
                  <c:v>-23.030241235707074</c:v>
                </c:pt>
                <c:pt idx="27">
                  <c:v>-22.702920299677089</c:v>
                </c:pt>
                <c:pt idx="28">
                  <c:v>-22.375478193489993</c:v>
                </c:pt>
                <c:pt idx="29">
                  <c:v>-22.048206768233879</c:v>
                </c:pt>
                <c:pt idx="30">
                  <c:v>-21.721385542378727</c:v>
                </c:pt>
                <c:pt idx="31">
                  <c:v>-21.395281698415868</c:v>
                </c:pt>
                <c:pt idx="32">
                  <c:v>-21.070150090130863</c:v>
                </c:pt>
                <c:pt idx="33">
                  <c:v>-20.746233260368658</c:v>
                </c:pt>
                <c:pt idx="34">
                  <c:v>-20.423761469147415</c:v>
                </c:pt>
                <c:pt idx="35">
                  <c:v>-20.102952731974764</c:v>
                </c:pt>
                <c:pt idx="36">
                  <c:v>-19.784012868218117</c:v>
                </c:pt>
                <c:pt idx="37">
                  <c:v>-19.46713555937783</c:v>
                </c:pt>
                <c:pt idx="38">
                  <c:v>-19.152502417109961</c:v>
                </c:pt>
                <c:pt idx="39">
                  <c:v>-18.840283060842452</c:v>
                </c:pt>
                <c:pt idx="40">
                  <c:v>-18.530635204826616</c:v>
                </c:pt>
                <c:pt idx="41">
                  <c:v>-18.22370475446289</c:v>
                </c:pt>
                <c:pt idx="42">
                  <c:v>-17.919625911737715</c:v>
                </c:pt>
                <c:pt idx="43">
                  <c:v>-17.618521289605695</c:v>
                </c:pt>
                <c:pt idx="44">
                  <c:v>-17.320502035148913</c:v>
                </c:pt>
                <c:pt idx="45">
                  <c:v>-17.025667961342744</c:v>
                </c:pt>
                <c:pt idx="46">
                  <c:v>-16.734107687255015</c:v>
                </c:pt>
                <c:pt idx="47">
                  <c:v>-16.445898786503005</c:v>
                </c:pt>
                <c:pt idx="48">
                  <c:v>-16.161107943790281</c:v>
                </c:pt>
                <c:pt idx="49">
                  <c:v>-15.879791119342801</c:v>
                </c:pt>
                <c:pt idx="50">
                  <c:v>-15.601993721061568</c:v>
                </c:pt>
                <c:pt idx="51">
                  <c:v>-15.327750784206138</c:v>
                </c:pt>
                <c:pt idx="52">
                  <c:v>-15.057087158421574</c:v>
                </c:pt>
                <c:pt idx="53">
                  <c:v>-14.790017701918124</c:v>
                </c:pt>
                <c:pt idx="54">
                  <c:v>-14.526547482611194</c:v>
                </c:pt>
                <c:pt idx="55">
                  <c:v>-14.266671986026328</c:v>
                </c:pt>
                <c:pt idx="56">
                  <c:v>-14.010377329771444</c:v>
                </c:pt>
                <c:pt idx="57">
                  <c:v>-13.757640484376422</c:v>
                </c:pt>
                <c:pt idx="58">
                  <c:v>-13.508429500297291</c:v>
                </c:pt>
                <c:pt idx="59">
                  <c:v>-13.262703740880132</c:v>
                </c:pt>
                <c:pt idx="60">
                  <c:v>-13.02041412107717</c:v>
                </c:pt>
                <c:pt idx="61">
                  <c:v>-12.781503351705151</c:v>
                </c:pt>
                <c:pt idx="62">
                  <c:v>-12.545906189033632</c:v>
                </c:pt>
                <c:pt idx="63">
                  <c:v>-12.313549689488326</c:v>
                </c:pt>
                <c:pt idx="64">
                  <c:v>-12.084353469252271</c:v>
                </c:pt>
                <c:pt idx="65">
                  <c:v>-11.858229968545015</c:v>
                </c:pt>
                <c:pt idx="66">
                  <c:v>-11.635084720357671</c:v>
                </c:pt>
                <c:pt idx="67">
                  <c:v>-11.414816623419194</c:v>
                </c:pt>
                <c:pt idx="68">
                  <c:v>-11.197318219166714</c:v>
                </c:pt>
                <c:pt idx="69">
                  <c:v>-10.982475972490493</c:v>
                </c:pt>
                <c:pt idx="70">
                  <c:v>-10.770170556021311</c:v>
                </c:pt>
                <c:pt idx="71">
                  <c:v>-10.560277137726008</c:v>
                </c:pt>
                <c:pt idx="72">
                  <c:v>-10.352665671574119</c:v>
                </c:pt>
                <c:pt idx="73">
                  <c:v>-10.147201191036286</c:v>
                </c:pt>
                <c:pt idx="74">
                  <c:v>-9.943744105172625</c:v>
                </c:pt>
                <c:pt idx="75">
                  <c:v>-9.742150497066687</c:v>
                </c:pt>
                <c:pt idx="76">
                  <c:v>-9.5422724243583996</c:v>
                </c:pt>
                <c:pt idx="77">
                  <c:v>-9.3439582216266945</c:v>
                </c:pt>
                <c:pt idx="78">
                  <c:v>-9.1470528043701584</c:v>
                </c:pt>
                <c:pt idx="79">
                  <c:v>-8.9513979743317211</c:v>
                </c:pt>
                <c:pt idx="80">
                  <c:v>-8.7568327259106979</c:v>
                </c:pt>
                <c:pt idx="81">
                  <c:v>-8.5631935534032273</c:v>
                </c:pt>
                <c:pt idx="82">
                  <c:v>-8.3703147588096574</c:v>
                </c:pt>
                <c:pt idx="83">
                  <c:v>-8.1780287599448958</c:v>
                </c:pt>
                <c:pt idx="84">
                  <c:v>-7.9861663985854214</c:v>
                </c:pt>
                <c:pt idx="85">
                  <c:v>-7.7945572483840682</c:v>
                </c:pt>
                <c:pt idx="86">
                  <c:v>-7.6030299222813165</c:v>
                </c:pt>
                <c:pt idx="87">
                  <c:v>-7.4114123791393709</c:v>
                </c:pt>
                <c:pt idx="88">
                  <c:v>-7.219532229322783</c:v>
                </c:pt>
                <c:pt idx="89">
                  <c:v>-7.0272170389470316</c:v>
                </c:pt>
                <c:pt idx="90">
                  <c:v>-6.8342946325138874</c:v>
                </c:pt>
                <c:pt idx="91">
                  <c:v>-6.6405933936500627</c:v>
                </c:pt>
                <c:pt idx="92">
                  <c:v>-6.4459425636631211</c:v>
                </c:pt>
                <c:pt idx="93">
                  <c:v>-6.2501725376261197</c:v>
                </c:pt>
                <c:pt idx="94">
                  <c:v>-6.0531151577001658</c:v>
                </c:pt>
                <c:pt idx="95">
                  <c:v>-5.8546040034014171</c:v>
                </c:pt>
                <c:pt idx="96">
                  <c:v>-5.6544746785167623</c:v>
                </c:pt>
                <c:pt idx="97">
                  <c:v>-5.4525650943698416</c:v>
                </c:pt>
                <c:pt idx="98">
                  <c:v>-5.2487157491367</c:v>
                </c:pt>
                <c:pt idx="99">
                  <c:v>-5.0427700029078864</c:v>
                </c:pt>
                <c:pt idx="100">
                  <c:v>-4.8345743481913086</c:v>
                </c:pt>
                <c:pt idx="101">
                  <c:v>-4.6239786755477805</c:v>
                </c:pt>
                <c:pt idx="102">
                  <c:v>-4.4108365340486912</c:v>
                </c:pt>
                <c:pt idx="103">
                  <c:v>-4.1950053862427623</c:v>
                </c:pt>
                <c:pt idx="104">
                  <c:v>-3.9763468573164569</c:v>
                </c:pt>
                <c:pt idx="105">
                  <c:v>-3.7547269781300998</c:v>
                </c:pt>
                <c:pt idx="106">
                  <c:v>-3.5300164218093339</c:v>
                </c:pt>
                <c:pt idx="107">
                  <c:v>-3.3020907335690906</c:v>
                </c:pt>
                <c:pt idx="108">
                  <c:v>-3.070830553444766</c:v>
                </c:pt>
                <c:pt idx="109">
                  <c:v>-2.836121831602902</c:v>
                </c:pt>
                <c:pt idx="110">
                  <c:v>-2.597856035901128</c:v>
                </c:pt>
                <c:pt idx="111">
                  <c:v>-2.3559303513647589</c:v>
                </c:pt>
                <c:pt idx="112">
                  <c:v>-2.1102478712449106</c:v>
                </c:pt>
                <c:pt idx="113">
                  <c:v>-1.8607177793206013</c:v>
                </c:pt>
                <c:pt idx="114">
                  <c:v>-1.6072555231048054</c:v>
                </c:pt>
                <c:pt idx="115">
                  <c:v>-1.3497829776119992</c:v>
                </c:pt>
                <c:pt idx="116">
                  <c:v>-1.0882285993422822</c:v>
                </c:pt>
                <c:pt idx="117">
                  <c:v>-0.82252757013469102</c:v>
                </c:pt>
                <c:pt idx="118">
                  <c:v>-0.5526219305398703</c:v>
                </c:pt>
                <c:pt idx="119">
                  <c:v>-0.2784607023598234</c:v>
                </c:pt>
                <c:pt idx="120">
                  <c:v>0</c:v>
                </c:pt>
                <c:pt idx="121">
                  <c:v>0.28279686972348012</c:v>
                </c:pt>
                <c:pt idx="122">
                  <c:v>0.56995931968110969</c:v>
                </c:pt>
                <c:pt idx="123">
                  <c:v>0.8615094067938911</c:v>
                </c:pt>
                <c:pt idx="124">
                  <c:v>1.1574617690284053</c:v>
                </c:pt>
                <c:pt idx="125">
                  <c:v>1.4578235753900679</c:v>
                </c:pt>
                <c:pt idx="126">
                  <c:v>1.7625944892840357</c:v>
                </c:pt>
                <c:pt idx="127">
                  <c:v>2.0717666456156931</c:v>
                </c:pt>
                <c:pt idx="128">
                  <c:v>2.3853246420050884</c:v>
                </c:pt>
                <c:pt idx="129">
                  <c:v>2.7032455444921566</c:v>
                </c:pt>
                <c:pt idx="130">
                  <c:v>3.0254989081120081</c:v>
                </c:pt>
                <c:pt idx="131">
                  <c:v>3.3520468127220382</c:v>
                </c:pt>
                <c:pt idx="132">
                  <c:v>3.6828439144650331</c:v>
                </c:pt>
                <c:pt idx="133">
                  <c:v>4.0178375132549355</c:v>
                </c:pt>
                <c:pt idx="134">
                  <c:v>4.3569676366743799</c:v>
                </c:pt>
                <c:pt idx="135">
                  <c:v>4.700167140675525</c:v>
                </c:pt>
                <c:pt idx="136">
                  <c:v>5.047361827478241</c:v>
                </c:pt>
                <c:pt idx="137">
                  <c:v>5.3984705810620941</c:v>
                </c:pt>
                <c:pt idx="138">
                  <c:v>5.7534055206510413</c:v>
                </c:pt>
                <c:pt idx="139">
                  <c:v>6.1120721725922387</c:v>
                </c:pt>
                <c:pt idx="140">
                  <c:v>6.4743696610327763</c:v>
                </c:pt>
                <c:pt idx="141">
                  <c:v>6.8401909178006353</c:v>
                </c:pt>
                <c:pt idx="142">
                  <c:v>7.2094229118985975</c:v>
                </c:pt>
                <c:pt idx="143">
                  <c:v>7.5819468990223164</c:v>
                </c:pt>
                <c:pt idx="144">
                  <c:v>7.957638691516193</c:v>
                </c:pt>
                <c:pt idx="145">
                  <c:v>8.3363689491831447</c:v>
                </c:pt>
                <c:pt idx="146">
                  <c:v>8.7180034913668809</c:v>
                </c:pt>
                <c:pt idx="147">
                  <c:v>9.1024036307275953</c:v>
                </c:pt>
                <c:pt idx="148">
                  <c:v>9.4894265291346844</c:v>
                </c:pt>
                <c:pt idx="149">
                  <c:v>9.8789255761022687</c:v>
                </c:pt>
                <c:pt idx="150">
                  <c:v>10.270750790196022</c:v>
                </c:pt>
                <c:pt idx="151">
                  <c:v>10.664749243842028</c:v>
                </c:pt>
                <c:pt idx="152">
                  <c:v>11.06076551197105</c:v>
                </c:pt>
                <c:pt idx="153">
                  <c:v>11.458642144933879</c:v>
                </c:pt>
                <c:pt idx="154">
                  <c:v>11.858220166126008</c:v>
                </c:pt>
                <c:pt idx="155">
                  <c:v>12.259339594762231</c:v>
                </c:pt>
                <c:pt idx="156">
                  <c:v>12.661839994244325</c:v>
                </c:pt>
                <c:pt idx="157">
                  <c:v>13.065561046567344</c:v>
                </c:pt>
                <c:pt idx="158">
                  <c:v>13.470343153212552</c:v>
                </c:pt>
                <c:pt idx="159">
                  <c:v>13.876028062977426</c:v>
                </c:pt>
                <c:pt idx="160">
                  <c:v>14.282459527195702</c:v>
                </c:pt>
                <c:pt idx="161">
                  <c:v>14.689483982802843</c:v>
                </c:pt>
                <c:pt idx="162">
                  <c:v>15.096951263704685</c:v>
                </c:pt>
                <c:pt idx="163">
                  <c:v>15.504715340909643</c:v>
                </c:pt>
                <c:pt idx="164">
                  <c:v>15.912635091887179</c:v>
                </c:pt>
                <c:pt idx="165">
                  <c:v>16.320575099617663</c:v>
                </c:pt>
                <c:pt idx="166">
                  <c:v>16.728406481801446</c:v>
                </c:pt>
                <c:pt idx="167">
                  <c:v>17.136007750697019</c:v>
                </c:pt>
                <c:pt idx="168">
                  <c:v>17.543265704061035</c:v>
                </c:pt>
                <c:pt idx="169">
                  <c:v>17.950076347665085</c:v>
                </c:pt>
                <c:pt idx="170">
                  <c:v>18.356345849866688</c:v>
                </c:pt>
                <c:pt idx="171">
                  <c:v>18.761991528714528</c:v>
                </c:pt>
                <c:pt idx="172">
                  <c:v>19.166942872070148</c:v>
                </c:pt>
                <c:pt idx="173">
                  <c:v>19.571142591231112</c:v>
                </c:pt>
                <c:pt idx="174">
                  <c:v>19.974547708542794</c:v>
                </c:pt>
                <c:pt idx="175">
                  <c:v>20.377130679488598</c:v>
                </c:pt>
                <c:pt idx="176">
                  <c:v>20.778880549750745</c:v>
                </c:pt>
                <c:pt idx="177">
                  <c:v>21.179804147736363</c:v>
                </c:pt>
                <c:pt idx="178">
                  <c:v>21.579927313065888</c:v>
                </c:pt>
                <c:pt idx="179">
                  <c:v>21.979296161523486</c:v>
                </c:pt>
                <c:pt idx="180">
                  <c:v>22.377978386971247</c:v>
                </c:pt>
                <c:pt idx="181">
                  <c:v>22.776064600731942</c:v>
                </c:pt>
                <c:pt idx="182">
                  <c:v>23.173669708947017</c:v>
                </c:pt>
                <c:pt idx="183">
                  <c:v>23.570934328419273</c:v>
                </c:pt>
                <c:pt idx="184">
                  <c:v>23.968026241452208</c:v>
                </c:pt>
                <c:pt idx="185">
                  <c:v>24.3651418902</c:v>
                </c:pt>
                <c:pt idx="186">
                  <c:v>24.762507911045194</c:v>
                </c:pt>
                <c:pt idx="187">
                  <c:v>25.160382709523091</c:v>
                </c:pt>
                <c:pt idx="188">
                  <c:v>25.559058076314567</c:v>
                </c:pt>
                <c:pt idx="189">
                  <c:v>25.95886084483136</c:v>
                </c:pt>
                <c:pt idx="190">
                  <c:v>26.360154590920516</c:v>
                </c:pt>
                <c:pt idx="191">
                  <c:v>26.763341375216815</c:v>
                </c:pt>
                <c:pt idx="192">
                  <c:v>27.168863528674866</c:v>
                </c:pt>
                <c:pt idx="193">
                  <c:v>27.577205481814609</c:v>
                </c:pt>
                <c:pt idx="194">
                  <c:v>27.988895638216647</c:v>
                </c:pt>
                <c:pt idx="195">
                  <c:v>28.404508292806394</c:v>
                </c:pt>
                <c:pt idx="196">
                  <c:v>28.824665595468062</c:v>
                </c:pt>
                <c:pt idx="197">
                  <c:v>29.250039560532411</c:v>
                </c:pt>
                <c:pt idx="198">
                  <c:v>29.681354122684478</c:v>
                </c:pt>
                <c:pt idx="199">
                  <c:v>30.119387239839757</c:v>
                </c:pt>
                <c:pt idx="200">
                  <c:v>30.564973043540157</c:v>
                </c:pt>
              </c:numCache>
            </c:numRef>
          </c:yVal>
          <c:smooth val="1"/>
        </c:ser>
        <c:dLbls>
          <c:showLegendKey val="0"/>
          <c:showVal val="0"/>
          <c:showCatName val="0"/>
          <c:showSerName val="0"/>
          <c:showPercent val="0"/>
          <c:showBubbleSize val="0"/>
        </c:dLbls>
        <c:axId val="452971192"/>
        <c:axId val="452971584"/>
      </c:scatterChart>
      <c:valAx>
        <c:axId val="45297119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71584"/>
        <c:crossesAt val="-1000"/>
        <c:crossBetween val="midCat"/>
      </c:valAx>
      <c:valAx>
        <c:axId val="452971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7119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130</v>
      </c>
    </row>
    <row r="22" spans="1:2" s="11" customFormat="1" x14ac:dyDescent="0.25">
      <c r="A22" s="61" t="s">
        <v>157</v>
      </c>
      <c r="B22" s="99">
        <f>CTE!N8-0.5</f>
        <v>140</v>
      </c>
    </row>
    <row r="23" spans="1:2" s="11" customFormat="1" x14ac:dyDescent="0.25">
      <c r="A23" s="61" t="s">
        <v>158</v>
      </c>
      <c r="B23" s="99">
        <f>CTE!N9</f>
        <v>180.5</v>
      </c>
    </row>
    <row r="24" spans="1:2" s="11" customFormat="1" x14ac:dyDescent="0.25"/>
    <row r="25" spans="1:2" s="11" customFormat="1" x14ac:dyDescent="0.25">
      <c r="A25" s="61" t="s">
        <v>147</v>
      </c>
      <c r="B25" s="53">
        <f>CTE!O5</f>
        <v>2.4226182285714289E-5</v>
      </c>
    </row>
    <row r="26" spans="1:2" s="11" customFormat="1" x14ac:dyDescent="0.25">
      <c r="A26" s="61" t="s">
        <v>148</v>
      </c>
      <c r="B26" s="53">
        <f>CTE!O6</f>
        <v>2.6648912571428573E-5</v>
      </c>
    </row>
    <row r="27" spans="1:2" s="11" customFormat="1" x14ac:dyDescent="0.25">
      <c r="A27" s="61" t="s">
        <v>149</v>
      </c>
      <c r="B27" s="53">
        <f>CTE!O8</f>
        <v>7.4083502857142863E-5</v>
      </c>
    </row>
    <row r="28" spans="1:2" s="11" customFormat="1" x14ac:dyDescent="0.25">
      <c r="A28" s="61" t="s">
        <v>150</v>
      </c>
      <c r="B28" s="53">
        <f>CTE!O9</f>
        <v>7.3900625714285717E-5</v>
      </c>
    </row>
    <row r="29" spans="1:2" s="11" customFormat="1" x14ac:dyDescent="0.25">
      <c r="A29" s="61"/>
    </row>
    <row r="30" spans="1:2" s="11" customFormat="1" x14ac:dyDescent="0.25">
      <c r="A30" s="61" t="s">
        <v>151</v>
      </c>
      <c r="B30" s="52">
        <f>CTE!P5</f>
        <v>2.4147830526315789E-5</v>
      </c>
    </row>
    <row r="31" spans="1:2" s="11" customFormat="1" x14ac:dyDescent="0.25">
      <c r="A31" s="61" t="s">
        <v>152</v>
      </c>
      <c r="B31" s="52">
        <f>CTE!P6</f>
        <v>2.650956736842105E-5</v>
      </c>
    </row>
    <row r="32" spans="1:2" s="11" customFormat="1" x14ac:dyDescent="0.25">
      <c r="A32" s="61" t="s">
        <v>153</v>
      </c>
      <c r="B32" s="52">
        <f>CTE!P8</f>
        <v>6.7455582105263172E-5</v>
      </c>
    </row>
    <row r="33" spans="1:2" s="11" customFormat="1" x14ac:dyDescent="0.25">
      <c r="A33" s="61" t="s">
        <v>154</v>
      </c>
      <c r="B33" s="52">
        <f>CTE!P9</f>
        <v>6.8093082105263154E-5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0.28062327447554514</v>
      </c>
      <c r="D59" s="55">
        <v>1</v>
      </c>
    </row>
    <row r="60" spans="1:4" s="11" customFormat="1" x14ac:dyDescent="0.25">
      <c r="A60" s="54">
        <v>2</v>
      </c>
      <c r="B60" s="56">
        <f>'Shiftfunktion bestimmen'!N2</f>
        <v>2.1683870963651627E-3</v>
      </c>
      <c r="D60" s="55">
        <v>2</v>
      </c>
    </row>
    <row r="61" spans="1:4" s="11" customFormat="1" x14ac:dyDescent="0.25">
      <c r="A61" s="54">
        <v>3</v>
      </c>
      <c r="B61" s="56">
        <f>'Shiftfunktion bestimmen'!N3</f>
        <v>5.5122484555287574E-6</v>
      </c>
      <c r="D61" s="55">
        <v>3</v>
      </c>
    </row>
    <row r="62" spans="1:4" s="11" customFormat="1" x14ac:dyDescent="0.25">
      <c r="A62" s="54">
        <v>4</v>
      </c>
      <c r="B62" s="56">
        <f>'Shiftfunktion bestimmen'!N4</f>
        <v>-3.0343157297387083E-7</v>
      </c>
      <c r="D62" s="55">
        <v>4</v>
      </c>
    </row>
    <row r="63" spans="1:4" s="11" customFormat="1" x14ac:dyDescent="0.25">
      <c r="A63" s="54">
        <v>5</v>
      </c>
      <c r="B63" s="56">
        <f>'Shiftfunktion bestimmen'!N5</f>
        <v>-6.8242100225649196E-10</v>
      </c>
      <c r="D63" s="55">
        <v>5</v>
      </c>
    </row>
    <row r="64" spans="1:4" s="11" customFormat="1" x14ac:dyDescent="0.25">
      <c r="A64" s="54">
        <v>6</v>
      </c>
      <c r="B64" s="56">
        <f>'Shiftfunktion bestimmen'!N6</f>
        <v>1.7036110974421873E-11</v>
      </c>
      <c r="D64" s="55">
        <v>6</v>
      </c>
    </row>
    <row r="65" spans="1:5" s="11" customFormat="1" x14ac:dyDescent="0.25">
      <c r="A65" s="54">
        <v>7</v>
      </c>
      <c r="B65" s="56">
        <f>'Shiftfunktion bestimmen'!N7</f>
        <v>7.2089581351429132E-14</v>
      </c>
      <c r="D65" s="55">
        <v>7</v>
      </c>
    </row>
    <row r="66" spans="1:5" x14ac:dyDescent="0.25">
      <c r="A66" s="54">
        <v>8</v>
      </c>
      <c r="B66" s="56">
        <f>'Shiftfunktion bestimmen'!N8</f>
        <v>6.087687990107011E-17</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2.2478557622785819E-2</v>
      </c>
      <c r="D74" s="51">
        <v>1</v>
      </c>
      <c r="E74" s="56">
        <f>'Mastercurve bestimmen'!A18</f>
        <v>1.0000000000000001E-20</v>
      </c>
    </row>
    <row r="75" spans="1:5" x14ac:dyDescent="0.25">
      <c r="A75" s="50">
        <f>A74+1</f>
        <v>2</v>
      </c>
      <c r="B75" s="56">
        <f>'Mastercurve bestimmen'!C19</f>
        <v>5.0926864715406528E-2</v>
      </c>
      <c r="D75" s="51">
        <v>2</v>
      </c>
      <c r="E75" s="56">
        <f>'Mastercurve bestimmen'!A19</f>
        <v>3.9038946506297401E-14</v>
      </c>
    </row>
    <row r="76" spans="1:5" x14ac:dyDescent="0.25">
      <c r="A76" s="50">
        <f t="shared" ref="A76:A104" si="0">A75+1</f>
        <v>3</v>
      </c>
      <c r="B76" s="56">
        <f>'Mastercurve bestimmen'!C20</f>
        <v>9.6937150322574731E-3</v>
      </c>
      <c r="D76" s="51">
        <v>3</v>
      </c>
      <c r="E76" s="56">
        <f>'Mastercurve bestimmen'!A20</f>
        <v>4.3276437088188502E-13</v>
      </c>
    </row>
    <row r="77" spans="1:5" x14ac:dyDescent="0.25">
      <c r="A77" s="50">
        <f t="shared" si="0"/>
        <v>4</v>
      </c>
      <c r="B77" s="56">
        <f>'Mastercurve bestimmen'!C21</f>
        <v>2.5359184369906522E-2</v>
      </c>
      <c r="D77" s="51">
        <v>4</v>
      </c>
      <c r="E77" s="56">
        <f>'Mastercurve bestimmen'!A21</f>
        <v>4.7973886968128502E-12</v>
      </c>
    </row>
    <row r="78" spans="1:5" x14ac:dyDescent="0.25">
      <c r="A78" s="50">
        <f t="shared" si="0"/>
        <v>5</v>
      </c>
      <c r="B78" s="56">
        <f>'Mastercurve bestimmen'!C22</f>
        <v>2.3102406802677788E-2</v>
      </c>
      <c r="D78" s="51">
        <v>5</v>
      </c>
      <c r="E78" s="56">
        <f>'Mastercurve bestimmen'!A22</f>
        <v>5.31812225239524E-11</v>
      </c>
    </row>
    <row r="79" spans="1:5" x14ac:dyDescent="0.25">
      <c r="A79" s="50">
        <f t="shared" si="0"/>
        <v>6</v>
      </c>
      <c r="B79" s="56">
        <f>'Mastercurve bestimmen'!C23</f>
        <v>2.764823302831592E-2</v>
      </c>
      <c r="D79" s="51">
        <v>6</v>
      </c>
      <c r="E79" s="56">
        <f>'Mastercurve bestimmen'!A23</f>
        <v>5.8953789402578301E-10</v>
      </c>
    </row>
    <row r="80" spans="1:5" x14ac:dyDescent="0.25">
      <c r="A80" s="50">
        <f t="shared" si="0"/>
        <v>7</v>
      </c>
      <c r="B80" s="56">
        <f>'Mastercurve bestimmen'!C24</f>
        <v>2.9569052695064539E-2</v>
      </c>
      <c r="D80" s="51">
        <v>7</v>
      </c>
      <c r="E80" s="56">
        <f>'Mastercurve bestimmen'!A24</f>
        <v>6.5352940755699598E-9</v>
      </c>
    </row>
    <row r="81" spans="1:5" x14ac:dyDescent="0.25">
      <c r="A81" s="50">
        <f t="shared" si="0"/>
        <v>8</v>
      </c>
      <c r="B81" s="56">
        <f>'Mastercurve bestimmen'!C25</f>
        <v>2.9954793945684E-2</v>
      </c>
      <c r="D81" s="51">
        <v>8</v>
      </c>
      <c r="E81" s="56">
        <f>'Mastercurve bestimmen'!A25</f>
        <v>7.2446689325643296E-8</v>
      </c>
    </row>
    <row r="82" spans="1:5" x14ac:dyDescent="0.25">
      <c r="A82" s="50">
        <f t="shared" si="0"/>
        <v>9</v>
      </c>
      <c r="B82" s="56">
        <f>'Mastercurve bestimmen'!C26</f>
        <v>2.7077191993234564E-2</v>
      </c>
      <c r="D82" s="51">
        <f>A82</f>
        <v>9</v>
      </c>
      <c r="E82" s="56">
        <f>'Mastercurve bestimmen'!A26</f>
        <v>8.03104303120212E-7</v>
      </c>
    </row>
    <row r="83" spans="1:5" x14ac:dyDescent="0.25">
      <c r="A83" s="50">
        <f t="shared" si="0"/>
        <v>10</v>
      </c>
      <c r="B83" s="56">
        <f>'Mastercurve bestimmen'!C27</f>
        <v>3.1999713533519658E-2</v>
      </c>
      <c r="C83" s="11"/>
      <c r="D83" s="51">
        <f t="shared" ref="D83:D104" si="1">A83</f>
        <v>10</v>
      </c>
      <c r="E83" s="56">
        <f>'Mastercurve bestimmen'!A27</f>
        <v>8.9027742702096099E-6</v>
      </c>
    </row>
    <row r="84" spans="1:5" x14ac:dyDescent="0.25">
      <c r="A84" s="50">
        <f t="shared" si="0"/>
        <v>11</v>
      </c>
      <c r="B84" s="56">
        <f>'Mastercurve bestimmen'!C28</f>
        <v>4.092704528723929E-2</v>
      </c>
      <c r="C84" s="11"/>
      <c r="D84" s="51">
        <f t="shared" si="1"/>
        <v>11</v>
      </c>
      <c r="E84" s="56">
        <f>'Mastercurve bestimmen'!A28</f>
        <v>9.86912775817142E-5</v>
      </c>
    </row>
    <row r="85" spans="1:5" x14ac:dyDescent="0.25">
      <c r="A85" s="50">
        <f t="shared" si="0"/>
        <v>12</v>
      </c>
      <c r="B85" s="56">
        <f>'Mastercurve bestimmen'!C29</f>
        <v>4.0580339082525729E-2</v>
      </c>
      <c r="C85" s="11"/>
      <c r="D85" s="51">
        <f t="shared" si="1"/>
        <v>12</v>
      </c>
      <c r="E85" s="56">
        <f>'Mastercurve bestimmen'!A29</f>
        <v>1.0940374286813801E-3</v>
      </c>
    </row>
    <row r="86" spans="1:5" x14ac:dyDescent="0.25">
      <c r="A86" s="50">
        <f t="shared" si="0"/>
        <v>13</v>
      </c>
      <c r="B86" s="56">
        <f>'Mastercurve bestimmen'!C30</f>
        <v>2.9296968108172214E-2</v>
      </c>
      <c r="C86" s="11"/>
      <c r="D86" s="51">
        <f t="shared" si="1"/>
        <v>13</v>
      </c>
      <c r="E86" s="56">
        <f>'Mastercurve bestimmen'!A30</f>
        <v>1.2127899493091E-2</v>
      </c>
    </row>
    <row r="87" spans="1:5" x14ac:dyDescent="0.25">
      <c r="A87" s="50">
        <f t="shared" si="0"/>
        <v>14</v>
      </c>
      <c r="B87" s="56">
        <f>'Mastercurve bestimmen'!C31</f>
        <v>3.1189849975264177E-2</v>
      </c>
      <c r="C87" s="11"/>
      <c r="D87" s="51">
        <f t="shared" si="1"/>
        <v>14</v>
      </c>
      <c r="E87" s="56">
        <f>'Mastercurve bestimmen'!A31</f>
        <v>0.13444324870292301</v>
      </c>
    </row>
    <row r="88" spans="1:5" x14ac:dyDescent="0.25">
      <c r="A88" s="50">
        <f t="shared" si="0"/>
        <v>15</v>
      </c>
      <c r="B88" s="56">
        <f>'Mastercurve bestimmen'!C32</f>
        <v>2.9811720745936274E-2</v>
      </c>
      <c r="C88" s="11"/>
      <c r="D88" s="51">
        <f t="shared" si="1"/>
        <v>15</v>
      </c>
      <c r="E88" s="56">
        <f>'Mastercurve bestimmen'!A32</f>
        <v>1.49036419143257</v>
      </c>
    </row>
    <row r="89" spans="1:5" x14ac:dyDescent="0.25">
      <c r="A89" s="50">
        <f t="shared" si="0"/>
        <v>16</v>
      </c>
      <c r="B89" s="56">
        <f>'Mastercurve bestimmen'!C33</f>
        <v>3.5101091393318837E-2</v>
      </c>
      <c r="C89" s="11"/>
      <c r="D89" s="51">
        <f t="shared" si="1"/>
        <v>16</v>
      </c>
      <c r="E89" s="56">
        <f>'Mastercurve bestimmen'!A33</f>
        <v>16.521360830937301</v>
      </c>
    </row>
    <row r="90" spans="1:5" x14ac:dyDescent="0.25">
      <c r="A90" s="50">
        <f t="shared" si="0"/>
        <v>17</v>
      </c>
      <c r="B90" s="56">
        <f>'Mastercurve bestimmen'!C34</f>
        <v>3.5333951268882481E-2</v>
      </c>
      <c r="C90" s="11"/>
      <c r="D90" s="51">
        <f t="shared" si="1"/>
        <v>17</v>
      </c>
      <c r="E90" s="56">
        <f>'Mastercurve bestimmen'!A34</f>
        <v>183.146753843879</v>
      </c>
    </row>
    <row r="91" spans="1:5" x14ac:dyDescent="0.25">
      <c r="A91" s="50">
        <f t="shared" si="0"/>
        <v>18</v>
      </c>
      <c r="B91" s="56">
        <f>'Mastercurve bestimmen'!C35</f>
        <v>3.9261973776363202E-2</v>
      </c>
      <c r="C91" s="11"/>
      <c r="D91" s="51">
        <f t="shared" si="1"/>
        <v>18</v>
      </c>
      <c r="E91" s="56">
        <f>'Mastercurve bestimmen'!A35</f>
        <v>2030.26456396616</v>
      </c>
    </row>
    <row r="92" spans="1:5" x14ac:dyDescent="0.25">
      <c r="A92" s="50">
        <f t="shared" si="0"/>
        <v>19</v>
      </c>
      <c r="B92" s="56">
        <f>'Mastercurve bestimmen'!C36</f>
        <v>3.7079136060128547E-2</v>
      </c>
      <c r="C92" s="11"/>
      <c r="D92" s="51">
        <f t="shared" si="1"/>
        <v>19</v>
      </c>
      <c r="E92" s="56">
        <f>'Mastercurve bestimmen'!A36</f>
        <v>22506.400540467101</v>
      </c>
    </row>
    <row r="93" spans="1:5" x14ac:dyDescent="0.25">
      <c r="A93" s="50">
        <f t="shared" si="0"/>
        <v>20</v>
      </c>
      <c r="B93" s="56">
        <f>'Mastercurve bestimmen'!C37</f>
        <v>4.610056969230196E-2</v>
      </c>
      <c r="C93" s="11"/>
      <c r="D93" s="51">
        <f t="shared" si="1"/>
        <v>20</v>
      </c>
      <c r="E93" s="56">
        <f>'Mastercurve bestimmen'!A37</f>
        <v>249493.62476110301</v>
      </c>
    </row>
    <row r="94" spans="1:5" x14ac:dyDescent="0.25">
      <c r="A94" s="50">
        <f t="shared" si="0"/>
        <v>21</v>
      </c>
      <c r="B94" s="56">
        <f>'Mastercurve bestimmen'!C38</f>
        <v>2.4069457926978895E-2</v>
      </c>
      <c r="C94" s="11"/>
      <c r="D94" s="51">
        <f t="shared" si="1"/>
        <v>21</v>
      </c>
      <c r="E94" s="56">
        <f>'Mastercurve bestimmen'!A38</f>
        <v>2765749.6224023802</v>
      </c>
    </row>
    <row r="95" spans="1:5" x14ac:dyDescent="0.25">
      <c r="A95" s="50">
        <f t="shared" si="0"/>
        <v>22</v>
      </c>
      <c r="B95" s="56">
        <f>'Mastercurve bestimmen'!C39</f>
        <v>4.2363904015121308E-2</v>
      </c>
      <c r="C95" s="11"/>
      <c r="D95" s="51">
        <f t="shared" si="1"/>
        <v>22</v>
      </c>
      <c r="E95" s="56">
        <f>'Mastercurve bestimmen'!A39</f>
        <v>10000000</v>
      </c>
    </row>
    <row r="96" spans="1:5" x14ac:dyDescent="0.25">
      <c r="A96" s="50">
        <f t="shared" si="0"/>
        <v>23</v>
      </c>
      <c r="B96" s="56">
        <f>'Mastercurve bestimmen'!C40</f>
        <v>5.5125175365667731E-2</v>
      </c>
      <c r="C96" s="11"/>
      <c r="D96" s="51">
        <f t="shared" si="1"/>
        <v>23</v>
      </c>
      <c r="E96" s="56">
        <f>'Mastercurve bestimmen'!A40</f>
        <v>100000000</v>
      </c>
    </row>
    <row r="97" spans="1:5" x14ac:dyDescent="0.25">
      <c r="A97" s="50">
        <f t="shared" si="0"/>
        <v>24</v>
      </c>
      <c r="B97" s="56">
        <f>'Mastercurve bestimmen'!C41</f>
        <v>5.6884717195846243E-2</v>
      </c>
      <c r="C97" s="11"/>
      <c r="D97" s="51">
        <f t="shared" si="1"/>
        <v>24</v>
      </c>
      <c r="E97" s="56">
        <f>'Mastercurve bestimmen'!A41</f>
        <v>1000000000</v>
      </c>
    </row>
    <row r="98" spans="1:5" x14ac:dyDescent="0.25">
      <c r="A98" s="50">
        <f t="shared" si="0"/>
        <v>25</v>
      </c>
      <c r="B98" s="56">
        <f>'Mastercurve bestimmen'!C42</f>
        <v>5.455134576807355E-2</v>
      </c>
      <c r="C98" s="11"/>
      <c r="D98" s="51">
        <f t="shared" si="1"/>
        <v>25</v>
      </c>
      <c r="E98" s="56">
        <f>'Mastercurve bestimmen'!A42</f>
        <v>10000000000</v>
      </c>
    </row>
    <row r="99" spans="1:5" x14ac:dyDescent="0.25">
      <c r="A99" s="50">
        <f t="shared" si="0"/>
        <v>26</v>
      </c>
      <c r="B99" s="56">
        <f>'Mastercurve bestimmen'!C43</f>
        <v>3.7051538899778975E-2</v>
      </c>
      <c r="C99" s="11"/>
      <c r="D99" s="51">
        <f t="shared" si="1"/>
        <v>26</v>
      </c>
      <c r="E99" s="56">
        <f>'Mastercurve bestimmen'!A43</f>
        <v>100000000000</v>
      </c>
    </row>
    <row r="100" spans="1:5" x14ac:dyDescent="0.25">
      <c r="A100" s="50">
        <f t="shared" si="0"/>
        <v>27</v>
      </c>
      <c r="B100" s="56">
        <f>'Mastercurve bestimmen'!C44</f>
        <v>2.3553362774933962E-2</v>
      </c>
      <c r="C100" s="11"/>
      <c r="D100" s="51">
        <f t="shared" si="1"/>
        <v>27</v>
      </c>
      <c r="E100" s="56">
        <f>'Mastercurve bestimmen'!A44</f>
        <v>1000000000000</v>
      </c>
    </row>
    <row r="101" spans="1:5" x14ac:dyDescent="0.25">
      <c r="A101" s="50">
        <f t="shared" si="0"/>
        <v>28</v>
      </c>
      <c r="B101" s="56">
        <f>'Mastercurve bestimmen'!C45</f>
        <v>8.915333557989135E-3</v>
      </c>
      <c r="C101" s="11"/>
      <c r="D101" s="51">
        <f t="shared" si="1"/>
        <v>28</v>
      </c>
      <c r="E101" s="56">
        <f>'Mastercurve bestimmen'!A45</f>
        <v>10000000000000</v>
      </c>
    </row>
    <row r="102" spans="1:5" x14ac:dyDescent="0.25">
      <c r="A102" s="50">
        <f t="shared" si="0"/>
        <v>29</v>
      </c>
      <c r="B102" s="56">
        <f>'Mastercurve bestimmen'!C46</f>
        <v>6.6530683932672779E-3</v>
      </c>
      <c r="C102" s="11"/>
      <c r="D102" s="51">
        <f t="shared" si="1"/>
        <v>29</v>
      </c>
      <c r="E102" s="56">
        <f>'Mastercurve bestimmen'!A46</f>
        <v>100000000000000</v>
      </c>
    </row>
    <row r="103" spans="1:5" x14ac:dyDescent="0.25">
      <c r="A103" s="50">
        <f t="shared" si="0"/>
        <v>30</v>
      </c>
      <c r="B103" s="56">
        <f>'Mastercurve bestimmen'!C47</f>
        <v>6.4465417196877487E-4</v>
      </c>
      <c r="C103" s="11"/>
      <c r="D103" s="51">
        <f t="shared" si="1"/>
        <v>30</v>
      </c>
      <c r="E103" s="56">
        <f>'Mastercurve bestimmen'!A47</f>
        <v>1000000000000000</v>
      </c>
    </row>
    <row r="104" spans="1:5" x14ac:dyDescent="0.25">
      <c r="A104" s="50">
        <f t="shared" si="0"/>
        <v>31</v>
      </c>
      <c r="B104" s="56">
        <f>'Mastercurve bestimmen'!C48</f>
        <v>7.8044740016632993E-3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15235.672</v>
      </c>
    </row>
    <row r="108" spans="1:5" s="11" customFormat="1" x14ac:dyDescent="0.25">
      <c r="A108" s="61" t="str">
        <f>STUTT!B3</f>
        <v>mp,PRXY,MatID,</v>
      </c>
      <c r="B108" s="52">
        <f>STUTT!C3</f>
        <v>0.31467448999999997</v>
      </c>
    </row>
    <row r="109" spans="1:5" s="11" customFormat="1" x14ac:dyDescent="0.25">
      <c r="A109" s="61" t="str">
        <f>STUTT!B4</f>
        <v>mp,ey,MatID,</v>
      </c>
      <c r="B109" s="52">
        <f>STUTT!C4</f>
        <v>16591.558000000001</v>
      </c>
    </row>
    <row r="110" spans="1:5" s="11" customFormat="1" x14ac:dyDescent="0.25">
      <c r="A110" s="61" t="str">
        <f>STUTT!B5</f>
        <v>mp,PRYZ,MatID,</v>
      </c>
      <c r="B110" s="52">
        <f>STUTT!C5</f>
        <v>0.34269966000000002</v>
      </c>
    </row>
    <row r="111" spans="1:5" s="11" customFormat="1" x14ac:dyDescent="0.25">
      <c r="A111" s="61" t="str">
        <f>STUTT!B6</f>
        <v>mp,ez,MatID,</v>
      </c>
      <c r="B111" s="52">
        <f>STUTT!C6</f>
        <v>15235.672</v>
      </c>
    </row>
    <row r="112" spans="1:5" s="11" customFormat="1" x14ac:dyDescent="0.25">
      <c r="A112" s="61" t="str">
        <f>STUTT!B7</f>
        <v>mp,PRXZ,MatID,</v>
      </c>
      <c r="B112" s="52">
        <f>STUTT!C7</f>
        <v>0.35689667000000003</v>
      </c>
    </row>
    <row r="113" spans="1:4" s="11" customFormat="1" x14ac:dyDescent="0.25">
      <c r="A113" s="61" t="str">
        <f>STUTT!B8</f>
        <v>MP,GXZ,</v>
      </c>
      <c r="B113" s="52" t="str">
        <f>STUTT!C8</f>
        <v>MatID,</v>
      </c>
      <c r="C113" s="112">
        <f>STUTT!D8</f>
        <v>5614.1607000000004</v>
      </c>
      <c r="D113" s="112"/>
    </row>
    <row r="114" spans="1:4" s="11" customFormat="1" x14ac:dyDescent="0.25">
      <c r="A114" s="61" t="str">
        <f>STUTT!B9</f>
        <v>MP,GXY,</v>
      </c>
      <c r="B114" s="52" t="str">
        <f>STUTT!C9</f>
        <v>MatID,</v>
      </c>
      <c r="C114" s="112">
        <f>STUTT!D9</f>
        <v>6353.6364000000003</v>
      </c>
      <c r="D114" s="112"/>
    </row>
    <row r="115" spans="1:4" x14ac:dyDescent="0.25">
      <c r="A115" s="61" t="str">
        <f>STUTT!B10</f>
        <v>MP,GYZ,</v>
      </c>
      <c r="B115" s="52" t="str">
        <f>STUTT!C10</f>
        <v>MatID,</v>
      </c>
      <c r="C115" s="112">
        <f>STUTT!D10</f>
        <v>6353.6364000000003</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1.2240000000000001E-7</v>
      </c>
      <c r="C3" s="3">
        <v>1.1459999999999999E-6</v>
      </c>
      <c r="D3" s="3">
        <v>1.2240000000000001E-7</v>
      </c>
      <c r="E3" s="3">
        <v>-1.3499999999999999E-5</v>
      </c>
      <c r="F3" s="3">
        <v>-1.3499999999999999E-5</v>
      </c>
      <c r="G3" s="3">
        <v>-1.3499999999999999E-5</v>
      </c>
      <c r="H3" s="3">
        <v>-4.2429245999999999E-6</v>
      </c>
      <c r="I3" s="3">
        <v>-1.1442006E-6</v>
      </c>
      <c r="J3" s="3">
        <v>-4.2429245999999999E-6</v>
      </c>
      <c r="L3" s="48">
        <f>ABS(H3/(-0.5)/$L$1)</f>
        <v>2.4245283428571431E-5</v>
      </c>
      <c r="R3">
        <f>ABS(I3/(-0.5)/$R$1)</f>
        <v>2.4088433684210526E-5</v>
      </c>
    </row>
    <row r="4" spans="1:18" x14ac:dyDescent="0.25">
      <c r="A4">
        <v>-39</v>
      </c>
      <c r="B4" s="3">
        <v>-1.226E-7</v>
      </c>
      <c r="C4" s="3">
        <v>-1.145E-6</v>
      </c>
      <c r="D4" s="3">
        <v>-1.226E-7</v>
      </c>
      <c r="E4" s="3">
        <v>1.3499999999999999E-5</v>
      </c>
      <c r="F4" s="3">
        <v>1.3499999999999999E-5</v>
      </c>
      <c r="G4" s="3">
        <v>1.3499999999999999E-5</v>
      </c>
      <c r="H4" s="3">
        <v>4.2428435000000001E-6</v>
      </c>
      <c r="I4" s="3">
        <v>1.1442690999999999E-6</v>
      </c>
      <c r="J4" s="3">
        <v>4.2428435000000001E-6</v>
      </c>
      <c r="L4" s="48">
        <f t="shared" ref="L4:L14" si="0">ABS(H4/(-0.5)/$L$1)</f>
        <v>2.4244820000000003E-5</v>
      </c>
      <c r="N4" s="39" t="s">
        <v>27</v>
      </c>
      <c r="O4" s="39" t="s">
        <v>131</v>
      </c>
      <c r="P4" s="85" t="s">
        <v>132</v>
      </c>
      <c r="R4" s="11">
        <f t="shared" ref="R4:R14" si="1">ABS(I4/(-0.5)/$R$1)</f>
        <v>2.4089875789473683E-5</v>
      </c>
    </row>
    <row r="5" spans="1:18" x14ac:dyDescent="0.25">
      <c r="A5">
        <v>0</v>
      </c>
      <c r="B5" s="3">
        <v>1.303E-7</v>
      </c>
      <c r="C5" s="3">
        <v>1.1200000000000001E-6</v>
      </c>
      <c r="D5" s="3">
        <v>1.303E-7</v>
      </c>
      <c r="E5" s="3">
        <v>-1.3499999999999999E-5</v>
      </c>
      <c r="F5" s="3">
        <v>-1.3499999999999999E-5</v>
      </c>
      <c r="G5" s="3">
        <v>-1.3499999999999999E-5</v>
      </c>
      <c r="H5" s="3">
        <v>-4.2396238999999999E-6</v>
      </c>
      <c r="I5" s="3">
        <v>-1.1469864999999999E-6</v>
      </c>
      <c r="J5" s="3">
        <v>-4.2396238999999999E-6</v>
      </c>
      <c r="L5" s="48">
        <f t="shared" si="0"/>
        <v>2.4226422285714285E-5</v>
      </c>
      <c r="M5" s="48"/>
      <c r="N5" s="10">
        <f>(INDEX(A:A,ROW(A2)*2+1)+INDEX(A:A,ROW(A2)*2+2))/2</f>
        <v>0.5</v>
      </c>
      <c r="O5" s="89">
        <f>(INDEX(L:L,ROW(L2)*2+1)+INDEX(L:L,ROW(L2)*2+2))/2</f>
        <v>2.4226182285714289E-5</v>
      </c>
      <c r="P5" s="89">
        <f>(INDEX(R:R,ROW(M2)*2+1)+INDEX(R:R,ROW(R2)*2+2))/2</f>
        <v>2.4147830526315789E-5</v>
      </c>
      <c r="R5" s="11">
        <f t="shared" si="1"/>
        <v>2.4147084210526313E-5</v>
      </c>
    </row>
    <row r="6" spans="1:18" x14ac:dyDescent="0.25">
      <c r="A6">
        <v>1</v>
      </c>
      <c r="B6" s="3">
        <v>-1.3050000000000001E-7</v>
      </c>
      <c r="C6" s="3">
        <v>-1.1200000000000001E-6</v>
      </c>
      <c r="D6" s="3">
        <v>-1.3050000000000001E-7</v>
      </c>
      <c r="E6" s="3">
        <v>1.3499999999999999E-5</v>
      </c>
      <c r="F6" s="3">
        <v>1.3499999999999999E-5</v>
      </c>
      <c r="G6" s="3">
        <v>1.3499999999999999E-5</v>
      </c>
      <c r="H6" s="3">
        <v>4.2395399000000001E-6</v>
      </c>
      <c r="I6" s="3">
        <v>1.1470574E-6</v>
      </c>
      <c r="J6" s="3">
        <v>4.2395399000000001E-6</v>
      </c>
      <c r="L6" s="48">
        <f t="shared" si="0"/>
        <v>2.4225942285714289E-5</v>
      </c>
      <c r="M6" s="49"/>
      <c r="N6" s="10">
        <f>(INDEX(A:A,ROW(A3)*2+1)+INDEX(A:A,ROW(A3)*2+2))/2</f>
        <v>130.5</v>
      </c>
      <c r="O6" s="89">
        <f t="shared" ref="O6:O7" si="2">(INDEX(L:L,ROW(L3)*2+1)+INDEX(L:L,ROW(L3)*2+2))/2</f>
        <v>2.6648912571428573E-5</v>
      </c>
      <c r="P6" s="89">
        <f t="shared" ref="P6:P9" si="3">(INDEX(R:R,ROW(M3)*2+1)+INDEX(R:R,ROW(R3)*2+2))/2</f>
        <v>2.650956736842105E-5</v>
      </c>
      <c r="R6" s="11">
        <f t="shared" si="1"/>
        <v>2.4148576842105264E-5</v>
      </c>
    </row>
    <row r="7" spans="1:18" x14ac:dyDescent="0.25">
      <c r="A7">
        <v>130</v>
      </c>
      <c r="B7" s="3">
        <v>1.5809999999999999E-7</v>
      </c>
      <c r="C7" s="3">
        <v>1.2929999999999999E-6</v>
      </c>
      <c r="D7" s="3">
        <v>1.5809999999999999E-7</v>
      </c>
      <c r="E7" s="3">
        <v>-1.435E-5</v>
      </c>
      <c r="F7" s="3">
        <v>-1.435E-5</v>
      </c>
      <c r="G7" s="3">
        <v>-1.435E-5</v>
      </c>
      <c r="H7" s="3">
        <v>-4.4458521000000004E-6</v>
      </c>
      <c r="I7" s="3">
        <v>-1.2079535E-6</v>
      </c>
      <c r="J7" s="3">
        <v>-4.4458521000000004E-6</v>
      </c>
      <c r="L7" s="48">
        <f t="shared" si="0"/>
        <v>2.5404869142857148E-5</v>
      </c>
      <c r="M7" s="48"/>
      <c r="N7" s="10">
        <f>(INDEX(A:A,ROW(A4)*2+1)+INDEX(A:A,ROW(A4)*2+2))/2</f>
        <v>135.5</v>
      </c>
      <c r="O7" s="89">
        <f t="shared" si="2"/>
        <v>5.1568891714285722E-5</v>
      </c>
      <c r="P7" s="89">
        <f t="shared" si="3"/>
        <v>4.8061975789473684E-5</v>
      </c>
      <c r="R7" s="11">
        <f t="shared" si="1"/>
        <v>2.54306E-5</v>
      </c>
    </row>
    <row r="8" spans="1:18" x14ac:dyDescent="0.25">
      <c r="A8">
        <v>131</v>
      </c>
      <c r="B8" s="3">
        <v>-1.582E-7</v>
      </c>
      <c r="C8" s="3">
        <v>-1.8190000000000001E-6</v>
      </c>
      <c r="D8" s="3">
        <v>-1.582E-7</v>
      </c>
      <c r="E8" s="3">
        <v>1.605E-5</v>
      </c>
      <c r="F8" s="3">
        <v>1.605E-5</v>
      </c>
      <c r="G8" s="3">
        <v>1.605E-5</v>
      </c>
      <c r="H8" s="3">
        <v>4.8812672999999997E-6</v>
      </c>
      <c r="I8" s="3">
        <v>1.3104554E-6</v>
      </c>
      <c r="J8" s="3">
        <v>4.8812672999999997E-6</v>
      </c>
      <c r="L8" s="48">
        <f t="shared" si="0"/>
        <v>2.7892956000000002E-5</v>
      </c>
      <c r="M8" s="49"/>
      <c r="N8" s="10">
        <f>(INDEX(A:A,ROW(A5)*2+1)+INDEX(A:A,ROW(A5)*2+2))/2</f>
        <v>140.5</v>
      </c>
      <c r="O8" s="89">
        <f t="shared" ref="O8:O9" si="4">(INDEX(L:L,ROW(L5)*2+1)+INDEX(L:L,ROW(L5)*2+2))/2</f>
        <v>7.4083502857142863E-5</v>
      </c>
      <c r="P8" s="89">
        <f t="shared" si="3"/>
        <v>6.7455582105263172E-5</v>
      </c>
      <c r="R8" s="11">
        <f t="shared" si="1"/>
        <v>2.7588534736842104E-5</v>
      </c>
    </row>
    <row r="9" spans="1:18" x14ac:dyDescent="0.25">
      <c r="A9">
        <v>135</v>
      </c>
      <c r="B9" s="3">
        <v>1.5979999999999999E-7</v>
      </c>
      <c r="C9" s="3">
        <v>6.5459999999999997E-6</v>
      </c>
      <c r="D9" s="3">
        <v>1.5979999999999999E-7</v>
      </c>
      <c r="E9" s="3">
        <v>-3.1350000000000003E-5</v>
      </c>
      <c r="F9" s="3">
        <v>-3.1350000000000003E-5</v>
      </c>
      <c r="G9" s="3">
        <v>-3.1350000000000003E-5</v>
      </c>
      <c r="H9" s="3">
        <v>-8.8054330000000007E-6</v>
      </c>
      <c r="I9" s="3">
        <v>-2.2319185999999999E-6</v>
      </c>
      <c r="J9" s="3">
        <v>-8.8054330000000007E-6</v>
      </c>
      <c r="L9" s="48">
        <f t="shared" si="0"/>
        <v>5.031676000000001E-5</v>
      </c>
      <c r="M9" s="48"/>
      <c r="N9" s="10">
        <f>(INDEX(A:A,ROW(A6)*2+1)+INDEX(A:A,ROW(A6)*2+2))/2</f>
        <v>180.5</v>
      </c>
      <c r="O9" s="89">
        <f t="shared" si="4"/>
        <v>7.3900625714285717E-5</v>
      </c>
      <c r="P9" s="89">
        <f t="shared" si="3"/>
        <v>6.8093082105263154E-5</v>
      </c>
      <c r="R9" s="11">
        <f t="shared" si="1"/>
        <v>4.6987759999999995E-5</v>
      </c>
    </row>
    <row r="10" spans="1:18" x14ac:dyDescent="0.25">
      <c r="A10">
        <v>136</v>
      </c>
      <c r="B10" s="3">
        <v>-1.585E-7</v>
      </c>
      <c r="C10" s="3">
        <v>-7.0729999999999999E-6</v>
      </c>
      <c r="D10" s="3">
        <v>-1.585E-7</v>
      </c>
      <c r="E10" s="3">
        <v>3.3049999999999997E-5</v>
      </c>
      <c r="F10" s="3">
        <v>3.3049999999999997E-5</v>
      </c>
      <c r="G10" s="3">
        <v>3.3049999999999997E-5</v>
      </c>
      <c r="H10" s="3">
        <v>9.2436791000000001E-6</v>
      </c>
      <c r="I10" s="3">
        <v>2.3339691000000002E-6</v>
      </c>
      <c r="J10" s="3">
        <v>9.2436791000000001E-6</v>
      </c>
      <c r="L10" s="48">
        <f t="shared" si="0"/>
        <v>5.2821023428571435E-5</v>
      </c>
      <c r="M10" s="49"/>
      <c r="N10" s="10"/>
      <c r="O10" s="3"/>
      <c r="R10" s="11">
        <f t="shared" si="1"/>
        <v>4.9136191578947373E-5</v>
      </c>
    </row>
    <row r="11" spans="1:18" x14ac:dyDescent="0.25">
      <c r="A11">
        <v>140</v>
      </c>
      <c r="B11" s="3">
        <v>1.438E-7</v>
      </c>
      <c r="C11" s="3">
        <v>1.154E-5</v>
      </c>
      <c r="D11" s="3">
        <v>1.438E-7</v>
      </c>
      <c r="E11" s="3">
        <v>-4.7500000000000003E-5</v>
      </c>
      <c r="F11" s="3">
        <v>-4.7500000000000003E-5</v>
      </c>
      <c r="G11" s="3">
        <v>-4.7500000000000003E-5</v>
      </c>
      <c r="H11" s="3">
        <v>-1.2964930000000001E-5</v>
      </c>
      <c r="I11" s="3">
        <v>-3.2037967E-6</v>
      </c>
      <c r="J11" s="3">
        <v>-1.2964930000000001E-5</v>
      </c>
      <c r="L11" s="48">
        <f t="shared" si="0"/>
        <v>7.4085314285714295E-5</v>
      </c>
      <c r="M11" s="48"/>
      <c r="N11" s="10"/>
      <c r="O11" s="3"/>
      <c r="R11" s="11">
        <f t="shared" si="1"/>
        <v>6.7448351578947374E-5</v>
      </c>
    </row>
    <row r="12" spans="1:18" x14ac:dyDescent="0.25">
      <c r="A12">
        <v>141</v>
      </c>
      <c r="B12" s="3">
        <v>-1.4560000000000001E-7</v>
      </c>
      <c r="C12" s="3">
        <v>-1.154E-5</v>
      </c>
      <c r="D12" s="3">
        <v>-1.4560000000000001E-7</v>
      </c>
      <c r="E12" s="3">
        <v>4.7500000000000003E-5</v>
      </c>
      <c r="F12" s="3">
        <v>4.7500000000000003E-5</v>
      </c>
      <c r="G12" s="3">
        <v>4.7500000000000003E-5</v>
      </c>
      <c r="H12" s="3">
        <v>1.2964296E-5</v>
      </c>
      <c r="I12" s="3">
        <v>3.2044836000000002E-6</v>
      </c>
      <c r="J12" s="3">
        <v>1.2964296E-5</v>
      </c>
      <c r="L12" s="48">
        <f t="shared" si="0"/>
        <v>7.4081691428571432E-5</v>
      </c>
      <c r="M12" s="49"/>
      <c r="N12" s="10"/>
      <c r="O12" s="3"/>
      <c r="R12" s="11">
        <f t="shared" si="1"/>
        <v>6.7462812631578957E-5</v>
      </c>
    </row>
    <row r="13" spans="1:18" x14ac:dyDescent="0.25">
      <c r="A13">
        <v>180</v>
      </c>
      <c r="B13" s="3">
        <v>2.2889999999999999E-7</v>
      </c>
      <c r="C13" s="3">
        <v>1.1260000000000001E-5</v>
      </c>
      <c r="D13" s="3">
        <v>2.2889999999999999E-7</v>
      </c>
      <c r="E13" s="3">
        <v>-4.7500000000000003E-5</v>
      </c>
      <c r="F13" s="3">
        <v>-4.7500000000000003E-5</v>
      </c>
      <c r="G13" s="3">
        <v>-4.7500000000000003E-5</v>
      </c>
      <c r="H13" s="3">
        <v>-1.2933022999999999E-5</v>
      </c>
      <c r="I13" s="3">
        <v>-3.2340268000000001E-6</v>
      </c>
      <c r="J13" s="3">
        <v>-1.2933022999999999E-5</v>
      </c>
      <c r="L13" s="48">
        <f t="shared" si="0"/>
        <v>7.3902988571428573E-5</v>
      </c>
      <c r="M13" s="48"/>
      <c r="N13" s="10"/>
      <c r="O13" s="3"/>
      <c r="R13" s="11">
        <f t="shared" si="1"/>
        <v>6.8084774736842111E-5</v>
      </c>
    </row>
    <row r="14" spans="1:18" x14ac:dyDescent="0.25">
      <c r="A14" s="11">
        <v>181</v>
      </c>
      <c r="B14" s="3">
        <v>-2.3099999999999999E-7</v>
      </c>
      <c r="C14" s="3">
        <v>-1.1250000000000001E-5</v>
      </c>
      <c r="D14" s="3">
        <v>-2.3099999999999999E-7</v>
      </c>
      <c r="E14" s="3">
        <v>4.7500000000000003E-5</v>
      </c>
      <c r="F14" s="3">
        <v>4.7500000000000003E-5</v>
      </c>
      <c r="G14" s="3">
        <v>4.7500000000000003E-5</v>
      </c>
      <c r="H14" s="3">
        <v>1.2932196E-5</v>
      </c>
      <c r="I14" s="3">
        <v>3.2348159999999999E-6</v>
      </c>
      <c r="J14" s="3">
        <v>1.2932196E-5</v>
      </c>
      <c r="L14" s="48">
        <f t="shared" si="0"/>
        <v>7.3898262857142861E-5</v>
      </c>
      <c r="M14" s="49"/>
      <c r="N14" s="10"/>
      <c r="O14" s="3"/>
      <c r="R14" s="11">
        <f t="shared" si="1"/>
        <v>6.810138947368421E-5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15235.672</v>
      </c>
    </row>
    <row r="3" spans="2:4" x14ac:dyDescent="0.25">
      <c r="B3" t="s">
        <v>119</v>
      </c>
      <c r="C3" s="3">
        <v>0.31467448999999997</v>
      </c>
    </row>
    <row r="4" spans="2:4" x14ac:dyDescent="0.25">
      <c r="B4" t="s">
        <v>120</v>
      </c>
      <c r="C4" s="3">
        <v>16591.558000000001</v>
      </c>
    </row>
    <row r="5" spans="2:4" x14ac:dyDescent="0.25">
      <c r="B5" t="s">
        <v>121</v>
      </c>
      <c r="C5" s="3">
        <v>0.34269966000000002</v>
      </c>
    </row>
    <row r="6" spans="2:4" x14ac:dyDescent="0.25">
      <c r="B6" t="s">
        <v>122</v>
      </c>
      <c r="C6" s="3">
        <v>15235.672</v>
      </c>
    </row>
    <row r="7" spans="2:4" x14ac:dyDescent="0.25">
      <c r="B7" t="s">
        <v>123</v>
      </c>
      <c r="C7" s="3">
        <v>0.35689667000000003</v>
      </c>
    </row>
    <row r="8" spans="2:4" x14ac:dyDescent="0.25">
      <c r="B8" t="s">
        <v>124</v>
      </c>
      <c r="C8" t="s">
        <v>125</v>
      </c>
      <c r="D8" s="3">
        <v>5614.1607000000004</v>
      </c>
    </row>
    <row r="9" spans="2:4" x14ac:dyDescent="0.25">
      <c r="B9" t="s">
        <v>126</v>
      </c>
      <c r="C9" t="s">
        <v>125</v>
      </c>
      <c r="D9" s="3">
        <v>6353.6364000000003</v>
      </c>
    </row>
    <row r="10" spans="2:4" x14ac:dyDescent="0.25">
      <c r="B10" t="s">
        <v>127</v>
      </c>
      <c r="C10" t="s">
        <v>125</v>
      </c>
      <c r="D10" s="3">
        <v>6353.6364000000003</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-6.5441251428571432E-4</v>
      </c>
      <c r="C3" s="2">
        <f>IF('Modell einstellen'!$B$2="Ja",creep_res0!O3,creep_res0!C3)</f>
        <v>-6.5559585714285726E-4</v>
      </c>
      <c r="D3" s="2">
        <f>IF('Modell einstellen'!$B$2="Ja",creep_res25!O3,creep_res25!C3)</f>
        <v>-6.5636251428571434E-4</v>
      </c>
      <c r="E3" s="2">
        <f>IF('Modell einstellen'!$B$2="Ja",creep_res50!O3,creep_res50!C3)</f>
        <v>-6.5715740000000004E-4</v>
      </c>
      <c r="F3" s="2">
        <f>IF('Modell einstellen'!$B$2="Ja",creep_res80!O3,creep_res80!C3)</f>
        <v>-6.6437708571428578E-4</v>
      </c>
      <c r="G3" s="2">
        <f>IF('Modell einstellen'!$B$2="Ja",creep_res125!O3,creep_res125!C3)</f>
        <v>-7.8725765714285714E-4</v>
      </c>
      <c r="H3" s="2">
        <f>IF('Modell einstellen'!$B$2="Ja",creep_res160!O3,creep_res160!C3)</f>
        <v>-1.0072007142857143E-3</v>
      </c>
      <c r="M3" s="9">
        <v>-10</v>
      </c>
      <c r="N3" s="2">
        <f t="shared" ref="N3:N33" si="4">A3</f>
        <v>1.0000000000000001E-15</v>
      </c>
      <c r="O3" s="2">
        <f t="shared" ref="O3:O33" si="5">$M$3/B3</f>
        <v>15280.881373295428</v>
      </c>
      <c r="P3" s="2">
        <f t="shared" ref="P3:P33" si="6">$M$3/C3</f>
        <v>15253.299561075408</v>
      </c>
      <c r="Q3" s="2">
        <f t="shared" ref="Q3:Q33" si="7">$M$3/D3</f>
        <v>15235.483109334004</v>
      </c>
      <c r="R3" s="2">
        <f t="shared" ref="R3:R33" si="8">$M$3/E3</f>
        <v>15217.054544314649</v>
      </c>
      <c r="S3" s="2">
        <f t="shared" ref="S3:S33" si="9">$M$3/F3</f>
        <v>15051.693104750579</v>
      </c>
      <c r="T3" s="2">
        <f t="shared" ref="T3:T33" si="10">$M$3/G3</f>
        <v>12702.321672287504</v>
      </c>
      <c r="U3" s="2">
        <f t="shared" ref="U3:U33" si="11">$M$3/H3</f>
        <v>9928.5076531064533</v>
      </c>
      <c r="Z3" s="2">
        <v>1.0000000000000001E-15</v>
      </c>
      <c r="AA3" s="3">
        <f>IF('Modell einstellen'!$B$2="Ja",'creep_res-40'!P3,'creep_res-40'!L3)</f>
        <v>0.35762364044906925</v>
      </c>
      <c r="AB3" s="2">
        <f>IF('Modell einstellen'!$B$2="Ja",creep_res0!P3,creep_res0!L3)</f>
        <v>0.35716789808006716</v>
      </c>
      <c r="AC3" s="2">
        <f>IF('Modell einstellen'!$B$2="Ja",creep_res25!P3,creep_res25!L3)</f>
        <v>0.35688010475744064</v>
      </c>
      <c r="AD3" s="2">
        <f>IF('Modell einstellen'!$B$2="Ja",creep_res50!P3,creep_res50!L3)</f>
        <v>0.35659204759338153</v>
      </c>
      <c r="AE3" s="2">
        <f>IF('Modell einstellen'!$B$2="Ja",creep_res80!P3,creep_res80!L3)</f>
        <v>0.35812893349121266</v>
      </c>
      <c r="AF3" s="2">
        <f>IF('Modell einstellen'!$B$2="Ja",creep_res125!P3,creep_res125!L3)</f>
        <v>0.39078434949124302</v>
      </c>
      <c r="AG3" s="2">
        <f>IF('Modell einstellen'!$B$2="Ja",creep_res160!P3,creep_res160!L3)</f>
        <v>0.43962941136005662</v>
      </c>
      <c r="AL3" s="2">
        <f t="shared" ref="AL3:AL33" si="12">Z3</f>
        <v>1.0000000000000001E-15</v>
      </c>
      <c r="AM3" s="2">
        <f t="shared" ref="AM3:AM33" si="13">O3/(2*(1+AA3))</f>
        <v>5627.8046868132324</v>
      </c>
      <c r="AN3" s="2">
        <f t="shared" ref="AN3:AN33" si="14">P3/(2*(1+AB3))</f>
        <v>5619.5329931741162</v>
      </c>
      <c r="AO3" s="2">
        <f t="shared" ref="AO3:AO33" si="15">Q3/(2*(1+AC3))</f>
        <v>5614.15966521874</v>
      </c>
      <c r="AP3" s="2">
        <f t="shared" ref="AP3:AP33" si="16">R3/(2*(1+AD3))</f>
        <v>5608.5595412821331</v>
      </c>
      <c r="AQ3" s="2">
        <f t="shared" ref="AQ3:AQ33" si="17">S3/(2*(1+AE3))</f>
        <v>5541.3343805505365</v>
      </c>
      <c r="AR3" s="2">
        <f t="shared" ref="AR3:AR33" si="18">T3/(2*(1+AF3))</f>
        <v>4566.6036136134571</v>
      </c>
      <c r="AS3" s="2">
        <f t="shared" ref="AS3:AS33" si="19">U3/(2*(1+AG3))</f>
        <v>3448.2859181540075</v>
      </c>
      <c r="AX3" s="2">
        <f>AL3</f>
        <v>1.0000000000000001E-15</v>
      </c>
      <c r="AY3" s="37">
        <f t="shared" ref="AY3:AY33" si="20">O3/(3*(1-(2*AA3)))</f>
        <v>17887.896349146788</v>
      </c>
      <c r="AZ3" s="37">
        <f t="shared" ref="AZ3:AZ33" si="21">P3/(3*(1-(2*AB3)))</f>
        <v>17798.636016276327</v>
      </c>
      <c r="BA3" s="37">
        <f t="shared" ref="BA3:BA33" si="22">Q3/(3*(1-(2*AC3)))</f>
        <v>17742.097844506447</v>
      </c>
      <c r="BB3" s="37">
        <f t="shared" ref="BB3:BB33" si="23">R3/(3*(1-(2*AD3)))</f>
        <v>17685.042669005619</v>
      </c>
      <c r="BC3" s="37">
        <f t="shared" ref="BC3:BC33" si="24">S3/(3*(1-(2*AE3)))</f>
        <v>17682.361733025027</v>
      </c>
      <c r="BD3" s="37">
        <f t="shared" ref="BD3:BD33" si="25">T3/(3*(1-(2*AF3)))</f>
        <v>19384.159707753337</v>
      </c>
      <c r="BE3" s="37">
        <f t="shared" ref="BE3:BE33" si="26">U3/(3*(1-(2*AG3)))</f>
        <v>27409.891352672657</v>
      </c>
    </row>
    <row r="4" spans="1:308" x14ac:dyDescent="0.25">
      <c r="A4" s="2">
        <f>'creep_res-40'!A4</f>
        <v>1E-14</v>
      </c>
      <c r="B4" s="3">
        <f>'creep_res-40'!O4</f>
        <v>-6.5440097142857156E-4</v>
      </c>
      <c r="C4" s="2">
        <f>IF('Modell einstellen'!$B$2="Ja",creep_res0!O4,creep_res0!C4)</f>
        <v>-6.555841714285715E-4</v>
      </c>
      <c r="D4" s="2">
        <f>IF('Modell einstellen'!$B$2="Ja",creep_res25!O4,creep_res25!C4)</f>
        <v>-6.5635131428571432E-4</v>
      </c>
      <c r="E4" s="2">
        <f>IF('Modell einstellen'!$B$2="Ja",creep_res50!O4,creep_res50!C4)</f>
        <v>-6.5725068571428577E-4</v>
      </c>
      <c r="F4" s="2">
        <f>IF('Modell einstellen'!$B$2="Ja",creep_res80!O4,creep_res80!C4)</f>
        <v>-6.8582485714285715E-4</v>
      </c>
      <c r="G4" s="2">
        <f>IF('Modell einstellen'!$B$2="Ja",creep_res125!O4,creep_res125!C4)</f>
        <v>-8.184972571428572E-4</v>
      </c>
      <c r="H4" s="2">
        <f>IF('Modell einstellen'!$B$2="Ja",creep_res160!O4,creep_res160!C4)</f>
        <v>-1.0636676000000001E-3</v>
      </c>
      <c r="M4" s="9">
        <f t="shared" ref="M4:M31" si="27">M3</f>
        <v>-10</v>
      </c>
      <c r="N4" s="2">
        <f t="shared" si="4"/>
        <v>1E-14</v>
      </c>
      <c r="O4" s="2">
        <f t="shared" si="5"/>
        <v>15281.150909922677</v>
      </c>
      <c r="P4" s="2">
        <f t="shared" si="6"/>
        <v>15253.571449428351</v>
      </c>
      <c r="Q4" s="2">
        <f t="shared" si="7"/>
        <v>15235.743088109259</v>
      </c>
      <c r="R4" s="2">
        <f t="shared" si="8"/>
        <v>15214.894738576373</v>
      </c>
      <c r="S4" s="2">
        <f t="shared" si="9"/>
        <v>14580.982149961652</v>
      </c>
      <c r="T4" s="2">
        <f t="shared" si="10"/>
        <v>12217.511925338853</v>
      </c>
      <c r="U4" s="2">
        <f t="shared" si="11"/>
        <v>9401.4333049159341</v>
      </c>
      <c r="Z4" s="2">
        <v>1E-14</v>
      </c>
      <c r="AA4" s="3">
        <f>IF('Modell einstellen'!$B$2="Ja",'creep_res-40'!P4,'creep_res-40'!L4)</f>
        <v>0.3576396542198636</v>
      </c>
      <c r="AB4" s="2">
        <f>IF('Modell einstellen'!$B$2="Ja",creep_res0!P4,creep_res0!L4)</f>
        <v>0.35718414887206806</v>
      </c>
      <c r="AC4" s="2">
        <f>IF('Modell einstellen'!$B$2="Ja",creep_res25!P4,creep_res25!L4)</f>
        <v>0.35689668111537481</v>
      </c>
      <c r="AD4" s="2">
        <f>IF('Modell einstellen'!$B$2="Ja",creep_res50!P4,creep_res50!L4)</f>
        <v>0.35664181016558416</v>
      </c>
      <c r="AE4" s="2">
        <f>IF('Modell einstellen'!$B$2="Ja",creep_res80!P4,creep_res80!L4)</f>
        <v>0.36444511655828826</v>
      </c>
      <c r="AF4" s="2">
        <f>IF('Modell einstellen'!$B$2="Ja",creep_res125!P4,creep_res125!L4)</f>
        <v>0.3985505981624024</v>
      </c>
      <c r="AG4" s="2">
        <f>IF('Modell einstellen'!$B$2="Ja",creep_res160!P4,creep_res160!L4)</f>
        <v>0.45102103057652321</v>
      </c>
      <c r="AL4" s="2">
        <f t="shared" si="12"/>
        <v>1E-14</v>
      </c>
      <c r="AM4" s="2">
        <f t="shared" si="13"/>
        <v>5627.8375717832278</v>
      </c>
      <c r="AN4" s="2">
        <f t="shared" si="14"/>
        <v>5619.5658717740425</v>
      </c>
      <c r="AO4" s="2">
        <f t="shared" si="15"/>
        <v>5614.1868795733999</v>
      </c>
      <c r="AP4" s="2">
        <f t="shared" si="16"/>
        <v>5607.5578036030483</v>
      </c>
      <c r="AQ4" s="2">
        <f t="shared" si="17"/>
        <v>5343.1911525840997</v>
      </c>
      <c r="AR4" s="2">
        <f t="shared" si="18"/>
        <v>4367.9191662396088</v>
      </c>
      <c r="AS4" s="2">
        <f t="shared" si="19"/>
        <v>3239.5923652397146</v>
      </c>
      <c r="AX4" s="2">
        <f t="shared" ref="AX4:AX32" si="28">AL4</f>
        <v>1E-14</v>
      </c>
      <c r="AY4" s="37">
        <f t="shared" si="20"/>
        <v>17890.224072091831</v>
      </c>
      <c r="AZ4" s="37">
        <f t="shared" si="21"/>
        <v>17800.978589979797</v>
      </c>
      <c r="BA4" s="37">
        <f t="shared" si="22"/>
        <v>17744.455785348626</v>
      </c>
      <c r="BB4" s="37">
        <f t="shared" si="23"/>
        <v>17688.670543982822</v>
      </c>
      <c r="BC4" s="37">
        <f t="shared" si="24"/>
        <v>17927.525958186816</v>
      </c>
      <c r="BD4" s="37">
        <f t="shared" si="25"/>
        <v>20071.601711522675</v>
      </c>
      <c r="BE4" s="37">
        <f t="shared" si="26"/>
        <v>31991.394863205656</v>
      </c>
      <c r="BF4" s="5"/>
      <c r="BG4" s="5"/>
    </row>
    <row r="5" spans="1:308" x14ac:dyDescent="0.25">
      <c r="A5" s="2">
        <f>'creep_res-40'!A5</f>
        <v>1E-13</v>
      </c>
      <c r="B5" s="3">
        <f>'creep_res-40'!O5</f>
        <v>-6.5440331428571433E-4</v>
      </c>
      <c r="C5" s="2">
        <f>IF('Modell einstellen'!$B$2="Ja",creep_res0!O5,creep_res0!C5)</f>
        <v>-6.5558654285714291E-4</v>
      </c>
      <c r="D5" s="2">
        <f>IF('Modell einstellen'!$B$2="Ja",creep_res25!O5,creep_res25!C5)</f>
        <v>-6.5635940000000005E-4</v>
      </c>
      <c r="E5" s="2">
        <f>IF('Modell einstellen'!$B$2="Ja",creep_res50!O5,creep_res50!C5)</f>
        <v>-6.5826888571428571E-4</v>
      </c>
      <c r="F5" s="2">
        <f>IF('Modell einstellen'!$B$2="Ja",creep_res80!O5,creep_res80!C5)</f>
        <v>-6.9870320000000002E-4</v>
      </c>
      <c r="G5" s="2">
        <f>IF('Modell einstellen'!$B$2="Ja",creep_res125!O5,creep_res125!C5)</f>
        <v>-8.4497211428571429E-4</v>
      </c>
      <c r="H5" s="2">
        <f>IF('Modell einstellen'!$B$2="Ja",creep_res160!O5,creep_res160!C5)</f>
        <v>-1.1109540285714286E-3</v>
      </c>
      <c r="M5" s="9">
        <f t="shared" si="27"/>
        <v>-10</v>
      </c>
      <c r="N5" s="2">
        <f t="shared" si="4"/>
        <v>1E-13</v>
      </c>
      <c r="O5" s="2">
        <f t="shared" si="5"/>
        <v>15281.096201224267</v>
      </c>
      <c r="P5" s="2">
        <f t="shared" si="6"/>
        <v>15253.516273257417</v>
      </c>
      <c r="Q5" s="2">
        <f t="shared" si="7"/>
        <v>15235.55539846005</v>
      </c>
      <c r="R5" s="2">
        <f t="shared" si="8"/>
        <v>15191.360577750882</v>
      </c>
      <c r="S5" s="2">
        <f t="shared" si="9"/>
        <v>14312.228711704769</v>
      </c>
      <c r="T5" s="2">
        <f t="shared" si="10"/>
        <v>11834.710082063908</v>
      </c>
      <c r="U5" s="2">
        <f t="shared" si="11"/>
        <v>9001.2725484770599</v>
      </c>
      <c r="Z5" s="2">
        <v>1E-13</v>
      </c>
      <c r="AA5" s="3">
        <f>IF('Modell einstellen'!$B$2="Ja",'creep_res-40'!P5,'creep_res-40'!L5)</f>
        <v>0.35763969672525237</v>
      </c>
      <c r="AB5" s="2">
        <f>IF('Modell einstellen'!$B$2="Ja",creep_res0!P5,creep_res0!L5)</f>
        <v>0.35718419043640259</v>
      </c>
      <c r="AC5" s="2">
        <f>IF('Modell einstellen'!$B$2="Ja",creep_res25!P5,creep_res25!L5)</f>
        <v>0.3568985223644241</v>
      </c>
      <c r="AD5" s="2">
        <f>IF('Modell einstellen'!$B$2="Ja",creep_res50!P5,creep_res50!L5)</f>
        <v>0.35696149523961357</v>
      </c>
      <c r="AE5" s="2">
        <f>IF('Modell einstellen'!$B$2="Ja",creep_res80!P5,creep_res80!L5)</f>
        <v>0.3681550743884221</v>
      </c>
      <c r="AF5" s="2">
        <f>IF('Modell einstellen'!$B$2="Ja",creep_res125!P5,creep_res125!L5)</f>
        <v>0.40496453915097924</v>
      </c>
      <c r="AG5" s="2">
        <f>IF('Modell einstellen'!$B$2="Ja",creep_res160!P5,creep_res160!L5)</f>
        <v>0.46031201342496075</v>
      </c>
      <c r="AL5" s="2">
        <f t="shared" si="12"/>
        <v>1E-13</v>
      </c>
      <c r="AM5" s="2">
        <f t="shared" si="13"/>
        <v>5627.8172471251501</v>
      </c>
      <c r="AN5" s="2">
        <f t="shared" si="14"/>
        <v>5619.5453722286029</v>
      </c>
      <c r="AO5" s="2">
        <f t="shared" si="15"/>
        <v>5614.1101001096886</v>
      </c>
      <c r="AP5" s="2">
        <f t="shared" si="16"/>
        <v>5597.5650860558781</v>
      </c>
      <c r="AQ5" s="2">
        <f t="shared" si="17"/>
        <v>5230.4848257433341</v>
      </c>
      <c r="AR5" s="2">
        <f t="shared" si="18"/>
        <v>4211.7468990411771</v>
      </c>
      <c r="AS5" s="2">
        <f t="shared" si="19"/>
        <v>3081.9689442141253</v>
      </c>
      <c r="AX5" s="2">
        <f t="shared" si="28"/>
        <v>1E-13</v>
      </c>
      <c r="AY5" s="37">
        <f t="shared" si="20"/>
        <v>17890.165364114393</v>
      </c>
      <c r="AZ5" s="37">
        <f t="shared" si="21"/>
        <v>17800.919379849729</v>
      </c>
      <c r="BA5" s="37">
        <f t="shared" si="22"/>
        <v>17744.465501210168</v>
      </c>
      <c r="BB5" s="37">
        <f t="shared" si="23"/>
        <v>17700.78227444068</v>
      </c>
      <c r="BC5" s="37">
        <f t="shared" si="24"/>
        <v>18092.250732335538</v>
      </c>
      <c r="BD5" s="37">
        <f t="shared" si="25"/>
        <v>20754.902041013345</v>
      </c>
      <c r="BE5" s="37">
        <f t="shared" si="26"/>
        <v>37800.156190245332</v>
      </c>
    </row>
    <row r="6" spans="1:308" x14ac:dyDescent="0.25">
      <c r="A6" s="2">
        <f>'creep_res-40'!A6</f>
        <v>9.9999999999999998E-13</v>
      </c>
      <c r="B6" s="3">
        <f>'creep_res-40'!O6</f>
        <v>-6.5440402857142857E-4</v>
      </c>
      <c r="C6" s="2">
        <f>IF('Modell einstellen'!$B$2="Ja",creep_res0!O6,creep_res0!C6)</f>
        <v>-6.5558734285714286E-4</v>
      </c>
      <c r="D6" s="2">
        <f>IF('Modell einstellen'!$B$2="Ja",creep_res25!O6,creep_res25!C6)</f>
        <v>-6.5641682857142864E-4</v>
      </c>
      <c r="E6" s="2">
        <f>IF('Modell einstellen'!$B$2="Ja",creep_res50!O6,creep_res50!C6)</f>
        <v>-6.6676645714285727E-4</v>
      </c>
      <c r="F6" s="2">
        <f>IF('Modell einstellen'!$B$2="Ja",creep_res80!O6,creep_res80!C6)</f>
        <v>-7.1182891428571437E-4</v>
      </c>
      <c r="G6" s="2">
        <f>IF('Modell einstellen'!$B$2="Ja",creep_res125!O6,creep_res125!C6)</f>
        <v>-8.7721979999999999E-4</v>
      </c>
      <c r="H6" s="2">
        <f>IF('Modell einstellen'!$B$2="Ja",creep_res160!O6,creep_res160!C6)</f>
        <v>-1.1626929428571429E-3</v>
      </c>
      <c r="M6" s="9">
        <f t="shared" si="27"/>
        <v>-10</v>
      </c>
      <c r="N6" s="2">
        <f t="shared" si="4"/>
        <v>9.9999999999999998E-13</v>
      </c>
      <c r="O6" s="2">
        <f t="shared" si="5"/>
        <v>15281.079521820968</v>
      </c>
      <c r="P6" s="2">
        <f t="shared" si="6"/>
        <v>15253.497659699435</v>
      </c>
      <c r="Q6" s="2">
        <f t="shared" si="7"/>
        <v>15234.222470748005</v>
      </c>
      <c r="R6" s="2">
        <f t="shared" si="8"/>
        <v>14997.755050322607</v>
      </c>
      <c r="S6" s="2">
        <f t="shared" si="9"/>
        <v>14048.319475803413</v>
      </c>
      <c r="T6" s="2">
        <f t="shared" si="10"/>
        <v>11399.651489854652</v>
      </c>
      <c r="U6" s="2">
        <f t="shared" si="11"/>
        <v>8600.7230554152193</v>
      </c>
      <c r="Z6" s="2">
        <v>9.9999999999999998E-13</v>
      </c>
      <c r="AA6" s="3">
        <f>IF('Modell einstellen'!$B$2="Ja",'creep_res-40'!P6,'creep_res-40'!L6)</f>
        <v>0.35763973859574127</v>
      </c>
      <c r="AB6" s="2">
        <f>IF('Modell einstellen'!$B$2="Ja",creep_res0!P6,creep_res0!L6)</f>
        <v>0.35718426883252391</v>
      </c>
      <c r="AC6" s="2">
        <f>IF('Modell einstellen'!$B$2="Ja",creep_res25!P6,creep_res25!L6)</f>
        <v>0.35691661774667655</v>
      </c>
      <c r="AD6" s="2">
        <f>IF('Modell einstellen'!$B$2="Ja",creep_res50!P6,creep_res50!L6)</f>
        <v>0.35950801535735832</v>
      </c>
      <c r="AE6" s="2">
        <f>IF('Modell einstellen'!$B$2="Ja",creep_res80!P6,creep_res80!L6)</f>
        <v>0.37186745354381301</v>
      </c>
      <c r="AF6" s="2">
        <f>IF('Modell einstellen'!$B$2="Ja",creep_res125!P6,creep_res125!L6)</f>
        <v>0.41255543935510808</v>
      </c>
      <c r="AG6" s="2">
        <f>IF('Modell einstellen'!$B$2="Ja",creep_res160!P6,creep_res160!L6)</f>
        <v>0.47014503497582316</v>
      </c>
      <c r="AL6" s="2">
        <f t="shared" si="12"/>
        <v>9.9999999999999998E-13</v>
      </c>
      <c r="AM6" s="2">
        <f t="shared" si="13"/>
        <v>5627.8109307653194</v>
      </c>
      <c r="AN6" s="2">
        <f t="shared" si="14"/>
        <v>5619.5381902049257</v>
      </c>
      <c r="AO6" s="2">
        <f t="shared" si="15"/>
        <v>5613.5440717227957</v>
      </c>
      <c r="AP6" s="2">
        <f t="shared" si="16"/>
        <v>5515.87592015054</v>
      </c>
      <c r="AQ6" s="2">
        <f t="shared" si="17"/>
        <v>5120.1446027142574</v>
      </c>
      <c r="AR6" s="2">
        <f t="shared" si="18"/>
        <v>4035.1164889708966</v>
      </c>
      <c r="AS6" s="2">
        <f t="shared" si="19"/>
        <v>2925.1274026703973</v>
      </c>
      <c r="AX6" s="2">
        <f t="shared" si="28"/>
        <v>9.9999999999999998E-13</v>
      </c>
      <c r="AY6" s="37">
        <f t="shared" si="20"/>
        <v>17890.151098682742</v>
      </c>
      <c r="AZ6" s="37">
        <f t="shared" si="21"/>
        <v>17800.907429229064</v>
      </c>
      <c r="BA6" s="37">
        <f t="shared" si="22"/>
        <v>17745.156974013491</v>
      </c>
      <c r="BB6" s="37">
        <f t="shared" si="23"/>
        <v>17791.946267102245</v>
      </c>
      <c r="BC6" s="37">
        <f t="shared" si="24"/>
        <v>18273.160442504519</v>
      </c>
      <c r="BD6" s="37">
        <f t="shared" si="25"/>
        <v>21727.388198464927</v>
      </c>
      <c r="BE6" s="37">
        <f t="shared" si="26"/>
        <v>48013.918000184509</v>
      </c>
    </row>
    <row r="7" spans="1:308" x14ac:dyDescent="0.25">
      <c r="A7" s="2">
        <f>'creep_res-40'!A7</f>
        <v>9.9999999999999994E-12</v>
      </c>
      <c r="B7" s="3">
        <f>'creep_res-40'!O7</f>
        <v>-6.5440422857142863E-4</v>
      </c>
      <c r="C7" s="2">
        <f>IF('Modell einstellen'!$B$2="Ja",creep_res0!O7,creep_res0!C7)</f>
        <v>-6.5558848571428577E-4</v>
      </c>
      <c r="D7" s="2">
        <f>IF('Modell einstellen'!$B$2="Ja",creep_res25!O7,creep_res25!C7)</f>
        <v>-6.5697040000000013E-4</v>
      </c>
      <c r="E7" s="2">
        <f>IF('Modell einstellen'!$B$2="Ja",creep_res50!O7,creep_res50!C7)</f>
        <v>-6.8426140000000006E-4</v>
      </c>
      <c r="F7" s="2">
        <f>IF('Modell einstellen'!$B$2="Ja",creep_res80!O7,creep_res80!C7)</f>
        <v>-7.269515428571429E-4</v>
      </c>
      <c r="G7" s="2">
        <f>IF('Modell einstellen'!$B$2="Ja",creep_res125!O7,creep_res125!C7)</f>
        <v>-9.1876260000000015E-4</v>
      </c>
      <c r="H7" s="2">
        <f>IF('Modell einstellen'!$B$2="Ja",creep_res160!O7,creep_res160!C7)</f>
        <v>-1.2196940285714285E-3</v>
      </c>
      <c r="M7" s="9">
        <f t="shared" si="27"/>
        <v>-10</v>
      </c>
      <c r="N7" s="2">
        <f t="shared" si="4"/>
        <v>9.9999999999999994E-12</v>
      </c>
      <c r="O7" s="2">
        <f t="shared" si="5"/>
        <v>15281.074851594565</v>
      </c>
      <c r="P7" s="2">
        <f t="shared" si="6"/>
        <v>15253.47106898112</v>
      </c>
      <c r="Q7" s="2">
        <f t="shared" si="7"/>
        <v>15221.385925454173</v>
      </c>
      <c r="R7" s="2">
        <f t="shared" si="8"/>
        <v>14614.297986120508</v>
      </c>
      <c r="S7" s="2">
        <f t="shared" si="9"/>
        <v>13756.075075784182</v>
      </c>
      <c r="T7" s="2">
        <f t="shared" si="10"/>
        <v>10884.204472406689</v>
      </c>
      <c r="U7" s="2">
        <f t="shared" si="11"/>
        <v>8198.7775341595625</v>
      </c>
      <c r="Z7" s="2">
        <v>9.9999999999999994E-12</v>
      </c>
      <c r="AA7" s="3">
        <f>IF('Modell einstellen'!$B$2="Ja",'creep_res-40'!P7,'creep_res-40'!L7)</f>
        <v>0.35763977337205471</v>
      </c>
      <c r="AB7" s="2">
        <f>IF('Modell einstellen'!$B$2="Ja",creep_res0!P7,creep_res0!L7)</f>
        <v>0.35718460060115237</v>
      </c>
      <c r="AC7" s="2">
        <f>IF('Modell einstellen'!$B$2="Ja",creep_res25!P7,creep_res25!L7)</f>
        <v>0.3570924047719653</v>
      </c>
      <c r="AD7" s="2">
        <f>IF('Modell einstellen'!$B$2="Ja",creep_res50!P7,creep_res50!L7)</f>
        <v>0.36469229031895872</v>
      </c>
      <c r="AE7" s="2">
        <f>IF('Modell einstellen'!$B$2="Ja",creep_res80!P7,creep_res80!L7)</f>
        <v>0.37607262405857356</v>
      </c>
      <c r="AF7" s="2">
        <f>IF('Modell einstellen'!$B$2="Ja",creep_res125!P7,creep_res125!L7)</f>
        <v>0.42203462414711757</v>
      </c>
      <c r="AG7" s="2">
        <f>IF('Modell einstellen'!$B$2="Ja",creep_res160!P7,creep_res160!L7)</f>
        <v>0.48063063403887413</v>
      </c>
      <c r="AL7" s="2">
        <f t="shared" si="12"/>
        <v>9.9999999999999994E-12</v>
      </c>
      <c r="AM7" s="2">
        <f t="shared" si="13"/>
        <v>5627.8090666274475</v>
      </c>
      <c r="AN7" s="2">
        <f t="shared" si="14"/>
        <v>5619.5270202096081</v>
      </c>
      <c r="AO7" s="2">
        <f t="shared" si="15"/>
        <v>5608.0875082385601</v>
      </c>
      <c r="AP7" s="2">
        <f t="shared" si="16"/>
        <v>5354.4297457358771</v>
      </c>
      <c r="AQ7" s="2">
        <f t="shared" si="17"/>
        <v>4998.3099857085181</v>
      </c>
      <c r="AR7" s="2">
        <f t="shared" si="18"/>
        <v>3826.9829326183326</v>
      </c>
      <c r="AS7" s="2">
        <f t="shared" si="19"/>
        <v>2768.6775302611704</v>
      </c>
      <c r="AX7" s="2">
        <f t="shared" si="28"/>
        <v>9.9999999999999994E-12</v>
      </c>
      <c r="AY7" s="37">
        <f t="shared" si="20"/>
        <v>17890.150001342783</v>
      </c>
      <c r="AZ7" s="37">
        <f t="shared" si="21"/>
        <v>17800.917750218701</v>
      </c>
      <c r="BA7" s="37">
        <f t="shared" si="22"/>
        <v>17752.014161278741</v>
      </c>
      <c r="BB7" s="37">
        <f t="shared" si="23"/>
        <v>18001.312244230281</v>
      </c>
      <c r="BC7" s="37">
        <f t="shared" si="24"/>
        <v>18500.183368531787</v>
      </c>
      <c r="BD7" s="37">
        <f t="shared" si="25"/>
        <v>23267.175446668254</v>
      </c>
      <c r="BE7" s="37">
        <f t="shared" si="26"/>
        <v>70547.633056363571</v>
      </c>
    </row>
    <row r="8" spans="1:308" x14ac:dyDescent="0.25">
      <c r="A8" s="2">
        <f>'creep_res-40'!A8</f>
        <v>1E-10</v>
      </c>
      <c r="B8" s="3">
        <f>'creep_res-40'!O8</f>
        <v>-6.5440431428571435E-4</v>
      </c>
      <c r="C8" s="2">
        <f>IF('Modell einstellen'!$B$2="Ja",creep_res0!O8,creep_res0!C8)</f>
        <v>-6.555979428571429E-4</v>
      </c>
      <c r="D8" s="2">
        <f>IF('Modell einstellen'!$B$2="Ja",creep_res25!O8,creep_res25!C8)</f>
        <v>-6.6178457142857146E-4</v>
      </c>
      <c r="E8" s="2">
        <f>IF('Modell einstellen'!$B$2="Ja",creep_res50!O8,creep_res50!C8)</f>
        <v>-6.9691962857142858E-4</v>
      </c>
      <c r="F8" s="2">
        <f>IF('Modell einstellen'!$B$2="Ja",creep_res80!O8,creep_res80!C8)</f>
        <v>-7.4387068571428569E-4</v>
      </c>
      <c r="G8" s="2">
        <f>IF('Modell einstellen'!$B$2="Ja",creep_res125!O8,creep_res125!C8)</f>
        <v>-9.6440574285714287E-4</v>
      </c>
      <c r="H8" s="2">
        <f>IF('Modell einstellen'!$B$2="Ja",creep_res160!O8,creep_res160!C8)</f>
        <v>-1.2935296285714287E-3</v>
      </c>
      <c r="M8" s="9">
        <f t="shared" si="27"/>
        <v>-10</v>
      </c>
      <c r="N8" s="2">
        <f t="shared" si="4"/>
        <v>1E-10</v>
      </c>
      <c r="O8" s="2">
        <f t="shared" si="5"/>
        <v>15281.072850069839</v>
      </c>
      <c r="P8" s="2">
        <f t="shared" si="6"/>
        <v>15253.251034344743</v>
      </c>
      <c r="Q8" s="2">
        <f t="shared" si="7"/>
        <v>15110.657503563956</v>
      </c>
      <c r="R8" s="2">
        <f t="shared" si="8"/>
        <v>14348.856869619767</v>
      </c>
      <c r="S8" s="2">
        <f t="shared" si="9"/>
        <v>13443.196770682955</v>
      </c>
      <c r="T8" s="2">
        <f t="shared" si="10"/>
        <v>10369.07968877711</v>
      </c>
      <c r="U8" s="2">
        <f t="shared" si="11"/>
        <v>7730.7854254903914</v>
      </c>
      <c r="Z8" s="2">
        <v>1E-10</v>
      </c>
      <c r="AA8" s="3">
        <f>IF('Modell einstellen'!$B$2="Ja",'creep_res-40'!P8,'creep_res-40'!L8)</f>
        <v>0.35763977455440282</v>
      </c>
      <c r="AB8" s="2">
        <f>IF('Modell einstellen'!$B$2="Ja",creep_res0!P8,creep_res0!L8)</f>
        <v>0.35718762387818875</v>
      </c>
      <c r="AC8" s="2">
        <f>IF('Modell einstellen'!$B$2="Ja",creep_res25!P8,creep_res25!L8)</f>
        <v>0.35861262145730638</v>
      </c>
      <c r="AD8" s="2">
        <f>IF('Modell einstellen'!$B$2="Ja",creep_res50!P8,creep_res50!L8)</f>
        <v>0.36838174043188504</v>
      </c>
      <c r="AE8" s="2">
        <f>IF('Modell einstellen'!$B$2="Ja",creep_res80!P8,creep_res80!L8)</f>
        <v>0.38068981190816814</v>
      </c>
      <c r="AF8" s="2">
        <f>IF('Modell einstellen'!$B$2="Ja",creep_res125!P8,creep_res125!L8)</f>
        <v>0.43213035912181719</v>
      </c>
      <c r="AG8" s="2">
        <f>IF('Modell einstellen'!$B$2="Ja",creep_res160!P8,creep_res160!L8)</f>
        <v>0.49365710039398952</v>
      </c>
      <c r="AL8" s="2">
        <f t="shared" si="12"/>
        <v>1E-10</v>
      </c>
      <c r="AM8" s="2">
        <f t="shared" si="13"/>
        <v>5627.8083245923272</v>
      </c>
      <c r="AN8" s="2">
        <f t="shared" si="14"/>
        <v>5619.4334394084344</v>
      </c>
      <c r="AO8" s="2">
        <f t="shared" si="15"/>
        <v>5561.0618011761198</v>
      </c>
      <c r="AP8" s="2">
        <f t="shared" si="16"/>
        <v>5243.0021702463746</v>
      </c>
      <c r="AQ8" s="2">
        <f t="shared" si="17"/>
        <v>4868.289986185935</v>
      </c>
      <c r="AR8" s="2">
        <f t="shared" si="18"/>
        <v>3620.1591645384274</v>
      </c>
      <c r="AS8" s="2">
        <f t="shared" si="19"/>
        <v>2587.8715481120807</v>
      </c>
      <c r="AX8" s="2">
        <f t="shared" si="28"/>
        <v>1E-10</v>
      </c>
      <c r="AY8" s="37">
        <f t="shared" si="20"/>
        <v>17890.147806663277</v>
      </c>
      <c r="AZ8" s="37">
        <f t="shared" si="21"/>
        <v>17801.037800503767</v>
      </c>
      <c r="BA8" s="37">
        <f t="shared" si="22"/>
        <v>17812.36022068395</v>
      </c>
      <c r="BB8" s="37">
        <f t="shared" si="23"/>
        <v>18169.790063961402</v>
      </c>
      <c r="BC8" s="37">
        <f t="shared" si="24"/>
        <v>18779.056767468257</v>
      </c>
      <c r="BD8" s="37">
        <f t="shared" si="25"/>
        <v>25463.225173555536</v>
      </c>
      <c r="BE8" s="37">
        <f t="shared" si="26"/>
        <v>203134.8937575481</v>
      </c>
    </row>
    <row r="9" spans="1:308" x14ac:dyDescent="0.25">
      <c r="A9" s="2">
        <f>'creep_res-40'!A9</f>
        <v>1.0000000000000001E-9</v>
      </c>
      <c r="B9" s="3">
        <f>'creep_res-40'!O9</f>
        <v>-6.5440431428571435E-4</v>
      </c>
      <c r="C9" s="2">
        <f>IF('Modell einstellen'!$B$2="Ja",creep_res0!O9,creep_res0!C9)</f>
        <v>-6.5569128571428569E-4</v>
      </c>
      <c r="D9" s="2">
        <f>IF('Modell einstellen'!$B$2="Ja",creep_res25!O9,creep_res25!C9)</f>
        <v>-6.7988582857142867E-4</v>
      </c>
      <c r="E9" s="2">
        <f>IF('Modell einstellen'!$B$2="Ja",creep_res50!O9,creep_res50!C9)</f>
        <v>-7.0983691428571434E-4</v>
      </c>
      <c r="F9" s="2">
        <f>IF('Modell einstellen'!$B$2="Ja",creep_res80!O9,creep_res80!C9)</f>
        <v>-7.6384202857142868E-4</v>
      </c>
      <c r="G9" s="2">
        <f>IF('Modell einstellen'!$B$2="Ja",creep_res125!O9,creep_res125!C9)</f>
        <v>-1.0065965428571429E-3</v>
      </c>
      <c r="H9" s="2">
        <f>IF('Modell einstellen'!$B$2="Ja",creep_res160!O9,creep_res160!C9)</f>
        <v>-1.3849060571428573E-3</v>
      </c>
      <c r="M9" s="9">
        <f t="shared" si="27"/>
        <v>-10</v>
      </c>
      <c r="N9" s="2">
        <f t="shared" si="4"/>
        <v>1.0000000000000001E-9</v>
      </c>
      <c r="O9" s="2">
        <f t="shared" si="5"/>
        <v>15281.072850069839</v>
      </c>
      <c r="P9" s="2">
        <f t="shared" si="6"/>
        <v>15251.07961303218</v>
      </c>
      <c r="Q9" s="2">
        <f t="shared" si="7"/>
        <v>14708.351872860669</v>
      </c>
      <c r="R9" s="2">
        <f t="shared" si="8"/>
        <v>14087.742971303025</v>
      </c>
      <c r="S9" s="2">
        <f t="shared" si="9"/>
        <v>13091.71219434265</v>
      </c>
      <c r="T9" s="2">
        <f t="shared" si="10"/>
        <v>9934.4668635715843</v>
      </c>
      <c r="U9" s="2">
        <f t="shared" si="11"/>
        <v>7220.7063781861052</v>
      </c>
      <c r="Z9" s="2">
        <v>1.0000000000000001E-9</v>
      </c>
      <c r="AA9" s="3">
        <f>IF('Modell einstellen'!$B$2="Ja",'creep_res-40'!P9,'creep_res-40'!L9)</f>
        <v>0.35763979201848606</v>
      </c>
      <c r="AB9" s="2">
        <f>IF('Modell einstellen'!$B$2="Ja",creep_res0!P9,creep_res0!L9)</f>
        <v>0.35721754074598261</v>
      </c>
      <c r="AC9" s="2">
        <f>IF('Modell einstellen'!$B$2="Ja",creep_res25!P9,creep_res25!L9)</f>
        <v>0.36398062464605402</v>
      </c>
      <c r="AD9" s="2">
        <f>IF('Modell einstellen'!$B$2="Ja",creep_res50!P9,creep_res50!L9)</f>
        <v>0.37208003351433799</v>
      </c>
      <c r="AE9" s="2">
        <f>IF('Modell einstellen'!$B$2="Ja",creep_res80!P9,creep_res80!L9)</f>
        <v>0.38602862199891669</v>
      </c>
      <c r="AF9" s="2">
        <f>IF('Modell einstellen'!$B$2="Ja",creep_res125!P9,creep_res125!L9)</f>
        <v>0.44118839612261734</v>
      </c>
      <c r="AG9" s="2">
        <f>IF('Modell einstellen'!$B$2="Ja",creep_res160!P9,creep_res160!L9)</f>
        <v>0.50904913364727045</v>
      </c>
      <c r="AL9" s="2">
        <f t="shared" si="12"/>
        <v>1.0000000000000001E-9</v>
      </c>
      <c r="AM9" s="2">
        <f t="shared" si="13"/>
        <v>5627.808252198668</v>
      </c>
      <c r="AN9" s="2">
        <f t="shared" si="14"/>
        <v>5618.5096180858227</v>
      </c>
      <c r="AO9" s="2">
        <f t="shared" si="15"/>
        <v>5391.7011748892737</v>
      </c>
      <c r="AP9" s="2">
        <f t="shared" si="16"/>
        <v>5133.7176502815901</v>
      </c>
      <c r="AQ9" s="2">
        <f t="shared" si="17"/>
        <v>4722.7423685745798</v>
      </c>
      <c r="AR9" s="2">
        <f t="shared" si="18"/>
        <v>3446.6232486673289</v>
      </c>
      <c r="AS9" s="2">
        <f t="shared" si="19"/>
        <v>2392.4689452404186</v>
      </c>
      <c r="AX9" s="2">
        <f t="shared" si="28"/>
        <v>1.0000000000000001E-9</v>
      </c>
      <c r="AY9" s="37">
        <f t="shared" si="20"/>
        <v>17890.150001342779</v>
      </c>
      <c r="AZ9" s="37">
        <f t="shared" si="21"/>
        <v>17802.232959511875</v>
      </c>
      <c r="BA9" s="37">
        <f t="shared" si="22"/>
        <v>18022.373448129467</v>
      </c>
      <c r="BB9" s="37">
        <f t="shared" si="23"/>
        <v>18354.891940555735</v>
      </c>
      <c r="BC9" s="37">
        <f t="shared" si="24"/>
        <v>19144.73678092847</v>
      </c>
      <c r="BD9" s="37">
        <f t="shared" si="25"/>
        <v>28153.363759880132</v>
      </c>
      <c r="BE9" s="37">
        <f t="shared" si="26"/>
        <v>-132990.74916348737</v>
      </c>
    </row>
    <row r="10" spans="1:308" x14ac:dyDescent="0.25">
      <c r="A10" s="2">
        <f>'creep_res-40'!A10</f>
        <v>1E-8</v>
      </c>
      <c r="B10" s="3">
        <f>'creep_res-40'!O10</f>
        <v>-6.5440434285714288E-4</v>
      </c>
      <c r="C10" s="2">
        <f>IF('Modell einstellen'!$B$2="Ja",creep_res0!O10,creep_res0!C10)</f>
        <v>-6.5659254285714292E-4</v>
      </c>
      <c r="D10" s="2">
        <f>IF('Modell einstellen'!$B$2="Ja",creep_res25!O10,creep_res25!C10)</f>
        <v>-6.9310382857142863E-4</v>
      </c>
      <c r="E10" s="2">
        <f>IF('Modell einstellen'!$B$2="Ja",creep_res50!O10,creep_res50!C10)</f>
        <v>-7.2485928571428579E-4</v>
      </c>
      <c r="F10" s="2">
        <f>IF('Modell einstellen'!$B$2="Ja",creep_res80!O10,creep_res80!C10)</f>
        <v>-7.8660660000000001E-4</v>
      </c>
      <c r="G10" s="2">
        <f>IF('Modell einstellen'!$B$2="Ja",creep_res125!O10,creep_res125!C10)</f>
        <v>-1.0500243142857143E-3</v>
      </c>
      <c r="H10" s="2">
        <f>IF('Modell einstellen'!$B$2="Ja",creep_res160!O10,creep_res160!C10)</f>
        <v>-1.5058213428571429E-3</v>
      </c>
      <c r="M10" s="9">
        <f t="shared" si="27"/>
        <v>-10</v>
      </c>
      <c r="N10" s="2">
        <f t="shared" si="4"/>
        <v>1E-8</v>
      </c>
      <c r="O10" s="2">
        <f t="shared" si="5"/>
        <v>15281.072182895048</v>
      </c>
      <c r="P10" s="2">
        <f t="shared" si="6"/>
        <v>15230.145557982272</v>
      </c>
      <c r="Q10" s="2">
        <f t="shared" si="7"/>
        <v>14427.852780168907</v>
      </c>
      <c r="R10" s="2">
        <f t="shared" si="8"/>
        <v>13795.781053071383</v>
      </c>
      <c r="S10" s="2">
        <f t="shared" si="9"/>
        <v>12712.835107155215</v>
      </c>
      <c r="T10" s="2">
        <f t="shared" si="10"/>
        <v>9523.5889911773738</v>
      </c>
      <c r="U10" s="2">
        <f t="shared" si="11"/>
        <v>6640.8940525613862</v>
      </c>
      <c r="Z10" s="2">
        <v>1E-8</v>
      </c>
      <c r="AA10" s="3">
        <f>IF('Modell einstellen'!$B$2="Ja",'creep_res-40'!P10,'creep_res-40'!L10)</f>
        <v>0.35763978076987968</v>
      </c>
      <c r="AB10" s="2">
        <f>IF('Modell einstellen'!$B$2="Ja",creep_res0!P10,creep_res0!L10)</f>
        <v>0.35750611414193423</v>
      </c>
      <c r="AC10" s="2">
        <f>IF('Modell einstellen'!$B$2="Ja",creep_res25!P10,creep_res25!L10)</f>
        <v>0.36788517440841889</v>
      </c>
      <c r="AD10" s="2">
        <f>IF('Modell einstellen'!$B$2="Ja",creep_res50!P10,creep_res50!L10)</f>
        <v>0.37630912403688199</v>
      </c>
      <c r="AE10" s="2">
        <f>IF('Modell einstellen'!$B$2="Ja",creep_res80!P10,creep_res80!L10)</f>
        <v>0.39197778697218444</v>
      </c>
      <c r="AF10" s="2">
        <f>IF('Modell einstellen'!$B$2="Ja",creep_res125!P10,creep_res125!L10)</f>
        <v>0.45020190144712569</v>
      </c>
      <c r="AG10" s="2">
        <f>IF('Modell einstellen'!$B$2="Ja",creep_res160!P10,creep_res160!L10)</f>
        <v>0.52820052813322738</v>
      </c>
      <c r="AL10" s="2">
        <f t="shared" si="12"/>
        <v>1E-8</v>
      </c>
      <c r="AM10" s="2">
        <f t="shared" si="13"/>
        <v>5627.808053116114</v>
      </c>
      <c r="AN10" s="2">
        <f t="shared" si="14"/>
        <v>5609.604774269872</v>
      </c>
      <c r="AO10" s="2">
        <f t="shared" si="15"/>
        <v>5273.7806689105482</v>
      </c>
      <c r="AP10" s="2">
        <f t="shared" si="16"/>
        <v>5011.8758976932013</v>
      </c>
      <c r="AQ10" s="2">
        <f t="shared" si="17"/>
        <v>4566.4647906515956</v>
      </c>
      <c r="AR10" s="2">
        <f t="shared" si="18"/>
        <v>3283.5389960784037</v>
      </c>
      <c r="AS10" s="2">
        <f t="shared" si="19"/>
        <v>2172.7822789963197</v>
      </c>
      <c r="AX10" s="2">
        <f t="shared" si="28"/>
        <v>1E-8</v>
      </c>
      <c r="AY10" s="37">
        <f t="shared" si="20"/>
        <v>17890.147806663284</v>
      </c>
      <c r="AZ10" s="37">
        <f t="shared" si="21"/>
        <v>17813.800063852799</v>
      </c>
      <c r="BA10" s="37">
        <f t="shared" si="22"/>
        <v>18201.152817336686</v>
      </c>
      <c r="BB10" s="37">
        <f t="shared" si="23"/>
        <v>18589.057796503643</v>
      </c>
      <c r="BC10" s="37">
        <f t="shared" si="24"/>
        <v>19614.538452817538</v>
      </c>
      <c r="BD10" s="37">
        <f t="shared" si="25"/>
        <v>31874.00479111827</v>
      </c>
      <c r="BE10" s="37">
        <f t="shared" si="26"/>
        <v>-39248.047774069455</v>
      </c>
    </row>
    <row r="11" spans="1:308" x14ac:dyDescent="0.25">
      <c r="A11" s="2">
        <f>'creep_res-40'!A11</f>
        <v>9.9999999999999995E-8</v>
      </c>
      <c r="B11" s="3">
        <f>'creep_res-40'!O11</f>
        <v>-6.5440434285714288E-4</v>
      </c>
      <c r="C11" s="2">
        <f>IF('Modell einstellen'!$B$2="Ja",creep_res0!O11,creep_res0!C11)</f>
        <v>-6.6432717142857146E-4</v>
      </c>
      <c r="D11" s="2">
        <f>IF('Modell einstellen'!$B$2="Ja",creep_res25!O11,creep_res25!C11)</f>
        <v>-7.0554688571428581E-4</v>
      </c>
      <c r="E11" s="2">
        <f>IF('Modell einstellen'!$B$2="Ja",creep_res50!O11,creep_res50!C11)</f>
        <v>-7.4154751428571434E-4</v>
      </c>
      <c r="F11" s="2">
        <f>IF('Modell einstellen'!$B$2="Ja",creep_res80!O11,creep_res80!C11)</f>
        <v>-8.1115248571428573E-4</v>
      </c>
      <c r="G11" s="2">
        <f>IF('Modell einstellen'!$B$2="Ja",creep_res125!O11,creep_res125!C11)</f>
        <v>-1.0958992000000001E-3</v>
      </c>
      <c r="H11" s="2">
        <f>IF('Modell einstellen'!$B$2="Ja",creep_res160!O11,creep_res160!C11)</f>
        <v>-1.6706613714285716E-3</v>
      </c>
      <c r="M11" s="9">
        <f t="shared" si="27"/>
        <v>-10</v>
      </c>
      <c r="N11" s="2">
        <f t="shared" si="4"/>
        <v>9.9999999999999995E-8</v>
      </c>
      <c r="O11" s="2">
        <f t="shared" si="5"/>
        <v>15281.072182895048</v>
      </c>
      <c r="P11" s="2">
        <f t="shared" si="6"/>
        <v>15052.824015155011</v>
      </c>
      <c r="Q11" s="2">
        <f t="shared" si="7"/>
        <v>14173.402508716539</v>
      </c>
      <c r="R11" s="2">
        <f t="shared" si="8"/>
        <v>13485.312548896298</v>
      </c>
      <c r="S11" s="2">
        <f t="shared" si="9"/>
        <v>12328.138267608447</v>
      </c>
      <c r="T11" s="2">
        <f t="shared" si="10"/>
        <v>9124.9268180869185</v>
      </c>
      <c r="U11" s="2">
        <f t="shared" si="11"/>
        <v>5985.6534489985033</v>
      </c>
      <c r="Z11" s="2">
        <v>9.9999999999999995E-8</v>
      </c>
      <c r="AA11" s="3">
        <f>IF('Modell einstellen'!$B$2="Ja",'creep_res-40'!P11,'creep_res-40'!L11)</f>
        <v>0.35763979823396214</v>
      </c>
      <c r="AB11" s="2">
        <f>IF('Modell einstellen'!$B$2="Ja",creep_res0!P11,creep_res0!L11)</f>
        <v>0.35986347690731219</v>
      </c>
      <c r="AC11" s="2">
        <f>IF('Modell einstellen'!$B$2="Ja",creep_res25!P11,creep_res25!L11)</f>
        <v>0.37149393453289181</v>
      </c>
      <c r="AD11" s="2">
        <f>IF('Modell einstellen'!$B$2="Ja",creep_res50!P11,creep_res50!L11)</f>
        <v>0.38092130730626911</v>
      </c>
      <c r="AE11" s="2">
        <f>IF('Modell einstellen'!$B$2="Ja",creep_res80!P11,creep_res80!L11)</f>
        <v>0.39824437448558647</v>
      </c>
      <c r="AF11" s="2">
        <f>IF('Modell einstellen'!$B$2="Ja",creep_res125!P11,creep_res125!L11)</f>
        <v>0.45945049377846842</v>
      </c>
      <c r="AG11" s="2">
        <f>IF('Modell einstellen'!$B$2="Ja",creep_res160!P11,creep_res160!L11)</f>
        <v>0.55232468414390823</v>
      </c>
      <c r="AL11" s="2">
        <f t="shared" si="12"/>
        <v>9.9999999999999995E-8</v>
      </c>
      <c r="AM11" s="2">
        <f t="shared" si="13"/>
        <v>5627.8079807224613</v>
      </c>
      <c r="AN11" s="2">
        <f t="shared" si="14"/>
        <v>5534.6820731552771</v>
      </c>
      <c r="AO11" s="2">
        <f t="shared" si="15"/>
        <v>5167.1400623232676</v>
      </c>
      <c r="AP11" s="2">
        <f t="shared" si="16"/>
        <v>4882.7230333645084</v>
      </c>
      <c r="AQ11" s="2">
        <f t="shared" si="17"/>
        <v>4408.434781704007</v>
      </c>
      <c r="AR11" s="2">
        <f t="shared" si="18"/>
        <v>3126.1515402495047</v>
      </c>
      <c r="AS11" s="2">
        <f t="shared" si="19"/>
        <v>1927.9643975704516</v>
      </c>
      <c r="AX11" s="2">
        <f t="shared" si="28"/>
        <v>9.9999999999999995E-8</v>
      </c>
      <c r="AY11" s="37">
        <f t="shared" si="20"/>
        <v>17890.150001342783</v>
      </c>
      <c r="AZ11" s="37">
        <f t="shared" si="21"/>
        <v>17902.570630116781</v>
      </c>
      <c r="BA11" s="37">
        <f t="shared" si="22"/>
        <v>18382.274353091783</v>
      </c>
      <c r="BB11" s="37">
        <f t="shared" si="23"/>
        <v>18874.510969509851</v>
      </c>
      <c r="BC11" s="37">
        <f t="shared" si="24"/>
        <v>20192.39428661397</v>
      </c>
      <c r="BD11" s="37">
        <f t="shared" si="25"/>
        <v>37505.293604297243</v>
      </c>
      <c r="BE11" s="37">
        <f t="shared" si="26"/>
        <v>-19065.74161867275</v>
      </c>
    </row>
    <row r="12" spans="1:308" x14ac:dyDescent="0.25">
      <c r="A12" s="2">
        <f>'creep_res-40'!A12</f>
        <v>9.9999999999999995E-7</v>
      </c>
      <c r="B12" s="3">
        <f>'creep_res-40'!O12</f>
        <v>-6.5440448571428577E-4</v>
      </c>
      <c r="C12" s="2">
        <f>IF('Modell einstellen'!$B$2="Ja",creep_res0!O12,creep_res0!C12)</f>
        <v>-6.8198111428571437E-4</v>
      </c>
      <c r="D12" s="2">
        <f>IF('Modell einstellen'!$B$2="Ja",creep_res25!O12,creep_res25!C12)</f>
        <v>-7.2022191428571436E-4</v>
      </c>
      <c r="E12" s="2">
        <f>IF('Modell einstellen'!$B$2="Ja",creep_res50!O12,creep_res50!C12)</f>
        <v>-7.6130077142857143E-4</v>
      </c>
      <c r="F12" s="2">
        <f>IF('Modell einstellen'!$B$2="Ja",creep_res80!O12,creep_res80!C12)</f>
        <v>-8.3640171428571431E-4</v>
      </c>
      <c r="G12" s="2">
        <f>IF('Modell einstellen'!$B$2="Ja",creep_res125!O12,creep_res125!C12)</f>
        <v>-1.1455540285714287E-3</v>
      </c>
      <c r="H12" s="2">
        <f>IF('Modell einstellen'!$B$2="Ja",creep_res160!O12,creep_res160!C12)</f>
        <v>-1.9194069142857144E-3</v>
      </c>
      <c r="M12" s="9">
        <f t="shared" si="27"/>
        <v>-10</v>
      </c>
      <c r="N12" s="2">
        <f t="shared" si="4"/>
        <v>9.9999999999999995E-7</v>
      </c>
      <c r="O12" s="2">
        <f t="shared" si="5"/>
        <v>15281.068847021961</v>
      </c>
      <c r="P12" s="2">
        <f t="shared" si="6"/>
        <v>14663.162645601538</v>
      </c>
      <c r="Q12" s="2">
        <f t="shared" si="7"/>
        <v>13884.609453903631</v>
      </c>
      <c r="R12" s="2">
        <f t="shared" si="8"/>
        <v>13135.412934411093</v>
      </c>
      <c r="S12" s="2">
        <f t="shared" si="9"/>
        <v>11955.97740798509</v>
      </c>
      <c r="T12" s="2">
        <f t="shared" si="10"/>
        <v>8729.4005787492806</v>
      </c>
      <c r="U12" s="2">
        <f t="shared" si="11"/>
        <v>5209.9426784243851</v>
      </c>
      <c r="Z12" s="2">
        <v>9.9999999999999995E-7</v>
      </c>
      <c r="AA12" s="3">
        <f>IF('Modell einstellen'!$B$2="Ja",'creep_res-40'!P12,'creep_res-40'!L12)</f>
        <v>0.35763983367735386</v>
      </c>
      <c r="AB12" s="2">
        <f>IF('Modell einstellen'!$B$2="Ja",creep_res0!P12,creep_res0!L12)</f>
        <v>0.36518361903528196</v>
      </c>
      <c r="AC12" s="2">
        <f>IF('Modell einstellen'!$B$2="Ja",creep_res25!P12,creep_res25!L12)</f>
        <v>0.37567708000474614</v>
      </c>
      <c r="AD12" s="2">
        <f>IF('Modell einstellen'!$B$2="Ja",creep_res50!P12,creep_res50!L12)</f>
        <v>0.38626986060362029</v>
      </c>
      <c r="AE12" s="2">
        <f>IF('Modell einstellen'!$B$2="Ja",creep_res80!P12,creep_res80!L12)</f>
        <v>0.4045365419077504</v>
      </c>
      <c r="AF12" s="2">
        <f>IF('Modell einstellen'!$B$2="Ja",creep_res125!P12,creep_res125!L12)</f>
        <v>0.46913896260451993</v>
      </c>
      <c r="AG12" s="2">
        <f>IF('Modell einstellen'!$B$2="Ja",creep_res160!P12,creep_res160!L12)</f>
        <v>0.58482450576027634</v>
      </c>
      <c r="AL12" s="2">
        <f t="shared" si="12"/>
        <v>9.9999999999999995E-7</v>
      </c>
      <c r="AM12" s="2">
        <f t="shared" si="13"/>
        <v>5627.8066052434133</v>
      </c>
      <c r="AN12" s="2">
        <f t="shared" si="14"/>
        <v>5370.399425083704</v>
      </c>
      <c r="AO12" s="2">
        <f t="shared" si="15"/>
        <v>5046.4639033804824</v>
      </c>
      <c r="AP12" s="2">
        <f t="shared" si="16"/>
        <v>4737.6825060207148</v>
      </c>
      <c r="AQ12" s="2">
        <f t="shared" si="17"/>
        <v>4256.2001953133786</v>
      </c>
      <c r="AR12" s="2">
        <f t="shared" si="18"/>
        <v>2970.9240585633979</v>
      </c>
      <c r="AS12" s="2">
        <f t="shared" si="19"/>
        <v>1643.6970338003</v>
      </c>
      <c r="AX12" s="2">
        <f t="shared" si="28"/>
        <v>9.9999999999999995E-7</v>
      </c>
      <c r="AY12" s="37">
        <f t="shared" si="20"/>
        <v>17890.150550012742</v>
      </c>
      <c r="AZ12" s="37">
        <f t="shared" si="21"/>
        <v>18127.325651718518</v>
      </c>
      <c r="BA12" s="37">
        <f t="shared" si="22"/>
        <v>18613.635971057858</v>
      </c>
      <c r="BB12" s="37">
        <f t="shared" si="23"/>
        <v>19249.387195758627</v>
      </c>
      <c r="BC12" s="37">
        <f t="shared" si="24"/>
        <v>20873.567133984088</v>
      </c>
      <c r="BD12" s="37">
        <f t="shared" si="25"/>
        <v>47143.590081365801</v>
      </c>
      <c r="BE12" s="37">
        <f t="shared" si="26"/>
        <v>-10236.708978787085</v>
      </c>
    </row>
    <row r="13" spans="1:308" x14ac:dyDescent="0.25">
      <c r="A13" s="2">
        <f>'creep_res-40'!A13</f>
        <v>1.0000000000000001E-5</v>
      </c>
      <c r="B13" s="3">
        <f>'creep_res-40'!O13</f>
        <v>-6.5440582857142864E-4</v>
      </c>
      <c r="C13" s="2">
        <f>IF('Modell einstellen'!$B$2="Ja",creep_res0!O13,creep_res0!C13)</f>
        <v>-6.9466899999999997E-4</v>
      </c>
      <c r="D13" s="2">
        <f>IF('Modell einstellen'!$B$2="Ja",creep_res25!O13,creep_res25!C13)</f>
        <v>-7.3623651428571431E-4</v>
      </c>
      <c r="E13" s="2">
        <f>IF('Modell einstellen'!$B$2="Ja",creep_res50!O13,creep_res50!C13)</f>
        <v>-7.8384359999999998E-4</v>
      </c>
      <c r="F13" s="2">
        <f>IF('Modell einstellen'!$B$2="Ja",creep_res80!O13,creep_res80!C13)</f>
        <v>-8.6621125714285722E-4</v>
      </c>
      <c r="G13" s="2">
        <f>IF('Modell einstellen'!$B$2="Ja",creep_res125!O13,creep_res125!C13)</f>
        <v>-1.2005413142857145E-3</v>
      </c>
      <c r="H13" s="2">
        <f>IF('Modell einstellen'!$B$2="Ja",creep_res160!O13,creep_res160!C13)</f>
        <v>-2.3250146857142859E-3</v>
      </c>
      <c r="M13" s="9">
        <f t="shared" si="27"/>
        <v>-10</v>
      </c>
      <c r="N13" s="2">
        <f t="shared" si="4"/>
        <v>1.0000000000000001E-5</v>
      </c>
      <c r="O13" s="2">
        <f t="shared" si="5"/>
        <v>15281.037489886136</v>
      </c>
      <c r="P13" s="2">
        <f t="shared" si="6"/>
        <v>14395.345121201608</v>
      </c>
      <c r="Q13" s="2">
        <f t="shared" si="7"/>
        <v>13582.591743227855</v>
      </c>
      <c r="R13" s="2">
        <f t="shared" si="8"/>
        <v>12757.647061224969</v>
      </c>
      <c r="S13" s="2">
        <f t="shared" si="9"/>
        <v>11544.527870700231</v>
      </c>
      <c r="T13" s="2">
        <f t="shared" si="10"/>
        <v>8329.5759013088991</v>
      </c>
      <c r="U13" s="2">
        <f t="shared" si="11"/>
        <v>4301.0481015210544</v>
      </c>
      <c r="Z13" s="2">
        <v>1.0000000000000001E-5</v>
      </c>
      <c r="AA13" s="3">
        <f>IF('Modell einstellen'!$B$2="Ja",'creep_res-40'!P13,'creep_res-40'!L13)</f>
        <v>0.35764026115031106</v>
      </c>
      <c r="AB13" s="2">
        <f>IF('Modell einstellen'!$B$2="Ja",creep_res0!P13,creep_res0!L13)</f>
        <v>0.36894732393618918</v>
      </c>
      <c r="AC13" s="2">
        <f>IF('Modell einstellen'!$B$2="Ja",creep_res25!P13,creep_res25!L13)</f>
        <v>0.38016321075083098</v>
      </c>
      <c r="AD13" s="2">
        <f>IF('Modell einstellen'!$B$2="Ja",creep_res50!P13,creep_res50!L13)</f>
        <v>0.39223816004694234</v>
      </c>
      <c r="AE13" s="2">
        <f>IF('Modell einstellen'!$B$2="Ja",creep_res80!P13,creep_res80!L13)</f>
        <v>0.41176375515652824</v>
      </c>
      <c r="AF13" s="2">
        <f>IF('Modell einstellen'!$B$2="Ja",creep_res125!P13,creep_res125!L13)</f>
        <v>0.47952302278119963</v>
      </c>
      <c r="AG13" s="2">
        <f>IF('Modell einstellen'!$B$2="Ja",creep_res160!P13,creep_res160!L13)</f>
        <v>0.62959096024880401</v>
      </c>
      <c r="AL13" s="2">
        <f t="shared" si="12"/>
        <v>1.0000000000000001E-5</v>
      </c>
      <c r="AM13" s="2">
        <f t="shared" si="13"/>
        <v>5627.7932848495184</v>
      </c>
      <c r="AN13" s="2">
        <f t="shared" si="14"/>
        <v>5257.8155746015464</v>
      </c>
      <c r="AO13" s="2">
        <f t="shared" si="15"/>
        <v>4920.6469341545144</v>
      </c>
      <c r="AP13" s="2">
        <f t="shared" si="16"/>
        <v>4581.7042756516666</v>
      </c>
      <c r="AQ13" s="2">
        <f t="shared" si="17"/>
        <v>4088.6897076558816</v>
      </c>
      <c r="AR13" s="2">
        <f t="shared" si="18"/>
        <v>2814.9531210575578</v>
      </c>
      <c r="AS13" s="2">
        <f t="shared" si="19"/>
        <v>1319.6710728146086</v>
      </c>
      <c r="AX13" s="2">
        <f t="shared" si="28"/>
        <v>1.0000000000000001E-5</v>
      </c>
      <c r="AY13" s="37">
        <f t="shared" si="20"/>
        <v>17890.167558798203</v>
      </c>
      <c r="AZ13" s="37">
        <f t="shared" si="21"/>
        <v>18307.326938510811</v>
      </c>
      <c r="BA13" s="37">
        <f t="shared" si="22"/>
        <v>18890.403395497124</v>
      </c>
      <c r="BB13" s="37">
        <f t="shared" si="23"/>
        <v>19731.237988608878</v>
      </c>
      <c r="BC13" s="37">
        <f t="shared" si="24"/>
        <v>21806.095464095375</v>
      </c>
      <c r="BD13" s="37">
        <f t="shared" si="25"/>
        <v>67796.268725813425</v>
      </c>
      <c r="BE13" s="37">
        <f t="shared" si="26"/>
        <v>-5531.5690915263876</v>
      </c>
    </row>
    <row r="14" spans="1:308" x14ac:dyDescent="0.25">
      <c r="A14" s="2">
        <f>'creep_res-40'!A14</f>
        <v>1E-4</v>
      </c>
      <c r="B14" s="3">
        <f>'creep_res-40'!O14</f>
        <v>-6.5441911428571441E-4</v>
      </c>
      <c r="C14" s="2">
        <f>IF('Modell einstellen'!$B$2="Ja",creep_res0!O14,creep_res0!C14)</f>
        <v>-7.0743394285714299E-4</v>
      </c>
      <c r="D14" s="2">
        <f>IF('Modell einstellen'!$B$2="Ja",creep_res25!O14,creep_res25!C14)</f>
        <v>-7.5526031428571443E-4</v>
      </c>
      <c r="E14" s="2">
        <f>IF('Modell einstellen'!$B$2="Ja",creep_res50!O14,creep_res50!C14)</f>
        <v>-8.0832005714285714E-4</v>
      </c>
      <c r="F14" s="2">
        <f>IF('Modell einstellen'!$B$2="Ja",creep_res80!O14,creep_res80!C14)</f>
        <v>-9.0536308571428567E-4</v>
      </c>
      <c r="G14" s="2">
        <f>IF('Modell einstellen'!$B$2="Ja",creep_res125!O14,creep_res125!C14)</f>
        <v>-1.2687796E-3</v>
      </c>
      <c r="H14" s="2">
        <f>IF('Modell einstellen'!$B$2="Ja",creep_res160!O14,creep_res160!C14)</f>
        <v>-3.0115682857142861E-3</v>
      </c>
      <c r="M14" s="9">
        <f t="shared" si="27"/>
        <v>-10</v>
      </c>
      <c r="N14" s="2">
        <f t="shared" si="4"/>
        <v>1E-4</v>
      </c>
      <c r="O14" s="2">
        <f t="shared" si="5"/>
        <v>15280.727261328244</v>
      </c>
      <c r="P14" s="2">
        <f t="shared" si="6"/>
        <v>14135.595416319131</v>
      </c>
      <c r="Q14" s="2">
        <f t="shared" si="7"/>
        <v>13240.467969586718</v>
      </c>
      <c r="R14" s="2">
        <f t="shared" si="8"/>
        <v>12371.337209355757</v>
      </c>
      <c r="S14" s="2">
        <f t="shared" si="9"/>
        <v>11045.292389086646</v>
      </c>
      <c r="T14" s="2">
        <f t="shared" si="10"/>
        <v>7881.5895211429943</v>
      </c>
      <c r="U14" s="2">
        <f t="shared" si="11"/>
        <v>3320.5290570484913</v>
      </c>
      <c r="Z14" s="2">
        <v>1E-4</v>
      </c>
      <c r="AA14" s="3">
        <f>IF('Modell einstellen'!$B$2="Ja",'creep_res-40'!P14,'creep_res-40'!L14)</f>
        <v>0.35764459202619342</v>
      </c>
      <c r="AB14" s="2">
        <f>IF('Modell einstellen'!$B$2="Ja",creep_res0!P14,creep_res0!L14)</f>
        <v>0.37266710171990614</v>
      </c>
      <c r="AC14" s="2">
        <f>IF('Modell einstellen'!$B$2="Ja",creep_res25!P14,creep_res25!L14)</f>
        <v>0.38538579943165097</v>
      </c>
      <c r="AD14" s="2">
        <f>IF('Modell einstellen'!$B$2="Ja",creep_res50!P14,creep_res50!L14)</f>
        <v>0.39856882008760186</v>
      </c>
      <c r="AE14" s="2">
        <f>IF('Modell einstellen'!$B$2="Ja",creep_res80!P14,creep_res80!L14)</f>
        <v>0.42096534719393408</v>
      </c>
      <c r="AF14" s="2">
        <f>IF('Modell einstellen'!$B$2="Ja",creep_res125!P14,creep_res125!L14)</f>
        <v>0.49188883103551972</v>
      </c>
      <c r="AG14" s="2">
        <f>IF('Modell einstellen'!$B$2="Ja",creep_res160!P14,creep_res160!L14)</f>
        <v>0.6879203896517514</v>
      </c>
      <c r="AL14" s="2">
        <f t="shared" si="12"/>
        <v>1E-4</v>
      </c>
      <c r="AM14" s="2">
        <f t="shared" si="13"/>
        <v>5627.6610797391322</v>
      </c>
      <c r="AN14" s="2">
        <f t="shared" si="14"/>
        <v>5148.9525022518937</v>
      </c>
      <c r="AO14" s="2">
        <f t="shared" si="15"/>
        <v>4778.6212241451321</v>
      </c>
      <c r="AP14" s="2">
        <f t="shared" si="16"/>
        <v>4422.8560767502513</v>
      </c>
      <c r="AQ14" s="2">
        <f t="shared" si="17"/>
        <v>3886.5453020717396</v>
      </c>
      <c r="AR14" s="2">
        <f t="shared" si="18"/>
        <v>2641.4801683555684</v>
      </c>
      <c r="AS14" s="2">
        <f t="shared" si="19"/>
        <v>983.6154232764427</v>
      </c>
      <c r="AX14" s="2">
        <f t="shared" si="28"/>
        <v>1E-4</v>
      </c>
      <c r="AY14" s="37">
        <f t="shared" si="20"/>
        <v>17890.348622067453</v>
      </c>
      <c r="AZ14" s="37">
        <f t="shared" si="21"/>
        <v>18502.151456603013</v>
      </c>
      <c r="BA14" s="37">
        <f t="shared" si="22"/>
        <v>19253.675815518305</v>
      </c>
      <c r="BB14" s="37">
        <f t="shared" si="23"/>
        <v>20327.965588819865</v>
      </c>
      <c r="BC14" s="37">
        <f t="shared" si="24"/>
        <v>23292.087704426362</v>
      </c>
      <c r="BD14" s="37">
        <f t="shared" si="25"/>
        <v>161949.31449168763</v>
      </c>
      <c r="BE14" s="37">
        <f t="shared" si="26"/>
        <v>-2944.9785120905003</v>
      </c>
    </row>
    <row r="15" spans="1:308" x14ac:dyDescent="0.25">
      <c r="A15" s="2">
        <f>'creep_res-40'!A15</f>
        <v>1E-3</v>
      </c>
      <c r="B15" s="3">
        <f>'creep_res-40'!O15</f>
        <v>-6.545510285714286E-4</v>
      </c>
      <c r="C15" s="2">
        <f>IF('Modell einstellen'!$B$2="Ja",creep_res0!O15,creep_res0!C15)</f>
        <v>-7.2235682857142854E-4</v>
      </c>
      <c r="D15" s="2">
        <f>IF('Modell einstellen'!$B$2="Ja",creep_res25!O15,creep_res25!C15)</f>
        <v>-7.7708708571428569E-4</v>
      </c>
      <c r="E15" s="2">
        <f>IF('Modell einstellen'!$B$2="Ja",creep_res50!O15,creep_res50!C15)</f>
        <v>-8.3339802857142859E-4</v>
      </c>
      <c r="F15" s="2">
        <f>IF('Modell einstellen'!$B$2="Ja",creep_res80!O15,creep_res80!C15)</f>
        <v>-9.5081022857142856E-4</v>
      </c>
      <c r="G15" s="2">
        <f>IF('Modell einstellen'!$B$2="Ja",creep_res125!O15,creep_res125!C15)</f>
        <v>-1.3549035142857145E-3</v>
      </c>
      <c r="H15" s="2">
        <f>IF('Modell einstellen'!$B$2="Ja",creep_res160!O15,creep_res160!C15)</f>
        <v>-4.1215134285714286E-3</v>
      </c>
      <c r="M15" s="9">
        <f t="shared" si="27"/>
        <v>-10</v>
      </c>
      <c r="N15" s="2">
        <f t="shared" si="4"/>
        <v>1E-3</v>
      </c>
      <c r="O15" s="2">
        <f t="shared" si="5"/>
        <v>15277.647675270193</v>
      </c>
      <c r="P15" s="2">
        <f t="shared" si="6"/>
        <v>13843.573708268992</v>
      </c>
      <c r="Q15" s="2">
        <f t="shared" si="7"/>
        <v>12868.570568005469</v>
      </c>
      <c r="R15" s="2">
        <f t="shared" si="8"/>
        <v>11999.068460890801</v>
      </c>
      <c r="S15" s="2">
        <f t="shared" si="9"/>
        <v>10517.345837796443</v>
      </c>
      <c r="T15" s="2">
        <f t="shared" si="10"/>
        <v>7380.5993523249927</v>
      </c>
      <c r="U15" s="2">
        <f t="shared" si="11"/>
        <v>2426.293198677296</v>
      </c>
      <c r="Z15" s="2">
        <v>1E-3</v>
      </c>
      <c r="AA15" s="3">
        <f>IF('Modell einstellen'!$B$2="Ja",'creep_res-40'!P15,'creep_res-40'!L15)</f>
        <v>0.35768744167758004</v>
      </c>
      <c r="AB15" s="2">
        <f>IF('Modell einstellen'!$B$2="Ja",creep_res0!P15,creep_res0!L15)</f>
        <v>0.37694362291624062</v>
      </c>
      <c r="AC15" s="2">
        <f>IF('Modell einstellen'!$B$2="Ja",creep_res25!P15,creep_res25!L15)</f>
        <v>0.39124866608074232</v>
      </c>
      <c r="AD15" s="2">
        <f>IF('Modell einstellen'!$B$2="Ja",creep_res50!P15,creep_res50!L15)</f>
        <v>0.40490109150726161</v>
      </c>
      <c r="AE15" s="2">
        <f>IF('Modell einstellen'!$B$2="Ja",creep_res80!P15,creep_res80!L15)</f>
        <v>0.43130231966372867</v>
      </c>
      <c r="AF15" s="2">
        <f>IF('Modell einstellen'!$B$2="Ja",creep_res125!P15,creep_res125!L15)</f>
        <v>0.50674691163564767</v>
      </c>
      <c r="AG15" s="2">
        <f>IF('Modell einstellen'!$B$2="Ja",creep_res160!P15,creep_res160!L15)</f>
        <v>0.74890402603149187</v>
      </c>
      <c r="AL15" s="2">
        <f t="shared" si="12"/>
        <v>1E-3</v>
      </c>
      <c r="AM15" s="2">
        <f t="shared" si="13"/>
        <v>5626.3493372203875</v>
      </c>
      <c r="AN15" s="2">
        <f t="shared" si="14"/>
        <v>5026.92102925375</v>
      </c>
      <c r="AO15" s="2">
        <f t="shared" si="15"/>
        <v>4624.8276392807802</v>
      </c>
      <c r="AP15" s="2">
        <f t="shared" si="16"/>
        <v>4270.4317526073974</v>
      </c>
      <c r="AQ15" s="2">
        <f t="shared" si="17"/>
        <v>3674.0476464355193</v>
      </c>
      <c r="AR15" s="2">
        <f t="shared" si="18"/>
        <v>2449.1835010011705</v>
      </c>
      <c r="AS15" s="2">
        <f t="shared" si="19"/>
        <v>693.66104788005293</v>
      </c>
      <c r="AX15" s="2">
        <f t="shared" si="28"/>
        <v>1E-3</v>
      </c>
      <c r="AY15" s="37">
        <f t="shared" si="20"/>
        <v>17892.128723989717</v>
      </c>
      <c r="AZ15" s="37">
        <f t="shared" si="21"/>
        <v>18749.636056171559</v>
      </c>
      <c r="BA15" s="37">
        <f t="shared" si="22"/>
        <v>19721.705325716935</v>
      </c>
      <c r="BB15" s="37">
        <f t="shared" si="23"/>
        <v>21029.103016829111</v>
      </c>
      <c r="BC15" s="37">
        <f t="shared" si="24"/>
        <v>25516.013996189828</v>
      </c>
      <c r="BD15" s="37">
        <f t="shared" si="25"/>
        <v>-182320.43911096553</v>
      </c>
      <c r="BE15" s="37">
        <f t="shared" si="26"/>
        <v>-1624.6511003738688</v>
      </c>
    </row>
    <row r="16" spans="1:308" x14ac:dyDescent="0.25">
      <c r="A16" s="2">
        <f>'creep_res-40'!A16</f>
        <v>0.01</v>
      </c>
      <c r="B16" s="3">
        <f>'creep_res-40'!O16</f>
        <v>-6.5581351428571437E-4</v>
      </c>
      <c r="C16" s="2">
        <f>IF('Modell einstellen'!$B$2="Ja",creep_res0!O16,creep_res0!C16)</f>
        <v>-7.3885014285714288E-4</v>
      </c>
      <c r="D16" s="2">
        <f>IF('Modell einstellen'!$B$2="Ja",creep_res25!O16,creep_res25!C16)</f>
        <v>-8.0133854285714299E-4</v>
      </c>
      <c r="E16" s="2">
        <f>IF('Modell einstellen'!$B$2="Ja",creep_res50!O16,creep_res50!C16)</f>
        <v>-8.6259620000000016E-4</v>
      </c>
      <c r="F16" s="2">
        <f>IF('Modell einstellen'!$B$2="Ja",creep_res80!O16,creep_res80!C16)</f>
        <v>-9.9418331428571425E-4</v>
      </c>
      <c r="G16" s="2">
        <f>IF('Modell einstellen'!$B$2="Ja",creep_res125!O16,creep_res125!C16)</f>
        <v>-1.4672013142857142E-3</v>
      </c>
      <c r="H16" s="2">
        <f>IF('Modell einstellen'!$B$2="Ja",creep_res160!O16,creep_res160!C16)</f>
        <v>-5.7726682857142863E-3</v>
      </c>
      <c r="M16" s="9">
        <f t="shared" si="27"/>
        <v>-10</v>
      </c>
      <c r="N16" s="2">
        <f t="shared" si="4"/>
        <v>0.01</v>
      </c>
      <c r="O16" s="2">
        <f t="shared" si="5"/>
        <v>15248.237162193274</v>
      </c>
      <c r="P16" s="2">
        <f t="shared" si="6"/>
        <v>13534.544314128265</v>
      </c>
      <c r="Q16" s="2">
        <f t="shared" si="7"/>
        <v>12479.120203485245</v>
      </c>
      <c r="R16" s="2">
        <f t="shared" si="8"/>
        <v>11592.909869067355</v>
      </c>
      <c r="S16" s="2">
        <f t="shared" si="9"/>
        <v>10058.507174991815</v>
      </c>
      <c r="T16" s="2">
        <f t="shared" si="10"/>
        <v>6815.6972752361226</v>
      </c>
      <c r="U16" s="2">
        <f t="shared" si="11"/>
        <v>1732.301165606061</v>
      </c>
      <c r="Z16" s="2">
        <v>0.01</v>
      </c>
      <c r="AA16" s="3">
        <f>IF('Modell einstellen'!$B$2="Ja",'creep_res-40'!P16,'creep_res-40'!L16)</f>
        <v>0.35809682046808339</v>
      </c>
      <c r="AB16" s="2">
        <f>IF('Modell einstellen'!$B$2="Ja",creep_res0!P16,creep_res0!L16)</f>
        <v>0.38158559120146346</v>
      </c>
      <c r="AC16" s="2">
        <f>IF('Modell einstellen'!$B$2="Ja",creep_res25!P16,creep_res25!L16)</f>
        <v>0.39761218809285848</v>
      </c>
      <c r="AD16" s="2">
        <f>IF('Modell einstellen'!$B$2="Ja",creep_res50!P16,creep_res50!L16)</f>
        <v>0.41207465158254641</v>
      </c>
      <c r="AE16" s="2">
        <f>IF('Modell einstellen'!$B$2="Ja",creep_res80!P16,creep_res80!L16)</f>
        <v>0.4408418959010032</v>
      </c>
      <c r="AF16" s="2">
        <f>IF('Modell einstellen'!$B$2="Ja",creep_res125!P16,creep_res125!L16)</f>
        <v>0.52420203471542304</v>
      </c>
      <c r="AG16" s="2">
        <f>IF('Modell einstellen'!$B$2="Ja",creep_res160!P16,creep_res160!L16)</f>
        <v>0.78242292410555969</v>
      </c>
      <c r="AL16" s="2">
        <f t="shared" si="12"/>
        <v>0.01</v>
      </c>
      <c r="AM16" s="2">
        <f t="shared" si="13"/>
        <v>5613.8255139047442</v>
      </c>
      <c r="AN16" s="2">
        <f t="shared" si="14"/>
        <v>4898.1924827249632</v>
      </c>
      <c r="AO16" s="2">
        <f t="shared" si="15"/>
        <v>4464.4431086830655</v>
      </c>
      <c r="AP16" s="2">
        <f t="shared" si="16"/>
        <v>4104.9210309366072</v>
      </c>
      <c r="AQ16" s="2">
        <f t="shared" si="17"/>
        <v>3490.4964950029853</v>
      </c>
      <c r="AR16" s="2">
        <f t="shared" si="18"/>
        <v>2235.8247528873858</v>
      </c>
      <c r="AS16" s="2">
        <f t="shared" si="19"/>
        <v>485.93999274200024</v>
      </c>
      <c r="AX16" s="2">
        <f t="shared" si="28"/>
        <v>0.01</v>
      </c>
      <c r="AY16" s="37">
        <f t="shared" si="20"/>
        <v>17909.203083035532</v>
      </c>
      <c r="AZ16" s="37">
        <f t="shared" si="21"/>
        <v>19049.686677284855</v>
      </c>
      <c r="BA16" s="37">
        <f t="shared" si="22"/>
        <v>20313.485838859611</v>
      </c>
      <c r="BB16" s="37">
        <f t="shared" si="23"/>
        <v>21974.910303125034</v>
      </c>
      <c r="BC16" s="37">
        <f t="shared" si="24"/>
        <v>28337.924077033844</v>
      </c>
      <c r="BD16" s="37">
        <f t="shared" si="25"/>
        <v>-46936.117530183925</v>
      </c>
      <c r="BE16" s="37">
        <f t="shared" si="26"/>
        <v>-1022.2855026684425</v>
      </c>
    </row>
    <row r="17" spans="1:57" x14ac:dyDescent="0.25">
      <c r="A17" s="2">
        <f>'creep_res-40'!A17</f>
        <v>0.1</v>
      </c>
      <c r="B17" s="3">
        <f>'creep_res-40'!O17</f>
        <v>-6.6577194285714295E-4</v>
      </c>
      <c r="C17" s="2">
        <f>IF('Modell einstellen'!$B$2="Ja",creep_res0!O17,creep_res0!C17)</f>
        <v>-7.5840702857142865E-4</v>
      </c>
      <c r="D17" s="2">
        <f>IF('Modell einstellen'!$B$2="Ja",creep_res25!O17,creep_res25!C17)</f>
        <v>-8.2604820000000008E-4</v>
      </c>
      <c r="E17" s="2">
        <f>IF('Modell einstellen'!$B$2="Ja",creep_res50!O17,creep_res50!C17)</f>
        <v>-9.0110842857142853E-4</v>
      </c>
      <c r="F17" s="2">
        <f>IF('Modell einstellen'!$B$2="Ja",creep_res80!O17,creep_res80!C17)</f>
        <v>-1.0362681714285716E-3</v>
      </c>
      <c r="G17" s="2">
        <f>IF('Modell einstellen'!$B$2="Ja",creep_res125!O17,creep_res125!C17)</f>
        <v>-1.6285401428571432E-3</v>
      </c>
      <c r="H17" s="2">
        <f>IF('Modell einstellen'!$B$2="Ja",creep_res160!O17,creep_res160!C17)</f>
        <v>-7.6871359999999998E-3</v>
      </c>
      <c r="M17" s="9">
        <f t="shared" si="27"/>
        <v>-10</v>
      </c>
      <c r="N17" s="2">
        <f t="shared" si="4"/>
        <v>0.1</v>
      </c>
      <c r="O17" s="2">
        <f t="shared" si="5"/>
        <v>15020.158339934333</v>
      </c>
      <c r="P17" s="2">
        <f t="shared" si="6"/>
        <v>13185.531809794105</v>
      </c>
      <c r="Q17" s="2">
        <f t="shared" si="7"/>
        <v>12105.831112518614</v>
      </c>
      <c r="R17" s="2">
        <f t="shared" si="8"/>
        <v>11097.44364044346</v>
      </c>
      <c r="S17" s="2">
        <f t="shared" si="9"/>
        <v>9650.0117206285195</v>
      </c>
      <c r="T17" s="2">
        <f t="shared" si="10"/>
        <v>6140.4688388312006</v>
      </c>
      <c r="U17" s="2">
        <f t="shared" si="11"/>
        <v>1300.8746040137705</v>
      </c>
      <c r="Z17" s="2">
        <v>0.1</v>
      </c>
      <c r="AA17" s="3">
        <f>IF('Modell einstellen'!$B$2="Ja",'creep_res-40'!P17,'creep_res-40'!L17)</f>
        <v>0.36115847133926332</v>
      </c>
      <c r="AB17" s="2">
        <f>IF('Modell einstellen'!$B$2="Ja",creep_res0!P17,creep_res0!L17)</f>
        <v>0.38697927226864914</v>
      </c>
      <c r="AC17" s="2">
        <f>IF('Modell einstellen'!$B$2="Ja",creep_res25!P17,creep_res25!L17)</f>
        <v>0.40394346410847626</v>
      </c>
      <c r="AD17" s="2">
        <f>IF('Modell einstellen'!$B$2="Ja",creep_res50!P17,creep_res50!L17)</f>
        <v>0.4212233536506389</v>
      </c>
      <c r="AE17" s="2">
        <f>IF('Modell einstellen'!$B$2="Ja",creep_res80!P17,creep_res80!L17)</f>
        <v>0.44953939942628196</v>
      </c>
      <c r="AF17" s="2">
        <f>IF('Modell einstellen'!$B$2="Ja",creep_res125!P17,creep_res125!L17)</f>
        <v>0.54024953637267237</v>
      </c>
      <c r="AG17" s="2">
        <f>IF('Modell einstellen'!$B$2="Ja",creep_res160!P17,creep_res160!L17)</f>
        <v>0.77047598927425187</v>
      </c>
      <c r="AL17" s="2">
        <f t="shared" si="12"/>
        <v>0.1</v>
      </c>
      <c r="AM17" s="2">
        <f t="shared" si="13"/>
        <v>5517.4172060787987</v>
      </c>
      <c r="AN17" s="2">
        <f t="shared" si="14"/>
        <v>4753.3269146217463</v>
      </c>
      <c r="AO17" s="2">
        <f t="shared" si="15"/>
        <v>4311.3670250981177</v>
      </c>
      <c r="AP17" s="2">
        <f t="shared" si="16"/>
        <v>3904.1870554469519</v>
      </c>
      <c r="AQ17" s="2">
        <f t="shared" si="17"/>
        <v>3328.6476119407066</v>
      </c>
      <c r="AR17" s="2">
        <f t="shared" si="18"/>
        <v>1993.335720552192</v>
      </c>
      <c r="AS17" s="2">
        <f t="shared" si="19"/>
        <v>367.37990571310178</v>
      </c>
      <c r="AX17" s="2">
        <f t="shared" si="28"/>
        <v>0.1</v>
      </c>
      <c r="AY17" s="37">
        <f t="shared" si="20"/>
        <v>18030.338238636232</v>
      </c>
      <c r="AZ17" s="37">
        <f t="shared" si="21"/>
        <v>19444.120375771519</v>
      </c>
      <c r="BA17" s="37">
        <f t="shared" si="22"/>
        <v>21004.697910734707</v>
      </c>
      <c r="BB17" s="37">
        <f t="shared" si="23"/>
        <v>23478.708802496651</v>
      </c>
      <c r="BC17" s="37">
        <f t="shared" si="24"/>
        <v>31873.090460384003</v>
      </c>
      <c r="BD17" s="37">
        <f t="shared" si="25"/>
        <v>-25426.6648853472</v>
      </c>
      <c r="BE17" s="37">
        <f t="shared" si="26"/>
        <v>-801.59586284923773</v>
      </c>
    </row>
    <row r="18" spans="1:57" x14ac:dyDescent="0.25">
      <c r="A18" s="2">
        <f>'creep_res-40'!A18</f>
        <v>1</v>
      </c>
      <c r="B18" s="3">
        <f>'creep_res-40'!O18</f>
        <v>-6.8263214285714286E-4</v>
      </c>
      <c r="C18" s="2">
        <f>IF('Modell einstellen'!$B$2="Ja",creep_res0!O18,creep_res0!C18)</f>
        <v>-7.8074914285714285E-4</v>
      </c>
      <c r="D18" s="2">
        <f>IF('Modell einstellen'!$B$2="Ja",creep_res25!O18,creep_res25!C18)</f>
        <v>-8.5347311428571435E-4</v>
      </c>
      <c r="E18" s="2">
        <f>IF('Modell einstellen'!$B$2="Ja",creep_res50!O18,creep_res50!C18)</f>
        <v>-9.4679897142857159E-4</v>
      </c>
      <c r="F18" s="2">
        <f>IF('Modell einstellen'!$B$2="Ja",creep_res80!O18,creep_res80!C18)</f>
        <v>-1.0851435142857145E-3</v>
      </c>
      <c r="G18" s="2">
        <f>IF('Modell einstellen'!$B$2="Ja",creep_res125!O18,creep_res125!C18)</f>
        <v>-1.8959442285714288E-3</v>
      </c>
      <c r="H18" s="2">
        <f>IF('Modell einstellen'!$B$2="Ja",creep_res160!O18,creep_res160!C18)</f>
        <v>-9.4130968571428577E-3</v>
      </c>
      <c r="M18" s="9">
        <f t="shared" si="27"/>
        <v>-10</v>
      </c>
      <c r="N18" s="2">
        <f t="shared" si="4"/>
        <v>1</v>
      </c>
      <c r="O18" s="2">
        <f t="shared" si="5"/>
        <v>14649.178338050717</v>
      </c>
      <c r="P18" s="2">
        <f t="shared" si="6"/>
        <v>12808.211307674461</v>
      </c>
      <c r="Q18" s="2">
        <f t="shared" si="7"/>
        <v>11716.830715129398</v>
      </c>
      <c r="R18" s="2">
        <f t="shared" si="8"/>
        <v>10561.904165264948</v>
      </c>
      <c r="S18" s="2">
        <f t="shared" si="9"/>
        <v>9215.3709332930084</v>
      </c>
      <c r="T18" s="2">
        <f t="shared" si="10"/>
        <v>5274.4167519816128</v>
      </c>
      <c r="U18" s="2">
        <f t="shared" si="11"/>
        <v>1062.3496338945868</v>
      </c>
      <c r="Z18" s="2">
        <v>1</v>
      </c>
      <c r="AA18" s="3">
        <f>IF('Modell einstellen'!$B$2="Ja",'creep_res-40'!P18,'creep_res-40'!L18)</f>
        <v>0.36629344606224856</v>
      </c>
      <c r="AB18" s="2">
        <f>IF('Modell einstellen'!$B$2="Ja",creep_res0!P18,creep_res0!L18)</f>
        <v>0.39300258140350192</v>
      </c>
      <c r="AC18" s="2">
        <f>IF('Modell einstellen'!$B$2="Ja",creep_res25!P18,creep_res25!L18)</f>
        <v>0.41075221417134605</v>
      </c>
      <c r="AD18" s="2">
        <f>IF('Modell einstellen'!$B$2="Ja",creep_res50!P18,creep_res50!L18)</f>
        <v>0.43140716188840084</v>
      </c>
      <c r="AE18" s="2">
        <f>IF('Modell einstellen'!$B$2="Ja",creep_res80!P18,creep_res80!L18)</f>
        <v>0.45690427833600827</v>
      </c>
      <c r="AF18" s="2">
        <f>IF('Modell einstellen'!$B$2="Ja",creep_res125!P18,creep_res125!L18)</f>
        <v>0.54411431752784523</v>
      </c>
      <c r="AG18" s="2">
        <f>IF('Modell einstellen'!$B$2="Ja",creep_res160!P18,creep_res160!L18)</f>
        <v>0.72924350173628905</v>
      </c>
      <c r="AL18" s="2">
        <f t="shared" si="12"/>
        <v>1</v>
      </c>
      <c r="AM18" s="2">
        <f t="shared" si="13"/>
        <v>5360.9194936383001</v>
      </c>
      <c r="AN18" s="2">
        <f t="shared" si="14"/>
        <v>4597.3394014710702</v>
      </c>
      <c r="AO18" s="2">
        <f t="shared" si="15"/>
        <v>4152.6891106145395</v>
      </c>
      <c r="AP18" s="2">
        <f t="shared" si="16"/>
        <v>3689.3430627142566</v>
      </c>
      <c r="AQ18" s="2">
        <f t="shared" si="17"/>
        <v>3162.6549081928265</v>
      </c>
      <c r="AR18" s="2">
        <f t="shared" si="18"/>
        <v>1707.9100595434049</v>
      </c>
      <c r="AS18" s="2">
        <f t="shared" si="19"/>
        <v>307.17178720865763</v>
      </c>
      <c r="AX18" s="2">
        <f t="shared" si="28"/>
        <v>1</v>
      </c>
      <c r="AY18" s="37">
        <f t="shared" si="20"/>
        <v>18260.359354898443</v>
      </c>
      <c r="AZ18" s="37">
        <f t="shared" si="21"/>
        <v>19950.966225294305</v>
      </c>
      <c r="BA18" s="37">
        <f t="shared" si="22"/>
        <v>21880.71223343744</v>
      </c>
      <c r="BB18" s="37">
        <f t="shared" si="23"/>
        <v>25663.282193011033</v>
      </c>
      <c r="BC18" s="37">
        <f t="shared" si="24"/>
        <v>35639.156191045739</v>
      </c>
      <c r="BD18" s="37">
        <f t="shared" si="25"/>
        <v>-19927.078280395661</v>
      </c>
      <c r="BE18" s="37">
        <f t="shared" si="26"/>
        <v>-772.35895881334068</v>
      </c>
    </row>
    <row r="19" spans="1:57" x14ac:dyDescent="0.25">
      <c r="A19" s="2">
        <f>'creep_res-40'!A19</f>
        <v>10</v>
      </c>
      <c r="B19" s="3">
        <f>'creep_res-40'!O19</f>
        <v>-6.9511814285714288E-4</v>
      </c>
      <c r="C19" s="2">
        <f>IF('Modell einstellen'!$B$2="Ja",creep_res0!O19,creep_res0!C19)</f>
        <v>-8.0518002857142871E-4</v>
      </c>
      <c r="D19" s="2">
        <f>IF('Modell einstellen'!$B$2="Ja",creep_res25!O19,creep_res25!C19)</f>
        <v>-8.9017040000000005E-4</v>
      </c>
      <c r="E19" s="2">
        <f>IF('Modell einstellen'!$B$2="Ja",creep_res50!O19,creep_res50!C19)</f>
        <v>-9.9414297142857142E-4</v>
      </c>
      <c r="F19" s="2">
        <f>IF('Modell einstellen'!$B$2="Ja",creep_res80!O19,creep_res80!C19)</f>
        <v>-1.1484603714285715E-3</v>
      </c>
      <c r="G19" s="2">
        <f>IF('Modell einstellen'!$B$2="Ja",creep_res125!O19,creep_res125!C19)</f>
        <v>-2.3460856285714288E-3</v>
      </c>
      <c r="H19" s="2">
        <f>IF('Modell einstellen'!$B$2="Ja",creep_res160!O19,creep_res160!C19)</f>
        <v>-1.0685877142857144E-2</v>
      </c>
      <c r="M19" s="9">
        <f t="shared" si="27"/>
        <v>-10</v>
      </c>
      <c r="N19" s="2">
        <f t="shared" si="4"/>
        <v>10</v>
      </c>
      <c r="O19" s="2">
        <f t="shared" si="5"/>
        <v>14386.043729051607</v>
      </c>
      <c r="P19" s="2">
        <f t="shared" si="6"/>
        <v>12419.582758084871</v>
      </c>
      <c r="Q19" s="2">
        <f t="shared" si="7"/>
        <v>11233.80422444961</v>
      </c>
      <c r="R19" s="2">
        <f t="shared" si="8"/>
        <v>10058.915354629647</v>
      </c>
      <c r="S19" s="2">
        <f t="shared" si="9"/>
        <v>8707.3095848844878</v>
      </c>
      <c r="T19" s="2">
        <f t="shared" si="10"/>
        <v>4262.419017539939</v>
      </c>
      <c r="U19" s="2">
        <f t="shared" si="11"/>
        <v>935.81461459009836</v>
      </c>
      <c r="Z19" s="2">
        <v>10</v>
      </c>
      <c r="AA19" s="3">
        <f>IF('Modell einstellen'!$B$2="Ja",'creep_res-40'!P19,'creep_res-40'!L19)</f>
        <v>0.37003292554379758</v>
      </c>
      <c r="AB19" s="2">
        <f>IF('Modell einstellen'!$B$2="Ja",creep_res0!P19,creep_res0!L19)</f>
        <v>0.39939571987822703</v>
      </c>
      <c r="AC19" s="2">
        <f>IF('Modell einstellen'!$B$2="Ja",creep_res25!P19,creep_res25!L19)</f>
        <v>0.41913939815824675</v>
      </c>
      <c r="AD19" s="2">
        <f>IF('Modell einstellen'!$B$2="Ja",creep_res50!P19,creep_res50!L19)</f>
        <v>0.43868918652804295</v>
      </c>
      <c r="AE19" s="2">
        <f>IF('Modell einstellen'!$B$2="Ja",creep_res80!P19,creep_res80!L19)</f>
        <v>0.4565300381158745</v>
      </c>
      <c r="AF19" s="2">
        <f>IF('Modell einstellen'!$B$2="Ja",creep_res125!P19,creep_res125!L19)</f>
        <v>0.54101569328909038</v>
      </c>
      <c r="AG19" s="2">
        <f>IF('Modell einstellen'!$B$2="Ja",creep_res160!P19,creep_res160!L19)</f>
        <v>0.6766759169713189</v>
      </c>
      <c r="AL19" s="2">
        <f t="shared" si="12"/>
        <v>10</v>
      </c>
      <c r="AM19" s="2">
        <f t="shared" si="13"/>
        <v>5250.254742360099</v>
      </c>
      <c r="AN19" s="2">
        <f t="shared" si="14"/>
        <v>4437.480614548972</v>
      </c>
      <c r="AO19" s="2">
        <f t="shared" si="15"/>
        <v>3957.9636218361616</v>
      </c>
      <c r="AP19" s="2">
        <f t="shared" si="16"/>
        <v>3495.8611800317371</v>
      </c>
      <c r="AQ19" s="2">
        <f t="shared" si="17"/>
        <v>2989.0593935666489</v>
      </c>
      <c r="AR19" s="2">
        <f t="shared" si="18"/>
        <v>1382.9901395885138</v>
      </c>
      <c r="AS19" s="2">
        <f t="shared" si="19"/>
        <v>279.06842494658031</v>
      </c>
      <c r="AX19" s="2">
        <f t="shared" si="28"/>
        <v>10</v>
      </c>
      <c r="AY19" s="37">
        <f t="shared" si="20"/>
        <v>18448.318275025311</v>
      </c>
      <c r="AZ19" s="37">
        <f t="shared" si="21"/>
        <v>20574.974118152189</v>
      </c>
      <c r="BA19" s="37">
        <f t="shared" si="22"/>
        <v>23154.671885068165</v>
      </c>
      <c r="BB19" s="37">
        <f t="shared" si="23"/>
        <v>27344.049075536772</v>
      </c>
      <c r="BC19" s="37">
        <f t="shared" si="24"/>
        <v>33384.392376874275</v>
      </c>
      <c r="BD19" s="37">
        <f t="shared" si="25"/>
        <v>-17320.277011602957</v>
      </c>
      <c r="BE19" s="37">
        <f t="shared" si="26"/>
        <v>-882.79775254825859</v>
      </c>
    </row>
    <row r="20" spans="1:57" x14ac:dyDescent="0.25">
      <c r="A20" s="2">
        <f>'creep_res-40'!A20</f>
        <v>100</v>
      </c>
      <c r="B20" s="3">
        <f>'creep_res-40'!O20</f>
        <v>-7.0820794285714282E-4</v>
      </c>
      <c r="C20" s="2">
        <f>IF('Modell einstellen'!$B$2="Ja",creep_res0!O20,creep_res0!C20)</f>
        <v>-8.3068905714285719E-4</v>
      </c>
      <c r="D20" s="2">
        <f>IF('Modell einstellen'!$B$2="Ja",creep_res25!O20,creep_res25!C20)</f>
        <v>-9.3959582857142869E-4</v>
      </c>
      <c r="E20" s="2">
        <f>IF('Modell einstellen'!$B$2="Ja",creep_res50!O20,creep_res50!C20)</f>
        <v>-1.0514203142857144E-3</v>
      </c>
      <c r="F20" s="2">
        <f>IF('Modell einstellen'!$B$2="Ja",creep_res80!O20,creep_res80!C20)</f>
        <v>-1.233926742857143E-3</v>
      </c>
      <c r="G20" s="2">
        <f>IF('Modell einstellen'!$B$2="Ja",creep_res125!O20,creep_res125!C20)</f>
        <v>-3.101782571428572E-3</v>
      </c>
      <c r="H20" s="2">
        <f>IF('Modell einstellen'!$B$2="Ja",creep_res160!O20,creep_res160!C20)</f>
        <v>-1.1711472000000001E-2</v>
      </c>
      <c r="M20" s="9">
        <f t="shared" si="27"/>
        <v>-10</v>
      </c>
      <c r="N20" s="2">
        <f t="shared" si="4"/>
        <v>100</v>
      </c>
      <c r="O20" s="2">
        <f t="shared" si="5"/>
        <v>14120.146633285027</v>
      </c>
      <c r="P20" s="2">
        <f t="shared" si="6"/>
        <v>12038.198786914147</v>
      </c>
      <c r="Q20" s="2">
        <f t="shared" si="7"/>
        <v>10642.873984662219</v>
      </c>
      <c r="R20" s="2">
        <f t="shared" si="8"/>
        <v>9510.9442571437576</v>
      </c>
      <c r="S20" s="2">
        <f t="shared" si="9"/>
        <v>8104.2088259187221</v>
      </c>
      <c r="T20" s="2">
        <f t="shared" si="10"/>
        <v>3223.9526045806465</v>
      </c>
      <c r="U20" s="2">
        <f t="shared" si="11"/>
        <v>853.86363046421491</v>
      </c>
      <c r="Z20" s="2">
        <v>100</v>
      </c>
      <c r="AA20" s="3">
        <f>IF('Modell einstellen'!$B$2="Ja",'creep_res-40'!P20,'creep_res-40'!L20)</f>
        <v>0.37388199301270603</v>
      </c>
      <c r="AB20" s="2">
        <f>IF('Modell einstellen'!$B$2="Ja",creep_res0!P20,creep_res0!L20)</f>
        <v>0.40544577845648766</v>
      </c>
      <c r="AC20" s="2">
        <f>IF('Modell einstellen'!$B$2="Ja",creep_res25!P20,creep_res25!L20)</f>
        <v>0.42643314052297376</v>
      </c>
      <c r="AD20" s="2">
        <f>IF('Modell einstellen'!$B$2="Ja",creep_res50!P20,creep_res50!L20)</f>
        <v>0.43761308342883454</v>
      </c>
      <c r="AE20" s="2">
        <f>IF('Modell einstellen'!$B$2="Ja",creep_res80!P20,creep_res80!L20)</f>
        <v>0.44811873064193941</v>
      </c>
      <c r="AF20" s="2">
        <f>IF('Modell einstellen'!$B$2="Ja",creep_res125!P20,creep_res125!L20)</f>
        <v>0.54199351174932675</v>
      </c>
      <c r="AG20" s="2">
        <f>IF('Modell einstellen'!$B$2="Ja",creep_res160!P20,creep_res160!L20)</f>
        <v>0.63155523307159245</v>
      </c>
      <c r="AL20" s="2">
        <f t="shared" si="12"/>
        <v>100</v>
      </c>
      <c r="AM20" s="2">
        <f t="shared" si="13"/>
        <v>5138.7770947931922</v>
      </c>
      <c r="AN20" s="2">
        <f t="shared" si="14"/>
        <v>4282.6976933023134</v>
      </c>
      <c r="AO20" s="2">
        <f t="shared" si="15"/>
        <v>3730.5898476111606</v>
      </c>
      <c r="AP20" s="2">
        <f t="shared" si="16"/>
        <v>3307.8943029856523</v>
      </c>
      <c r="AQ20" s="2">
        <f t="shared" si="17"/>
        <v>2798.1852090008501</v>
      </c>
      <c r="AR20" s="2">
        <f t="shared" si="18"/>
        <v>1045.3846206276212</v>
      </c>
      <c r="AS20" s="2">
        <f t="shared" si="19"/>
        <v>261.67169004040318</v>
      </c>
      <c r="AX20" s="2">
        <f t="shared" si="28"/>
        <v>100</v>
      </c>
      <c r="AY20" s="37">
        <f t="shared" si="20"/>
        <v>18659.966395213218</v>
      </c>
      <c r="AZ20" s="37">
        <f t="shared" si="21"/>
        <v>21219.216146392715</v>
      </c>
      <c r="BA20" s="37">
        <f t="shared" si="22"/>
        <v>24111.567944951763</v>
      </c>
      <c r="BB20" s="37">
        <f t="shared" si="23"/>
        <v>25408.490486661882</v>
      </c>
      <c r="BC20" s="37">
        <f t="shared" si="24"/>
        <v>26034.472319182001</v>
      </c>
      <c r="BD20" s="37">
        <f t="shared" si="25"/>
        <v>-12795.439383689765</v>
      </c>
      <c r="BE20" s="37">
        <f t="shared" si="26"/>
        <v>-1081.7555619389434</v>
      </c>
    </row>
    <row r="21" spans="1:57" x14ac:dyDescent="0.25">
      <c r="A21" s="2">
        <f>'creep_res-40'!A21</f>
        <v>1000</v>
      </c>
      <c r="B21" s="3">
        <f>'creep_res-40'!O21</f>
        <v>-7.2330377142857153E-4</v>
      </c>
      <c r="C21" s="2">
        <f>IF('Modell einstellen'!$B$2="Ja",creep_res0!O21,creep_res0!C21)</f>
        <v>-8.6402994285714294E-4</v>
      </c>
      <c r="D21" s="2">
        <f>IF('Modell einstellen'!$B$2="Ja",creep_res25!O21,creep_res25!C21)</f>
        <v>-1.0019475428571429E-3</v>
      </c>
      <c r="E21" s="2">
        <f>IF('Modell einstellen'!$B$2="Ja",creep_res50!O21,creep_res50!C21)</f>
        <v>-1.1262160285714286E-3</v>
      </c>
      <c r="F21" s="2">
        <f>IF('Modell einstellen'!$B$2="Ja",creep_res80!O21,creep_res80!C21)</f>
        <v>-1.3368808000000002E-3</v>
      </c>
      <c r="G21" s="2">
        <f>IF('Modell einstellen'!$B$2="Ja",creep_res125!O21,creep_res125!C21)</f>
        <v>-4.3462051428571433E-3</v>
      </c>
      <c r="H21" s="2">
        <f>IF('Modell einstellen'!$B$2="Ja",creep_res160!O21,creep_res160!C21)</f>
        <v>-1.2468404000000001E-2</v>
      </c>
      <c r="M21" s="9">
        <f t="shared" si="27"/>
        <v>-10</v>
      </c>
      <c r="N21" s="2">
        <f t="shared" si="4"/>
        <v>1000</v>
      </c>
      <c r="O21" s="2">
        <f t="shared" si="5"/>
        <v>13825.449824835499</v>
      </c>
      <c r="P21" s="2">
        <f t="shared" si="6"/>
        <v>11573.672975883639</v>
      </c>
      <c r="Q21" s="2">
        <f t="shared" si="7"/>
        <v>9980.5624269351538</v>
      </c>
      <c r="R21" s="2">
        <f t="shared" si="8"/>
        <v>8879.2911362526975</v>
      </c>
      <c r="S21" s="2">
        <f t="shared" si="9"/>
        <v>7480.0984500637596</v>
      </c>
      <c r="T21" s="2">
        <f t="shared" si="10"/>
        <v>2300.8577992308296</v>
      </c>
      <c r="U21" s="2">
        <f t="shared" si="11"/>
        <v>802.02726828549987</v>
      </c>
      <c r="Z21" s="2">
        <v>1000</v>
      </c>
      <c r="AA21" s="3">
        <f>IF('Modell einstellen'!$B$2="Ja",'creep_res-40'!P21,'creep_res-40'!L21)</f>
        <v>0.37820505527967851</v>
      </c>
      <c r="AB21" s="2">
        <f>IF('Modell einstellen'!$B$2="Ja",creep_res0!P21,creep_res0!L21)</f>
        <v>0.40981741108972153</v>
      </c>
      <c r="AC21" s="2">
        <f>IF('Modell einstellen'!$B$2="Ja",creep_res25!P21,creep_res25!L21)</f>
        <v>0.42576600246308877</v>
      </c>
      <c r="AD21" s="2">
        <f>IF('Modell einstellen'!$B$2="Ja",creep_res50!P21,creep_res50!L21)</f>
        <v>0.43039491966537452</v>
      </c>
      <c r="AE21" s="2">
        <f>IF('Modell einstellen'!$B$2="Ja",creep_res80!P21,creep_res80!L21)</f>
        <v>0.43875545438093122</v>
      </c>
      <c r="AF21" s="2">
        <f>IF('Modell einstellen'!$B$2="Ja",creep_res125!P21,creep_res125!L21)</f>
        <v>0.54730509729407284</v>
      </c>
      <c r="AG21" s="2">
        <f>IF('Modell einstellen'!$B$2="Ja",creep_res160!P21,creep_res160!L21)</f>
        <v>0.59545980612846905</v>
      </c>
      <c r="AL21" s="2">
        <f t="shared" si="12"/>
        <v>1000</v>
      </c>
      <c r="AM21" s="2">
        <f t="shared" si="13"/>
        <v>5015.7448530146003</v>
      </c>
      <c r="AN21" s="2">
        <f t="shared" si="14"/>
        <v>4104.6708903026465</v>
      </c>
      <c r="AO21" s="2">
        <f t="shared" si="15"/>
        <v>3500.0702814112506</v>
      </c>
      <c r="AP21" s="2">
        <f t="shared" si="16"/>
        <v>3103.7900841852515</v>
      </c>
      <c r="AQ21" s="2">
        <f t="shared" si="17"/>
        <v>2599.5030730508342</v>
      </c>
      <c r="AR21" s="2">
        <f t="shared" si="18"/>
        <v>743.50488577028852</v>
      </c>
      <c r="AS21" s="2">
        <f t="shared" si="19"/>
        <v>251.34674819282765</v>
      </c>
      <c r="AX21" s="2">
        <f t="shared" si="28"/>
        <v>1000</v>
      </c>
      <c r="AY21" s="37">
        <f t="shared" si="20"/>
        <v>18919.025274520449</v>
      </c>
      <c r="AZ21" s="37">
        <f t="shared" si="21"/>
        <v>21389.333787031665</v>
      </c>
      <c r="BA21" s="37">
        <f t="shared" si="22"/>
        <v>22407.887576426907</v>
      </c>
      <c r="BB21" s="37">
        <f t="shared" si="23"/>
        <v>21261.118425948283</v>
      </c>
      <c r="BC21" s="37">
        <f t="shared" si="24"/>
        <v>20355.82209662873</v>
      </c>
      <c r="BD21" s="37">
        <f t="shared" si="25"/>
        <v>-8106.4477573720824</v>
      </c>
      <c r="BE21" s="37">
        <f t="shared" si="26"/>
        <v>-1400.2878991920745</v>
      </c>
    </row>
    <row r="22" spans="1:57" x14ac:dyDescent="0.25">
      <c r="A22" s="2">
        <f>'creep_res-40'!A22</f>
        <v>10000</v>
      </c>
      <c r="B22" s="3">
        <f>'creep_res-40'!O22</f>
        <v>-7.408148285714286E-4</v>
      </c>
      <c r="C22" s="2">
        <f>IF('Modell einstellen'!$B$2="Ja",creep_res0!O22,creep_res0!C22)</f>
        <v>-9.1796040000000003E-4</v>
      </c>
      <c r="D22" s="2">
        <f>IF('Modell einstellen'!$B$2="Ja",creep_res25!O22,creep_res25!C22)</f>
        <v>-1.0711912285714287E-3</v>
      </c>
      <c r="E22" s="2">
        <f>IF('Modell einstellen'!$B$2="Ja",creep_res50!O22,creep_res50!C22)</f>
        <v>-1.2071150000000001E-3</v>
      </c>
      <c r="F22" s="2">
        <f>IF('Modell einstellen'!$B$2="Ja",creep_res80!O22,creep_res80!C22)</f>
        <v>-1.4592771714285716E-3</v>
      </c>
      <c r="G22" s="2">
        <f>IF('Modell einstellen'!$B$2="Ja",creep_res125!O22,creep_res125!C22)</f>
        <v>-6.201710571428572E-3</v>
      </c>
      <c r="H22" s="2">
        <f>IF('Modell einstellen'!$B$2="Ja",creep_res160!O22,creep_res160!C22)</f>
        <v>-1.2940604285714285E-2</v>
      </c>
      <c r="M22" s="9">
        <f t="shared" si="27"/>
        <v>-10</v>
      </c>
      <c r="N22" s="2">
        <f t="shared" si="4"/>
        <v>10000</v>
      </c>
      <c r="O22" s="2">
        <f t="shared" si="5"/>
        <v>13498.649884322354</v>
      </c>
      <c r="P22" s="2">
        <f t="shared" si="6"/>
        <v>10893.716112372604</v>
      </c>
      <c r="Q22" s="2">
        <f t="shared" si="7"/>
        <v>9335.4013114318404</v>
      </c>
      <c r="R22" s="2">
        <f t="shared" si="8"/>
        <v>8284.2148428277324</v>
      </c>
      <c r="S22" s="2">
        <f t="shared" si="9"/>
        <v>6852.7077623029054</v>
      </c>
      <c r="T22" s="2">
        <f t="shared" si="10"/>
        <v>1612.4583507766772</v>
      </c>
      <c r="U22" s="2">
        <f t="shared" si="11"/>
        <v>772.76143982236204</v>
      </c>
      <c r="Z22" s="2">
        <v>10000</v>
      </c>
      <c r="AA22" s="3">
        <f>IF('Modell einstellen'!$B$2="Ja",'creep_res-40'!P22,'creep_res-40'!L22)</f>
        <v>0.38266998975143934</v>
      </c>
      <c r="AB22" s="2">
        <f>IF('Modell einstellen'!$B$2="Ja",creep_res0!P22,creep_res0!L22)</f>
        <v>0.40977911465461908</v>
      </c>
      <c r="AC22" s="2">
        <f>IF('Modell einstellen'!$B$2="Ja",creep_res25!P22,creep_res25!L22)</f>
        <v>0.41902706287496805</v>
      </c>
      <c r="AD22" s="2">
        <f>IF('Modell einstellen'!$B$2="Ja",creep_res50!P22,creep_res50!L22)</f>
        <v>0.42261678228077459</v>
      </c>
      <c r="AE22" s="2">
        <f>IF('Modell einstellen'!$B$2="Ja",creep_res80!P22,creep_res80!L22)</f>
        <v>0.43358006148680145</v>
      </c>
      <c r="AF22" s="2">
        <f>IF('Modell einstellen'!$B$2="Ja",creep_res125!P22,creep_res125!L22)</f>
        <v>0.55194490810300412</v>
      </c>
      <c r="AG22" s="2">
        <f>IF('Modell einstellen'!$B$2="Ja",creep_res160!P22,creep_res160!L22)</f>
        <v>0.56982797116010153</v>
      </c>
      <c r="AL22" s="2">
        <f t="shared" si="12"/>
        <v>10000</v>
      </c>
      <c r="AM22" s="2">
        <f t="shared" si="13"/>
        <v>4881.370820360753</v>
      </c>
      <c r="AN22" s="2">
        <f t="shared" si="14"/>
        <v>3863.6251591234022</v>
      </c>
      <c r="AO22" s="2">
        <f t="shared" si="15"/>
        <v>3289.3669034465734</v>
      </c>
      <c r="AP22" s="2">
        <f t="shared" si="16"/>
        <v>2911.6115267339505</v>
      </c>
      <c r="AQ22" s="2">
        <f t="shared" si="17"/>
        <v>2390.0680354035449</v>
      </c>
      <c r="AR22" s="2">
        <f t="shared" si="18"/>
        <v>519.49600219625086</v>
      </c>
      <c r="AS22" s="2">
        <f t="shared" si="19"/>
        <v>246.12933837944422</v>
      </c>
      <c r="AX22" s="2">
        <f t="shared" si="28"/>
        <v>10000</v>
      </c>
      <c r="AY22" s="37">
        <f t="shared" si="20"/>
        <v>19174.761648399253</v>
      </c>
      <c r="AZ22" s="37">
        <f t="shared" si="21"/>
        <v>20124.158005229059</v>
      </c>
      <c r="BA22" s="37">
        <f t="shared" si="22"/>
        <v>19215.064610654747</v>
      </c>
      <c r="BB22" s="37">
        <f t="shared" si="23"/>
        <v>17842.401938031515</v>
      </c>
      <c r="BC22" s="37">
        <f t="shared" si="24"/>
        <v>17195.408275737307</v>
      </c>
      <c r="BD22" s="37">
        <f t="shared" si="25"/>
        <v>-5173.61697762321</v>
      </c>
      <c r="BE22" s="37">
        <f t="shared" si="26"/>
        <v>-1844.4410050011215</v>
      </c>
    </row>
    <row r="23" spans="1:57" x14ac:dyDescent="0.25">
      <c r="A23" s="2">
        <f>'creep_res-40'!A23</f>
        <v>100000</v>
      </c>
      <c r="B23" s="3">
        <f>'creep_res-40'!O23</f>
        <v>-7.6518460000000012E-4</v>
      </c>
      <c r="C23" s="2">
        <f>IF('Modell einstellen'!$B$2="Ja",creep_res0!O23,creep_res0!C23)</f>
        <v>-9.8926382857142869E-4</v>
      </c>
      <c r="D23" s="2">
        <f>IF('Modell einstellen'!$B$2="Ja",creep_res25!O23,creep_res25!C23)</f>
        <v>-1.1466639428571429E-3</v>
      </c>
      <c r="E23" s="2">
        <f>IF('Modell einstellen'!$B$2="Ja",creep_res50!O23,creep_res50!C23)</f>
        <v>-1.2919337999999999E-3</v>
      </c>
      <c r="F23" s="2">
        <f>IF('Modell einstellen'!$B$2="Ja",creep_res80!O23,creep_res80!C23)</f>
        <v>-1.6042480571428572E-3</v>
      </c>
      <c r="G23" s="2">
        <f>IF('Modell einstellen'!$B$2="Ja",creep_res125!O23,creep_res125!C23)</f>
        <v>-8.4074260000000008E-3</v>
      </c>
      <c r="H23" s="2">
        <f>IF('Modell einstellen'!$B$2="Ja",creep_res160!O23,creep_res160!C23)</f>
        <v>-1.3820527428571429E-2</v>
      </c>
      <c r="M23" s="9">
        <f t="shared" si="27"/>
        <v>-10</v>
      </c>
      <c r="N23" s="2">
        <f t="shared" si="4"/>
        <v>100000</v>
      </c>
      <c r="O23" s="2">
        <f t="shared" si="5"/>
        <v>13068.741843471495</v>
      </c>
      <c r="P23" s="2">
        <f t="shared" si="6"/>
        <v>10108.526877446588</v>
      </c>
      <c r="Q23" s="2">
        <f t="shared" si="7"/>
        <v>8720.9509484382997</v>
      </c>
      <c r="R23" s="2">
        <f t="shared" si="8"/>
        <v>7740.334682783282</v>
      </c>
      <c r="S23" s="2">
        <f t="shared" si="9"/>
        <v>6233.4499677125095</v>
      </c>
      <c r="T23" s="2">
        <f t="shared" si="10"/>
        <v>1189.4246824176626</v>
      </c>
      <c r="U23" s="2">
        <f t="shared" si="11"/>
        <v>723.56138734089245</v>
      </c>
      <c r="Z23" s="2">
        <v>100000</v>
      </c>
      <c r="AA23" s="3">
        <f>IF('Modell einstellen'!$B$2="Ja",'creep_res-40'!P23,'creep_res-40'!L23)</f>
        <v>0.38582454482225592</v>
      </c>
      <c r="AB23" s="2">
        <f>IF('Modell einstellen'!$B$2="Ja",creep_res0!P23,creep_res0!L23)</f>
        <v>0.40664671455258761</v>
      </c>
      <c r="AC23" s="2">
        <f>IF('Modell einstellen'!$B$2="Ja",creep_res25!P23,creep_res25!L23)</f>
        <v>0.41332358978859368</v>
      </c>
      <c r="AD23" s="2">
        <f>IF('Modell einstellen'!$B$2="Ja",creep_res50!P23,creep_res50!L23)</f>
        <v>0.41804908491220133</v>
      </c>
      <c r="AE23" s="2">
        <f>IF('Modell einstellen'!$B$2="Ja",creep_res80!P23,creep_res80!L23)</f>
        <v>0.4327132914713831</v>
      </c>
      <c r="AF23" s="2">
        <f>IF('Modell einstellen'!$B$2="Ja",creep_res125!P23,creep_res125!L23)</f>
        <v>0.55068585455626617</v>
      </c>
      <c r="AG23" s="2">
        <f>IF('Modell einstellen'!$B$2="Ja",creep_res160!P23,creep_res160!L23)</f>
        <v>0.55735524337855535</v>
      </c>
      <c r="AL23" s="2">
        <f t="shared" si="12"/>
        <v>100000</v>
      </c>
      <c r="AM23" s="2">
        <f t="shared" si="13"/>
        <v>4715.1502303445186</v>
      </c>
      <c r="AN23" s="2">
        <f t="shared" si="14"/>
        <v>3593.12923880173</v>
      </c>
      <c r="AO23" s="2">
        <f t="shared" si="15"/>
        <v>3085.2633506749817</v>
      </c>
      <c r="AP23" s="2">
        <f t="shared" si="16"/>
        <v>2729.2195894835777</v>
      </c>
      <c r="AQ23" s="2">
        <f t="shared" si="17"/>
        <v>2175.40034172183</v>
      </c>
      <c r="AR23" s="2">
        <f t="shared" si="18"/>
        <v>383.51568079468302</v>
      </c>
      <c r="AS23" s="2">
        <f t="shared" si="19"/>
        <v>232.30454015462297</v>
      </c>
      <c r="AX23" s="2">
        <f t="shared" si="28"/>
        <v>100000</v>
      </c>
      <c r="AY23" s="37">
        <f t="shared" si="20"/>
        <v>19076.986706011034</v>
      </c>
      <c r="AZ23" s="37">
        <f t="shared" si="21"/>
        <v>18047.082879835914</v>
      </c>
      <c r="BA23" s="37">
        <f t="shared" si="22"/>
        <v>16769.174233157639</v>
      </c>
      <c r="BB23" s="37">
        <f t="shared" si="23"/>
        <v>15741.810559183754</v>
      </c>
      <c r="BC23" s="37">
        <f t="shared" si="24"/>
        <v>15440.023010045727</v>
      </c>
      <c r="BD23" s="37">
        <f t="shared" si="25"/>
        <v>-3911.1000259361867</v>
      </c>
      <c r="BE23" s="37">
        <f t="shared" si="26"/>
        <v>-2102.5726237595277</v>
      </c>
    </row>
    <row r="24" spans="1:57" x14ac:dyDescent="0.25">
      <c r="A24" s="2">
        <f>'creep_res-40'!A24</f>
        <v>1000000</v>
      </c>
      <c r="B24" s="3">
        <f>'creep_res-40'!O24</f>
        <v>-8.0167111428571425E-4</v>
      </c>
      <c r="C24" s="2">
        <f>IF('Modell einstellen'!$B$2="Ja",creep_res0!O24,creep_res0!C24)</f>
        <v>-1.0603785142857143E-3</v>
      </c>
      <c r="D24" s="2">
        <f>IF('Modell einstellen'!$B$2="Ja",creep_res25!O24,creep_res25!C24)</f>
        <v>-1.2204355428571429E-3</v>
      </c>
      <c r="E24" s="2">
        <f>IF('Modell einstellen'!$B$2="Ja",creep_res50!O24,creep_res50!C24)</f>
        <v>-1.3833840857142858E-3</v>
      </c>
      <c r="F24" s="2">
        <f>IF('Modell einstellen'!$B$2="Ja",creep_res80!O24,creep_res80!C24)</f>
        <v>-1.7905833142857143E-3</v>
      </c>
      <c r="G24" s="2">
        <f>IF('Modell einstellen'!$B$2="Ja",creep_res125!O24,creep_res125!C24)</f>
        <v>-1.0299126285714286E-2</v>
      </c>
      <c r="H24" s="2">
        <f>IF('Modell einstellen'!$B$2="Ja",creep_res160!O24,creep_res160!C24)</f>
        <v>-1.4231560857142857E-2</v>
      </c>
      <c r="M24" s="9">
        <f t="shared" si="27"/>
        <v>-10</v>
      </c>
      <c r="N24" s="2">
        <f t="shared" si="4"/>
        <v>1000000</v>
      </c>
      <c r="O24" s="2">
        <f t="shared" si="5"/>
        <v>12473.943269004971</v>
      </c>
      <c r="P24" s="2">
        <f t="shared" si="6"/>
        <v>9430.5947030020106</v>
      </c>
      <c r="Q24" s="2">
        <f t="shared" si="7"/>
        <v>8193.7961070759648</v>
      </c>
      <c r="R24" s="2">
        <f t="shared" si="8"/>
        <v>7228.6504545385724</v>
      </c>
      <c r="S24" s="2">
        <f t="shared" si="9"/>
        <v>5584.7722472434198</v>
      </c>
      <c r="T24" s="2">
        <f t="shared" si="10"/>
        <v>970.95614934548394</v>
      </c>
      <c r="U24" s="2">
        <f t="shared" si="11"/>
        <v>702.66361507219881</v>
      </c>
      <c r="Z24" s="2">
        <v>1000000</v>
      </c>
      <c r="AA24" s="3">
        <f>IF('Modell einstellen'!$B$2="Ja",'creep_res-40'!P24,'creep_res-40'!L24)</f>
        <v>0.38517508907910197</v>
      </c>
      <c r="AB24" s="2">
        <f>IF('Modell einstellen'!$B$2="Ja",creep_res0!P24,creep_res0!L24)</f>
        <v>0.40316678831235681</v>
      </c>
      <c r="AC24" s="2">
        <f>IF('Modell einstellen'!$B$2="Ja",creep_res25!P24,creep_res25!L24)</f>
        <v>0.41011054507847361</v>
      </c>
      <c r="AD24" s="2">
        <f>IF('Modell einstellen'!$B$2="Ja",creep_res50!P24,creep_res50!L24)</f>
        <v>0.41697889789640691</v>
      </c>
      <c r="AE24" s="2">
        <f>IF('Modell einstellen'!$B$2="Ja",creep_res80!P24,creep_res80!L24)</f>
        <v>0.43586316708030148</v>
      </c>
      <c r="AF24" s="2">
        <f>IF('Modell einstellen'!$B$2="Ja",creep_res125!P24,creep_res125!L24)</f>
        <v>0.54559798720235408</v>
      </c>
      <c r="AG24" s="2">
        <f>IF('Modell einstellen'!$B$2="Ja",creep_res160!P24,creep_res160!L24)</f>
        <v>0.54607689553096517</v>
      </c>
      <c r="AL24" s="2">
        <f t="shared" si="12"/>
        <v>1000000</v>
      </c>
      <c r="AM24" s="2">
        <f t="shared" si="13"/>
        <v>4502.659399288631</v>
      </c>
      <c r="AN24" s="2">
        <f t="shared" si="14"/>
        <v>3360.468185804395</v>
      </c>
      <c r="AO24" s="2">
        <f t="shared" si="15"/>
        <v>2905.3736728917142</v>
      </c>
      <c r="AP24" s="2">
        <f t="shared" si="16"/>
        <v>2550.726219448276</v>
      </c>
      <c r="AQ24" s="2">
        <f t="shared" si="17"/>
        <v>1944.7438917872487</v>
      </c>
      <c r="AR24" s="2">
        <f t="shared" si="18"/>
        <v>314.10371823238006</v>
      </c>
      <c r="AS24" s="2">
        <f t="shared" si="19"/>
        <v>227.24083682489959</v>
      </c>
      <c r="AX24" s="2">
        <f t="shared" si="28"/>
        <v>1000000</v>
      </c>
      <c r="AY24" s="37">
        <f t="shared" si="20"/>
        <v>18105.744895951731</v>
      </c>
      <c r="AZ24" s="37">
        <f t="shared" si="21"/>
        <v>16231.68080909827</v>
      </c>
      <c r="BA24" s="37">
        <f t="shared" si="22"/>
        <v>15192.356942256018</v>
      </c>
      <c r="BB24" s="37">
        <f t="shared" si="23"/>
        <v>14511.672878699197</v>
      </c>
      <c r="BC24" s="37">
        <f t="shared" si="24"/>
        <v>14512.649474069873</v>
      </c>
      <c r="BD24" s="37">
        <f t="shared" si="25"/>
        <v>-3548.9729880567934</v>
      </c>
      <c r="BE24" s="37">
        <f t="shared" si="26"/>
        <v>-2541.633961283937</v>
      </c>
    </row>
    <row r="25" spans="1:57" x14ac:dyDescent="0.25">
      <c r="A25" s="2">
        <f>'creep_res-40'!A25</f>
        <v>10000000</v>
      </c>
      <c r="B25" s="3">
        <f>'creep_res-40'!O25</f>
        <v>-8.4621368571428577E-4</v>
      </c>
      <c r="C25" s="2">
        <f>IF('Modell einstellen'!$B$2="Ja",creep_res0!O25,creep_res0!C25)</f>
        <v>-1.1258349714285715E-3</v>
      </c>
      <c r="D25" s="2">
        <f>IF('Modell einstellen'!$B$2="Ja",creep_res25!O25,creep_res25!C25)</f>
        <v>-1.2976860000000002E-3</v>
      </c>
      <c r="E25" s="2">
        <f>IF('Modell einstellen'!$B$2="Ja",creep_res50!O25,creep_res50!C25)</f>
        <v>-1.494031E-3</v>
      </c>
      <c r="F25" s="2">
        <f>IF('Modell einstellen'!$B$2="Ja",creep_res80!O25,creep_res80!C25)</f>
        <v>-2.0483691428571432E-3</v>
      </c>
      <c r="G25" s="2">
        <f>IF('Modell einstellen'!$B$2="Ja",creep_res125!O25,creep_res125!C25)</f>
        <v>-1.1566711142857143E-2</v>
      </c>
      <c r="H25" s="2">
        <f>IF('Modell einstellen'!$B$2="Ja",creep_res160!O25,creep_res160!C25)</f>
        <v>-1.4360789142857143E-2</v>
      </c>
      <c r="M25" s="9">
        <f t="shared" si="27"/>
        <v>-10</v>
      </c>
      <c r="N25" s="2">
        <f t="shared" si="4"/>
        <v>10000000</v>
      </c>
      <c r="O25" s="2">
        <f t="shared" si="5"/>
        <v>11817.346101604393</v>
      </c>
      <c r="P25" s="2">
        <f t="shared" si="6"/>
        <v>8882.2964766416917</v>
      </c>
      <c r="Q25" s="2">
        <f t="shared" si="7"/>
        <v>7706.024415767758</v>
      </c>
      <c r="R25" s="2">
        <f t="shared" si="8"/>
        <v>6693.3015446131976</v>
      </c>
      <c r="S25" s="2">
        <f t="shared" si="9"/>
        <v>4881.932553451581</v>
      </c>
      <c r="T25" s="2">
        <f t="shared" si="10"/>
        <v>864.54998975014234</v>
      </c>
      <c r="U25" s="2">
        <f t="shared" si="11"/>
        <v>696.34056321855132</v>
      </c>
      <c r="Z25" s="2">
        <v>10000000</v>
      </c>
      <c r="AA25" s="3">
        <f>IF('Modell einstellen'!$B$2="Ja",'creep_res-40'!P25,'creep_res-40'!L25)</f>
        <v>0.38265812562912593</v>
      </c>
      <c r="AB25" s="2">
        <f>IF('Modell einstellen'!$B$2="Ja",creep_res0!P25,creep_res0!L25)</f>
        <v>0.4013288270820915</v>
      </c>
      <c r="AC25" s="2">
        <f>IF('Modell einstellen'!$B$2="Ja",creep_res25!P25,creep_res25!L25)</f>
        <v>0.40984867349596565</v>
      </c>
      <c r="AD25" s="2">
        <f>IF('Modell einstellen'!$B$2="Ja",creep_res50!P25,creep_res50!L25)</f>
        <v>0.41918858635272149</v>
      </c>
      <c r="AE25" s="2">
        <f>IF('Modell einstellen'!$B$2="Ja",creep_res80!P25,creep_res80!L25)</f>
        <v>0.44238930427160728</v>
      </c>
      <c r="AF25" s="2">
        <f>IF('Modell einstellen'!$B$2="Ja",creep_res125!P25,creep_res125!L25)</f>
        <v>0.54003887856602484</v>
      </c>
      <c r="AG25" s="2">
        <f>IF('Modell einstellen'!$B$2="Ja",creep_res160!P25,creep_res160!L25)</f>
        <v>0.5377874180491713</v>
      </c>
      <c r="AL25" s="2">
        <f t="shared" si="12"/>
        <v>10000000</v>
      </c>
      <c r="AM25" s="2">
        <f t="shared" si="13"/>
        <v>4273.4157788380835</v>
      </c>
      <c r="AN25" s="2">
        <f t="shared" si="14"/>
        <v>3169.2406182554596</v>
      </c>
      <c r="AO25" s="2">
        <f t="shared" si="15"/>
        <v>2732.9260794562178</v>
      </c>
      <c r="AP25" s="2">
        <f t="shared" si="16"/>
        <v>2358.1438044871866</v>
      </c>
      <c r="AQ25" s="2">
        <f t="shared" si="17"/>
        <v>1692.3075271682321</v>
      </c>
      <c r="AR25" s="2">
        <f t="shared" si="18"/>
        <v>280.6909623460773</v>
      </c>
      <c r="AS25" s="2">
        <f t="shared" si="19"/>
        <v>226.40989093990805</v>
      </c>
      <c r="AX25" s="2">
        <f t="shared" si="28"/>
        <v>10000000</v>
      </c>
      <c r="AY25" s="37">
        <f t="shared" si="20"/>
        <v>16784.781171772425</v>
      </c>
      <c r="AZ25" s="37">
        <f t="shared" si="21"/>
        <v>15003.193965663946</v>
      </c>
      <c r="BA25" s="37">
        <f t="shared" si="22"/>
        <v>14246.46150459566</v>
      </c>
      <c r="BB25" s="37">
        <f t="shared" si="23"/>
        <v>13804.365090117459</v>
      </c>
      <c r="BC25" s="37">
        <f t="shared" si="24"/>
        <v>14123.339690450282</v>
      </c>
      <c r="BD25" s="37">
        <f t="shared" si="25"/>
        <v>-3598.7937254722879</v>
      </c>
      <c r="BE25" s="37">
        <f t="shared" si="26"/>
        <v>-3071.3069727443426</v>
      </c>
    </row>
    <row r="26" spans="1:57" x14ac:dyDescent="0.25">
      <c r="A26" s="2">
        <f>'creep_res-40'!A26</f>
        <v>100000000</v>
      </c>
      <c r="B26" s="3">
        <f>'creep_res-40'!O26</f>
        <v>-8.9196245714285715E-4</v>
      </c>
      <c r="C26" s="2">
        <f>IF('Modell einstellen'!$B$2="Ja",creep_res0!O26,creep_res0!C26)</f>
        <v>-1.1932491142857143E-3</v>
      </c>
      <c r="D26" s="2">
        <f>IF('Modell einstellen'!$B$2="Ja",creep_res25!O26,creep_res25!C26)</f>
        <v>-1.3792314000000002E-3</v>
      </c>
      <c r="E26" s="2">
        <f>IF('Modell einstellen'!$B$2="Ja",creep_res50!O26,creep_res50!C26)</f>
        <v>-1.6276288571428572E-3</v>
      </c>
      <c r="F26" s="2">
        <f>IF('Modell einstellen'!$B$2="Ja",creep_res80!O26,creep_res80!C26)</f>
        <v>-2.4503183428571432E-3</v>
      </c>
      <c r="G26" s="2">
        <f>IF('Modell einstellen'!$B$2="Ja",creep_res125!O26,creep_res125!C26)</f>
        <v>-1.2418748E-2</v>
      </c>
      <c r="H26" s="2">
        <f>IF('Modell einstellen'!$B$2="Ja",creep_res160!O26,creep_res160!C26)</f>
        <v>-1.4368254571428573E-2</v>
      </c>
      <c r="M26" s="9">
        <f t="shared" si="27"/>
        <v>-10</v>
      </c>
      <c r="N26" s="2">
        <f t="shared" si="4"/>
        <v>100000000</v>
      </c>
      <c r="O26" s="2">
        <f t="shared" si="5"/>
        <v>11211.234194802433</v>
      </c>
      <c r="P26" s="2">
        <f t="shared" si="6"/>
        <v>8380.4797173355182</v>
      </c>
      <c r="Q26" s="2">
        <f t="shared" si="7"/>
        <v>7250.4149775012365</v>
      </c>
      <c r="R26" s="2">
        <f t="shared" si="8"/>
        <v>6143.9067979871152</v>
      </c>
      <c r="S26" s="2">
        <f t="shared" si="9"/>
        <v>4081.1023715145952</v>
      </c>
      <c r="T26" s="2">
        <f t="shared" si="10"/>
        <v>805.23415081777966</v>
      </c>
      <c r="U26" s="2">
        <f t="shared" si="11"/>
        <v>695.97876000089161</v>
      </c>
      <c r="Z26" s="2">
        <v>100000000</v>
      </c>
      <c r="AA26" s="3">
        <f>IF('Modell einstellen'!$B$2="Ja",'creep_res-40'!P26,'creep_res-40'!L26)</f>
        <v>0.38122219493799325</v>
      </c>
      <c r="AB26" s="2">
        <f>IF('Modell einstellen'!$B$2="Ja",creep_res0!P26,creep_res0!L26)</f>
        <v>0.40196690816734976</v>
      </c>
      <c r="AC26" s="2">
        <f>IF('Modell einstellen'!$B$2="Ja",creep_res25!P26,creep_res25!L26)</f>
        <v>0.41158018464901114</v>
      </c>
      <c r="AD26" s="2">
        <f>IF('Modell einstellen'!$B$2="Ja",creep_res50!P26,creep_res50!L26)</f>
        <v>0.42336078372377278</v>
      </c>
      <c r="AE26" s="2">
        <f>IF('Modell einstellen'!$B$2="Ja",creep_res80!P26,creep_res80!L26)</f>
        <v>0.45249639982639217</v>
      </c>
      <c r="AF26" s="2">
        <f>IF('Modell einstellen'!$B$2="Ja",creep_res125!P26,creep_res125!L26)</f>
        <v>0.53530611252323612</v>
      </c>
      <c r="AG26" s="2">
        <f>IF('Modell einstellen'!$B$2="Ja",creep_res160!P26,creep_res160!L26)</f>
        <v>0.53772050769622259</v>
      </c>
      <c r="AL26" s="2">
        <f t="shared" si="12"/>
        <v>100000000</v>
      </c>
      <c r="AM26" s="2">
        <f t="shared" si="13"/>
        <v>4058.4470173916279</v>
      </c>
      <c r="AN26" s="2">
        <f t="shared" si="14"/>
        <v>2988.8293612758935</v>
      </c>
      <c r="AO26" s="2">
        <f t="shared" si="15"/>
        <v>2568.1909736158736</v>
      </c>
      <c r="AP26" s="2">
        <f t="shared" si="16"/>
        <v>2158.239452794789</v>
      </c>
      <c r="AQ26" s="2">
        <f t="shared" si="17"/>
        <v>1404.857998960405</v>
      </c>
      <c r="AR26" s="2">
        <f t="shared" si="18"/>
        <v>262.23895816268134</v>
      </c>
      <c r="AS26" s="2">
        <f t="shared" si="19"/>
        <v>226.30209993218824</v>
      </c>
      <c r="AX26" s="2">
        <f t="shared" si="28"/>
        <v>100000000</v>
      </c>
      <c r="AY26" s="37">
        <f t="shared" si="20"/>
        <v>15731.382066637958</v>
      </c>
      <c r="AZ26" s="37">
        <f t="shared" si="21"/>
        <v>14247.705478271253</v>
      </c>
      <c r="BA26" s="37">
        <f t="shared" si="22"/>
        <v>13666.648040977747</v>
      </c>
      <c r="BB26" s="37">
        <f t="shared" si="23"/>
        <v>13361.103049912273</v>
      </c>
      <c r="BC26" s="37">
        <f t="shared" si="24"/>
        <v>14318.572194527354</v>
      </c>
      <c r="BD26" s="37">
        <f t="shared" si="25"/>
        <v>-3801.2027439905219</v>
      </c>
      <c r="BE26" s="37">
        <f t="shared" si="26"/>
        <v>-3075.1563826847623</v>
      </c>
    </row>
    <row r="27" spans="1:57" x14ac:dyDescent="0.25">
      <c r="A27" s="2">
        <f>'creep_res-40'!A27</f>
        <v>1000000000</v>
      </c>
      <c r="B27" s="3">
        <f>'creep_res-40'!O27</f>
        <v>-9.4004797142857143E-4</v>
      </c>
      <c r="C27" s="2">
        <f>IF('Modell einstellen'!$B$2="Ja",creep_res0!O27,creep_res0!C27)</f>
        <v>-1.2596230285714287E-3</v>
      </c>
      <c r="D27" s="2">
        <f>IF('Modell einstellen'!$B$2="Ja",creep_res25!O27,creep_res25!C27)</f>
        <v>-1.4804677714285717E-3</v>
      </c>
      <c r="E27" s="2">
        <f>IF('Modell einstellen'!$B$2="Ja",creep_res50!O27,creep_res50!C27)</f>
        <v>-1.8037072000000002E-3</v>
      </c>
      <c r="F27" s="2">
        <f>IF('Modell einstellen'!$B$2="Ja",creep_res80!O27,creep_res80!C27)</f>
        <v>-3.1242568571428577E-3</v>
      </c>
      <c r="G27" s="2">
        <f>IF('Modell einstellen'!$B$2="Ja",creep_res125!O27,creep_res125!C27)</f>
        <v>-1.3019599142857143E-2</v>
      </c>
      <c r="H27" s="2">
        <f>IF('Modell einstellen'!$B$2="Ja",creep_res160!O27,creep_res160!C27)</f>
        <v>-1.4427086857142859E-2</v>
      </c>
      <c r="M27" s="9">
        <f t="shared" si="27"/>
        <v>-10</v>
      </c>
      <c r="N27" s="2">
        <f t="shared" si="4"/>
        <v>1000000000</v>
      </c>
      <c r="O27" s="2">
        <f t="shared" si="5"/>
        <v>10637.754991166255</v>
      </c>
      <c r="P27" s="2">
        <f t="shared" si="6"/>
        <v>7938.8831207232379</v>
      </c>
      <c r="Q27" s="2">
        <f t="shared" si="7"/>
        <v>6754.6218789690629</v>
      </c>
      <c r="R27" s="2">
        <f t="shared" si="8"/>
        <v>5544.1370971962624</v>
      </c>
      <c r="S27" s="2">
        <f t="shared" si="9"/>
        <v>3200.7611592937433</v>
      </c>
      <c r="T27" s="2">
        <f t="shared" si="10"/>
        <v>768.07280241698027</v>
      </c>
      <c r="U27" s="2">
        <f t="shared" si="11"/>
        <v>693.14062492449705</v>
      </c>
      <c r="Z27" s="2">
        <v>1000000000</v>
      </c>
      <c r="AA27" s="3">
        <f>IF('Modell einstellen'!$B$2="Ja",'creep_res-40'!P27,'creep_res-40'!L27)</f>
        <v>0.38203196256336952</v>
      </c>
      <c r="AB27" s="2">
        <f>IF('Modell einstellen'!$B$2="Ja",creep_res0!P27,creep_res0!L27)</f>
        <v>0.40388920440278658</v>
      </c>
      <c r="AC27" s="2">
        <f>IF('Modell einstellen'!$B$2="Ja",creep_res25!P27,creep_res25!L27)</f>
        <v>0.41540312779906702</v>
      </c>
      <c r="AD27" s="2">
        <f>IF('Modell einstellen'!$B$2="Ja",creep_res50!P27,creep_res50!L27)</f>
        <v>0.4293191109003564</v>
      </c>
      <c r="AE27" s="2">
        <f>IF('Modell einstellen'!$B$2="Ja",creep_res80!P27,creep_res80!L27)</f>
        <v>0.46629853645653235</v>
      </c>
      <c r="AF27" s="2">
        <f>IF('Modell einstellen'!$B$2="Ja",creep_res125!P27,creep_res125!L27)</f>
        <v>0.53284357207662114</v>
      </c>
      <c r="AG27" s="2">
        <f>IF('Modell einstellen'!$B$2="Ja",creep_res160!P27,creep_res160!L27)</f>
        <v>0.53369132792356211</v>
      </c>
      <c r="AL27" s="2">
        <f t="shared" si="12"/>
        <v>1000000000</v>
      </c>
      <c r="AM27" s="2">
        <f t="shared" si="13"/>
        <v>3848.5922465336935</v>
      </c>
      <c r="AN27" s="2">
        <f t="shared" si="14"/>
        <v>2827.4607055264137</v>
      </c>
      <c r="AO27" s="2">
        <f t="shared" si="15"/>
        <v>2386.1123895749793</v>
      </c>
      <c r="AP27" s="2">
        <f t="shared" si="16"/>
        <v>1939.4329282086981</v>
      </c>
      <c r="AQ27" s="2">
        <f t="shared" si="17"/>
        <v>1091.4425267820036</v>
      </c>
      <c r="AR27" s="2">
        <f t="shared" si="18"/>
        <v>250.5385469230996</v>
      </c>
      <c r="AS27" s="2">
        <f t="shared" si="19"/>
        <v>225.971358220734</v>
      </c>
      <c r="AX27" s="2">
        <f t="shared" si="28"/>
        <v>1000000000</v>
      </c>
      <c r="AY27" s="37">
        <f t="shared" si="20"/>
        <v>15029.148604313825</v>
      </c>
      <c r="AZ27" s="37">
        <f t="shared" si="21"/>
        <v>13766.894536305024</v>
      </c>
      <c r="BA27" s="37">
        <f t="shared" si="22"/>
        <v>13307.46969565968</v>
      </c>
      <c r="BB27" s="37">
        <f t="shared" si="23"/>
        <v>13073.163924551845</v>
      </c>
      <c r="BC27" s="37">
        <f t="shared" si="24"/>
        <v>15828.991893113925</v>
      </c>
      <c r="BD27" s="37">
        <f t="shared" si="25"/>
        <v>-3897.6312758405943</v>
      </c>
      <c r="BE27" s="37">
        <f t="shared" si="26"/>
        <v>-3428.8775363652135</v>
      </c>
    </row>
    <row r="28" spans="1:57" x14ac:dyDescent="0.25">
      <c r="A28" s="2">
        <f>'creep_res-40'!A28</f>
        <v>10000000000</v>
      </c>
      <c r="B28" s="3">
        <f>'creep_res-40'!O28</f>
        <v>-9.9600322857142857E-4</v>
      </c>
      <c r="C28" s="2">
        <f>IF('Modell einstellen'!$B$2="Ja",creep_res0!O28,creep_res0!C28)</f>
        <v>-1.3309826000000001E-3</v>
      </c>
      <c r="D28" s="2">
        <f>IF('Modell einstellen'!$B$2="Ja",creep_res25!O28,creep_res25!C28)</f>
        <v>-1.6026793142857143E-3</v>
      </c>
      <c r="E28" s="2">
        <f>IF('Modell einstellen'!$B$2="Ja",creep_res50!O28,creep_res50!C28)</f>
        <v>-2.0501415714285717E-3</v>
      </c>
      <c r="F28" s="2">
        <f>IF('Modell einstellen'!$B$2="Ja",creep_res80!O28,creep_res80!C28)</f>
        <v>-4.2644768571428572E-3</v>
      </c>
      <c r="G28" s="2">
        <f>IF('Modell einstellen'!$B$2="Ja",creep_res125!O28,creep_res125!C28)</f>
        <v>-1.3295077428571431E-2</v>
      </c>
      <c r="H28" s="2">
        <f>IF('Modell einstellen'!$B$2="Ja",creep_res160!O28,creep_res160!C28)</f>
        <v>-1.4475546000000001E-2</v>
      </c>
      <c r="M28" s="9">
        <f t="shared" si="27"/>
        <v>-10</v>
      </c>
      <c r="N28" s="2">
        <f t="shared" si="4"/>
        <v>10000000000</v>
      </c>
      <c r="O28" s="2">
        <f t="shared" si="5"/>
        <v>10040.128097117757</v>
      </c>
      <c r="P28" s="2">
        <f t="shared" si="6"/>
        <v>7513.2462287636217</v>
      </c>
      <c r="Q28" s="2">
        <f t="shared" si="7"/>
        <v>6239.5514254558293</v>
      </c>
      <c r="R28" s="2">
        <f t="shared" si="8"/>
        <v>4877.7119294409695</v>
      </c>
      <c r="S28" s="2">
        <f t="shared" si="9"/>
        <v>2344.9535159864527</v>
      </c>
      <c r="T28" s="2">
        <f t="shared" si="10"/>
        <v>752.15808660954224</v>
      </c>
      <c r="U28" s="2">
        <f t="shared" si="11"/>
        <v>690.82022881900275</v>
      </c>
      <c r="Z28" s="2">
        <v>10000000000</v>
      </c>
      <c r="AA28" s="3">
        <f>IF('Modell einstellen'!$B$2="Ja",'creep_res-40'!P28,'creep_res-40'!L28)</f>
        <v>0.38524407537061056</v>
      </c>
      <c r="AB28" s="2">
        <f>IF('Modell einstellen'!$B$2="Ja",creep_res0!P28,creep_res0!L28)</f>
        <v>0.40688500145896506</v>
      </c>
      <c r="AC28" s="2">
        <f>IF('Modell einstellen'!$B$2="Ja",creep_res25!P28,creep_res25!L28)</f>
        <v>0.42016620524886755</v>
      </c>
      <c r="AD28" s="2">
        <f>IF('Modell einstellen'!$B$2="Ja",creep_res50!P28,creep_res50!L28)</f>
        <v>0.43699248365496152</v>
      </c>
      <c r="AE28" s="2">
        <f>IF('Modell einstellen'!$B$2="Ja",creep_res80!P28,creep_res80!L28)</f>
        <v>0.48310616428650532</v>
      </c>
      <c r="AF28" s="2">
        <f>IF('Modell einstellen'!$B$2="Ja",creep_res125!P28,creep_res125!L28)</f>
        <v>0.53297505106669874</v>
      </c>
      <c r="AG28" s="2">
        <f>IF('Modell einstellen'!$B$2="Ja",creep_res160!P28,creep_res160!L28)</f>
        <v>0.53103076634997293</v>
      </c>
      <c r="AL28" s="2">
        <f t="shared" si="12"/>
        <v>10000000000</v>
      </c>
      <c r="AM28" s="2">
        <f t="shared" si="13"/>
        <v>3623.9563394023553</v>
      </c>
      <c r="AN28" s="2">
        <f t="shared" si="14"/>
        <v>2670.1707037079254</v>
      </c>
      <c r="AO28" s="2">
        <f t="shared" si="15"/>
        <v>2196.768027007945</v>
      </c>
      <c r="AP28" s="2">
        <f t="shared" si="16"/>
        <v>1697.1946565213088</v>
      </c>
      <c r="AQ28" s="2">
        <f t="shared" si="17"/>
        <v>790.55484106714846</v>
      </c>
      <c r="AR28" s="2">
        <f t="shared" si="18"/>
        <v>245.32626479673095</v>
      </c>
      <c r="AS28" s="2">
        <f t="shared" si="19"/>
        <v>225.60625299057205</v>
      </c>
      <c r="AX28" s="2">
        <f t="shared" si="28"/>
        <v>10000000000</v>
      </c>
      <c r="AY28" s="37">
        <f t="shared" si="20"/>
        <v>14581.858742867964</v>
      </c>
      <c r="AZ28" s="37">
        <f t="shared" si="21"/>
        <v>13447.969977061217</v>
      </c>
      <c r="BA28" s="37">
        <f t="shared" si="22"/>
        <v>13026.128105494072</v>
      </c>
      <c r="BB28" s="37">
        <f t="shared" si="23"/>
        <v>12902.460458658872</v>
      </c>
      <c r="BC28" s="37">
        <f t="shared" si="24"/>
        <v>23134.21253916619</v>
      </c>
      <c r="BD28" s="37">
        <f t="shared" si="25"/>
        <v>-3801.6523719106594</v>
      </c>
      <c r="BE28" s="37">
        <f t="shared" si="26"/>
        <v>-3710.4048125858671</v>
      </c>
    </row>
    <row r="29" spans="1:57" x14ac:dyDescent="0.25">
      <c r="A29" s="2">
        <f>'creep_res-40'!A29</f>
        <v>100000000000</v>
      </c>
      <c r="B29" s="3">
        <f>'creep_res-40'!O29</f>
        <v>-1.0570064285714287E-3</v>
      </c>
      <c r="C29" s="2">
        <f>IF('Modell einstellen'!$B$2="Ja",creep_res0!O29,creep_res0!C29)</f>
        <v>-1.4092666000000002E-3</v>
      </c>
      <c r="D29" s="2">
        <f>IF('Modell einstellen'!$B$2="Ja",creep_res25!O29,creep_res25!C29)</f>
        <v>-1.7641265142857145E-3</v>
      </c>
      <c r="E29" s="2">
        <f>IF('Modell einstellen'!$B$2="Ja",creep_res50!O29,creep_res50!C29)</f>
        <v>-2.4371894571428572E-3</v>
      </c>
      <c r="F29" s="2">
        <f>IF('Modell einstellen'!$B$2="Ja",creep_res80!O29,creep_res80!C29)</f>
        <v>-6.0131102857142859E-3</v>
      </c>
      <c r="G29" s="2">
        <f>IF('Modell einstellen'!$B$2="Ja",creep_res125!O29,creep_res125!C29)</f>
        <v>-1.3949406571428574E-2</v>
      </c>
      <c r="H29" s="2">
        <f>IF('Modell einstellen'!$B$2="Ja",creep_res160!O29,creep_res160!C29)</f>
        <v>-1.4482518857142858E-2</v>
      </c>
      <c r="M29" s="9">
        <f t="shared" si="27"/>
        <v>-10</v>
      </c>
      <c r="N29" s="2">
        <f t="shared" si="4"/>
        <v>100000000000</v>
      </c>
      <c r="O29" s="2">
        <f t="shared" si="5"/>
        <v>9460.6803986190098</v>
      </c>
      <c r="P29" s="2">
        <f t="shared" si="6"/>
        <v>7095.8894505837288</v>
      </c>
      <c r="Q29" s="2">
        <f t="shared" si="7"/>
        <v>5668.5276928956237</v>
      </c>
      <c r="R29" s="2">
        <f t="shared" si="8"/>
        <v>4103.0868448459096</v>
      </c>
      <c r="S29" s="2">
        <f t="shared" si="9"/>
        <v>1663.0328606740529</v>
      </c>
      <c r="T29" s="2">
        <f t="shared" si="10"/>
        <v>716.87637382956348</v>
      </c>
      <c r="U29" s="2">
        <f t="shared" si="11"/>
        <v>690.48762156922339</v>
      </c>
      <c r="Z29" s="2">
        <v>100000000000</v>
      </c>
      <c r="AA29" s="3">
        <f>IF('Modell einstellen'!$B$2="Ja",'creep_res-40'!P29,'creep_res-40'!L29)</f>
        <v>0.3894191480116691</v>
      </c>
      <c r="AB29" s="2">
        <f>IF('Modell einstellen'!$B$2="Ja",creep_res0!P29,creep_res0!L29)</f>
        <v>0.41039885568848361</v>
      </c>
      <c r="AC29" s="2">
        <f>IF('Modell einstellen'!$B$2="Ja",creep_res25!P29,creep_res25!L29)</f>
        <v>0.42611313850052995</v>
      </c>
      <c r="AD29" s="2">
        <f>IF('Modell einstellen'!$B$2="Ja",creep_res50!P29,creep_res50!L29)</f>
        <v>0.44736264187023572</v>
      </c>
      <c r="AE29" s="2">
        <f>IF('Modell einstellen'!$B$2="Ja",creep_res80!P29,creep_res80!L29)</f>
        <v>0.49973486504678405</v>
      </c>
      <c r="AF29" s="2">
        <f>IF('Modell einstellen'!$B$2="Ja",creep_res125!P29,creep_res125!L29)</f>
        <v>0.53132949454910749</v>
      </c>
      <c r="AG29" s="2">
        <f>IF('Modell einstellen'!$B$2="Ja",creep_res160!P29,creep_res160!L29)</f>
        <v>0.53107367905377789</v>
      </c>
      <c r="AL29" s="2">
        <f t="shared" si="12"/>
        <v>100000000000</v>
      </c>
      <c r="AM29" s="2">
        <f t="shared" si="13"/>
        <v>3404.5451338992034</v>
      </c>
      <c r="AN29" s="2">
        <f t="shared" si="14"/>
        <v>2515.5612619665249</v>
      </c>
      <c r="AO29" s="2">
        <f t="shared" si="15"/>
        <v>1987.4046244520723</v>
      </c>
      <c r="AP29" s="2">
        <f t="shared" si="16"/>
        <v>1417.4356606109552</v>
      </c>
      <c r="AQ29" s="2">
        <f t="shared" si="17"/>
        <v>554.44228824478739</v>
      </c>
      <c r="AR29" s="2">
        <f t="shared" si="18"/>
        <v>234.06992955511652</v>
      </c>
      <c r="AS29" s="2">
        <f t="shared" si="19"/>
        <v>225.49131077609314</v>
      </c>
      <c r="AX29" s="2">
        <f t="shared" si="28"/>
        <v>100000000000</v>
      </c>
      <c r="AY29" s="37">
        <f t="shared" si="20"/>
        <v>14259.069613633399</v>
      </c>
      <c r="AZ29" s="37">
        <f t="shared" si="21"/>
        <v>13199.030557603601</v>
      </c>
      <c r="BA29" s="37">
        <f t="shared" si="22"/>
        <v>12786.503531340009</v>
      </c>
      <c r="BB29" s="37">
        <f t="shared" si="23"/>
        <v>12991.681797336068</v>
      </c>
      <c r="BC29" s="37">
        <f t="shared" si="24"/>
        <v>1045400.2389489568</v>
      </c>
      <c r="BD29" s="37">
        <f t="shared" si="25"/>
        <v>-3813.639426929863</v>
      </c>
      <c r="BE29" s="37">
        <f t="shared" si="26"/>
        <v>-3703.4967781694272</v>
      </c>
    </row>
    <row r="30" spans="1:57" x14ac:dyDescent="0.25">
      <c r="A30" s="2">
        <f>'creep_res-40'!A30</f>
        <v>1000000000000</v>
      </c>
      <c r="B30" s="3">
        <f>'creep_res-40'!O30</f>
        <v>-1.1131610285714285E-3</v>
      </c>
      <c r="C30" s="2">
        <f>IF('Modell einstellen'!$B$2="Ja",creep_res0!O30,creep_res0!C30)</f>
        <v>-1.5122779142857142E-3</v>
      </c>
      <c r="D30" s="2">
        <f>IF('Modell einstellen'!$B$2="Ja",creep_res25!O30,creep_res25!C30)</f>
        <v>-1.9859938571428573E-3</v>
      </c>
      <c r="E30" s="2">
        <f>IF('Modell einstellen'!$B$2="Ja",creep_res50!O30,creep_res50!C30)</f>
        <v>-3.0883197142857147E-3</v>
      </c>
      <c r="F30" s="2">
        <f>IF('Modell einstellen'!$B$2="Ja",creep_res80!O30,creep_res80!C30)</f>
        <v>-8.2161508571428586E-3</v>
      </c>
      <c r="G30" s="2">
        <f>IF('Modell einstellen'!$B$2="Ja",creep_res125!O30,creep_res125!C30)</f>
        <v>-1.4434227142857142E-2</v>
      </c>
      <c r="H30" s="2">
        <f>IF('Modell einstellen'!$B$2="Ja",creep_res160!O30,creep_res160!C30)</f>
        <v>-1.448888942857143E-2</v>
      </c>
      <c r="M30" s="9">
        <f t="shared" si="27"/>
        <v>-10</v>
      </c>
      <c r="N30" s="2">
        <f t="shared" si="4"/>
        <v>1000000000000</v>
      </c>
      <c r="O30" s="2">
        <f t="shared" si="5"/>
        <v>8983.4262459165202</v>
      </c>
      <c r="P30" s="2">
        <f t="shared" si="6"/>
        <v>6612.5411906998879</v>
      </c>
      <c r="Q30" s="2">
        <f t="shared" si="7"/>
        <v>5035.2623015594136</v>
      </c>
      <c r="R30" s="2">
        <f t="shared" si="8"/>
        <v>3238.0067237672188</v>
      </c>
      <c r="S30" s="2">
        <f t="shared" si="9"/>
        <v>1217.1149451700148</v>
      </c>
      <c r="T30" s="2">
        <f t="shared" si="10"/>
        <v>692.79774393383821</v>
      </c>
      <c r="U30" s="2">
        <f t="shared" si="11"/>
        <v>690.18402337176065</v>
      </c>
      <c r="Z30" s="2">
        <v>1000000000000</v>
      </c>
      <c r="AA30" s="3">
        <f>IF('Modell einstellen'!$B$2="Ja",'creep_res-40'!P30,'creep_res-40'!L30)</f>
        <v>0.39283565596824449</v>
      </c>
      <c r="AB30" s="2">
        <f>IF('Modell einstellen'!$B$2="Ja",creep_res0!P30,creep_res0!L30)</f>
        <v>0.41492564282449457</v>
      </c>
      <c r="AC30" s="2">
        <f>IF('Modell einstellen'!$B$2="Ja",creep_res25!P30,creep_res25!L30)</f>
        <v>0.43337691232968134</v>
      </c>
      <c r="AD30" s="2">
        <f>IF('Modell einstellen'!$B$2="Ja",creep_res50!P30,creep_res50!L30)</f>
        <v>0.4612547979164629</v>
      </c>
      <c r="AE30" s="2">
        <f>IF('Modell einstellen'!$B$2="Ja",creep_res80!P30,creep_res80!L30)</f>
        <v>0.51268491105741276</v>
      </c>
      <c r="AF30" s="2">
        <f>IF('Modell einstellen'!$B$2="Ja",creep_res125!P30,creep_res125!L30)</f>
        <v>0.53150061277960459</v>
      </c>
      <c r="AG30" s="2">
        <f>IF('Modell einstellen'!$B$2="Ja",creep_res160!P30,creep_res160!L30)</f>
        <v>0.53114726549188529</v>
      </c>
      <c r="AL30" s="2">
        <f t="shared" si="12"/>
        <v>1000000000000</v>
      </c>
      <c r="AM30" s="2">
        <f t="shared" si="13"/>
        <v>3224.8694264190117</v>
      </c>
      <c r="AN30" s="2">
        <f t="shared" si="14"/>
        <v>2336.7097855049965</v>
      </c>
      <c r="AO30" s="2">
        <f t="shared" si="15"/>
        <v>1756.4334468648422</v>
      </c>
      <c r="AP30" s="2">
        <f t="shared" si="16"/>
        <v>1107.9541803332813</v>
      </c>
      <c r="AQ30" s="2">
        <f t="shared" si="17"/>
        <v>402.30286435501444</v>
      </c>
      <c r="AR30" s="2">
        <f t="shared" si="18"/>
        <v>226.1826531941249</v>
      </c>
      <c r="AS30" s="2">
        <f t="shared" si="19"/>
        <v>225.3813329804162</v>
      </c>
      <c r="AX30" s="2">
        <f t="shared" si="28"/>
        <v>1000000000000</v>
      </c>
      <c r="AY30" s="37">
        <f t="shared" si="20"/>
        <v>13971.416716824058</v>
      </c>
      <c r="AZ30" s="37">
        <f t="shared" si="21"/>
        <v>12954.434626833649</v>
      </c>
      <c r="BA30" s="37">
        <f t="shared" si="22"/>
        <v>12596.389824290796</v>
      </c>
      <c r="BB30" s="37">
        <f t="shared" si="23"/>
        <v>13928.63524446146</v>
      </c>
      <c r="BC30" s="37">
        <f t="shared" si="24"/>
        <v>-15991.636830841391</v>
      </c>
      <c r="BD30" s="37">
        <f t="shared" si="25"/>
        <v>-3665.525222112492</v>
      </c>
      <c r="BE30" s="37">
        <f t="shared" si="26"/>
        <v>-3693.1226143087497</v>
      </c>
    </row>
    <row r="31" spans="1:57" x14ac:dyDescent="0.25">
      <c r="A31" s="2">
        <f>'creep_res-40'!A31</f>
        <v>10000000000000</v>
      </c>
      <c r="B31" s="3">
        <f>'creep_res-40'!O31</f>
        <v>-1.1673316285714286E-3</v>
      </c>
      <c r="C31" s="2">
        <f>IF('Modell einstellen'!$B$2="Ja",creep_res0!O31,creep_res0!C31)</f>
        <v>-1.6372292571428572E-3</v>
      </c>
      <c r="D31" s="2">
        <f>IF('Modell einstellen'!$B$2="Ja",creep_res25!O31,creep_res25!C31)</f>
        <v>-2.3278832285714285E-3</v>
      </c>
      <c r="E31" s="2">
        <f>IF('Modell einstellen'!$B$2="Ja",creep_res50!O31,creep_res50!C31)</f>
        <v>-4.1963188571428568E-3</v>
      </c>
      <c r="F31" s="2">
        <f>IF('Modell einstellen'!$B$2="Ja",creep_res80!O31,creep_res80!C31)</f>
        <v>-1.0166911142857143E-2</v>
      </c>
      <c r="G31" s="2">
        <f>IF('Modell einstellen'!$B$2="Ja",creep_res125!O31,creep_res125!C31)</f>
        <v>-1.4485463428571431E-2</v>
      </c>
      <c r="H31" s="2">
        <f>IF('Modell einstellen'!$B$2="Ja",creep_res160!O31,creep_res160!C31)</f>
        <v>-1.4494310857142858E-2</v>
      </c>
      <c r="M31" s="9">
        <f t="shared" si="27"/>
        <v>-10</v>
      </c>
      <c r="N31" s="2">
        <f t="shared" si="4"/>
        <v>10000000000000</v>
      </c>
      <c r="O31" s="2">
        <f t="shared" si="5"/>
        <v>8566.5459199781326</v>
      </c>
      <c r="P31" s="2">
        <f t="shared" si="6"/>
        <v>6107.8801007081229</v>
      </c>
      <c r="Q31" s="2">
        <f t="shared" si="7"/>
        <v>4295.7481188335996</v>
      </c>
      <c r="R31" s="2">
        <f t="shared" si="8"/>
        <v>2383.0410272513682</v>
      </c>
      <c r="S31" s="2">
        <f t="shared" si="9"/>
        <v>983.58290531786452</v>
      </c>
      <c r="T31" s="2">
        <f t="shared" si="10"/>
        <v>690.34726084605563</v>
      </c>
      <c r="U31" s="2">
        <f t="shared" si="11"/>
        <v>689.92586805684232</v>
      </c>
      <c r="Z31" s="2">
        <v>10000000000000</v>
      </c>
      <c r="AA31" s="3">
        <f>IF('Modell einstellen'!$B$2="Ja",'creep_res-40'!P31,'creep_res-40'!L31)</f>
        <v>0.39603034094338768</v>
      </c>
      <c r="AB31" s="2">
        <f>IF('Modell einstellen'!$B$2="Ja",creep_res0!P31,creep_res0!L31)</f>
        <v>0.42019374056070763</v>
      </c>
      <c r="AC31" s="2">
        <f>IF('Modell einstellen'!$B$2="Ja",creep_res25!P31,creep_res25!L31)</f>
        <v>0.44303039598954852</v>
      </c>
      <c r="AD31" s="2">
        <f>IF('Modell einstellen'!$B$2="Ja",creep_res50!P31,creep_res50!L31)</f>
        <v>0.47839891779979143</v>
      </c>
      <c r="AE31" s="2">
        <f>IF('Modell einstellen'!$B$2="Ja",creep_res80!P31,creep_res80!L31)</f>
        <v>0.52011049064515702</v>
      </c>
      <c r="AF31" s="2">
        <f>IF('Modell einstellen'!$B$2="Ja",creep_res125!P31,creep_res125!L31)</f>
        <v>0.53248180510897214</v>
      </c>
      <c r="AG31" s="2">
        <f>IF('Modell einstellen'!$B$2="Ja",creep_res160!P31,creep_res160!L31)</f>
        <v>0.53120550470955219</v>
      </c>
      <c r="AL31" s="2">
        <f t="shared" si="12"/>
        <v>10000000000000</v>
      </c>
      <c r="AM31" s="2">
        <f t="shared" si="13"/>
        <v>3068.1804215620291</v>
      </c>
      <c r="AN31" s="2">
        <f t="shared" si="14"/>
        <v>2150.3686174171794</v>
      </c>
      <c r="AO31" s="2">
        <f t="shared" si="15"/>
        <v>1488.4468583518017</v>
      </c>
      <c r="AP31" s="2">
        <f t="shared" si="16"/>
        <v>805.95331833639966</v>
      </c>
      <c r="AQ31" s="2">
        <f t="shared" si="17"/>
        <v>323.52349101295181</v>
      </c>
      <c r="AR31" s="2">
        <f t="shared" si="18"/>
        <v>225.23832209445587</v>
      </c>
      <c r="AS31" s="2">
        <f t="shared" si="19"/>
        <v>225.28846256587596</v>
      </c>
      <c r="AX31" s="2">
        <f t="shared" si="28"/>
        <v>10000000000000</v>
      </c>
      <c r="AY31" s="37">
        <f t="shared" si="20"/>
        <v>13732.445275715132</v>
      </c>
      <c r="AZ31" s="37">
        <f t="shared" si="21"/>
        <v>12755.64127346492</v>
      </c>
      <c r="BA31" s="37">
        <f t="shared" si="22"/>
        <v>12567.368726562543</v>
      </c>
      <c r="BB31" s="37">
        <f t="shared" si="23"/>
        <v>18386.741037356907</v>
      </c>
      <c r="BC31" s="37">
        <f t="shared" si="24"/>
        <v>-8151.4910358053148</v>
      </c>
      <c r="BD31" s="37">
        <f t="shared" si="25"/>
        <v>-3542.225452731831</v>
      </c>
      <c r="BE31" s="37">
        <f t="shared" si="26"/>
        <v>-3684.8513025633579</v>
      </c>
    </row>
    <row r="32" spans="1:57" x14ac:dyDescent="0.25">
      <c r="A32" s="2">
        <f>'creep_res-40'!A32</f>
        <v>100000000000000</v>
      </c>
      <c r="B32" s="3">
        <f>'creep_res-40'!O32</f>
        <v>-1.2253101428571429E-3</v>
      </c>
      <c r="C32" s="2">
        <f>IF('Modell einstellen'!$B$2="Ja",creep_res0!O32,creep_res0!C32)</f>
        <v>-1.8063294857142858E-3</v>
      </c>
      <c r="D32" s="2">
        <f>IF('Modell einstellen'!$B$2="Ja",creep_res25!O32,creep_res25!C32)</f>
        <v>-2.8962108571428573E-3</v>
      </c>
      <c r="E32" s="2">
        <f>IF('Modell einstellen'!$B$2="Ja",creep_res50!O32,creep_res50!C32)</f>
        <v>-5.9082431428571424E-3</v>
      </c>
      <c r="F32" s="2">
        <f>IF('Modell einstellen'!$B$2="Ja",creep_res80!O32,creep_res80!C32)</f>
        <v>-1.1538860857142858E-2</v>
      </c>
      <c r="G32" s="2">
        <f>IF('Modell einstellen'!$B$2="Ja",creep_res125!O32,creep_res125!C32)</f>
        <v>-1.4493383714285714E-2</v>
      </c>
      <c r="H32" s="2">
        <f>IF('Modell einstellen'!$B$2="Ja",creep_res160!O32,creep_res160!C32)</f>
        <v>-1.4496432857142858E-2</v>
      </c>
      <c r="M32" s="9">
        <v>-1</v>
      </c>
      <c r="N32" s="2">
        <f t="shared" si="4"/>
        <v>100000000000000</v>
      </c>
      <c r="O32" s="2">
        <f t="shared" si="5"/>
        <v>8161.1990713488167</v>
      </c>
      <c r="P32" s="2">
        <f t="shared" si="6"/>
        <v>5536.0885591953065</v>
      </c>
      <c r="Q32" s="2">
        <f t="shared" si="7"/>
        <v>3452.787277327282</v>
      </c>
      <c r="R32" s="2">
        <f t="shared" si="8"/>
        <v>1692.5505193687986</v>
      </c>
      <c r="S32" s="2">
        <f t="shared" si="9"/>
        <v>866.63667443478505</v>
      </c>
      <c r="T32" s="2">
        <f t="shared" si="10"/>
        <v>689.9700026670298</v>
      </c>
      <c r="U32" s="2">
        <f t="shared" si="11"/>
        <v>689.82487612962518</v>
      </c>
      <c r="Z32" s="2">
        <v>100000000000000</v>
      </c>
      <c r="AA32" s="3">
        <f>IF('Modell einstellen'!$B$2="Ja",'creep_res-40'!P32,'creep_res-40'!L32)</f>
        <v>0.39942130103270651</v>
      </c>
      <c r="AB32" s="2">
        <f>IF('Modell einstellen'!$B$2="Ja",creep_res0!P32,creep_res0!L32)</f>
        <v>0.4264465625413823</v>
      </c>
      <c r="AC32" s="2">
        <f>IF('Modell einstellen'!$B$2="Ja",creep_res25!P32,creep_res25!L32)</f>
        <v>0.45604341357150596</v>
      </c>
      <c r="AD32" s="2">
        <f>IF('Modell einstellen'!$B$2="Ja",creep_res50!P32,creep_res50!L32)</f>
        <v>0.49572609232495563</v>
      </c>
      <c r="AE32" s="2">
        <f>IF('Modell einstellen'!$B$2="Ja",creep_res80!P32,creep_res80!L32)</f>
        <v>0.52388340488079377</v>
      </c>
      <c r="AF32" s="2">
        <f>IF('Modell einstellen'!$B$2="Ja",creep_res125!P32,creep_res125!L32)</f>
        <v>0.5323366959777095</v>
      </c>
      <c r="AG32" s="2">
        <f>IF('Modell einstellen'!$B$2="Ja",creep_res160!P32,creep_res160!L32)</f>
        <v>0.53116541084047963</v>
      </c>
      <c r="AL32" s="2">
        <f t="shared" si="12"/>
        <v>100000000000000</v>
      </c>
      <c r="AM32" s="2">
        <f t="shared" si="13"/>
        <v>2915.919267959634</v>
      </c>
      <c r="AN32" s="2">
        <f t="shared" si="14"/>
        <v>1940.5173332718871</v>
      </c>
      <c r="AO32" s="2">
        <f t="shared" si="15"/>
        <v>1185.6745633902476</v>
      </c>
      <c r="AP32" s="2">
        <f t="shared" si="16"/>
        <v>565.79561192848462</v>
      </c>
      <c r="AQ32" s="2">
        <f t="shared" si="17"/>
        <v>284.35137217816799</v>
      </c>
      <c r="AR32" s="2">
        <f t="shared" si="18"/>
        <v>225.13655271656646</v>
      </c>
      <c r="AS32" s="2">
        <f t="shared" si="19"/>
        <v>225.26138301118297</v>
      </c>
      <c r="AX32" s="2">
        <f t="shared" si="28"/>
        <v>100000000000000</v>
      </c>
      <c r="AY32" s="37">
        <f t="shared" si="20"/>
        <v>13523.736727466689</v>
      </c>
      <c r="AZ32" s="37">
        <f t="shared" si="21"/>
        <v>12544.368535483687</v>
      </c>
      <c r="BA32" s="37">
        <f t="shared" si="22"/>
        <v>13091.656859145447</v>
      </c>
      <c r="BB32" s="37">
        <f t="shared" si="23"/>
        <v>66003.239816172267</v>
      </c>
      <c r="BC32" s="37">
        <f t="shared" si="24"/>
        <v>-6047.6907065828036</v>
      </c>
      <c r="BD32" s="37">
        <f t="shared" si="25"/>
        <v>-3556.1765655889499</v>
      </c>
      <c r="BE32" s="37">
        <f t="shared" si="26"/>
        <v>-3689.0517271455119</v>
      </c>
    </row>
    <row r="33" spans="1:60" x14ac:dyDescent="0.25">
      <c r="A33" s="2">
        <f>'creep_res-40'!A33</f>
        <v>1000000000000000</v>
      </c>
      <c r="B33" s="3">
        <f>'creep_res-40'!O33</f>
        <v>-1.2862524285714287E-3</v>
      </c>
      <c r="C33" s="2">
        <f>IF('Modell einstellen'!$B$2="Ja",creep_res0!O33,creep_res0!C33)</f>
        <v>-2.0472368857142858E-3</v>
      </c>
      <c r="D33" s="2">
        <f>IF('Modell einstellen'!$B$2="Ja",creep_res25!O33,creep_res25!C33)</f>
        <v>-3.869394E-3</v>
      </c>
      <c r="E33" s="2">
        <f>IF('Modell einstellen'!$B$2="Ja",creep_res50!O33,creep_res50!C33)</f>
        <v>-8.1043811428571436E-3</v>
      </c>
      <c r="F33" s="2">
        <f>IF('Modell einstellen'!$B$2="Ja",creep_res80!O33,creep_res80!C33)</f>
        <v>-1.2370231428571429E-2</v>
      </c>
      <c r="G33" s="2">
        <f>IF('Modell einstellen'!$B$2="Ja",creep_res125!O33,creep_res125!C33)</f>
        <v>-1.4499507428571428E-2</v>
      </c>
      <c r="H33" s="2">
        <f>IF('Modell einstellen'!$B$2="Ja",creep_res160!O33,creep_res160!C33)</f>
        <v>-1.4497870571428572E-2</v>
      </c>
      <c r="M33" s="9">
        <f>M31</f>
        <v>-10</v>
      </c>
      <c r="N33" s="2">
        <f t="shared" si="4"/>
        <v>1000000000000000</v>
      </c>
      <c r="O33" s="2">
        <f t="shared" si="5"/>
        <v>7774.5237076881258</v>
      </c>
      <c r="P33" s="2">
        <f t="shared" si="6"/>
        <v>4884.632584426583</v>
      </c>
      <c r="Q33" s="2">
        <f t="shared" si="7"/>
        <v>2584.3840146544912</v>
      </c>
      <c r="R33" s="2">
        <f t="shared" si="8"/>
        <v>1233.9005068651754</v>
      </c>
      <c r="S33" s="2">
        <f t="shared" si="9"/>
        <v>808.39231325155947</v>
      </c>
      <c r="T33" s="2">
        <f t="shared" si="10"/>
        <v>689.67860110164133</v>
      </c>
      <c r="U33" s="2">
        <f t="shared" si="11"/>
        <v>689.75646807796227</v>
      </c>
      <c r="Z33" s="2">
        <v>1000000000000000</v>
      </c>
      <c r="AA33" s="3">
        <f>IF('Modell einstellen'!$B$2="Ja",'creep_res-40'!P33,'creep_res-40'!L33)</f>
        <v>0.40283123719216629</v>
      </c>
      <c r="AB33" s="2">
        <f>IF('Modell einstellen'!$B$2="Ja",creep_res0!P33,creep_res0!L33)</f>
        <v>0.433955210794156</v>
      </c>
      <c r="AC33" s="2">
        <f>IF('Modell einstellen'!$B$2="Ja",creep_res25!P33,creep_res25!L33)</f>
        <v>0.47264590490692571</v>
      </c>
      <c r="AD33" s="2">
        <f>IF('Modell einstellen'!$B$2="Ja",creep_res50!P33,creep_res50!L33)</f>
        <v>0.5097132295357425</v>
      </c>
      <c r="AE33" s="2">
        <f>IF('Modell einstellen'!$B$2="Ja",creep_res80!P33,creep_res80!L33)</f>
        <v>0.52568708149818655</v>
      </c>
      <c r="AF33" s="2">
        <f>IF('Modell einstellen'!$B$2="Ja",creep_res125!P33,creep_res125!L33)</f>
        <v>0.53234969006631871</v>
      </c>
      <c r="AG33" s="2">
        <f>IF('Modell einstellen'!$B$2="Ja",creep_res160!P33,creep_res160!L33)</f>
        <v>0.53111102207778416</v>
      </c>
      <c r="AL33" s="2">
        <f t="shared" si="12"/>
        <v>1000000000000000</v>
      </c>
      <c r="AM33" s="2">
        <f t="shared" si="13"/>
        <v>2771.0117587804812</v>
      </c>
      <c r="AN33" s="2">
        <f t="shared" si="14"/>
        <v>1703.202634105066</v>
      </c>
      <c r="AO33" s="2">
        <f t="shared" si="15"/>
        <v>877.46280556758461</v>
      </c>
      <c r="AP33" s="2">
        <f t="shared" si="16"/>
        <v>408.65393596789795</v>
      </c>
      <c r="AQ33" s="2">
        <f t="shared" si="17"/>
        <v>264.92729834801332</v>
      </c>
      <c r="AR33" s="2">
        <f t="shared" si="18"/>
        <v>225.03956034728361</v>
      </c>
      <c r="AS33" s="2">
        <f t="shared" si="19"/>
        <v>225.24704548920718</v>
      </c>
      <c r="AX33" s="2">
        <f>AL33</f>
        <v>1000000000000000</v>
      </c>
      <c r="AY33" s="37">
        <f t="shared" si="20"/>
        <v>13335.087468839225</v>
      </c>
      <c r="AZ33" s="37">
        <f t="shared" si="21"/>
        <v>12326.565661378891</v>
      </c>
      <c r="BA33" s="37">
        <f t="shared" si="22"/>
        <v>15746.4784575578</v>
      </c>
      <c r="BB33" s="37">
        <f t="shared" si="23"/>
        <v>-21172.163565247098</v>
      </c>
      <c r="BC33" s="37">
        <f t="shared" si="24"/>
        <v>-5245.1288488380833</v>
      </c>
      <c r="BD33" s="37">
        <f t="shared" si="25"/>
        <v>-3553.2468249709182</v>
      </c>
      <c r="BE33" s="37">
        <f t="shared" si="26"/>
        <v>-3695.1345108143387</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98" zoomScale="120" zoomScaleNormal="120" zoomScaleSheetLayoutView="110" workbookViewId="0">
      <selection activeCell="E5" sqref="E5"/>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5541.3343805505365</v>
      </c>
      <c r="G16" s="26">
        <f>INDEX(Comparison!$AM$3:$AS$33,G14,$B$3)</f>
        <v>5343.1911525840997</v>
      </c>
      <c r="H16" s="26">
        <f>INDEX(Comparison!$AM$3:$AS$33,H14,$B$3)</f>
        <v>5230.4848257433341</v>
      </c>
      <c r="I16" s="26">
        <f>INDEX(Comparison!$AM$3:$AS$33,I14,$B$3)</f>
        <v>5120.1446027142574</v>
      </c>
      <c r="J16" s="26">
        <f>INDEX(Comparison!$AM$3:$AS$33,J14,$B$3)</f>
        <v>4998.3099857085181</v>
      </c>
      <c r="K16" s="26">
        <f>INDEX(Comparison!$AM$3:$AS$33,K14,$B$3)</f>
        <v>4868.289986185935</v>
      </c>
      <c r="L16" s="26">
        <f>INDEX(Comparison!$AM$3:$AS$33,L14,$B$3)</f>
        <v>4722.7423685745798</v>
      </c>
      <c r="M16" s="26">
        <f>INDEX(Comparison!$AM$3:$AS$33,M14,$B$3)</f>
        <v>4566.4647906515956</v>
      </c>
      <c r="N16" s="26">
        <f>INDEX(Comparison!$AM$3:$AS$33,N14,$B$3)</f>
        <v>4408.434781704007</v>
      </c>
      <c r="O16" s="26">
        <f>INDEX(Comparison!$AM$3:$AS$33,O14,$B$3)</f>
        <v>4256.2001953133786</v>
      </c>
      <c r="P16" s="26">
        <f>INDEX(Comparison!$AM$3:$AS$33,P14,$B$3)</f>
        <v>4088.6897076558816</v>
      </c>
      <c r="Q16" s="26">
        <f>INDEX(Comparison!$AM$3:$AS$33,Q14,$B$3)</f>
        <v>3886.5453020717396</v>
      </c>
      <c r="R16" s="26">
        <f>INDEX(Comparison!$AM$3:$AS$33,R14,$B$3)</f>
        <v>3674.0476464355193</v>
      </c>
      <c r="S16" s="26">
        <f>INDEX(Comparison!$AM$3:$AS$33,S14,$B$3)</f>
        <v>3490.4964950029853</v>
      </c>
      <c r="T16" s="26">
        <f>INDEX(Comparison!$AM$3:$AS$33,T14,$B$3)</f>
        <v>3328.6476119407066</v>
      </c>
      <c r="U16" s="26">
        <f>INDEX(Comparison!$AM$3:$AS$33,U14,$B$3)</f>
        <v>3162.6549081928265</v>
      </c>
      <c r="V16" s="26">
        <f>INDEX(Comparison!$AM$3:$AS$33,V14,$B$3)</f>
        <v>2989.0593935666489</v>
      </c>
      <c r="W16" s="26">
        <f>INDEX(Comparison!$AM$3:$AS$33,W14,$B$3)</f>
        <v>2798.1852090008501</v>
      </c>
      <c r="X16" s="26">
        <f>INDEX(Comparison!$AM$3:$AS$33,X14,$B$3)</f>
        <v>2599.5030730508342</v>
      </c>
      <c r="Y16" s="26">
        <f>INDEX(Comparison!$AM$3:$AS$33,Y14,$B$3)</f>
        <v>2390.0680354035449</v>
      </c>
      <c r="Z16" s="26">
        <f>INDEX(Comparison!$AM$3:$AS$33,Z14,$B$3)</f>
        <v>2175.40034172183</v>
      </c>
      <c r="AA16" s="26">
        <f>INDEX(Comparison!$AM$3:$AS$33,AA14,$B$3)</f>
        <v>1944.7438917872487</v>
      </c>
      <c r="AB16" s="26">
        <f>INDEX(Comparison!$AM$3:$AS$33,AB14,$B$3)</f>
        <v>1692.3075271682321</v>
      </c>
      <c r="AC16" s="26">
        <f>INDEX(Comparison!$AM$3:$AS$33,AC14,$B$3)</f>
        <v>1404.857998960405</v>
      </c>
      <c r="AD16" s="26">
        <f>INDEX(Comparison!$AM$3:$AS$33,AD14,$B$3)</f>
        <v>1091.4425267820036</v>
      </c>
      <c r="AE16" s="26">
        <f>INDEX(Comparison!$AM$3:$AS$33,AE14,$B$3)</f>
        <v>790.55484106714846</v>
      </c>
      <c r="AF16" s="26">
        <f>INDEX(Comparison!$AM$3:$AS$33,AF14,$B$3)</f>
        <v>554.44228824478739</v>
      </c>
      <c r="AG16" s="26">
        <f>INDEX(Comparison!$AM$3:$AS$33,AG14,$B$3)</f>
        <v>402.30286435501444</v>
      </c>
      <c r="AH16" s="26">
        <f>INDEX(Comparison!$AM$3:$AS$33,AH14,$B$3)</f>
        <v>323.52349101295181</v>
      </c>
      <c r="AI16" s="26">
        <f>INDEX(Comparison!$AM$3:$AS$33,AI14,$B$3)</f>
        <v>284.35137217816799</v>
      </c>
      <c r="AJ16" s="26">
        <f>INDEX(Comparison!$AM$3:$AS$33,AJ14,$B$3)</f>
        <v>264.92729834801332</v>
      </c>
    </row>
    <row r="17" spans="1:36" x14ac:dyDescent="0.25">
      <c r="A17" s="14" t="s">
        <v>20</v>
      </c>
      <c r="B17" s="105">
        <v>6.5902650499513521E-2</v>
      </c>
      <c r="C17" s="18">
        <f t="shared" ref="C17:C48" si="3">ABS(B17/$B$49)</f>
        <v>3.9890608799725669E-2</v>
      </c>
      <c r="D17" s="66"/>
      <c r="E17" s="65" t="s">
        <v>22</v>
      </c>
      <c r="F17" s="27">
        <f>($C$17+SUM(F18:F48))*$B$51</f>
        <v>5480.5737040012082</v>
      </c>
      <c r="G17" s="27">
        <f t="shared" ref="G17:M17" si="4">($C$17+SUM(G18:G48))*$B$51</f>
        <v>5421.7859668548208</v>
      </c>
      <c r="H17" s="27">
        <f t="shared" si="4"/>
        <v>5209.6810835962215</v>
      </c>
      <c r="I17" s="27">
        <f t="shared" si="4"/>
        <v>5123.5319798029914</v>
      </c>
      <c r="J17" s="27">
        <f t="shared" si="4"/>
        <v>4997.8427899816324</v>
      </c>
      <c r="K17" s="27">
        <f t="shared" si="4"/>
        <v>4868.3501035534082</v>
      </c>
      <c r="L17" s="27">
        <f t="shared" si="4"/>
        <v>4722.728480591386</v>
      </c>
      <c r="M17" s="27">
        <f t="shared" si="4"/>
        <v>4566.4806516975186</v>
      </c>
      <c r="N17" s="27">
        <f t="shared" ref="N17" si="5">($C$17+SUM(N18:N48))*$B$51</f>
        <v>4408.3949232923869</v>
      </c>
      <c r="O17" s="27">
        <f t="shared" ref="O17" si="6">($C$17+SUM(O18:O48))*$B$51</f>
        <v>4256.2814138160011</v>
      </c>
      <c r="P17" s="27">
        <f t="shared" ref="P17" si="7">($C$17+SUM(P18:P48))*$B$51</f>
        <v>4088.5557667259673</v>
      </c>
      <c r="Q17" s="27">
        <f t="shared" ref="Q17" si="8">($C$17+SUM(Q18:Q48))*$B$51</f>
        <v>3886.7440246501569</v>
      </c>
      <c r="R17" s="27">
        <f t="shared" ref="R17" si="9">($C$17+SUM(R18:R48))*$B$51</f>
        <v>3673.7996778946977</v>
      </c>
      <c r="S17" s="27">
        <f t="shared" ref="S17:T17" si="10">($C$17+SUM(S18:S48))*$B$51</f>
        <v>3490.753726971785</v>
      </c>
      <c r="T17" s="27">
        <f t="shared" si="10"/>
        <v>3328.413736145686</v>
      </c>
      <c r="U17" s="27">
        <f t="shared" ref="U17" si="11">($C$17+SUM(U18:U48))*$B$51</f>
        <v>3162.8361514556145</v>
      </c>
      <c r="V17" s="27">
        <f t="shared" ref="V17" si="12">($C$17+SUM(V18:V48))*$B$51</f>
        <v>2988.9409901351491</v>
      </c>
      <c r="W17" s="27">
        <f t="shared" ref="W17" si="13">($C$17+SUM(W18:W48))*$B$51</f>
        <v>2798.2553024943018</v>
      </c>
      <c r="X17" s="27">
        <f t="shared" ref="X17" si="14">($C$17+SUM(X18:X48))*$B$51</f>
        <v>2599.4686017763279</v>
      </c>
      <c r="Y17" s="27">
        <f t="shared" ref="Y17" si="15">($C$17+SUM(Y18:Y48))*$B$51</f>
        <v>2390.0833403170586</v>
      </c>
      <c r="Z17" s="27">
        <f t="shared" ref="Z17:AA17" si="16">($C$17+SUM(Z18:Z48))*$B$51</f>
        <v>2175.3922297217846</v>
      </c>
      <c r="AA17" s="27">
        <f t="shared" si="16"/>
        <v>1944.7422813876703</v>
      </c>
      <c r="AB17" s="27">
        <f t="shared" ref="AB17" si="17">($C$17+SUM(AB18:AB48))*$B$51</f>
        <v>1692.3112587548044</v>
      </c>
      <c r="AC17" s="27">
        <f t="shared" ref="AC17" si="18">($C$17+SUM(AC18:AC48))*$B$51</f>
        <v>1404.8587722554098</v>
      </c>
      <c r="AD17" s="27">
        <f t="shared" ref="AD17" si="19">($C$17+SUM(AD18:AD48))*$B$51</f>
        <v>1091.4444347818292</v>
      </c>
      <c r="AE17" s="27">
        <f t="shared" ref="AE17" si="20">($C$17+SUM(AE18:AE48))*$B$51</f>
        <v>790.55282550956781</v>
      </c>
      <c r="AF17" s="27">
        <f t="shared" ref="AF17" si="21">($C$17+SUM(AF18:AF48))*$B$51</f>
        <v>554.44091118906067</v>
      </c>
      <c r="AG17" s="27">
        <f t="shared" ref="AG17:AH17" si="22">($C$17+SUM(AG18:AG48))*$B$51</f>
        <v>402.30283395588475</v>
      </c>
      <c r="AH17" s="27">
        <f t="shared" si="22"/>
        <v>323.52333378148859</v>
      </c>
      <c r="AI17" s="27">
        <f t="shared" ref="AI17" si="23">($C$17+SUM(AI18:AI48))*$B$51</f>
        <v>284.34975040137738</v>
      </c>
      <c r="AJ17" s="27">
        <f t="shared" ref="AJ17" si="24">($C$17+SUM(AJ18:AJ48))*$B$51</f>
        <v>264.93137868320946</v>
      </c>
    </row>
    <row r="18" spans="1:36" x14ac:dyDescent="0.25">
      <c r="A18" s="3">
        <f>0.000000000000001/10^5</f>
        <v>1.0000000000000001E-20</v>
      </c>
      <c r="B18" s="106">
        <v>3.7136473253268999E-2</v>
      </c>
      <c r="C18" s="18">
        <f t="shared" si="3"/>
        <v>2.2478557622785819E-2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8.4135476177503832E-2</v>
      </c>
      <c r="C19" s="18">
        <f t="shared" si="3"/>
        <v>5.0926864715406528E-2</v>
      </c>
      <c r="D19" s="17"/>
      <c r="F19" s="3">
        <f t="shared" si="25"/>
        <v>4.9638916503210832E-2</v>
      </c>
      <c r="G19" s="3">
        <f t="shared" si="25"/>
        <v>3.9418534521984107E-2</v>
      </c>
      <c r="H19" s="3">
        <f t="shared" si="25"/>
        <v>3.9308120980869948E-3</v>
      </c>
      <c r="I19" s="3">
        <f t="shared" si="25"/>
        <v>3.822085352959287E-13</v>
      </c>
      <c r="J19" s="3">
        <f t="shared" si="25"/>
        <v>2.8872298144883488E-113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1.6014834895604253E-2</v>
      </c>
      <c r="C20" s="18">
        <f t="shared" si="3"/>
        <v>9.6937150322574731E-3</v>
      </c>
      <c r="D20" s="17"/>
      <c r="F20" s="3">
        <f t="shared" si="25"/>
        <v>9.6713413699499942E-3</v>
      </c>
      <c r="G20" s="3">
        <f t="shared" si="25"/>
        <v>9.4722879518538815E-3</v>
      </c>
      <c r="H20" s="3">
        <f t="shared" si="25"/>
        <v>7.6937254020344433E-3</v>
      </c>
      <c r="I20" s="3">
        <f t="shared" si="25"/>
        <v>9.6151171675415816E-4</v>
      </c>
      <c r="J20" s="3">
        <f t="shared" si="25"/>
        <v>8.9358027024943608E-13</v>
      </c>
      <c r="K20" s="3">
        <f t="shared" si="25"/>
        <v>4.2946074724423203E-103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4.189551161962133E-2</v>
      </c>
      <c r="C21" s="18">
        <f t="shared" si="3"/>
        <v>2.5359184369906522E-2</v>
      </c>
      <c r="D21" s="17"/>
      <c r="F21" s="3">
        <f t="shared" si="25"/>
        <v>2.5353898881667718E-2</v>
      </c>
      <c r="G21" s="3">
        <f t="shared" si="25"/>
        <v>2.5306379033232809E-2</v>
      </c>
      <c r="H21" s="3">
        <f t="shared" si="25"/>
        <v>2.4836051663789965E-2</v>
      </c>
      <c r="I21" s="3">
        <f t="shared" si="25"/>
        <v>2.0587708730331365E-2</v>
      </c>
      <c r="J21" s="3">
        <f t="shared" si="25"/>
        <v>3.1540067813299686E-3</v>
      </c>
      <c r="K21" s="3">
        <f t="shared" si="25"/>
        <v>2.2459945442786945E-11</v>
      </c>
      <c r="L21" s="3">
        <f t="shared" si="25"/>
        <v>7.5312911863472521E-93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3.8167124719964876E-2</v>
      </c>
      <c r="C22" s="18">
        <f t="shared" si="3"/>
        <v>2.3102406802677788E-2</v>
      </c>
      <c r="D22" s="17"/>
      <c r="F22" s="3">
        <f t="shared" si="25"/>
        <v>2.3101972397665961E-2</v>
      </c>
      <c r="G22" s="3">
        <f t="shared" si="25"/>
        <v>2.3098063120115218E-2</v>
      </c>
      <c r="H22" s="3">
        <f t="shared" si="25"/>
        <v>2.3059006709825094E-2</v>
      </c>
      <c r="I22" s="3">
        <f t="shared" si="25"/>
        <v>2.2672056460886512E-2</v>
      </c>
      <c r="J22" s="3">
        <f t="shared" si="25"/>
        <v>1.9142299283719012E-2</v>
      </c>
      <c r="K22" s="3">
        <f t="shared" si="25"/>
        <v>3.5239194896823783E-3</v>
      </c>
      <c r="L22" s="3">
        <f t="shared" si="25"/>
        <v>1.5752327544777869E-10</v>
      </c>
      <c r="M22" s="3">
        <f t="shared" si="25"/>
        <v>5.0180189206958696E-84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4.56772130839663E-2</v>
      </c>
      <c r="C23" s="18">
        <f t="shared" si="3"/>
        <v>2.764823302831592E-2</v>
      </c>
      <c r="D23" s="17"/>
      <c r="F23" s="3">
        <f t="shared" si="25"/>
        <v>2.7648186130211728E-2</v>
      </c>
      <c r="G23" s="3">
        <f t="shared" si="25"/>
        <v>2.7647764050853757E-2</v>
      </c>
      <c r="H23" s="3">
        <f t="shared" si="25"/>
        <v>2.7643543611650116E-2</v>
      </c>
      <c r="I23" s="3">
        <f t="shared" si="25"/>
        <v>2.7601374637211462E-2</v>
      </c>
      <c r="J23" s="3">
        <f t="shared" si="25"/>
        <v>2.7183206728434366E-2</v>
      </c>
      <c r="K23" s="3">
        <f t="shared" si="25"/>
        <v>2.3334604735870009E-2</v>
      </c>
      <c r="L23" s="3">
        <f t="shared" si="25"/>
        <v>5.0698844018680547E-3</v>
      </c>
      <c r="M23" s="3">
        <f t="shared" si="25"/>
        <v>1.1884314618064509E-9</v>
      </c>
      <c r="N23" s="3">
        <f t="shared" si="25"/>
        <v>5.9529875543481435E-76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4.8850569194069007E-2</v>
      </c>
      <c r="C24" s="18">
        <f t="shared" si="3"/>
        <v>2.9569052695064539E-2</v>
      </c>
      <c r="D24" s="17"/>
      <c r="F24" s="3">
        <f t="shared" si="25"/>
        <v>2.9569048170547344E-2</v>
      </c>
      <c r="G24" s="3">
        <f t="shared" si="25"/>
        <v>2.9569007449923725E-2</v>
      </c>
      <c r="H24" s="3">
        <f t="shared" si="25"/>
        <v>2.9568600246771801E-2</v>
      </c>
      <c r="I24" s="3">
        <f t="shared" si="25"/>
        <v>2.9564528523663865E-2</v>
      </c>
      <c r="J24" s="3">
        <f t="shared" si="25"/>
        <v>2.9523842118004115E-2</v>
      </c>
      <c r="K24" s="3">
        <f t="shared" si="25"/>
        <v>2.9120044954242998E-2</v>
      </c>
      <c r="L24" s="3">
        <f t="shared" si="25"/>
        <v>2.5373694679119443E-2</v>
      </c>
      <c r="M24" s="3">
        <f t="shared" si="25"/>
        <v>6.4017748496919911E-3</v>
      </c>
      <c r="N24" s="3">
        <f t="shared" si="25"/>
        <v>6.6906337712294647E-9</v>
      </c>
      <c r="O24" s="3">
        <f t="shared" si="25"/>
        <v>1.0402455869946288E-68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4.9487846277265449E-2</v>
      </c>
      <c r="C25" s="18">
        <f t="shared" si="3"/>
        <v>2.9954793945684E-2</v>
      </c>
      <c r="D25" s="17"/>
      <c r="F25" s="3">
        <f t="shared" si="25"/>
        <v>2.9954793532210394E-2</v>
      </c>
      <c r="G25" s="3">
        <f t="shared" si="25"/>
        <v>2.9954789810948217E-2</v>
      </c>
      <c r="H25" s="3">
        <f t="shared" si="25"/>
        <v>2.9954752598351845E-2</v>
      </c>
      <c r="I25" s="3">
        <f t="shared" si="25"/>
        <v>2.9954380474930695E-2</v>
      </c>
      <c r="J25" s="3">
        <f t="shared" si="25"/>
        <v>2.9950659494965608E-2</v>
      </c>
      <c r="K25" s="3">
        <f t="shared" si="25"/>
        <v>2.9913475108270134E-2</v>
      </c>
      <c r="L25" s="3">
        <f t="shared" si="25"/>
        <v>2.9544160894550853E-2</v>
      </c>
      <c r="M25" s="3">
        <f t="shared" si="25"/>
        <v>2.6092732941547059E-2</v>
      </c>
      <c r="N25" s="3">
        <f t="shared" si="25"/>
        <v>7.5335324717163204E-3</v>
      </c>
      <c r="O25" s="3">
        <f t="shared" si="25"/>
        <v>3.0324218482552583E-8</v>
      </c>
      <c r="P25" s="3">
        <f t="shared" si="25"/>
        <v>3.3860950257281623E-62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4.4733805126850691E-2</v>
      </c>
      <c r="C26" s="18">
        <f t="shared" si="3"/>
        <v>2.7077191993234564E-2</v>
      </c>
      <c r="D26" s="17"/>
      <c r="F26" s="3">
        <f t="shared" si="25"/>
        <v>2.7077191959518902E-2</v>
      </c>
      <c r="G26" s="3">
        <f t="shared" si="25"/>
        <v>2.7077191656077963E-2</v>
      </c>
      <c r="H26" s="3">
        <f t="shared" si="25"/>
        <v>2.7077188621668729E-2</v>
      </c>
      <c r="I26" s="3">
        <f t="shared" si="25"/>
        <v>2.70771582775951E-2</v>
      </c>
      <c r="J26" s="3">
        <f t="shared" si="25"/>
        <v>2.7076854838729097E-2</v>
      </c>
      <c r="K26" s="3">
        <f t="shared" si="25"/>
        <v>2.7073820637088793E-2</v>
      </c>
      <c r="L26" s="3">
        <f t="shared" si="25"/>
        <v>2.7043497314906181E-2</v>
      </c>
      <c r="M26" s="3">
        <f t="shared" si="25"/>
        <v>2.6742125786911815E-2</v>
      </c>
      <c r="N26" s="3">
        <f t="shared" si="25"/>
        <v>2.390708652059648E-2</v>
      </c>
      <c r="O26" s="3">
        <f t="shared" si="25"/>
        <v>7.7953193821023777E-3</v>
      </c>
      <c r="P26" s="3">
        <f t="shared" si="25"/>
        <v>1.0590257361729787E-7</v>
      </c>
      <c r="Q26" s="3">
        <f t="shared" si="25"/>
        <v>2.2679450305803522E-56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5.286622592479967E-2</v>
      </c>
      <c r="C27" s="18">
        <f t="shared" si="3"/>
        <v>3.1999713533519658E-2</v>
      </c>
      <c r="D27" s="17"/>
      <c r="F27" s="3">
        <f t="shared" si="25"/>
        <v>3.1999713529925304E-2</v>
      </c>
      <c r="G27" s="3">
        <f t="shared" si="25"/>
        <v>3.1999713497576125E-2</v>
      </c>
      <c r="H27" s="3">
        <f t="shared" si="25"/>
        <v>3.1999713174084357E-2</v>
      </c>
      <c r="I27" s="3">
        <f t="shared" si="25"/>
        <v>3.199970993916685E-2</v>
      </c>
      <c r="J27" s="3">
        <f t="shared" si="25"/>
        <v>3.1999677590009698E-2</v>
      </c>
      <c r="K27" s="3">
        <f t="shared" si="25"/>
        <v>3.1999354100236896E-2</v>
      </c>
      <c r="L27" s="3">
        <f t="shared" si="25"/>
        <v>3.1996119382364845E-2</v>
      </c>
      <c r="M27" s="3">
        <f t="shared" si="25"/>
        <v>3.1963790182522794E-2</v>
      </c>
      <c r="N27" s="3">
        <f t="shared" si="25"/>
        <v>3.1642289365257474E-2</v>
      </c>
      <c r="O27" s="3">
        <f t="shared" si="25"/>
        <v>2.8599876895064019E-2</v>
      </c>
      <c r="P27" s="3">
        <f t="shared" si="25"/>
        <v>1.0407030406035685E-2</v>
      </c>
      <c r="Q27" s="3">
        <f t="shared" si="25"/>
        <v>4.2359753106298314E-7</v>
      </c>
      <c r="R27" s="3">
        <f t="shared" si="25"/>
        <v>5.2871226764739705E-51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6.7614931000031311E-2</v>
      </c>
      <c r="C28" s="18">
        <f t="shared" si="3"/>
        <v>4.092704528723929E-2</v>
      </c>
      <c r="D28" s="17"/>
      <c r="F28" s="3">
        <f t="shared" si="25"/>
        <v>4.0927045286824594E-2</v>
      </c>
      <c r="G28" s="3">
        <f t="shared" si="25"/>
        <v>4.0927045283092316E-2</v>
      </c>
      <c r="H28" s="3">
        <f t="shared" si="25"/>
        <v>4.0927045245769518E-2</v>
      </c>
      <c r="I28" s="3">
        <f t="shared" si="25"/>
        <v>4.0927044872541597E-2</v>
      </c>
      <c r="J28" s="3">
        <f t="shared" si="25"/>
        <v>4.0927041140262556E-2</v>
      </c>
      <c r="K28" s="3">
        <f t="shared" si="25"/>
        <v>4.0927003817490842E-2</v>
      </c>
      <c r="L28" s="3">
        <f t="shared" si="25"/>
        <v>4.0926630591645696E-2</v>
      </c>
      <c r="M28" s="3">
        <f t="shared" si="25"/>
        <v>4.0922898520384957E-2</v>
      </c>
      <c r="N28" s="3">
        <f t="shared" si="25"/>
        <v>4.0885596520533286E-2</v>
      </c>
      <c r="O28" s="3">
        <f t="shared" si="25"/>
        <v>4.0514441498986913E-2</v>
      </c>
      <c r="P28" s="3">
        <f t="shared" si="25"/>
        <v>3.6983246817824382E-2</v>
      </c>
      <c r="Q28" s="3">
        <f t="shared" si="25"/>
        <v>1.4857879455897744E-2</v>
      </c>
      <c r="R28" s="3">
        <f t="shared" si="25"/>
        <v>1.6273268004541546E-6</v>
      </c>
      <c r="S28" s="3">
        <f t="shared" si="25"/>
        <v>4.0425392058063226E-46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6.7042143105267279E-2</v>
      </c>
      <c r="C29" s="18">
        <f t="shared" si="3"/>
        <v>4.0580339082525729E-2</v>
      </c>
      <c r="D29" s="17"/>
      <c r="F29" s="3">
        <f t="shared" si="25"/>
        <v>4.0580339082488634E-2</v>
      </c>
      <c r="G29" s="3">
        <f t="shared" si="25"/>
        <v>4.0580339082154804E-2</v>
      </c>
      <c r="H29" s="3">
        <f t="shared" si="25"/>
        <v>4.0580339078816502E-2</v>
      </c>
      <c r="I29" s="3">
        <f t="shared" si="25"/>
        <v>4.0580339045433456E-2</v>
      </c>
      <c r="J29" s="3">
        <f t="shared" si="25"/>
        <v>4.0580338711602965E-2</v>
      </c>
      <c r="K29" s="3">
        <f t="shared" si="25"/>
        <v>4.0580335373298228E-2</v>
      </c>
      <c r="L29" s="3">
        <f t="shared" si="25"/>
        <v>4.0580301990265931E-2</v>
      </c>
      <c r="M29" s="3">
        <f t="shared" si="25"/>
        <v>4.05799681614534E-2</v>
      </c>
      <c r="N29" s="3">
        <f t="shared" si="25"/>
        <v>4.0576630024365436E-2</v>
      </c>
      <c r="O29" s="3">
        <f t="shared" si="25"/>
        <v>4.0543263752623702E-2</v>
      </c>
      <c r="P29" s="3">
        <f t="shared" si="25"/>
        <v>4.0211106363260224E-2</v>
      </c>
      <c r="Q29" s="3">
        <f t="shared" si="25"/>
        <v>3.7035582481821629E-2</v>
      </c>
      <c r="R29" s="3">
        <f t="shared" si="25"/>
        <v>1.6268621314847916E-2</v>
      </c>
      <c r="S29" s="3">
        <f t="shared" si="25"/>
        <v>4.3517752456372943E-6</v>
      </c>
      <c r="T29" s="3">
        <f t="shared" si="25"/>
        <v>8.1625063088309962E-42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4.8401062506259501E-2</v>
      </c>
      <c r="C30" s="18">
        <f t="shared" si="3"/>
        <v>2.9296968108172214E-2</v>
      </c>
      <c r="D30" s="17"/>
      <c r="F30" s="3">
        <f t="shared" si="25"/>
        <v>2.9296968108169796E-2</v>
      </c>
      <c r="G30" s="3">
        <f t="shared" si="25"/>
        <v>2.9296968108148056E-2</v>
      </c>
      <c r="H30" s="3">
        <f t="shared" si="25"/>
        <v>2.929696810793065E-2</v>
      </c>
      <c r="I30" s="3">
        <f t="shared" si="25"/>
        <v>2.9296968105756549E-2</v>
      </c>
      <c r="J30" s="3">
        <f t="shared" si="25"/>
        <v>2.9296968084015541E-2</v>
      </c>
      <c r="K30" s="3">
        <f t="shared" si="25"/>
        <v>2.9296967866605503E-2</v>
      </c>
      <c r="L30" s="3">
        <f t="shared" si="25"/>
        <v>2.9296965692505186E-2</v>
      </c>
      <c r="M30" s="3">
        <f t="shared" si="25"/>
        <v>2.9296943951510918E-2</v>
      </c>
      <c r="N30" s="3">
        <f t="shared" si="25"/>
        <v>2.9296726542455562E-2</v>
      </c>
      <c r="O30" s="3">
        <f t="shared" si="25"/>
        <v>2.9294552540635187E-2</v>
      </c>
      <c r="P30" s="3">
        <f t="shared" si="25"/>
        <v>2.9272821393311776E-2</v>
      </c>
      <c r="Q30" s="3">
        <f t="shared" si="25"/>
        <v>2.9056394577228906E-2</v>
      </c>
      <c r="R30" s="3">
        <f t="shared" si="25"/>
        <v>2.6978210561731403E-2</v>
      </c>
      <c r="S30" s="3">
        <f t="shared" si="25"/>
        <v>1.2844798474347816E-2</v>
      </c>
      <c r="T30" s="3">
        <f t="shared" si="25"/>
        <v>7.6889819984041301E-6</v>
      </c>
      <c r="U30" s="3">
        <f t="shared" si="25"/>
        <v>4.5423891363012138E-38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5.1528263014783353E-2</v>
      </c>
      <c r="C31" s="18">
        <f t="shared" si="3"/>
        <v>3.1189849975264177E-2</v>
      </c>
      <c r="D31" s="17"/>
      <c r="F31" s="3">
        <f t="shared" si="25"/>
        <v>3.1189849975263945E-2</v>
      </c>
      <c r="G31" s="3">
        <f t="shared" si="25"/>
        <v>3.1189849975261856E-2</v>
      </c>
      <c r="H31" s="3">
        <f t="shared" si="25"/>
        <v>3.1189849975240977E-2</v>
      </c>
      <c r="I31" s="3">
        <f t="shared" si="25"/>
        <v>3.1189849975032186E-2</v>
      </c>
      <c r="J31" s="3">
        <f t="shared" si="25"/>
        <v>3.1189849972944252E-2</v>
      </c>
      <c r="K31" s="3">
        <f t="shared" si="25"/>
        <v>3.1189849952064908E-2</v>
      </c>
      <c r="L31" s="3">
        <f t="shared" si="25"/>
        <v>3.1189849743271495E-2</v>
      </c>
      <c r="M31" s="3">
        <f t="shared" si="25"/>
        <v>3.1189847655337433E-2</v>
      </c>
      <c r="N31" s="3">
        <f t="shared" si="25"/>
        <v>3.1189826776004508E-2</v>
      </c>
      <c r="O31" s="3">
        <f t="shared" si="25"/>
        <v>3.1189617983443985E-2</v>
      </c>
      <c r="P31" s="3">
        <f t="shared" si="25"/>
        <v>3.1187530134711268E-2</v>
      </c>
      <c r="Q31" s="3">
        <f t="shared" si="25"/>
        <v>3.1166659332731102E-2</v>
      </c>
      <c r="R31" s="3">
        <f t="shared" si="25"/>
        <v>3.0958717947465349E-2</v>
      </c>
      <c r="S31" s="3">
        <f t="shared" si="25"/>
        <v>2.8954102208415385E-2</v>
      </c>
      <c r="T31" s="3">
        <f t="shared" si="25"/>
        <v>1.4824547954319679E-2</v>
      </c>
      <c r="U31" s="3">
        <f t="shared" si="25"/>
        <v>1.8352491039123991E-5</v>
      </c>
      <c r="V31" s="3">
        <f t="shared" si="26"/>
        <v>1.551781731798175E-34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4.9251477283095417E-2</v>
      </c>
      <c r="C32" s="18">
        <f t="shared" si="3"/>
        <v>2.9811720745936274E-2</v>
      </c>
      <c r="D32" s="17"/>
      <c r="F32" s="3">
        <f t="shared" si="25"/>
        <v>2.9811720745936254E-2</v>
      </c>
      <c r="G32" s="3">
        <f t="shared" si="25"/>
        <v>2.9811720745936077E-2</v>
      </c>
      <c r="H32" s="3">
        <f t="shared" si="25"/>
        <v>2.9811720745934276E-2</v>
      </c>
      <c r="I32" s="3">
        <f t="shared" si="25"/>
        <v>2.981172074591627E-2</v>
      </c>
      <c r="J32" s="3">
        <f t="shared" si="25"/>
        <v>2.9811720745736247E-2</v>
      </c>
      <c r="K32" s="3">
        <f t="shared" si="25"/>
        <v>2.9811720743935979E-2</v>
      </c>
      <c r="L32" s="3">
        <f t="shared" si="25"/>
        <v>2.9811720725933296E-2</v>
      </c>
      <c r="M32" s="3">
        <f t="shared" si="25"/>
        <v>2.9811720545906507E-2</v>
      </c>
      <c r="N32" s="3">
        <f t="shared" si="25"/>
        <v>2.9811718745638635E-2</v>
      </c>
      <c r="O32" s="3">
        <f t="shared" si="25"/>
        <v>2.9811700742965918E-2</v>
      </c>
      <c r="P32" s="3">
        <f t="shared" si="25"/>
        <v>2.9811520716836657E-2</v>
      </c>
      <c r="Q32" s="3">
        <f t="shared" si="25"/>
        <v>2.9809720515335536E-2</v>
      </c>
      <c r="R32" s="3">
        <f t="shared" si="25"/>
        <v>2.9791724478134576E-2</v>
      </c>
      <c r="S32" s="3">
        <f t="shared" si="25"/>
        <v>2.9612360553649488E-2</v>
      </c>
      <c r="T32" s="3">
        <f t="shared" si="25"/>
        <v>2.7877054639884588E-2</v>
      </c>
      <c r="U32" s="3">
        <f t="shared" si="25"/>
        <v>1.5240017414291753E-2</v>
      </c>
      <c r="V32" s="3">
        <f t="shared" si="26"/>
        <v>3.6338854473707885E-5</v>
      </c>
      <c r="W32" s="3">
        <f t="shared" si="26"/>
        <v>2.1588821095384478E-31</v>
      </c>
      <c r="X32" s="3">
        <f t="shared" si="26"/>
        <v>1.1825128641929255E-293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5.7989963749595169E-2</v>
      </c>
      <c r="C33" s="18">
        <f t="shared" si="3"/>
        <v>3.5101091393318837E-2</v>
      </c>
      <c r="D33" s="17"/>
      <c r="F33" s="3">
        <f t="shared" si="25"/>
        <v>3.510109139331883E-2</v>
      </c>
      <c r="G33" s="3">
        <f t="shared" si="25"/>
        <v>3.5101091393318816E-2</v>
      </c>
      <c r="H33" s="3">
        <f t="shared" si="25"/>
        <v>3.5101091393318622E-2</v>
      </c>
      <c r="I33" s="3">
        <f t="shared" si="25"/>
        <v>3.5101091393316713E-2</v>
      </c>
      <c r="J33" s="3">
        <f t="shared" si="25"/>
        <v>3.510109139329759E-2</v>
      </c>
      <c r="K33" s="3">
        <f t="shared" si="25"/>
        <v>3.5101091393106375E-2</v>
      </c>
      <c r="L33" s="3">
        <f t="shared" si="25"/>
        <v>3.5101091391194252E-2</v>
      </c>
      <c r="M33" s="3">
        <f t="shared" si="25"/>
        <v>3.510109137207295E-2</v>
      </c>
      <c r="N33" s="3">
        <f t="shared" si="25"/>
        <v>3.5101091180859995E-2</v>
      </c>
      <c r="O33" s="3">
        <f t="shared" si="25"/>
        <v>3.5101089268730512E-2</v>
      </c>
      <c r="P33" s="3">
        <f t="shared" si="25"/>
        <v>3.5101070147441377E-2</v>
      </c>
      <c r="Q33" s="3">
        <f t="shared" si="25"/>
        <v>3.5100878935122912E-2</v>
      </c>
      <c r="R33" s="3">
        <f t="shared" si="25"/>
        <v>3.5098966869226679E-2</v>
      </c>
      <c r="S33" s="3">
        <f t="shared" si="25"/>
        <v>3.5079851937953502E-2</v>
      </c>
      <c r="T33" s="3">
        <f t="shared" si="25"/>
        <v>3.4889274241357432E-2</v>
      </c>
      <c r="U33" s="3">
        <f t="shared" ref="P33:AE48" si="27">$C33*EXP(-U$15/$A33)</f>
        <v>3.3039523350741548E-2</v>
      </c>
      <c r="V33" s="3">
        <f t="shared" si="27"/>
        <v>1.916249928426788E-2</v>
      </c>
      <c r="W33" s="3">
        <f t="shared" si="27"/>
        <v>8.2534578025937383E-5</v>
      </c>
      <c r="X33" s="3">
        <f t="shared" si="27"/>
        <v>1.8133171578860294E-28</v>
      </c>
      <c r="Y33" s="3">
        <f t="shared" si="27"/>
        <v>4.751734077427596E-265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5.8374667905695607E-2</v>
      </c>
      <c r="C34" s="18">
        <f t="shared" si="3"/>
        <v>3.5333951268882481E-2</v>
      </c>
      <c r="D34" s="17"/>
      <c r="F34" s="3">
        <f t="shared" ref="F34:O48" si="28">$C34*EXP(-F$15/$A34)</f>
        <v>3.5333951268882481E-2</v>
      </c>
      <c r="G34" s="3">
        <f t="shared" si="28"/>
        <v>3.5333951268882481E-2</v>
      </c>
      <c r="H34" s="3">
        <f t="shared" si="28"/>
        <v>3.533395126888246E-2</v>
      </c>
      <c r="I34" s="3">
        <f t="shared" si="28"/>
        <v>3.5333951268882287E-2</v>
      </c>
      <c r="J34" s="3">
        <f t="shared" si="28"/>
        <v>3.5333951268880552E-2</v>
      </c>
      <c r="K34" s="3">
        <f t="shared" si="28"/>
        <v>3.5333951268863191E-2</v>
      </c>
      <c r="L34" s="3">
        <f t="shared" si="28"/>
        <v>3.5333951268689552E-2</v>
      </c>
      <c r="M34" s="3">
        <f t="shared" si="28"/>
        <v>3.5333951266953212E-2</v>
      </c>
      <c r="N34" s="3">
        <f t="shared" si="28"/>
        <v>3.5333951249589782E-2</v>
      </c>
      <c r="O34" s="3">
        <f t="shared" si="28"/>
        <v>3.5333951075955494E-2</v>
      </c>
      <c r="P34" s="3">
        <f t="shared" si="27"/>
        <v>3.5333949339612675E-2</v>
      </c>
      <c r="Q34" s="3">
        <f t="shared" si="27"/>
        <v>3.5333931976189115E-2</v>
      </c>
      <c r="R34" s="3">
        <f t="shared" si="27"/>
        <v>3.5333758342422882E-2</v>
      </c>
      <c r="S34" s="3">
        <f t="shared" si="27"/>
        <v>3.5332022051688623E-2</v>
      </c>
      <c r="T34" s="3">
        <f t="shared" si="27"/>
        <v>3.5314663836299803E-2</v>
      </c>
      <c r="U34" s="3">
        <f t="shared" si="27"/>
        <v>3.5141550025815808E-2</v>
      </c>
      <c r="V34" s="3">
        <f t="shared" si="27"/>
        <v>3.3456405790167468E-2</v>
      </c>
      <c r="W34" s="3">
        <f t="shared" si="27"/>
        <v>2.0467414205788754E-2</v>
      </c>
      <c r="X34" s="3">
        <f t="shared" si="27"/>
        <v>1.502795667865584E-4</v>
      </c>
      <c r="Y34" s="3">
        <f t="shared" si="27"/>
        <v>6.8433616669314833E-26</v>
      </c>
      <c r="Z34" s="3">
        <f t="shared" si="27"/>
        <v>2.6240075239088833E-239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6.4864092415719748E-2</v>
      </c>
      <c r="C35" s="18">
        <f t="shared" si="3"/>
        <v>3.9261973776363202E-2</v>
      </c>
      <c r="D35" s="17"/>
      <c r="F35" s="3">
        <f t="shared" si="28"/>
        <v>3.9261973776363202E-2</v>
      </c>
      <c r="G35" s="3">
        <f t="shared" si="28"/>
        <v>3.9261973776363202E-2</v>
      </c>
      <c r="H35" s="3">
        <f t="shared" si="28"/>
        <v>3.9261973776363202E-2</v>
      </c>
      <c r="I35" s="3">
        <f t="shared" si="28"/>
        <v>3.9261973776363181E-2</v>
      </c>
      <c r="J35" s="3">
        <f t="shared" si="28"/>
        <v>3.9261973776363007E-2</v>
      </c>
      <c r="K35" s="3">
        <f t="shared" si="28"/>
        <v>3.9261973776361266E-2</v>
      </c>
      <c r="L35" s="3">
        <f t="shared" si="28"/>
        <v>3.9261973776343863E-2</v>
      </c>
      <c r="M35" s="3">
        <f t="shared" si="28"/>
        <v>3.9261973776169815E-2</v>
      </c>
      <c r="N35" s="3">
        <f t="shared" si="28"/>
        <v>3.9261973774429366E-2</v>
      </c>
      <c r="O35" s="3">
        <f t="shared" si="28"/>
        <v>3.9261973757024844E-2</v>
      </c>
      <c r="P35" s="3">
        <f t="shared" si="27"/>
        <v>3.9261973582979663E-2</v>
      </c>
      <c r="Q35" s="3">
        <f t="shared" si="27"/>
        <v>3.9261971842527901E-2</v>
      </c>
      <c r="R35" s="3">
        <f t="shared" si="27"/>
        <v>3.9261954438014494E-2</v>
      </c>
      <c r="S35" s="3">
        <f t="shared" si="27"/>
        <v>3.9261780393304753E-2</v>
      </c>
      <c r="T35" s="3">
        <f t="shared" si="27"/>
        <v>3.926003998864059E-2</v>
      </c>
      <c r="U35" s="3">
        <f t="shared" si="27"/>
        <v>3.9242640184631562E-2</v>
      </c>
      <c r="V35" s="3">
        <f t="shared" si="27"/>
        <v>3.9069065712756465E-2</v>
      </c>
      <c r="W35" s="3">
        <f t="shared" si="27"/>
        <v>3.7374991248026089E-2</v>
      </c>
      <c r="X35" s="3">
        <f t="shared" si="27"/>
        <v>2.3991745094777334E-2</v>
      </c>
      <c r="Y35" s="3">
        <f t="shared" si="27"/>
        <v>2.8501599124178717E-4</v>
      </c>
      <c r="Z35" s="3">
        <f t="shared" si="27"/>
        <v>1.5956701337681703E-23</v>
      </c>
      <c r="AA35" s="3">
        <f t="shared" si="27"/>
        <v>4.8270523212455802E-216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6.1257860386712507E-2</v>
      </c>
      <c r="C36" s="18">
        <f t="shared" si="3"/>
        <v>3.7079136060128547E-2</v>
      </c>
      <c r="D36" s="17"/>
      <c r="F36" s="3">
        <f t="shared" si="28"/>
        <v>3.7079136060128547E-2</v>
      </c>
      <c r="G36" s="3">
        <f t="shared" si="28"/>
        <v>3.7079136060128547E-2</v>
      </c>
      <c r="H36" s="3">
        <f t="shared" si="28"/>
        <v>3.7079136060128547E-2</v>
      </c>
      <c r="I36" s="3">
        <f t="shared" si="28"/>
        <v>3.7079136060128547E-2</v>
      </c>
      <c r="J36" s="3">
        <f t="shared" si="28"/>
        <v>3.7079136060128533E-2</v>
      </c>
      <c r="K36" s="3">
        <f t="shared" si="28"/>
        <v>3.707913606012838E-2</v>
      </c>
      <c r="L36" s="3">
        <f t="shared" si="28"/>
        <v>3.7079136060126902E-2</v>
      </c>
      <c r="M36" s="3">
        <f t="shared" si="28"/>
        <v>3.7079136060112074E-2</v>
      </c>
      <c r="N36" s="3">
        <f t="shared" si="28"/>
        <v>3.7079136059963796E-2</v>
      </c>
      <c r="O36" s="3">
        <f t="shared" si="28"/>
        <v>3.7079136058481052E-2</v>
      </c>
      <c r="P36" s="3">
        <f t="shared" si="27"/>
        <v>3.7079136043653621E-2</v>
      </c>
      <c r="Q36" s="3">
        <f t="shared" si="27"/>
        <v>3.7079135895379256E-2</v>
      </c>
      <c r="R36" s="3">
        <f t="shared" si="27"/>
        <v>3.7079134412635641E-2</v>
      </c>
      <c r="S36" s="3">
        <f t="shared" si="27"/>
        <v>3.7079119585202783E-2</v>
      </c>
      <c r="T36" s="3">
        <f t="shared" si="27"/>
        <v>3.7078971311200262E-2</v>
      </c>
      <c r="U36" s="3">
        <f t="shared" si="27"/>
        <v>3.7077488603785666E-2</v>
      </c>
      <c r="V36" s="3">
        <f t="shared" si="27"/>
        <v>3.7062664790211954E-2</v>
      </c>
      <c r="W36" s="3">
        <f t="shared" si="27"/>
        <v>3.6914752229791604E-2</v>
      </c>
      <c r="X36" s="3">
        <f t="shared" si="27"/>
        <v>3.5467707552014428E-2</v>
      </c>
      <c r="Y36" s="3">
        <f t="shared" si="27"/>
        <v>2.3777420006248055E-2</v>
      </c>
      <c r="Z36" s="3">
        <f t="shared" si="27"/>
        <v>4.3599432201026826E-4</v>
      </c>
      <c r="AA36" s="3">
        <f t="shared" si="27"/>
        <v>1.8734490014901993E-21</v>
      </c>
      <c r="AB36" s="3">
        <f t="shared" si="27"/>
        <v>4.0202429061749736E-195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7.6162029702618511E-2</v>
      </c>
      <c r="C37" s="18">
        <f t="shared" si="3"/>
        <v>4.610056969230196E-2</v>
      </c>
      <c r="D37" s="17"/>
      <c r="F37" s="3">
        <f t="shared" si="28"/>
        <v>4.610056969230196E-2</v>
      </c>
      <c r="G37" s="3">
        <f t="shared" si="28"/>
        <v>4.610056969230196E-2</v>
      </c>
      <c r="H37" s="3">
        <f t="shared" si="28"/>
        <v>4.610056969230196E-2</v>
      </c>
      <c r="I37" s="3">
        <f t="shared" si="28"/>
        <v>4.610056969230196E-2</v>
      </c>
      <c r="J37" s="3">
        <f t="shared" si="28"/>
        <v>4.610056969230196E-2</v>
      </c>
      <c r="K37" s="3">
        <f t="shared" si="28"/>
        <v>4.6100569692301939E-2</v>
      </c>
      <c r="L37" s="3">
        <f t="shared" si="28"/>
        <v>4.6100569692301772E-2</v>
      </c>
      <c r="M37" s="3">
        <f t="shared" si="28"/>
        <v>4.6100569692300114E-2</v>
      </c>
      <c r="N37" s="3">
        <f t="shared" si="28"/>
        <v>4.6100569692283482E-2</v>
      </c>
      <c r="O37" s="3">
        <f t="shared" si="28"/>
        <v>4.6100569692117184E-2</v>
      </c>
      <c r="P37" s="3">
        <f t="shared" si="27"/>
        <v>4.6100569690454195E-2</v>
      </c>
      <c r="Q37" s="3">
        <f t="shared" si="27"/>
        <v>4.6100569673824303E-2</v>
      </c>
      <c r="R37" s="3">
        <f t="shared" si="27"/>
        <v>4.6100569507525418E-2</v>
      </c>
      <c r="S37" s="3">
        <f t="shared" si="27"/>
        <v>4.6100567844536554E-2</v>
      </c>
      <c r="T37" s="3">
        <f t="shared" si="27"/>
        <v>4.6100551214651279E-2</v>
      </c>
      <c r="U37" s="3">
        <f t="shared" si="27"/>
        <v>4.6100384916128431E-2</v>
      </c>
      <c r="V37" s="3">
        <f t="shared" si="27"/>
        <v>4.6098721963893426E-2</v>
      </c>
      <c r="W37" s="3">
        <f t="shared" si="27"/>
        <v>4.6082095740455103E-2</v>
      </c>
      <c r="X37" s="3">
        <f t="shared" si="27"/>
        <v>4.591616295735941E-2</v>
      </c>
      <c r="Y37" s="3">
        <f t="shared" si="27"/>
        <v>4.4289344746001436E-2</v>
      </c>
      <c r="Z37" s="3">
        <f t="shared" si="27"/>
        <v>3.0877058441697757E-2</v>
      </c>
      <c r="AA37" s="3">
        <f t="shared" si="27"/>
        <v>8.3753423369114664E-4</v>
      </c>
      <c r="AB37" s="3">
        <f t="shared" si="27"/>
        <v>1.8057974921611092E-19</v>
      </c>
      <c r="AC37" s="3">
        <f t="shared" si="27"/>
        <v>3.9204310952931126E-176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3.9764774747818442E-2</v>
      </c>
      <c r="C38" s="18">
        <f t="shared" si="3"/>
        <v>2.4069457926978895E-2</v>
      </c>
      <c r="D38" s="17"/>
      <c r="F38" s="3">
        <f t="shared" si="28"/>
        <v>2.4069457926978895E-2</v>
      </c>
      <c r="G38" s="3">
        <f t="shared" si="28"/>
        <v>2.4069457926978895E-2</v>
      </c>
      <c r="H38" s="3">
        <f t="shared" si="28"/>
        <v>2.4069457926978895E-2</v>
      </c>
      <c r="I38" s="3">
        <f t="shared" si="28"/>
        <v>2.4069457926978895E-2</v>
      </c>
      <c r="J38" s="3">
        <f t="shared" si="28"/>
        <v>2.4069457926978895E-2</v>
      </c>
      <c r="K38" s="3">
        <f t="shared" si="28"/>
        <v>2.4069457926978895E-2</v>
      </c>
      <c r="L38" s="3">
        <f t="shared" si="28"/>
        <v>2.4069457926978888E-2</v>
      </c>
      <c r="M38" s="3">
        <f t="shared" si="28"/>
        <v>2.4069457926978809E-2</v>
      </c>
      <c r="N38" s="3">
        <f t="shared" si="28"/>
        <v>2.4069457926978025E-2</v>
      </c>
      <c r="O38" s="3">
        <f t="shared" si="28"/>
        <v>2.4069457926970191E-2</v>
      </c>
      <c r="P38" s="3">
        <f t="shared" si="27"/>
        <v>2.4069457926891868E-2</v>
      </c>
      <c r="Q38" s="3">
        <f t="shared" si="27"/>
        <v>2.4069457926108626E-2</v>
      </c>
      <c r="R38" s="3">
        <f t="shared" si="27"/>
        <v>2.4069457918276208E-2</v>
      </c>
      <c r="S38" s="3">
        <f t="shared" si="27"/>
        <v>2.4069457839952006E-2</v>
      </c>
      <c r="T38" s="3">
        <f t="shared" si="27"/>
        <v>2.4069457056710042E-2</v>
      </c>
      <c r="U38" s="3">
        <f t="shared" si="27"/>
        <v>2.406944922429179E-2</v>
      </c>
      <c r="V38" s="3">
        <f t="shared" si="27"/>
        <v>2.4069370900249437E-2</v>
      </c>
      <c r="W38" s="3">
        <f t="shared" si="27"/>
        <v>2.4068587673843803E-2</v>
      </c>
      <c r="X38" s="3">
        <f t="shared" si="27"/>
        <v>2.4060756811407152E-2</v>
      </c>
      <c r="Y38" s="3">
        <f t="shared" si="27"/>
        <v>2.3982588180401603E-2</v>
      </c>
      <c r="Z38" s="3">
        <f t="shared" si="27"/>
        <v>2.3214734109610332E-2</v>
      </c>
      <c r="AA38" s="3">
        <f t="shared" si="27"/>
        <v>1.6766420434770203E-2</v>
      </c>
      <c r="AB38" s="3">
        <f t="shared" si="27"/>
        <v>6.4745074852846679E-4</v>
      </c>
      <c r="AC38" s="3">
        <f t="shared" si="27"/>
        <v>4.7738699858655451E-18</v>
      </c>
      <c r="AD38" s="3">
        <f t="shared" si="27"/>
        <v>2.2673005023657738E-159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6.9988742817148411E-2</v>
      </c>
      <c r="C39" s="18">
        <f t="shared" si="3"/>
        <v>4.2363904015121308E-2</v>
      </c>
      <c r="D39" s="17"/>
      <c r="F39" s="3">
        <f t="shared" si="28"/>
        <v>4.2363904015121308E-2</v>
      </c>
      <c r="G39" s="3">
        <f t="shared" si="28"/>
        <v>4.2363904015121308E-2</v>
      </c>
      <c r="H39" s="3">
        <f t="shared" si="28"/>
        <v>4.2363904015121308E-2</v>
      </c>
      <c r="I39" s="3">
        <f t="shared" si="28"/>
        <v>4.2363904015121308E-2</v>
      </c>
      <c r="J39" s="3">
        <f t="shared" si="28"/>
        <v>4.2363904015121308E-2</v>
      </c>
      <c r="K39" s="3">
        <f t="shared" si="28"/>
        <v>4.2363904015121308E-2</v>
      </c>
      <c r="L39" s="3">
        <f t="shared" si="28"/>
        <v>4.2363904015121301E-2</v>
      </c>
      <c r="M39" s="3">
        <f t="shared" si="28"/>
        <v>4.2363904015121266E-2</v>
      </c>
      <c r="N39" s="3">
        <f t="shared" si="28"/>
        <v>4.2363904015120885E-2</v>
      </c>
      <c r="O39" s="3">
        <f t="shared" si="28"/>
        <v>4.2363904015117068E-2</v>
      </c>
      <c r="P39" s="3">
        <f t="shared" si="27"/>
        <v>4.2363904015078946E-2</v>
      </c>
      <c r="Q39" s="3">
        <f t="shared" si="27"/>
        <v>4.2363904014697668E-2</v>
      </c>
      <c r="R39" s="3">
        <f t="shared" si="27"/>
        <v>4.2363904010884919E-2</v>
      </c>
      <c r="S39" s="3">
        <f t="shared" si="27"/>
        <v>4.2363903972757404E-2</v>
      </c>
      <c r="T39" s="3">
        <f t="shared" si="27"/>
        <v>4.2363903591482267E-2</v>
      </c>
      <c r="U39" s="3">
        <f t="shared" si="27"/>
        <v>4.2363899778731118E-2</v>
      </c>
      <c r="V39" s="3">
        <f t="shared" si="27"/>
        <v>4.2363861651238476E-2</v>
      </c>
      <c r="W39" s="3">
        <f t="shared" si="27"/>
        <v>4.2363480378199342E-2</v>
      </c>
      <c r="X39" s="3">
        <f t="shared" si="27"/>
        <v>4.2359667836532257E-2</v>
      </c>
      <c r="Y39" s="3">
        <f t="shared" si="27"/>
        <v>4.2321561285999308E-2</v>
      </c>
      <c r="Z39" s="3">
        <f t="shared" si="27"/>
        <v>4.1942376127136569E-2</v>
      </c>
      <c r="AA39" s="3">
        <f t="shared" si="27"/>
        <v>3.8332445526965582E-2</v>
      </c>
      <c r="AB39" s="3">
        <f t="shared" si="27"/>
        <v>1.5584809334923448E-2</v>
      </c>
      <c r="AC39" s="3">
        <f t="shared" si="27"/>
        <v>1.9233182667511576E-6</v>
      </c>
      <c r="AD39" s="3">
        <f t="shared" si="27"/>
        <v>1.5759694157710543E-45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9.1071439498135134E-2</v>
      </c>
      <c r="C40" s="18">
        <f t="shared" si="3"/>
        <v>5.5125175365667731E-2</v>
      </c>
      <c r="D40" s="17"/>
      <c r="F40" s="3">
        <f t="shared" si="28"/>
        <v>5.5125175365667731E-2</v>
      </c>
      <c r="G40" s="3">
        <f t="shared" si="28"/>
        <v>5.5125175365667731E-2</v>
      </c>
      <c r="H40" s="3">
        <f t="shared" si="28"/>
        <v>5.5125175365667731E-2</v>
      </c>
      <c r="I40" s="3">
        <f t="shared" si="28"/>
        <v>5.5125175365667731E-2</v>
      </c>
      <c r="J40" s="3">
        <f t="shared" si="28"/>
        <v>5.5125175365667731E-2</v>
      </c>
      <c r="K40" s="3">
        <f t="shared" si="28"/>
        <v>5.5125175365667731E-2</v>
      </c>
      <c r="L40" s="3">
        <f t="shared" si="28"/>
        <v>5.5125175365667731E-2</v>
      </c>
      <c r="M40" s="3">
        <f t="shared" si="28"/>
        <v>5.5125175365667724E-2</v>
      </c>
      <c r="N40" s="3">
        <f t="shared" si="28"/>
        <v>5.5125175365667675E-2</v>
      </c>
      <c r="O40" s="3">
        <f t="shared" si="28"/>
        <v>5.5125175365667183E-2</v>
      </c>
      <c r="P40" s="3">
        <f t="shared" si="27"/>
        <v>5.5125175365662214E-2</v>
      </c>
      <c r="Q40" s="3">
        <f t="shared" si="27"/>
        <v>5.5125175365612608E-2</v>
      </c>
      <c r="R40" s="3">
        <f t="shared" si="27"/>
        <v>5.5125175365116477E-2</v>
      </c>
      <c r="S40" s="3">
        <f t="shared" si="27"/>
        <v>5.512517536015521E-2</v>
      </c>
      <c r="T40" s="3">
        <f t="shared" si="27"/>
        <v>5.5125175310542555E-2</v>
      </c>
      <c r="U40" s="3">
        <f t="shared" si="27"/>
        <v>5.5125174814415978E-2</v>
      </c>
      <c r="V40" s="3">
        <f t="shared" si="27"/>
        <v>5.5125169853150476E-2</v>
      </c>
      <c r="W40" s="3">
        <f t="shared" si="27"/>
        <v>5.512512024051993E-2</v>
      </c>
      <c r="X40" s="3">
        <f t="shared" si="27"/>
        <v>5.5124624116670323E-2</v>
      </c>
      <c r="Y40" s="3">
        <f t="shared" si="27"/>
        <v>5.5119663123747852E-2</v>
      </c>
      <c r="Z40" s="3">
        <f t="shared" si="27"/>
        <v>5.5070077743704517E-2</v>
      </c>
      <c r="AA40" s="3">
        <f t="shared" si="27"/>
        <v>5.4576670706173072E-2</v>
      </c>
      <c r="AB40" s="3">
        <f t="shared" si="27"/>
        <v>4.9879321346650268E-2</v>
      </c>
      <c r="AC40" s="3">
        <f t="shared" si="27"/>
        <v>2.0279418707999604E-2</v>
      </c>
      <c r="AD40" s="3">
        <f t="shared" si="27"/>
        <v>2.5026790897459752E-6</v>
      </c>
      <c r="AE40" s="3">
        <f t="shared" si="27"/>
        <v>2.0506984055175615E-45</v>
      </c>
      <c r="AF40" s="3">
        <f t="shared" si="29"/>
        <v>0</v>
      </c>
      <c r="AG40" s="3">
        <f t="shared" si="29"/>
        <v>0</v>
      </c>
      <c r="AH40" s="3">
        <f t="shared" si="29"/>
        <v>0</v>
      </c>
      <c r="AI40" s="3">
        <f t="shared" si="29"/>
        <v>0</v>
      </c>
      <c r="AJ40" s="3">
        <f t="shared" si="29"/>
        <v>0</v>
      </c>
    </row>
    <row r="41" spans="1:36" x14ac:dyDescent="0.25">
      <c r="A41" s="3">
        <f t="shared" si="30"/>
        <v>1000000000</v>
      </c>
      <c r="B41" s="106">
        <v>9.3978351018480899E-2</v>
      </c>
      <c r="C41" s="18">
        <f t="shared" si="3"/>
        <v>5.6884717195846243E-2</v>
      </c>
      <c r="D41" s="17"/>
      <c r="F41" s="3">
        <f t="shared" si="28"/>
        <v>5.6884717195846243E-2</v>
      </c>
      <c r="G41" s="3">
        <f t="shared" si="28"/>
        <v>5.6884717195846243E-2</v>
      </c>
      <c r="H41" s="3">
        <f t="shared" si="28"/>
        <v>5.6884717195846243E-2</v>
      </c>
      <c r="I41" s="3">
        <f t="shared" si="28"/>
        <v>5.6884717195846243E-2</v>
      </c>
      <c r="J41" s="3">
        <f t="shared" si="28"/>
        <v>5.6884717195846243E-2</v>
      </c>
      <c r="K41" s="3">
        <f t="shared" si="28"/>
        <v>5.6884717195846243E-2</v>
      </c>
      <c r="L41" s="3">
        <f t="shared" si="28"/>
        <v>5.6884717195846243E-2</v>
      </c>
      <c r="M41" s="3">
        <f t="shared" si="28"/>
        <v>5.6884717195846243E-2</v>
      </c>
      <c r="N41" s="3">
        <f t="shared" si="28"/>
        <v>5.6884717195846236E-2</v>
      </c>
      <c r="O41" s="3">
        <f t="shared" si="28"/>
        <v>5.6884717195846188E-2</v>
      </c>
      <c r="P41" s="3">
        <f t="shared" si="27"/>
        <v>5.6884717195845674E-2</v>
      </c>
      <c r="Q41" s="3">
        <f t="shared" si="27"/>
        <v>5.6884717195840553E-2</v>
      </c>
      <c r="R41" s="3">
        <f t="shared" si="27"/>
        <v>5.6884717195789358E-2</v>
      </c>
      <c r="S41" s="3">
        <f t="shared" si="27"/>
        <v>5.6884717195277393E-2</v>
      </c>
      <c r="T41" s="3">
        <f t="shared" si="27"/>
        <v>5.6884717190157773E-2</v>
      </c>
      <c r="U41" s="3">
        <f t="shared" si="27"/>
        <v>5.6884717138961531E-2</v>
      </c>
      <c r="V41" s="3">
        <f t="shared" si="27"/>
        <v>5.6884716626999073E-2</v>
      </c>
      <c r="W41" s="3">
        <f t="shared" si="27"/>
        <v>5.6884711507374813E-2</v>
      </c>
      <c r="X41" s="3">
        <f t="shared" si="27"/>
        <v>5.6884660311157492E-2</v>
      </c>
      <c r="Y41" s="3">
        <f t="shared" si="27"/>
        <v>5.6884148351518511E-2</v>
      </c>
      <c r="Z41" s="3">
        <f t="shared" si="27"/>
        <v>5.6879029008540763E-2</v>
      </c>
      <c r="AA41" s="3">
        <f t="shared" si="27"/>
        <v>5.6827860911530581E-2</v>
      </c>
      <c r="AB41" s="3">
        <f t="shared" si="27"/>
        <v>5.6318704802616019E-2</v>
      </c>
      <c r="AC41" s="3">
        <f t="shared" si="27"/>
        <v>5.1471420633195264E-2</v>
      </c>
      <c r="AD41" s="3">
        <f t="shared" si="27"/>
        <v>2.0926717973203453E-2</v>
      </c>
      <c r="AE41" s="3">
        <f t="shared" si="27"/>
        <v>2.5825621652502338E-6</v>
      </c>
      <c r="AF41" s="3">
        <f t="shared" si="29"/>
        <v>2.1161546984300697E-45</v>
      </c>
      <c r="AG41" s="3">
        <f t="shared" si="29"/>
        <v>0</v>
      </c>
      <c r="AH41" s="3">
        <f t="shared" si="29"/>
        <v>0</v>
      </c>
      <c r="AI41" s="3">
        <f t="shared" si="29"/>
        <v>0</v>
      </c>
      <c r="AJ41" s="3">
        <f t="shared" si="29"/>
        <v>0</v>
      </c>
    </row>
    <row r="42" spans="1:36" x14ac:dyDescent="0.25">
      <c r="A42" s="3">
        <f t="shared" si="30"/>
        <v>10000000000</v>
      </c>
      <c r="B42" s="106">
        <v>9.0123424600533825E-2</v>
      </c>
      <c r="C42" s="18">
        <f t="shared" si="3"/>
        <v>5.455134576807355E-2</v>
      </c>
      <c r="D42" s="17"/>
      <c r="F42" s="3">
        <f t="shared" si="28"/>
        <v>5.455134576807355E-2</v>
      </c>
      <c r="G42" s="3">
        <f t="shared" si="28"/>
        <v>5.455134576807355E-2</v>
      </c>
      <c r="H42" s="3">
        <f t="shared" si="28"/>
        <v>5.455134576807355E-2</v>
      </c>
      <c r="I42" s="3">
        <f t="shared" si="28"/>
        <v>5.455134576807355E-2</v>
      </c>
      <c r="J42" s="3">
        <f t="shared" si="28"/>
        <v>5.455134576807355E-2</v>
      </c>
      <c r="K42" s="3">
        <f t="shared" si="28"/>
        <v>5.455134576807355E-2</v>
      </c>
      <c r="L42" s="3">
        <f t="shared" si="28"/>
        <v>5.455134576807355E-2</v>
      </c>
      <c r="M42" s="3">
        <f t="shared" si="28"/>
        <v>5.455134576807355E-2</v>
      </c>
      <c r="N42" s="3">
        <f t="shared" si="28"/>
        <v>5.455134576807355E-2</v>
      </c>
      <c r="O42" s="3">
        <f t="shared" si="28"/>
        <v>5.4551345768073543E-2</v>
      </c>
      <c r="P42" s="3">
        <f t="shared" si="27"/>
        <v>5.4551345768073495E-2</v>
      </c>
      <c r="Q42" s="3">
        <f t="shared" si="27"/>
        <v>5.4551345768073002E-2</v>
      </c>
      <c r="R42" s="3">
        <f t="shared" si="27"/>
        <v>5.4551345768068096E-2</v>
      </c>
      <c r="S42" s="3">
        <f t="shared" si="27"/>
        <v>5.4551345768018997E-2</v>
      </c>
      <c r="T42" s="3">
        <f t="shared" si="27"/>
        <v>5.4551345767528035E-2</v>
      </c>
      <c r="U42" s="3">
        <f t="shared" si="27"/>
        <v>5.4551345762618414E-2</v>
      </c>
      <c r="V42" s="3">
        <f t="shared" si="27"/>
        <v>5.4551345713522208E-2</v>
      </c>
      <c r="W42" s="3">
        <f t="shared" si="27"/>
        <v>5.4551345222560096E-2</v>
      </c>
      <c r="X42" s="3">
        <f t="shared" si="27"/>
        <v>5.4551340312939248E-2</v>
      </c>
      <c r="Y42" s="3">
        <f t="shared" si="27"/>
        <v>5.455129121675506E-2</v>
      </c>
      <c r="Z42" s="3">
        <f t="shared" si="27"/>
        <v>5.4550800257343428E-2</v>
      </c>
      <c r="AA42" s="3">
        <f t="shared" si="27"/>
        <v>5.4545890906244378E-2</v>
      </c>
      <c r="AB42" s="3">
        <f t="shared" si="27"/>
        <v>5.4496821688888746E-2</v>
      </c>
      <c r="AC42" s="3">
        <f t="shared" si="27"/>
        <v>5.4008550808474602E-2</v>
      </c>
      <c r="AD42" s="3">
        <f t="shared" si="27"/>
        <v>4.9360098855170537E-2</v>
      </c>
      <c r="AE42" s="3">
        <f t="shared" si="27"/>
        <v>2.0068318596309025E-2</v>
      </c>
      <c r="AF42" s="3">
        <f t="shared" si="29"/>
        <v>2.4766272663195645E-6</v>
      </c>
      <c r="AG42" s="3">
        <f t="shared" si="29"/>
        <v>2.0293515085141632E-45</v>
      </c>
      <c r="AH42" s="3">
        <f t="shared" si="29"/>
        <v>0</v>
      </c>
      <c r="AI42" s="3">
        <f t="shared" si="29"/>
        <v>0</v>
      </c>
      <c r="AJ42" s="3">
        <f t="shared" si="29"/>
        <v>0</v>
      </c>
    </row>
    <row r="43" spans="1:36" x14ac:dyDescent="0.25">
      <c r="A43" s="3">
        <f t="shared" si="30"/>
        <v>100000000000</v>
      </c>
      <c r="B43" s="106">
        <v>6.1212267550001795E-2</v>
      </c>
      <c r="C43" s="18">
        <f t="shared" si="3"/>
        <v>3.7051538899778975E-2</v>
      </c>
      <c r="D43" s="17"/>
      <c r="F43" s="3">
        <f t="shared" si="28"/>
        <v>3.7051538899778975E-2</v>
      </c>
      <c r="G43" s="3">
        <f t="shared" si="28"/>
        <v>3.7051538899778975E-2</v>
      </c>
      <c r="H43" s="3">
        <f t="shared" si="28"/>
        <v>3.7051538899778975E-2</v>
      </c>
      <c r="I43" s="3">
        <f t="shared" si="28"/>
        <v>3.7051538899778975E-2</v>
      </c>
      <c r="J43" s="3">
        <f t="shared" si="28"/>
        <v>3.7051538899778975E-2</v>
      </c>
      <c r="K43" s="3">
        <f t="shared" si="28"/>
        <v>3.7051538899778975E-2</v>
      </c>
      <c r="L43" s="3">
        <f t="shared" si="28"/>
        <v>3.7051538899778975E-2</v>
      </c>
      <c r="M43" s="3">
        <f t="shared" si="28"/>
        <v>3.7051538899778975E-2</v>
      </c>
      <c r="N43" s="3">
        <f t="shared" si="28"/>
        <v>3.7051538899778975E-2</v>
      </c>
      <c r="O43" s="3">
        <f t="shared" si="28"/>
        <v>3.7051538899778975E-2</v>
      </c>
      <c r="P43" s="3">
        <f t="shared" si="27"/>
        <v>3.7051538899778969E-2</v>
      </c>
      <c r="Q43" s="3">
        <f t="shared" si="27"/>
        <v>3.7051538899778941E-2</v>
      </c>
      <c r="R43" s="3">
        <f t="shared" si="27"/>
        <v>3.7051538899778608E-2</v>
      </c>
      <c r="S43" s="3">
        <f t="shared" si="27"/>
        <v>3.705153889977527E-2</v>
      </c>
      <c r="T43" s="3">
        <f t="shared" si="27"/>
        <v>3.7051538899741922E-2</v>
      </c>
      <c r="U43" s="3">
        <f t="shared" si="27"/>
        <v>3.7051538899408459E-2</v>
      </c>
      <c r="V43" s="3">
        <f t="shared" si="27"/>
        <v>3.7051538896073821E-2</v>
      </c>
      <c r="W43" s="3">
        <f t="shared" si="27"/>
        <v>3.705153886272744E-2</v>
      </c>
      <c r="X43" s="3">
        <f t="shared" si="27"/>
        <v>3.7051538529263586E-2</v>
      </c>
      <c r="Y43" s="3">
        <f t="shared" si="27"/>
        <v>3.7051535194625271E-2</v>
      </c>
      <c r="Z43" s="3">
        <f t="shared" si="27"/>
        <v>3.7051501848258603E-2</v>
      </c>
      <c r="AA43" s="3">
        <f t="shared" si="27"/>
        <v>3.7051168386242547E-2</v>
      </c>
      <c r="AB43" s="3">
        <f t="shared" si="27"/>
        <v>3.7047833931140514E-2</v>
      </c>
      <c r="AC43" s="3">
        <f t="shared" si="27"/>
        <v>3.7014505880474932E-2</v>
      </c>
      <c r="AD43" s="3">
        <f t="shared" si="27"/>
        <v>3.6682869927877011E-2</v>
      </c>
      <c r="AE43" s="3">
        <f t="shared" si="27"/>
        <v>3.3525618792334927E-2</v>
      </c>
      <c r="AF43" s="3">
        <f t="shared" si="29"/>
        <v>1.3630499424992646E-2</v>
      </c>
      <c r="AG43" s="3">
        <f t="shared" si="29"/>
        <v>1.6821372636419408E-6</v>
      </c>
      <c r="AH43" s="3">
        <f t="shared" si="29"/>
        <v>1.3783453973566925E-45</v>
      </c>
      <c r="AI43" s="3">
        <f t="shared" si="29"/>
        <v>0</v>
      </c>
      <c r="AJ43" s="3">
        <f t="shared" si="29"/>
        <v>0</v>
      </c>
    </row>
    <row r="44" spans="1:36" x14ac:dyDescent="0.25">
      <c r="A44" s="3">
        <f t="shared" si="30"/>
        <v>1000000000000</v>
      </c>
      <c r="B44" s="106">
        <v>3.8912142024149797E-2</v>
      </c>
      <c r="C44" s="18">
        <f t="shared" si="3"/>
        <v>2.3553362774933962E-2</v>
      </c>
      <c r="D44" s="17"/>
      <c r="F44" s="3">
        <f t="shared" si="28"/>
        <v>2.3553362774933962E-2</v>
      </c>
      <c r="G44" s="3">
        <f t="shared" si="28"/>
        <v>2.3553362774933962E-2</v>
      </c>
      <c r="H44" s="3">
        <f t="shared" si="28"/>
        <v>2.3553362774933962E-2</v>
      </c>
      <c r="I44" s="3">
        <f t="shared" si="28"/>
        <v>2.3553362774933962E-2</v>
      </c>
      <c r="J44" s="3">
        <f t="shared" si="28"/>
        <v>2.3553362774933962E-2</v>
      </c>
      <c r="K44" s="3">
        <f t="shared" si="28"/>
        <v>2.3553362774933962E-2</v>
      </c>
      <c r="L44" s="3">
        <f t="shared" si="28"/>
        <v>2.3553362774933962E-2</v>
      </c>
      <c r="M44" s="3">
        <f t="shared" si="28"/>
        <v>2.3553362774933962E-2</v>
      </c>
      <c r="N44" s="3">
        <f t="shared" si="28"/>
        <v>2.3553362774933962E-2</v>
      </c>
      <c r="O44" s="3">
        <f t="shared" si="28"/>
        <v>2.3553362774933962E-2</v>
      </c>
      <c r="P44" s="3">
        <f t="shared" si="27"/>
        <v>2.3553362774933962E-2</v>
      </c>
      <c r="Q44" s="3">
        <f t="shared" si="27"/>
        <v>2.3553362774933959E-2</v>
      </c>
      <c r="R44" s="3">
        <f t="shared" si="27"/>
        <v>2.3553362774933938E-2</v>
      </c>
      <c r="S44" s="3">
        <f t="shared" si="27"/>
        <v>2.3553362774933726E-2</v>
      </c>
      <c r="T44" s="3">
        <f t="shared" si="27"/>
        <v>2.3553362774931606E-2</v>
      </c>
      <c r="U44" s="3">
        <f t="shared" si="27"/>
        <v>2.3553362774910408E-2</v>
      </c>
      <c r="V44" s="3">
        <f t="shared" si="27"/>
        <v>2.3553362774698428E-2</v>
      </c>
      <c r="W44" s="3">
        <f t="shared" si="27"/>
        <v>2.3553362772578624E-2</v>
      </c>
      <c r="X44" s="3">
        <f t="shared" si="27"/>
        <v>2.3553362751380601E-2</v>
      </c>
      <c r="Y44" s="3">
        <f t="shared" si="27"/>
        <v>2.3553362539400335E-2</v>
      </c>
      <c r="Z44" s="3">
        <f t="shared" si="27"/>
        <v>2.3553360419597803E-2</v>
      </c>
      <c r="AA44" s="3">
        <f t="shared" si="27"/>
        <v>2.3553339221582963E-2</v>
      </c>
      <c r="AB44" s="3">
        <f t="shared" si="27"/>
        <v>2.3553127242483877E-2</v>
      </c>
      <c r="AC44" s="3">
        <f t="shared" si="27"/>
        <v>2.3551007556419357E-2</v>
      </c>
      <c r="AD44" s="3">
        <f t="shared" si="27"/>
        <v>2.3529821184915835E-2</v>
      </c>
      <c r="AE44" s="3">
        <f t="shared" si="27"/>
        <v>2.3319002899557215E-2</v>
      </c>
      <c r="AF44" s="3">
        <f t="shared" si="29"/>
        <v>2.1311963959335527E-2</v>
      </c>
      <c r="AG44" s="3">
        <f t="shared" si="29"/>
        <v>8.6647979353509583E-3</v>
      </c>
      <c r="AH44" s="3">
        <f t="shared" si="29"/>
        <v>1.0693210156523271E-6</v>
      </c>
      <c r="AI44" s="3">
        <f t="shared" si="29"/>
        <v>8.7620299013535285E-46</v>
      </c>
      <c r="AJ44" s="3">
        <f t="shared" si="29"/>
        <v>0</v>
      </c>
    </row>
    <row r="45" spans="1:36" x14ac:dyDescent="0.25">
      <c r="A45" s="3">
        <f t="shared" si="30"/>
        <v>10000000000000</v>
      </c>
      <c r="B45" s="106">
        <v>1.4728883043840207E-2</v>
      </c>
      <c r="C45" s="18">
        <f t="shared" si="3"/>
        <v>8.915333557989135E-3</v>
      </c>
      <c r="D45" s="17"/>
      <c r="F45" s="3">
        <f t="shared" si="28"/>
        <v>8.915333557989135E-3</v>
      </c>
      <c r="G45" s="3">
        <f t="shared" si="28"/>
        <v>8.915333557989135E-3</v>
      </c>
      <c r="H45" s="3">
        <f t="shared" si="28"/>
        <v>8.915333557989135E-3</v>
      </c>
      <c r="I45" s="3">
        <f t="shared" si="28"/>
        <v>8.915333557989135E-3</v>
      </c>
      <c r="J45" s="3">
        <f t="shared" si="28"/>
        <v>8.915333557989135E-3</v>
      </c>
      <c r="K45" s="3">
        <f t="shared" si="28"/>
        <v>8.915333557989135E-3</v>
      </c>
      <c r="L45" s="3">
        <f t="shared" si="28"/>
        <v>8.915333557989135E-3</v>
      </c>
      <c r="M45" s="3">
        <f t="shared" si="28"/>
        <v>8.915333557989135E-3</v>
      </c>
      <c r="N45" s="3">
        <f t="shared" si="28"/>
        <v>8.915333557989135E-3</v>
      </c>
      <c r="O45" s="3">
        <f t="shared" si="28"/>
        <v>8.915333557989135E-3</v>
      </c>
      <c r="P45" s="3">
        <f t="shared" si="27"/>
        <v>8.915333557989135E-3</v>
      </c>
      <c r="Q45" s="3">
        <f t="shared" si="27"/>
        <v>8.915333557989135E-3</v>
      </c>
      <c r="R45" s="3">
        <f t="shared" si="27"/>
        <v>8.9153335579891333E-3</v>
      </c>
      <c r="S45" s="3">
        <f t="shared" si="27"/>
        <v>8.9153335579891264E-3</v>
      </c>
      <c r="T45" s="3">
        <f t="shared" si="27"/>
        <v>8.9153335579890466E-3</v>
      </c>
      <c r="U45" s="3">
        <f t="shared" si="27"/>
        <v>8.9153335579882434E-3</v>
      </c>
      <c r="V45" s="3">
        <f t="shared" si="27"/>
        <v>8.9153335579802203E-3</v>
      </c>
      <c r="W45" s="3">
        <f t="shared" si="27"/>
        <v>8.9153335578999824E-3</v>
      </c>
      <c r="X45" s="3">
        <f t="shared" si="27"/>
        <v>8.9153335570976017E-3</v>
      </c>
      <c r="Y45" s="3">
        <f t="shared" si="27"/>
        <v>8.9153335490738013E-3</v>
      </c>
      <c r="Z45" s="3">
        <f t="shared" si="27"/>
        <v>8.9153334688357993E-3</v>
      </c>
      <c r="AA45" s="3">
        <f t="shared" si="27"/>
        <v>8.9153326664558243E-3</v>
      </c>
      <c r="AB45" s="3">
        <f t="shared" si="27"/>
        <v>8.9153246426600351E-3</v>
      </c>
      <c r="AC45" s="3">
        <f t="shared" si="27"/>
        <v>8.9152444050993197E-3</v>
      </c>
      <c r="AD45" s="3">
        <f t="shared" si="27"/>
        <v>8.9144420692085172E-3</v>
      </c>
      <c r="AE45" s="3">
        <f t="shared" si="27"/>
        <v>8.9064226806124074E-3</v>
      </c>
      <c r="AF45" s="3">
        <f t="shared" si="29"/>
        <v>8.8266245069055227E-3</v>
      </c>
      <c r="AG45" s="3">
        <f t="shared" si="29"/>
        <v>8.0669273975402331E-3</v>
      </c>
      <c r="AH45" s="3">
        <f t="shared" si="29"/>
        <v>3.2797679271700498E-3</v>
      </c>
      <c r="AI45" s="3">
        <f t="shared" si="29"/>
        <v>4.0475551734183092E-7</v>
      </c>
      <c r="AJ45" s="3">
        <f t="shared" si="29"/>
        <v>3.3165718187287745E-46</v>
      </c>
    </row>
    <row r="46" spans="1:36" x14ac:dyDescent="0.25">
      <c r="A46" s="3">
        <f t="shared" si="30"/>
        <v>100000000000000</v>
      </c>
      <c r="B46" s="106">
        <v>1.0991430170247708E-2</v>
      </c>
      <c r="C46" s="18">
        <f t="shared" si="3"/>
        <v>6.6530683932672779E-3</v>
      </c>
      <c r="D46" s="17"/>
      <c r="F46" s="3">
        <f t="shared" si="28"/>
        <v>6.6530683932672779E-3</v>
      </c>
      <c r="G46" s="3">
        <f t="shared" si="28"/>
        <v>6.6530683932672779E-3</v>
      </c>
      <c r="H46" s="3">
        <f t="shared" si="28"/>
        <v>6.6530683932672779E-3</v>
      </c>
      <c r="I46" s="3">
        <f t="shared" si="28"/>
        <v>6.6530683932672779E-3</v>
      </c>
      <c r="J46" s="3">
        <f t="shared" si="28"/>
        <v>6.6530683932672779E-3</v>
      </c>
      <c r="K46" s="3">
        <f t="shared" si="28"/>
        <v>6.6530683932672779E-3</v>
      </c>
      <c r="L46" s="3">
        <f t="shared" si="28"/>
        <v>6.6530683932672779E-3</v>
      </c>
      <c r="M46" s="3">
        <f t="shared" si="28"/>
        <v>6.6530683932672779E-3</v>
      </c>
      <c r="N46" s="3">
        <f t="shared" si="28"/>
        <v>6.6530683932672779E-3</v>
      </c>
      <c r="O46" s="3">
        <f t="shared" si="28"/>
        <v>6.6530683932672779E-3</v>
      </c>
      <c r="P46" s="3">
        <f t="shared" si="27"/>
        <v>6.6530683932672779E-3</v>
      </c>
      <c r="Q46" s="3">
        <f t="shared" si="27"/>
        <v>6.6530683932672779E-3</v>
      </c>
      <c r="R46" s="3">
        <f t="shared" si="27"/>
        <v>6.6530683932672779E-3</v>
      </c>
      <c r="S46" s="3">
        <f t="shared" si="27"/>
        <v>6.6530683932672771E-3</v>
      </c>
      <c r="T46" s="3">
        <f t="shared" si="27"/>
        <v>6.653068393267271E-3</v>
      </c>
      <c r="U46" s="3">
        <f t="shared" si="27"/>
        <v>6.6530683932672112E-3</v>
      </c>
      <c r="V46" s="3">
        <f t="shared" si="27"/>
        <v>6.6530683932666127E-3</v>
      </c>
      <c r="W46" s="3">
        <f t="shared" si="27"/>
        <v>6.6530683932606253E-3</v>
      </c>
      <c r="X46" s="3">
        <f t="shared" si="27"/>
        <v>6.653068393200747E-3</v>
      </c>
      <c r="Y46" s="3">
        <f t="shared" si="27"/>
        <v>6.6530683926019707E-3</v>
      </c>
      <c r="Z46" s="3">
        <f t="shared" si="27"/>
        <v>6.6530683866142101E-3</v>
      </c>
      <c r="AA46" s="3">
        <f t="shared" si="27"/>
        <v>6.6530683267365942E-3</v>
      </c>
      <c r="AB46" s="3">
        <f t="shared" si="27"/>
        <v>6.6530677279604726E-3</v>
      </c>
      <c r="AC46" s="3">
        <f t="shared" si="27"/>
        <v>6.6530617402022112E-3</v>
      </c>
      <c r="AD46" s="3">
        <f t="shared" si="27"/>
        <v>6.6530018629159977E-3</v>
      </c>
      <c r="AE46" s="3">
        <f t="shared" si="27"/>
        <v>6.6524031196921844E-3</v>
      </c>
      <c r="AF46" s="3">
        <f t="shared" si="29"/>
        <v>6.6464186502996399E-3</v>
      </c>
      <c r="AG46" s="3">
        <f t="shared" si="29"/>
        <v>6.5868692566761139E-3</v>
      </c>
      <c r="AH46" s="3">
        <f t="shared" si="29"/>
        <v>6.0199452269806136E-3</v>
      </c>
      <c r="AI46" s="3">
        <f t="shared" si="29"/>
        <v>2.4475270825905521E-3</v>
      </c>
      <c r="AJ46" s="3">
        <f t="shared" si="29"/>
        <v>3.0204883775934238E-7</v>
      </c>
    </row>
    <row r="47" spans="1:36" x14ac:dyDescent="0.25">
      <c r="A47" s="3">
        <f t="shared" si="30"/>
        <v>1000000000000000</v>
      </c>
      <c r="B47" s="106">
        <v>1.0650230685023696E-3</v>
      </c>
      <c r="C47" s="18">
        <f t="shared" si="3"/>
        <v>6.4465417196877487E-4</v>
      </c>
      <c r="D47" s="17"/>
      <c r="F47" s="3">
        <f t="shared" si="28"/>
        <v>6.4465417196877487E-4</v>
      </c>
      <c r="G47" s="3">
        <f t="shared" si="28"/>
        <v>6.4465417196877487E-4</v>
      </c>
      <c r="H47" s="3">
        <f t="shared" si="28"/>
        <v>6.4465417196877487E-4</v>
      </c>
      <c r="I47" s="3">
        <f t="shared" si="28"/>
        <v>6.4465417196877487E-4</v>
      </c>
      <c r="J47" s="3">
        <f t="shared" si="28"/>
        <v>6.4465417196877487E-4</v>
      </c>
      <c r="K47" s="3">
        <f t="shared" si="28"/>
        <v>6.4465417196877487E-4</v>
      </c>
      <c r="L47" s="3">
        <f t="shared" si="28"/>
        <v>6.4465417196877487E-4</v>
      </c>
      <c r="M47" s="3">
        <f t="shared" si="28"/>
        <v>6.4465417196877487E-4</v>
      </c>
      <c r="N47" s="3">
        <f t="shared" si="28"/>
        <v>6.4465417196877487E-4</v>
      </c>
      <c r="O47" s="3">
        <f t="shared" si="28"/>
        <v>6.4465417196877487E-4</v>
      </c>
      <c r="P47" s="3">
        <f t="shared" si="27"/>
        <v>6.4465417196877487E-4</v>
      </c>
      <c r="Q47" s="3">
        <f t="shared" si="27"/>
        <v>6.4465417196877487E-4</v>
      </c>
      <c r="R47" s="3">
        <f t="shared" si="27"/>
        <v>6.4465417196877487E-4</v>
      </c>
      <c r="S47" s="3">
        <f t="shared" si="27"/>
        <v>6.4465417196877487E-4</v>
      </c>
      <c r="T47" s="3">
        <f t="shared" si="27"/>
        <v>6.4465417196877476E-4</v>
      </c>
      <c r="U47" s="3">
        <f t="shared" si="27"/>
        <v>6.4465417196877422E-4</v>
      </c>
      <c r="V47" s="3">
        <f t="shared" si="27"/>
        <v>6.4465417196876847E-4</v>
      </c>
      <c r="W47" s="3">
        <f t="shared" si="27"/>
        <v>6.4465417196871036E-4</v>
      </c>
      <c r="X47" s="3">
        <f t="shared" si="27"/>
        <v>6.446541719681302E-4</v>
      </c>
      <c r="Y47" s="3">
        <f t="shared" si="27"/>
        <v>6.4465417196232831E-4</v>
      </c>
      <c r="Z47" s="3">
        <f t="shared" si="27"/>
        <v>6.446541719043094E-4</v>
      </c>
      <c r="AA47" s="3">
        <f t="shared" si="27"/>
        <v>6.4465417132412073E-4</v>
      </c>
      <c r="AB47" s="3">
        <f t="shared" si="27"/>
        <v>6.4465416552223322E-4</v>
      </c>
      <c r="AC47" s="3">
        <f t="shared" si="27"/>
        <v>6.4465410750336096E-4</v>
      </c>
      <c r="AD47" s="3">
        <f t="shared" si="27"/>
        <v>6.4465352731492525E-4</v>
      </c>
      <c r="AE47" s="3">
        <f t="shared" si="27"/>
        <v>6.4464772545928773E-4</v>
      </c>
      <c r="AF47" s="3">
        <f t="shared" si="29"/>
        <v>6.4458970977474136E-4</v>
      </c>
      <c r="AG47" s="3">
        <f t="shared" si="29"/>
        <v>6.4400984001647659E-4</v>
      </c>
      <c r="AH47" s="3">
        <f t="shared" si="29"/>
        <v>6.382397557833932E-4</v>
      </c>
      <c r="AI47" s="3">
        <f t="shared" si="29"/>
        <v>5.8330721649033567E-4</v>
      </c>
      <c r="AJ47" s="3">
        <f t="shared" si="29"/>
        <v>2.3715501653271179E-4</v>
      </c>
    </row>
    <row r="48" spans="1:36" x14ac:dyDescent="0.25">
      <c r="A48" s="3">
        <f t="shared" si="30"/>
        <v>1E+16</v>
      </c>
      <c r="B48" s="106">
        <v>1.2893649356078347E-2</v>
      </c>
      <c r="C48" s="18">
        <f t="shared" si="3"/>
        <v>7.8044740016632993E-3</v>
      </c>
      <c r="D48" s="17"/>
      <c r="F48" s="3">
        <f t="shared" si="28"/>
        <v>7.8044740016632993E-3</v>
      </c>
      <c r="G48" s="3">
        <f t="shared" si="28"/>
        <v>7.8044740016632993E-3</v>
      </c>
      <c r="H48" s="3">
        <f t="shared" si="28"/>
        <v>7.8044740016632993E-3</v>
      </c>
      <c r="I48" s="3">
        <f t="shared" si="28"/>
        <v>7.8044740016632993E-3</v>
      </c>
      <c r="J48" s="3">
        <f t="shared" si="28"/>
        <v>7.8044740016632993E-3</v>
      </c>
      <c r="K48" s="3">
        <f t="shared" si="28"/>
        <v>7.8044740016632993E-3</v>
      </c>
      <c r="L48" s="3">
        <f t="shared" si="28"/>
        <v>7.8044740016632993E-3</v>
      </c>
      <c r="M48" s="3">
        <f t="shared" si="28"/>
        <v>7.8044740016632993E-3</v>
      </c>
      <c r="N48" s="3">
        <f t="shared" si="28"/>
        <v>7.8044740016632993E-3</v>
      </c>
      <c r="O48" s="3">
        <f t="shared" si="28"/>
        <v>7.8044740016632993E-3</v>
      </c>
      <c r="P48" s="3">
        <f t="shared" si="27"/>
        <v>7.8044740016632993E-3</v>
      </c>
      <c r="Q48" s="3">
        <f t="shared" si="27"/>
        <v>7.8044740016632993E-3</v>
      </c>
      <c r="R48" s="3">
        <f t="shared" si="27"/>
        <v>7.8044740016632993E-3</v>
      </c>
      <c r="S48" s="3">
        <f t="shared" si="27"/>
        <v>7.8044740016632993E-3</v>
      </c>
      <c r="T48" s="3">
        <f t="shared" si="27"/>
        <v>7.8044740016632993E-3</v>
      </c>
      <c r="U48" s="3">
        <f t="shared" si="27"/>
        <v>7.8044740016632985E-3</v>
      </c>
      <c r="V48" s="3">
        <f t="shared" si="27"/>
        <v>7.8044740016632915E-3</v>
      </c>
      <c r="W48" s="3">
        <f t="shared" si="27"/>
        <v>7.8044740016632213E-3</v>
      </c>
      <c r="X48" s="3">
        <f t="shared" si="27"/>
        <v>7.8044740016625187E-3</v>
      </c>
      <c r="Y48" s="3">
        <f t="shared" si="27"/>
        <v>7.8044740016554948E-3</v>
      </c>
      <c r="Z48" s="3">
        <f t="shared" si="27"/>
        <v>7.804474001585255E-3</v>
      </c>
      <c r="AA48" s="3">
        <f t="shared" si="27"/>
        <v>7.8044740008828516E-3</v>
      </c>
      <c r="AB48" s="3">
        <f t="shared" si="27"/>
        <v>7.8044739938588252E-3</v>
      </c>
      <c r="AC48" s="3">
        <f t="shared" si="27"/>
        <v>7.8044739236185594E-3</v>
      </c>
      <c r="AD48" s="3">
        <f t="shared" si="27"/>
        <v>7.8044732212159389E-3</v>
      </c>
      <c r="AE48" s="3">
        <f t="shared" si="27"/>
        <v>7.8044661971931996E-3</v>
      </c>
      <c r="AF48" s="3">
        <f t="shared" si="29"/>
        <v>7.8043959573135049E-3</v>
      </c>
      <c r="AG48" s="3">
        <f t="shared" si="29"/>
        <v>7.8036935932842026E-3</v>
      </c>
      <c r="AH48" s="3">
        <f t="shared" si="29"/>
        <v>7.7966734285982164E-3</v>
      </c>
      <c r="AI48" s="3">
        <f t="shared" si="29"/>
        <v>7.7268181878464544E-3</v>
      </c>
      <c r="AJ48" s="3">
        <f t="shared" si="29"/>
        <v>7.0617801047937927E-3</v>
      </c>
    </row>
    <row r="49" spans="1:36" x14ac:dyDescent="0.25">
      <c r="B49" s="16">
        <f>SUM(B17:B48)</f>
        <v>1.6520843497371427</v>
      </c>
      <c r="C49" s="18">
        <f>SUM(C17:C48)</f>
        <v>1.0000000000000004</v>
      </c>
      <c r="F49" s="3">
        <f t="shared" ref="F49:AJ49" si="31">F16-F17</f>
        <v>60.760676549328309</v>
      </c>
      <c r="G49" s="3">
        <f t="shared" si="31"/>
        <v>-78.594814270721145</v>
      </c>
      <c r="H49" s="3">
        <f t="shared" si="31"/>
        <v>20.803742147112644</v>
      </c>
      <c r="I49" s="3">
        <f t="shared" si="31"/>
        <v>-3.387377088733956</v>
      </c>
      <c r="J49" s="3">
        <f t="shared" si="31"/>
        <v>0.46719572688562039</v>
      </c>
      <c r="K49" s="3">
        <f t="shared" si="31"/>
        <v>-6.0117367473139893E-2</v>
      </c>
      <c r="L49" s="3">
        <f t="shared" si="31"/>
        <v>1.388798319385387E-2</v>
      </c>
      <c r="M49" s="3">
        <f t="shared" si="31"/>
        <v>-1.5861045922974881E-2</v>
      </c>
      <c r="N49" s="3">
        <f t="shared" si="31"/>
        <v>3.9858411620116385E-2</v>
      </c>
      <c r="O49" s="3">
        <f t="shared" si="31"/>
        <v>-8.1218502622505184E-2</v>
      </c>
      <c r="P49" s="3">
        <f t="shared" si="31"/>
        <v>0.13394092991438811</v>
      </c>
      <c r="Q49" s="3">
        <f t="shared" si="31"/>
        <v>-0.19872257841734609</v>
      </c>
      <c r="R49" s="3">
        <f t="shared" si="31"/>
        <v>0.2479685408216028</v>
      </c>
      <c r="S49" s="3">
        <f t="shared" si="31"/>
        <v>-0.2572319687997151</v>
      </c>
      <c r="T49" s="3">
        <f t="shared" si="31"/>
        <v>0.23387579502059452</v>
      </c>
      <c r="U49" s="3">
        <f t="shared" si="31"/>
        <v>-0.18124326278802982</v>
      </c>
      <c r="V49" s="3">
        <f t="shared" si="31"/>
        <v>0.11840343149970067</v>
      </c>
      <c r="W49" s="3">
        <f t="shared" si="31"/>
        <v>-7.0093493451622635E-2</v>
      </c>
      <c r="X49" s="3">
        <f t="shared" si="31"/>
        <v>3.4471274506358895E-2</v>
      </c>
      <c r="Y49" s="3">
        <f t="shared" si="31"/>
        <v>-1.5304913513773499E-2</v>
      </c>
      <c r="Z49" s="3">
        <f t="shared" si="31"/>
        <v>8.1120000454575347E-3</v>
      </c>
      <c r="AA49" s="3">
        <f t="shared" si="31"/>
        <v>1.6103995783396385E-3</v>
      </c>
      <c r="AB49" s="3">
        <f t="shared" si="31"/>
        <v>-3.7315865722575836E-3</v>
      </c>
      <c r="AC49" s="3">
        <f t="shared" si="31"/>
        <v>-7.732950048193743E-4</v>
      </c>
      <c r="AD49" s="3">
        <f t="shared" si="31"/>
        <v>-1.9079998255620012E-3</v>
      </c>
      <c r="AE49" s="3">
        <f t="shared" si="31"/>
        <v>2.0155575806484194E-3</v>
      </c>
      <c r="AF49" s="3">
        <f t="shared" si="31"/>
        <v>1.377055726720755E-3</v>
      </c>
      <c r="AG49" s="3">
        <f t="shared" si="31"/>
        <v>3.0399129684610671E-5</v>
      </c>
      <c r="AH49" s="3">
        <f t="shared" si="31"/>
        <v>1.5723146321988679E-4</v>
      </c>
      <c r="AI49" s="3">
        <f t="shared" si="31"/>
        <v>1.6217767906141489E-3</v>
      </c>
      <c r="AJ49" s="3">
        <f t="shared" si="31"/>
        <v>-4.0803351961358203E-3</v>
      </c>
    </row>
    <row r="50" spans="1:36" x14ac:dyDescent="0.25">
      <c r="F50" s="57">
        <f t="shared" ref="F50:AJ50" si="32">F49/F17</f>
        <v>1.1086554041772797E-2</v>
      </c>
      <c r="G50" s="57">
        <f t="shared" si="32"/>
        <v>-1.4496111567516195E-2</v>
      </c>
      <c r="H50" s="57">
        <f t="shared" si="32"/>
        <v>3.9932851576303984E-3</v>
      </c>
      <c r="I50" s="57">
        <f t="shared" si="32"/>
        <v>-6.6114100626033499E-4</v>
      </c>
      <c r="J50" s="57">
        <f t="shared" si="32"/>
        <v>9.3479476349702742E-5</v>
      </c>
      <c r="K50" s="57">
        <f t="shared" si="32"/>
        <v>-1.234861219805458E-5</v>
      </c>
      <c r="L50" s="57">
        <f t="shared" si="32"/>
        <v>2.9406694140745519E-6</v>
      </c>
      <c r="M50" s="57">
        <f t="shared" si="32"/>
        <v>-3.4733632161736592E-6</v>
      </c>
      <c r="N50" s="57">
        <f t="shared" si="32"/>
        <v>9.0414793396840988E-6</v>
      </c>
      <c r="O50" s="57">
        <f t="shared" si="32"/>
        <v>-1.9082033053281627E-5</v>
      </c>
      <c r="P50" s="57">
        <f t="shared" si="32"/>
        <v>3.2759961599263028E-5</v>
      </c>
      <c r="Q50" s="57">
        <f t="shared" si="32"/>
        <v>-5.1128290712489864E-5</v>
      </c>
      <c r="R50" s="57">
        <f t="shared" si="32"/>
        <v>6.7496478458973374E-5</v>
      </c>
      <c r="S50" s="57">
        <f t="shared" si="32"/>
        <v>-7.3689520636238879E-5</v>
      </c>
      <c r="T50" s="57">
        <f t="shared" si="32"/>
        <v>7.0266443285209925E-5</v>
      </c>
      <c r="U50" s="57">
        <f t="shared" si="32"/>
        <v>-5.7304031606132126E-5</v>
      </c>
      <c r="V50" s="57">
        <f t="shared" si="32"/>
        <v>3.9613840450676442E-5</v>
      </c>
      <c r="W50" s="57">
        <f t="shared" si="32"/>
        <v>-2.5048998706137668E-5</v>
      </c>
      <c r="X50" s="57">
        <f t="shared" si="32"/>
        <v>1.3260892815863673E-5</v>
      </c>
      <c r="Y50" s="57">
        <f t="shared" si="32"/>
        <v>-6.4035062106843569E-6</v>
      </c>
      <c r="Z50" s="57">
        <f t="shared" si="32"/>
        <v>3.7289827253336265E-6</v>
      </c>
      <c r="AA50" s="57">
        <f t="shared" si="32"/>
        <v>8.2807865790347206E-7</v>
      </c>
      <c r="AB50" s="57">
        <f t="shared" si="32"/>
        <v>-2.2050237820927041E-6</v>
      </c>
      <c r="AC50" s="57">
        <f t="shared" si="32"/>
        <v>-5.5044323322115805E-7</v>
      </c>
      <c r="AD50" s="57">
        <f t="shared" si="32"/>
        <v>-1.7481419710966733E-6</v>
      </c>
      <c r="AE50" s="57">
        <f t="shared" si="32"/>
        <v>2.5495545846025514E-6</v>
      </c>
      <c r="AF50" s="57">
        <f t="shared" si="32"/>
        <v>2.4836834709175857E-6</v>
      </c>
      <c r="AG50" s="57">
        <f t="shared" si="32"/>
        <v>7.5562802741638513E-8</v>
      </c>
      <c r="AH50" s="57">
        <f t="shared" si="32"/>
        <v>4.8599728922824075E-7</v>
      </c>
      <c r="AI50" s="57">
        <f t="shared" si="32"/>
        <v>5.7034577604689646E-6</v>
      </c>
      <c r="AJ50" s="57">
        <f t="shared" si="32"/>
        <v>-1.5401479494110297E-5</v>
      </c>
    </row>
    <row r="51" spans="1:36" x14ac:dyDescent="0.25">
      <c r="A51" s="13" t="s">
        <v>21</v>
      </c>
      <c r="B51" s="3">
        <f>STUTT!D8</f>
        <v>5614.1607000000004</v>
      </c>
      <c r="E51" s="11" t="s">
        <v>24</v>
      </c>
      <c r="F51" s="20">
        <f t="shared" ref="F51:AJ51" si="33">(F16-F17)^2</f>
        <v>3691.8598147320949</v>
      </c>
      <c r="G51" s="20">
        <f t="shared" si="33"/>
        <v>6177.1448302491517</v>
      </c>
      <c r="H51" s="20">
        <f t="shared" si="33"/>
        <v>432.79568732355096</v>
      </c>
      <c r="I51" s="20">
        <f t="shared" si="33"/>
        <v>11.474323541279732</v>
      </c>
      <c r="J51" s="20">
        <f t="shared" si="33"/>
        <v>0.2182718472201832</v>
      </c>
      <c r="K51" s="20">
        <f t="shared" si="33"/>
        <v>3.6140978719005385E-3</v>
      </c>
      <c r="L51" s="20">
        <f t="shared" si="33"/>
        <v>1.9287607719276753E-4</v>
      </c>
      <c r="M51" s="20">
        <f t="shared" si="33"/>
        <v>2.5157277777071809E-4</v>
      </c>
      <c r="N51" s="20">
        <f t="shared" si="33"/>
        <v>1.5886929768786288E-3</v>
      </c>
      <c r="O51" s="20">
        <f t="shared" si="33"/>
        <v>6.5964451682418816E-3</v>
      </c>
      <c r="P51" s="20">
        <f t="shared" si="33"/>
        <v>1.7940172706331026E-2</v>
      </c>
      <c r="Q51" s="20">
        <f t="shared" si="33"/>
        <v>3.9490663172838267E-2</v>
      </c>
      <c r="R51" s="20">
        <f t="shared" si="33"/>
        <v>6.1488397237194896E-2</v>
      </c>
      <c r="S51" s="20">
        <f t="shared" si="33"/>
        <v>6.6168285772577606E-2</v>
      </c>
      <c r="T51" s="20">
        <f t="shared" si="33"/>
        <v>5.4697887496515149E-2</v>
      </c>
      <c r="U51" s="20">
        <f t="shared" si="33"/>
        <v>3.2849120306050833E-2</v>
      </c>
      <c r="V51" s="20">
        <f t="shared" si="33"/>
        <v>1.401937259090431E-2</v>
      </c>
      <c r="W51" s="20">
        <f t="shared" si="33"/>
        <v>4.9130978242526652E-3</v>
      </c>
      <c r="X51" s="20">
        <f t="shared" si="33"/>
        <v>1.1882687660927486E-3</v>
      </c>
      <c r="Y51" s="20">
        <f t="shared" si="33"/>
        <v>2.3424037766408667E-4</v>
      </c>
      <c r="Z51" s="20">
        <f t="shared" si="33"/>
        <v>6.5804544737503039E-5</v>
      </c>
      <c r="AA51" s="20">
        <f t="shared" si="33"/>
        <v>2.5933868019164857E-6</v>
      </c>
      <c r="AB51" s="20">
        <f t="shared" si="33"/>
        <v>1.3924738346253103E-5</v>
      </c>
      <c r="AC51" s="20">
        <f t="shared" si="33"/>
        <v>5.9798516447859617E-7</v>
      </c>
      <c r="AD51" s="20">
        <f t="shared" si="33"/>
        <v>3.6404633343446271E-6</v>
      </c>
      <c r="AE51" s="20">
        <f t="shared" si="33"/>
        <v>4.0624723609093095E-6</v>
      </c>
      <c r="AF51" s="20">
        <f t="shared" si="33"/>
        <v>1.8962824744944268E-6</v>
      </c>
      <c r="AG51" s="20">
        <f t="shared" si="33"/>
        <v>9.241070855817777E-10</v>
      </c>
      <c r="AH51" s="20">
        <f t="shared" si="33"/>
        <v>2.4721733026266613E-8</v>
      </c>
      <c r="AI51" s="20">
        <f t="shared" si="33"/>
        <v>2.6301599585747288E-6</v>
      </c>
      <c r="AJ51" s="20">
        <f t="shared" si="33"/>
        <v>1.6649135312824743E-5</v>
      </c>
    </row>
    <row r="52" spans="1:36" x14ac:dyDescent="0.25">
      <c r="A52" s="13"/>
    </row>
    <row r="53" spans="1:36" x14ac:dyDescent="0.25">
      <c r="E53" s="118" t="s">
        <v>25</v>
      </c>
      <c r="F53" s="118"/>
      <c r="G53" s="104">
        <f>SUM(F51:AJ51)</f>
        <v>10313.798272709233</v>
      </c>
      <c r="I53" s="3">
        <f>G53+C123</f>
        <v>10313.798272709233</v>
      </c>
      <c r="K53" s="3">
        <f>SUM(Z51:AJ51)</f>
        <v>1.118248143314109E-4</v>
      </c>
    </row>
    <row r="55" spans="1:36" x14ac:dyDescent="0.25">
      <c r="E55" s="30" t="s">
        <v>30</v>
      </c>
      <c r="F55" s="31">
        <f t="shared" ref="F55:AJ55" si="34">ABS(F17-F16)/F16</f>
        <v>1.0964990086610091E-2</v>
      </c>
      <c r="G55" s="31">
        <f t="shared" si="34"/>
        <v>1.4709339798317105E-2</v>
      </c>
      <c r="H55" s="31">
        <f t="shared" si="34"/>
        <v>3.9774022562346512E-3</v>
      </c>
      <c r="I55" s="31">
        <f t="shared" si="34"/>
        <v>6.6157840287132941E-4</v>
      </c>
      <c r="J55" s="31">
        <f t="shared" si="34"/>
        <v>9.347073875399E-5</v>
      </c>
      <c r="K55" s="31">
        <f t="shared" si="34"/>
        <v>1.234876468816084E-5</v>
      </c>
      <c r="L55" s="31">
        <f t="shared" si="34"/>
        <v>2.9406607665633784E-6</v>
      </c>
      <c r="M55" s="31">
        <f t="shared" si="34"/>
        <v>3.4733752804675946E-6</v>
      </c>
      <c r="N55" s="31">
        <f t="shared" si="34"/>
        <v>9.0413975920745678E-6</v>
      </c>
      <c r="O55" s="31">
        <f t="shared" si="34"/>
        <v>1.908239718421543E-5</v>
      </c>
      <c r="P55" s="31">
        <f t="shared" si="34"/>
        <v>3.2758888419336383E-5</v>
      </c>
      <c r="Q55" s="31">
        <f t="shared" si="34"/>
        <v>5.1130904948262451E-5</v>
      </c>
      <c r="R55" s="31">
        <f t="shared" si="34"/>
        <v>6.7491922991847009E-5</v>
      </c>
      <c r="S55" s="31">
        <f t="shared" si="34"/>
        <v>7.3694951181864775E-5</v>
      </c>
      <c r="T55" s="31">
        <f t="shared" si="34"/>
        <v>7.0261506259065238E-5</v>
      </c>
      <c r="U55" s="31">
        <f t="shared" si="34"/>
        <v>5.7307315546353456E-5</v>
      </c>
      <c r="V55" s="31">
        <f t="shared" si="34"/>
        <v>3.9612271256483E-5</v>
      </c>
      <c r="W55" s="31">
        <f t="shared" si="34"/>
        <v>2.5049626174191295E-5</v>
      </c>
      <c r="X55" s="31">
        <f t="shared" si="34"/>
        <v>1.3260716966917314E-5</v>
      </c>
      <c r="Y55" s="31">
        <f t="shared" si="34"/>
        <v>6.403547215838724E-6</v>
      </c>
      <c r="Z55" s="31">
        <f t="shared" si="34"/>
        <v>3.728968820073313E-6</v>
      </c>
      <c r="AA55" s="31">
        <f t="shared" si="34"/>
        <v>8.2807797218977624E-7</v>
      </c>
      <c r="AB55" s="31">
        <f t="shared" si="34"/>
        <v>2.2050286442333048E-6</v>
      </c>
      <c r="AC55" s="31">
        <f t="shared" si="34"/>
        <v>5.5044353620907781E-7</v>
      </c>
      <c r="AD55" s="31">
        <f t="shared" si="34"/>
        <v>1.7481450271023667E-6</v>
      </c>
      <c r="AE55" s="31">
        <f t="shared" si="34"/>
        <v>2.5495480843905443E-6</v>
      </c>
      <c r="AF55" s="31">
        <f t="shared" si="34"/>
        <v>2.483677302249323E-6</v>
      </c>
      <c r="AG55" s="31">
        <f t="shared" si="34"/>
        <v>7.556279703190178E-8</v>
      </c>
      <c r="AH55" s="31">
        <f t="shared" si="34"/>
        <v>4.8599705303499039E-7</v>
      </c>
      <c r="AI55" s="31">
        <f t="shared" si="34"/>
        <v>5.7034252312240682E-6</v>
      </c>
      <c r="AJ55" s="31">
        <f t="shared" si="34"/>
        <v>1.5401716703334278E-5</v>
      </c>
    </row>
    <row r="56" spans="1:36" x14ac:dyDescent="0.25">
      <c r="E56" s="13" t="s">
        <v>31</v>
      </c>
      <c r="F56" s="32">
        <f>AVERAGE(F55:AJ55)</f>
        <v>9.9762581033644771E-4</v>
      </c>
    </row>
    <row r="57" spans="1:36" x14ac:dyDescent="0.25">
      <c r="A57" s="42"/>
      <c r="B57" s="15"/>
      <c r="C57" s="15"/>
      <c r="D57" s="15"/>
      <c r="F57" s="60">
        <f>AVERAGE(S55:X55)</f>
        <v>4.6531064564145851E-5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-30.413945965899352</v>
      </c>
    </row>
    <row r="119" spans="1:14" x14ac:dyDescent="0.25">
      <c r="L119" s="11">
        <f>L118+1</f>
        <v>2</v>
      </c>
      <c r="M119" s="11">
        <f t="shared" ref="M119:M124" si="35">INDEX($B$125:$K$126,1,L119)</f>
        <v>0</v>
      </c>
      <c r="N119" s="11">
        <f t="shared" ref="N119:N124" si="36">IF(L119=$B$3,0,INDEX($B$125:$K$126,2,L119))</f>
        <v>-17.933032284387114</v>
      </c>
    </row>
    <row r="120" spans="1:14" x14ac:dyDescent="0.25">
      <c r="L120" s="11">
        <f t="shared" ref="L120:L124" si="37">L119+1</f>
        <v>3</v>
      </c>
      <c r="M120" s="11">
        <f t="shared" si="35"/>
        <v>25</v>
      </c>
      <c r="N120" s="11">
        <f t="shared" si="36"/>
        <v>-11.928921389382172</v>
      </c>
    </row>
    <row r="121" spans="1:14" x14ac:dyDescent="0.25">
      <c r="A121" s="103">
        <f>(A165+A204+A243+A282+A321+A360+A399)*10^9</f>
        <v>716265551562944.62</v>
      </c>
      <c r="L121" s="11">
        <f t="shared" si="37"/>
        <v>4</v>
      </c>
      <c r="M121" s="11">
        <f t="shared" si="35"/>
        <v>50</v>
      </c>
      <c r="N121" s="11">
        <f t="shared" si="36"/>
        <v>-6.7704218531652627</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18"/>
      <c r="B123" s="118"/>
      <c r="C123" s="3"/>
      <c r="D123" s="3"/>
      <c r="E123" s="3"/>
      <c r="F123" s="3"/>
      <c r="G123" s="3"/>
      <c r="H123" s="3"/>
      <c r="I123" s="3"/>
      <c r="J123" s="3"/>
      <c r="K123" s="3"/>
      <c r="L123" s="11">
        <f t="shared" si="37"/>
        <v>6</v>
      </c>
      <c r="M123" s="11">
        <f t="shared" si="35"/>
        <v>125</v>
      </c>
      <c r="N123" s="11">
        <f t="shared" si="36"/>
        <v>16.290464904619554</v>
      </c>
    </row>
    <row r="124" spans="1:14" x14ac:dyDescent="0.25">
      <c r="B124" s="3"/>
      <c r="C124" s="3"/>
      <c r="D124" s="3"/>
      <c r="E124" s="3"/>
      <c r="F124" s="3"/>
      <c r="G124" s="3"/>
      <c r="H124" s="3"/>
      <c r="I124" s="3"/>
      <c r="J124" s="3"/>
      <c r="K124" s="3"/>
      <c r="L124" s="11">
        <f t="shared" si="37"/>
        <v>7</v>
      </c>
      <c r="M124" s="11">
        <f t="shared" si="35"/>
        <v>160</v>
      </c>
      <c r="N124" s="11">
        <f t="shared" si="36"/>
        <v>30.467850818974018</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-30.413945965899352</v>
      </c>
      <c r="C126" s="107">
        <v>-17.933032284387114</v>
      </c>
      <c r="D126" s="107">
        <v>-11.928921389382172</v>
      </c>
      <c r="E126" s="107">
        <v>-6.7704218531652627</v>
      </c>
      <c r="F126" s="107">
        <v>1.338350486612961E-2</v>
      </c>
      <c r="G126" s="107">
        <v>16.290464904619554</v>
      </c>
      <c r="H126" s="107">
        <v>30.467850818974018</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5627.8046868132324</v>
      </c>
      <c r="C130" s="26">
        <f>INDEX(Comparison!$AM$3:$AS$33,G14,$B$122)</f>
        <v>5627.8375717832278</v>
      </c>
      <c r="D130" s="26">
        <f>INDEX(Comparison!$AM$3:$AS$33,H14,$B$122)</f>
        <v>5627.8172471251501</v>
      </c>
      <c r="E130" s="26">
        <f>INDEX(Comparison!$AM$3:$AS$33,I14,$B$122)</f>
        <v>5627.8109307653194</v>
      </c>
      <c r="F130" s="26">
        <f>INDEX(Comparison!$AM$3:$AS$33,J14,$B$122)</f>
        <v>5627.8090666274475</v>
      </c>
      <c r="G130" s="26">
        <f>INDEX(Comparison!$AM$3:$AS$33,K14,$B$122)</f>
        <v>5627.8083245923272</v>
      </c>
      <c r="H130" s="26">
        <f>INDEX(Comparison!$AM$3:$AS$33,L14,$B$122)</f>
        <v>5627.808252198668</v>
      </c>
      <c r="I130" s="26">
        <f>INDEX(Comparison!$AM$3:$AS$33,M14,$B$122)</f>
        <v>5627.808053116114</v>
      </c>
      <c r="J130" s="26">
        <f>INDEX(Comparison!$AM$3:$AS$33,N14,$B$122)</f>
        <v>5627.8079807224613</v>
      </c>
      <c r="K130" s="26">
        <f>INDEX(Comparison!$AM$3:$AS$33,O14,$B$122)</f>
        <v>5627.8066052434133</v>
      </c>
      <c r="L130" s="26">
        <f>INDEX(Comparison!$AM$3:$AS$33,P14,$B$122)</f>
        <v>5627.7932848495184</v>
      </c>
      <c r="M130" s="26">
        <f>INDEX(Comparison!$AM$3:$AS$33,Q14,$B$122)</f>
        <v>5627.6610797391322</v>
      </c>
      <c r="N130" s="26">
        <f>INDEX(Comparison!$AM$3:$AS$33,R14,$B$122)</f>
        <v>5626.3493372203875</v>
      </c>
      <c r="O130" s="26">
        <f>INDEX(Comparison!$AM$3:$AS$33,S14,$B$122)</f>
        <v>5613.8255139047442</v>
      </c>
      <c r="P130" s="26">
        <f>INDEX(Comparison!$AM$3:$AS$33,T14,$B$122)</f>
        <v>5517.4172060787987</v>
      </c>
      <c r="Q130" s="26">
        <f>INDEX(Comparison!$AM$3:$AS$33,U14,$B$122)</f>
        <v>5360.9194936383001</v>
      </c>
      <c r="R130" s="26">
        <f>INDEX(Comparison!$AM$3:$AS$33,V14,$B$122)</f>
        <v>5250.254742360099</v>
      </c>
      <c r="S130" s="26">
        <f>INDEX(Comparison!$AM$3:$AS$33,W14,$B$122)</f>
        <v>5138.7770947931922</v>
      </c>
      <c r="T130" s="26">
        <f>INDEX(Comparison!$AM$3:$AS$33,X14,$B$122)</f>
        <v>5015.7448530146003</v>
      </c>
      <c r="U130" s="26">
        <f>INDEX(Comparison!$AM$3:$AS$33,Y14,$B$122)</f>
        <v>4881.370820360753</v>
      </c>
      <c r="V130" s="26">
        <f>INDEX(Comparison!$AM$3:$AS$33,Z14,$B$122)</f>
        <v>4715.1502303445186</v>
      </c>
      <c r="W130" s="26">
        <f>INDEX(Comparison!$AM$3:$AS$33,AA14,$B$122)</f>
        <v>4502.659399288631</v>
      </c>
      <c r="X130" s="26">
        <f>INDEX(Comparison!$AM$3:$AS$33,AB14,$B$122)</f>
        <v>4273.4157788380835</v>
      </c>
      <c r="Y130" s="26">
        <f>INDEX(Comparison!$AM$3:$AS$33,AC14,$B$122)</f>
        <v>4058.4470173916279</v>
      </c>
      <c r="Z130" s="26">
        <f>INDEX(Comparison!$AM$3:$AS$33,AD14,$B$122)</f>
        <v>3848.5922465336935</v>
      </c>
      <c r="AA130" s="26">
        <f>INDEX(Comparison!$AM$3:$AS$33,AE14,$B$122)</f>
        <v>3623.9563394023553</v>
      </c>
      <c r="AB130" s="26">
        <f>INDEX(Comparison!$AM$3:$AS$33,AF14,$B$122)</f>
        <v>3404.5451338992034</v>
      </c>
      <c r="AC130" s="26">
        <f>INDEX(Comparison!$AM$3:$AS$33,AG14,$B$122)</f>
        <v>3224.8694264190117</v>
      </c>
      <c r="AD130" s="26">
        <f>INDEX(Comparison!$AM$3:$AS$33,AH14,$B$122)</f>
        <v>3068.1804215620291</v>
      </c>
      <c r="AE130" s="26">
        <f>INDEX(Comparison!$AM$3:$AS$33,AI14,$B$122)</f>
        <v>2915.919267959634</v>
      </c>
      <c r="AF130" s="26">
        <f>INDEX(Comparison!$AM$3:$AS$33,AJ14,$B$122)</f>
        <v>2771.0117587804812</v>
      </c>
    </row>
    <row r="131" spans="1:33" x14ac:dyDescent="0.25">
      <c r="A131" s="68" t="s">
        <v>22</v>
      </c>
      <c r="B131" s="27">
        <f>($C$17+SUM(B132:B162))*$B$51</f>
        <v>5614.1606992193729</v>
      </c>
      <c r="C131" s="27">
        <f t="shared" ref="C131:AF131" si="40">($C$17+SUM(C132:C162))*$B$51</f>
        <v>5614.1606921937137</v>
      </c>
      <c r="D131" s="27">
        <f t="shared" si="40"/>
        <v>5614.1606219371351</v>
      </c>
      <c r="E131" s="27">
        <f t="shared" si="40"/>
        <v>5614.1599193735046</v>
      </c>
      <c r="F131" s="27">
        <f t="shared" si="40"/>
        <v>5614.1528939523205</v>
      </c>
      <c r="G131" s="27">
        <f t="shared" si="40"/>
        <v>5614.0826612476694</v>
      </c>
      <c r="H131" s="27">
        <f t="shared" si="40"/>
        <v>5613.3824804971382</v>
      </c>
      <c r="I131" s="27">
        <f t="shared" si="40"/>
        <v>5606.5909466090125</v>
      </c>
      <c r="J131" s="27">
        <f t="shared" si="40"/>
        <v>5555.946989156314</v>
      </c>
      <c r="K131" s="27">
        <f t="shared" si="40"/>
        <v>5488.2217933555066</v>
      </c>
      <c r="L131" s="27">
        <f t="shared" si="40"/>
        <v>5487.9578371258249</v>
      </c>
      <c r="M131" s="27">
        <f t="shared" si="40"/>
        <v>5487.9161876801172</v>
      </c>
      <c r="N131" s="27">
        <f t="shared" si="40"/>
        <v>5487.5000133320254</v>
      </c>
      <c r="O131" s="27">
        <f t="shared" si="40"/>
        <v>5483.3701127320637</v>
      </c>
      <c r="P131" s="27">
        <f t="shared" si="40"/>
        <v>5445.0938316012616</v>
      </c>
      <c r="Q131" s="27">
        <f t="shared" si="40"/>
        <v>5251.4357666719297</v>
      </c>
      <c r="R131" s="27">
        <f t="shared" si="40"/>
        <v>5141.7580383967552</v>
      </c>
      <c r="S131" s="27">
        <f t="shared" si="40"/>
        <v>5028.4378414487792</v>
      </c>
      <c r="T131" s="27">
        <f t="shared" si="40"/>
        <v>4898.9079721661155</v>
      </c>
      <c r="U131" s="27">
        <f t="shared" si="40"/>
        <v>4758.1429635172426</v>
      </c>
      <c r="V131" s="27">
        <f t="shared" si="40"/>
        <v>4603.6903601955883</v>
      </c>
      <c r="W131" s="27">
        <f t="shared" si="40"/>
        <v>4445.1055106574449</v>
      </c>
      <c r="X131" s="27">
        <f t="shared" si="40"/>
        <v>4290.913740109635</v>
      </c>
      <c r="Y131" s="27">
        <f t="shared" si="40"/>
        <v>4128.9009295241203</v>
      </c>
      <c r="Z131" s="27">
        <f t="shared" si="40"/>
        <v>3934.214217356659</v>
      </c>
      <c r="AA131" s="27">
        <f t="shared" si="40"/>
        <v>3717.7065198680048</v>
      </c>
      <c r="AB131" s="27">
        <f t="shared" si="40"/>
        <v>3523.3327126352856</v>
      </c>
      <c r="AC131" s="27">
        <f t="shared" si="40"/>
        <v>3361.2310203429383</v>
      </c>
      <c r="AD131" s="27">
        <f t="shared" si="40"/>
        <v>3194.2347720938442</v>
      </c>
      <c r="AE131" s="27">
        <f t="shared" si="40"/>
        <v>3023.7171853203472</v>
      </c>
      <c r="AF131" s="27">
        <f t="shared" si="40"/>
        <v>2833.432548279894</v>
      </c>
    </row>
    <row r="132" spans="1:33" x14ac:dyDescent="0.25">
      <c r="B132" s="3">
        <f t="shared" ref="B132:Z133" si="41">$C18*EXP(-B$129/$A18/EXP(-$B$126))</f>
        <v>2.2478557483739489E-2</v>
      </c>
      <c r="C132" s="3">
        <f t="shared" ref="C132:AF132" si="42">$C18*EXP(-C$129/$A18/EXP(-$B$126))</f>
        <v>2.2478556232322547E-2</v>
      </c>
      <c r="D132" s="3">
        <f t="shared" si="42"/>
        <v>2.2478543718156989E-2</v>
      </c>
      <c r="E132" s="3">
        <f t="shared" si="42"/>
        <v>2.2478418576884571E-2</v>
      </c>
      <c r="F132" s="3">
        <f t="shared" si="42"/>
        <v>2.24771672024771E-2</v>
      </c>
      <c r="G132" s="3">
        <f t="shared" si="42"/>
        <v>2.2464657289285882E-2</v>
      </c>
      <c r="H132" s="3">
        <f t="shared" si="42"/>
        <v>2.2339940457791991E-2</v>
      </c>
      <c r="I132" s="3">
        <f t="shared" si="42"/>
        <v>2.1130226292890287E-2</v>
      </c>
      <c r="J132" s="3">
        <f t="shared" si="42"/>
        <v>1.2109480627434452E-2</v>
      </c>
      <c r="K132" s="3">
        <f t="shared" si="42"/>
        <v>4.627423023936693E-5</v>
      </c>
      <c r="L132" s="3">
        <f t="shared" si="42"/>
        <v>3.0723880445851954E-29</v>
      </c>
      <c r="M132" s="3">
        <f t="shared" si="42"/>
        <v>5.1149889571468968E-271</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5.0926864715406452E-2</v>
      </c>
      <c r="C133" s="3">
        <f t="shared" si="41"/>
        <v>5.0926864715405716E-2</v>
      </c>
      <c r="D133" s="3">
        <f t="shared" si="41"/>
        <v>5.0926864715398458E-2</v>
      </c>
      <c r="E133" s="3">
        <f t="shared" si="41"/>
        <v>5.0926864715325836E-2</v>
      </c>
      <c r="F133" s="3">
        <f t="shared" si="41"/>
        <v>5.092686471459959E-2</v>
      </c>
      <c r="G133" s="3">
        <f t="shared" si="41"/>
        <v>5.0926864707337156E-2</v>
      </c>
      <c r="H133" s="3">
        <f t="shared" si="41"/>
        <v>5.0926864634712771E-2</v>
      </c>
      <c r="I133" s="3">
        <f t="shared" si="41"/>
        <v>5.0926863908468949E-2</v>
      </c>
      <c r="J133" s="3">
        <f t="shared" si="41"/>
        <v>5.0926856646031311E-2</v>
      </c>
      <c r="K133" s="3">
        <f t="shared" si="41"/>
        <v>5.0926784021711885E-2</v>
      </c>
      <c r="L133" s="3">
        <f t="shared" si="41"/>
        <v>5.0926057784213767E-2</v>
      </c>
      <c r="M133" s="3">
        <f t="shared" si="41"/>
        <v>5.0918795978813138E-2</v>
      </c>
      <c r="N133" s="3">
        <f t="shared" si="41"/>
        <v>5.0846234852826085E-2</v>
      </c>
      <c r="O133" s="3">
        <f t="shared" si="41"/>
        <v>5.0126286471642773E-2</v>
      </c>
      <c r="P133" s="3">
        <f t="shared" si="41"/>
        <v>4.3464316913652185E-2</v>
      </c>
      <c r="Q133" s="3">
        <f t="shared" si="41"/>
        <v>1.0442539512934303E-2</v>
      </c>
      <c r="R133" s="3">
        <f t="shared" si="41"/>
        <v>6.6917362212467692E-9</v>
      </c>
      <c r="S133" s="3">
        <f t="shared" si="41"/>
        <v>7.8138608766514489E-71</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9.6937150322574713E-3</v>
      </c>
      <c r="C134" s="3">
        <f t="shared" si="44"/>
        <v>9.6937150322574592E-3</v>
      </c>
      <c r="D134" s="3">
        <f t="shared" si="44"/>
        <v>9.6937150322573343E-3</v>
      </c>
      <c r="E134" s="3">
        <f t="shared" si="44"/>
        <v>9.6937150322560887E-3</v>
      </c>
      <c r="F134" s="3">
        <f t="shared" si="44"/>
        <v>9.6937150322436178E-3</v>
      </c>
      <c r="G134" s="3">
        <f t="shared" si="44"/>
        <v>9.6937150321189155E-3</v>
      </c>
      <c r="H134" s="3">
        <f t="shared" si="44"/>
        <v>9.6937150308718991E-3</v>
      </c>
      <c r="I134" s="3">
        <f t="shared" si="44"/>
        <v>9.6937150184017301E-3</v>
      </c>
      <c r="J134" s="3">
        <f t="shared" si="44"/>
        <v>9.6937148937000367E-3</v>
      </c>
      <c r="K134" s="3">
        <f t="shared" si="44"/>
        <v>9.6937136466831927E-3</v>
      </c>
      <c r="L134" s="3">
        <f t="shared" si="44"/>
        <v>9.693701176523583E-3</v>
      </c>
      <c r="M134" s="3">
        <f t="shared" si="44"/>
        <v>9.6935764758097828E-3</v>
      </c>
      <c r="N134" s="3">
        <f t="shared" si="44"/>
        <v>9.6923295568972848E-3</v>
      </c>
      <c r="O134" s="3">
        <f t="shared" si="44"/>
        <v>9.679869186125508E-3</v>
      </c>
      <c r="P134" s="3">
        <f t="shared" si="44"/>
        <v>9.5561431308181163E-3</v>
      </c>
      <c r="Q134" s="3">
        <f t="shared" si="44"/>
        <v>8.4026103069404778E-3</v>
      </c>
      <c r="R134" s="3">
        <f t="shared" si="44"/>
        <v>2.3212931388117844E-3</v>
      </c>
      <c r="S134" s="3">
        <f t="shared" si="44"/>
        <v>6.0101822340824856E-9</v>
      </c>
      <c r="T134" s="3">
        <f t="shared" si="44"/>
        <v>8.1369972093733311E-65</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2.5359184369906522E-2</v>
      </c>
      <c r="C135" s="3">
        <f t="shared" si="47"/>
        <v>2.5359184369906519E-2</v>
      </c>
      <c r="D135" s="3">
        <f t="shared" si="47"/>
        <v>2.5359184369906487E-2</v>
      </c>
      <c r="E135" s="3">
        <f t="shared" si="47"/>
        <v>2.5359184369906196E-2</v>
      </c>
      <c r="F135" s="3">
        <f t="shared" si="47"/>
        <v>2.5359184369903254E-2</v>
      </c>
      <c r="G135" s="3">
        <f t="shared" si="47"/>
        <v>2.5359184369873822E-2</v>
      </c>
      <c r="H135" s="3">
        <f t="shared" si="47"/>
        <v>2.5359184369579544E-2</v>
      </c>
      <c r="I135" s="3">
        <f t="shared" si="47"/>
        <v>2.5359184366636721E-2</v>
      </c>
      <c r="J135" s="3">
        <f t="shared" si="47"/>
        <v>2.5359184337208501E-2</v>
      </c>
      <c r="K135" s="3">
        <f t="shared" si="47"/>
        <v>2.5359184042926315E-2</v>
      </c>
      <c r="L135" s="3">
        <f t="shared" si="47"/>
        <v>2.5359181100104638E-2</v>
      </c>
      <c r="M135" s="3">
        <f t="shared" si="47"/>
        <v>2.5359151671906652E-2</v>
      </c>
      <c r="N135" s="3">
        <f t="shared" si="47"/>
        <v>2.5358857391805063E-2</v>
      </c>
      <c r="O135" s="3">
        <f t="shared" si="47"/>
        <v>2.5355914778606044E-2</v>
      </c>
      <c r="P135" s="3">
        <f t="shared" si="47"/>
        <v>2.532650742024304E-2</v>
      </c>
      <c r="Q135" s="3">
        <f t="shared" si="47"/>
        <v>2.5034303163482912E-2</v>
      </c>
      <c r="R135" s="3">
        <f t="shared" si="47"/>
        <v>2.2291410082951824E-2</v>
      </c>
      <c r="S135" s="3">
        <f t="shared" si="47"/>
        <v>6.9848628599337628E-3</v>
      </c>
      <c r="T135" s="3">
        <f t="shared" si="47"/>
        <v>6.3732551536725211E-8</v>
      </c>
      <c r="U135" s="3">
        <f t="shared" si="47"/>
        <v>2.5491508000035914E-58</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2.3102406802677788E-2</v>
      </c>
      <c r="C136" s="3">
        <f t="shared" si="49"/>
        <v>2.3102406802677788E-2</v>
      </c>
      <c r="D136" s="3">
        <f t="shared" si="49"/>
        <v>2.3102406802677784E-2</v>
      </c>
      <c r="E136" s="3">
        <f t="shared" si="49"/>
        <v>2.3102406802677763E-2</v>
      </c>
      <c r="F136" s="3">
        <f t="shared" si="49"/>
        <v>2.3102406802677517E-2</v>
      </c>
      <c r="G136" s="3">
        <f t="shared" si="49"/>
        <v>2.3102406802675099E-2</v>
      </c>
      <c r="H136" s="3">
        <f t="shared" si="49"/>
        <v>2.3102406802650917E-2</v>
      </c>
      <c r="I136" s="3">
        <f t="shared" si="49"/>
        <v>2.3102406802409072E-2</v>
      </c>
      <c r="J136" s="3">
        <f t="shared" si="49"/>
        <v>2.3102406799990649E-2</v>
      </c>
      <c r="K136" s="3">
        <f t="shared" si="49"/>
        <v>2.3102406775806404E-2</v>
      </c>
      <c r="L136" s="3">
        <f t="shared" si="49"/>
        <v>2.3102406533963969E-2</v>
      </c>
      <c r="M136" s="3">
        <f t="shared" si="49"/>
        <v>2.3102404115539734E-2</v>
      </c>
      <c r="N136" s="3">
        <f t="shared" si="49"/>
        <v>2.3102379931311319E-2</v>
      </c>
      <c r="O136" s="3">
        <f t="shared" si="49"/>
        <v>2.3102138090419572E-2</v>
      </c>
      <c r="P136" s="3">
        <f t="shared" si="49"/>
        <v>2.3099719820738211E-2</v>
      </c>
      <c r="Q136" s="3">
        <f t="shared" si="49"/>
        <v>2.3075551042141533E-2</v>
      </c>
      <c r="R136" s="3">
        <f t="shared" si="49"/>
        <v>2.2835249702037288E-2</v>
      </c>
      <c r="S136" s="3">
        <f t="shared" si="49"/>
        <v>2.056565789376685E-2</v>
      </c>
      <c r="T136" s="3">
        <f t="shared" si="49"/>
        <v>7.2195649648754455E-3</v>
      </c>
      <c r="U136" s="3">
        <f t="shared" si="49"/>
        <v>2.0520845228124741E-7</v>
      </c>
      <c r="V136" s="3">
        <f t="shared" si="49"/>
        <v>7.0637839265194915E-53</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2.764823302831592E-2</v>
      </c>
      <c r="C137" s="3">
        <f t="shared" si="51"/>
        <v>2.764823302831592E-2</v>
      </c>
      <c r="D137" s="3">
        <f t="shared" si="51"/>
        <v>2.764823302831592E-2</v>
      </c>
      <c r="E137" s="3">
        <f t="shared" si="51"/>
        <v>2.7648233028315917E-2</v>
      </c>
      <c r="F137" s="3">
        <f t="shared" si="51"/>
        <v>2.7648233028315893E-2</v>
      </c>
      <c r="G137" s="3">
        <f t="shared" si="51"/>
        <v>2.7648233028315629E-2</v>
      </c>
      <c r="H137" s="3">
        <f t="shared" si="51"/>
        <v>2.764823302831302E-2</v>
      </c>
      <c r="I137" s="3">
        <f t="shared" si="51"/>
        <v>2.7648233028286909E-2</v>
      </c>
      <c r="J137" s="3">
        <f t="shared" si="51"/>
        <v>2.7648233028025822E-2</v>
      </c>
      <c r="K137" s="3">
        <f t="shared" si="51"/>
        <v>2.7648233025414928E-2</v>
      </c>
      <c r="L137" s="3">
        <f t="shared" si="51"/>
        <v>2.7648232999305987E-2</v>
      </c>
      <c r="M137" s="3">
        <f t="shared" si="51"/>
        <v>2.7648232738216576E-2</v>
      </c>
      <c r="N137" s="3">
        <f t="shared" si="51"/>
        <v>2.7648230127322614E-2</v>
      </c>
      <c r="O137" s="3">
        <f t="shared" si="51"/>
        <v>2.7648204018396551E-2</v>
      </c>
      <c r="P137" s="3">
        <f t="shared" si="51"/>
        <v>2.7647942930491939E-2</v>
      </c>
      <c r="Q137" s="3">
        <f t="shared" si="51"/>
        <v>2.7645332187044968E-2</v>
      </c>
      <c r="R137" s="3">
        <f t="shared" si="51"/>
        <v>2.7619238307753584E-2</v>
      </c>
      <c r="S137" s="3">
        <f t="shared" si="51"/>
        <v>2.7359650308425101E-2</v>
      </c>
      <c r="T137" s="3">
        <f t="shared" si="51"/>
        <v>2.4894246851448695E-2</v>
      </c>
      <c r="U137" s="3">
        <f t="shared" si="51"/>
        <v>9.6824103895058796E-3</v>
      </c>
      <c r="V137" s="3">
        <f t="shared" si="51"/>
        <v>7.6705840349589916E-7</v>
      </c>
      <c r="W137" s="3">
        <f t="shared" si="51"/>
        <v>7.4692654022863158E-48</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2.9569052695064539E-2</v>
      </c>
      <c r="C138" s="3">
        <f t="shared" si="53"/>
        <v>2.9569052695064539E-2</v>
      </c>
      <c r="D138" s="3">
        <f t="shared" si="53"/>
        <v>2.9569052695064539E-2</v>
      </c>
      <c r="E138" s="3">
        <f t="shared" si="53"/>
        <v>2.9569052695064539E-2</v>
      </c>
      <c r="F138" s="3">
        <f t="shared" si="53"/>
        <v>2.9569052695064536E-2</v>
      </c>
      <c r="G138" s="3">
        <f t="shared" si="53"/>
        <v>2.9569052695064508E-2</v>
      </c>
      <c r="H138" s="3">
        <f t="shared" si="53"/>
        <v>2.9569052695064262E-2</v>
      </c>
      <c r="I138" s="3">
        <f t="shared" si="53"/>
        <v>2.9569052695061739E-2</v>
      </c>
      <c r="J138" s="3">
        <f t="shared" si="53"/>
        <v>2.9569052695036555E-2</v>
      </c>
      <c r="K138" s="3">
        <f t="shared" si="53"/>
        <v>2.9569052694784666E-2</v>
      </c>
      <c r="L138" s="3">
        <f t="shared" si="53"/>
        <v>2.9569052692265795E-2</v>
      </c>
      <c r="M138" s="3">
        <f t="shared" si="53"/>
        <v>2.9569052667077086E-2</v>
      </c>
      <c r="N138" s="3">
        <f t="shared" si="53"/>
        <v>2.9569052415190016E-2</v>
      </c>
      <c r="O138" s="3">
        <f t="shared" si="53"/>
        <v>2.9569049896319415E-2</v>
      </c>
      <c r="P138" s="3">
        <f t="shared" si="53"/>
        <v>2.9569024707625215E-2</v>
      </c>
      <c r="Q138" s="3">
        <f t="shared" si="53"/>
        <v>2.9568772821863366E-2</v>
      </c>
      <c r="R138" s="3">
        <f t="shared" si="53"/>
        <v>2.9566254082255706E-2</v>
      </c>
      <c r="S138" s="3">
        <f t="shared" si="53"/>
        <v>2.9541078483542399E-2</v>
      </c>
      <c r="T138" s="3">
        <f t="shared" si="53"/>
        <v>2.929049852280622E-2</v>
      </c>
      <c r="U138" s="3">
        <f t="shared" si="53"/>
        <v>2.689867780866273E-2</v>
      </c>
      <c r="V138" s="3">
        <f t="shared" si="53"/>
        <v>1.1475526726907206E-2</v>
      </c>
      <c r="W138" s="3">
        <f t="shared" si="53"/>
        <v>2.2918679256927764E-6</v>
      </c>
      <c r="X138" s="3">
        <f t="shared" si="53"/>
        <v>2.3139776853335538E-43</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2.9954793945684E-2</v>
      </c>
      <c r="C139" s="3">
        <f t="shared" si="55"/>
        <v>2.9954793945684E-2</v>
      </c>
      <c r="D139" s="3">
        <f t="shared" si="55"/>
        <v>2.9954793945684E-2</v>
      </c>
      <c r="E139" s="3">
        <f t="shared" si="55"/>
        <v>2.9954793945684E-2</v>
      </c>
      <c r="F139" s="3">
        <f t="shared" si="55"/>
        <v>2.9954793945684E-2</v>
      </c>
      <c r="G139" s="3">
        <f t="shared" si="55"/>
        <v>2.9954793945683997E-2</v>
      </c>
      <c r="H139" s="3">
        <f t="shared" si="55"/>
        <v>2.9954793945683972E-2</v>
      </c>
      <c r="I139" s="3">
        <f t="shared" si="55"/>
        <v>2.9954793945683744E-2</v>
      </c>
      <c r="J139" s="3">
        <f t="shared" si="55"/>
        <v>2.9954793945681443E-2</v>
      </c>
      <c r="K139" s="3">
        <f t="shared" si="55"/>
        <v>2.9954793945658423E-2</v>
      </c>
      <c r="L139" s="3">
        <f t="shared" si="55"/>
        <v>2.9954793945428236E-2</v>
      </c>
      <c r="M139" s="3">
        <f t="shared" si="55"/>
        <v>2.9954793943126362E-2</v>
      </c>
      <c r="N139" s="3">
        <f t="shared" si="55"/>
        <v>2.9954793920107633E-2</v>
      </c>
      <c r="O139" s="3">
        <f t="shared" si="55"/>
        <v>2.9954793689920312E-2</v>
      </c>
      <c r="P139" s="3">
        <f t="shared" si="55"/>
        <v>2.9954791388047224E-2</v>
      </c>
      <c r="Q139" s="3">
        <f t="shared" si="55"/>
        <v>2.9954768369326056E-2</v>
      </c>
      <c r="R139" s="3">
        <f t="shared" si="55"/>
        <v>2.9954538183087236E-2</v>
      </c>
      <c r="S139" s="3">
        <f t="shared" si="55"/>
        <v>2.9952236417983957E-2</v>
      </c>
      <c r="T139" s="3">
        <f t="shared" si="55"/>
        <v>2.9929228492675417E-2</v>
      </c>
      <c r="U139" s="3">
        <f t="shared" si="55"/>
        <v>2.9700119052412117E-2</v>
      </c>
      <c r="V139" s="3">
        <f t="shared" si="55"/>
        <v>2.7503304264904535E-2</v>
      </c>
      <c r="W139" s="3">
        <f t="shared" si="55"/>
        <v>1.2754155434896398E-2</v>
      </c>
      <c r="X139" s="3">
        <f t="shared" si="55"/>
        <v>5.8657024115953583E-6</v>
      </c>
      <c r="Y139" s="3">
        <f t="shared" si="55"/>
        <v>2.4831515745424595E-39</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2.7077191993234564E-2</v>
      </c>
      <c r="C140" s="3">
        <f t="shared" si="57"/>
        <v>2.7077191993234564E-2</v>
      </c>
      <c r="D140" s="3">
        <f t="shared" si="57"/>
        <v>2.7077191993234564E-2</v>
      </c>
      <c r="E140" s="3">
        <f t="shared" si="57"/>
        <v>2.7077191993234564E-2</v>
      </c>
      <c r="F140" s="3">
        <f t="shared" si="57"/>
        <v>2.7077191993234564E-2</v>
      </c>
      <c r="G140" s="3">
        <f t="shared" si="57"/>
        <v>2.7077191993234564E-2</v>
      </c>
      <c r="H140" s="3">
        <f t="shared" si="57"/>
        <v>2.7077191993234561E-2</v>
      </c>
      <c r="I140" s="3">
        <f t="shared" si="57"/>
        <v>2.7077191993234544E-2</v>
      </c>
      <c r="J140" s="3">
        <f t="shared" si="57"/>
        <v>2.7077191993234356E-2</v>
      </c>
      <c r="K140" s="3">
        <f t="shared" si="57"/>
        <v>2.7077191993232479E-2</v>
      </c>
      <c r="L140" s="3">
        <f t="shared" si="57"/>
        <v>2.7077191993213706E-2</v>
      </c>
      <c r="M140" s="3">
        <f t="shared" si="57"/>
        <v>2.7077191993026009E-2</v>
      </c>
      <c r="N140" s="3">
        <f t="shared" si="57"/>
        <v>2.7077191991149007E-2</v>
      </c>
      <c r="O140" s="3">
        <f t="shared" si="57"/>
        <v>2.7077191972378963E-2</v>
      </c>
      <c r="P140" s="3">
        <f t="shared" si="57"/>
        <v>2.7077191784678527E-2</v>
      </c>
      <c r="Q140" s="3">
        <f t="shared" si="57"/>
        <v>2.7077189907674278E-2</v>
      </c>
      <c r="R140" s="3">
        <f t="shared" si="57"/>
        <v>2.7077171137638904E-2</v>
      </c>
      <c r="S140" s="3">
        <f t="shared" si="57"/>
        <v>2.7076983438000819E-2</v>
      </c>
      <c r="T140" s="3">
        <f t="shared" si="57"/>
        <v>2.7075106513181117E-2</v>
      </c>
      <c r="U140" s="3">
        <f t="shared" si="57"/>
        <v>2.7056344419262787E-2</v>
      </c>
      <c r="V140" s="3">
        <f t="shared" si="57"/>
        <v>2.6869437076376155E-2</v>
      </c>
      <c r="W140" s="3">
        <f t="shared" si="57"/>
        <v>2.5069926446723241E-2</v>
      </c>
      <c r="X140" s="3">
        <f t="shared" si="57"/>
        <v>1.2534239198573473E-2</v>
      </c>
      <c r="Y140" s="3">
        <f t="shared" si="57"/>
        <v>1.2233399658586231E-5</v>
      </c>
      <c r="Z140" s="3">
        <f t="shared" si="57"/>
        <v>9.5948683884709494E-36</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3.1999713533519658E-2</v>
      </c>
      <c r="C141" s="3">
        <f t="shared" si="59"/>
        <v>3.1999713533519658E-2</v>
      </c>
      <c r="D141" s="3">
        <f t="shared" si="59"/>
        <v>3.1999713533519658E-2</v>
      </c>
      <c r="E141" s="3">
        <f t="shared" si="59"/>
        <v>3.1999713533519658E-2</v>
      </c>
      <c r="F141" s="3">
        <f t="shared" si="59"/>
        <v>3.1999713533519658E-2</v>
      </c>
      <c r="G141" s="3">
        <f t="shared" si="59"/>
        <v>3.1999713533519658E-2</v>
      </c>
      <c r="H141" s="3">
        <f t="shared" si="59"/>
        <v>3.1999713533519658E-2</v>
      </c>
      <c r="I141" s="3">
        <f t="shared" si="59"/>
        <v>3.1999713533519651E-2</v>
      </c>
      <c r="J141" s="3">
        <f t="shared" si="59"/>
        <v>3.1999713533519637E-2</v>
      </c>
      <c r="K141" s="3">
        <f t="shared" si="59"/>
        <v>3.1999713533519436E-2</v>
      </c>
      <c r="L141" s="3">
        <f t="shared" si="59"/>
        <v>3.1999713533517431E-2</v>
      </c>
      <c r="M141" s="3">
        <f t="shared" si="59"/>
        <v>3.1999713533497426E-2</v>
      </c>
      <c r="N141" s="3">
        <f t="shared" si="59"/>
        <v>3.1999713533297322E-2</v>
      </c>
      <c r="O141" s="3">
        <f t="shared" si="59"/>
        <v>3.1999713531296284E-2</v>
      </c>
      <c r="P141" s="3">
        <f t="shared" si="59"/>
        <v>3.1999713511285957E-2</v>
      </c>
      <c r="Q141" s="3">
        <f t="shared" si="59"/>
        <v>3.1999713311182613E-2</v>
      </c>
      <c r="R141" s="3">
        <f t="shared" si="59"/>
        <v>3.1999711310149316E-2</v>
      </c>
      <c r="S141" s="3">
        <f t="shared" si="59"/>
        <v>3.1999691299823226E-2</v>
      </c>
      <c r="T141" s="3">
        <f t="shared" si="59"/>
        <v>3.1999491197250512E-2</v>
      </c>
      <c r="U141" s="3">
        <f t="shared" si="59"/>
        <v>3.1997490240343242E-2</v>
      </c>
      <c r="V141" s="3">
        <f t="shared" si="59"/>
        <v>3.1977487551669515E-2</v>
      </c>
      <c r="W141" s="3">
        <f t="shared" si="59"/>
        <v>3.1778147115556758E-2</v>
      </c>
      <c r="X141" s="3">
        <f t="shared" si="59"/>
        <v>2.9851825782077266E-2</v>
      </c>
      <c r="Y141" s="3">
        <f t="shared" si="59"/>
        <v>1.5973282389498723E-2</v>
      </c>
      <c r="Z141" s="3">
        <f t="shared" si="59"/>
        <v>3.0734551603351965E-5</v>
      </c>
      <c r="AA141" s="3">
        <f t="shared" ref="AA141" si="60">$C27*EXP(-AA$129/$A27/EXP(-$B$126))</f>
        <v>2.1377356517344479E-32</v>
      </c>
      <c r="AB141" s="3">
        <f t="shared" si="46"/>
        <v>5.6653296791171172E-304</v>
      </c>
      <c r="AC141" s="3">
        <f t="shared" si="46"/>
        <v>0</v>
      </c>
      <c r="AD141" s="3">
        <f t="shared" si="46"/>
        <v>0</v>
      </c>
      <c r="AE141" s="3">
        <f t="shared" si="46"/>
        <v>0</v>
      </c>
      <c r="AF141" s="3">
        <f t="shared" si="46"/>
        <v>0</v>
      </c>
    </row>
    <row r="142" spans="1:33" x14ac:dyDescent="0.25">
      <c r="B142" s="3">
        <f t="shared" ref="B142:Z142" si="61">$C28*EXP(-B$129/$A28/EXP(-$B$126))</f>
        <v>4.092704528723929E-2</v>
      </c>
      <c r="C142" s="3">
        <f t="shared" si="61"/>
        <v>4.092704528723929E-2</v>
      </c>
      <c r="D142" s="3">
        <f t="shared" si="61"/>
        <v>4.092704528723929E-2</v>
      </c>
      <c r="E142" s="3">
        <f t="shared" si="61"/>
        <v>4.092704528723929E-2</v>
      </c>
      <c r="F142" s="3">
        <f t="shared" si="61"/>
        <v>4.092704528723929E-2</v>
      </c>
      <c r="G142" s="3">
        <f t="shared" si="61"/>
        <v>4.092704528723929E-2</v>
      </c>
      <c r="H142" s="3">
        <f t="shared" si="61"/>
        <v>4.092704528723929E-2</v>
      </c>
      <c r="I142" s="3">
        <f t="shared" si="61"/>
        <v>4.092704528723929E-2</v>
      </c>
      <c r="J142" s="3">
        <f t="shared" si="61"/>
        <v>4.0927045287239283E-2</v>
      </c>
      <c r="K142" s="3">
        <f t="shared" si="61"/>
        <v>4.0927045287239262E-2</v>
      </c>
      <c r="L142" s="3">
        <f t="shared" si="61"/>
        <v>4.0927045287239033E-2</v>
      </c>
      <c r="M142" s="3">
        <f t="shared" si="61"/>
        <v>4.0927045287236723E-2</v>
      </c>
      <c r="N142" s="3">
        <f t="shared" si="61"/>
        <v>4.0927045287213637E-2</v>
      </c>
      <c r="O142" s="3">
        <f t="shared" si="61"/>
        <v>4.0927045286982766E-2</v>
      </c>
      <c r="P142" s="3">
        <f t="shared" si="61"/>
        <v>4.0927045284674078E-2</v>
      </c>
      <c r="Q142" s="3">
        <f t="shared" si="61"/>
        <v>4.0927045261587199E-2</v>
      </c>
      <c r="R142" s="3">
        <f t="shared" si="61"/>
        <v>4.0927045030718416E-2</v>
      </c>
      <c r="S142" s="3">
        <f t="shared" si="61"/>
        <v>4.0927042722030606E-2</v>
      </c>
      <c r="T142" s="3">
        <f t="shared" si="61"/>
        <v>4.0927019635159684E-2</v>
      </c>
      <c r="U142" s="3">
        <f t="shared" si="61"/>
        <v>4.0926788767166739E-2</v>
      </c>
      <c r="V142" s="3">
        <f t="shared" si="61"/>
        <v>4.0924480158863616E-2</v>
      </c>
      <c r="W142" s="3">
        <f t="shared" si="61"/>
        <v>4.0901401236970288E-2</v>
      </c>
      <c r="X142" s="3">
        <f t="shared" si="61"/>
        <v>4.0671326639429309E-2</v>
      </c>
      <c r="Y142" s="3">
        <f t="shared" si="61"/>
        <v>3.8440573509532928E-2</v>
      </c>
      <c r="Z142" s="3">
        <f t="shared" si="61"/>
        <v>2.1867798127644719E-2</v>
      </c>
      <c r="AA142" s="3">
        <f t="shared" ref="AA142" si="62">$C28*EXP(-AA$129/$A28/EXP(-$B$126))</f>
        <v>7.761703206558837E-5</v>
      </c>
      <c r="AB142" s="3">
        <f t="shared" si="46"/>
        <v>2.4630702147403889E-29</v>
      </c>
      <c r="AC142" s="3">
        <f t="shared" si="46"/>
        <v>2.5507881810566162E-274</v>
      </c>
      <c r="AD142" s="3">
        <f t="shared" si="46"/>
        <v>0</v>
      </c>
      <c r="AE142" s="3">
        <f t="shared" si="46"/>
        <v>0</v>
      </c>
      <c r="AF142" s="3">
        <f t="shared" si="46"/>
        <v>0</v>
      </c>
    </row>
    <row r="143" spans="1:33" x14ac:dyDescent="0.25">
      <c r="B143" s="3">
        <f t="shared" ref="B143:Z143" si="63">$C29*EXP(-B$129/$A29/EXP(-$B$126))</f>
        <v>4.0580339082525729E-2</v>
      </c>
      <c r="C143" s="3">
        <f t="shared" si="63"/>
        <v>4.0580339082525729E-2</v>
      </c>
      <c r="D143" s="3">
        <f t="shared" si="63"/>
        <v>4.0580339082525729E-2</v>
      </c>
      <c r="E143" s="3">
        <f t="shared" si="63"/>
        <v>4.0580339082525729E-2</v>
      </c>
      <c r="F143" s="3">
        <f t="shared" si="63"/>
        <v>4.0580339082525729E-2</v>
      </c>
      <c r="G143" s="3">
        <f t="shared" si="63"/>
        <v>4.0580339082525729E-2</v>
      </c>
      <c r="H143" s="3">
        <f t="shared" si="63"/>
        <v>4.0580339082525729E-2</v>
      </c>
      <c r="I143" s="3">
        <f t="shared" si="63"/>
        <v>4.0580339082525729E-2</v>
      </c>
      <c r="J143" s="3">
        <f t="shared" si="63"/>
        <v>4.0580339082525729E-2</v>
      </c>
      <c r="K143" s="3">
        <f t="shared" si="63"/>
        <v>4.0580339082525722E-2</v>
      </c>
      <c r="L143" s="3">
        <f t="shared" si="63"/>
        <v>4.0580339082525708E-2</v>
      </c>
      <c r="M143" s="3">
        <f t="shared" si="63"/>
        <v>4.05803390825255E-2</v>
      </c>
      <c r="N143" s="3">
        <f t="shared" si="63"/>
        <v>4.0580339082523439E-2</v>
      </c>
      <c r="O143" s="3">
        <f t="shared" si="63"/>
        <v>4.0580339082502782E-2</v>
      </c>
      <c r="P143" s="3">
        <f t="shared" si="63"/>
        <v>4.0580339082296288E-2</v>
      </c>
      <c r="Q143" s="3">
        <f t="shared" si="63"/>
        <v>4.0580339080231301E-2</v>
      </c>
      <c r="R143" s="3">
        <f t="shared" si="63"/>
        <v>4.0580339059581444E-2</v>
      </c>
      <c r="S143" s="3">
        <f t="shared" si="63"/>
        <v>4.0580338853082848E-2</v>
      </c>
      <c r="T143" s="3">
        <f t="shared" si="63"/>
        <v>4.0580336788096992E-2</v>
      </c>
      <c r="U143" s="3">
        <f t="shared" si="63"/>
        <v>4.0580316138244199E-2</v>
      </c>
      <c r="V143" s="3">
        <f t="shared" si="63"/>
        <v>4.0580109640294244E-2</v>
      </c>
      <c r="W143" s="3">
        <f t="shared" si="63"/>
        <v>4.0578044718587225E-2</v>
      </c>
      <c r="X143" s="3">
        <f t="shared" si="63"/>
        <v>4.0557401279687572E-2</v>
      </c>
      <c r="Y143" s="3">
        <f t="shared" si="63"/>
        <v>4.0351543621315024E-2</v>
      </c>
      <c r="Z143" s="3">
        <f t="shared" si="63"/>
        <v>3.8349568855918059E-2</v>
      </c>
      <c r="AA143" s="3">
        <f t="shared" ref="AA143" si="64">$C29*EXP(-AA$129/$A29/EXP(-$B$126))</f>
        <v>2.3054930280973218E-2</v>
      </c>
      <c r="AB143" s="3">
        <f t="shared" si="46"/>
        <v>1.4216643984918392E-4</v>
      </c>
      <c r="AC143" s="3">
        <f t="shared" si="46"/>
        <v>1.1301337233165956E-26</v>
      </c>
      <c r="AD143" s="3">
        <f t="shared" si="46"/>
        <v>1.138825808366154E-247</v>
      </c>
      <c r="AE143" s="3">
        <f t="shared" si="46"/>
        <v>0</v>
      </c>
      <c r="AF143" s="3">
        <f t="shared" si="46"/>
        <v>0</v>
      </c>
    </row>
    <row r="144" spans="1:33" x14ac:dyDescent="0.25">
      <c r="B144" s="3">
        <f t="shared" ref="B144:Z144" si="65">$C30*EXP(-B$129/$A30/EXP(-$B$126))</f>
        <v>2.9296968108172214E-2</v>
      </c>
      <c r="C144" s="3">
        <f t="shared" si="65"/>
        <v>2.9296968108172214E-2</v>
      </c>
      <c r="D144" s="3">
        <f t="shared" si="65"/>
        <v>2.9296968108172214E-2</v>
      </c>
      <c r="E144" s="3">
        <f t="shared" si="65"/>
        <v>2.9296968108172214E-2</v>
      </c>
      <c r="F144" s="3">
        <f t="shared" si="65"/>
        <v>2.9296968108172214E-2</v>
      </c>
      <c r="G144" s="3">
        <f t="shared" si="65"/>
        <v>2.9296968108172214E-2</v>
      </c>
      <c r="H144" s="3">
        <f t="shared" si="65"/>
        <v>2.9296968108172214E-2</v>
      </c>
      <c r="I144" s="3">
        <f t="shared" si="65"/>
        <v>2.9296968108172214E-2</v>
      </c>
      <c r="J144" s="3">
        <f t="shared" si="65"/>
        <v>2.9296968108172214E-2</v>
      </c>
      <c r="K144" s="3">
        <f t="shared" si="65"/>
        <v>2.9296968108172214E-2</v>
      </c>
      <c r="L144" s="3">
        <f t="shared" si="65"/>
        <v>2.9296968108172214E-2</v>
      </c>
      <c r="M144" s="3">
        <f t="shared" si="65"/>
        <v>2.9296968108172197E-2</v>
      </c>
      <c r="N144" s="3">
        <f t="shared" si="65"/>
        <v>2.9296968108172065E-2</v>
      </c>
      <c r="O144" s="3">
        <f t="shared" si="65"/>
        <v>2.9296968108170722E-2</v>
      </c>
      <c r="P144" s="3">
        <f t="shared" si="65"/>
        <v>2.9296968108157271E-2</v>
      </c>
      <c r="Q144" s="3">
        <f t="shared" si="65"/>
        <v>2.9296968108022788E-2</v>
      </c>
      <c r="R144" s="3">
        <f t="shared" si="65"/>
        <v>2.9296968106677944E-2</v>
      </c>
      <c r="S144" s="3">
        <f t="shared" si="65"/>
        <v>2.9296968093229545E-2</v>
      </c>
      <c r="T144" s="3">
        <f t="shared" si="65"/>
        <v>2.9296967958745521E-2</v>
      </c>
      <c r="U144" s="3">
        <f t="shared" si="65"/>
        <v>2.929696661390533E-2</v>
      </c>
      <c r="V144" s="3">
        <f t="shared" si="65"/>
        <v>2.9296953165506786E-2</v>
      </c>
      <c r="W144" s="3">
        <f t="shared" si="65"/>
        <v>2.9296818681860924E-2</v>
      </c>
      <c r="X144" s="3">
        <f t="shared" si="65"/>
        <v>2.929547387935488E-2</v>
      </c>
      <c r="Y144" s="3">
        <f t="shared" si="65"/>
        <v>2.9282029248979134E-2</v>
      </c>
      <c r="Z144" s="3">
        <f t="shared" si="65"/>
        <v>2.9147921837831409E-2</v>
      </c>
      <c r="AA144" s="3">
        <f t="shared" ref="AA144" si="66">$C30*EXP(-AA$129/$A30/EXP(-$B$126))</f>
        <v>2.7840168398259906E-2</v>
      </c>
      <c r="AB144" s="3">
        <f t="shared" ref="AB144:AF153" si="67">$C30*EXP(-AB$129/$A30/EXP(-$B$126))</f>
        <v>1.7591969933870927E-2</v>
      </c>
      <c r="AC144" s="3">
        <f t="shared" si="67"/>
        <v>1.7854209906353433E-4</v>
      </c>
      <c r="AD144" s="3">
        <f t="shared" si="67"/>
        <v>2.0701521146923183E-24</v>
      </c>
      <c r="AE144" s="3">
        <f t="shared" si="67"/>
        <v>9.0911428295126424E-224</v>
      </c>
      <c r="AF144" s="3">
        <f t="shared" si="67"/>
        <v>0</v>
      </c>
    </row>
    <row r="145" spans="1:32" x14ac:dyDescent="0.25">
      <c r="B145" s="3">
        <f t="shared" ref="B145:Z145" si="68">$C31*EXP(-B$129/$A31/EXP(-$B$126))</f>
        <v>3.1189849975264177E-2</v>
      </c>
      <c r="C145" s="3">
        <f t="shared" si="68"/>
        <v>3.1189849975264177E-2</v>
      </c>
      <c r="D145" s="3">
        <f t="shared" si="68"/>
        <v>3.1189849975264177E-2</v>
      </c>
      <c r="E145" s="3">
        <f t="shared" si="68"/>
        <v>3.1189849975264177E-2</v>
      </c>
      <c r="F145" s="3">
        <f t="shared" si="68"/>
        <v>3.1189849975264177E-2</v>
      </c>
      <c r="G145" s="3">
        <f t="shared" si="68"/>
        <v>3.1189849975264177E-2</v>
      </c>
      <c r="H145" s="3">
        <f t="shared" si="68"/>
        <v>3.1189849975264177E-2</v>
      </c>
      <c r="I145" s="3">
        <f t="shared" si="68"/>
        <v>3.1189849975264177E-2</v>
      </c>
      <c r="J145" s="3">
        <f t="shared" si="68"/>
        <v>3.1189849975264177E-2</v>
      </c>
      <c r="K145" s="3">
        <f t="shared" si="68"/>
        <v>3.1189849975264177E-2</v>
      </c>
      <c r="L145" s="3">
        <f t="shared" si="68"/>
        <v>3.1189849975264177E-2</v>
      </c>
      <c r="M145" s="3">
        <f t="shared" si="68"/>
        <v>3.1189849975264177E-2</v>
      </c>
      <c r="N145" s="3">
        <f t="shared" si="68"/>
        <v>3.1189849975264163E-2</v>
      </c>
      <c r="O145" s="3">
        <f t="shared" si="68"/>
        <v>3.1189849975264035E-2</v>
      </c>
      <c r="P145" s="3">
        <f t="shared" si="68"/>
        <v>3.1189849975262744E-2</v>
      </c>
      <c r="Q145" s="3">
        <f t="shared" si="68"/>
        <v>3.1189849975249827E-2</v>
      </c>
      <c r="R145" s="3">
        <f t="shared" si="68"/>
        <v>3.1189849975120674E-2</v>
      </c>
      <c r="S145" s="3">
        <f t="shared" si="68"/>
        <v>3.1189849973829134E-2</v>
      </c>
      <c r="T145" s="3">
        <f t="shared" si="68"/>
        <v>3.1189849960913733E-2</v>
      </c>
      <c r="U145" s="3">
        <f t="shared" si="68"/>
        <v>3.1189849831759722E-2</v>
      </c>
      <c r="V145" s="3">
        <f t="shared" si="68"/>
        <v>3.1189848540219667E-2</v>
      </c>
      <c r="W145" s="3">
        <f t="shared" si="68"/>
        <v>3.1189835624822047E-2</v>
      </c>
      <c r="X145" s="3">
        <f t="shared" si="68"/>
        <v>3.1189706471139982E-2</v>
      </c>
      <c r="Y145" s="3">
        <f t="shared" si="68"/>
        <v>3.1188414963733601E-2</v>
      </c>
      <c r="Z145" s="3">
        <f t="shared" si="68"/>
        <v>3.1175502830644256E-2</v>
      </c>
      <c r="AA145" s="3">
        <f t="shared" ref="AA145" si="69">$C31*EXP(-AA$129/$A31/EXP(-$B$126))</f>
        <v>3.1046675147100664E-2</v>
      </c>
      <c r="AB145" s="3">
        <f t="shared" si="67"/>
        <v>2.9787318079826958E-2</v>
      </c>
      <c r="AC145" s="3">
        <f t="shared" si="67"/>
        <v>1.9687676195811795E-2</v>
      </c>
      <c r="AD145" s="3">
        <f t="shared" si="67"/>
        <v>3.1320234630799368E-4</v>
      </c>
      <c r="AE145" s="3">
        <f t="shared" si="67"/>
        <v>3.2518499401890208E-22</v>
      </c>
      <c r="AF145" s="3">
        <f t="shared" si="67"/>
        <v>4.7335328165390264E-202</v>
      </c>
    </row>
    <row r="146" spans="1:32" x14ac:dyDescent="0.25">
      <c r="B146" s="3">
        <f t="shared" ref="B146:Z146" si="70">$C32*EXP(-B$129/$A32/EXP(-$B$126))</f>
        <v>2.9811720745936274E-2</v>
      </c>
      <c r="C146" s="3">
        <f t="shared" si="70"/>
        <v>2.9811720745936274E-2</v>
      </c>
      <c r="D146" s="3">
        <f t="shared" si="70"/>
        <v>2.9811720745936274E-2</v>
      </c>
      <c r="E146" s="3">
        <f t="shared" si="70"/>
        <v>2.9811720745936274E-2</v>
      </c>
      <c r="F146" s="3">
        <f t="shared" si="70"/>
        <v>2.9811720745936274E-2</v>
      </c>
      <c r="G146" s="3">
        <f t="shared" si="70"/>
        <v>2.9811720745936274E-2</v>
      </c>
      <c r="H146" s="3">
        <f t="shared" si="70"/>
        <v>2.9811720745936274E-2</v>
      </c>
      <c r="I146" s="3">
        <f t="shared" si="70"/>
        <v>2.9811720745936274E-2</v>
      </c>
      <c r="J146" s="3">
        <f t="shared" si="70"/>
        <v>2.9811720745936274E-2</v>
      </c>
      <c r="K146" s="3">
        <f t="shared" si="70"/>
        <v>2.9811720745936274E-2</v>
      </c>
      <c r="L146" s="3">
        <f t="shared" si="70"/>
        <v>2.9811720745936274E-2</v>
      </c>
      <c r="M146" s="3">
        <f t="shared" si="70"/>
        <v>2.9811720745936274E-2</v>
      </c>
      <c r="N146" s="3">
        <f t="shared" si="70"/>
        <v>2.9811720745936274E-2</v>
      </c>
      <c r="O146" s="3">
        <f t="shared" si="70"/>
        <v>2.9811720745936261E-2</v>
      </c>
      <c r="P146" s="3">
        <f t="shared" si="70"/>
        <v>2.9811720745936153E-2</v>
      </c>
      <c r="Q146" s="3">
        <f t="shared" si="70"/>
        <v>2.9811720745935036E-2</v>
      </c>
      <c r="R146" s="3">
        <f t="shared" si="70"/>
        <v>2.9811720745923902E-2</v>
      </c>
      <c r="S146" s="3">
        <f t="shared" si="70"/>
        <v>2.9811720745812544E-2</v>
      </c>
      <c r="T146" s="3">
        <f t="shared" si="70"/>
        <v>2.9811720744698945E-2</v>
      </c>
      <c r="U146" s="3">
        <f t="shared" si="70"/>
        <v>2.9811720733562971E-2</v>
      </c>
      <c r="V146" s="3">
        <f t="shared" si="70"/>
        <v>2.9811720622203223E-2</v>
      </c>
      <c r="W146" s="3">
        <f t="shared" si="70"/>
        <v>2.9811719508605762E-2</v>
      </c>
      <c r="X146" s="3">
        <f t="shared" si="70"/>
        <v>2.9811708372633475E-2</v>
      </c>
      <c r="Y146" s="3">
        <f t="shared" si="70"/>
        <v>2.9811597013139391E-2</v>
      </c>
      <c r="Z146" s="3">
        <f t="shared" si="70"/>
        <v>2.9810483441076917E-2</v>
      </c>
      <c r="AA146" s="3">
        <f t="shared" ref="AA146" si="71">$C32*EXP(-AA$129/$A32/EXP(-$B$126))</f>
        <v>2.9799350007974998E-2</v>
      </c>
      <c r="AB146" s="3">
        <f t="shared" si="67"/>
        <v>2.9688244113392097E-2</v>
      </c>
      <c r="AC146" s="3">
        <f t="shared" si="67"/>
        <v>2.8599716216491298E-2</v>
      </c>
      <c r="AD146" s="3">
        <f t="shared" si="67"/>
        <v>1.9684928348981483E-2</v>
      </c>
      <c r="AE146" s="3">
        <f t="shared" si="67"/>
        <v>4.6973723121128543E-4</v>
      </c>
      <c r="AF146" s="3">
        <f t="shared" si="67"/>
        <v>2.8123310120609483E-20</v>
      </c>
    </row>
    <row r="147" spans="1:32" x14ac:dyDescent="0.25">
      <c r="B147" s="3">
        <f t="shared" ref="B147:Z147" si="72">$C33*EXP(-B$129/$A33/EXP(-$B$126))</f>
        <v>3.5101091393318837E-2</v>
      </c>
      <c r="C147" s="3">
        <f t="shared" si="72"/>
        <v>3.5101091393318837E-2</v>
      </c>
      <c r="D147" s="3">
        <f t="shared" si="72"/>
        <v>3.5101091393318837E-2</v>
      </c>
      <c r="E147" s="3">
        <f t="shared" si="72"/>
        <v>3.5101091393318837E-2</v>
      </c>
      <c r="F147" s="3">
        <f t="shared" si="72"/>
        <v>3.5101091393318837E-2</v>
      </c>
      <c r="G147" s="3">
        <f t="shared" si="72"/>
        <v>3.5101091393318837E-2</v>
      </c>
      <c r="H147" s="3">
        <f t="shared" si="72"/>
        <v>3.5101091393318837E-2</v>
      </c>
      <c r="I147" s="3">
        <f t="shared" si="72"/>
        <v>3.5101091393318837E-2</v>
      </c>
      <c r="J147" s="3">
        <f t="shared" si="72"/>
        <v>3.5101091393318837E-2</v>
      </c>
      <c r="K147" s="3">
        <f t="shared" si="72"/>
        <v>3.5101091393318837E-2</v>
      </c>
      <c r="L147" s="3">
        <f t="shared" si="72"/>
        <v>3.5101091393318837E-2</v>
      </c>
      <c r="M147" s="3">
        <f t="shared" si="72"/>
        <v>3.5101091393318837E-2</v>
      </c>
      <c r="N147" s="3">
        <f t="shared" si="72"/>
        <v>3.5101091393318837E-2</v>
      </c>
      <c r="O147" s="3">
        <f t="shared" si="72"/>
        <v>3.5101091393318837E-2</v>
      </c>
      <c r="P147" s="3">
        <f t="shared" si="72"/>
        <v>3.5101091393318823E-2</v>
      </c>
      <c r="Q147" s="3">
        <f t="shared" si="72"/>
        <v>3.5101091393318705E-2</v>
      </c>
      <c r="R147" s="3">
        <f t="shared" si="72"/>
        <v>3.5101091393317525E-2</v>
      </c>
      <c r="S147" s="3">
        <f t="shared" si="72"/>
        <v>3.5101091393305694E-2</v>
      </c>
      <c r="T147" s="3">
        <f t="shared" si="72"/>
        <v>3.5101091393187414E-2</v>
      </c>
      <c r="U147" s="3">
        <f t="shared" si="72"/>
        <v>3.5101091392004624E-2</v>
      </c>
      <c r="V147" s="3">
        <f t="shared" si="72"/>
        <v>3.5101091380176704E-2</v>
      </c>
      <c r="W147" s="3">
        <f t="shared" si="72"/>
        <v>3.5101091261897491E-2</v>
      </c>
      <c r="X147" s="3">
        <f t="shared" si="72"/>
        <v>3.5101090079105439E-2</v>
      </c>
      <c r="Y147" s="3">
        <f t="shared" si="72"/>
        <v>3.5101078251187093E-2</v>
      </c>
      <c r="Z147" s="3">
        <f t="shared" si="72"/>
        <v>3.510095997222281E-2</v>
      </c>
      <c r="AA147" s="3">
        <f t="shared" ref="AA147" si="73">$C33*EXP(-AA$129/$A33/EXP(-$B$126))</f>
        <v>3.5099777204500589E-2</v>
      </c>
      <c r="AB147" s="3">
        <f t="shared" si="67"/>
        <v>3.5087951719067298E-2</v>
      </c>
      <c r="AC147" s="3">
        <f t="shared" si="67"/>
        <v>3.496991577060235E-2</v>
      </c>
      <c r="AD147" s="3">
        <f t="shared" si="67"/>
        <v>3.3811176388026457E-2</v>
      </c>
      <c r="AE147" s="3">
        <f t="shared" si="67"/>
        <v>2.4138886495588388E-2</v>
      </c>
      <c r="AF147" s="3">
        <f t="shared" si="67"/>
        <v>8.3039886140275326E-4</v>
      </c>
    </row>
    <row r="148" spans="1:32" x14ac:dyDescent="0.25">
      <c r="B148" s="3">
        <f t="shared" ref="B148:Z148" si="74">$C34*EXP(-B$129/$A34/EXP(-$B$126))</f>
        <v>3.5333951268882481E-2</v>
      </c>
      <c r="C148" s="3">
        <f t="shared" si="74"/>
        <v>3.5333951268882481E-2</v>
      </c>
      <c r="D148" s="3">
        <f t="shared" si="74"/>
        <v>3.5333951268882481E-2</v>
      </c>
      <c r="E148" s="3">
        <f t="shared" si="74"/>
        <v>3.5333951268882481E-2</v>
      </c>
      <c r="F148" s="3">
        <f t="shared" si="74"/>
        <v>3.5333951268882481E-2</v>
      </c>
      <c r="G148" s="3">
        <f t="shared" si="74"/>
        <v>3.5333951268882481E-2</v>
      </c>
      <c r="H148" s="3">
        <f t="shared" si="74"/>
        <v>3.5333951268882481E-2</v>
      </c>
      <c r="I148" s="3">
        <f t="shared" si="74"/>
        <v>3.5333951268882481E-2</v>
      </c>
      <c r="J148" s="3">
        <f t="shared" si="74"/>
        <v>3.5333951268882481E-2</v>
      </c>
      <c r="K148" s="3">
        <f t="shared" si="74"/>
        <v>3.5333951268882481E-2</v>
      </c>
      <c r="L148" s="3">
        <f t="shared" si="74"/>
        <v>3.5333951268882481E-2</v>
      </c>
      <c r="M148" s="3">
        <f t="shared" si="74"/>
        <v>3.5333951268882481E-2</v>
      </c>
      <c r="N148" s="3">
        <f t="shared" si="74"/>
        <v>3.5333951268882481E-2</v>
      </c>
      <c r="O148" s="3">
        <f t="shared" si="74"/>
        <v>3.5333951268882481E-2</v>
      </c>
      <c r="P148" s="3">
        <f t="shared" si="74"/>
        <v>3.5333951268882481E-2</v>
      </c>
      <c r="Q148" s="3">
        <f t="shared" si="74"/>
        <v>3.5333951268882467E-2</v>
      </c>
      <c r="R148" s="3">
        <f t="shared" si="74"/>
        <v>3.5333951268882363E-2</v>
      </c>
      <c r="S148" s="3">
        <f t="shared" si="74"/>
        <v>3.5333951268881288E-2</v>
      </c>
      <c r="T148" s="3">
        <f t="shared" si="74"/>
        <v>3.5333951268870546E-2</v>
      </c>
      <c r="U148" s="3">
        <f t="shared" si="74"/>
        <v>3.5333951268763139E-2</v>
      </c>
      <c r="V148" s="3">
        <f t="shared" si="74"/>
        <v>3.5333951267689089E-2</v>
      </c>
      <c r="W148" s="3">
        <f t="shared" si="74"/>
        <v>3.5333951256948534E-2</v>
      </c>
      <c r="X148" s="3">
        <f t="shared" si="74"/>
        <v>3.5333951149543019E-2</v>
      </c>
      <c r="Y148" s="3">
        <f t="shared" si="74"/>
        <v>3.5333950075487883E-2</v>
      </c>
      <c r="Z148" s="3">
        <f t="shared" si="74"/>
        <v>3.5333939334938329E-2</v>
      </c>
      <c r="AA148" s="3">
        <f>$C34*EXP(-AA$129/$A34/EXP(-$B$126))</f>
        <v>3.5333831929622361E-2</v>
      </c>
      <c r="AB148" s="3">
        <f t="shared" si="67"/>
        <v>3.5332757894419073E-2</v>
      </c>
      <c r="AC148" s="3">
        <f t="shared" si="67"/>
        <v>3.5322019337819845E-2</v>
      </c>
      <c r="AD148" s="3">
        <f t="shared" si="67"/>
        <v>3.5214813113432705E-2</v>
      </c>
      <c r="AE148" s="3">
        <f t="shared" si="67"/>
        <v>3.4160484954378456E-2</v>
      </c>
      <c r="AF148" s="3">
        <f t="shared" si="67"/>
        <v>2.5206376732983374E-2</v>
      </c>
    </row>
    <row r="149" spans="1:32" x14ac:dyDescent="0.25">
      <c r="B149" s="3">
        <f t="shared" ref="B149:Z149" si="75">$C35*EXP(-B$129/$A35/EXP(-$B$126))</f>
        <v>3.9261973776363202E-2</v>
      </c>
      <c r="C149" s="3">
        <f t="shared" si="75"/>
        <v>3.9261973776363202E-2</v>
      </c>
      <c r="D149" s="3">
        <f t="shared" si="75"/>
        <v>3.9261973776363202E-2</v>
      </c>
      <c r="E149" s="3">
        <f t="shared" si="75"/>
        <v>3.9261973776363202E-2</v>
      </c>
      <c r="F149" s="3">
        <f t="shared" si="75"/>
        <v>3.9261973776363202E-2</v>
      </c>
      <c r="G149" s="3">
        <f t="shared" si="75"/>
        <v>3.9261973776363202E-2</v>
      </c>
      <c r="H149" s="3">
        <f t="shared" si="75"/>
        <v>3.9261973776363202E-2</v>
      </c>
      <c r="I149" s="3">
        <f t="shared" si="75"/>
        <v>3.9261973776363202E-2</v>
      </c>
      <c r="J149" s="3">
        <f t="shared" si="75"/>
        <v>3.9261973776363202E-2</v>
      </c>
      <c r="K149" s="3">
        <f t="shared" si="75"/>
        <v>3.9261973776363202E-2</v>
      </c>
      <c r="L149" s="3">
        <f t="shared" si="75"/>
        <v>3.9261973776363202E-2</v>
      </c>
      <c r="M149" s="3">
        <f t="shared" si="75"/>
        <v>3.9261973776363202E-2</v>
      </c>
      <c r="N149" s="3">
        <f t="shared" si="75"/>
        <v>3.9261973776363202E-2</v>
      </c>
      <c r="O149" s="3">
        <f t="shared" si="75"/>
        <v>3.9261973776363202E-2</v>
      </c>
      <c r="P149" s="3">
        <f t="shared" si="75"/>
        <v>3.9261973776363202E-2</v>
      </c>
      <c r="Q149" s="3">
        <f t="shared" si="75"/>
        <v>3.9261973776363202E-2</v>
      </c>
      <c r="R149" s="3">
        <f t="shared" si="75"/>
        <v>3.9261973776363188E-2</v>
      </c>
      <c r="S149" s="3">
        <f t="shared" si="75"/>
        <v>3.9261973776363084E-2</v>
      </c>
      <c r="T149" s="3">
        <f t="shared" si="75"/>
        <v>3.9261973776362008E-2</v>
      </c>
      <c r="U149" s="3">
        <f t="shared" si="75"/>
        <v>3.9261973776351239E-2</v>
      </c>
      <c r="V149" s="3">
        <f t="shared" si="75"/>
        <v>3.9261973776243582E-2</v>
      </c>
      <c r="W149" s="3">
        <f t="shared" si="75"/>
        <v>3.9261973775166985E-2</v>
      </c>
      <c r="X149" s="3">
        <f t="shared" si="75"/>
        <v>3.9261973764401013E-2</v>
      </c>
      <c r="Y149" s="3">
        <f t="shared" si="75"/>
        <v>3.9261973656741334E-2</v>
      </c>
      <c r="Z149" s="3">
        <f t="shared" si="75"/>
        <v>3.9261972580144515E-2</v>
      </c>
      <c r="AA149" s="3">
        <f t="shared" ref="AA149" si="76">$C35*EXP(-AA$129/$A35/EXP(-$B$126))</f>
        <v>3.9261961814178001E-2</v>
      </c>
      <c r="AB149" s="3">
        <f t="shared" si="67"/>
        <v>3.9261854154675174E-2</v>
      </c>
      <c r="AC149" s="3">
        <f t="shared" si="67"/>
        <v>3.9260777575883449E-2</v>
      </c>
      <c r="AD149" s="3">
        <f t="shared" si="67"/>
        <v>3.9250013411449347E-2</v>
      </c>
      <c r="AE149" s="3">
        <f t="shared" si="67"/>
        <v>3.9142533950835182E-2</v>
      </c>
      <c r="AF149" s="3">
        <f t="shared" si="67"/>
        <v>3.8083794370308018E-2</v>
      </c>
    </row>
    <row r="150" spans="1:32" x14ac:dyDescent="0.25">
      <c r="B150" s="3">
        <f t="shared" ref="B150:Z150" si="77">$C36*EXP(-B$129/$A36/EXP(-$B$126))</f>
        <v>3.7079136060128547E-2</v>
      </c>
      <c r="C150" s="3">
        <f t="shared" si="77"/>
        <v>3.7079136060128547E-2</v>
      </c>
      <c r="D150" s="3">
        <f t="shared" si="77"/>
        <v>3.7079136060128547E-2</v>
      </c>
      <c r="E150" s="3">
        <f t="shared" si="77"/>
        <v>3.7079136060128547E-2</v>
      </c>
      <c r="F150" s="3">
        <f t="shared" si="77"/>
        <v>3.7079136060128547E-2</v>
      </c>
      <c r="G150" s="3">
        <f t="shared" si="77"/>
        <v>3.7079136060128547E-2</v>
      </c>
      <c r="H150" s="3">
        <f t="shared" si="77"/>
        <v>3.7079136060128547E-2</v>
      </c>
      <c r="I150" s="3">
        <f t="shared" si="77"/>
        <v>3.7079136060128547E-2</v>
      </c>
      <c r="J150" s="3">
        <f t="shared" si="77"/>
        <v>3.7079136060128547E-2</v>
      </c>
      <c r="K150" s="3">
        <f t="shared" si="77"/>
        <v>3.7079136060128547E-2</v>
      </c>
      <c r="L150" s="3">
        <f t="shared" si="77"/>
        <v>3.7079136060128547E-2</v>
      </c>
      <c r="M150" s="3">
        <f t="shared" si="77"/>
        <v>3.7079136060128547E-2</v>
      </c>
      <c r="N150" s="3">
        <f t="shared" si="77"/>
        <v>3.7079136060128547E-2</v>
      </c>
      <c r="O150" s="3">
        <f t="shared" si="77"/>
        <v>3.7079136060128547E-2</v>
      </c>
      <c r="P150" s="3">
        <f t="shared" si="77"/>
        <v>3.7079136060128547E-2</v>
      </c>
      <c r="Q150" s="3">
        <f t="shared" si="77"/>
        <v>3.7079136060128547E-2</v>
      </c>
      <c r="R150" s="3">
        <f t="shared" si="77"/>
        <v>3.7079136060128547E-2</v>
      </c>
      <c r="S150" s="3">
        <f t="shared" si="77"/>
        <v>3.707913606012854E-2</v>
      </c>
      <c r="T150" s="3">
        <f t="shared" si="77"/>
        <v>3.7079136060128443E-2</v>
      </c>
      <c r="U150" s="3">
        <f t="shared" si="77"/>
        <v>3.7079136060127527E-2</v>
      </c>
      <c r="V150" s="3">
        <f t="shared" si="77"/>
        <v>3.7079136060118353E-2</v>
      </c>
      <c r="W150" s="3">
        <f t="shared" si="77"/>
        <v>3.7079136060026635E-2</v>
      </c>
      <c r="X150" s="3">
        <f t="shared" si="77"/>
        <v>3.7079136059109452E-2</v>
      </c>
      <c r="Y150" s="3">
        <f t="shared" si="77"/>
        <v>3.7079136049937594E-2</v>
      </c>
      <c r="Z150" s="3">
        <f t="shared" si="77"/>
        <v>3.7079135958219052E-2</v>
      </c>
      <c r="AA150" s="3">
        <f t="shared" ref="AA150" si="78">$C36*EXP(-AA$129/$A36/EXP(-$B$126))</f>
        <v>3.7079135041033592E-2</v>
      </c>
      <c r="AB150" s="3">
        <f t="shared" si="67"/>
        <v>3.7079125869180274E-2</v>
      </c>
      <c r="AC150" s="3">
        <f t="shared" si="67"/>
        <v>3.7079034150771815E-2</v>
      </c>
      <c r="AD150" s="3">
        <f t="shared" si="67"/>
        <v>3.7078116979165264E-2</v>
      </c>
      <c r="AE150" s="3">
        <f t="shared" si="67"/>
        <v>3.7068946510779813E-2</v>
      </c>
      <c r="AF150" s="3">
        <f t="shared" si="67"/>
        <v>3.6977366480820825E-2</v>
      </c>
    </row>
    <row r="151" spans="1:32" x14ac:dyDescent="0.25">
      <c r="B151" s="3">
        <f t="shared" ref="B151:Z151" si="79">$C37*EXP(-B$129/$A37/EXP(-$B$126))</f>
        <v>4.610056969230196E-2</v>
      </c>
      <c r="C151" s="3">
        <f t="shared" si="79"/>
        <v>4.610056969230196E-2</v>
      </c>
      <c r="D151" s="3">
        <f t="shared" si="79"/>
        <v>4.610056969230196E-2</v>
      </c>
      <c r="E151" s="3">
        <f t="shared" si="79"/>
        <v>4.610056969230196E-2</v>
      </c>
      <c r="F151" s="3">
        <f t="shared" si="79"/>
        <v>4.610056969230196E-2</v>
      </c>
      <c r="G151" s="3">
        <f t="shared" si="79"/>
        <v>4.610056969230196E-2</v>
      </c>
      <c r="H151" s="3">
        <f t="shared" si="79"/>
        <v>4.610056969230196E-2</v>
      </c>
      <c r="I151" s="3">
        <f t="shared" si="79"/>
        <v>4.610056969230196E-2</v>
      </c>
      <c r="J151" s="3">
        <f t="shared" si="79"/>
        <v>4.610056969230196E-2</v>
      </c>
      <c r="K151" s="3">
        <f t="shared" si="79"/>
        <v>4.610056969230196E-2</v>
      </c>
      <c r="L151" s="3">
        <f t="shared" si="79"/>
        <v>4.610056969230196E-2</v>
      </c>
      <c r="M151" s="3">
        <f t="shared" si="79"/>
        <v>4.610056969230196E-2</v>
      </c>
      <c r="N151" s="3">
        <f t="shared" si="79"/>
        <v>4.610056969230196E-2</v>
      </c>
      <c r="O151" s="3">
        <f t="shared" si="79"/>
        <v>4.610056969230196E-2</v>
      </c>
      <c r="P151" s="3">
        <f t="shared" si="79"/>
        <v>4.610056969230196E-2</v>
      </c>
      <c r="Q151" s="3">
        <f t="shared" si="79"/>
        <v>4.610056969230196E-2</v>
      </c>
      <c r="R151" s="3">
        <f t="shared" si="79"/>
        <v>4.610056969230196E-2</v>
      </c>
      <c r="S151" s="3">
        <f t="shared" si="79"/>
        <v>4.610056969230196E-2</v>
      </c>
      <c r="T151" s="3">
        <f t="shared" si="79"/>
        <v>4.6100569692301953E-2</v>
      </c>
      <c r="U151" s="3">
        <f t="shared" si="79"/>
        <v>4.6100569692301849E-2</v>
      </c>
      <c r="V151" s="3">
        <f t="shared" si="79"/>
        <v>4.6100569692300822E-2</v>
      </c>
      <c r="W151" s="3">
        <f t="shared" si="79"/>
        <v>4.6100569692290531E-2</v>
      </c>
      <c r="X151" s="3">
        <f t="shared" si="79"/>
        <v>4.6100569692187662E-2</v>
      </c>
      <c r="Y151" s="3">
        <f t="shared" si="79"/>
        <v>4.6100569691158978E-2</v>
      </c>
      <c r="Z151" s="3">
        <f t="shared" si="79"/>
        <v>4.6100569680872179E-2</v>
      </c>
      <c r="AA151" s="3">
        <f t="shared" ref="AA151" si="80">$C37*EXP(-AA$129/$A37/EXP(-$B$126))</f>
        <v>4.6100569578004146E-2</v>
      </c>
      <c r="AB151" s="3">
        <f t="shared" si="67"/>
        <v>4.610056854932381E-2</v>
      </c>
      <c r="AC151" s="3">
        <f t="shared" si="67"/>
        <v>4.6100558262521733E-2</v>
      </c>
      <c r="AD151" s="3">
        <f t="shared" si="67"/>
        <v>4.6100455394627204E-2</v>
      </c>
      <c r="AE151" s="3">
        <f t="shared" si="67"/>
        <v>4.6099426728306435E-2</v>
      </c>
      <c r="AF151" s="3">
        <f t="shared" si="67"/>
        <v>4.6089141327441872E-2</v>
      </c>
    </row>
    <row r="152" spans="1:32" x14ac:dyDescent="0.25">
      <c r="B152" s="3">
        <f t="shared" ref="B152:Z152" si="81">$C38*EXP(-B$129/$A38/EXP(-$B$126))</f>
        <v>2.4069457926978895E-2</v>
      </c>
      <c r="C152" s="3">
        <f t="shared" si="81"/>
        <v>2.4069457926978895E-2</v>
      </c>
      <c r="D152" s="3">
        <f t="shared" si="81"/>
        <v>2.4069457926978895E-2</v>
      </c>
      <c r="E152" s="3">
        <f t="shared" si="81"/>
        <v>2.4069457926978895E-2</v>
      </c>
      <c r="F152" s="3">
        <f t="shared" si="81"/>
        <v>2.4069457926978895E-2</v>
      </c>
      <c r="G152" s="3">
        <f t="shared" si="81"/>
        <v>2.4069457926978895E-2</v>
      </c>
      <c r="H152" s="3">
        <f t="shared" si="81"/>
        <v>2.4069457926978895E-2</v>
      </c>
      <c r="I152" s="3">
        <f t="shared" si="81"/>
        <v>2.4069457926978895E-2</v>
      </c>
      <c r="J152" s="3">
        <f t="shared" si="81"/>
        <v>2.4069457926978895E-2</v>
      </c>
      <c r="K152" s="3">
        <f t="shared" si="81"/>
        <v>2.4069457926978895E-2</v>
      </c>
      <c r="L152" s="3">
        <f t="shared" si="81"/>
        <v>2.4069457926978895E-2</v>
      </c>
      <c r="M152" s="3">
        <f t="shared" si="81"/>
        <v>2.4069457926978895E-2</v>
      </c>
      <c r="N152" s="3">
        <f t="shared" si="81"/>
        <v>2.4069457926978895E-2</v>
      </c>
      <c r="O152" s="3">
        <f t="shared" si="81"/>
        <v>2.4069457926978895E-2</v>
      </c>
      <c r="P152" s="3">
        <f t="shared" si="81"/>
        <v>2.4069457926978895E-2</v>
      </c>
      <c r="Q152" s="3">
        <f t="shared" si="81"/>
        <v>2.4069457926978895E-2</v>
      </c>
      <c r="R152" s="3">
        <f t="shared" si="81"/>
        <v>2.4069457926978895E-2</v>
      </c>
      <c r="S152" s="3">
        <f t="shared" si="81"/>
        <v>2.4069457926978895E-2</v>
      </c>
      <c r="T152" s="3">
        <f t="shared" si="81"/>
        <v>2.4069457926978895E-2</v>
      </c>
      <c r="U152" s="3">
        <f t="shared" si="81"/>
        <v>2.4069457926978888E-2</v>
      </c>
      <c r="V152" s="3">
        <f t="shared" si="81"/>
        <v>2.4069457926978843E-2</v>
      </c>
      <c r="W152" s="3">
        <f t="shared" si="81"/>
        <v>2.4069457926978358E-2</v>
      </c>
      <c r="X152" s="3">
        <f t="shared" si="81"/>
        <v>2.4069457926973511E-2</v>
      </c>
      <c r="Y152" s="3">
        <f t="shared" si="81"/>
        <v>2.4069457926925063E-2</v>
      </c>
      <c r="Z152" s="3">
        <f t="shared" si="81"/>
        <v>2.4069457926440573E-2</v>
      </c>
      <c r="AA152" s="3">
        <f t="shared" ref="AA152" si="82">$C38*EXP(-AA$129/$A38/EXP(-$B$126))</f>
        <v>2.4069457921595646E-2</v>
      </c>
      <c r="AB152" s="3">
        <f t="shared" si="67"/>
        <v>2.4069457873146394E-2</v>
      </c>
      <c r="AC152" s="3">
        <f t="shared" si="67"/>
        <v>2.406945738865391E-2</v>
      </c>
      <c r="AD152" s="3">
        <f t="shared" si="67"/>
        <v>2.4069452543729584E-2</v>
      </c>
      <c r="AE152" s="3">
        <f t="shared" si="67"/>
        <v>2.4069404094539986E-2</v>
      </c>
      <c r="AF152" s="3">
        <f t="shared" si="67"/>
        <v>2.4068919608007701E-2</v>
      </c>
    </row>
    <row r="153" spans="1:32" x14ac:dyDescent="0.25">
      <c r="B153" s="3">
        <f t="shared" ref="B153:Z153" si="83">$C39*EXP(-B$129/$A39/EXP(-$B$126))</f>
        <v>4.2363904015121308E-2</v>
      </c>
      <c r="C153" s="3">
        <f t="shared" si="83"/>
        <v>4.2363904015121308E-2</v>
      </c>
      <c r="D153" s="3">
        <f t="shared" si="83"/>
        <v>4.2363904015121308E-2</v>
      </c>
      <c r="E153" s="3">
        <f t="shared" si="83"/>
        <v>4.2363904015121308E-2</v>
      </c>
      <c r="F153" s="3">
        <f t="shared" si="83"/>
        <v>4.2363904015121308E-2</v>
      </c>
      <c r="G153" s="3">
        <f t="shared" si="83"/>
        <v>4.2363904015121308E-2</v>
      </c>
      <c r="H153" s="3">
        <f t="shared" si="83"/>
        <v>4.2363904015121308E-2</v>
      </c>
      <c r="I153" s="3">
        <f t="shared" si="83"/>
        <v>4.2363904015121308E-2</v>
      </c>
      <c r="J153" s="3">
        <f t="shared" si="83"/>
        <v>4.2363904015121308E-2</v>
      </c>
      <c r="K153" s="3">
        <f t="shared" si="83"/>
        <v>4.2363904015121308E-2</v>
      </c>
      <c r="L153" s="3">
        <f t="shared" si="83"/>
        <v>4.2363904015121308E-2</v>
      </c>
      <c r="M153" s="3">
        <f t="shared" si="83"/>
        <v>4.2363904015121308E-2</v>
      </c>
      <c r="N153" s="3">
        <f t="shared" si="83"/>
        <v>4.2363904015121308E-2</v>
      </c>
      <c r="O153" s="3">
        <f t="shared" si="83"/>
        <v>4.2363904015121308E-2</v>
      </c>
      <c r="P153" s="3">
        <f t="shared" si="83"/>
        <v>4.2363904015121308E-2</v>
      </c>
      <c r="Q153" s="3">
        <f t="shared" si="83"/>
        <v>4.2363904015121308E-2</v>
      </c>
      <c r="R153" s="3">
        <f t="shared" si="83"/>
        <v>4.2363904015121308E-2</v>
      </c>
      <c r="S153" s="3">
        <f t="shared" si="83"/>
        <v>4.2363904015121308E-2</v>
      </c>
      <c r="T153" s="3">
        <f t="shared" si="83"/>
        <v>4.2363904015121308E-2</v>
      </c>
      <c r="U153" s="3">
        <f t="shared" si="83"/>
        <v>4.2363904015121301E-2</v>
      </c>
      <c r="V153" s="3">
        <f t="shared" si="83"/>
        <v>4.236390401512128E-2</v>
      </c>
      <c r="W153" s="3">
        <f t="shared" si="83"/>
        <v>4.2363904015121044E-2</v>
      </c>
      <c r="X153" s="3">
        <f t="shared" si="83"/>
        <v>4.2363904015118685E-2</v>
      </c>
      <c r="Y153" s="3">
        <f t="shared" si="83"/>
        <v>4.23639040150951E-2</v>
      </c>
      <c r="Z153" s="3">
        <f t="shared" si="83"/>
        <v>4.2363904014859254E-2</v>
      </c>
      <c r="AA153" s="3">
        <f t="shared" ref="AA153" si="84">$C39*EXP(-AA$129/$A39/EXP(-$B$126))</f>
        <v>4.2363904012500793E-2</v>
      </c>
      <c r="AB153" s="3">
        <f t="shared" si="67"/>
        <v>4.2363903988916131E-2</v>
      </c>
      <c r="AC153" s="3">
        <f t="shared" si="67"/>
        <v>4.2363903753069553E-2</v>
      </c>
      <c r="AD153" s="3">
        <f t="shared" si="67"/>
        <v>4.2363901394603859E-2</v>
      </c>
      <c r="AE153" s="3">
        <f t="shared" si="67"/>
        <v>4.2363877809954098E-2</v>
      </c>
      <c r="AF153" s="3">
        <f t="shared" si="67"/>
        <v>4.2363641964178668E-2</v>
      </c>
    </row>
    <row r="154" spans="1:32" x14ac:dyDescent="0.25">
      <c r="B154" s="3">
        <f t="shared" ref="B154:Z154" si="85">$C40*EXP(-B$129/$A40/EXP(-$B$126))</f>
        <v>5.5125175365667731E-2</v>
      </c>
      <c r="C154" s="3">
        <f t="shared" si="85"/>
        <v>5.5125175365667731E-2</v>
      </c>
      <c r="D154" s="3">
        <f t="shared" si="85"/>
        <v>5.5125175365667731E-2</v>
      </c>
      <c r="E154" s="3">
        <f t="shared" si="85"/>
        <v>5.5125175365667731E-2</v>
      </c>
      <c r="F154" s="3">
        <f t="shared" si="85"/>
        <v>5.5125175365667731E-2</v>
      </c>
      <c r="G154" s="3">
        <f t="shared" si="85"/>
        <v>5.5125175365667731E-2</v>
      </c>
      <c r="H154" s="3">
        <f t="shared" si="85"/>
        <v>5.5125175365667731E-2</v>
      </c>
      <c r="I154" s="3">
        <f t="shared" si="85"/>
        <v>5.5125175365667731E-2</v>
      </c>
      <c r="J154" s="3">
        <f t="shared" si="85"/>
        <v>5.5125175365667731E-2</v>
      </c>
      <c r="K154" s="3">
        <f t="shared" si="85"/>
        <v>5.5125175365667731E-2</v>
      </c>
      <c r="L154" s="3">
        <f t="shared" si="85"/>
        <v>5.5125175365667731E-2</v>
      </c>
      <c r="M154" s="3">
        <f t="shared" si="85"/>
        <v>5.5125175365667731E-2</v>
      </c>
      <c r="N154" s="3">
        <f t="shared" si="85"/>
        <v>5.5125175365667731E-2</v>
      </c>
      <c r="O154" s="3">
        <f t="shared" si="85"/>
        <v>5.5125175365667731E-2</v>
      </c>
      <c r="P154" s="3">
        <f t="shared" si="85"/>
        <v>5.5125175365667731E-2</v>
      </c>
      <c r="Q154" s="3">
        <f t="shared" si="85"/>
        <v>5.5125175365667731E-2</v>
      </c>
      <c r="R154" s="3">
        <f t="shared" si="85"/>
        <v>5.5125175365667731E-2</v>
      </c>
      <c r="S154" s="3">
        <f t="shared" si="85"/>
        <v>5.5125175365667731E-2</v>
      </c>
      <c r="T154" s="3">
        <f t="shared" si="85"/>
        <v>5.5125175365667731E-2</v>
      </c>
      <c r="U154" s="3">
        <f t="shared" si="85"/>
        <v>5.5125175365667731E-2</v>
      </c>
      <c r="V154" s="3">
        <f t="shared" si="85"/>
        <v>5.5125175365667724E-2</v>
      </c>
      <c r="W154" s="3">
        <f t="shared" si="85"/>
        <v>5.5125175365667696E-2</v>
      </c>
      <c r="X154" s="3">
        <f t="shared" si="85"/>
        <v>5.5125175365667391E-2</v>
      </c>
      <c r="Y154" s="3">
        <f t="shared" si="85"/>
        <v>5.5125175365664324E-2</v>
      </c>
      <c r="Z154" s="3">
        <f t="shared" si="85"/>
        <v>5.5125175365633626E-2</v>
      </c>
      <c r="AA154" s="3">
        <f t="shared" ref="AA154:AF154" si="86">$C40*EXP(-AA$129/$A40/EXP(-$B$126))</f>
        <v>5.512517536532674E-2</v>
      </c>
      <c r="AB154" s="3">
        <f t="shared" si="86"/>
        <v>5.5125175362257833E-2</v>
      </c>
      <c r="AC154" s="3">
        <f t="shared" si="86"/>
        <v>5.5125175331568778E-2</v>
      </c>
      <c r="AD154" s="3">
        <f t="shared" si="86"/>
        <v>5.5125175024678175E-2</v>
      </c>
      <c r="AE154" s="3">
        <f t="shared" si="86"/>
        <v>5.5125171955772267E-2</v>
      </c>
      <c r="AF154" s="3">
        <f t="shared" si="86"/>
        <v>5.5125141266722612E-2</v>
      </c>
    </row>
    <row r="155" spans="1:32" x14ac:dyDescent="0.25">
      <c r="B155" s="3">
        <f t="shared" ref="B155:Z155" si="87">$C41*EXP(-B$129/$A41/EXP(-$B$126))</f>
        <v>5.6884717195846243E-2</v>
      </c>
      <c r="C155" s="3">
        <f t="shared" si="87"/>
        <v>5.6884717195846243E-2</v>
      </c>
      <c r="D155" s="3">
        <f t="shared" si="87"/>
        <v>5.6884717195846243E-2</v>
      </c>
      <c r="E155" s="3">
        <f t="shared" si="87"/>
        <v>5.6884717195846243E-2</v>
      </c>
      <c r="F155" s="3">
        <f t="shared" si="87"/>
        <v>5.6884717195846243E-2</v>
      </c>
      <c r="G155" s="3">
        <f t="shared" si="87"/>
        <v>5.6884717195846243E-2</v>
      </c>
      <c r="H155" s="3">
        <f t="shared" si="87"/>
        <v>5.6884717195846243E-2</v>
      </c>
      <c r="I155" s="3">
        <f t="shared" si="87"/>
        <v>5.6884717195846243E-2</v>
      </c>
      <c r="J155" s="3">
        <f t="shared" si="87"/>
        <v>5.6884717195846243E-2</v>
      </c>
      <c r="K155" s="3">
        <f t="shared" si="87"/>
        <v>5.6884717195846243E-2</v>
      </c>
      <c r="L155" s="3">
        <f t="shared" si="87"/>
        <v>5.6884717195846243E-2</v>
      </c>
      <c r="M155" s="3">
        <f t="shared" si="87"/>
        <v>5.6884717195846243E-2</v>
      </c>
      <c r="N155" s="3">
        <f t="shared" si="87"/>
        <v>5.6884717195846243E-2</v>
      </c>
      <c r="O155" s="3">
        <f t="shared" si="87"/>
        <v>5.6884717195846243E-2</v>
      </c>
      <c r="P155" s="3">
        <f t="shared" si="87"/>
        <v>5.6884717195846243E-2</v>
      </c>
      <c r="Q155" s="3">
        <f t="shared" si="87"/>
        <v>5.6884717195846243E-2</v>
      </c>
      <c r="R155" s="3">
        <f t="shared" si="87"/>
        <v>5.6884717195846243E-2</v>
      </c>
      <c r="S155" s="3">
        <f t="shared" si="87"/>
        <v>5.6884717195846243E-2</v>
      </c>
      <c r="T155" s="3">
        <f t="shared" si="87"/>
        <v>5.6884717195846243E-2</v>
      </c>
      <c r="U155" s="3">
        <f t="shared" si="87"/>
        <v>5.6884717195846243E-2</v>
      </c>
      <c r="V155" s="3">
        <f t="shared" si="87"/>
        <v>5.6884717195846243E-2</v>
      </c>
      <c r="W155" s="3">
        <f t="shared" si="87"/>
        <v>5.6884717195846236E-2</v>
      </c>
      <c r="X155" s="3">
        <f t="shared" si="87"/>
        <v>5.6884717195846209E-2</v>
      </c>
      <c r="Y155" s="3">
        <f t="shared" si="87"/>
        <v>5.6884717195845889E-2</v>
      </c>
      <c r="Z155" s="3">
        <f t="shared" si="87"/>
        <v>5.6884717195842725E-2</v>
      </c>
      <c r="AA155" s="3">
        <f t="shared" ref="AA155:AF155" si="88">$C41*EXP(-AA$129/$A41/EXP(-$B$126))</f>
        <v>5.6884717195811056E-2</v>
      </c>
      <c r="AB155" s="3">
        <f t="shared" si="88"/>
        <v>5.6884717195494372E-2</v>
      </c>
      <c r="AC155" s="3">
        <f t="shared" si="88"/>
        <v>5.6884717192327509E-2</v>
      </c>
      <c r="AD155" s="3">
        <f t="shared" si="88"/>
        <v>5.6884717160658883E-2</v>
      </c>
      <c r="AE155" s="3">
        <f t="shared" si="88"/>
        <v>5.688471684397263E-2</v>
      </c>
      <c r="AF155" s="3">
        <f t="shared" si="88"/>
        <v>5.6884713677110246E-2</v>
      </c>
    </row>
    <row r="156" spans="1:32" x14ac:dyDescent="0.25">
      <c r="B156" s="3">
        <f t="shared" ref="B156:Z156" si="89">$C42*EXP(-B$129/$A42/EXP(-$B$126))</f>
        <v>5.455134576807355E-2</v>
      </c>
      <c r="C156" s="3">
        <f t="shared" si="89"/>
        <v>5.455134576807355E-2</v>
      </c>
      <c r="D156" s="3">
        <f t="shared" si="89"/>
        <v>5.455134576807355E-2</v>
      </c>
      <c r="E156" s="3">
        <f t="shared" si="89"/>
        <v>5.455134576807355E-2</v>
      </c>
      <c r="F156" s="3">
        <f t="shared" si="89"/>
        <v>5.455134576807355E-2</v>
      </c>
      <c r="G156" s="3">
        <f t="shared" si="89"/>
        <v>5.455134576807355E-2</v>
      </c>
      <c r="H156" s="3">
        <f t="shared" si="89"/>
        <v>5.455134576807355E-2</v>
      </c>
      <c r="I156" s="3">
        <f t="shared" si="89"/>
        <v>5.455134576807355E-2</v>
      </c>
      <c r="J156" s="3">
        <f t="shared" si="89"/>
        <v>5.455134576807355E-2</v>
      </c>
      <c r="K156" s="3">
        <f t="shared" si="89"/>
        <v>5.455134576807355E-2</v>
      </c>
      <c r="L156" s="3">
        <f t="shared" si="89"/>
        <v>5.455134576807355E-2</v>
      </c>
      <c r="M156" s="3">
        <f t="shared" si="89"/>
        <v>5.455134576807355E-2</v>
      </c>
      <c r="N156" s="3">
        <f t="shared" si="89"/>
        <v>5.455134576807355E-2</v>
      </c>
      <c r="O156" s="3">
        <f t="shared" si="89"/>
        <v>5.455134576807355E-2</v>
      </c>
      <c r="P156" s="3">
        <f t="shared" si="89"/>
        <v>5.455134576807355E-2</v>
      </c>
      <c r="Q156" s="3">
        <f t="shared" si="89"/>
        <v>5.455134576807355E-2</v>
      </c>
      <c r="R156" s="3">
        <f t="shared" si="89"/>
        <v>5.455134576807355E-2</v>
      </c>
      <c r="S156" s="3">
        <f t="shared" si="89"/>
        <v>5.455134576807355E-2</v>
      </c>
      <c r="T156" s="3">
        <f t="shared" si="89"/>
        <v>5.455134576807355E-2</v>
      </c>
      <c r="U156" s="3">
        <f t="shared" si="89"/>
        <v>5.455134576807355E-2</v>
      </c>
      <c r="V156" s="3">
        <f t="shared" si="89"/>
        <v>5.455134576807355E-2</v>
      </c>
      <c r="W156" s="3">
        <f t="shared" si="89"/>
        <v>5.455134576807355E-2</v>
      </c>
      <c r="X156" s="3">
        <f t="shared" si="89"/>
        <v>5.4551345768073543E-2</v>
      </c>
      <c r="Y156" s="3">
        <f t="shared" si="89"/>
        <v>5.4551345768073516E-2</v>
      </c>
      <c r="Z156" s="3">
        <f t="shared" si="89"/>
        <v>5.455134576807321E-2</v>
      </c>
      <c r="AA156" s="3">
        <f t="shared" ref="AA156:AF156" si="90">$C42*EXP(-AA$129/$A42/EXP(-$B$126))</f>
        <v>5.4551345768070178E-2</v>
      </c>
      <c r="AB156" s="3">
        <f t="shared" si="90"/>
        <v>5.4551345768039806E-2</v>
      </c>
      <c r="AC156" s="3">
        <f t="shared" si="90"/>
        <v>5.4551345767736112E-2</v>
      </c>
      <c r="AD156" s="3">
        <f t="shared" si="90"/>
        <v>5.4551345764699152E-2</v>
      </c>
      <c r="AE156" s="3">
        <f t="shared" si="90"/>
        <v>5.455134573432955E-2</v>
      </c>
      <c r="AF156" s="3">
        <f t="shared" si="90"/>
        <v>5.4551345430633551E-2</v>
      </c>
    </row>
    <row r="157" spans="1:32" x14ac:dyDescent="0.25">
      <c r="B157" s="3">
        <f t="shared" ref="B157:Z157" si="91">$C43*EXP(-B$129/$A43/EXP(-$B$126))</f>
        <v>3.7051538899778975E-2</v>
      </c>
      <c r="C157" s="3">
        <f t="shared" si="91"/>
        <v>3.7051538899778975E-2</v>
      </c>
      <c r="D157" s="3">
        <f t="shared" si="91"/>
        <v>3.7051538899778975E-2</v>
      </c>
      <c r="E157" s="3">
        <f t="shared" si="91"/>
        <v>3.7051538899778975E-2</v>
      </c>
      <c r="F157" s="3">
        <f t="shared" si="91"/>
        <v>3.7051538899778975E-2</v>
      </c>
      <c r="G157" s="3">
        <f t="shared" si="91"/>
        <v>3.7051538899778975E-2</v>
      </c>
      <c r="H157" s="3">
        <f t="shared" si="91"/>
        <v>3.7051538899778975E-2</v>
      </c>
      <c r="I157" s="3">
        <f t="shared" si="91"/>
        <v>3.7051538899778975E-2</v>
      </c>
      <c r="J157" s="3">
        <f t="shared" si="91"/>
        <v>3.7051538899778975E-2</v>
      </c>
      <c r="K157" s="3">
        <f t="shared" si="91"/>
        <v>3.7051538899778975E-2</v>
      </c>
      <c r="L157" s="3">
        <f t="shared" si="91"/>
        <v>3.7051538899778975E-2</v>
      </c>
      <c r="M157" s="3">
        <f t="shared" si="91"/>
        <v>3.7051538899778975E-2</v>
      </c>
      <c r="N157" s="3">
        <f t="shared" si="91"/>
        <v>3.7051538899778975E-2</v>
      </c>
      <c r="O157" s="3">
        <f t="shared" si="91"/>
        <v>3.7051538899778975E-2</v>
      </c>
      <c r="P157" s="3">
        <f t="shared" si="91"/>
        <v>3.7051538899778975E-2</v>
      </c>
      <c r="Q157" s="3">
        <f t="shared" si="91"/>
        <v>3.7051538899778975E-2</v>
      </c>
      <c r="R157" s="3">
        <f t="shared" si="91"/>
        <v>3.7051538899778975E-2</v>
      </c>
      <c r="S157" s="3">
        <f t="shared" si="91"/>
        <v>3.7051538899778975E-2</v>
      </c>
      <c r="T157" s="3">
        <f t="shared" si="91"/>
        <v>3.7051538899778975E-2</v>
      </c>
      <c r="U157" s="3">
        <f t="shared" si="91"/>
        <v>3.7051538899778975E-2</v>
      </c>
      <c r="V157" s="3">
        <f t="shared" si="91"/>
        <v>3.7051538899778975E-2</v>
      </c>
      <c r="W157" s="3">
        <f t="shared" si="91"/>
        <v>3.7051538899778975E-2</v>
      </c>
      <c r="X157" s="3">
        <f t="shared" si="91"/>
        <v>3.7051538899778975E-2</v>
      </c>
      <c r="Y157" s="3">
        <f t="shared" si="91"/>
        <v>3.7051538899778969E-2</v>
      </c>
      <c r="Z157" s="3">
        <f t="shared" si="91"/>
        <v>3.7051538899778948E-2</v>
      </c>
      <c r="AA157" s="3">
        <f t="shared" ref="AA157:AF157" si="92">$C43*EXP(-AA$129/$A43/EXP(-$B$126))</f>
        <v>3.7051538899778746E-2</v>
      </c>
      <c r="AB157" s="3">
        <f t="shared" si="92"/>
        <v>3.7051538899776686E-2</v>
      </c>
      <c r="AC157" s="3">
        <f t="shared" si="92"/>
        <v>3.7051538899756056E-2</v>
      </c>
      <c r="AD157" s="3">
        <f t="shared" si="92"/>
        <v>3.7051538899549784E-2</v>
      </c>
      <c r="AE157" s="3">
        <f t="shared" si="92"/>
        <v>3.7051538897487066E-2</v>
      </c>
      <c r="AF157" s="3">
        <f t="shared" si="92"/>
        <v>3.7051538876859885E-2</v>
      </c>
    </row>
    <row r="158" spans="1:32" x14ac:dyDescent="0.25">
      <c r="B158" s="3">
        <f t="shared" ref="B158:Z158" si="93">$C44*EXP(-B$129/$A44/EXP(-$B$126))</f>
        <v>2.3553362774933962E-2</v>
      </c>
      <c r="C158" s="3">
        <f t="shared" si="93"/>
        <v>2.3553362774933962E-2</v>
      </c>
      <c r="D158" s="3">
        <f t="shared" si="93"/>
        <v>2.3553362774933962E-2</v>
      </c>
      <c r="E158" s="3">
        <f t="shared" si="93"/>
        <v>2.3553362774933962E-2</v>
      </c>
      <c r="F158" s="3">
        <f t="shared" si="93"/>
        <v>2.3553362774933962E-2</v>
      </c>
      <c r="G158" s="3">
        <f t="shared" si="93"/>
        <v>2.3553362774933962E-2</v>
      </c>
      <c r="H158" s="3">
        <f t="shared" si="93"/>
        <v>2.3553362774933962E-2</v>
      </c>
      <c r="I158" s="3">
        <f t="shared" si="93"/>
        <v>2.3553362774933962E-2</v>
      </c>
      <c r="J158" s="3">
        <f t="shared" si="93"/>
        <v>2.3553362774933962E-2</v>
      </c>
      <c r="K158" s="3">
        <f t="shared" si="93"/>
        <v>2.3553362774933962E-2</v>
      </c>
      <c r="L158" s="3">
        <f t="shared" si="93"/>
        <v>2.3553362774933962E-2</v>
      </c>
      <c r="M158" s="3">
        <f t="shared" si="93"/>
        <v>2.3553362774933962E-2</v>
      </c>
      <c r="N158" s="3">
        <f t="shared" si="93"/>
        <v>2.3553362774933962E-2</v>
      </c>
      <c r="O158" s="3">
        <f t="shared" si="93"/>
        <v>2.3553362774933962E-2</v>
      </c>
      <c r="P158" s="3">
        <f t="shared" si="93"/>
        <v>2.3553362774933962E-2</v>
      </c>
      <c r="Q158" s="3">
        <f t="shared" si="93"/>
        <v>2.3553362774933962E-2</v>
      </c>
      <c r="R158" s="3">
        <f t="shared" si="93"/>
        <v>2.3553362774933962E-2</v>
      </c>
      <c r="S158" s="3">
        <f t="shared" si="93"/>
        <v>2.3553362774933962E-2</v>
      </c>
      <c r="T158" s="3">
        <f t="shared" si="93"/>
        <v>2.3553362774933962E-2</v>
      </c>
      <c r="U158" s="3">
        <f t="shared" si="93"/>
        <v>2.3553362774933962E-2</v>
      </c>
      <c r="V158" s="3">
        <f t="shared" si="93"/>
        <v>2.3553362774933962E-2</v>
      </c>
      <c r="W158" s="3">
        <f t="shared" si="93"/>
        <v>2.3553362774933962E-2</v>
      </c>
      <c r="X158" s="3">
        <f t="shared" si="93"/>
        <v>2.3553362774933962E-2</v>
      </c>
      <c r="Y158" s="3">
        <f t="shared" si="93"/>
        <v>2.3553362774933962E-2</v>
      </c>
      <c r="Z158" s="3">
        <f t="shared" si="93"/>
        <v>2.3553362774933959E-2</v>
      </c>
      <c r="AA158" s="3">
        <f t="shared" ref="AA158:AF158" si="94">$C44*EXP(-AA$129/$A44/EXP(-$B$126))</f>
        <v>2.3553362774933945E-2</v>
      </c>
      <c r="AB158" s="3">
        <f t="shared" si="94"/>
        <v>2.3553362774933816E-2</v>
      </c>
      <c r="AC158" s="3">
        <f t="shared" si="94"/>
        <v>2.3553362774932505E-2</v>
      </c>
      <c r="AD158" s="3">
        <f t="shared" si="94"/>
        <v>2.355336277491939E-2</v>
      </c>
      <c r="AE158" s="3">
        <f t="shared" si="94"/>
        <v>2.3553362774788266E-2</v>
      </c>
      <c r="AF158" s="3">
        <f t="shared" si="94"/>
        <v>2.3553362773477016E-2</v>
      </c>
    </row>
    <row r="159" spans="1:32" x14ac:dyDescent="0.25">
      <c r="A159" s="11" t="s">
        <v>75</v>
      </c>
      <c r="B159" s="3">
        <f t="shared" ref="B159:Z159" si="95">$C45*EXP(-B$129/$A45/EXP(-$B$126))</f>
        <v>8.915333557989135E-3</v>
      </c>
      <c r="C159" s="3">
        <f t="shared" si="95"/>
        <v>8.915333557989135E-3</v>
      </c>
      <c r="D159" s="3">
        <f t="shared" si="95"/>
        <v>8.915333557989135E-3</v>
      </c>
      <c r="E159" s="3">
        <f t="shared" si="95"/>
        <v>8.915333557989135E-3</v>
      </c>
      <c r="F159" s="3">
        <f t="shared" si="95"/>
        <v>8.915333557989135E-3</v>
      </c>
      <c r="G159" s="3">
        <f t="shared" si="95"/>
        <v>8.915333557989135E-3</v>
      </c>
      <c r="H159" s="3">
        <f t="shared" si="95"/>
        <v>8.915333557989135E-3</v>
      </c>
      <c r="I159" s="3">
        <f t="shared" si="95"/>
        <v>8.915333557989135E-3</v>
      </c>
      <c r="J159" s="3">
        <f t="shared" si="95"/>
        <v>8.915333557989135E-3</v>
      </c>
      <c r="K159" s="3">
        <f t="shared" si="95"/>
        <v>8.915333557989135E-3</v>
      </c>
      <c r="L159" s="3">
        <f t="shared" si="95"/>
        <v>8.915333557989135E-3</v>
      </c>
      <c r="M159" s="3">
        <f t="shared" si="95"/>
        <v>8.915333557989135E-3</v>
      </c>
      <c r="N159" s="3">
        <f t="shared" si="95"/>
        <v>8.915333557989135E-3</v>
      </c>
      <c r="O159" s="3">
        <f t="shared" si="95"/>
        <v>8.915333557989135E-3</v>
      </c>
      <c r="P159" s="3">
        <f t="shared" si="95"/>
        <v>8.915333557989135E-3</v>
      </c>
      <c r="Q159" s="3">
        <f t="shared" si="95"/>
        <v>8.915333557989135E-3</v>
      </c>
      <c r="R159" s="3">
        <f t="shared" si="95"/>
        <v>8.915333557989135E-3</v>
      </c>
      <c r="S159" s="3">
        <f t="shared" si="95"/>
        <v>8.915333557989135E-3</v>
      </c>
      <c r="T159" s="3">
        <f t="shared" si="95"/>
        <v>8.915333557989135E-3</v>
      </c>
      <c r="U159" s="3">
        <f t="shared" si="95"/>
        <v>8.915333557989135E-3</v>
      </c>
      <c r="V159" s="3">
        <f t="shared" si="95"/>
        <v>8.915333557989135E-3</v>
      </c>
      <c r="W159" s="3">
        <f t="shared" si="95"/>
        <v>8.915333557989135E-3</v>
      </c>
      <c r="X159" s="3">
        <f t="shared" si="95"/>
        <v>8.915333557989135E-3</v>
      </c>
      <c r="Y159" s="3">
        <f t="shared" si="95"/>
        <v>8.915333557989135E-3</v>
      </c>
      <c r="Z159" s="3">
        <f t="shared" si="95"/>
        <v>8.915333557989135E-3</v>
      </c>
      <c r="AA159" s="3">
        <f t="shared" ref="AA159:AF159" si="96">$C45*EXP(-AA$129/$A45/EXP(-$B$126))</f>
        <v>8.9153335579891333E-3</v>
      </c>
      <c r="AB159" s="3">
        <f t="shared" si="96"/>
        <v>8.9153335579891298E-3</v>
      </c>
      <c r="AC159" s="3">
        <f t="shared" si="96"/>
        <v>8.9153335579890795E-3</v>
      </c>
      <c r="AD159" s="3">
        <f t="shared" si="96"/>
        <v>8.9153335579885834E-3</v>
      </c>
      <c r="AE159" s="3">
        <f t="shared" si="96"/>
        <v>8.9153335579836204E-3</v>
      </c>
      <c r="AF159" s="3">
        <f t="shared" si="96"/>
        <v>8.9153335579339864E-3</v>
      </c>
    </row>
    <row r="160" spans="1:32" x14ac:dyDescent="0.25">
      <c r="B160" s="3">
        <f t="shared" ref="B160:Z160" si="97">$C46*EXP(-B$129/$A46/EXP(-$B$126))</f>
        <v>6.6530683932672779E-3</v>
      </c>
      <c r="C160" s="3">
        <f t="shared" si="97"/>
        <v>6.6530683932672779E-3</v>
      </c>
      <c r="D160" s="3">
        <f t="shared" si="97"/>
        <v>6.6530683932672779E-3</v>
      </c>
      <c r="E160" s="3">
        <f t="shared" si="97"/>
        <v>6.6530683932672779E-3</v>
      </c>
      <c r="F160" s="3">
        <f t="shared" si="97"/>
        <v>6.6530683932672779E-3</v>
      </c>
      <c r="G160" s="3">
        <f t="shared" si="97"/>
        <v>6.6530683932672779E-3</v>
      </c>
      <c r="H160" s="3">
        <f t="shared" si="97"/>
        <v>6.6530683932672779E-3</v>
      </c>
      <c r="I160" s="3">
        <f t="shared" si="97"/>
        <v>6.6530683932672779E-3</v>
      </c>
      <c r="J160" s="3">
        <f t="shared" si="97"/>
        <v>6.6530683932672779E-3</v>
      </c>
      <c r="K160" s="3">
        <f t="shared" si="97"/>
        <v>6.6530683932672779E-3</v>
      </c>
      <c r="L160" s="3">
        <f t="shared" si="97"/>
        <v>6.6530683932672779E-3</v>
      </c>
      <c r="M160" s="3">
        <f t="shared" si="97"/>
        <v>6.6530683932672779E-3</v>
      </c>
      <c r="N160" s="3">
        <f t="shared" si="97"/>
        <v>6.6530683932672779E-3</v>
      </c>
      <c r="O160" s="3">
        <f t="shared" si="97"/>
        <v>6.6530683932672779E-3</v>
      </c>
      <c r="P160" s="3">
        <f t="shared" si="97"/>
        <v>6.6530683932672779E-3</v>
      </c>
      <c r="Q160" s="3">
        <f t="shared" si="97"/>
        <v>6.6530683932672779E-3</v>
      </c>
      <c r="R160" s="3">
        <f t="shared" si="97"/>
        <v>6.6530683932672779E-3</v>
      </c>
      <c r="S160" s="3">
        <f t="shared" si="97"/>
        <v>6.6530683932672779E-3</v>
      </c>
      <c r="T160" s="3">
        <f t="shared" si="97"/>
        <v>6.6530683932672779E-3</v>
      </c>
      <c r="U160" s="3">
        <f t="shared" si="97"/>
        <v>6.6530683932672779E-3</v>
      </c>
      <c r="V160" s="3">
        <f t="shared" si="97"/>
        <v>6.6530683932672779E-3</v>
      </c>
      <c r="W160" s="3">
        <f t="shared" si="97"/>
        <v>6.6530683932672779E-3</v>
      </c>
      <c r="X160" s="3">
        <f t="shared" si="97"/>
        <v>6.6530683932672779E-3</v>
      </c>
      <c r="Y160" s="3">
        <f t="shared" si="97"/>
        <v>6.6530683932672779E-3</v>
      </c>
      <c r="Z160" s="3">
        <f t="shared" si="97"/>
        <v>6.6530683932672779E-3</v>
      </c>
      <c r="AA160" s="3">
        <f t="shared" ref="AA160:AF160" si="98">$C46*EXP(-AA$129/$A46/EXP(-$B$126))</f>
        <v>6.6530683932672779E-3</v>
      </c>
      <c r="AB160" s="3">
        <f t="shared" si="98"/>
        <v>6.6530683932672771E-3</v>
      </c>
      <c r="AC160" s="3">
        <f t="shared" si="98"/>
        <v>6.6530683932672736E-3</v>
      </c>
      <c r="AD160" s="3">
        <f t="shared" si="98"/>
        <v>6.6530683932672363E-3</v>
      </c>
      <c r="AE160" s="3">
        <f t="shared" si="98"/>
        <v>6.6530683932668668E-3</v>
      </c>
      <c r="AF160" s="3">
        <f t="shared" si="98"/>
        <v>6.6530683932631623E-3</v>
      </c>
    </row>
    <row r="161" spans="1:34" x14ac:dyDescent="0.25">
      <c r="A161" s="11" t="s">
        <v>75</v>
      </c>
      <c r="B161" s="3">
        <f t="shared" ref="B161:Z161" si="99">$C47*EXP(-B$129/$A47/EXP(-$B$126))</f>
        <v>6.4465417196877487E-4</v>
      </c>
      <c r="C161" s="3">
        <f t="shared" si="99"/>
        <v>6.4465417196877487E-4</v>
      </c>
      <c r="D161" s="3">
        <f t="shared" si="99"/>
        <v>6.4465417196877487E-4</v>
      </c>
      <c r="E161" s="3">
        <f t="shared" si="99"/>
        <v>6.4465417196877487E-4</v>
      </c>
      <c r="F161" s="3">
        <f t="shared" si="99"/>
        <v>6.4465417196877487E-4</v>
      </c>
      <c r="G161" s="3">
        <f t="shared" si="99"/>
        <v>6.4465417196877487E-4</v>
      </c>
      <c r="H161" s="3">
        <f t="shared" si="99"/>
        <v>6.4465417196877487E-4</v>
      </c>
      <c r="I161" s="3">
        <f t="shared" si="99"/>
        <v>6.4465417196877487E-4</v>
      </c>
      <c r="J161" s="3">
        <f t="shared" si="99"/>
        <v>6.4465417196877487E-4</v>
      </c>
      <c r="K161" s="3">
        <f t="shared" si="99"/>
        <v>6.4465417196877487E-4</v>
      </c>
      <c r="L161" s="3">
        <f t="shared" si="99"/>
        <v>6.4465417196877487E-4</v>
      </c>
      <c r="M161" s="3">
        <f t="shared" si="99"/>
        <v>6.4465417196877487E-4</v>
      </c>
      <c r="N161" s="3">
        <f t="shared" si="99"/>
        <v>6.4465417196877487E-4</v>
      </c>
      <c r="O161" s="3">
        <f t="shared" si="99"/>
        <v>6.4465417196877487E-4</v>
      </c>
      <c r="P161" s="3">
        <f t="shared" si="99"/>
        <v>6.4465417196877487E-4</v>
      </c>
      <c r="Q161" s="3">
        <f t="shared" si="99"/>
        <v>6.4465417196877487E-4</v>
      </c>
      <c r="R161" s="3">
        <f t="shared" si="99"/>
        <v>6.4465417196877487E-4</v>
      </c>
      <c r="S161" s="3">
        <f t="shared" si="99"/>
        <v>6.4465417196877487E-4</v>
      </c>
      <c r="T161" s="3">
        <f t="shared" si="99"/>
        <v>6.4465417196877487E-4</v>
      </c>
      <c r="U161" s="3">
        <f t="shared" si="99"/>
        <v>6.4465417196877487E-4</v>
      </c>
      <c r="V161" s="3">
        <f t="shared" si="99"/>
        <v>6.4465417196877487E-4</v>
      </c>
      <c r="W161" s="3">
        <f t="shared" si="99"/>
        <v>6.4465417196877487E-4</v>
      </c>
      <c r="X161" s="3">
        <f t="shared" si="99"/>
        <v>6.4465417196877487E-4</v>
      </c>
      <c r="Y161" s="3">
        <f t="shared" si="99"/>
        <v>6.4465417196877487E-4</v>
      </c>
      <c r="Z161" s="3">
        <f t="shared" si="99"/>
        <v>6.4465417196877487E-4</v>
      </c>
      <c r="AA161" s="3">
        <f t="shared" ref="AA161:AF161" si="100">$C47*EXP(-AA$129/$A47/EXP(-$B$126))</f>
        <v>6.4465417196877487E-4</v>
      </c>
      <c r="AB161" s="3">
        <f t="shared" si="100"/>
        <v>6.4465417196877487E-4</v>
      </c>
      <c r="AC161" s="3">
        <f t="shared" si="100"/>
        <v>6.4465417196877476E-4</v>
      </c>
      <c r="AD161" s="3">
        <f t="shared" si="100"/>
        <v>6.4465417196877444E-4</v>
      </c>
      <c r="AE161" s="3">
        <f t="shared" si="100"/>
        <v>6.4465417196877086E-4</v>
      </c>
      <c r="AF161" s="3">
        <f t="shared" si="100"/>
        <v>6.4465417196873497E-4</v>
      </c>
    </row>
    <row r="162" spans="1:34" x14ac:dyDescent="0.25">
      <c r="B162" s="3">
        <f t="shared" ref="B162:Z162" si="101">$C48*EXP(-B$129/$A48/EXP(-$B$126))</f>
        <v>7.8044740016632993E-3</v>
      </c>
      <c r="C162" s="3">
        <f t="shared" si="101"/>
        <v>7.8044740016632993E-3</v>
      </c>
      <c r="D162" s="3">
        <f t="shared" si="101"/>
        <v>7.8044740016632993E-3</v>
      </c>
      <c r="E162" s="3">
        <f t="shared" si="101"/>
        <v>7.8044740016632993E-3</v>
      </c>
      <c r="F162" s="3">
        <f t="shared" si="101"/>
        <v>7.8044740016632993E-3</v>
      </c>
      <c r="G162" s="3">
        <f t="shared" si="101"/>
        <v>7.8044740016632993E-3</v>
      </c>
      <c r="H162" s="3">
        <f t="shared" si="101"/>
        <v>7.8044740016632993E-3</v>
      </c>
      <c r="I162" s="3">
        <f t="shared" si="101"/>
        <v>7.8044740016632993E-3</v>
      </c>
      <c r="J162" s="3">
        <f t="shared" si="101"/>
        <v>7.8044740016632993E-3</v>
      </c>
      <c r="K162" s="3">
        <f t="shared" si="101"/>
        <v>7.8044740016632993E-3</v>
      </c>
      <c r="L162" s="3">
        <f t="shared" si="101"/>
        <v>7.8044740016632993E-3</v>
      </c>
      <c r="M162" s="3">
        <f t="shared" si="101"/>
        <v>7.8044740016632993E-3</v>
      </c>
      <c r="N162" s="3">
        <f t="shared" si="101"/>
        <v>7.8044740016632993E-3</v>
      </c>
      <c r="O162" s="3">
        <f t="shared" si="101"/>
        <v>7.8044740016632993E-3</v>
      </c>
      <c r="P162" s="3">
        <f t="shared" si="101"/>
        <v>7.8044740016632993E-3</v>
      </c>
      <c r="Q162" s="3">
        <f t="shared" si="101"/>
        <v>7.8044740016632993E-3</v>
      </c>
      <c r="R162" s="3">
        <f t="shared" si="101"/>
        <v>7.8044740016632993E-3</v>
      </c>
      <c r="S162" s="3">
        <f t="shared" si="101"/>
        <v>7.8044740016632993E-3</v>
      </c>
      <c r="T162" s="3">
        <f t="shared" si="101"/>
        <v>7.8044740016632993E-3</v>
      </c>
      <c r="U162" s="3">
        <f t="shared" si="101"/>
        <v>7.8044740016632993E-3</v>
      </c>
      <c r="V162" s="3">
        <f t="shared" si="101"/>
        <v>7.8044740016632993E-3</v>
      </c>
      <c r="W162" s="3">
        <f t="shared" si="101"/>
        <v>7.8044740016632993E-3</v>
      </c>
      <c r="X162" s="3">
        <f t="shared" si="101"/>
        <v>7.8044740016632993E-3</v>
      </c>
      <c r="Y162" s="3">
        <f t="shared" si="101"/>
        <v>7.8044740016632993E-3</v>
      </c>
      <c r="Z162" s="3">
        <f t="shared" si="101"/>
        <v>7.8044740016632993E-3</v>
      </c>
      <c r="AA162" s="3">
        <f t="shared" ref="AA162:AF162" si="102">$C48*EXP(-AA$129/$A48/EXP(-$B$126))</f>
        <v>7.8044740016632993E-3</v>
      </c>
      <c r="AB162" s="3">
        <f t="shared" si="102"/>
        <v>7.8044740016632993E-3</v>
      </c>
      <c r="AC162" s="3">
        <f t="shared" si="102"/>
        <v>7.8044740016632993E-3</v>
      </c>
      <c r="AD162" s="3">
        <f t="shared" si="102"/>
        <v>7.8044740016632985E-3</v>
      </c>
      <c r="AE162" s="3">
        <f t="shared" si="102"/>
        <v>7.8044740016632941E-3</v>
      </c>
      <c r="AF162" s="3">
        <f t="shared" si="102"/>
        <v>7.8044740016632507E-3</v>
      </c>
    </row>
    <row r="163" spans="1:34" x14ac:dyDescent="0.25">
      <c r="A163" s="79">
        <f>AVERAGE(B163:AF163)</f>
        <v>1.8194402634509516E-2</v>
      </c>
      <c r="B163" s="80">
        <f>IF($A$64&lt;=B129,IF($B$64&gt;=B129,ABS((B131-B130)/B130),0),0)</f>
        <v>2.4243889674830659E-3</v>
      </c>
      <c r="C163" s="80">
        <f t="shared" ref="C163:AF163" si="103">IF($A$64&lt;=C129,IF($B$64&gt;=C129,ABS((C131-C130)/C130),0),0)</f>
        <v>2.4302193187108038E-3</v>
      </c>
      <c r="D163" s="80">
        <f t="shared" si="103"/>
        <v>2.4266291153983558E-3</v>
      </c>
      <c r="E163" s="80">
        <f t="shared" si="103"/>
        <v>2.4256343291828401E-3</v>
      </c>
      <c r="F163" s="80">
        <f t="shared" si="103"/>
        <v>2.4265522361281273E-3</v>
      </c>
      <c r="G163" s="80">
        <f t="shared" si="103"/>
        <v>2.4389002881778149E-3</v>
      </c>
      <c r="H163" s="80">
        <f t="shared" si="103"/>
        <v>2.5633019205823088E-3</v>
      </c>
      <c r="I163" s="80">
        <f t="shared" si="103"/>
        <v>3.7700480021442208E-3</v>
      </c>
      <c r="J163" s="80">
        <f t="shared" si="103"/>
        <v>1.2768913191832503E-2</v>
      </c>
      <c r="K163" s="80">
        <f t="shared" si="103"/>
        <v>2.4802702309964921E-2</v>
      </c>
      <c r="L163" s="80">
        <f t="shared" si="103"/>
        <v>2.4847296381717149E-2</v>
      </c>
      <c r="M163" s="80">
        <f t="shared" si="103"/>
        <v>2.4831788922422601E-2</v>
      </c>
      <c r="N163" s="80">
        <f t="shared" si="103"/>
        <v>2.4678404337573262E-2</v>
      </c>
      <c r="O163" s="80">
        <f t="shared" si="103"/>
        <v>2.3238235825028538E-2</v>
      </c>
      <c r="P163" s="80">
        <f t="shared" si="103"/>
        <v>1.3108193884242612E-2</v>
      </c>
      <c r="Q163" s="80">
        <f t="shared" si="103"/>
        <v>2.0422565027565249E-2</v>
      </c>
      <c r="R163" s="80">
        <f t="shared" si="103"/>
        <v>2.0665036133955726E-2</v>
      </c>
      <c r="S163" s="80">
        <f t="shared" si="103"/>
        <v>2.1471889383217851E-2</v>
      </c>
      <c r="T163" s="80">
        <f t="shared" si="103"/>
        <v>2.329402397298231E-2</v>
      </c>
      <c r="U163" s="80">
        <f t="shared" si="103"/>
        <v>2.5244518676907923E-2</v>
      </c>
      <c r="V163" s="80">
        <f t="shared" si="103"/>
        <v>2.3638667848083897E-2</v>
      </c>
      <c r="W163" s="80">
        <f t="shared" si="103"/>
        <v>1.2782199035591925E-2</v>
      </c>
      <c r="X163" s="80">
        <f t="shared" si="103"/>
        <v>4.094607727663957E-3</v>
      </c>
      <c r="Y163" s="80">
        <f t="shared" si="103"/>
        <v>1.7359820599006679E-2</v>
      </c>
      <c r="Z163" s="80">
        <f t="shared" si="103"/>
        <v>2.224760778440027E-2</v>
      </c>
      <c r="AA163" s="80">
        <f t="shared" si="103"/>
        <v>2.5869566762250308E-2</v>
      </c>
      <c r="AB163" s="80">
        <f t="shared" si="103"/>
        <v>3.4890880885469586E-2</v>
      </c>
      <c r="AC163" s="80">
        <f t="shared" si="103"/>
        <v>4.2284376789588816E-2</v>
      </c>
      <c r="AD163" s="80">
        <f t="shared" si="103"/>
        <v>4.1084399615469828E-2</v>
      </c>
      <c r="AE163" s="80">
        <f t="shared" si="103"/>
        <v>3.6968759233222188E-2</v>
      </c>
      <c r="AF163" s="80">
        <f t="shared" si="103"/>
        <v>2.2526353163829296E-2</v>
      </c>
    </row>
    <row r="164" spans="1:34" x14ac:dyDescent="0.25">
      <c r="B164" s="21">
        <f>(B131-B130)^2</f>
        <v>186.15839746139173</v>
      </c>
      <c r="C164" s="21">
        <f t="shared" ref="C164:AF164" si="104">(C131-C130)^2</f>
        <v>187.05703530606741</v>
      </c>
      <c r="D164" s="21">
        <f t="shared" si="104"/>
        <v>186.50341152592338</v>
      </c>
      <c r="E164" s="21">
        <f t="shared" si="104"/>
        <v>186.35011201945719</v>
      </c>
      <c r="F164" s="21">
        <f t="shared" si="104"/>
        <v>186.49105213288482</v>
      </c>
      <c r="G164" s="21">
        <f t="shared" si="104"/>
        <v>188.3938342508809</v>
      </c>
      <c r="H164" s="21">
        <f t="shared" si="104"/>
        <v>208.1028891846583</v>
      </c>
      <c r="I164" s="21">
        <f t="shared" si="104"/>
        <v>450.16560853369145</v>
      </c>
      <c r="J164" s="21">
        <f t="shared" si="104"/>
        <v>5164.0021088698904</v>
      </c>
      <c r="K164" s="21">
        <f t="shared" si="104"/>
        <v>19483.919709782287</v>
      </c>
      <c r="L164" s="21">
        <f t="shared" si="104"/>
        <v>19553.952440085821</v>
      </c>
      <c r="M164" s="21">
        <f t="shared" si="104"/>
        <v>19528.634856585755</v>
      </c>
      <c r="N164" s="21">
        <f t="shared" si="104"/>
        <v>19279.134744255269</v>
      </c>
      <c r="O164" s="21">
        <f t="shared" si="104"/>
        <v>17018.611695125001</v>
      </c>
      <c r="P164" s="21">
        <f t="shared" si="104"/>
        <v>5230.6704958180608</v>
      </c>
      <c r="Q164" s="21">
        <f t="shared" si="104"/>
        <v>11986.686470446728</v>
      </c>
      <c r="R164" s="21">
        <f t="shared" si="104"/>
        <v>11771.534770909475</v>
      </c>
      <c r="S164" s="21">
        <f t="shared" si="104"/>
        <v>12174.750828602557</v>
      </c>
      <c r="T164" s="21">
        <f t="shared" si="104"/>
        <v>13650.856726403017</v>
      </c>
      <c r="U164" s="21">
        <f t="shared" si="104"/>
        <v>15185.104702244687</v>
      </c>
      <c r="V164" s="21">
        <f t="shared" si="104"/>
        <v>12423.302653616414</v>
      </c>
      <c r="W164" s="21">
        <f t="shared" si="104"/>
        <v>3312.4500965709676</v>
      </c>
      <c r="X164" s="21">
        <f t="shared" si="104"/>
        <v>306.17864866071631</v>
      </c>
      <c r="Y164" s="21">
        <f t="shared" si="104"/>
        <v>4963.7537347729603</v>
      </c>
      <c r="Z164" s="21">
        <f t="shared" si="104"/>
        <v>7331.1218876087596</v>
      </c>
      <c r="AA164" s="21">
        <f t="shared" si="104"/>
        <v>8789.0963373418417</v>
      </c>
      <c r="AB164" s="21">
        <f t="shared" si="104"/>
        <v>14110.488861980926</v>
      </c>
      <c r="AC164" s="21">
        <f t="shared" si="104"/>
        <v>18594.484297473868</v>
      </c>
      <c r="AD164" s="21">
        <f t="shared" si="104"/>
        <v>15889.699287997712</v>
      </c>
      <c r="AE164" s="21">
        <f t="shared" si="104"/>
        <v>11620.390987307152</v>
      </c>
      <c r="AF164" s="21">
        <f t="shared" si="104"/>
        <v>3896.3549617300127</v>
      </c>
    </row>
    <row r="165" spans="1:34" x14ac:dyDescent="0.25">
      <c r="A165" s="71">
        <f>SUM(B165:AF165)</f>
        <v>273044.40364460484</v>
      </c>
      <c r="B165" s="60">
        <f>IF($A$64&lt;=B129,IF($B$64&gt;=B129,ABS(B164),0),0)</f>
        <v>186.15839746139173</v>
      </c>
      <c r="C165" s="60">
        <f t="shared" ref="C165:AF165" si="105">IF($A$64&lt;=C129,IF($B$64&gt;=C129,ABS(C164),0),0)</f>
        <v>187.05703530606741</v>
      </c>
      <c r="D165" s="60">
        <f t="shared" si="105"/>
        <v>186.50341152592338</v>
      </c>
      <c r="E165" s="60">
        <f t="shared" si="105"/>
        <v>186.35011201945719</v>
      </c>
      <c r="F165" s="60">
        <f t="shared" si="105"/>
        <v>186.49105213288482</v>
      </c>
      <c r="G165" s="60">
        <f t="shared" si="105"/>
        <v>188.3938342508809</v>
      </c>
      <c r="H165" s="60">
        <f t="shared" si="105"/>
        <v>208.1028891846583</v>
      </c>
      <c r="I165" s="60">
        <f t="shared" si="105"/>
        <v>450.16560853369145</v>
      </c>
      <c r="J165" s="60">
        <f t="shared" si="105"/>
        <v>5164.0021088698904</v>
      </c>
      <c r="K165" s="60">
        <f t="shared" si="105"/>
        <v>19483.919709782287</v>
      </c>
      <c r="L165" s="60">
        <f t="shared" si="105"/>
        <v>19553.952440085821</v>
      </c>
      <c r="M165" s="60">
        <f t="shared" si="105"/>
        <v>19528.634856585755</v>
      </c>
      <c r="N165" s="60">
        <f t="shared" si="105"/>
        <v>19279.134744255269</v>
      </c>
      <c r="O165" s="60">
        <f t="shared" si="105"/>
        <v>17018.611695125001</v>
      </c>
      <c r="P165" s="60">
        <f t="shared" si="105"/>
        <v>5230.6704958180608</v>
      </c>
      <c r="Q165" s="60">
        <f t="shared" si="105"/>
        <v>11986.686470446728</v>
      </c>
      <c r="R165" s="60">
        <f t="shared" si="105"/>
        <v>11771.534770909475</v>
      </c>
      <c r="S165" s="60">
        <f t="shared" si="105"/>
        <v>12174.750828602557</v>
      </c>
      <c r="T165" s="60">
        <f t="shared" si="105"/>
        <v>13650.856726403017</v>
      </c>
      <c r="U165" s="60">
        <f t="shared" si="105"/>
        <v>15185.104702244687</v>
      </c>
      <c r="V165" s="60">
        <f t="shared" si="105"/>
        <v>12423.302653616414</v>
      </c>
      <c r="W165" s="60">
        <f t="shared" si="105"/>
        <v>3312.4500965709676</v>
      </c>
      <c r="X165" s="60">
        <f t="shared" si="105"/>
        <v>306.17864866071631</v>
      </c>
      <c r="Y165" s="60">
        <f t="shared" si="105"/>
        <v>4963.7537347729603</v>
      </c>
      <c r="Z165" s="60">
        <f t="shared" si="105"/>
        <v>7331.1218876087596</v>
      </c>
      <c r="AA165" s="60">
        <f t="shared" si="105"/>
        <v>8789.0963373418417</v>
      </c>
      <c r="AB165" s="60">
        <f t="shared" si="105"/>
        <v>14110.488861980926</v>
      </c>
      <c r="AC165" s="60">
        <f t="shared" si="105"/>
        <v>18594.484297473868</v>
      </c>
      <c r="AD165" s="60">
        <f t="shared" si="105"/>
        <v>15889.699287997712</v>
      </c>
      <c r="AE165" s="60">
        <f t="shared" si="105"/>
        <v>11620.390987307152</v>
      </c>
      <c r="AF165" s="60">
        <f t="shared" si="105"/>
        <v>3896.3549617300127</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5619.5329931741162</v>
      </c>
      <c r="C169" s="26">
        <f>INDEX(Comparison!$AM$3:$AS$33,G$14,$C$122)</f>
        <v>5619.5658717740425</v>
      </c>
      <c r="D169" s="26">
        <f>INDEX(Comparison!$AM$3:$AS$33,H$14,$C$122)</f>
        <v>5619.5453722286029</v>
      </c>
      <c r="E169" s="26">
        <f>INDEX(Comparison!$AM$3:$AS$33,I$14,$C$122)</f>
        <v>5619.5381902049257</v>
      </c>
      <c r="F169" s="26">
        <f>INDEX(Comparison!$AM$3:$AS$33,J$14,$C$122)</f>
        <v>5619.5270202096081</v>
      </c>
      <c r="G169" s="26">
        <f>INDEX(Comparison!$AM$3:$AS$33,K$14,$C$122)</f>
        <v>5619.4334394084344</v>
      </c>
      <c r="H169" s="26">
        <f>INDEX(Comparison!$AM$3:$AS$33,L$14,$C$122)</f>
        <v>5618.5096180858227</v>
      </c>
      <c r="I169" s="26">
        <f>INDEX(Comparison!$AM$3:$AS$33,M$14,$C$122)</f>
        <v>5609.604774269872</v>
      </c>
      <c r="J169" s="26">
        <f>INDEX(Comparison!$AM$3:$AS$33,N$14,$C$122)</f>
        <v>5534.6820731552771</v>
      </c>
      <c r="K169" s="26">
        <f>INDEX(Comparison!$AM$3:$AS$33,O$14,$C$122)</f>
        <v>5370.399425083704</v>
      </c>
      <c r="L169" s="26">
        <f>INDEX(Comparison!$AM$3:$AS$33,P$14,$C$122)</f>
        <v>5257.8155746015464</v>
      </c>
      <c r="M169" s="26">
        <f>INDEX(Comparison!$AM$3:$AS$33,Q$14,$C$122)</f>
        <v>5148.9525022518937</v>
      </c>
      <c r="N169" s="26">
        <f>INDEX(Comparison!$AM$3:$AS$33,R$14,$C$122)</f>
        <v>5026.92102925375</v>
      </c>
      <c r="O169" s="26">
        <f>INDEX(Comparison!$AM$3:$AS$33,S$14,$C$122)</f>
        <v>4898.1924827249632</v>
      </c>
      <c r="P169" s="26">
        <f>INDEX(Comparison!$AM$3:$AS$33,T$14,$C$122)</f>
        <v>4753.3269146217463</v>
      </c>
      <c r="Q169" s="26">
        <f>INDEX(Comparison!$AM$3:$AS$33,U$14,$C$122)</f>
        <v>4597.3394014710702</v>
      </c>
      <c r="R169" s="26">
        <f>INDEX(Comparison!$AM$3:$AS$33,V$14,$C$122)</f>
        <v>4437.480614548972</v>
      </c>
      <c r="S169" s="26">
        <f>INDEX(Comparison!$AM$3:$AS$33,W$14,$C$122)</f>
        <v>4282.6976933023134</v>
      </c>
      <c r="T169" s="26">
        <f>INDEX(Comparison!$AM$3:$AS$33,X$14,$C$122)</f>
        <v>4104.6708903026465</v>
      </c>
      <c r="U169" s="26">
        <f>INDEX(Comparison!$AM$3:$AS$33,Y$14,$C$122)</f>
        <v>3863.6251591234022</v>
      </c>
      <c r="V169" s="26">
        <f>INDEX(Comparison!$AM$3:$AS$33,Z$14,$C$122)</f>
        <v>3593.12923880173</v>
      </c>
      <c r="W169" s="26">
        <f>INDEX(Comparison!$AM$3:$AS$33,AA$14,$C$122)</f>
        <v>3360.468185804395</v>
      </c>
      <c r="X169" s="26">
        <f>INDEX(Comparison!$AM$3:$AS$33,AB$14,$C$122)</f>
        <v>3169.2406182554596</v>
      </c>
      <c r="Y169" s="26">
        <f>INDEX(Comparison!$AM$3:$AS$33,AC$14,$C$122)</f>
        <v>2988.8293612758935</v>
      </c>
      <c r="Z169" s="26">
        <f>INDEX(Comparison!$AM$3:$AS$33,AD$14,$C$122)</f>
        <v>2827.4607055264137</v>
      </c>
      <c r="AA169" s="26">
        <f>INDEX(Comparison!$AM$3:$AS$33,AE$14,$C$122)</f>
        <v>2670.1707037079254</v>
      </c>
      <c r="AB169" s="26">
        <f>INDEX(Comparison!$AM$3:$AS$33,AF$14,$C$122)</f>
        <v>2515.5612619665249</v>
      </c>
      <c r="AC169" s="26">
        <f>INDEX(Comparison!$AM$3:$AS$33,AG$14,$C$122)</f>
        <v>2336.7097855049965</v>
      </c>
      <c r="AD169" s="26">
        <f>INDEX(Comparison!$AM$3:$AS$33,AH$14,$C$122)</f>
        <v>2150.3686174171794</v>
      </c>
      <c r="AE169" s="26">
        <f>INDEX(Comparison!$AM$3:$AS$33,AI$14,$C$122)</f>
        <v>1940.5173332718871</v>
      </c>
      <c r="AF169" s="26">
        <f>INDEX(Comparison!$AM$3:$AS$33,AJ$14,$C$122)</f>
        <v>1703.202634105066</v>
      </c>
      <c r="AG169" s="26"/>
      <c r="AH169" s="26"/>
    </row>
    <row r="170" spans="1:34" x14ac:dyDescent="0.25">
      <c r="A170" s="70" t="s">
        <v>22</v>
      </c>
      <c r="B170" s="27">
        <f>($C$17+SUM(B171:B201))*$B$51</f>
        <v>5613.9553555352286</v>
      </c>
      <c r="C170" s="27">
        <f t="shared" ref="C170:AF170" si="106">($C$17+SUM(C171:C201))*$B$51</f>
        <v>5612.1222260332906</v>
      </c>
      <c r="D170" s="27">
        <f t="shared" si="106"/>
        <v>5595.1956351412409</v>
      </c>
      <c r="E170" s="27">
        <f t="shared" si="106"/>
        <v>5512.7258655442811</v>
      </c>
      <c r="F170" s="27">
        <f t="shared" si="106"/>
        <v>5487.9612574692919</v>
      </c>
      <c r="G170" s="27">
        <f t="shared" si="106"/>
        <v>5487.9502812858491</v>
      </c>
      <c r="H170" s="27">
        <f t="shared" si="106"/>
        <v>5487.8406484651732</v>
      </c>
      <c r="I170" s="27">
        <f t="shared" si="106"/>
        <v>5486.7465367537216</v>
      </c>
      <c r="J170" s="27">
        <f t="shared" si="106"/>
        <v>5476.0240253319735</v>
      </c>
      <c r="K170" s="27">
        <f t="shared" si="106"/>
        <v>5387.9088996629334</v>
      </c>
      <c r="L170" s="27">
        <f t="shared" si="106"/>
        <v>5184.1999955336614</v>
      </c>
      <c r="M170" s="27">
        <f t="shared" si="106"/>
        <v>5103.5272412898385</v>
      </c>
      <c r="N170" s="27">
        <f t="shared" si="106"/>
        <v>4971.1411000280441</v>
      </c>
      <c r="O170" s="27">
        <f t="shared" si="106"/>
        <v>4839.663859927633</v>
      </c>
      <c r="P170" s="27">
        <f t="shared" si="106"/>
        <v>4689.4401099617135</v>
      </c>
      <c r="Q170" s="27">
        <f t="shared" si="106"/>
        <v>4530.7930136692485</v>
      </c>
      <c r="R170" s="27">
        <f t="shared" si="106"/>
        <v>4372.3511290867427</v>
      </c>
      <c r="S170" s="27">
        <f t="shared" si="106"/>
        <v>4219.9993705815705</v>
      </c>
      <c r="T170" s="27">
        <f t="shared" si="106"/>
        <v>4044.7732104009083</v>
      </c>
      <c r="U170" s="27">
        <f t="shared" si="106"/>
        <v>3834.9105924753999</v>
      </c>
      <c r="V170" s="27">
        <f t="shared" si="106"/>
        <v>3625.3397389859242</v>
      </c>
      <c r="W170" s="27">
        <f t="shared" si="106"/>
        <v>3453.3598154395208</v>
      </c>
      <c r="X170" s="27">
        <f t="shared" si="106"/>
        <v>3290.0106797886115</v>
      </c>
      <c r="Y170" s="27">
        <f t="shared" si="106"/>
        <v>3125.6215586856447</v>
      </c>
      <c r="Z170" s="27">
        <f t="shared" si="106"/>
        <v>2947.6203066377739</v>
      </c>
      <c r="AA170" s="27">
        <f t="shared" si="106"/>
        <v>2757.3809352607354</v>
      </c>
      <c r="AB170" s="27">
        <f t="shared" si="106"/>
        <v>2556.6132017412956</v>
      </c>
      <c r="AC170" s="27">
        <f t="shared" si="106"/>
        <v>2349.3693971109919</v>
      </c>
      <c r="AD170" s="27">
        <f t="shared" si="106"/>
        <v>2129.873307354555</v>
      </c>
      <c r="AE170" s="27">
        <f t="shared" si="106"/>
        <v>1906.035678691436</v>
      </c>
      <c r="AF170" s="27">
        <f t="shared" si="106"/>
        <v>1628.9807478589714</v>
      </c>
      <c r="AG170" s="27"/>
      <c r="AH170" s="27"/>
    </row>
    <row r="171" spans="1:34" x14ac:dyDescent="0.25">
      <c r="B171" s="3">
        <f t="shared" ref="B171:AF171" si="107">$C18*EXP(-B$168/$A18/EXP(-$C$126))</f>
        <v>2.2441981480080822E-2</v>
      </c>
      <c r="C171" s="3">
        <f t="shared" si="107"/>
        <v>2.2115462788629157E-2</v>
      </c>
      <c r="D171" s="3">
        <f t="shared" si="107"/>
        <v>1.9100483198482763E-2</v>
      </c>
      <c r="E171" s="3">
        <f t="shared" si="107"/>
        <v>4.4109036965099225E-3</v>
      </c>
      <c r="F171" s="3">
        <f t="shared" si="107"/>
        <v>1.9026538952362526E-9</v>
      </c>
      <c r="G171" s="3">
        <f t="shared" si="107"/>
        <v>4.2430874346973267E-73</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5.0926864694162743E-2</v>
      </c>
      <c r="C172" s="3">
        <f t="shared" si="108"/>
        <v>5.0926864502968683E-2</v>
      </c>
      <c r="D172" s="3">
        <f t="shared" si="108"/>
        <v>5.0926862591028126E-2</v>
      </c>
      <c r="E172" s="3">
        <f t="shared" si="108"/>
        <v>5.0926843471626536E-2</v>
      </c>
      <c r="F172" s="3">
        <f t="shared" si="108"/>
        <v>5.0926652278005413E-2</v>
      </c>
      <c r="G172" s="3">
        <f t="shared" si="108"/>
        <v>5.0924740381272399E-2</v>
      </c>
      <c r="H172" s="3">
        <f t="shared" si="108"/>
        <v>5.0905625361218398E-2</v>
      </c>
      <c r="I172" s="3">
        <f t="shared" si="108"/>
        <v>5.071486934053366E-2</v>
      </c>
      <c r="J172" s="3">
        <f t="shared" si="108"/>
        <v>4.8846185024528484E-2</v>
      </c>
      <c r="K172" s="3">
        <f t="shared" si="108"/>
        <v>3.3557070697008987E-2</v>
      </c>
      <c r="L172" s="3">
        <f t="shared" si="108"/>
        <v>7.8581075707000376E-4</v>
      </c>
      <c r="M172" s="3">
        <f t="shared" si="108"/>
        <v>3.8963435012723274E-20</v>
      </c>
      <c r="N172" s="3">
        <f t="shared" si="108"/>
        <v>3.4998538854599745E-183</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9.6937150318927006E-3</v>
      </c>
      <c r="C173" s="3">
        <f t="shared" si="109"/>
        <v>9.6937150286097503E-3</v>
      </c>
      <c r="D173" s="3">
        <f t="shared" si="109"/>
        <v>9.693714995780249E-3</v>
      </c>
      <c r="E173" s="3">
        <f t="shared" si="109"/>
        <v>9.6937146674852346E-3</v>
      </c>
      <c r="F173" s="3">
        <f t="shared" si="109"/>
        <v>9.6937113845357165E-3</v>
      </c>
      <c r="G173" s="3">
        <f t="shared" si="109"/>
        <v>9.6936785551016789E-3</v>
      </c>
      <c r="H173" s="3">
        <f t="shared" si="109"/>
        <v>9.69335026687629E-3</v>
      </c>
      <c r="I173" s="3">
        <f t="shared" si="109"/>
        <v>9.6900679960436904E-3</v>
      </c>
      <c r="J173" s="3">
        <f t="shared" si="109"/>
        <v>9.6573063533016978E-3</v>
      </c>
      <c r="K173" s="3">
        <f t="shared" si="109"/>
        <v>9.3357206529896559E-3</v>
      </c>
      <c r="L173" s="3">
        <f t="shared" si="109"/>
        <v>6.6537463988087563E-3</v>
      </c>
      <c r="M173" s="3">
        <f t="shared" si="109"/>
        <v>2.2503506973453434E-4</v>
      </c>
      <c r="N173" s="3">
        <f t="shared" si="109"/>
        <v>4.4064597413872823E-19</v>
      </c>
      <c r="O173" s="3">
        <f t="shared" si="109"/>
        <v>3.6516221227039012E-166</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2.5359184369820442E-2</v>
      </c>
      <c r="C174" s="3">
        <f t="shared" si="110"/>
        <v>2.53591843690457E-2</v>
      </c>
      <c r="D174" s="3">
        <f t="shared" si="110"/>
        <v>2.53591843612983E-2</v>
      </c>
      <c r="E174" s="3">
        <f t="shared" si="110"/>
        <v>2.5359184283824311E-2</v>
      </c>
      <c r="F174" s="3">
        <f t="shared" si="110"/>
        <v>2.5359183509084435E-2</v>
      </c>
      <c r="G174" s="3">
        <f t="shared" si="110"/>
        <v>2.5359175761686972E-2</v>
      </c>
      <c r="H174" s="3">
        <f t="shared" si="110"/>
        <v>2.5359098287842517E-2</v>
      </c>
      <c r="I174" s="3">
        <f t="shared" si="110"/>
        <v>2.5358323562415633E-2</v>
      </c>
      <c r="J174" s="3">
        <f t="shared" si="110"/>
        <v>2.535057760976828E-2</v>
      </c>
      <c r="K174" s="3">
        <f t="shared" si="110"/>
        <v>2.5273248098428749E-2</v>
      </c>
      <c r="L174" s="3">
        <f t="shared" si="110"/>
        <v>2.4512808725897322E-2</v>
      </c>
      <c r="M174" s="3">
        <f t="shared" si="110"/>
        <v>1.8059812356089545E-2</v>
      </c>
      <c r="N174" s="3">
        <f t="shared" si="110"/>
        <v>8.5097108915987182E-4</v>
      </c>
      <c r="O174" s="3">
        <f t="shared" si="110"/>
        <v>4.5912456071783532E-17</v>
      </c>
      <c r="P174" s="3">
        <f t="shared" si="110"/>
        <v>9.5959445050030821E-150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2.3102406802670714E-2</v>
      </c>
      <c r="C175" s="3">
        <f t="shared" si="111"/>
        <v>2.3102406802607046E-2</v>
      </c>
      <c r="D175" s="3">
        <f t="shared" si="111"/>
        <v>2.3102406801970361E-2</v>
      </c>
      <c r="E175" s="3">
        <f t="shared" si="111"/>
        <v>2.3102406795603513E-2</v>
      </c>
      <c r="F175" s="3">
        <f t="shared" si="111"/>
        <v>2.3102406731935039E-2</v>
      </c>
      <c r="G175" s="3">
        <f t="shared" si="111"/>
        <v>2.3102406095250286E-2</v>
      </c>
      <c r="H175" s="3">
        <f t="shared" si="111"/>
        <v>2.3102399728403753E-2</v>
      </c>
      <c r="I175" s="3">
        <f t="shared" si="111"/>
        <v>2.3102336060034933E-2</v>
      </c>
      <c r="J175" s="3">
        <f t="shared" si="111"/>
        <v>2.3101699385997203E-2</v>
      </c>
      <c r="K175" s="3">
        <f t="shared" si="111"/>
        <v>2.3095333610570711E-2</v>
      </c>
      <c r="L175" s="3">
        <f t="shared" si="111"/>
        <v>2.3031772253062511E-2</v>
      </c>
      <c r="M175" s="3">
        <f t="shared" si="111"/>
        <v>2.2405700779060227E-2</v>
      </c>
      <c r="N175" s="3">
        <f t="shared" si="111"/>
        <v>1.7008666890575622E-2</v>
      </c>
      <c r="O175" s="3">
        <f t="shared" si="111"/>
        <v>1.0809054701153805E-3</v>
      </c>
      <c r="P175" s="3">
        <f t="shared" si="111"/>
        <v>1.1613472725420486E-15</v>
      </c>
      <c r="Q175" s="3">
        <f t="shared" si="111"/>
        <v>2.3807072843375247E-135</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2.7648233028315157E-2</v>
      </c>
      <c r="C176" s="3">
        <f t="shared" si="112"/>
        <v>2.7648233028308284E-2</v>
      </c>
      <c r="D176" s="3">
        <f t="shared" si="112"/>
        <v>2.7648233028239547E-2</v>
      </c>
      <c r="E176" s="3">
        <f t="shared" si="112"/>
        <v>2.7648233027552194E-2</v>
      </c>
      <c r="F176" s="3">
        <f t="shared" si="112"/>
        <v>2.7648233020678641E-2</v>
      </c>
      <c r="G176" s="3">
        <f t="shared" si="112"/>
        <v>2.7648232951943123E-2</v>
      </c>
      <c r="H176" s="3">
        <f t="shared" si="112"/>
        <v>2.7648232264587968E-2</v>
      </c>
      <c r="I176" s="3">
        <f t="shared" si="112"/>
        <v>2.7648225391037371E-2</v>
      </c>
      <c r="J176" s="3">
        <f t="shared" si="112"/>
        <v>2.7648156655625363E-2</v>
      </c>
      <c r="K176" s="3">
        <f t="shared" si="112"/>
        <v>2.7647469310903668E-2</v>
      </c>
      <c r="L176" s="3">
        <f t="shared" si="112"/>
        <v>2.7640596803438867E-2</v>
      </c>
      <c r="M176" s="3">
        <f t="shared" si="112"/>
        <v>2.7571965617619217E-2</v>
      </c>
      <c r="N176" s="3">
        <f t="shared" si="112"/>
        <v>2.6894956850214192E-2</v>
      </c>
      <c r="O176" s="3">
        <f t="shared" si="112"/>
        <v>2.0975005710329318E-2</v>
      </c>
      <c r="P176" s="3">
        <f t="shared" si="112"/>
        <v>1.7458802280082477E-3</v>
      </c>
      <c r="Q176" s="3">
        <f t="shared" si="112"/>
        <v>2.787006847384276E-14</v>
      </c>
      <c r="R176" s="3">
        <f t="shared" si="112"/>
        <v>2.9948420793544729E-122</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2.9569052695064466E-2</v>
      </c>
      <c r="C177" s="3">
        <f t="shared" si="113"/>
        <v>2.9569052695063804E-2</v>
      </c>
      <c r="D177" s="3">
        <f t="shared" si="113"/>
        <v>2.9569052695057173E-2</v>
      </c>
      <c r="E177" s="3">
        <f t="shared" si="113"/>
        <v>2.9569052694990858E-2</v>
      </c>
      <c r="F177" s="3">
        <f t="shared" si="113"/>
        <v>2.9569052694327729E-2</v>
      </c>
      <c r="G177" s="3">
        <f t="shared" si="113"/>
        <v>2.9569052687696443E-2</v>
      </c>
      <c r="H177" s="3">
        <f t="shared" si="113"/>
        <v>2.9569052621383572E-2</v>
      </c>
      <c r="I177" s="3">
        <f t="shared" si="113"/>
        <v>2.9569051958254888E-2</v>
      </c>
      <c r="J177" s="3">
        <f t="shared" si="113"/>
        <v>2.9569045326968846E-2</v>
      </c>
      <c r="K177" s="3">
        <f t="shared" si="113"/>
        <v>2.9568979014190255E-2</v>
      </c>
      <c r="L177" s="3">
        <f t="shared" si="113"/>
        <v>2.9568315894583638E-2</v>
      </c>
      <c r="M177" s="3">
        <f t="shared" si="113"/>
        <v>2.956168551638106E-2</v>
      </c>
      <c r="N177" s="3">
        <f t="shared" si="113"/>
        <v>2.949546345289146E-2</v>
      </c>
      <c r="O177" s="3">
        <f t="shared" si="113"/>
        <v>2.8841347268182209E-2</v>
      </c>
      <c r="P177" s="3">
        <f t="shared" si="113"/>
        <v>2.3047230026857168E-2</v>
      </c>
      <c r="Q177" s="3">
        <f t="shared" si="113"/>
        <v>2.4470940596243054E-3</v>
      </c>
      <c r="R177" s="3">
        <f t="shared" si="113"/>
        <v>4.4562538923389875E-13</v>
      </c>
      <c r="S177" s="3">
        <f t="shared" si="113"/>
        <v>1.7871564142146804E-110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2.9954793945683993E-2</v>
      </c>
      <c r="C178" s="3">
        <f t="shared" si="114"/>
        <v>2.9954793945683934E-2</v>
      </c>
      <c r="D178" s="3">
        <f t="shared" si="114"/>
        <v>2.9954793945683327E-2</v>
      </c>
      <c r="E178" s="3">
        <f t="shared" si="114"/>
        <v>2.9954793945677266E-2</v>
      </c>
      <c r="F178" s="3">
        <f t="shared" si="114"/>
        <v>2.9954793945616665E-2</v>
      </c>
      <c r="G178" s="3">
        <f t="shared" si="114"/>
        <v>2.9954793945010667E-2</v>
      </c>
      <c r="H178" s="3">
        <f t="shared" si="114"/>
        <v>2.9954793938950657E-2</v>
      </c>
      <c r="I178" s="3">
        <f t="shared" si="114"/>
        <v>2.9954793878350556E-2</v>
      </c>
      <c r="J178" s="3">
        <f t="shared" si="114"/>
        <v>2.995479327234957E-2</v>
      </c>
      <c r="K178" s="3">
        <f t="shared" si="114"/>
        <v>2.9954787212340368E-2</v>
      </c>
      <c r="L178" s="3">
        <f t="shared" si="114"/>
        <v>2.9954726612315796E-2</v>
      </c>
      <c r="M178" s="3">
        <f t="shared" si="114"/>
        <v>2.9954120618812852E-2</v>
      </c>
      <c r="N178" s="3">
        <f t="shared" si="114"/>
        <v>2.9948061358011622E-2</v>
      </c>
      <c r="O178" s="3">
        <f t="shared" si="114"/>
        <v>2.9887536122377777E-2</v>
      </c>
      <c r="P178" s="3">
        <f t="shared" si="114"/>
        <v>2.928897084543592E-2</v>
      </c>
      <c r="Q178" s="3">
        <f t="shared" si="114"/>
        <v>2.3924567134172143E-2</v>
      </c>
      <c r="R178" s="3">
        <f t="shared" si="114"/>
        <v>3.1640538050389608E-3</v>
      </c>
      <c r="S178" s="3">
        <f t="shared" si="114"/>
        <v>5.1789482647099132E-12</v>
      </c>
      <c r="T178" s="3">
        <f t="shared" si="114"/>
        <v>7.1485621605974665E-100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2.7077191993234564E-2</v>
      </c>
      <c r="C179" s="3">
        <f t="shared" si="115"/>
        <v>2.7077191993234558E-2</v>
      </c>
      <c r="D179" s="3">
        <f t="shared" si="115"/>
        <v>2.7077191993234509E-2</v>
      </c>
      <c r="E179" s="3">
        <f t="shared" si="115"/>
        <v>2.7077191993234013E-2</v>
      </c>
      <c r="F179" s="3">
        <f t="shared" si="115"/>
        <v>2.7077191993229076E-2</v>
      </c>
      <c r="G179" s="3">
        <f t="shared" si="115"/>
        <v>2.707719199317966E-2</v>
      </c>
      <c r="H179" s="3">
        <f t="shared" si="115"/>
        <v>2.7077191992685511E-2</v>
      </c>
      <c r="I179" s="3">
        <f t="shared" si="115"/>
        <v>2.7077191987744029E-2</v>
      </c>
      <c r="J179" s="3">
        <f t="shared" si="115"/>
        <v>2.707719193832921E-2</v>
      </c>
      <c r="K179" s="3">
        <f t="shared" si="115"/>
        <v>2.7077191444181019E-2</v>
      </c>
      <c r="L179" s="3">
        <f t="shared" si="115"/>
        <v>2.707718650269959E-2</v>
      </c>
      <c r="M179" s="3">
        <f t="shared" si="115"/>
        <v>2.7077137087934893E-2</v>
      </c>
      <c r="N179" s="3">
        <f t="shared" si="115"/>
        <v>2.7076642945247829E-2</v>
      </c>
      <c r="O179" s="3">
        <f t="shared" si="115"/>
        <v>2.7071702014330616E-2</v>
      </c>
      <c r="P179" s="3">
        <f t="shared" si="115"/>
        <v>2.7022342267031131E-2</v>
      </c>
      <c r="Q179" s="3">
        <f t="shared" si="115"/>
        <v>2.6533667678097218E-2</v>
      </c>
      <c r="R179" s="3">
        <f t="shared" si="115"/>
        <v>2.2107530640875894E-2</v>
      </c>
      <c r="S179" s="3">
        <f t="shared" si="115"/>
        <v>3.5642629548677069E-3</v>
      </c>
      <c r="T179" s="3">
        <f t="shared" si="115"/>
        <v>4.2292635413134872E-11</v>
      </c>
      <c r="U179" s="3">
        <f t="shared" si="115"/>
        <v>2.3399946568698141E-90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3.1999713533519658E-2</v>
      </c>
      <c r="C180" s="3">
        <f t="shared" si="116"/>
        <v>3.1999713533519658E-2</v>
      </c>
      <c r="D180" s="3">
        <f t="shared" si="116"/>
        <v>3.1999713533519651E-2</v>
      </c>
      <c r="E180" s="3">
        <f t="shared" si="116"/>
        <v>3.1999713533519603E-2</v>
      </c>
      <c r="F180" s="3">
        <f t="shared" si="116"/>
        <v>3.1999713533519075E-2</v>
      </c>
      <c r="G180" s="3">
        <f t="shared" si="116"/>
        <v>3.1999713533513802E-2</v>
      </c>
      <c r="H180" s="3">
        <f t="shared" si="116"/>
        <v>3.1999713533461122E-2</v>
      </c>
      <c r="I180" s="3">
        <f t="shared" si="116"/>
        <v>3.1999713532934328E-2</v>
      </c>
      <c r="J180" s="3">
        <f t="shared" si="116"/>
        <v>3.1999713527666319E-2</v>
      </c>
      <c r="K180" s="3">
        <f t="shared" si="116"/>
        <v>3.1999713474986258E-2</v>
      </c>
      <c r="L180" s="3">
        <f t="shared" si="116"/>
        <v>3.1999712948185648E-2</v>
      </c>
      <c r="M180" s="3">
        <f t="shared" si="116"/>
        <v>3.1999707680180033E-2</v>
      </c>
      <c r="N180" s="3">
        <f t="shared" si="116"/>
        <v>3.1999655000171559E-2</v>
      </c>
      <c r="O180" s="3">
        <f t="shared" si="116"/>
        <v>3.1999128204856751E-2</v>
      </c>
      <c r="P180" s="3">
        <f t="shared" si="116"/>
        <v>3.1993860728666224E-2</v>
      </c>
      <c r="Q180" s="3">
        <f t="shared" si="116"/>
        <v>3.194123363347906E-2</v>
      </c>
      <c r="R180" s="3">
        <f t="shared" si="116"/>
        <v>3.1419700446145005E-2</v>
      </c>
      <c r="S180" s="3">
        <f t="shared" si="116"/>
        <v>2.6650513882978486E-2</v>
      </c>
      <c r="T180" s="3">
        <f t="shared" si="116"/>
        <v>5.1373725655404151E-3</v>
      </c>
      <c r="U180" s="3">
        <f t="shared" si="116"/>
        <v>3.6399532652755396E-10</v>
      </c>
      <c r="V180" s="3">
        <f t="shared" si="116"/>
        <v>1.1604949688288665E-81</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4.092704528723929E-2</v>
      </c>
      <c r="C181" s="3">
        <f t="shared" si="117"/>
        <v>4.092704528723929E-2</v>
      </c>
      <c r="D181" s="3">
        <f t="shared" si="117"/>
        <v>4.092704528723929E-2</v>
      </c>
      <c r="E181" s="3">
        <f t="shared" si="117"/>
        <v>4.0927045287239283E-2</v>
      </c>
      <c r="F181" s="3">
        <f t="shared" si="117"/>
        <v>4.0927045287239221E-2</v>
      </c>
      <c r="G181" s="3">
        <f t="shared" si="117"/>
        <v>4.092704528723861E-2</v>
      </c>
      <c r="H181" s="3">
        <f t="shared" si="117"/>
        <v>4.0927045287232539E-2</v>
      </c>
      <c r="I181" s="3">
        <f t="shared" si="117"/>
        <v>4.0927045287171754E-2</v>
      </c>
      <c r="J181" s="3">
        <f t="shared" si="117"/>
        <v>4.0927045286563962E-2</v>
      </c>
      <c r="K181" s="3">
        <f t="shared" si="117"/>
        <v>4.0927045280486012E-2</v>
      </c>
      <c r="L181" s="3">
        <f t="shared" si="117"/>
        <v>4.0927045219706505E-2</v>
      </c>
      <c r="M181" s="3">
        <f t="shared" si="117"/>
        <v>4.0927044611911455E-2</v>
      </c>
      <c r="N181" s="3">
        <f t="shared" si="117"/>
        <v>4.0927038533961409E-2</v>
      </c>
      <c r="O181" s="3">
        <f t="shared" si="117"/>
        <v>4.0926977754510624E-2</v>
      </c>
      <c r="P181" s="3">
        <f t="shared" si="117"/>
        <v>4.0926369964967145E-2</v>
      </c>
      <c r="Q181" s="3">
        <f t="shared" si="117"/>
        <v>4.0920292565941853E-2</v>
      </c>
      <c r="R181" s="3">
        <f t="shared" si="117"/>
        <v>4.0859568189376701E-2</v>
      </c>
      <c r="S181" s="3">
        <f t="shared" si="117"/>
        <v>4.0257258638937386E-2</v>
      </c>
      <c r="T181" s="3">
        <f t="shared" si="117"/>
        <v>3.4701516121476407E-2</v>
      </c>
      <c r="U181" s="3">
        <f t="shared" si="117"/>
        <v>7.8594285186609648E-3</v>
      </c>
      <c r="V181" s="3">
        <f t="shared" si="117"/>
        <v>2.7913619590714945E-9</v>
      </c>
      <c r="W181" s="3">
        <f t="shared" si="117"/>
        <v>8.9139055390621332E-74</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4.0580339082525729E-2</v>
      </c>
      <c r="C182" s="3">
        <f t="shared" si="118"/>
        <v>4.0580339082525729E-2</v>
      </c>
      <c r="D182" s="3">
        <f t="shared" si="118"/>
        <v>4.0580339082525729E-2</v>
      </c>
      <c r="E182" s="3">
        <f t="shared" si="118"/>
        <v>4.0580339082525729E-2</v>
      </c>
      <c r="F182" s="3">
        <f t="shared" si="118"/>
        <v>4.0580339082525722E-2</v>
      </c>
      <c r="G182" s="3">
        <f t="shared" si="118"/>
        <v>4.0580339082525674E-2</v>
      </c>
      <c r="H182" s="3">
        <f t="shared" si="118"/>
        <v>4.0580339082525126E-2</v>
      </c>
      <c r="I182" s="3">
        <f t="shared" si="118"/>
        <v>4.0580339082519686E-2</v>
      </c>
      <c r="J182" s="3">
        <f t="shared" si="118"/>
        <v>4.0580339082465326E-2</v>
      </c>
      <c r="K182" s="3">
        <f t="shared" si="118"/>
        <v>4.0580339081921685E-2</v>
      </c>
      <c r="L182" s="3">
        <f t="shared" si="118"/>
        <v>4.0580339076485318E-2</v>
      </c>
      <c r="M182" s="3">
        <f t="shared" si="118"/>
        <v>4.0580339022121617E-2</v>
      </c>
      <c r="N182" s="3">
        <f t="shared" si="118"/>
        <v>4.0580338478484586E-2</v>
      </c>
      <c r="O182" s="3">
        <f t="shared" si="118"/>
        <v>4.0580333042114669E-2</v>
      </c>
      <c r="P182" s="3">
        <f t="shared" si="118"/>
        <v>4.0580278678455567E-2</v>
      </c>
      <c r="Q182" s="3">
        <f t="shared" si="118"/>
        <v>4.0579735045870119E-2</v>
      </c>
      <c r="R182" s="3">
        <f t="shared" si="118"/>
        <v>4.0574299120551251E-2</v>
      </c>
      <c r="S182" s="3">
        <f t="shared" si="118"/>
        <v>4.0519979901080742E-2</v>
      </c>
      <c r="T182" s="3">
        <f t="shared" si="118"/>
        <v>3.9980771305474221E-2</v>
      </c>
      <c r="U182" s="3">
        <f t="shared" si="118"/>
        <v>3.496798747246202E-2</v>
      </c>
      <c r="V182" s="3">
        <f t="shared" si="118"/>
        <v>9.1593643360433959E-3</v>
      </c>
      <c r="W182" s="3">
        <f t="shared" si="118"/>
        <v>1.392554818594799E-8</v>
      </c>
      <c r="X182" s="3">
        <f t="shared" si="118"/>
        <v>9.1892900442816935E-67</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2.9296968108172214E-2</v>
      </c>
      <c r="C183" s="3">
        <f t="shared" si="119"/>
        <v>2.9296968108172214E-2</v>
      </c>
      <c r="D183" s="3">
        <f t="shared" si="119"/>
        <v>2.9296968108172214E-2</v>
      </c>
      <c r="E183" s="3">
        <f t="shared" si="119"/>
        <v>2.9296968108172214E-2</v>
      </c>
      <c r="F183" s="3">
        <f t="shared" si="119"/>
        <v>2.9296968108172214E-2</v>
      </c>
      <c r="G183" s="3">
        <f t="shared" si="119"/>
        <v>2.929696810817221E-2</v>
      </c>
      <c r="H183" s="3">
        <f t="shared" si="119"/>
        <v>2.9296968108172176E-2</v>
      </c>
      <c r="I183" s="3">
        <f t="shared" si="119"/>
        <v>2.9296968108171822E-2</v>
      </c>
      <c r="J183" s="3">
        <f t="shared" si="119"/>
        <v>2.9296968108168283E-2</v>
      </c>
      <c r="K183" s="3">
        <f t="shared" si="119"/>
        <v>2.9296968108132877E-2</v>
      </c>
      <c r="L183" s="3">
        <f t="shared" si="119"/>
        <v>2.9296968107778827E-2</v>
      </c>
      <c r="M183" s="3">
        <f t="shared" si="119"/>
        <v>2.9296968104238343E-2</v>
      </c>
      <c r="N183" s="3">
        <f t="shared" si="119"/>
        <v>2.9296968068833504E-2</v>
      </c>
      <c r="O183" s="3">
        <f t="shared" si="119"/>
        <v>2.929696771478511E-2</v>
      </c>
      <c r="P183" s="3">
        <f t="shared" si="119"/>
        <v>2.9296964174301388E-2</v>
      </c>
      <c r="Q183" s="3">
        <f t="shared" si="119"/>
        <v>2.9296928769487734E-2</v>
      </c>
      <c r="R183" s="3">
        <f t="shared" si="119"/>
        <v>2.9296574723704415E-2</v>
      </c>
      <c r="S183" s="3">
        <f t="shared" si="119"/>
        <v>2.9293034501183014E-2</v>
      </c>
      <c r="T183" s="3">
        <f t="shared" si="119"/>
        <v>2.9257655796630505E-2</v>
      </c>
      <c r="U183" s="3">
        <f t="shared" si="119"/>
        <v>2.8906210334182249E-2</v>
      </c>
      <c r="V183" s="3">
        <f t="shared" si="119"/>
        <v>2.5615773823137157E-2</v>
      </c>
      <c r="W183" s="3">
        <f t="shared" si="119"/>
        <v>7.6501631071910865E-3</v>
      </c>
      <c r="X183" s="3">
        <f t="shared" si="119"/>
        <v>4.3182008901881505E-8</v>
      </c>
      <c r="Y183" s="3">
        <f t="shared" si="119"/>
        <v>1.4178305218864002E-60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3.1189849975264177E-2</v>
      </c>
      <c r="C184" s="3">
        <f t="shared" si="120"/>
        <v>3.1189849975264177E-2</v>
      </c>
      <c r="D184" s="3">
        <f t="shared" si="120"/>
        <v>3.1189849975264177E-2</v>
      </c>
      <c r="E184" s="3">
        <f t="shared" si="120"/>
        <v>3.1189849975264177E-2</v>
      </c>
      <c r="F184" s="3">
        <f t="shared" si="120"/>
        <v>3.1189849975264177E-2</v>
      </c>
      <c r="G184" s="3">
        <f t="shared" si="120"/>
        <v>3.1189849975264177E-2</v>
      </c>
      <c r="H184" s="3">
        <f t="shared" si="120"/>
        <v>3.1189849975264174E-2</v>
      </c>
      <c r="I184" s="3">
        <f t="shared" si="120"/>
        <v>3.1189849975264139E-2</v>
      </c>
      <c r="J184" s="3">
        <f t="shared" si="120"/>
        <v>3.1189849975263799E-2</v>
      </c>
      <c r="K184" s="3">
        <f t="shared" si="120"/>
        <v>3.1189849975260399E-2</v>
      </c>
      <c r="L184" s="3">
        <f t="shared" si="120"/>
        <v>3.1189849975226398E-2</v>
      </c>
      <c r="M184" s="3">
        <f t="shared" si="120"/>
        <v>3.1189849974886382E-2</v>
      </c>
      <c r="N184" s="3">
        <f t="shared" si="120"/>
        <v>3.1189849971486217E-2</v>
      </c>
      <c r="O184" s="3">
        <f t="shared" si="120"/>
        <v>3.1189849937484578E-2</v>
      </c>
      <c r="P184" s="3">
        <f t="shared" si="120"/>
        <v>3.1189849597468209E-2</v>
      </c>
      <c r="Q184" s="3">
        <f t="shared" si="120"/>
        <v>3.118984619730469E-2</v>
      </c>
      <c r="R184" s="3">
        <f t="shared" si="120"/>
        <v>3.1189812195689913E-2</v>
      </c>
      <c r="S184" s="3">
        <f t="shared" si="120"/>
        <v>3.1189472181580788E-2</v>
      </c>
      <c r="T184" s="3">
        <f t="shared" si="120"/>
        <v>3.1186072244348412E-2</v>
      </c>
      <c r="U184" s="3">
        <f t="shared" si="120"/>
        <v>3.1152093249690867E-2</v>
      </c>
      <c r="V184" s="3">
        <f t="shared" si="120"/>
        <v>3.081433287420305E-2</v>
      </c>
      <c r="W184" s="3">
        <f t="shared" si="120"/>
        <v>2.7631733112441638E-2</v>
      </c>
      <c r="X184" s="3">
        <f t="shared" si="120"/>
        <v>9.2888442947472866E-3</v>
      </c>
      <c r="Y184" s="3">
        <f t="shared" si="120"/>
        <v>1.7119743688237396E-7</v>
      </c>
      <c r="Z184" s="3">
        <f t="shared" si="120"/>
        <v>7.7419972113409842E-55</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2.9811720745936274E-2</v>
      </c>
      <c r="C185" s="3">
        <f t="shared" si="121"/>
        <v>2.9811720745936274E-2</v>
      </c>
      <c r="D185" s="3">
        <f t="shared" si="121"/>
        <v>2.9811720745936274E-2</v>
      </c>
      <c r="E185" s="3">
        <f t="shared" si="121"/>
        <v>2.9811720745936274E-2</v>
      </c>
      <c r="F185" s="3">
        <f t="shared" si="121"/>
        <v>2.9811720745936274E-2</v>
      </c>
      <c r="G185" s="3">
        <f t="shared" si="121"/>
        <v>2.9811720745936274E-2</v>
      </c>
      <c r="H185" s="3">
        <f t="shared" si="121"/>
        <v>2.9811720745936274E-2</v>
      </c>
      <c r="I185" s="3">
        <f t="shared" si="121"/>
        <v>2.9811720745936271E-2</v>
      </c>
      <c r="J185" s="3">
        <f t="shared" si="121"/>
        <v>2.981172074593624E-2</v>
      </c>
      <c r="K185" s="3">
        <f t="shared" si="121"/>
        <v>2.9811720745935952E-2</v>
      </c>
      <c r="L185" s="3">
        <f t="shared" si="121"/>
        <v>2.9811720745933017E-2</v>
      </c>
      <c r="M185" s="3">
        <f t="shared" si="121"/>
        <v>2.98117207459037E-2</v>
      </c>
      <c r="N185" s="3">
        <f t="shared" si="121"/>
        <v>2.9811720745610532E-2</v>
      </c>
      <c r="O185" s="3">
        <f t="shared" si="121"/>
        <v>2.9811720742678825E-2</v>
      </c>
      <c r="P185" s="3">
        <f t="shared" si="121"/>
        <v>2.9811720713361779E-2</v>
      </c>
      <c r="Q185" s="3">
        <f t="shared" si="121"/>
        <v>2.981172042019134E-2</v>
      </c>
      <c r="R185" s="3">
        <f t="shared" si="121"/>
        <v>2.9811717488487099E-2</v>
      </c>
      <c r="S185" s="3">
        <f t="shared" si="121"/>
        <v>2.9811688171460529E-2</v>
      </c>
      <c r="T185" s="3">
        <f t="shared" si="121"/>
        <v>2.9811395002780496E-2</v>
      </c>
      <c r="U185" s="3">
        <f t="shared" si="121"/>
        <v>2.9808463474541934E-2</v>
      </c>
      <c r="V185" s="3">
        <f t="shared" si="121"/>
        <v>2.977916404256413E-2</v>
      </c>
      <c r="W185" s="3">
        <f t="shared" si="121"/>
        <v>2.948774901137062E-2</v>
      </c>
      <c r="X185" s="3">
        <f t="shared" si="121"/>
        <v>2.6725929197208672E-2</v>
      </c>
      <c r="Y185" s="3">
        <f t="shared" si="121"/>
        <v>9.9964255410405732E-3</v>
      </c>
      <c r="Z185" s="3">
        <f t="shared" si="121"/>
        <v>5.357521898016014E-7</v>
      </c>
      <c r="AA185" s="3">
        <f t="shared" si="121"/>
        <v>1.0475051055709223E-49</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3.5101091393318837E-2</v>
      </c>
      <c r="C186" s="3">
        <f t="shared" si="122"/>
        <v>3.5101091393318837E-2</v>
      </c>
      <c r="D186" s="3">
        <f t="shared" si="122"/>
        <v>3.5101091393318837E-2</v>
      </c>
      <c r="E186" s="3">
        <f t="shared" si="122"/>
        <v>3.5101091393318837E-2</v>
      </c>
      <c r="F186" s="3">
        <f t="shared" si="122"/>
        <v>3.5101091393318837E-2</v>
      </c>
      <c r="G186" s="3">
        <f t="shared" si="122"/>
        <v>3.5101091393318837E-2</v>
      </c>
      <c r="H186" s="3">
        <f t="shared" si="122"/>
        <v>3.5101091393318837E-2</v>
      </c>
      <c r="I186" s="3">
        <f t="shared" si="122"/>
        <v>3.5101091393318837E-2</v>
      </c>
      <c r="J186" s="3">
        <f t="shared" si="122"/>
        <v>3.510109139331883E-2</v>
      </c>
      <c r="K186" s="3">
        <f t="shared" si="122"/>
        <v>3.5101091393318802E-2</v>
      </c>
      <c r="L186" s="3">
        <f t="shared" si="122"/>
        <v>3.510109139331849E-2</v>
      </c>
      <c r="M186" s="3">
        <f t="shared" si="122"/>
        <v>3.5101091393315374E-2</v>
      </c>
      <c r="N186" s="3">
        <f t="shared" si="122"/>
        <v>3.5101091393284239E-2</v>
      </c>
      <c r="O186" s="3">
        <f t="shared" si="122"/>
        <v>3.510109139297285E-2</v>
      </c>
      <c r="P186" s="3">
        <f t="shared" si="122"/>
        <v>3.5101091389858986E-2</v>
      </c>
      <c r="Q186" s="3">
        <f t="shared" si="122"/>
        <v>3.5101091358720291E-2</v>
      </c>
      <c r="R186" s="3">
        <f t="shared" si="122"/>
        <v>3.5101091047333381E-2</v>
      </c>
      <c r="S186" s="3">
        <f t="shared" si="122"/>
        <v>3.5101087933464482E-2</v>
      </c>
      <c r="T186" s="3">
        <f t="shared" si="122"/>
        <v>3.5101056794790621E-2</v>
      </c>
      <c r="U186" s="3">
        <f t="shared" si="122"/>
        <v>3.5100745409571303E-2</v>
      </c>
      <c r="V186" s="3">
        <f t="shared" si="122"/>
        <v>3.5097631709302343E-2</v>
      </c>
      <c r="W186" s="3">
        <f t="shared" si="122"/>
        <v>3.5066509894046187E-2</v>
      </c>
      <c r="X186" s="3">
        <f t="shared" si="122"/>
        <v>3.4756805511629581E-2</v>
      </c>
      <c r="Y186" s="3">
        <f t="shared" si="122"/>
        <v>3.1806285727466112E-2</v>
      </c>
      <c r="Z186" s="3">
        <f t="shared" si="122"/>
        <v>1.3099176060077787E-2</v>
      </c>
      <c r="AA186" s="3">
        <f t="shared" si="122"/>
        <v>1.8388834838078827E-6</v>
      </c>
      <c r="AB186" s="3">
        <f t="shared" si="122"/>
        <v>5.4658352885168209E-45</v>
      </c>
      <c r="AC186" s="3">
        <f t="shared" si="122"/>
        <v>0</v>
      </c>
      <c r="AD186" s="3">
        <f t="shared" si="122"/>
        <v>0</v>
      </c>
      <c r="AE186" s="3">
        <f t="shared" si="122"/>
        <v>0</v>
      </c>
      <c r="AF186" s="3">
        <f t="shared" si="122"/>
        <v>0</v>
      </c>
      <c r="AG186" s="3"/>
      <c r="AH186" s="3"/>
    </row>
    <row r="187" spans="2:34" x14ac:dyDescent="0.25">
      <c r="B187" s="3">
        <f t="shared" ref="B187:AF187" si="123">$C34*EXP(-B$168/$A34/EXP(-$C$126))</f>
        <v>3.5333951268882481E-2</v>
      </c>
      <c r="C187" s="3">
        <f t="shared" si="123"/>
        <v>3.5333951268882481E-2</v>
      </c>
      <c r="D187" s="3">
        <f t="shared" si="123"/>
        <v>3.5333951268882481E-2</v>
      </c>
      <c r="E187" s="3">
        <f t="shared" si="123"/>
        <v>3.5333951268882481E-2</v>
      </c>
      <c r="F187" s="3">
        <f t="shared" si="123"/>
        <v>3.5333951268882481E-2</v>
      </c>
      <c r="G187" s="3">
        <f t="shared" si="123"/>
        <v>3.5333951268882481E-2</v>
      </c>
      <c r="H187" s="3">
        <f t="shared" si="123"/>
        <v>3.5333951268882481E-2</v>
      </c>
      <c r="I187" s="3">
        <f t="shared" si="123"/>
        <v>3.5333951268882481E-2</v>
      </c>
      <c r="J187" s="3">
        <f t="shared" si="123"/>
        <v>3.5333951268882481E-2</v>
      </c>
      <c r="K187" s="3">
        <f t="shared" si="123"/>
        <v>3.5333951268882474E-2</v>
      </c>
      <c r="L187" s="3">
        <f t="shared" si="123"/>
        <v>3.5333951268882446E-2</v>
      </c>
      <c r="M187" s="3">
        <f t="shared" si="123"/>
        <v>3.5333951268882169E-2</v>
      </c>
      <c r="N187" s="3">
        <f t="shared" si="123"/>
        <v>3.5333951268879338E-2</v>
      </c>
      <c r="O187" s="3">
        <f t="shared" si="123"/>
        <v>3.5333951268851062E-2</v>
      </c>
      <c r="P187" s="3">
        <f t="shared" si="123"/>
        <v>3.5333951268568302E-2</v>
      </c>
      <c r="Q187" s="3">
        <f t="shared" si="123"/>
        <v>3.5333951265740703E-2</v>
      </c>
      <c r="R187" s="3">
        <f t="shared" si="123"/>
        <v>3.5333951237464661E-2</v>
      </c>
      <c r="S187" s="3">
        <f t="shared" si="123"/>
        <v>3.5333950954704305E-2</v>
      </c>
      <c r="T187" s="3">
        <f t="shared" si="123"/>
        <v>3.5333948127100855E-2</v>
      </c>
      <c r="U187" s="3">
        <f t="shared" si="123"/>
        <v>3.5333919851078754E-2</v>
      </c>
      <c r="V187" s="3">
        <f t="shared" si="123"/>
        <v>3.5333637092102292E-2</v>
      </c>
      <c r="W187" s="3">
        <f t="shared" si="123"/>
        <v>3.5330809626787259E-2</v>
      </c>
      <c r="X187" s="3">
        <f t="shared" si="123"/>
        <v>3.5302547414905384E-2</v>
      </c>
      <c r="Y187" s="3">
        <f t="shared" si="123"/>
        <v>3.502116574703603E-2</v>
      </c>
      <c r="Z187" s="3">
        <f t="shared" si="123"/>
        <v>3.2327798575463716E-2</v>
      </c>
      <c r="AA187" s="3">
        <f t="shared" si="123"/>
        <v>1.4522168220728699E-2</v>
      </c>
      <c r="AB187" s="3">
        <f t="shared" si="123"/>
        <v>4.8594238433588444E-6</v>
      </c>
      <c r="AC187" s="3">
        <f t="shared" si="123"/>
        <v>8.552989739928332E-41</v>
      </c>
      <c r="AD187" s="3">
        <f t="shared" si="123"/>
        <v>0</v>
      </c>
      <c r="AE187" s="3">
        <f t="shared" si="123"/>
        <v>0</v>
      </c>
      <c r="AF187" s="3">
        <f t="shared" si="123"/>
        <v>0</v>
      </c>
      <c r="AG187" s="3"/>
      <c r="AH187" s="3"/>
    </row>
    <row r="188" spans="2:34" x14ac:dyDescent="0.25">
      <c r="B188" s="3">
        <f t="shared" ref="B188:AF188" si="124">$C35*EXP(-B$168/$A35/EXP(-$C$126))</f>
        <v>3.9261973776363202E-2</v>
      </c>
      <c r="C188" s="3">
        <f t="shared" si="124"/>
        <v>3.9261973776363202E-2</v>
      </c>
      <c r="D188" s="3">
        <f t="shared" si="124"/>
        <v>3.9261973776363202E-2</v>
      </c>
      <c r="E188" s="3">
        <f t="shared" si="124"/>
        <v>3.9261973776363202E-2</v>
      </c>
      <c r="F188" s="3">
        <f t="shared" si="124"/>
        <v>3.9261973776363202E-2</v>
      </c>
      <c r="G188" s="3">
        <f t="shared" si="124"/>
        <v>3.9261973776363202E-2</v>
      </c>
      <c r="H188" s="3">
        <f t="shared" si="124"/>
        <v>3.9261973776363202E-2</v>
      </c>
      <c r="I188" s="3">
        <f t="shared" si="124"/>
        <v>3.9261973776363202E-2</v>
      </c>
      <c r="J188" s="3">
        <f t="shared" si="124"/>
        <v>3.9261973776363202E-2</v>
      </c>
      <c r="K188" s="3">
        <f t="shared" si="124"/>
        <v>3.9261973776363202E-2</v>
      </c>
      <c r="L188" s="3">
        <f t="shared" si="124"/>
        <v>3.9261973776363195E-2</v>
      </c>
      <c r="M188" s="3">
        <f t="shared" si="124"/>
        <v>3.9261973776363174E-2</v>
      </c>
      <c r="N188" s="3">
        <f t="shared" si="124"/>
        <v>3.9261973776362889E-2</v>
      </c>
      <c r="O188" s="3">
        <f t="shared" si="124"/>
        <v>3.9261973776360051E-2</v>
      </c>
      <c r="P188" s="3">
        <f t="shared" si="124"/>
        <v>3.9261973776331706E-2</v>
      </c>
      <c r="Q188" s="3">
        <f t="shared" si="124"/>
        <v>3.926197377604828E-2</v>
      </c>
      <c r="R188" s="3">
        <f t="shared" si="124"/>
        <v>3.9261973773213985E-2</v>
      </c>
      <c r="S188" s="3">
        <f t="shared" si="124"/>
        <v>3.9261973744871038E-2</v>
      </c>
      <c r="T188" s="3">
        <f t="shared" si="124"/>
        <v>3.9261973461441543E-2</v>
      </c>
      <c r="U188" s="3">
        <f t="shared" si="124"/>
        <v>3.9261970627146744E-2</v>
      </c>
      <c r="V188" s="3">
        <f t="shared" si="124"/>
        <v>3.9261942284210039E-2</v>
      </c>
      <c r="W188" s="3">
        <f t="shared" si="124"/>
        <v>3.9261658855968239E-2</v>
      </c>
      <c r="X188" s="3">
        <f t="shared" si="124"/>
        <v>3.9258824686080142E-2</v>
      </c>
      <c r="Y188" s="3">
        <f t="shared" si="124"/>
        <v>3.9230494237179302E-2</v>
      </c>
      <c r="Z188" s="3">
        <f t="shared" si="124"/>
        <v>3.8948311747104079E-2</v>
      </c>
      <c r="AA188" s="3">
        <f t="shared" si="124"/>
        <v>3.6235746865969712E-2</v>
      </c>
      <c r="AB188" s="3">
        <f t="shared" si="124"/>
        <v>1.7604472377564254E-2</v>
      </c>
      <c r="AC188" s="3">
        <f t="shared" si="124"/>
        <v>1.2896770634066838E-5</v>
      </c>
      <c r="AD188" s="3">
        <f t="shared" si="124"/>
        <v>5.7419658206462982E-37</v>
      </c>
      <c r="AE188" s="3">
        <f t="shared" si="124"/>
        <v>0</v>
      </c>
      <c r="AF188" s="3">
        <f t="shared" si="124"/>
        <v>0</v>
      </c>
      <c r="AG188" s="3"/>
      <c r="AH188" s="3"/>
    </row>
    <row r="189" spans="2:34" x14ac:dyDescent="0.25">
      <c r="B189" s="3">
        <f t="shared" ref="B189:AF189" si="125">$C36*EXP(-B$168/$A36/EXP(-$C$126))</f>
        <v>3.7079136060128547E-2</v>
      </c>
      <c r="C189" s="3">
        <f t="shared" si="125"/>
        <v>3.7079136060128547E-2</v>
      </c>
      <c r="D189" s="3">
        <f t="shared" si="125"/>
        <v>3.7079136060128547E-2</v>
      </c>
      <c r="E189" s="3">
        <f t="shared" si="125"/>
        <v>3.7079136060128547E-2</v>
      </c>
      <c r="F189" s="3">
        <f t="shared" si="125"/>
        <v>3.7079136060128547E-2</v>
      </c>
      <c r="G189" s="3">
        <f t="shared" si="125"/>
        <v>3.7079136060128547E-2</v>
      </c>
      <c r="H189" s="3">
        <f t="shared" si="125"/>
        <v>3.7079136060128547E-2</v>
      </c>
      <c r="I189" s="3">
        <f t="shared" si="125"/>
        <v>3.7079136060128547E-2</v>
      </c>
      <c r="J189" s="3">
        <f t="shared" si="125"/>
        <v>3.7079136060128547E-2</v>
      </c>
      <c r="K189" s="3">
        <f t="shared" si="125"/>
        <v>3.7079136060128547E-2</v>
      </c>
      <c r="L189" s="3">
        <f t="shared" si="125"/>
        <v>3.7079136060128547E-2</v>
      </c>
      <c r="M189" s="3">
        <f t="shared" si="125"/>
        <v>3.707913606012854E-2</v>
      </c>
      <c r="N189" s="3">
        <f t="shared" si="125"/>
        <v>3.7079136060128519E-2</v>
      </c>
      <c r="O189" s="3">
        <f t="shared" si="125"/>
        <v>3.7079136060128276E-2</v>
      </c>
      <c r="P189" s="3">
        <f t="shared" si="125"/>
        <v>3.7079136060125861E-2</v>
      </c>
      <c r="Q189" s="3">
        <f t="shared" si="125"/>
        <v>3.7079136060101721E-2</v>
      </c>
      <c r="R189" s="3">
        <f t="shared" si="125"/>
        <v>3.7079136059860254E-2</v>
      </c>
      <c r="S189" s="3">
        <f t="shared" si="125"/>
        <v>3.707913605744563E-2</v>
      </c>
      <c r="T189" s="3">
        <f t="shared" si="125"/>
        <v>3.7079136033299417E-2</v>
      </c>
      <c r="U189" s="3">
        <f t="shared" si="125"/>
        <v>3.7079135791837241E-2</v>
      </c>
      <c r="V189" s="3">
        <f t="shared" si="125"/>
        <v>3.7079133377215592E-2</v>
      </c>
      <c r="W189" s="3">
        <f t="shared" si="125"/>
        <v>3.7079109231007747E-2</v>
      </c>
      <c r="X189" s="3">
        <f t="shared" si="125"/>
        <v>3.7078867769794105E-2</v>
      </c>
      <c r="Y189" s="3">
        <f t="shared" si="125"/>
        <v>3.7076453244138496E-2</v>
      </c>
      <c r="Z189" s="3">
        <f t="shared" si="125"/>
        <v>3.7052316633578504E-2</v>
      </c>
      <c r="AA189" s="3">
        <f t="shared" si="125"/>
        <v>3.6811813047986114E-2</v>
      </c>
      <c r="AB189" s="3">
        <f t="shared" si="125"/>
        <v>3.449098668260827E-2</v>
      </c>
      <c r="AC189" s="3">
        <f t="shared" si="125"/>
        <v>1.7984142071857112E-2</v>
      </c>
      <c r="AD189" s="3">
        <f t="shared" si="125"/>
        <v>2.6713499720024106E-5</v>
      </c>
      <c r="AE189" s="3">
        <f t="shared" si="125"/>
        <v>1.3968231527354748E-33</v>
      </c>
      <c r="AF189" s="3">
        <f t="shared" si="125"/>
        <v>0</v>
      </c>
      <c r="AG189" s="3"/>
      <c r="AH189" s="3"/>
    </row>
    <row r="190" spans="2:34" x14ac:dyDescent="0.25">
      <c r="B190" s="3">
        <f t="shared" ref="B190:AF190" si="126">$C37*EXP(-B$168/$A37/EXP(-$C$126))</f>
        <v>4.610056969230196E-2</v>
      </c>
      <c r="C190" s="3">
        <f t="shared" si="126"/>
        <v>4.610056969230196E-2</v>
      </c>
      <c r="D190" s="3">
        <f t="shared" si="126"/>
        <v>4.610056969230196E-2</v>
      </c>
      <c r="E190" s="3">
        <f t="shared" si="126"/>
        <v>4.610056969230196E-2</v>
      </c>
      <c r="F190" s="3">
        <f t="shared" si="126"/>
        <v>4.610056969230196E-2</v>
      </c>
      <c r="G190" s="3">
        <f t="shared" si="126"/>
        <v>4.610056969230196E-2</v>
      </c>
      <c r="H190" s="3">
        <f t="shared" si="126"/>
        <v>4.610056969230196E-2</v>
      </c>
      <c r="I190" s="3">
        <f t="shared" si="126"/>
        <v>4.610056969230196E-2</v>
      </c>
      <c r="J190" s="3">
        <f t="shared" si="126"/>
        <v>4.610056969230196E-2</v>
      </c>
      <c r="K190" s="3">
        <f t="shared" si="126"/>
        <v>4.610056969230196E-2</v>
      </c>
      <c r="L190" s="3">
        <f t="shared" si="126"/>
        <v>4.610056969230196E-2</v>
      </c>
      <c r="M190" s="3">
        <f t="shared" si="126"/>
        <v>4.610056969230196E-2</v>
      </c>
      <c r="N190" s="3">
        <f t="shared" si="126"/>
        <v>4.6100569692301953E-2</v>
      </c>
      <c r="O190" s="3">
        <f t="shared" si="126"/>
        <v>4.6100569692301932E-2</v>
      </c>
      <c r="P190" s="3">
        <f t="shared" si="126"/>
        <v>4.6100569692301654E-2</v>
      </c>
      <c r="Q190" s="3">
        <f t="shared" si="126"/>
        <v>4.6100569692298948E-2</v>
      </c>
      <c r="R190" s="3">
        <f t="shared" si="126"/>
        <v>4.6100569692271873E-2</v>
      </c>
      <c r="S190" s="3">
        <f t="shared" si="126"/>
        <v>4.6100569692001055E-2</v>
      </c>
      <c r="T190" s="3">
        <f t="shared" si="126"/>
        <v>4.6100569689292908E-2</v>
      </c>
      <c r="U190" s="3">
        <f t="shared" si="126"/>
        <v>4.6100569662211426E-2</v>
      </c>
      <c r="V190" s="3">
        <f t="shared" si="126"/>
        <v>4.6100569391396631E-2</v>
      </c>
      <c r="W190" s="3">
        <f t="shared" si="126"/>
        <v>4.61005666832488E-2</v>
      </c>
      <c r="X190" s="3">
        <f t="shared" si="126"/>
        <v>4.6100539601779192E-2</v>
      </c>
      <c r="Y190" s="3">
        <f t="shared" si="126"/>
        <v>4.6100268787958074E-2</v>
      </c>
      <c r="Z190" s="3">
        <f t="shared" si="126"/>
        <v>4.6097560737243408E-2</v>
      </c>
      <c r="AA190" s="3">
        <f t="shared" si="126"/>
        <v>4.6070488977845256E-2</v>
      </c>
      <c r="AB190" s="3">
        <f t="shared" si="126"/>
        <v>4.580064426033386E-2</v>
      </c>
      <c r="AC190" s="3">
        <f t="shared" si="126"/>
        <v>4.318761694274488E-2</v>
      </c>
      <c r="AD190" s="3">
        <f t="shared" si="126"/>
        <v>2.4001355887523466E-2</v>
      </c>
      <c r="AE190" s="3">
        <f t="shared" si="126"/>
        <v>6.7452979190182866E-5</v>
      </c>
      <c r="AF190" s="3">
        <f t="shared" si="126"/>
        <v>2.0732645813140382E-30</v>
      </c>
      <c r="AG190" s="3"/>
      <c r="AH190" s="3"/>
    </row>
    <row r="191" spans="2:34" x14ac:dyDescent="0.25">
      <c r="B191" s="3">
        <f t="shared" ref="B191:AF191" si="127">$C38*EXP(-B$168/$A38/EXP(-$C$126))</f>
        <v>2.4069457926978895E-2</v>
      </c>
      <c r="C191" s="3">
        <f t="shared" si="127"/>
        <v>2.4069457926978895E-2</v>
      </c>
      <c r="D191" s="3">
        <f t="shared" si="127"/>
        <v>2.4069457926978895E-2</v>
      </c>
      <c r="E191" s="3">
        <f t="shared" si="127"/>
        <v>2.4069457926978895E-2</v>
      </c>
      <c r="F191" s="3">
        <f t="shared" si="127"/>
        <v>2.4069457926978895E-2</v>
      </c>
      <c r="G191" s="3">
        <f t="shared" si="127"/>
        <v>2.4069457926978895E-2</v>
      </c>
      <c r="H191" s="3">
        <f t="shared" si="127"/>
        <v>2.4069457926978895E-2</v>
      </c>
      <c r="I191" s="3">
        <f t="shared" si="127"/>
        <v>2.4069457926978895E-2</v>
      </c>
      <c r="J191" s="3">
        <f t="shared" si="127"/>
        <v>2.4069457926978895E-2</v>
      </c>
      <c r="K191" s="3">
        <f t="shared" si="127"/>
        <v>2.4069457926978895E-2</v>
      </c>
      <c r="L191" s="3">
        <f t="shared" si="127"/>
        <v>2.4069457926978895E-2</v>
      </c>
      <c r="M191" s="3">
        <f t="shared" si="127"/>
        <v>2.4069457926978895E-2</v>
      </c>
      <c r="N191" s="3">
        <f t="shared" si="127"/>
        <v>2.4069457926978895E-2</v>
      </c>
      <c r="O191" s="3">
        <f t="shared" si="127"/>
        <v>2.4069457926978892E-2</v>
      </c>
      <c r="P191" s="3">
        <f t="shared" si="127"/>
        <v>2.4069457926978882E-2</v>
      </c>
      <c r="Q191" s="3">
        <f t="shared" si="127"/>
        <v>2.4069457926978753E-2</v>
      </c>
      <c r="R191" s="3">
        <f t="shared" si="127"/>
        <v>2.406945792697748E-2</v>
      </c>
      <c r="S191" s="3">
        <f t="shared" si="127"/>
        <v>2.4069457926964726E-2</v>
      </c>
      <c r="T191" s="3">
        <f t="shared" si="127"/>
        <v>2.4069457926837172E-2</v>
      </c>
      <c r="U191" s="3">
        <f t="shared" si="127"/>
        <v>2.4069457925561678E-2</v>
      </c>
      <c r="V191" s="3">
        <f t="shared" si="127"/>
        <v>2.4069457912806722E-2</v>
      </c>
      <c r="W191" s="3">
        <f t="shared" si="127"/>
        <v>2.4069457785257153E-2</v>
      </c>
      <c r="X191" s="3">
        <f t="shared" si="127"/>
        <v>2.4069456509761514E-2</v>
      </c>
      <c r="Y191" s="3">
        <f t="shared" si="127"/>
        <v>2.4069443754808836E-2</v>
      </c>
      <c r="Z191" s="3">
        <f t="shared" si="127"/>
        <v>2.406931620565381E-2</v>
      </c>
      <c r="AA191" s="3">
        <f t="shared" si="127"/>
        <v>2.4068040751278011E-2</v>
      </c>
      <c r="AB191" s="3">
        <f t="shared" si="127"/>
        <v>2.4055289924239279E-2</v>
      </c>
      <c r="AC191" s="3">
        <f t="shared" si="127"/>
        <v>2.3928152598063763E-2</v>
      </c>
      <c r="AD191" s="3">
        <f t="shared" si="127"/>
        <v>2.2693156636160391E-2</v>
      </c>
      <c r="AE191" s="3">
        <f t="shared" si="127"/>
        <v>1.335833473796493E-2</v>
      </c>
      <c r="AF191" s="3">
        <f t="shared" si="127"/>
        <v>6.6730815724922959E-5</v>
      </c>
      <c r="AG191" s="3"/>
      <c r="AH191" s="3"/>
    </row>
    <row r="192" spans="2:34" x14ac:dyDescent="0.25">
      <c r="B192" s="3">
        <f t="shared" ref="B192:AF192" si="128">$C39*EXP(-B$168/$A39/EXP(-$C$126))</f>
        <v>4.2363904015121308E-2</v>
      </c>
      <c r="C192" s="3">
        <f t="shared" si="128"/>
        <v>4.2363904015121308E-2</v>
      </c>
      <c r="D192" s="3">
        <f t="shared" si="128"/>
        <v>4.2363904015121308E-2</v>
      </c>
      <c r="E192" s="3">
        <f t="shared" si="128"/>
        <v>4.2363904015121308E-2</v>
      </c>
      <c r="F192" s="3">
        <f t="shared" si="128"/>
        <v>4.2363904015121308E-2</v>
      </c>
      <c r="G192" s="3">
        <f t="shared" si="128"/>
        <v>4.2363904015121308E-2</v>
      </c>
      <c r="H192" s="3">
        <f t="shared" si="128"/>
        <v>4.2363904015121308E-2</v>
      </c>
      <c r="I192" s="3">
        <f t="shared" si="128"/>
        <v>4.2363904015121308E-2</v>
      </c>
      <c r="J192" s="3">
        <f t="shared" si="128"/>
        <v>4.2363904015121308E-2</v>
      </c>
      <c r="K192" s="3">
        <f t="shared" si="128"/>
        <v>4.2363904015121308E-2</v>
      </c>
      <c r="L192" s="3">
        <f t="shared" si="128"/>
        <v>4.2363904015121308E-2</v>
      </c>
      <c r="M192" s="3">
        <f t="shared" si="128"/>
        <v>4.2363904015121308E-2</v>
      </c>
      <c r="N192" s="3">
        <f t="shared" si="128"/>
        <v>4.2363904015121308E-2</v>
      </c>
      <c r="O192" s="3">
        <f t="shared" si="128"/>
        <v>4.2363904015121308E-2</v>
      </c>
      <c r="P192" s="3">
        <f t="shared" si="128"/>
        <v>4.2363904015121301E-2</v>
      </c>
      <c r="Q192" s="3">
        <f t="shared" si="128"/>
        <v>4.2363904015121238E-2</v>
      </c>
      <c r="R192" s="3">
        <f t="shared" si="128"/>
        <v>4.2363904015120614E-2</v>
      </c>
      <c r="S192" s="3">
        <f t="shared" si="128"/>
        <v>4.2363904015114411E-2</v>
      </c>
      <c r="T192" s="3">
        <f t="shared" si="128"/>
        <v>4.2363904015052321E-2</v>
      </c>
      <c r="U192" s="3">
        <f t="shared" si="128"/>
        <v>4.2363904014431415E-2</v>
      </c>
      <c r="V192" s="3">
        <f t="shared" si="128"/>
        <v>4.2363904008222424E-2</v>
      </c>
      <c r="W192" s="3">
        <f t="shared" si="128"/>
        <v>4.2363903946132445E-2</v>
      </c>
      <c r="X192" s="3">
        <f t="shared" si="128"/>
        <v>4.2363903325232648E-2</v>
      </c>
      <c r="Y192" s="3">
        <f t="shared" si="128"/>
        <v>4.2363897116235207E-2</v>
      </c>
      <c r="Z192" s="3">
        <f t="shared" si="128"/>
        <v>4.2363835026310824E-2</v>
      </c>
      <c r="AA192" s="3">
        <f t="shared" si="128"/>
        <v>4.236321413207203E-2</v>
      </c>
      <c r="AB192" s="3">
        <f t="shared" si="128"/>
        <v>4.2357005690160536E-2</v>
      </c>
      <c r="AC192" s="3">
        <f t="shared" si="128"/>
        <v>4.229497129155424E-2</v>
      </c>
      <c r="AD192" s="3">
        <f t="shared" si="128"/>
        <v>4.1679602337018673E-2</v>
      </c>
      <c r="AE192" s="3">
        <f t="shared" si="128"/>
        <v>3.5997462579303988E-2</v>
      </c>
      <c r="AF192" s="3">
        <f t="shared" si="128"/>
        <v>8.3129488979965822E-3</v>
      </c>
      <c r="AG192" s="3"/>
      <c r="AH192" s="3"/>
    </row>
    <row r="193" spans="1:34" x14ac:dyDescent="0.25">
      <c r="B193" s="3">
        <f t="shared" ref="B193:AF193" si="129">$C40*EXP(-B$168/$A40/EXP(-$C$126))</f>
        <v>5.5125175365667731E-2</v>
      </c>
      <c r="C193" s="3">
        <f t="shared" si="129"/>
        <v>5.5125175365667731E-2</v>
      </c>
      <c r="D193" s="3">
        <f t="shared" si="129"/>
        <v>5.5125175365667731E-2</v>
      </c>
      <c r="E193" s="3">
        <f t="shared" si="129"/>
        <v>5.5125175365667731E-2</v>
      </c>
      <c r="F193" s="3">
        <f t="shared" si="129"/>
        <v>5.5125175365667731E-2</v>
      </c>
      <c r="G193" s="3">
        <f t="shared" si="129"/>
        <v>5.5125175365667731E-2</v>
      </c>
      <c r="H193" s="3">
        <f t="shared" si="129"/>
        <v>5.5125175365667731E-2</v>
      </c>
      <c r="I193" s="3">
        <f t="shared" si="129"/>
        <v>5.5125175365667731E-2</v>
      </c>
      <c r="J193" s="3">
        <f t="shared" si="129"/>
        <v>5.5125175365667731E-2</v>
      </c>
      <c r="K193" s="3">
        <f t="shared" si="129"/>
        <v>5.5125175365667731E-2</v>
      </c>
      <c r="L193" s="3">
        <f t="shared" si="129"/>
        <v>5.5125175365667731E-2</v>
      </c>
      <c r="M193" s="3">
        <f t="shared" si="129"/>
        <v>5.5125175365667731E-2</v>
      </c>
      <c r="N193" s="3">
        <f t="shared" si="129"/>
        <v>5.5125175365667731E-2</v>
      </c>
      <c r="O193" s="3">
        <f t="shared" si="129"/>
        <v>5.5125175365667731E-2</v>
      </c>
      <c r="P193" s="3">
        <f t="shared" si="129"/>
        <v>5.5125175365667731E-2</v>
      </c>
      <c r="Q193" s="3">
        <f t="shared" si="129"/>
        <v>5.5125175365667724E-2</v>
      </c>
      <c r="R193" s="3">
        <f t="shared" si="129"/>
        <v>5.512517536566764E-2</v>
      </c>
      <c r="S193" s="3">
        <f t="shared" si="129"/>
        <v>5.5125175365666829E-2</v>
      </c>
      <c r="T193" s="3">
        <f t="shared" si="129"/>
        <v>5.5125175365658752E-2</v>
      </c>
      <c r="U193" s="3">
        <f t="shared" si="129"/>
        <v>5.5125175365577962E-2</v>
      </c>
      <c r="V193" s="3">
        <f t="shared" si="129"/>
        <v>5.5125175364770025E-2</v>
      </c>
      <c r="W193" s="3">
        <f t="shared" si="129"/>
        <v>5.5125175356690696E-2</v>
      </c>
      <c r="X193" s="3">
        <f t="shared" si="129"/>
        <v>5.5125175275897359E-2</v>
      </c>
      <c r="Y193" s="3">
        <f t="shared" si="129"/>
        <v>5.5125174467964028E-2</v>
      </c>
      <c r="Z193" s="3">
        <f t="shared" si="129"/>
        <v>5.512516638863138E-2</v>
      </c>
      <c r="AA193" s="3">
        <f t="shared" si="129"/>
        <v>5.5125085595370001E-2</v>
      </c>
      <c r="AB193" s="3">
        <f t="shared" si="129"/>
        <v>5.5124277669268938E-2</v>
      </c>
      <c r="AC193" s="3">
        <f t="shared" si="129"/>
        <v>5.5116199059493116E-2</v>
      </c>
      <c r="AD193" s="3">
        <f t="shared" si="129"/>
        <v>5.5035478049912524E-2</v>
      </c>
      <c r="AE193" s="3">
        <f t="shared" si="129"/>
        <v>5.4234741613505416E-2</v>
      </c>
      <c r="AF193" s="3">
        <f t="shared" si="129"/>
        <v>4.6840971896615041E-2</v>
      </c>
      <c r="AG193" s="3"/>
      <c r="AH193" s="3"/>
    </row>
    <row r="194" spans="1:34" x14ac:dyDescent="0.25">
      <c r="B194" s="3">
        <f t="shared" ref="B194:AF194" si="130">$C41*EXP(-B$168/$A41/EXP(-$C$126))</f>
        <v>5.6884717195846243E-2</v>
      </c>
      <c r="C194" s="3">
        <f t="shared" si="130"/>
        <v>5.6884717195846243E-2</v>
      </c>
      <c r="D194" s="3">
        <f t="shared" si="130"/>
        <v>5.6884717195846243E-2</v>
      </c>
      <c r="E194" s="3">
        <f t="shared" si="130"/>
        <v>5.6884717195846243E-2</v>
      </c>
      <c r="F194" s="3">
        <f t="shared" si="130"/>
        <v>5.6884717195846243E-2</v>
      </c>
      <c r="G194" s="3">
        <f t="shared" si="130"/>
        <v>5.6884717195846243E-2</v>
      </c>
      <c r="H194" s="3">
        <f t="shared" si="130"/>
        <v>5.6884717195846243E-2</v>
      </c>
      <c r="I194" s="3">
        <f t="shared" si="130"/>
        <v>5.6884717195846243E-2</v>
      </c>
      <c r="J194" s="3">
        <f t="shared" si="130"/>
        <v>5.6884717195846243E-2</v>
      </c>
      <c r="K194" s="3">
        <f t="shared" si="130"/>
        <v>5.6884717195846243E-2</v>
      </c>
      <c r="L194" s="3">
        <f t="shared" si="130"/>
        <v>5.6884717195846243E-2</v>
      </c>
      <c r="M194" s="3">
        <f t="shared" si="130"/>
        <v>5.6884717195846243E-2</v>
      </c>
      <c r="N194" s="3">
        <f t="shared" si="130"/>
        <v>5.6884717195846243E-2</v>
      </c>
      <c r="O194" s="3">
        <f t="shared" si="130"/>
        <v>5.6884717195846243E-2</v>
      </c>
      <c r="P194" s="3">
        <f t="shared" si="130"/>
        <v>5.6884717195846243E-2</v>
      </c>
      <c r="Q194" s="3">
        <f t="shared" si="130"/>
        <v>5.6884717195846243E-2</v>
      </c>
      <c r="R194" s="3">
        <f t="shared" si="130"/>
        <v>5.6884717195846236E-2</v>
      </c>
      <c r="S194" s="3">
        <f t="shared" si="130"/>
        <v>5.6884717195846146E-2</v>
      </c>
      <c r="T194" s="3">
        <f t="shared" si="130"/>
        <v>5.6884717195845313E-2</v>
      </c>
      <c r="U194" s="3">
        <f t="shared" si="130"/>
        <v>5.688471719583698E-2</v>
      </c>
      <c r="V194" s="3">
        <f t="shared" si="130"/>
        <v>5.6884717195753609E-2</v>
      </c>
      <c r="W194" s="3">
        <f t="shared" si="130"/>
        <v>5.688471719491988E-2</v>
      </c>
      <c r="X194" s="3">
        <f t="shared" si="130"/>
        <v>5.6884717186582667E-2</v>
      </c>
      <c r="Y194" s="3">
        <f t="shared" si="130"/>
        <v>5.688471710321049E-2</v>
      </c>
      <c r="Z194" s="3">
        <f t="shared" si="130"/>
        <v>5.6884716269488718E-2</v>
      </c>
      <c r="AA194" s="3">
        <f t="shared" si="130"/>
        <v>5.6884707932271648E-2</v>
      </c>
      <c r="AB194" s="3">
        <f t="shared" si="130"/>
        <v>5.688462456016817E-2</v>
      </c>
      <c r="AC194" s="3">
        <f t="shared" si="130"/>
        <v>5.6883790845853988E-2</v>
      </c>
      <c r="AD194" s="3">
        <f t="shared" si="130"/>
        <v>5.6875454374733764E-2</v>
      </c>
      <c r="AE194" s="3">
        <f t="shared" si="130"/>
        <v>5.6792156829260282E-2</v>
      </c>
      <c r="AF194" s="3">
        <f t="shared" si="130"/>
        <v>5.5965861666818106E-2</v>
      </c>
      <c r="AG194" s="3"/>
      <c r="AH194" s="3"/>
    </row>
    <row r="195" spans="1:34" x14ac:dyDescent="0.25">
      <c r="B195" s="3">
        <f t="shared" ref="B195:AF195" si="131">$C42*EXP(-B$168/$A42/EXP(-$C$126))</f>
        <v>5.455134576807355E-2</v>
      </c>
      <c r="C195" s="3">
        <f t="shared" si="131"/>
        <v>5.455134576807355E-2</v>
      </c>
      <c r="D195" s="3">
        <f t="shared" si="131"/>
        <v>5.455134576807355E-2</v>
      </c>
      <c r="E195" s="3">
        <f t="shared" si="131"/>
        <v>5.455134576807355E-2</v>
      </c>
      <c r="F195" s="3">
        <f t="shared" si="131"/>
        <v>5.455134576807355E-2</v>
      </c>
      <c r="G195" s="3">
        <f t="shared" si="131"/>
        <v>5.455134576807355E-2</v>
      </c>
      <c r="H195" s="3">
        <f t="shared" si="131"/>
        <v>5.455134576807355E-2</v>
      </c>
      <c r="I195" s="3">
        <f t="shared" si="131"/>
        <v>5.455134576807355E-2</v>
      </c>
      <c r="J195" s="3">
        <f t="shared" si="131"/>
        <v>5.455134576807355E-2</v>
      </c>
      <c r="K195" s="3">
        <f t="shared" si="131"/>
        <v>5.455134576807355E-2</v>
      </c>
      <c r="L195" s="3">
        <f t="shared" si="131"/>
        <v>5.455134576807355E-2</v>
      </c>
      <c r="M195" s="3">
        <f t="shared" si="131"/>
        <v>5.455134576807355E-2</v>
      </c>
      <c r="N195" s="3">
        <f t="shared" si="131"/>
        <v>5.455134576807355E-2</v>
      </c>
      <c r="O195" s="3">
        <f t="shared" si="131"/>
        <v>5.455134576807355E-2</v>
      </c>
      <c r="P195" s="3">
        <f t="shared" si="131"/>
        <v>5.455134576807355E-2</v>
      </c>
      <c r="Q195" s="3">
        <f t="shared" si="131"/>
        <v>5.455134576807355E-2</v>
      </c>
      <c r="R195" s="3">
        <f t="shared" si="131"/>
        <v>5.455134576807355E-2</v>
      </c>
      <c r="S195" s="3">
        <f t="shared" si="131"/>
        <v>5.4551345768073543E-2</v>
      </c>
      <c r="T195" s="3">
        <f t="shared" si="131"/>
        <v>5.455134576807346E-2</v>
      </c>
      <c r="U195" s="3">
        <f t="shared" si="131"/>
        <v>5.4551345768072662E-2</v>
      </c>
      <c r="V195" s="3">
        <f t="shared" si="131"/>
        <v>5.4551345768064669E-2</v>
      </c>
      <c r="W195" s="3">
        <f t="shared" si="131"/>
        <v>5.4551345767984712E-2</v>
      </c>
      <c r="X195" s="3">
        <f t="shared" si="131"/>
        <v>5.4551345767185191E-2</v>
      </c>
      <c r="Y195" s="3">
        <f t="shared" si="131"/>
        <v>5.4551345759189962E-2</v>
      </c>
      <c r="Z195" s="3">
        <f t="shared" si="131"/>
        <v>5.4551345679237653E-2</v>
      </c>
      <c r="AA195" s="3">
        <f t="shared" si="131"/>
        <v>5.455134487971456E-2</v>
      </c>
      <c r="AB195" s="3">
        <f t="shared" si="131"/>
        <v>5.4551336884484325E-2</v>
      </c>
      <c r="AC195" s="3">
        <f t="shared" si="131"/>
        <v>5.4551256932246391E-2</v>
      </c>
      <c r="AD195" s="3">
        <f t="shared" si="131"/>
        <v>5.455045741631194E-2</v>
      </c>
      <c r="AE195" s="3">
        <f t="shared" si="131"/>
        <v>5.4542462901423179E-2</v>
      </c>
      <c r="AF195" s="3">
        <f t="shared" si="131"/>
        <v>5.4462582163173019E-2</v>
      </c>
      <c r="AG195" s="3"/>
      <c r="AH195" s="3"/>
    </row>
    <row r="196" spans="1:34" x14ac:dyDescent="0.25">
      <c r="B196" s="3">
        <f t="shared" ref="B196:AF196" si="132">$C43*EXP(-B$168/$A43/EXP(-$C$126))</f>
        <v>3.7051538899778975E-2</v>
      </c>
      <c r="C196" s="3">
        <f t="shared" si="132"/>
        <v>3.7051538899778975E-2</v>
      </c>
      <c r="D196" s="3">
        <f t="shared" si="132"/>
        <v>3.7051538899778975E-2</v>
      </c>
      <c r="E196" s="3">
        <f t="shared" si="132"/>
        <v>3.7051538899778975E-2</v>
      </c>
      <c r="F196" s="3">
        <f t="shared" si="132"/>
        <v>3.7051538899778975E-2</v>
      </c>
      <c r="G196" s="3">
        <f t="shared" si="132"/>
        <v>3.7051538899778975E-2</v>
      </c>
      <c r="H196" s="3">
        <f t="shared" si="132"/>
        <v>3.7051538899778975E-2</v>
      </c>
      <c r="I196" s="3">
        <f t="shared" si="132"/>
        <v>3.7051538899778975E-2</v>
      </c>
      <c r="J196" s="3">
        <f t="shared" si="132"/>
        <v>3.7051538899778975E-2</v>
      </c>
      <c r="K196" s="3">
        <f t="shared" si="132"/>
        <v>3.7051538899778975E-2</v>
      </c>
      <c r="L196" s="3">
        <f t="shared" si="132"/>
        <v>3.7051538899778975E-2</v>
      </c>
      <c r="M196" s="3">
        <f t="shared" si="132"/>
        <v>3.7051538899778975E-2</v>
      </c>
      <c r="N196" s="3">
        <f t="shared" si="132"/>
        <v>3.7051538899778975E-2</v>
      </c>
      <c r="O196" s="3">
        <f t="shared" si="132"/>
        <v>3.7051538899778975E-2</v>
      </c>
      <c r="P196" s="3">
        <f t="shared" si="132"/>
        <v>3.7051538899778975E-2</v>
      </c>
      <c r="Q196" s="3">
        <f t="shared" si="132"/>
        <v>3.7051538899778975E-2</v>
      </c>
      <c r="R196" s="3">
        <f t="shared" si="132"/>
        <v>3.7051538899778975E-2</v>
      </c>
      <c r="S196" s="3">
        <f t="shared" si="132"/>
        <v>3.7051538899778975E-2</v>
      </c>
      <c r="T196" s="3">
        <f t="shared" si="132"/>
        <v>3.7051538899778969E-2</v>
      </c>
      <c r="U196" s="3">
        <f t="shared" si="132"/>
        <v>3.7051538899778913E-2</v>
      </c>
      <c r="V196" s="3">
        <f t="shared" si="132"/>
        <v>3.7051538899778372E-2</v>
      </c>
      <c r="W196" s="3">
        <f t="shared" si="132"/>
        <v>3.7051538899772939E-2</v>
      </c>
      <c r="X196" s="3">
        <f t="shared" si="132"/>
        <v>3.7051538899718635E-2</v>
      </c>
      <c r="Y196" s="3">
        <f t="shared" si="132"/>
        <v>3.7051538899175597E-2</v>
      </c>
      <c r="Z196" s="3">
        <f t="shared" si="132"/>
        <v>3.7051538893745198E-2</v>
      </c>
      <c r="AA196" s="3">
        <f t="shared" si="132"/>
        <v>3.7051538839441199E-2</v>
      </c>
      <c r="AB196" s="3">
        <f t="shared" si="132"/>
        <v>3.7051538296401239E-2</v>
      </c>
      <c r="AC196" s="3">
        <f t="shared" si="132"/>
        <v>3.7051532866002046E-2</v>
      </c>
      <c r="AD196" s="3">
        <f t="shared" si="132"/>
        <v>3.7051478562053861E-2</v>
      </c>
      <c r="AE196" s="3">
        <f t="shared" si="132"/>
        <v>3.7050935526949422E-2</v>
      </c>
      <c r="AF196" s="3">
        <f t="shared" si="132"/>
        <v>3.7045505613622534E-2</v>
      </c>
      <c r="AG196" s="3"/>
      <c r="AH196" s="3"/>
    </row>
    <row r="197" spans="1:34" x14ac:dyDescent="0.25">
      <c r="B197" s="3">
        <f t="shared" ref="B197:AF197" si="133">$C44*EXP(-B$168/$A44/EXP(-$C$126))</f>
        <v>2.3553362774933962E-2</v>
      </c>
      <c r="C197" s="3">
        <f t="shared" si="133"/>
        <v>2.3553362774933962E-2</v>
      </c>
      <c r="D197" s="3">
        <f t="shared" si="133"/>
        <v>2.3553362774933962E-2</v>
      </c>
      <c r="E197" s="3">
        <f t="shared" si="133"/>
        <v>2.3553362774933962E-2</v>
      </c>
      <c r="F197" s="3">
        <f t="shared" si="133"/>
        <v>2.3553362774933962E-2</v>
      </c>
      <c r="G197" s="3">
        <f t="shared" si="133"/>
        <v>2.3553362774933962E-2</v>
      </c>
      <c r="H197" s="3">
        <f t="shared" si="133"/>
        <v>2.3553362774933962E-2</v>
      </c>
      <c r="I197" s="3">
        <f t="shared" si="133"/>
        <v>2.3553362774933962E-2</v>
      </c>
      <c r="J197" s="3">
        <f t="shared" si="133"/>
        <v>2.3553362774933962E-2</v>
      </c>
      <c r="K197" s="3">
        <f t="shared" si="133"/>
        <v>2.3553362774933962E-2</v>
      </c>
      <c r="L197" s="3">
        <f t="shared" si="133"/>
        <v>2.3553362774933962E-2</v>
      </c>
      <c r="M197" s="3">
        <f t="shared" si="133"/>
        <v>2.3553362774933962E-2</v>
      </c>
      <c r="N197" s="3">
        <f t="shared" si="133"/>
        <v>2.3553362774933962E-2</v>
      </c>
      <c r="O197" s="3">
        <f t="shared" si="133"/>
        <v>2.3553362774933962E-2</v>
      </c>
      <c r="P197" s="3">
        <f t="shared" si="133"/>
        <v>2.3553362774933962E-2</v>
      </c>
      <c r="Q197" s="3">
        <f t="shared" si="133"/>
        <v>2.3553362774933962E-2</v>
      </c>
      <c r="R197" s="3">
        <f t="shared" si="133"/>
        <v>2.3553362774933962E-2</v>
      </c>
      <c r="S197" s="3">
        <f t="shared" si="133"/>
        <v>2.3553362774933962E-2</v>
      </c>
      <c r="T197" s="3">
        <f t="shared" si="133"/>
        <v>2.3553362774933962E-2</v>
      </c>
      <c r="U197" s="3">
        <f t="shared" si="133"/>
        <v>2.3553362774933959E-2</v>
      </c>
      <c r="V197" s="3">
        <f t="shared" si="133"/>
        <v>2.3553362774933924E-2</v>
      </c>
      <c r="W197" s="3">
        <f t="shared" si="133"/>
        <v>2.3553362774933577E-2</v>
      </c>
      <c r="X197" s="3">
        <f t="shared" si="133"/>
        <v>2.3553362774930125E-2</v>
      </c>
      <c r="Y197" s="3">
        <f t="shared" si="133"/>
        <v>2.3553362774895607E-2</v>
      </c>
      <c r="Z197" s="3">
        <f t="shared" si="133"/>
        <v>2.3553362774550397E-2</v>
      </c>
      <c r="AA197" s="3">
        <f t="shared" si="133"/>
        <v>2.3553362771098339E-2</v>
      </c>
      <c r="AB197" s="3">
        <f t="shared" si="133"/>
        <v>2.3553362736577731E-2</v>
      </c>
      <c r="AC197" s="3">
        <f t="shared" si="133"/>
        <v>2.3553362391371627E-2</v>
      </c>
      <c r="AD197" s="3">
        <f t="shared" si="133"/>
        <v>2.3553358939310903E-2</v>
      </c>
      <c r="AE197" s="3">
        <f t="shared" si="133"/>
        <v>2.355332441873147E-2</v>
      </c>
      <c r="AF197" s="3">
        <f t="shared" si="133"/>
        <v>2.3552979215719826E-2</v>
      </c>
      <c r="AG197" s="3"/>
      <c r="AH197" s="3"/>
    </row>
    <row r="198" spans="1:34" x14ac:dyDescent="0.25">
      <c r="B198" s="3">
        <f t="shared" ref="B198:AF198" si="134">$C45*EXP(-B$168/$A45/EXP(-$C$126))</f>
        <v>8.915333557989135E-3</v>
      </c>
      <c r="C198" s="3">
        <f t="shared" si="134"/>
        <v>8.915333557989135E-3</v>
      </c>
      <c r="D198" s="3">
        <f t="shared" si="134"/>
        <v>8.915333557989135E-3</v>
      </c>
      <c r="E198" s="3">
        <f t="shared" si="134"/>
        <v>8.915333557989135E-3</v>
      </c>
      <c r="F198" s="3">
        <f t="shared" si="134"/>
        <v>8.915333557989135E-3</v>
      </c>
      <c r="G198" s="3">
        <f t="shared" si="134"/>
        <v>8.915333557989135E-3</v>
      </c>
      <c r="H198" s="3">
        <f t="shared" si="134"/>
        <v>8.915333557989135E-3</v>
      </c>
      <c r="I198" s="3">
        <f t="shared" si="134"/>
        <v>8.915333557989135E-3</v>
      </c>
      <c r="J198" s="3">
        <f t="shared" si="134"/>
        <v>8.915333557989135E-3</v>
      </c>
      <c r="K198" s="3">
        <f t="shared" si="134"/>
        <v>8.915333557989135E-3</v>
      </c>
      <c r="L198" s="3">
        <f t="shared" si="134"/>
        <v>8.915333557989135E-3</v>
      </c>
      <c r="M198" s="3">
        <f t="shared" si="134"/>
        <v>8.915333557989135E-3</v>
      </c>
      <c r="N198" s="3">
        <f t="shared" si="134"/>
        <v>8.915333557989135E-3</v>
      </c>
      <c r="O198" s="3">
        <f t="shared" si="134"/>
        <v>8.915333557989135E-3</v>
      </c>
      <c r="P198" s="3">
        <f t="shared" si="134"/>
        <v>8.915333557989135E-3</v>
      </c>
      <c r="Q198" s="3">
        <f t="shared" si="134"/>
        <v>8.915333557989135E-3</v>
      </c>
      <c r="R198" s="3">
        <f t="shared" si="134"/>
        <v>8.915333557989135E-3</v>
      </c>
      <c r="S198" s="3">
        <f t="shared" si="134"/>
        <v>8.915333557989135E-3</v>
      </c>
      <c r="T198" s="3">
        <f t="shared" si="134"/>
        <v>8.915333557989135E-3</v>
      </c>
      <c r="U198" s="3">
        <f t="shared" si="134"/>
        <v>8.915333557989135E-3</v>
      </c>
      <c r="V198" s="3">
        <f t="shared" si="134"/>
        <v>8.9153335579891333E-3</v>
      </c>
      <c r="W198" s="3">
        <f t="shared" si="134"/>
        <v>8.9153335579891194E-3</v>
      </c>
      <c r="X198" s="3">
        <f t="shared" si="134"/>
        <v>8.9153335579889893E-3</v>
      </c>
      <c r="Y198" s="3">
        <f t="shared" si="134"/>
        <v>8.9153335579876831E-3</v>
      </c>
      <c r="Z198" s="3">
        <f t="shared" si="134"/>
        <v>8.9153335579746171E-3</v>
      </c>
      <c r="AA198" s="3">
        <f t="shared" si="134"/>
        <v>8.9153335578439508E-3</v>
      </c>
      <c r="AB198" s="3">
        <f t="shared" si="134"/>
        <v>8.9153335565372895E-3</v>
      </c>
      <c r="AC198" s="3">
        <f t="shared" si="134"/>
        <v>8.9153335434706722E-3</v>
      </c>
      <c r="AD198" s="3">
        <f t="shared" si="134"/>
        <v>8.9153334128045103E-3</v>
      </c>
      <c r="AE198" s="3">
        <f t="shared" si="134"/>
        <v>8.9153321061429883E-3</v>
      </c>
      <c r="AF198" s="3">
        <f t="shared" si="134"/>
        <v>8.9153190395383081E-3</v>
      </c>
      <c r="AG198" s="3"/>
      <c r="AH198" s="3"/>
    </row>
    <row r="199" spans="1:34" x14ac:dyDescent="0.25">
      <c r="B199" s="3">
        <f t="shared" ref="B199:AF199" si="135">$C46*EXP(-B$168/$A46/EXP(-$C$126))</f>
        <v>6.6530683932672779E-3</v>
      </c>
      <c r="C199" s="3">
        <f t="shared" si="135"/>
        <v>6.6530683932672779E-3</v>
      </c>
      <c r="D199" s="3">
        <f t="shared" si="135"/>
        <v>6.6530683932672779E-3</v>
      </c>
      <c r="E199" s="3">
        <f t="shared" si="135"/>
        <v>6.6530683932672779E-3</v>
      </c>
      <c r="F199" s="3">
        <f t="shared" si="135"/>
        <v>6.6530683932672779E-3</v>
      </c>
      <c r="G199" s="3">
        <f t="shared" si="135"/>
        <v>6.6530683932672779E-3</v>
      </c>
      <c r="H199" s="3">
        <f t="shared" si="135"/>
        <v>6.6530683932672779E-3</v>
      </c>
      <c r="I199" s="3">
        <f t="shared" si="135"/>
        <v>6.6530683932672779E-3</v>
      </c>
      <c r="J199" s="3">
        <f t="shared" si="135"/>
        <v>6.6530683932672779E-3</v>
      </c>
      <c r="K199" s="3">
        <f t="shared" si="135"/>
        <v>6.6530683932672779E-3</v>
      </c>
      <c r="L199" s="3">
        <f t="shared" si="135"/>
        <v>6.6530683932672779E-3</v>
      </c>
      <c r="M199" s="3">
        <f t="shared" si="135"/>
        <v>6.6530683932672779E-3</v>
      </c>
      <c r="N199" s="3">
        <f t="shared" si="135"/>
        <v>6.6530683932672779E-3</v>
      </c>
      <c r="O199" s="3">
        <f t="shared" si="135"/>
        <v>6.6530683932672779E-3</v>
      </c>
      <c r="P199" s="3">
        <f t="shared" si="135"/>
        <v>6.6530683932672779E-3</v>
      </c>
      <c r="Q199" s="3">
        <f t="shared" si="135"/>
        <v>6.6530683932672779E-3</v>
      </c>
      <c r="R199" s="3">
        <f t="shared" si="135"/>
        <v>6.6530683932672779E-3</v>
      </c>
      <c r="S199" s="3">
        <f t="shared" si="135"/>
        <v>6.6530683932672779E-3</v>
      </c>
      <c r="T199" s="3">
        <f t="shared" si="135"/>
        <v>6.6530683932672779E-3</v>
      </c>
      <c r="U199" s="3">
        <f t="shared" si="135"/>
        <v>6.6530683932672779E-3</v>
      </c>
      <c r="V199" s="3">
        <f t="shared" si="135"/>
        <v>6.6530683932672779E-3</v>
      </c>
      <c r="W199" s="3">
        <f t="shared" si="135"/>
        <v>6.6530683932672771E-3</v>
      </c>
      <c r="X199" s="3">
        <f t="shared" si="135"/>
        <v>6.6530683932672667E-3</v>
      </c>
      <c r="Y199" s="3">
        <f t="shared" si="135"/>
        <v>6.6530683932671695E-3</v>
      </c>
      <c r="Z199" s="3">
        <f t="shared" si="135"/>
        <v>6.6530683932661946E-3</v>
      </c>
      <c r="AA199" s="3">
        <f t="shared" si="135"/>
        <v>6.6530683932564437E-3</v>
      </c>
      <c r="AB199" s="3">
        <f t="shared" si="135"/>
        <v>6.6530683931589341E-3</v>
      </c>
      <c r="AC199" s="3">
        <f t="shared" si="135"/>
        <v>6.6530683921838382E-3</v>
      </c>
      <c r="AD199" s="3">
        <f t="shared" si="135"/>
        <v>6.6530683824328743E-3</v>
      </c>
      <c r="AE199" s="3">
        <f t="shared" si="135"/>
        <v>6.6530682849232393E-3</v>
      </c>
      <c r="AF199" s="3">
        <f t="shared" si="135"/>
        <v>6.6530673098269735E-3</v>
      </c>
      <c r="AG199" s="3"/>
      <c r="AH199" s="3"/>
    </row>
    <row r="200" spans="1:34" x14ac:dyDescent="0.25">
      <c r="B200" s="3">
        <f t="shared" ref="B200:AF200" si="136">$C47*EXP(-B$168/$A47/EXP(-$C$126))</f>
        <v>6.4465417196877487E-4</v>
      </c>
      <c r="C200" s="3">
        <f t="shared" si="136"/>
        <v>6.4465417196877487E-4</v>
      </c>
      <c r="D200" s="3">
        <f t="shared" si="136"/>
        <v>6.4465417196877487E-4</v>
      </c>
      <c r="E200" s="3">
        <f t="shared" si="136"/>
        <v>6.4465417196877487E-4</v>
      </c>
      <c r="F200" s="3">
        <f t="shared" si="136"/>
        <v>6.4465417196877487E-4</v>
      </c>
      <c r="G200" s="3">
        <f t="shared" si="136"/>
        <v>6.4465417196877487E-4</v>
      </c>
      <c r="H200" s="3">
        <f t="shared" si="136"/>
        <v>6.4465417196877487E-4</v>
      </c>
      <c r="I200" s="3">
        <f t="shared" si="136"/>
        <v>6.4465417196877487E-4</v>
      </c>
      <c r="J200" s="3">
        <f t="shared" si="136"/>
        <v>6.4465417196877487E-4</v>
      </c>
      <c r="K200" s="3">
        <f t="shared" si="136"/>
        <v>6.4465417196877487E-4</v>
      </c>
      <c r="L200" s="3">
        <f t="shared" si="136"/>
        <v>6.4465417196877487E-4</v>
      </c>
      <c r="M200" s="3">
        <f t="shared" si="136"/>
        <v>6.4465417196877487E-4</v>
      </c>
      <c r="N200" s="3">
        <f t="shared" si="136"/>
        <v>6.4465417196877487E-4</v>
      </c>
      <c r="O200" s="3">
        <f t="shared" si="136"/>
        <v>6.4465417196877487E-4</v>
      </c>
      <c r="P200" s="3">
        <f t="shared" si="136"/>
        <v>6.4465417196877487E-4</v>
      </c>
      <c r="Q200" s="3">
        <f t="shared" si="136"/>
        <v>6.4465417196877487E-4</v>
      </c>
      <c r="R200" s="3">
        <f t="shared" si="136"/>
        <v>6.4465417196877487E-4</v>
      </c>
      <c r="S200" s="3">
        <f t="shared" si="136"/>
        <v>6.4465417196877487E-4</v>
      </c>
      <c r="T200" s="3">
        <f t="shared" si="136"/>
        <v>6.4465417196877487E-4</v>
      </c>
      <c r="U200" s="3">
        <f t="shared" si="136"/>
        <v>6.4465417196877487E-4</v>
      </c>
      <c r="V200" s="3">
        <f t="shared" si="136"/>
        <v>6.4465417196877487E-4</v>
      </c>
      <c r="W200" s="3">
        <f t="shared" si="136"/>
        <v>6.4465417196877487E-4</v>
      </c>
      <c r="X200" s="3">
        <f t="shared" si="136"/>
        <v>6.4465417196877476E-4</v>
      </c>
      <c r="Y200" s="3">
        <f t="shared" si="136"/>
        <v>6.4465417196877379E-4</v>
      </c>
      <c r="Z200" s="3">
        <f t="shared" si="136"/>
        <v>6.4465417196876435E-4</v>
      </c>
      <c r="AA200" s="3">
        <f t="shared" si="136"/>
        <v>6.4465417196866992E-4</v>
      </c>
      <c r="AB200" s="3">
        <f t="shared" si="136"/>
        <v>6.4465417196772504E-4</v>
      </c>
      <c r="AC200" s="3">
        <f t="shared" si="136"/>
        <v>6.4465417195827676E-4</v>
      </c>
      <c r="AD200" s="3">
        <f t="shared" si="136"/>
        <v>6.4465417186379407E-4</v>
      </c>
      <c r="AE200" s="3">
        <f t="shared" si="136"/>
        <v>6.4465417091896695E-4</v>
      </c>
      <c r="AF200" s="3">
        <f t="shared" si="136"/>
        <v>6.4465416147069601E-4</v>
      </c>
      <c r="AG200" s="3"/>
      <c r="AH200" s="3"/>
    </row>
    <row r="201" spans="1:34" x14ac:dyDescent="0.25">
      <c r="B201" s="3">
        <f t="shared" ref="B201:AF201" si="137">$C48*EXP(-B$168/$A48/EXP(-$C$126))</f>
        <v>7.8044740016632993E-3</v>
      </c>
      <c r="C201" s="3">
        <f t="shared" si="137"/>
        <v>7.8044740016632993E-3</v>
      </c>
      <c r="D201" s="3">
        <f t="shared" si="137"/>
        <v>7.8044740016632993E-3</v>
      </c>
      <c r="E201" s="3">
        <f t="shared" si="137"/>
        <v>7.8044740016632993E-3</v>
      </c>
      <c r="F201" s="3">
        <f t="shared" si="137"/>
        <v>7.8044740016632993E-3</v>
      </c>
      <c r="G201" s="3">
        <f t="shared" si="137"/>
        <v>7.8044740016632993E-3</v>
      </c>
      <c r="H201" s="3">
        <f t="shared" si="137"/>
        <v>7.8044740016632993E-3</v>
      </c>
      <c r="I201" s="3">
        <f t="shared" si="137"/>
        <v>7.8044740016632993E-3</v>
      </c>
      <c r="J201" s="3">
        <f t="shared" si="137"/>
        <v>7.8044740016632993E-3</v>
      </c>
      <c r="K201" s="3">
        <f t="shared" si="137"/>
        <v>7.8044740016632993E-3</v>
      </c>
      <c r="L201" s="3">
        <f t="shared" si="137"/>
        <v>7.8044740016632993E-3</v>
      </c>
      <c r="M201" s="3">
        <f t="shared" si="137"/>
        <v>7.8044740016632993E-3</v>
      </c>
      <c r="N201" s="3">
        <f t="shared" si="137"/>
        <v>7.8044740016632993E-3</v>
      </c>
      <c r="O201" s="3">
        <f t="shared" si="137"/>
        <v>7.8044740016632993E-3</v>
      </c>
      <c r="P201" s="3">
        <f t="shared" si="137"/>
        <v>7.8044740016632993E-3</v>
      </c>
      <c r="Q201" s="3">
        <f t="shared" si="137"/>
        <v>7.8044740016632993E-3</v>
      </c>
      <c r="R201" s="3">
        <f t="shared" si="137"/>
        <v>7.8044740016632993E-3</v>
      </c>
      <c r="S201" s="3">
        <f t="shared" si="137"/>
        <v>7.8044740016632993E-3</v>
      </c>
      <c r="T201" s="3">
        <f t="shared" si="137"/>
        <v>7.8044740016632993E-3</v>
      </c>
      <c r="U201" s="3">
        <f t="shared" si="137"/>
        <v>7.8044740016632993E-3</v>
      </c>
      <c r="V201" s="3">
        <f t="shared" si="137"/>
        <v>7.8044740016632993E-3</v>
      </c>
      <c r="W201" s="3">
        <f t="shared" si="137"/>
        <v>7.8044740016632993E-3</v>
      </c>
      <c r="X201" s="3">
        <f t="shared" si="137"/>
        <v>7.8044740016632993E-3</v>
      </c>
      <c r="Y201" s="3">
        <f t="shared" si="137"/>
        <v>7.8044740016632985E-3</v>
      </c>
      <c r="Z201" s="3">
        <f t="shared" si="137"/>
        <v>7.8044740016632863E-3</v>
      </c>
      <c r="AA201" s="3">
        <f t="shared" si="137"/>
        <v>7.8044740016631718E-3</v>
      </c>
      <c r="AB201" s="3">
        <f t="shared" si="137"/>
        <v>7.8044740016620286E-3</v>
      </c>
      <c r="AC201" s="3">
        <f t="shared" si="137"/>
        <v>7.8044740016505899E-3</v>
      </c>
      <c r="AD201" s="3">
        <f t="shared" si="137"/>
        <v>7.8044740015362048E-3</v>
      </c>
      <c r="AE201" s="3">
        <f t="shared" si="137"/>
        <v>7.804474000392355E-3</v>
      </c>
      <c r="AF201" s="3">
        <f t="shared" si="137"/>
        <v>7.8044739889538521E-3</v>
      </c>
      <c r="AG201" s="3"/>
      <c r="AH201" s="3"/>
    </row>
    <row r="202" spans="1:34" x14ac:dyDescent="0.25">
      <c r="A202" s="79">
        <f>AVERAGE(B202:AF202)</f>
        <v>1.7576303771334238E-2</v>
      </c>
      <c r="B202" s="80">
        <f>IF($A$64&lt;=B168,IF($B$64&gt;=B168,ABS((B170-B169)/B169),0),0)</f>
        <v>9.925446911091373E-4</v>
      </c>
      <c r="C202" s="80">
        <f t="shared" ref="C202:AF202" si="138">IF($A$64&lt;=C168,IF($B$64&gt;=C168,ABS((C170-C169)/C169),0),0)</f>
        <v>1.3245944456563516E-3</v>
      </c>
      <c r="D202" s="80">
        <f t="shared" si="138"/>
        <v>4.3330439518642662E-3</v>
      </c>
      <c r="E202" s="80">
        <f t="shared" si="138"/>
        <v>1.9007313598619673E-2</v>
      </c>
      <c r="F202" s="80">
        <f t="shared" si="138"/>
        <v>2.3412248444960541E-2</v>
      </c>
      <c r="G202" s="80">
        <f t="shared" si="138"/>
        <v>2.3397938518233744E-2</v>
      </c>
      <c r="H202" s="80">
        <f t="shared" si="138"/>
        <v>2.3256873886987713E-2</v>
      </c>
      <c r="I202" s="80">
        <f t="shared" si="138"/>
        <v>2.1901407043803948E-2</v>
      </c>
      <c r="J202" s="80">
        <f t="shared" si="138"/>
        <v>1.059826870775671E-2</v>
      </c>
      <c r="K202" s="80">
        <f t="shared" si="138"/>
        <v>3.2603672824496632E-3</v>
      </c>
      <c r="L202" s="80">
        <f t="shared" si="138"/>
        <v>1.4001171783866489E-2</v>
      </c>
      <c r="M202" s="80">
        <f t="shared" si="138"/>
        <v>8.8222334430524581E-3</v>
      </c>
      <c r="N202" s="80">
        <f t="shared" si="138"/>
        <v>1.109624139728857E-2</v>
      </c>
      <c r="O202" s="80">
        <f t="shared" si="138"/>
        <v>1.1949024666496879E-2</v>
      </c>
      <c r="P202" s="80">
        <f t="shared" si="138"/>
        <v>1.344043988716831E-2</v>
      </c>
      <c r="Q202" s="80">
        <f t="shared" si="138"/>
        <v>1.4474978240790326E-2</v>
      </c>
      <c r="R202" s="80">
        <f t="shared" si="138"/>
        <v>1.4677131264234049E-2</v>
      </c>
      <c r="S202" s="80">
        <f t="shared" si="138"/>
        <v>1.4639913253460887E-2</v>
      </c>
      <c r="T202" s="80">
        <f t="shared" si="138"/>
        <v>1.4592565762884303E-2</v>
      </c>
      <c r="U202" s="80">
        <f t="shared" si="138"/>
        <v>7.4320270381812202E-3</v>
      </c>
      <c r="V202" s="80">
        <f t="shared" si="138"/>
        <v>8.9644702551628912E-3</v>
      </c>
      <c r="W202" s="80">
        <f t="shared" si="138"/>
        <v>2.7642466614481682E-2</v>
      </c>
      <c r="X202" s="80">
        <f t="shared" si="138"/>
        <v>3.810693982574001E-2</v>
      </c>
      <c r="Y202" s="80">
        <f t="shared" si="138"/>
        <v>4.5767817722239042E-2</v>
      </c>
      <c r="Z202" s="80">
        <f t="shared" si="138"/>
        <v>4.2497354915137182E-2</v>
      </c>
      <c r="AA202" s="80">
        <f t="shared" si="138"/>
        <v>3.2660919929840347E-2</v>
      </c>
      <c r="AB202" s="80">
        <f t="shared" si="138"/>
        <v>1.6319196990129604E-2</v>
      </c>
      <c r="AC202" s="80">
        <f t="shared" si="138"/>
        <v>5.4177081315468223E-3</v>
      </c>
      <c r="AD202" s="80">
        <f t="shared" si="138"/>
        <v>9.5310682534241273E-3</v>
      </c>
      <c r="AE202" s="80">
        <f t="shared" si="138"/>
        <v>1.7769310270633797E-2</v>
      </c>
      <c r="AF202" s="80">
        <f t="shared" si="138"/>
        <v>4.3577836694160481E-2</v>
      </c>
    </row>
    <row r="203" spans="1:34" x14ac:dyDescent="0.25">
      <c r="B203" s="21">
        <f>(B170-B169)^2</f>
        <v>31.11004163073574</v>
      </c>
      <c r="C203" s="21">
        <f t="shared" ref="C203:AF203" si="139">(C170-C169)^2</f>
        <v>55.407861913813754</v>
      </c>
      <c r="D203" s="21">
        <f t="shared" si="139"/>
        <v>592.90969622365117</v>
      </c>
      <c r="E203" s="21">
        <f t="shared" si="139"/>
        <v>11408.87269941096</v>
      </c>
      <c r="F203" s="21">
        <f t="shared" si="139"/>
        <v>17309.549925441155</v>
      </c>
      <c r="G203" s="21">
        <f t="shared" si="139"/>
        <v>17287.820869888779</v>
      </c>
      <c r="H203" s="21">
        <f t="shared" si="139"/>
        <v>17074.379621722215</v>
      </c>
      <c r="I203" s="21">
        <f t="shared" si="139"/>
        <v>15094.146525574835</v>
      </c>
      <c r="J203" s="21">
        <f t="shared" si="139"/>
        <v>3440.7665744409728</v>
      </c>
      <c r="K203" s="21">
        <f t="shared" si="139"/>
        <v>306.58170004068023</v>
      </c>
      <c r="L203" s="21">
        <f t="shared" si="139"/>
        <v>5419.253481500019</v>
      </c>
      <c r="M203" s="21">
        <f t="shared" si="139"/>
        <v>2063.4543334708242</v>
      </c>
      <c r="N203" s="21">
        <f t="shared" si="139"/>
        <v>3111.4005044247624</v>
      </c>
      <c r="O203" s="21">
        <f t="shared" si="139"/>
        <v>3425.599686552157</v>
      </c>
      <c r="P203" s="21">
        <f t="shared" si="139"/>
        <v>4081.5238096691878</v>
      </c>
      <c r="Q203" s="21">
        <f t="shared" si="139"/>
        <v>4428.4217294704531</v>
      </c>
      <c r="R203" s="21">
        <f t="shared" si="139"/>
        <v>4241.8498765747299</v>
      </c>
      <c r="S203" s="21">
        <f t="shared" si="139"/>
        <v>3931.0796719944265</v>
      </c>
      <c r="T203" s="21">
        <f t="shared" si="139"/>
        <v>3587.7320576110956</v>
      </c>
      <c r="U203" s="21">
        <f t="shared" si="139"/>
        <v>824.5263377825687</v>
      </c>
      <c r="V203" s="21">
        <f t="shared" si="139"/>
        <v>1037.5163221159739</v>
      </c>
      <c r="W203" s="21">
        <f t="shared" si="139"/>
        <v>8628.8548562693832</v>
      </c>
      <c r="X203" s="21">
        <f t="shared" si="139"/>
        <v>14585.40776272129</v>
      </c>
      <c r="Y203" s="21">
        <f t="shared" si="139"/>
        <v>18712.10527218835</v>
      </c>
      <c r="Z203" s="21">
        <f t="shared" si="139"/>
        <v>14438.329739241193</v>
      </c>
      <c r="AA203" s="21">
        <f t="shared" si="139"/>
        <v>7605.624487494737</v>
      </c>
      <c r="AB203" s="21">
        <f t="shared" si="139"/>
        <v>1685.2617592714043</v>
      </c>
      <c r="AC203" s="21">
        <f t="shared" si="139"/>
        <v>160.26576601465473</v>
      </c>
      <c r="AD203" s="21">
        <f t="shared" si="139"/>
        <v>420.05773456311351</v>
      </c>
      <c r="AE203" s="21">
        <f t="shared" si="139"/>
        <v>1188.9845026055409</v>
      </c>
      <c r="AF203" s="21">
        <f t="shared" si="139"/>
        <v>5508.8883979281964</v>
      </c>
      <c r="AG203" s="3"/>
      <c r="AH203" s="3"/>
    </row>
    <row r="204" spans="1:34" x14ac:dyDescent="0.25">
      <c r="A204" s="71">
        <f>SUM(B204:AF204)</f>
        <v>191687.6836057519</v>
      </c>
      <c r="B204" s="60">
        <f>IF($A$64&lt;=B168,IF($B$64&gt;=B168,ABS(B203),0),0)</f>
        <v>31.11004163073574</v>
      </c>
      <c r="C204" s="60">
        <f t="shared" ref="C204" si="140">IF($A$64&lt;=C168,IF($B$64&gt;=C168,ABS(C203),0),0)</f>
        <v>55.407861913813754</v>
      </c>
      <c r="D204" s="60">
        <f t="shared" ref="D204" si="141">IF($A$64&lt;=D168,IF($B$64&gt;=D168,ABS(D203),0),0)</f>
        <v>592.90969622365117</v>
      </c>
      <c r="E204" s="60">
        <f t="shared" ref="E204" si="142">IF($A$64&lt;=E168,IF($B$64&gt;=E168,ABS(E203),0),0)</f>
        <v>11408.87269941096</v>
      </c>
      <c r="F204" s="60">
        <f t="shared" ref="F204" si="143">IF($A$64&lt;=F168,IF($B$64&gt;=F168,ABS(F203),0),0)</f>
        <v>17309.549925441155</v>
      </c>
      <c r="G204" s="60">
        <f t="shared" ref="G204" si="144">IF($A$64&lt;=G168,IF($B$64&gt;=G168,ABS(G203),0),0)</f>
        <v>17287.820869888779</v>
      </c>
      <c r="H204" s="60">
        <f t="shared" ref="H204" si="145">IF($A$64&lt;=H168,IF($B$64&gt;=H168,ABS(H203),0),0)</f>
        <v>17074.379621722215</v>
      </c>
      <c r="I204" s="60">
        <f t="shared" ref="I204" si="146">IF($A$64&lt;=I168,IF($B$64&gt;=I168,ABS(I203),0),0)</f>
        <v>15094.146525574835</v>
      </c>
      <c r="J204" s="60">
        <f t="shared" ref="J204" si="147">IF($A$64&lt;=J168,IF($B$64&gt;=J168,ABS(J203),0),0)</f>
        <v>3440.7665744409728</v>
      </c>
      <c r="K204" s="60">
        <f t="shared" ref="K204" si="148">IF($A$64&lt;=K168,IF($B$64&gt;=K168,ABS(K203),0),0)</f>
        <v>306.58170004068023</v>
      </c>
      <c r="L204" s="60">
        <f t="shared" ref="L204" si="149">IF($A$64&lt;=L168,IF($B$64&gt;=L168,ABS(L203),0),0)</f>
        <v>5419.253481500019</v>
      </c>
      <c r="M204" s="60">
        <f t="shared" ref="M204" si="150">IF($A$64&lt;=M168,IF($B$64&gt;=M168,ABS(M203),0),0)</f>
        <v>2063.4543334708242</v>
      </c>
      <c r="N204" s="60">
        <f t="shared" ref="N204" si="151">IF($A$64&lt;=N168,IF($B$64&gt;=N168,ABS(N203),0),0)</f>
        <v>3111.4005044247624</v>
      </c>
      <c r="O204" s="60">
        <f t="shared" ref="O204" si="152">IF($A$64&lt;=O168,IF($B$64&gt;=O168,ABS(O203),0),0)</f>
        <v>3425.599686552157</v>
      </c>
      <c r="P204" s="60">
        <f t="shared" ref="P204" si="153">IF($A$64&lt;=P168,IF($B$64&gt;=P168,ABS(P203),0),0)</f>
        <v>4081.5238096691878</v>
      </c>
      <c r="Q204" s="60">
        <f t="shared" ref="Q204" si="154">IF($A$64&lt;=Q168,IF($B$64&gt;=Q168,ABS(Q203),0),0)</f>
        <v>4428.4217294704531</v>
      </c>
      <c r="R204" s="60">
        <f t="shared" ref="R204" si="155">IF($A$64&lt;=R168,IF($B$64&gt;=R168,ABS(R203),0),0)</f>
        <v>4241.8498765747299</v>
      </c>
      <c r="S204" s="60">
        <f t="shared" ref="S204" si="156">IF($A$64&lt;=S168,IF($B$64&gt;=S168,ABS(S203),0),0)</f>
        <v>3931.0796719944265</v>
      </c>
      <c r="T204" s="60">
        <f t="shared" ref="T204" si="157">IF($A$64&lt;=T168,IF($B$64&gt;=T168,ABS(T203),0),0)</f>
        <v>3587.7320576110956</v>
      </c>
      <c r="U204" s="60">
        <f t="shared" ref="U204" si="158">IF($A$64&lt;=U168,IF($B$64&gt;=U168,ABS(U203),0),0)</f>
        <v>824.5263377825687</v>
      </c>
      <c r="V204" s="60">
        <f t="shared" ref="V204" si="159">IF($A$64&lt;=V168,IF($B$64&gt;=V168,ABS(V203),0),0)</f>
        <v>1037.5163221159739</v>
      </c>
      <c r="W204" s="60">
        <f t="shared" ref="W204" si="160">IF($A$64&lt;=W168,IF($B$64&gt;=W168,ABS(W203),0),0)</f>
        <v>8628.8548562693832</v>
      </c>
      <c r="X204" s="60">
        <f t="shared" ref="X204" si="161">IF($A$64&lt;=X168,IF($B$64&gt;=X168,ABS(X203),0),0)</f>
        <v>14585.40776272129</v>
      </c>
      <c r="Y204" s="60">
        <f t="shared" ref="Y204" si="162">IF($A$64&lt;=Y168,IF($B$64&gt;=Y168,ABS(Y203),0),0)</f>
        <v>18712.10527218835</v>
      </c>
      <c r="Z204" s="60">
        <f t="shared" ref="Z204" si="163">IF($A$64&lt;=Z168,IF($B$64&gt;=Z168,ABS(Z203),0),0)</f>
        <v>14438.329739241193</v>
      </c>
      <c r="AA204" s="60">
        <f t="shared" ref="AA204" si="164">IF($A$64&lt;=AA168,IF($B$64&gt;=AA168,ABS(AA203),0),0)</f>
        <v>7605.624487494737</v>
      </c>
      <c r="AB204" s="60">
        <f t="shared" ref="AB204" si="165">IF($A$64&lt;=AB168,IF($B$64&gt;=AB168,ABS(AB203),0),0)</f>
        <v>1685.2617592714043</v>
      </c>
      <c r="AC204" s="60">
        <f t="shared" ref="AC204" si="166">IF($A$64&lt;=AC168,IF($B$64&gt;=AC168,ABS(AC203),0),0)</f>
        <v>160.26576601465473</v>
      </c>
      <c r="AD204" s="60">
        <f t="shared" ref="AD204" si="167">IF($A$64&lt;=AD168,IF($B$64&gt;=AD168,ABS(AD203),0),0)</f>
        <v>420.05773456311351</v>
      </c>
      <c r="AE204" s="60">
        <f t="shared" ref="AE204" si="168">IF($A$64&lt;=AE168,IF($B$64&gt;=AE168,ABS(AE203),0),0)</f>
        <v>1188.9845026055409</v>
      </c>
      <c r="AF204" s="60">
        <f t="shared" ref="AF204" si="169">IF($A$64&lt;=AF168,IF($B$64&gt;=AF168,ABS(AF203),0),0)</f>
        <v>5508.8883979281964</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5614.15966521874</v>
      </c>
      <c r="C208" s="26">
        <f>INDEX(Comparison!$AM$3:$AS$33,G$14,$D$122)</f>
        <v>5614.1868795733999</v>
      </c>
      <c r="D208" s="26">
        <f>INDEX(Comparison!$AM$3:$AS$33,H$14,$D$122)</f>
        <v>5614.1101001096886</v>
      </c>
      <c r="E208" s="26">
        <f>INDEX(Comparison!$AM$3:$AS$33,I$14,$D$122)</f>
        <v>5613.5440717227957</v>
      </c>
      <c r="F208" s="26">
        <f>INDEX(Comparison!$AM$3:$AS$33,J$14,$D$122)</f>
        <v>5608.0875082385601</v>
      </c>
      <c r="G208" s="26">
        <f>INDEX(Comparison!$AM$3:$AS$33,K$14,$D$122)</f>
        <v>5561.0618011761198</v>
      </c>
      <c r="H208" s="26">
        <f>INDEX(Comparison!$AM$3:$AS$33,L$14,$D$122)</f>
        <v>5391.7011748892737</v>
      </c>
      <c r="I208" s="26">
        <f>INDEX(Comparison!$AM$3:$AS$33,M$14,$D$122)</f>
        <v>5273.7806689105482</v>
      </c>
      <c r="J208" s="26">
        <f>INDEX(Comparison!$AM$3:$AS$33,N$14,$D$122)</f>
        <v>5167.1400623232676</v>
      </c>
      <c r="K208" s="26">
        <f>INDEX(Comparison!$AM$3:$AS$33,O$14,$D$122)</f>
        <v>5046.4639033804824</v>
      </c>
      <c r="L208" s="26">
        <f>INDEX(Comparison!$AM$3:$AS$33,P$14,$D$122)</f>
        <v>4920.6469341545144</v>
      </c>
      <c r="M208" s="26">
        <f>INDEX(Comparison!$AM$3:$AS$33,Q$14,$D$122)</f>
        <v>4778.6212241451321</v>
      </c>
      <c r="N208" s="26">
        <f>INDEX(Comparison!$AM$3:$AS$33,R$14,$D$122)</f>
        <v>4624.8276392807802</v>
      </c>
      <c r="O208" s="26">
        <f>INDEX(Comparison!$AM$3:$AS$33,S$14,$D$122)</f>
        <v>4464.4431086830655</v>
      </c>
      <c r="P208" s="26">
        <f>INDEX(Comparison!$AM$3:$AS$33,T$14,$D$122)</f>
        <v>4311.3670250981177</v>
      </c>
      <c r="Q208" s="26">
        <f>INDEX(Comparison!$AM$3:$AS$33,U$14,$D$122)</f>
        <v>4152.6891106145395</v>
      </c>
      <c r="R208" s="26">
        <f>INDEX(Comparison!$AM$3:$AS$33,V$14,$D$122)</f>
        <v>3957.9636218361616</v>
      </c>
      <c r="S208" s="26">
        <f>INDEX(Comparison!$AM$3:$AS$33,W$14,$D$122)</f>
        <v>3730.5898476111606</v>
      </c>
      <c r="T208" s="26">
        <f>INDEX(Comparison!$AM$3:$AS$33,X$14,$D$122)</f>
        <v>3500.0702814112506</v>
      </c>
      <c r="U208" s="26">
        <f>INDEX(Comparison!$AM$3:$AS$33,Y$14,$D$122)</f>
        <v>3289.3669034465734</v>
      </c>
      <c r="V208" s="26">
        <f>INDEX(Comparison!$AM$3:$AS$33,Z$14,$D$122)</f>
        <v>3085.2633506749817</v>
      </c>
      <c r="W208" s="26">
        <f>INDEX(Comparison!$AM$3:$AS$33,AA$14,$D$122)</f>
        <v>2905.3736728917142</v>
      </c>
      <c r="X208" s="26">
        <f>INDEX(Comparison!$AM$3:$AS$33,AB$14,$D$122)</f>
        <v>2732.9260794562178</v>
      </c>
      <c r="Y208" s="26">
        <f>INDEX(Comparison!$AM$3:$AS$33,AC$14,$D$122)</f>
        <v>2568.1909736158736</v>
      </c>
      <c r="Z208" s="26">
        <f>INDEX(Comparison!$AM$3:$AS$33,AD$14,$D$122)</f>
        <v>2386.1123895749793</v>
      </c>
      <c r="AA208" s="26">
        <f>INDEX(Comparison!$AM$3:$AS$33,AE$14,$D$122)</f>
        <v>2196.768027007945</v>
      </c>
      <c r="AB208" s="26">
        <f>INDEX(Comparison!$AM$3:$AS$33,AF$14,$D$122)</f>
        <v>1987.4046244520723</v>
      </c>
      <c r="AC208" s="26">
        <f>INDEX(Comparison!$AM$3:$AS$33,AG$14,$D$122)</f>
        <v>1756.4334468648422</v>
      </c>
      <c r="AD208" s="26">
        <f>INDEX(Comparison!$AM$3:$AS$33,AH$14,$D$122)</f>
        <v>1488.4468583518017</v>
      </c>
      <c r="AE208" s="26">
        <f>INDEX(Comparison!$AM$3:$AS$33,AI$14,$D$122)</f>
        <v>1185.6745633902476</v>
      </c>
      <c r="AF208" s="26">
        <f>INDEX(Comparison!$AM$3:$AS$33,AJ$14,$D$122)</f>
        <v>877.46280556758461</v>
      </c>
      <c r="AG208" s="26"/>
      <c r="AH208" s="26"/>
    </row>
    <row r="209" spans="1:34" x14ac:dyDescent="0.25">
      <c r="A209" s="70" t="s">
        <v>22</v>
      </c>
      <c r="B209" s="27">
        <f>($C$17+SUM(B210:B240))*$B$51</f>
        <v>5553.2088244136385</v>
      </c>
      <c r="C209" s="27">
        <f t="shared" ref="C209:AF209" si="170">($C$17+SUM(C210:C240))*$B$51</f>
        <v>5488.1341928247957</v>
      </c>
      <c r="D209" s="27">
        <f t="shared" si="170"/>
        <v>5487.9575295510049</v>
      </c>
      <c r="E209" s="27">
        <f t="shared" si="170"/>
        <v>5487.913112376199</v>
      </c>
      <c r="F209" s="27">
        <f t="shared" si="170"/>
        <v>5487.4693046850825</v>
      </c>
      <c r="G209" s="27">
        <f t="shared" si="170"/>
        <v>5483.0674297353553</v>
      </c>
      <c r="H209" s="27">
        <f t="shared" si="170"/>
        <v>5442.4734735362799</v>
      </c>
      <c r="I209" s="27">
        <f t="shared" si="170"/>
        <v>5244.9985196585403</v>
      </c>
      <c r="J209" s="27">
        <f t="shared" si="170"/>
        <v>5139.3981744617577</v>
      </c>
      <c r="K209" s="27">
        <f t="shared" si="170"/>
        <v>5024.2098173774248</v>
      </c>
      <c r="L209" s="27">
        <f t="shared" si="170"/>
        <v>4894.8076406898044</v>
      </c>
      <c r="M209" s="27">
        <f t="shared" si="170"/>
        <v>4753.4306836383585</v>
      </c>
      <c r="N209" s="27">
        <f t="shared" si="170"/>
        <v>4598.8001561563888</v>
      </c>
      <c r="O209" s="27">
        <f t="shared" si="170"/>
        <v>4440.3380164191813</v>
      </c>
      <c r="P209" s="27">
        <f t="shared" si="170"/>
        <v>4286.5116548405504</v>
      </c>
      <c r="Q209" s="27">
        <f t="shared" si="170"/>
        <v>4123.8382683114387</v>
      </c>
      <c r="R209" s="27">
        <f t="shared" si="170"/>
        <v>3928.2726776095642</v>
      </c>
      <c r="S209" s="27">
        <f t="shared" si="170"/>
        <v>3712.197318274234</v>
      </c>
      <c r="T209" s="27">
        <f t="shared" si="170"/>
        <v>3519.2290781049992</v>
      </c>
      <c r="U209" s="27">
        <f t="shared" si="170"/>
        <v>3357.1181711432309</v>
      </c>
      <c r="V209" s="27">
        <f t="shared" si="170"/>
        <v>3190.243792924311</v>
      </c>
      <c r="W209" s="27">
        <f t="shared" si="170"/>
        <v>3019.2722091363689</v>
      </c>
      <c r="X209" s="27">
        <f t="shared" si="170"/>
        <v>2828.7895347700028</v>
      </c>
      <c r="Y209" s="27">
        <f t="shared" si="170"/>
        <v>2632.0263264887576</v>
      </c>
      <c r="Z209" s="27">
        <f t="shared" si="170"/>
        <v>2422.5005480555865</v>
      </c>
      <c r="AA209" s="27">
        <f t="shared" si="170"/>
        <v>2211.9153164524491</v>
      </c>
      <c r="AB209" s="27">
        <f t="shared" si="170"/>
        <v>1979.3735037731296</v>
      </c>
      <c r="AC209" s="27">
        <f t="shared" si="170"/>
        <v>1747.4716003137137</v>
      </c>
      <c r="AD209" s="27">
        <f t="shared" si="170"/>
        <v>1462.4397370220427</v>
      </c>
      <c r="AE209" s="27">
        <f t="shared" si="170"/>
        <v>1149.8225978540099</v>
      </c>
      <c r="AF209" s="27">
        <f t="shared" si="170"/>
        <v>843.62871598620438</v>
      </c>
      <c r="AG209" s="27"/>
      <c r="AH209" s="27"/>
    </row>
    <row r="210" spans="1:34" x14ac:dyDescent="0.25">
      <c r="B210" s="3">
        <f t="shared" ref="B210:AF210" si="171">$C18*EXP(-B$207/$A18/EXP(-$D$126))</f>
        <v>1.16217564931969E-2</v>
      </c>
      <c r="C210" s="3">
        <f t="shared" si="171"/>
        <v>3.06762134630644E-5</v>
      </c>
      <c r="D210" s="3">
        <f t="shared" si="171"/>
        <v>5.0361835174033042E-31</v>
      </c>
      <c r="E210" s="3">
        <f t="shared" si="171"/>
        <v>7.1630751692379796E-289</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5.0926856109748599E-2</v>
      </c>
      <c r="C211" s="3">
        <f t="shared" si="172"/>
        <v>5.0926778658892627E-2</v>
      </c>
      <c r="D211" s="3">
        <f t="shared" si="172"/>
        <v>5.0926004156811339E-2</v>
      </c>
      <c r="E211" s="3">
        <f t="shared" si="172"/>
        <v>5.0918259783799796E-2</v>
      </c>
      <c r="F211" s="3">
        <f t="shared" si="172"/>
        <v>5.0840880797381846E-2</v>
      </c>
      <c r="G211" s="3">
        <f t="shared" si="172"/>
        <v>5.007352901902648E-2</v>
      </c>
      <c r="H211" s="3">
        <f t="shared" si="172"/>
        <v>4.3009019546813812E-2</v>
      </c>
      <c r="I211" s="3">
        <f t="shared" si="172"/>
        <v>9.3988120249103909E-3</v>
      </c>
      <c r="J211" s="3">
        <f t="shared" si="172"/>
        <v>2.3345715000576874E-9</v>
      </c>
      <c r="K211" s="3">
        <f t="shared" si="172"/>
        <v>2.0871292061420364E-75</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9.6937148844916457E-3</v>
      </c>
      <c r="C212" s="3">
        <f t="shared" si="173"/>
        <v>9.6937135545992915E-3</v>
      </c>
      <c r="D212" s="3">
        <f t="shared" si="173"/>
        <v>9.6937002556858019E-3</v>
      </c>
      <c r="E212" s="3">
        <f t="shared" si="173"/>
        <v>9.693567267554366E-3</v>
      </c>
      <c r="F212" s="3">
        <f t="shared" si="173"/>
        <v>9.6922374865816025E-3</v>
      </c>
      <c r="G212" s="3">
        <f t="shared" si="173"/>
        <v>9.6789497059218375E-3</v>
      </c>
      <c r="H212" s="3">
        <f t="shared" si="173"/>
        <v>9.5470697339099866E-3</v>
      </c>
      <c r="I212" s="3">
        <f t="shared" si="173"/>
        <v>8.3231689558207374E-3</v>
      </c>
      <c r="J212" s="3">
        <f t="shared" si="173"/>
        <v>2.1109350438530887E-3</v>
      </c>
      <c r="K212" s="3">
        <f t="shared" si="173"/>
        <v>2.3245369838481767E-9</v>
      </c>
      <c r="L212" s="3">
        <f t="shared" si="173"/>
        <v>6.0947004598743978E-69</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2.5359184335035423E-2</v>
      </c>
      <c r="C213" s="3">
        <f t="shared" si="174"/>
        <v>2.5359184021195531E-2</v>
      </c>
      <c r="D213" s="3">
        <f t="shared" si="174"/>
        <v>2.5359180882796827E-2</v>
      </c>
      <c r="E213" s="3">
        <f t="shared" si="174"/>
        <v>2.5359149498831151E-2</v>
      </c>
      <c r="F213" s="3">
        <f t="shared" si="174"/>
        <v>2.5358835661310589E-2</v>
      </c>
      <c r="G213" s="3">
        <f t="shared" si="174"/>
        <v>2.5355697499714995E-2</v>
      </c>
      <c r="H213" s="3">
        <f t="shared" si="174"/>
        <v>2.5324337234982446E-2</v>
      </c>
      <c r="I213" s="3">
        <f t="shared" si="174"/>
        <v>2.5012859965463857E-2</v>
      </c>
      <c r="J213" s="3">
        <f t="shared" si="174"/>
        <v>2.2101206713512889E-2</v>
      </c>
      <c r="K213" s="3">
        <f t="shared" si="174"/>
        <v>6.4112444349488347E-3</v>
      </c>
      <c r="L213" s="3">
        <f t="shared" si="174"/>
        <v>2.7052401251492041E-8</v>
      </c>
      <c r="M213" s="3">
        <f t="shared" si="174"/>
        <v>4.8399477547384814E-62</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2.3102406799812066E-2</v>
      </c>
      <c r="C214" s="3">
        <f t="shared" si="175"/>
        <v>2.3102406774020558E-2</v>
      </c>
      <c r="D214" s="3">
        <f t="shared" si="175"/>
        <v>2.3102406516105511E-2</v>
      </c>
      <c r="E214" s="3">
        <f t="shared" si="175"/>
        <v>2.3102403936955184E-2</v>
      </c>
      <c r="F214" s="3">
        <f t="shared" si="175"/>
        <v>2.310237814546777E-2</v>
      </c>
      <c r="G214" s="3">
        <f t="shared" si="175"/>
        <v>2.3102120232177243E-2</v>
      </c>
      <c r="H214" s="3">
        <f t="shared" si="175"/>
        <v>2.3099541257629568E-2</v>
      </c>
      <c r="I214" s="3">
        <f t="shared" si="175"/>
        <v>2.307376734137315E-2</v>
      </c>
      <c r="J214" s="3">
        <f t="shared" si="175"/>
        <v>2.2817604581783505E-2</v>
      </c>
      <c r="K214" s="3">
        <f t="shared" si="175"/>
        <v>2.0407295587925259E-2</v>
      </c>
      <c r="L214" s="3">
        <f t="shared" si="175"/>
        <v>6.6825083163602594E-3</v>
      </c>
      <c r="M214" s="3">
        <f t="shared" si="175"/>
        <v>9.4728363944654281E-8</v>
      </c>
      <c r="N214" s="3">
        <f t="shared" si="175"/>
        <v>3.1037399350164428E-56</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2.7648233028006543E-2</v>
      </c>
      <c r="C215" s="3">
        <f t="shared" si="176"/>
        <v>2.7648233025222131E-2</v>
      </c>
      <c r="D215" s="3">
        <f t="shared" si="176"/>
        <v>2.7648232997378015E-2</v>
      </c>
      <c r="E215" s="3">
        <f t="shared" si="176"/>
        <v>2.7648232718936856E-2</v>
      </c>
      <c r="F215" s="3">
        <f t="shared" si="176"/>
        <v>2.7648229934525453E-2</v>
      </c>
      <c r="G215" s="3">
        <f t="shared" si="176"/>
        <v>2.7648202090426843E-2</v>
      </c>
      <c r="H215" s="3">
        <f t="shared" si="176"/>
        <v>2.7647923650982988E-2</v>
      </c>
      <c r="I215" s="3">
        <f t="shared" si="176"/>
        <v>2.7645139410765681E-2</v>
      </c>
      <c r="J215" s="3">
        <f t="shared" si="176"/>
        <v>2.7617312424971476E-2</v>
      </c>
      <c r="K215" s="3">
        <f t="shared" si="176"/>
        <v>2.7340578475884943E-2</v>
      </c>
      <c r="L215" s="3">
        <f t="shared" si="176"/>
        <v>2.4721257666836437E-2</v>
      </c>
      <c r="M215" s="3">
        <f t="shared" si="176"/>
        <v>9.0302376869874443E-3</v>
      </c>
      <c r="N215" s="3">
        <f t="shared" si="176"/>
        <v>3.8193141828283202E-7</v>
      </c>
      <c r="O215" s="3">
        <f t="shared" si="176"/>
        <v>6.9959617322902142E-51</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2.9569052695034691E-2</v>
      </c>
      <c r="C216" s="3">
        <f t="shared" si="177"/>
        <v>2.9569052694766066E-2</v>
      </c>
      <c r="D216" s="3">
        <f t="shared" si="177"/>
        <v>2.9569052692079791E-2</v>
      </c>
      <c r="E216" s="3">
        <f t="shared" si="177"/>
        <v>2.9569052665217067E-2</v>
      </c>
      <c r="F216" s="3">
        <f t="shared" si="177"/>
        <v>2.9569052396589829E-2</v>
      </c>
      <c r="G216" s="3">
        <f t="shared" si="177"/>
        <v>2.9569049710317569E-2</v>
      </c>
      <c r="H216" s="3">
        <f t="shared" si="177"/>
        <v>2.956902284760839E-2</v>
      </c>
      <c r="I216" s="3">
        <f t="shared" si="177"/>
        <v>2.9568754221858829E-2</v>
      </c>
      <c r="J216" s="3">
        <f t="shared" si="177"/>
        <v>2.9566068098580724E-2</v>
      </c>
      <c r="K216" s="3">
        <f t="shared" si="177"/>
        <v>2.9539220283039739E-2</v>
      </c>
      <c r="L216" s="3">
        <f t="shared" si="177"/>
        <v>2.9272079352564241E-2</v>
      </c>
      <c r="M216" s="3">
        <f t="shared" si="177"/>
        <v>2.6730004801758609E-2</v>
      </c>
      <c r="N216" s="3">
        <f t="shared" si="177"/>
        <v>1.0775902830644255E-2</v>
      </c>
      <c r="O216" s="3">
        <f t="shared" si="177"/>
        <v>1.2217995606166194E-6</v>
      </c>
      <c r="P216" s="3">
        <f t="shared" si="177"/>
        <v>4.2900558393702886E-46</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2.9954793945681273E-2</v>
      </c>
      <c r="C217" s="3">
        <f t="shared" si="178"/>
        <v>2.9954793945656723E-2</v>
      </c>
      <c r="D217" s="3">
        <f t="shared" si="178"/>
        <v>2.9954793945411239E-2</v>
      </c>
      <c r="E217" s="3">
        <f t="shared" si="178"/>
        <v>2.9954793942956384E-2</v>
      </c>
      <c r="F217" s="3">
        <f t="shared" si="178"/>
        <v>2.9954793918407854E-2</v>
      </c>
      <c r="G217" s="3">
        <f t="shared" si="178"/>
        <v>2.995479367292251E-2</v>
      </c>
      <c r="H217" s="3">
        <f t="shared" si="178"/>
        <v>2.99547912180692E-2</v>
      </c>
      <c r="I217" s="3">
        <f t="shared" si="178"/>
        <v>2.9954766669547168E-2</v>
      </c>
      <c r="J217" s="3">
        <f t="shared" si="178"/>
        <v>2.995452118543333E-2</v>
      </c>
      <c r="K217" s="3">
        <f t="shared" si="178"/>
        <v>2.995206645494022E-2</v>
      </c>
      <c r="L217" s="3">
        <f t="shared" si="178"/>
        <v>2.992753021118193E-2</v>
      </c>
      <c r="M217" s="3">
        <f t="shared" si="178"/>
        <v>2.9683270544227411E-2</v>
      </c>
      <c r="N217" s="3">
        <f t="shared" si="178"/>
        <v>2.7347679132357233E-2</v>
      </c>
      <c r="O217" s="3">
        <f t="shared" si="178"/>
        <v>1.205057385628496E-2</v>
      </c>
      <c r="P217" s="3">
        <f t="shared" si="178"/>
        <v>3.3256784747224037E-6</v>
      </c>
      <c r="Q217" s="3">
        <f t="shared" si="178"/>
        <v>8.5232566599884602E-42</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2.7077191993234342E-2</v>
      </c>
      <c r="C218" s="3">
        <f t="shared" si="179"/>
        <v>2.7077191993232341E-2</v>
      </c>
      <c r="D218" s="3">
        <f t="shared" si="179"/>
        <v>2.7077191993212322E-2</v>
      </c>
      <c r="E218" s="3">
        <f t="shared" si="179"/>
        <v>2.7077191993012145E-2</v>
      </c>
      <c r="F218" s="3">
        <f t="shared" si="179"/>
        <v>2.7077191991010399E-2</v>
      </c>
      <c r="G218" s="3">
        <f t="shared" si="179"/>
        <v>2.7077191970992918E-2</v>
      </c>
      <c r="H218" s="3">
        <f t="shared" si="179"/>
        <v>2.7077191770818097E-2</v>
      </c>
      <c r="I218" s="3">
        <f t="shared" si="179"/>
        <v>2.707718976906999E-2</v>
      </c>
      <c r="J218" s="3">
        <f t="shared" si="179"/>
        <v>2.7077169751597043E-2</v>
      </c>
      <c r="K218" s="3">
        <f t="shared" si="179"/>
        <v>2.7076969577681489E-2</v>
      </c>
      <c r="L218" s="3">
        <f t="shared" si="179"/>
        <v>2.7074967919914768E-2</v>
      </c>
      <c r="M218" s="3">
        <f t="shared" si="179"/>
        <v>2.7054959478903847E-2</v>
      </c>
      <c r="N218" s="3">
        <f t="shared" si="179"/>
        <v>2.6855686513188877E-2</v>
      </c>
      <c r="O218" s="3">
        <f t="shared" si="179"/>
        <v>2.4941924947579221E-2</v>
      </c>
      <c r="P218" s="3">
        <f t="shared" si="179"/>
        <v>1.1908774213162216E-2</v>
      </c>
      <c r="Q218" s="3">
        <f t="shared" si="179"/>
        <v>7.3322623049199376E-6</v>
      </c>
      <c r="R218" s="3">
        <f t="shared" si="179"/>
        <v>5.740468142994585E-38</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3.199971353351963E-2</v>
      </c>
      <c r="C219" s="3">
        <f t="shared" si="180"/>
        <v>3.1999713533519422E-2</v>
      </c>
      <c r="D219" s="3">
        <f t="shared" si="180"/>
        <v>3.1999713533517285E-2</v>
      </c>
      <c r="E219" s="3">
        <f t="shared" si="180"/>
        <v>3.1999713533495948E-2</v>
      </c>
      <c r="F219" s="3">
        <f t="shared" si="180"/>
        <v>3.1999713533282542E-2</v>
      </c>
      <c r="G219" s="3">
        <f t="shared" si="180"/>
        <v>3.1999713531148527E-2</v>
      </c>
      <c r="H219" s="3">
        <f t="shared" si="180"/>
        <v>3.1999713509808327E-2</v>
      </c>
      <c r="I219" s="3">
        <f t="shared" si="180"/>
        <v>3.1999713296406315E-2</v>
      </c>
      <c r="J219" s="3">
        <f t="shared" si="180"/>
        <v>3.1999711162386313E-2</v>
      </c>
      <c r="K219" s="3">
        <f t="shared" si="180"/>
        <v>3.1999689822194116E-2</v>
      </c>
      <c r="L219" s="3">
        <f t="shared" si="180"/>
        <v>3.1999476421054905E-2</v>
      </c>
      <c r="M219" s="3">
        <f t="shared" si="180"/>
        <v>3.1997342487933886E-2</v>
      </c>
      <c r="N219" s="3">
        <f t="shared" si="180"/>
        <v>3.1976010981907464E-2</v>
      </c>
      <c r="O219" s="3">
        <f t="shared" si="180"/>
        <v>3.1763476512605887E-2</v>
      </c>
      <c r="P219" s="3">
        <f t="shared" si="180"/>
        <v>2.9714298697556478E-2</v>
      </c>
      <c r="Q219" s="3">
        <f t="shared" si="180"/>
        <v>1.5252464852879261E-2</v>
      </c>
      <c r="R219" s="3">
        <f t="shared" si="180"/>
        <v>1.9368032927653109E-5</v>
      </c>
      <c r="S219" s="3">
        <f t="shared" si="180"/>
        <v>2.1112532621329563E-34</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4.0927045287239283E-2</v>
      </c>
      <c r="C220" s="3">
        <f t="shared" si="181"/>
        <v>4.0927045287239262E-2</v>
      </c>
      <c r="D220" s="3">
        <f t="shared" si="181"/>
        <v>4.0927045287239019E-2</v>
      </c>
      <c r="E220" s="3">
        <f t="shared" si="181"/>
        <v>4.0927045287236556E-2</v>
      </c>
      <c r="F220" s="3">
        <f t="shared" si="181"/>
        <v>4.092704528721193E-2</v>
      </c>
      <c r="G220" s="3">
        <f t="shared" si="181"/>
        <v>4.0927045286965717E-2</v>
      </c>
      <c r="H220" s="3">
        <f t="shared" si="181"/>
        <v>4.0927045284503603E-2</v>
      </c>
      <c r="I220" s="3">
        <f t="shared" si="181"/>
        <v>4.0927045259882389E-2</v>
      </c>
      <c r="J220" s="3">
        <f t="shared" si="181"/>
        <v>4.0927045013670289E-2</v>
      </c>
      <c r="K220" s="3">
        <f t="shared" si="181"/>
        <v>4.0927042551549359E-2</v>
      </c>
      <c r="L220" s="3">
        <f t="shared" si="181"/>
        <v>4.0927017930348204E-2</v>
      </c>
      <c r="M220" s="3">
        <f t="shared" si="181"/>
        <v>4.0926771719151323E-2</v>
      </c>
      <c r="N220" s="3">
        <f t="shared" si="181"/>
        <v>4.0924309688645487E-2</v>
      </c>
      <c r="O220" s="3">
        <f t="shared" si="181"/>
        <v>4.0899697528073174E-2</v>
      </c>
      <c r="P220" s="3">
        <f t="shared" si="181"/>
        <v>4.0654388561009912E-2</v>
      </c>
      <c r="Q220" s="3">
        <f t="shared" si="181"/>
        <v>3.8280782663075143E-2</v>
      </c>
      <c r="R220" s="3">
        <f t="shared" si="181"/>
        <v>2.0975607916580638E-2</v>
      </c>
      <c r="S220" s="3">
        <f t="shared" si="181"/>
        <v>5.117431474766817E-5</v>
      </c>
      <c r="T220" s="3">
        <f t="shared" si="181"/>
        <v>3.8231983568947079E-31</v>
      </c>
      <c r="U220" s="3">
        <f t="shared" si="181"/>
        <v>2.0709746371916821E-292</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4.0580339082525729E-2</v>
      </c>
      <c r="C221" s="3">
        <f t="shared" si="182"/>
        <v>4.0580339082525722E-2</v>
      </c>
      <c r="D221" s="3">
        <f t="shared" si="182"/>
        <v>4.0580339082525708E-2</v>
      </c>
      <c r="E221" s="3">
        <f t="shared" si="182"/>
        <v>4.0580339082525486E-2</v>
      </c>
      <c r="F221" s="3">
        <f t="shared" si="182"/>
        <v>4.058033908252328E-2</v>
      </c>
      <c r="G221" s="3">
        <f t="shared" si="182"/>
        <v>4.0580339082501263E-2</v>
      </c>
      <c r="H221" s="3">
        <f t="shared" si="182"/>
        <v>4.0580339082281036E-2</v>
      </c>
      <c r="I221" s="3">
        <f t="shared" si="182"/>
        <v>4.0580339080078819E-2</v>
      </c>
      <c r="J221" s="3">
        <f t="shared" si="182"/>
        <v>4.0580339058056587E-2</v>
      </c>
      <c r="K221" s="3">
        <f t="shared" si="182"/>
        <v>4.0580338837834302E-2</v>
      </c>
      <c r="L221" s="3">
        <f t="shared" si="182"/>
        <v>4.0580336635611516E-2</v>
      </c>
      <c r="M221" s="3">
        <f t="shared" si="182"/>
        <v>4.058031461339022E-2</v>
      </c>
      <c r="N221" s="3">
        <f t="shared" si="182"/>
        <v>4.0580094391834583E-2</v>
      </c>
      <c r="O221" s="3">
        <f t="shared" si="182"/>
        <v>4.0577892242007585E-2</v>
      </c>
      <c r="P221" s="3">
        <f t="shared" si="182"/>
        <v>4.0555877315361012E-2</v>
      </c>
      <c r="Q221" s="3">
        <f t="shared" si="182"/>
        <v>4.0336383893608989E-2</v>
      </c>
      <c r="R221" s="3">
        <f t="shared" si="182"/>
        <v>3.8205736158473641E-2</v>
      </c>
      <c r="S221" s="3">
        <f t="shared" si="182"/>
        <v>2.2204688120277441E-2</v>
      </c>
      <c r="T221" s="3">
        <f t="shared" si="182"/>
        <v>9.7635045168749027E-5</v>
      </c>
      <c r="U221" s="3">
        <f t="shared" si="182"/>
        <v>2.6376445575553966E-28</v>
      </c>
      <c r="V221" s="3">
        <f t="shared" si="182"/>
        <v>5.4616222939977078E-264</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2.9296968108172214E-2</v>
      </c>
      <c r="C222" s="3">
        <f t="shared" si="183"/>
        <v>2.9296968108172214E-2</v>
      </c>
      <c r="D222" s="3">
        <f t="shared" si="183"/>
        <v>2.9296968108172214E-2</v>
      </c>
      <c r="E222" s="3">
        <f t="shared" si="183"/>
        <v>2.9296968108172197E-2</v>
      </c>
      <c r="F222" s="3">
        <f t="shared" si="183"/>
        <v>2.9296968108172054E-2</v>
      </c>
      <c r="G222" s="3">
        <f t="shared" si="183"/>
        <v>2.9296968108170621E-2</v>
      </c>
      <c r="H222" s="3">
        <f t="shared" si="183"/>
        <v>2.9296968108156279E-2</v>
      </c>
      <c r="I222" s="3">
        <f t="shared" si="183"/>
        <v>2.9296968108012855E-2</v>
      </c>
      <c r="J222" s="3">
        <f t="shared" si="183"/>
        <v>2.9296968106578641E-2</v>
      </c>
      <c r="K222" s="3">
        <f t="shared" si="183"/>
        <v>2.9296968092236468E-2</v>
      </c>
      <c r="L222" s="3">
        <f t="shared" si="183"/>
        <v>2.929696794881477E-2</v>
      </c>
      <c r="M222" s="3">
        <f t="shared" si="183"/>
        <v>2.929696651459782E-2</v>
      </c>
      <c r="N222" s="3">
        <f t="shared" si="183"/>
        <v>2.9296952172432174E-2</v>
      </c>
      <c r="O222" s="3">
        <f t="shared" si="183"/>
        <v>2.9296808751161859E-2</v>
      </c>
      <c r="P222" s="3">
        <f t="shared" si="183"/>
        <v>2.9295374577074179E-2</v>
      </c>
      <c r="Q222" s="3">
        <f t="shared" si="183"/>
        <v>2.9281036697042094E-2</v>
      </c>
      <c r="R222" s="3">
        <f t="shared" si="183"/>
        <v>2.9138043282789992E-2</v>
      </c>
      <c r="S222" s="3">
        <f t="shared" si="183"/>
        <v>2.7745958738214518E-2</v>
      </c>
      <c r="T222" s="3">
        <f t="shared" si="183"/>
        <v>1.7005650771202786E-2</v>
      </c>
      <c r="U222" s="3">
        <f t="shared" si="183"/>
        <v>1.2721211016772764E-4</v>
      </c>
      <c r="V222" s="3">
        <f t="shared" si="183"/>
        <v>6.9804024437284075E-26</v>
      </c>
      <c r="W222" s="3">
        <f t="shared" si="183"/>
        <v>1.7274302245575786E-238</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3.1189849975264177E-2</v>
      </c>
      <c r="C223" s="3">
        <f t="shared" si="184"/>
        <v>3.1189849975264177E-2</v>
      </c>
      <c r="D223" s="3">
        <f t="shared" si="184"/>
        <v>3.1189849975264177E-2</v>
      </c>
      <c r="E223" s="3">
        <f t="shared" si="184"/>
        <v>3.1189849975264177E-2</v>
      </c>
      <c r="F223" s="3">
        <f t="shared" si="184"/>
        <v>3.1189849975264163E-2</v>
      </c>
      <c r="G223" s="3">
        <f t="shared" si="184"/>
        <v>3.1189849975264024E-2</v>
      </c>
      <c r="H223" s="3">
        <f t="shared" si="184"/>
        <v>3.1189849975262647E-2</v>
      </c>
      <c r="I223" s="3">
        <f t="shared" si="184"/>
        <v>3.1189849975248873E-2</v>
      </c>
      <c r="J223" s="3">
        <f t="shared" si="184"/>
        <v>3.1189849975111136E-2</v>
      </c>
      <c r="K223" s="3">
        <f t="shared" si="184"/>
        <v>3.1189849973733762E-2</v>
      </c>
      <c r="L223" s="3">
        <f t="shared" si="184"/>
        <v>3.1189849959960016E-2</v>
      </c>
      <c r="M223" s="3">
        <f t="shared" si="184"/>
        <v>3.1189849822222556E-2</v>
      </c>
      <c r="N223" s="3">
        <f t="shared" si="184"/>
        <v>3.1189848444848019E-2</v>
      </c>
      <c r="O223" s="3">
        <f t="shared" si="184"/>
        <v>3.1189834671105972E-2</v>
      </c>
      <c r="P223" s="3">
        <f t="shared" si="184"/>
        <v>3.1189696934020055E-2</v>
      </c>
      <c r="Q223" s="3">
        <f t="shared" si="184"/>
        <v>3.1188319596614687E-2</v>
      </c>
      <c r="R223" s="3">
        <f t="shared" si="184"/>
        <v>3.1174549567395907E-2</v>
      </c>
      <c r="S223" s="3">
        <f t="shared" si="184"/>
        <v>3.1037183212810744E-2</v>
      </c>
      <c r="T223" s="3">
        <f t="shared" si="184"/>
        <v>2.9696374173057694E-2</v>
      </c>
      <c r="U223" s="3">
        <f t="shared" si="184"/>
        <v>1.9094781563975205E-2</v>
      </c>
      <c r="V223" s="3">
        <f t="shared" si="184"/>
        <v>2.30689258935048E-4</v>
      </c>
      <c r="W223" s="3">
        <f t="shared" si="184"/>
        <v>1.528108414250503E-23</v>
      </c>
      <c r="X223" s="3">
        <f t="shared" si="184"/>
        <v>2.4855476817022548E-215</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2.9811720745936274E-2</v>
      </c>
      <c r="C224" s="3">
        <f t="shared" si="185"/>
        <v>2.9811720745936274E-2</v>
      </c>
      <c r="D224" s="3">
        <f t="shared" si="185"/>
        <v>2.9811720745936274E-2</v>
      </c>
      <c r="E224" s="3">
        <f t="shared" si="185"/>
        <v>2.9811720745936274E-2</v>
      </c>
      <c r="F224" s="3">
        <f t="shared" si="185"/>
        <v>2.9811720745936274E-2</v>
      </c>
      <c r="G224" s="3">
        <f t="shared" si="185"/>
        <v>2.9811720745936261E-2</v>
      </c>
      <c r="H224" s="3">
        <f t="shared" si="185"/>
        <v>2.9811720745936143E-2</v>
      </c>
      <c r="I224" s="3">
        <f t="shared" si="185"/>
        <v>2.9811720745934953E-2</v>
      </c>
      <c r="J224" s="3">
        <f t="shared" si="185"/>
        <v>2.981172074592308E-2</v>
      </c>
      <c r="K224" s="3">
        <f t="shared" si="185"/>
        <v>2.9811720745804317E-2</v>
      </c>
      <c r="L224" s="3">
        <f t="shared" si="185"/>
        <v>2.9811720744616712E-2</v>
      </c>
      <c r="M224" s="3">
        <f t="shared" si="185"/>
        <v>2.9811720732740653E-2</v>
      </c>
      <c r="N224" s="3">
        <f t="shared" si="185"/>
        <v>2.9811720613980044E-2</v>
      </c>
      <c r="O224" s="3">
        <f t="shared" si="185"/>
        <v>2.9811719426373996E-2</v>
      </c>
      <c r="P224" s="3">
        <f t="shared" si="185"/>
        <v>2.9811707550316091E-2</v>
      </c>
      <c r="Q224" s="3">
        <f t="shared" si="185"/>
        <v>2.9811588789997283E-2</v>
      </c>
      <c r="R224" s="3">
        <f t="shared" si="185"/>
        <v>2.9810401212829542E-2</v>
      </c>
      <c r="S224" s="3">
        <f t="shared" si="185"/>
        <v>2.9798528042804997E-2</v>
      </c>
      <c r="T224" s="3">
        <f t="shared" si="185"/>
        <v>2.9680056124777775E-2</v>
      </c>
      <c r="U224" s="3">
        <f t="shared" si="185"/>
        <v>2.8520936302461497E-2</v>
      </c>
      <c r="V224" s="3">
        <f t="shared" si="185"/>
        <v>1.9149365436744455E-2</v>
      </c>
      <c r="W224" s="3">
        <f t="shared" si="185"/>
        <v>3.5650076898098945E-4</v>
      </c>
      <c r="X224" s="3">
        <f t="shared" si="185"/>
        <v>1.7828767022395765E-21</v>
      </c>
      <c r="Y224" s="3">
        <f t="shared" si="185"/>
        <v>1.7447359061394357E-194</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3.5101091393318837E-2</v>
      </c>
      <c r="C225" s="3">
        <f t="shared" si="186"/>
        <v>3.5101091393318837E-2</v>
      </c>
      <c r="D225" s="3">
        <f t="shared" si="186"/>
        <v>3.5101091393318837E-2</v>
      </c>
      <c r="E225" s="3">
        <f t="shared" si="186"/>
        <v>3.5101091393318837E-2</v>
      </c>
      <c r="F225" s="3">
        <f t="shared" si="186"/>
        <v>3.5101091393318837E-2</v>
      </c>
      <c r="G225" s="3">
        <f t="shared" si="186"/>
        <v>3.5101091393318837E-2</v>
      </c>
      <c r="H225" s="3">
        <f t="shared" si="186"/>
        <v>3.5101091393318823E-2</v>
      </c>
      <c r="I225" s="3">
        <f t="shared" si="186"/>
        <v>3.5101091393318698E-2</v>
      </c>
      <c r="J225" s="3">
        <f t="shared" si="186"/>
        <v>3.5101091393317435E-2</v>
      </c>
      <c r="K225" s="3">
        <f t="shared" si="186"/>
        <v>3.510109139330482E-2</v>
      </c>
      <c r="L225" s="3">
        <f t="shared" si="186"/>
        <v>3.5101091393178678E-2</v>
      </c>
      <c r="M225" s="3">
        <f t="shared" si="186"/>
        <v>3.5101091391917284E-2</v>
      </c>
      <c r="N225" s="3">
        <f t="shared" si="186"/>
        <v>3.5101091379303291E-2</v>
      </c>
      <c r="O225" s="3">
        <f t="shared" si="186"/>
        <v>3.5101091253163359E-2</v>
      </c>
      <c r="P225" s="3">
        <f t="shared" si="186"/>
        <v>3.510108999176411E-2</v>
      </c>
      <c r="Q225" s="3">
        <f t="shared" si="186"/>
        <v>3.5101077377774077E-2</v>
      </c>
      <c r="R225" s="3">
        <f t="shared" si="186"/>
        <v>3.5100951238123117E-2</v>
      </c>
      <c r="S225" s="3">
        <f t="shared" si="186"/>
        <v>3.5099689866544541E-2</v>
      </c>
      <c r="T225" s="3">
        <f t="shared" si="186"/>
        <v>3.5087078643533692E-2</v>
      </c>
      <c r="U225" s="3">
        <f t="shared" si="186"/>
        <v>3.496121535978676E-2</v>
      </c>
      <c r="V225" s="3">
        <f t="shared" si="186"/>
        <v>3.3727149307426325E-2</v>
      </c>
      <c r="W225" s="3">
        <f t="shared" si="186"/>
        <v>2.3545654713291921E-2</v>
      </c>
      <c r="X225" s="3">
        <f t="shared" si="186"/>
        <v>6.4747369460980747E-4</v>
      </c>
      <c r="Y225" s="3">
        <f t="shared" si="186"/>
        <v>1.6007949512310847E-19</v>
      </c>
      <c r="Z225" s="3">
        <f t="shared" si="186"/>
        <v>1.366065356783625E-175</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3.5333951268882481E-2</v>
      </c>
      <c r="C226" s="3">
        <f t="shared" si="187"/>
        <v>3.5333951268882481E-2</v>
      </c>
      <c r="D226" s="3">
        <f t="shared" si="187"/>
        <v>3.5333951268882481E-2</v>
      </c>
      <c r="E226" s="3">
        <f t="shared" si="187"/>
        <v>3.5333951268882481E-2</v>
      </c>
      <c r="F226" s="3">
        <f t="shared" si="187"/>
        <v>3.5333951268882481E-2</v>
      </c>
      <c r="G226" s="3">
        <f t="shared" si="187"/>
        <v>3.5333951268882481E-2</v>
      </c>
      <c r="H226" s="3">
        <f t="shared" si="187"/>
        <v>3.5333951268882481E-2</v>
      </c>
      <c r="I226" s="3">
        <f t="shared" si="187"/>
        <v>3.5333951268882467E-2</v>
      </c>
      <c r="J226" s="3">
        <f t="shared" si="187"/>
        <v>3.5333951268882356E-2</v>
      </c>
      <c r="K226" s="3">
        <f t="shared" si="187"/>
        <v>3.5333951268881211E-2</v>
      </c>
      <c r="L226" s="3">
        <f t="shared" si="187"/>
        <v>3.5333951268869755E-2</v>
      </c>
      <c r="M226" s="3">
        <f t="shared" si="187"/>
        <v>3.5333951268755215E-2</v>
      </c>
      <c r="N226" s="3">
        <f t="shared" si="187"/>
        <v>3.533395126760977E-2</v>
      </c>
      <c r="O226" s="3">
        <f t="shared" si="187"/>
        <v>3.5333951256155419E-2</v>
      </c>
      <c r="P226" s="3">
        <f t="shared" si="187"/>
        <v>3.5333951141611836E-2</v>
      </c>
      <c r="Q226" s="3">
        <f t="shared" si="187"/>
        <v>3.5333949996176048E-2</v>
      </c>
      <c r="R226" s="3">
        <f t="shared" si="187"/>
        <v>3.5333938541820251E-2</v>
      </c>
      <c r="S226" s="3">
        <f t="shared" si="187"/>
        <v>3.5333823998466483E-2</v>
      </c>
      <c r="T226" s="3">
        <f t="shared" si="187"/>
        <v>3.5332678585351197E-2</v>
      </c>
      <c r="U226" s="3">
        <f t="shared" si="187"/>
        <v>3.5321226496190676E-2</v>
      </c>
      <c r="V226" s="3">
        <f t="shared" si="187"/>
        <v>3.5206909559109725E-2</v>
      </c>
      <c r="W226" s="3">
        <f t="shared" si="187"/>
        <v>3.4083893115292065E-2</v>
      </c>
      <c r="X226" s="3">
        <f t="shared" si="187"/>
        <v>2.4646888223142847E-2</v>
      </c>
      <c r="Y226" s="3">
        <f t="shared" si="187"/>
        <v>9.6358737983616525E-4</v>
      </c>
      <c r="Z226" s="3">
        <f t="shared" si="187"/>
        <v>8.0386141299420502E-18</v>
      </c>
      <c r="AA226" s="3">
        <f t="shared" si="187"/>
        <v>1.3124475896973342E-158</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3.9261973776363202E-2</v>
      </c>
      <c r="C227" s="3">
        <f t="shared" si="188"/>
        <v>3.9261973776363202E-2</v>
      </c>
      <c r="D227" s="3">
        <f t="shared" si="188"/>
        <v>3.9261973776363202E-2</v>
      </c>
      <c r="E227" s="3">
        <f t="shared" si="188"/>
        <v>3.9261973776363202E-2</v>
      </c>
      <c r="F227" s="3">
        <f t="shared" si="188"/>
        <v>3.9261973776363202E-2</v>
      </c>
      <c r="G227" s="3">
        <f t="shared" si="188"/>
        <v>3.9261973776363202E-2</v>
      </c>
      <c r="H227" s="3">
        <f t="shared" si="188"/>
        <v>3.9261973776363202E-2</v>
      </c>
      <c r="I227" s="3">
        <f t="shared" si="188"/>
        <v>3.9261973776363202E-2</v>
      </c>
      <c r="J227" s="3">
        <f t="shared" si="188"/>
        <v>3.9261973776363188E-2</v>
      </c>
      <c r="K227" s="3">
        <f t="shared" si="188"/>
        <v>3.9261973776363077E-2</v>
      </c>
      <c r="L227" s="3">
        <f t="shared" si="188"/>
        <v>3.9261973776361925E-2</v>
      </c>
      <c r="M227" s="3">
        <f t="shared" si="188"/>
        <v>3.9261973776350441E-2</v>
      </c>
      <c r="N227" s="3">
        <f t="shared" si="188"/>
        <v>3.926197377623563E-2</v>
      </c>
      <c r="O227" s="3">
        <f t="shared" si="188"/>
        <v>3.9261973775087486E-2</v>
      </c>
      <c r="P227" s="3">
        <f t="shared" si="188"/>
        <v>3.9261973763606017E-2</v>
      </c>
      <c r="Q227" s="3">
        <f t="shared" si="188"/>
        <v>3.926197364879138E-2</v>
      </c>
      <c r="R227" s="3">
        <f t="shared" si="188"/>
        <v>3.9261972500644997E-2</v>
      </c>
      <c r="S227" s="3">
        <f t="shared" si="188"/>
        <v>3.9261961019183028E-2</v>
      </c>
      <c r="T227" s="3">
        <f t="shared" si="188"/>
        <v>3.9261846204748048E-2</v>
      </c>
      <c r="U227" s="3">
        <f t="shared" si="188"/>
        <v>3.9260698078864495E-2</v>
      </c>
      <c r="V227" s="3">
        <f t="shared" si="188"/>
        <v>3.9249218666459119E-2</v>
      </c>
      <c r="W227" s="3">
        <f t="shared" si="188"/>
        <v>3.9134608985795231E-2</v>
      </c>
      <c r="X227" s="3">
        <f t="shared" si="188"/>
        <v>3.8006758502008478E-2</v>
      </c>
      <c r="Y227" s="3">
        <f t="shared" si="188"/>
        <v>2.8369988221182106E-2</v>
      </c>
      <c r="Z227" s="3">
        <f t="shared" si="188"/>
        <v>1.5234997840607683E-3</v>
      </c>
      <c r="AA227" s="3">
        <f t="shared" si="188"/>
        <v>3.0386089465538701E-16</v>
      </c>
      <c r="AB227" s="3">
        <f t="shared" si="188"/>
        <v>3.0269062083457247E-143</v>
      </c>
      <c r="AC227" s="3">
        <f t="shared" si="188"/>
        <v>0</v>
      </c>
      <c r="AD227" s="3">
        <f t="shared" si="188"/>
        <v>0</v>
      </c>
      <c r="AE227" s="3">
        <f t="shared" si="188"/>
        <v>0</v>
      </c>
      <c r="AF227" s="3">
        <f t="shared" si="188"/>
        <v>0</v>
      </c>
      <c r="AG227" s="3"/>
      <c r="AH227" s="3"/>
    </row>
    <row r="228" spans="2:34" x14ac:dyDescent="0.25">
      <c r="B228" s="3">
        <f t="shared" ref="B228:AF228" si="189">$C36*EXP(-B$207/$A36/EXP(-$D$126))</f>
        <v>3.7079136060128547E-2</v>
      </c>
      <c r="C228" s="3">
        <f t="shared" si="189"/>
        <v>3.7079136060128547E-2</v>
      </c>
      <c r="D228" s="3">
        <f t="shared" si="189"/>
        <v>3.7079136060128547E-2</v>
      </c>
      <c r="E228" s="3">
        <f t="shared" si="189"/>
        <v>3.7079136060128547E-2</v>
      </c>
      <c r="F228" s="3">
        <f t="shared" si="189"/>
        <v>3.7079136060128547E-2</v>
      </c>
      <c r="G228" s="3">
        <f t="shared" si="189"/>
        <v>3.7079136060128547E-2</v>
      </c>
      <c r="H228" s="3">
        <f t="shared" si="189"/>
        <v>3.7079136060128547E-2</v>
      </c>
      <c r="I228" s="3">
        <f t="shared" si="189"/>
        <v>3.7079136060128547E-2</v>
      </c>
      <c r="J228" s="3">
        <f t="shared" si="189"/>
        <v>3.7079136060128547E-2</v>
      </c>
      <c r="K228" s="3">
        <f t="shared" si="189"/>
        <v>3.7079136060128533E-2</v>
      </c>
      <c r="L228" s="3">
        <f t="shared" si="189"/>
        <v>3.7079136060128443E-2</v>
      </c>
      <c r="M228" s="3">
        <f t="shared" si="189"/>
        <v>3.7079136060127457E-2</v>
      </c>
      <c r="N228" s="3">
        <f t="shared" si="189"/>
        <v>3.707913606011768E-2</v>
      </c>
      <c r="O228" s="3">
        <f t="shared" si="189"/>
        <v>3.7079136060019863E-2</v>
      </c>
      <c r="P228" s="3">
        <f t="shared" si="189"/>
        <v>3.7079136059041722E-2</v>
      </c>
      <c r="Q228" s="3">
        <f t="shared" si="189"/>
        <v>3.7079136049260317E-2</v>
      </c>
      <c r="R228" s="3">
        <f t="shared" si="189"/>
        <v>3.707913595144624E-2</v>
      </c>
      <c r="S228" s="3">
        <f t="shared" si="189"/>
        <v>3.7079134973305547E-2</v>
      </c>
      <c r="T228" s="3">
        <f t="shared" si="189"/>
        <v>3.7079125191899945E-2</v>
      </c>
      <c r="U228" s="3">
        <f t="shared" si="189"/>
        <v>3.7079027377985865E-2</v>
      </c>
      <c r="V228" s="3">
        <f t="shared" si="189"/>
        <v>3.7078049253036656E-2</v>
      </c>
      <c r="W228" s="3">
        <f t="shared" si="189"/>
        <v>3.7068269422565067E-2</v>
      </c>
      <c r="X228" s="3">
        <f t="shared" si="189"/>
        <v>3.6970612881489867E-2</v>
      </c>
      <c r="Y228" s="3">
        <f t="shared" si="189"/>
        <v>3.6008086436904389E-2</v>
      </c>
      <c r="Z228" s="3">
        <f t="shared" si="189"/>
        <v>2.7658840209128916E-2</v>
      </c>
      <c r="AA228" s="3">
        <f t="shared" si="189"/>
        <v>1.9777582005732867E-3</v>
      </c>
      <c r="AB228" s="3">
        <f t="shared" si="189"/>
        <v>6.9113912731232662E-15</v>
      </c>
      <c r="AC228" s="3">
        <f t="shared" si="189"/>
        <v>1.8771040368422642E-129</v>
      </c>
      <c r="AD228" s="3">
        <f t="shared" si="189"/>
        <v>0</v>
      </c>
      <c r="AE228" s="3">
        <f t="shared" si="189"/>
        <v>0</v>
      </c>
      <c r="AF228" s="3">
        <f t="shared" si="189"/>
        <v>0</v>
      </c>
      <c r="AG228" s="3"/>
      <c r="AH228" s="3"/>
    </row>
    <row r="229" spans="2:34" x14ac:dyDescent="0.25">
      <c r="B229" s="3">
        <f t="shared" ref="B229:AF229" si="190">$C37*EXP(-B$207/$A37/EXP(-$D$126))</f>
        <v>4.610056969230196E-2</v>
      </c>
      <c r="C229" s="3">
        <f t="shared" si="190"/>
        <v>4.610056969230196E-2</v>
      </c>
      <c r="D229" s="3">
        <f t="shared" si="190"/>
        <v>4.610056969230196E-2</v>
      </c>
      <c r="E229" s="3">
        <f t="shared" si="190"/>
        <v>4.610056969230196E-2</v>
      </c>
      <c r="F229" s="3">
        <f t="shared" si="190"/>
        <v>4.610056969230196E-2</v>
      </c>
      <c r="G229" s="3">
        <f t="shared" si="190"/>
        <v>4.610056969230196E-2</v>
      </c>
      <c r="H229" s="3">
        <f t="shared" si="190"/>
        <v>4.610056969230196E-2</v>
      </c>
      <c r="I229" s="3">
        <f t="shared" si="190"/>
        <v>4.610056969230196E-2</v>
      </c>
      <c r="J229" s="3">
        <f t="shared" si="190"/>
        <v>4.610056969230196E-2</v>
      </c>
      <c r="K229" s="3">
        <f t="shared" si="190"/>
        <v>4.610056969230196E-2</v>
      </c>
      <c r="L229" s="3">
        <f t="shared" si="190"/>
        <v>4.6100569692301953E-2</v>
      </c>
      <c r="M229" s="3">
        <f t="shared" si="190"/>
        <v>4.6100569692301835E-2</v>
      </c>
      <c r="N229" s="3">
        <f t="shared" si="190"/>
        <v>4.6100569692300739E-2</v>
      </c>
      <c r="O229" s="3">
        <f t="shared" si="190"/>
        <v>4.6100569692289768E-2</v>
      </c>
      <c r="P229" s="3">
        <f t="shared" si="190"/>
        <v>4.6100569692180064E-2</v>
      </c>
      <c r="Q229" s="3">
        <f t="shared" si="190"/>
        <v>4.6100569691083018E-2</v>
      </c>
      <c r="R229" s="3">
        <f t="shared" si="190"/>
        <v>4.6100569680112564E-2</v>
      </c>
      <c r="S229" s="3">
        <f t="shared" si="190"/>
        <v>4.6100569570408027E-2</v>
      </c>
      <c r="T229" s="3">
        <f t="shared" si="190"/>
        <v>4.6100568473362601E-2</v>
      </c>
      <c r="U229" s="3">
        <f t="shared" si="190"/>
        <v>4.6100557502909853E-2</v>
      </c>
      <c r="V229" s="3">
        <f t="shared" si="190"/>
        <v>4.6100447798525901E-2</v>
      </c>
      <c r="W229" s="3">
        <f t="shared" si="190"/>
        <v>4.6099350769044679E-2</v>
      </c>
      <c r="X229" s="3">
        <f t="shared" si="190"/>
        <v>4.6088381909930587E-2</v>
      </c>
      <c r="Y229" s="3">
        <f t="shared" si="190"/>
        <v>4.5978836762274163E-2</v>
      </c>
      <c r="Z229" s="3">
        <f t="shared" si="190"/>
        <v>4.4897604134787772E-2</v>
      </c>
      <c r="AA229" s="3">
        <f t="shared" si="190"/>
        <v>3.5389549471402798E-2</v>
      </c>
      <c r="AB229" s="3">
        <f t="shared" si="190"/>
        <v>3.2763757910507403E-3</v>
      </c>
      <c r="AC229" s="3">
        <f t="shared" si="190"/>
        <v>1.5155855384216005E-13</v>
      </c>
      <c r="AD229" s="3">
        <f t="shared" si="190"/>
        <v>6.799044691844105E-117</v>
      </c>
      <c r="AE229" s="3">
        <f t="shared" si="190"/>
        <v>0</v>
      </c>
      <c r="AF229" s="3">
        <f t="shared" si="190"/>
        <v>0</v>
      </c>
      <c r="AG229" s="3"/>
      <c r="AH229" s="3"/>
    </row>
    <row r="230" spans="2:34" x14ac:dyDescent="0.25">
      <c r="B230" s="3">
        <f t="shared" ref="B230:AF230" si="191">$C38*EXP(-B$207/$A38/EXP(-$D$126))</f>
        <v>2.4069457926978895E-2</v>
      </c>
      <c r="C230" s="3">
        <f t="shared" si="191"/>
        <v>2.4069457926978895E-2</v>
      </c>
      <c r="D230" s="3">
        <f t="shared" si="191"/>
        <v>2.4069457926978895E-2</v>
      </c>
      <c r="E230" s="3">
        <f t="shared" si="191"/>
        <v>2.4069457926978895E-2</v>
      </c>
      <c r="F230" s="3">
        <f t="shared" si="191"/>
        <v>2.4069457926978895E-2</v>
      </c>
      <c r="G230" s="3">
        <f t="shared" si="191"/>
        <v>2.4069457926978895E-2</v>
      </c>
      <c r="H230" s="3">
        <f t="shared" si="191"/>
        <v>2.4069457926978895E-2</v>
      </c>
      <c r="I230" s="3">
        <f t="shared" si="191"/>
        <v>2.4069457926978895E-2</v>
      </c>
      <c r="J230" s="3">
        <f t="shared" si="191"/>
        <v>2.4069457926978895E-2</v>
      </c>
      <c r="K230" s="3">
        <f t="shared" si="191"/>
        <v>2.4069457926978895E-2</v>
      </c>
      <c r="L230" s="3">
        <f t="shared" si="191"/>
        <v>2.4069457926978895E-2</v>
      </c>
      <c r="M230" s="3">
        <f t="shared" si="191"/>
        <v>2.4069457926978888E-2</v>
      </c>
      <c r="N230" s="3">
        <f t="shared" si="191"/>
        <v>2.406945792697884E-2</v>
      </c>
      <c r="O230" s="3">
        <f t="shared" si="191"/>
        <v>2.4069457926978319E-2</v>
      </c>
      <c r="P230" s="3">
        <f t="shared" si="191"/>
        <v>2.4069457926973157E-2</v>
      </c>
      <c r="Q230" s="3">
        <f t="shared" si="191"/>
        <v>2.4069457926921486E-2</v>
      </c>
      <c r="R230" s="3">
        <f t="shared" si="191"/>
        <v>2.4069457926404792E-2</v>
      </c>
      <c r="S230" s="3">
        <f t="shared" si="191"/>
        <v>2.406945792123788E-2</v>
      </c>
      <c r="T230" s="3">
        <f t="shared" si="191"/>
        <v>2.4069457869568742E-2</v>
      </c>
      <c r="U230" s="3">
        <f t="shared" si="191"/>
        <v>2.4069457352877362E-2</v>
      </c>
      <c r="V230" s="3">
        <f t="shared" si="191"/>
        <v>2.4069452185964159E-2</v>
      </c>
      <c r="W230" s="3">
        <f t="shared" si="191"/>
        <v>2.4069400516893168E-2</v>
      </c>
      <c r="X230" s="3">
        <f t="shared" si="191"/>
        <v>2.4068883832283589E-2</v>
      </c>
      <c r="Y230" s="3">
        <f t="shared" si="191"/>
        <v>2.4063717596174716E-2</v>
      </c>
      <c r="Z230" s="3">
        <f t="shared" si="191"/>
        <v>2.4012116185353174E-2</v>
      </c>
      <c r="AA230" s="3">
        <f t="shared" si="191"/>
        <v>2.3502148969781797E-2</v>
      </c>
      <c r="AB230" s="3">
        <f t="shared" si="191"/>
        <v>1.8961773799197161E-2</v>
      </c>
      <c r="AC230" s="3">
        <f t="shared" si="191"/>
        <v>2.2161177304895478E-3</v>
      </c>
      <c r="AD230" s="3">
        <f t="shared" si="191"/>
        <v>1.0537352249114555E-12</v>
      </c>
      <c r="AE230" s="3">
        <f t="shared" si="191"/>
        <v>6.2246967061344955E-106</v>
      </c>
      <c r="AF230" s="3">
        <f t="shared" si="191"/>
        <v>0</v>
      </c>
      <c r="AG230" s="3"/>
      <c r="AH230" s="3"/>
    </row>
    <row r="231" spans="2:34" x14ac:dyDescent="0.25">
      <c r="B231" s="3">
        <f t="shared" ref="B231:AF231" si="192">$C39*EXP(-B$207/$A39/EXP(-$D$126))</f>
        <v>4.2363904015121308E-2</v>
      </c>
      <c r="C231" s="3">
        <f t="shared" si="192"/>
        <v>4.2363904015121308E-2</v>
      </c>
      <c r="D231" s="3">
        <f t="shared" si="192"/>
        <v>4.2363904015121308E-2</v>
      </c>
      <c r="E231" s="3">
        <f t="shared" si="192"/>
        <v>4.2363904015121308E-2</v>
      </c>
      <c r="F231" s="3">
        <f t="shared" si="192"/>
        <v>4.2363904015121308E-2</v>
      </c>
      <c r="G231" s="3">
        <f t="shared" si="192"/>
        <v>4.2363904015121308E-2</v>
      </c>
      <c r="H231" s="3">
        <f t="shared" si="192"/>
        <v>4.2363904015121308E-2</v>
      </c>
      <c r="I231" s="3">
        <f t="shared" si="192"/>
        <v>4.2363904015121308E-2</v>
      </c>
      <c r="J231" s="3">
        <f t="shared" si="192"/>
        <v>4.2363904015121308E-2</v>
      </c>
      <c r="K231" s="3">
        <f t="shared" si="192"/>
        <v>4.2363904015121308E-2</v>
      </c>
      <c r="L231" s="3">
        <f t="shared" si="192"/>
        <v>4.2363904015121308E-2</v>
      </c>
      <c r="M231" s="3">
        <f t="shared" si="192"/>
        <v>4.2363904015121301E-2</v>
      </c>
      <c r="N231" s="3">
        <f t="shared" si="192"/>
        <v>4.236390401512128E-2</v>
      </c>
      <c r="O231" s="3">
        <f t="shared" si="192"/>
        <v>4.236390401512103E-2</v>
      </c>
      <c r="P231" s="3">
        <f t="shared" si="192"/>
        <v>4.2363904015118511E-2</v>
      </c>
      <c r="Q231" s="3">
        <f t="shared" si="192"/>
        <v>4.2363904015093358E-2</v>
      </c>
      <c r="R231" s="3">
        <f t="shared" si="192"/>
        <v>4.2363904014841837E-2</v>
      </c>
      <c r="S231" s="3">
        <f t="shared" si="192"/>
        <v>4.2363904012326634E-2</v>
      </c>
      <c r="T231" s="3">
        <f t="shared" si="192"/>
        <v>4.2363903987174559E-2</v>
      </c>
      <c r="U231" s="3">
        <f t="shared" si="192"/>
        <v>4.2363903735653852E-2</v>
      </c>
      <c r="V231" s="3">
        <f t="shared" si="192"/>
        <v>4.2363901220446844E-2</v>
      </c>
      <c r="W231" s="3">
        <f t="shared" si="192"/>
        <v>4.2363876068384966E-2</v>
      </c>
      <c r="X231" s="3">
        <f t="shared" si="192"/>
        <v>4.2363624548587518E-2</v>
      </c>
      <c r="Y231" s="3">
        <f t="shared" si="192"/>
        <v>4.2361109432743377E-2</v>
      </c>
      <c r="Z231" s="3">
        <f t="shared" si="192"/>
        <v>4.2335966485531902E-2</v>
      </c>
      <c r="AA231" s="3">
        <f t="shared" si="192"/>
        <v>4.2085356335478614E-2</v>
      </c>
      <c r="AB231" s="3">
        <f t="shared" si="192"/>
        <v>3.9659415426286648E-2</v>
      </c>
      <c r="AC231" s="3">
        <f t="shared" si="192"/>
        <v>2.1902783302511965E-2</v>
      </c>
      <c r="AD231" s="3">
        <f t="shared" si="192"/>
        <v>5.7813503183998907E-5</v>
      </c>
      <c r="AE231" s="3">
        <f t="shared" si="192"/>
        <v>9.4913739001447713E-31</v>
      </c>
      <c r="AF231" s="3">
        <f t="shared" si="192"/>
        <v>1.349979095700777E-288</v>
      </c>
      <c r="AG231" s="3"/>
      <c r="AH231" s="3"/>
    </row>
    <row r="232" spans="2:34" x14ac:dyDescent="0.25">
      <c r="B232" s="3">
        <f t="shared" ref="B232:AF232" si="193">$C40*EXP(-B$207/$A40/EXP(-$D$126))</f>
        <v>5.5125175365667731E-2</v>
      </c>
      <c r="C232" s="3">
        <f t="shared" si="193"/>
        <v>5.5125175365667731E-2</v>
      </c>
      <c r="D232" s="3">
        <f t="shared" si="193"/>
        <v>5.5125175365667731E-2</v>
      </c>
      <c r="E232" s="3">
        <f t="shared" si="193"/>
        <v>5.5125175365667731E-2</v>
      </c>
      <c r="F232" s="3">
        <f t="shared" si="193"/>
        <v>5.5125175365667731E-2</v>
      </c>
      <c r="G232" s="3">
        <f t="shared" si="193"/>
        <v>5.5125175365667731E-2</v>
      </c>
      <c r="H232" s="3">
        <f t="shared" si="193"/>
        <v>5.5125175365667731E-2</v>
      </c>
      <c r="I232" s="3">
        <f t="shared" si="193"/>
        <v>5.5125175365667731E-2</v>
      </c>
      <c r="J232" s="3">
        <f t="shared" si="193"/>
        <v>5.5125175365667731E-2</v>
      </c>
      <c r="K232" s="3">
        <f t="shared" si="193"/>
        <v>5.5125175365667731E-2</v>
      </c>
      <c r="L232" s="3">
        <f t="shared" si="193"/>
        <v>5.5125175365667731E-2</v>
      </c>
      <c r="M232" s="3">
        <f t="shared" si="193"/>
        <v>5.5125175365667731E-2</v>
      </c>
      <c r="N232" s="3">
        <f t="shared" si="193"/>
        <v>5.5125175365667724E-2</v>
      </c>
      <c r="O232" s="3">
        <f t="shared" si="193"/>
        <v>5.5125175365667696E-2</v>
      </c>
      <c r="P232" s="3">
        <f t="shared" si="193"/>
        <v>5.512517536566737E-2</v>
      </c>
      <c r="Q232" s="3">
        <f t="shared" si="193"/>
        <v>5.5125175365664095E-2</v>
      </c>
      <c r="R232" s="3">
        <f t="shared" si="193"/>
        <v>5.5125175365631364E-2</v>
      </c>
      <c r="S232" s="3">
        <f t="shared" si="193"/>
        <v>5.5125175365304077E-2</v>
      </c>
      <c r="T232" s="3">
        <f t="shared" si="193"/>
        <v>5.5125175362031216E-2</v>
      </c>
      <c r="U232" s="3">
        <f t="shared" si="193"/>
        <v>5.5125175329302591E-2</v>
      </c>
      <c r="V232" s="3">
        <f t="shared" si="193"/>
        <v>5.5125175002016344E-2</v>
      </c>
      <c r="W232" s="3">
        <f t="shared" si="193"/>
        <v>5.5125171729153974E-2</v>
      </c>
      <c r="X232" s="3">
        <f t="shared" si="193"/>
        <v>5.5125139000540925E-2</v>
      </c>
      <c r="Y232" s="3">
        <f t="shared" si="193"/>
        <v>5.5124811715479151E-2</v>
      </c>
      <c r="Z232" s="3">
        <f t="shared" si="193"/>
        <v>5.5121538971731929E-2</v>
      </c>
      <c r="AA232" s="3">
        <f t="shared" si="193"/>
        <v>5.5088822218957036E-2</v>
      </c>
      <c r="AB232" s="3">
        <f t="shared" si="193"/>
        <v>5.476272081750988E-2</v>
      </c>
      <c r="AC232" s="3">
        <f t="shared" si="193"/>
        <v>5.160601415520083E-2</v>
      </c>
      <c r="AD232" s="3">
        <f t="shared" si="193"/>
        <v>2.850055486189907E-2</v>
      </c>
      <c r="AE232" s="3">
        <f t="shared" si="193"/>
        <v>7.5228654573100101E-5</v>
      </c>
      <c r="AF232" s="3">
        <f t="shared" si="193"/>
        <v>1.2350458789630132E-30</v>
      </c>
      <c r="AG232" s="3"/>
      <c r="AH232" s="3"/>
    </row>
    <row r="233" spans="2:34" x14ac:dyDescent="0.25">
      <c r="B233" s="3">
        <f t="shared" ref="B233:AF233" si="194">$C41*EXP(-B$207/$A41/EXP(-$D$126))</f>
        <v>5.6884717195846243E-2</v>
      </c>
      <c r="C233" s="3">
        <f t="shared" si="194"/>
        <v>5.6884717195846243E-2</v>
      </c>
      <c r="D233" s="3">
        <f t="shared" si="194"/>
        <v>5.6884717195846243E-2</v>
      </c>
      <c r="E233" s="3">
        <f t="shared" si="194"/>
        <v>5.6884717195846243E-2</v>
      </c>
      <c r="F233" s="3">
        <f t="shared" si="194"/>
        <v>5.6884717195846243E-2</v>
      </c>
      <c r="G233" s="3">
        <f t="shared" si="194"/>
        <v>5.6884717195846243E-2</v>
      </c>
      <c r="H233" s="3">
        <f t="shared" si="194"/>
        <v>5.6884717195846243E-2</v>
      </c>
      <c r="I233" s="3">
        <f t="shared" si="194"/>
        <v>5.6884717195846243E-2</v>
      </c>
      <c r="J233" s="3">
        <f t="shared" si="194"/>
        <v>5.6884717195846243E-2</v>
      </c>
      <c r="K233" s="3">
        <f t="shared" si="194"/>
        <v>5.6884717195846243E-2</v>
      </c>
      <c r="L233" s="3">
        <f t="shared" si="194"/>
        <v>5.6884717195846243E-2</v>
      </c>
      <c r="M233" s="3">
        <f t="shared" si="194"/>
        <v>5.6884717195846243E-2</v>
      </c>
      <c r="N233" s="3">
        <f t="shared" si="194"/>
        <v>5.6884717195846243E-2</v>
      </c>
      <c r="O233" s="3">
        <f t="shared" si="194"/>
        <v>5.6884717195846236E-2</v>
      </c>
      <c r="P233" s="3">
        <f t="shared" si="194"/>
        <v>5.6884717195846209E-2</v>
      </c>
      <c r="Q233" s="3">
        <f t="shared" si="194"/>
        <v>5.6884717195845869E-2</v>
      </c>
      <c r="R233" s="3">
        <f t="shared" si="194"/>
        <v>5.6884717195842489E-2</v>
      </c>
      <c r="S233" s="3">
        <f t="shared" si="194"/>
        <v>5.6884717195808718E-2</v>
      </c>
      <c r="T233" s="3">
        <f t="shared" si="194"/>
        <v>5.6884717195470981E-2</v>
      </c>
      <c r="U233" s="3">
        <f t="shared" si="194"/>
        <v>5.6884717192093655E-2</v>
      </c>
      <c r="V233" s="3">
        <f t="shared" si="194"/>
        <v>5.6884717158320365E-2</v>
      </c>
      <c r="W233" s="3">
        <f t="shared" si="194"/>
        <v>5.6884716820587461E-2</v>
      </c>
      <c r="X233" s="3">
        <f t="shared" si="194"/>
        <v>5.688471344325851E-2</v>
      </c>
      <c r="Y233" s="3">
        <f t="shared" si="194"/>
        <v>5.6884679669980058E-2</v>
      </c>
      <c r="Z233" s="3">
        <f t="shared" si="194"/>
        <v>5.688434193829834E-2</v>
      </c>
      <c r="AA233" s="3">
        <f t="shared" si="194"/>
        <v>5.6880964731762844E-2</v>
      </c>
      <c r="AB233" s="3">
        <f t="shared" si="194"/>
        <v>5.6847203692150343E-2</v>
      </c>
      <c r="AC233" s="3">
        <f t="shared" si="194"/>
        <v>5.6510693452038824E-2</v>
      </c>
      <c r="AD233" s="3">
        <f t="shared" si="194"/>
        <v>5.325322779202879E-2</v>
      </c>
      <c r="AE233" s="3">
        <f t="shared" si="194"/>
        <v>2.9410264774478168E-2</v>
      </c>
      <c r="AF233" s="3">
        <f t="shared" si="194"/>
        <v>7.7629879851230635E-5</v>
      </c>
      <c r="AG233" s="3"/>
      <c r="AH233" s="3"/>
    </row>
    <row r="234" spans="2:34" x14ac:dyDescent="0.25">
      <c r="B234" s="3">
        <f t="shared" ref="B234:AF234" si="195">$C42*EXP(-B$207/$A42/EXP(-$D$126))</f>
        <v>5.455134576807355E-2</v>
      </c>
      <c r="C234" s="3">
        <f t="shared" si="195"/>
        <v>5.455134576807355E-2</v>
      </c>
      <c r="D234" s="3">
        <f t="shared" si="195"/>
        <v>5.455134576807355E-2</v>
      </c>
      <c r="E234" s="3">
        <f t="shared" si="195"/>
        <v>5.455134576807355E-2</v>
      </c>
      <c r="F234" s="3">
        <f t="shared" si="195"/>
        <v>5.455134576807355E-2</v>
      </c>
      <c r="G234" s="3">
        <f t="shared" si="195"/>
        <v>5.455134576807355E-2</v>
      </c>
      <c r="H234" s="3">
        <f t="shared" si="195"/>
        <v>5.455134576807355E-2</v>
      </c>
      <c r="I234" s="3">
        <f t="shared" si="195"/>
        <v>5.455134576807355E-2</v>
      </c>
      <c r="J234" s="3">
        <f t="shared" si="195"/>
        <v>5.455134576807355E-2</v>
      </c>
      <c r="K234" s="3">
        <f t="shared" si="195"/>
        <v>5.455134576807355E-2</v>
      </c>
      <c r="L234" s="3">
        <f t="shared" si="195"/>
        <v>5.455134576807355E-2</v>
      </c>
      <c r="M234" s="3">
        <f t="shared" si="195"/>
        <v>5.455134576807355E-2</v>
      </c>
      <c r="N234" s="3">
        <f t="shared" si="195"/>
        <v>5.455134576807355E-2</v>
      </c>
      <c r="O234" s="3">
        <f t="shared" si="195"/>
        <v>5.455134576807355E-2</v>
      </c>
      <c r="P234" s="3">
        <f t="shared" si="195"/>
        <v>5.4551345768073543E-2</v>
      </c>
      <c r="Q234" s="3">
        <f t="shared" si="195"/>
        <v>5.4551345768073516E-2</v>
      </c>
      <c r="R234" s="3">
        <f t="shared" si="195"/>
        <v>5.4551345768073196E-2</v>
      </c>
      <c r="S234" s="3">
        <f t="shared" si="195"/>
        <v>5.4551345768069956E-2</v>
      </c>
      <c r="T234" s="3">
        <f t="shared" si="195"/>
        <v>5.4551345768037565E-2</v>
      </c>
      <c r="U234" s="3">
        <f t="shared" si="195"/>
        <v>5.4551345767713685E-2</v>
      </c>
      <c r="V234" s="3">
        <f t="shared" si="195"/>
        <v>5.4551345764474887E-2</v>
      </c>
      <c r="W234" s="3">
        <f t="shared" si="195"/>
        <v>5.4551345732086955E-2</v>
      </c>
      <c r="X234" s="3">
        <f t="shared" si="195"/>
        <v>5.4551345408207622E-2</v>
      </c>
      <c r="Y234" s="3">
        <f t="shared" si="195"/>
        <v>5.4551342169414353E-2</v>
      </c>
      <c r="Z234" s="3">
        <f t="shared" si="195"/>
        <v>5.4551309781492224E-2</v>
      </c>
      <c r="AA234" s="3">
        <f t="shared" si="195"/>
        <v>5.4550985903328554E-2</v>
      </c>
      <c r="AB234" s="3">
        <f t="shared" si="195"/>
        <v>5.4547747227449872E-2</v>
      </c>
      <c r="AC234" s="3">
        <f t="shared" si="195"/>
        <v>5.451537104213721E-2</v>
      </c>
      <c r="AD234" s="3">
        <f t="shared" si="195"/>
        <v>5.4192664217391641E-2</v>
      </c>
      <c r="AE234" s="3">
        <f t="shared" si="195"/>
        <v>5.1068817526987262E-2</v>
      </c>
      <c r="AF234" s="3">
        <f t="shared" si="195"/>
        <v>2.8203876224250687E-2</v>
      </c>
      <c r="AG234" s="3"/>
      <c r="AH234" s="3"/>
    </row>
    <row r="235" spans="2:34" x14ac:dyDescent="0.25">
      <c r="B235" s="3">
        <f t="shared" ref="B235:AF235" si="196">$C43*EXP(-B$207/$A43/EXP(-$D$126))</f>
        <v>3.7051538899778975E-2</v>
      </c>
      <c r="C235" s="3">
        <f t="shared" si="196"/>
        <v>3.7051538899778975E-2</v>
      </c>
      <c r="D235" s="3">
        <f t="shared" si="196"/>
        <v>3.7051538899778975E-2</v>
      </c>
      <c r="E235" s="3">
        <f t="shared" si="196"/>
        <v>3.7051538899778975E-2</v>
      </c>
      <c r="F235" s="3">
        <f t="shared" si="196"/>
        <v>3.7051538899778975E-2</v>
      </c>
      <c r="G235" s="3">
        <f t="shared" si="196"/>
        <v>3.7051538899778975E-2</v>
      </c>
      <c r="H235" s="3">
        <f t="shared" si="196"/>
        <v>3.7051538899778975E-2</v>
      </c>
      <c r="I235" s="3">
        <f t="shared" si="196"/>
        <v>3.7051538899778975E-2</v>
      </c>
      <c r="J235" s="3">
        <f t="shared" si="196"/>
        <v>3.7051538899778975E-2</v>
      </c>
      <c r="K235" s="3">
        <f t="shared" si="196"/>
        <v>3.7051538899778975E-2</v>
      </c>
      <c r="L235" s="3">
        <f t="shared" si="196"/>
        <v>3.7051538899778975E-2</v>
      </c>
      <c r="M235" s="3">
        <f t="shared" si="196"/>
        <v>3.7051538899778975E-2</v>
      </c>
      <c r="N235" s="3">
        <f t="shared" si="196"/>
        <v>3.7051538899778975E-2</v>
      </c>
      <c r="O235" s="3">
        <f t="shared" si="196"/>
        <v>3.7051538899778975E-2</v>
      </c>
      <c r="P235" s="3">
        <f t="shared" si="196"/>
        <v>3.7051538899778975E-2</v>
      </c>
      <c r="Q235" s="3">
        <f t="shared" si="196"/>
        <v>3.7051538899778969E-2</v>
      </c>
      <c r="R235" s="3">
        <f t="shared" si="196"/>
        <v>3.7051538899778948E-2</v>
      </c>
      <c r="S235" s="3">
        <f t="shared" si="196"/>
        <v>3.7051538899778733E-2</v>
      </c>
      <c r="T235" s="3">
        <f t="shared" si="196"/>
        <v>3.7051538899776533E-2</v>
      </c>
      <c r="U235" s="3">
        <f t="shared" si="196"/>
        <v>3.705153889975453E-2</v>
      </c>
      <c r="V235" s="3">
        <f t="shared" si="196"/>
        <v>3.7051538899534553E-2</v>
      </c>
      <c r="W235" s="3">
        <f t="shared" si="196"/>
        <v>3.705153889733475E-2</v>
      </c>
      <c r="X235" s="3">
        <f t="shared" si="196"/>
        <v>3.7051538875336708E-2</v>
      </c>
      <c r="Y235" s="3">
        <f t="shared" si="196"/>
        <v>3.7051538655356292E-2</v>
      </c>
      <c r="Z235" s="3">
        <f t="shared" si="196"/>
        <v>3.7051536455552175E-2</v>
      </c>
      <c r="AA235" s="3">
        <f t="shared" si="196"/>
        <v>3.7051514457518218E-2</v>
      </c>
      <c r="AB235" s="3">
        <f t="shared" si="196"/>
        <v>3.7051294477896984E-2</v>
      </c>
      <c r="AC235" s="3">
        <f t="shared" si="196"/>
        <v>3.7049094753515976E-2</v>
      </c>
      <c r="AD235" s="3">
        <f t="shared" si="196"/>
        <v>3.7027104691260887E-2</v>
      </c>
      <c r="AE235" s="3">
        <f t="shared" si="196"/>
        <v>3.6807920649108768E-2</v>
      </c>
      <c r="AF235" s="3">
        <f t="shared" si="196"/>
        <v>3.4686188810291271E-2</v>
      </c>
      <c r="AG235" s="3"/>
      <c r="AH235" s="3"/>
    </row>
    <row r="236" spans="2:34" x14ac:dyDescent="0.25">
      <c r="B236" s="3">
        <f t="shared" ref="B236:AF236" si="197">$C44*EXP(-B$207/$A44/EXP(-$D$126))</f>
        <v>2.3553362774933962E-2</v>
      </c>
      <c r="C236" s="3">
        <f t="shared" si="197"/>
        <v>2.3553362774933962E-2</v>
      </c>
      <c r="D236" s="3">
        <f t="shared" si="197"/>
        <v>2.3553362774933962E-2</v>
      </c>
      <c r="E236" s="3">
        <f t="shared" si="197"/>
        <v>2.3553362774933962E-2</v>
      </c>
      <c r="F236" s="3">
        <f t="shared" si="197"/>
        <v>2.3553362774933962E-2</v>
      </c>
      <c r="G236" s="3">
        <f t="shared" si="197"/>
        <v>2.3553362774933962E-2</v>
      </c>
      <c r="H236" s="3">
        <f t="shared" si="197"/>
        <v>2.3553362774933962E-2</v>
      </c>
      <c r="I236" s="3">
        <f t="shared" si="197"/>
        <v>2.3553362774933962E-2</v>
      </c>
      <c r="J236" s="3">
        <f t="shared" si="197"/>
        <v>2.3553362774933962E-2</v>
      </c>
      <c r="K236" s="3">
        <f t="shared" si="197"/>
        <v>2.3553362774933962E-2</v>
      </c>
      <c r="L236" s="3">
        <f t="shared" si="197"/>
        <v>2.3553362774933962E-2</v>
      </c>
      <c r="M236" s="3">
        <f t="shared" si="197"/>
        <v>2.3553362774933962E-2</v>
      </c>
      <c r="N236" s="3">
        <f t="shared" si="197"/>
        <v>2.3553362774933962E-2</v>
      </c>
      <c r="O236" s="3">
        <f t="shared" si="197"/>
        <v>2.3553362774933962E-2</v>
      </c>
      <c r="P236" s="3">
        <f t="shared" si="197"/>
        <v>2.3553362774933962E-2</v>
      </c>
      <c r="Q236" s="3">
        <f t="shared" si="197"/>
        <v>2.3553362774933962E-2</v>
      </c>
      <c r="R236" s="3">
        <f t="shared" si="197"/>
        <v>2.3553362774933959E-2</v>
      </c>
      <c r="S236" s="3">
        <f t="shared" si="197"/>
        <v>2.3553362774933945E-2</v>
      </c>
      <c r="T236" s="3">
        <f t="shared" si="197"/>
        <v>2.3553362774933809E-2</v>
      </c>
      <c r="U236" s="3">
        <f t="shared" si="197"/>
        <v>2.3553362774932408E-2</v>
      </c>
      <c r="V236" s="3">
        <f t="shared" si="197"/>
        <v>2.3553362774918422E-2</v>
      </c>
      <c r="W236" s="3">
        <f t="shared" si="197"/>
        <v>2.3553362774778583E-2</v>
      </c>
      <c r="X236" s="3">
        <f t="shared" si="197"/>
        <v>2.3553362773380184E-2</v>
      </c>
      <c r="Y236" s="3">
        <f t="shared" si="197"/>
        <v>2.355336275939621E-2</v>
      </c>
      <c r="Z236" s="3">
        <f t="shared" si="197"/>
        <v>2.3553362619556442E-2</v>
      </c>
      <c r="AA236" s="3">
        <f t="shared" si="197"/>
        <v>2.3553361221158808E-2</v>
      </c>
      <c r="AB236" s="3">
        <f t="shared" si="197"/>
        <v>2.3553347237187036E-2</v>
      </c>
      <c r="AC236" s="3">
        <f t="shared" si="197"/>
        <v>2.3553207397925945E-2</v>
      </c>
      <c r="AD236" s="3">
        <f t="shared" si="197"/>
        <v>2.3551809050977635E-2</v>
      </c>
      <c r="AE236" s="3">
        <f t="shared" si="197"/>
        <v>2.3537830146750784E-2</v>
      </c>
      <c r="AF236" s="3">
        <f t="shared" si="197"/>
        <v>2.3398496628829989E-2</v>
      </c>
      <c r="AG236" s="3"/>
      <c r="AH236" s="3"/>
    </row>
    <row r="237" spans="2:34" x14ac:dyDescent="0.25">
      <c r="B237" s="3">
        <f t="shared" ref="B237:AF237" si="198">$C45*EXP(-B$207/$A45/EXP(-$D$126))</f>
        <v>8.915333557989135E-3</v>
      </c>
      <c r="C237" s="3">
        <f t="shared" si="198"/>
        <v>8.915333557989135E-3</v>
      </c>
      <c r="D237" s="3">
        <f t="shared" si="198"/>
        <v>8.915333557989135E-3</v>
      </c>
      <c r="E237" s="3">
        <f t="shared" si="198"/>
        <v>8.915333557989135E-3</v>
      </c>
      <c r="F237" s="3">
        <f t="shared" si="198"/>
        <v>8.915333557989135E-3</v>
      </c>
      <c r="G237" s="3">
        <f t="shared" si="198"/>
        <v>8.915333557989135E-3</v>
      </c>
      <c r="H237" s="3">
        <f t="shared" si="198"/>
        <v>8.915333557989135E-3</v>
      </c>
      <c r="I237" s="3">
        <f t="shared" si="198"/>
        <v>8.915333557989135E-3</v>
      </c>
      <c r="J237" s="3">
        <f t="shared" si="198"/>
        <v>8.915333557989135E-3</v>
      </c>
      <c r="K237" s="3">
        <f t="shared" si="198"/>
        <v>8.915333557989135E-3</v>
      </c>
      <c r="L237" s="3">
        <f t="shared" si="198"/>
        <v>8.915333557989135E-3</v>
      </c>
      <c r="M237" s="3">
        <f t="shared" si="198"/>
        <v>8.915333557989135E-3</v>
      </c>
      <c r="N237" s="3">
        <f t="shared" si="198"/>
        <v>8.915333557989135E-3</v>
      </c>
      <c r="O237" s="3">
        <f t="shared" si="198"/>
        <v>8.915333557989135E-3</v>
      </c>
      <c r="P237" s="3">
        <f t="shared" si="198"/>
        <v>8.915333557989135E-3</v>
      </c>
      <c r="Q237" s="3">
        <f t="shared" si="198"/>
        <v>8.915333557989135E-3</v>
      </c>
      <c r="R237" s="3">
        <f t="shared" si="198"/>
        <v>8.915333557989135E-3</v>
      </c>
      <c r="S237" s="3">
        <f t="shared" si="198"/>
        <v>8.9153335579891333E-3</v>
      </c>
      <c r="T237" s="3">
        <f t="shared" si="198"/>
        <v>8.9153335579891298E-3</v>
      </c>
      <c r="U237" s="3">
        <f t="shared" si="198"/>
        <v>8.9153335579890761E-3</v>
      </c>
      <c r="V237" s="3">
        <f t="shared" si="198"/>
        <v>8.915333557988547E-3</v>
      </c>
      <c r="W237" s="3">
        <f t="shared" si="198"/>
        <v>8.9153335579832543E-3</v>
      </c>
      <c r="X237" s="3">
        <f t="shared" si="198"/>
        <v>8.9153335579303227E-3</v>
      </c>
      <c r="Y237" s="3">
        <f t="shared" si="198"/>
        <v>8.9153335574010048E-3</v>
      </c>
      <c r="Z237" s="3">
        <f t="shared" si="198"/>
        <v>8.9153335521078413E-3</v>
      </c>
      <c r="AA237" s="3">
        <f t="shared" si="198"/>
        <v>8.9153334991761996E-3</v>
      </c>
      <c r="AB237" s="3">
        <f t="shared" si="198"/>
        <v>8.9153329698597929E-3</v>
      </c>
      <c r="AC237" s="3">
        <f t="shared" si="198"/>
        <v>8.9153276766974522E-3</v>
      </c>
      <c r="AD237" s="3">
        <f t="shared" si="198"/>
        <v>8.9152747452468963E-3</v>
      </c>
      <c r="AE237" s="3">
        <f t="shared" si="198"/>
        <v>8.9147454480253876E-3</v>
      </c>
      <c r="AF237" s="3">
        <f t="shared" si="198"/>
        <v>8.9094542038345506E-3</v>
      </c>
      <c r="AG237" s="3"/>
      <c r="AH237" s="3"/>
    </row>
    <row r="238" spans="2:34" x14ac:dyDescent="0.25">
      <c r="B238" s="3">
        <f t="shared" ref="B238:AF238" si="199">$C46*EXP(-B$207/$A46/EXP(-$D$126))</f>
        <v>6.6530683932672779E-3</v>
      </c>
      <c r="C238" s="3">
        <f t="shared" si="199"/>
        <v>6.6530683932672779E-3</v>
      </c>
      <c r="D238" s="3">
        <f t="shared" si="199"/>
        <v>6.6530683932672779E-3</v>
      </c>
      <c r="E238" s="3">
        <f t="shared" si="199"/>
        <v>6.6530683932672779E-3</v>
      </c>
      <c r="F238" s="3">
        <f t="shared" si="199"/>
        <v>6.6530683932672779E-3</v>
      </c>
      <c r="G238" s="3">
        <f t="shared" si="199"/>
        <v>6.6530683932672779E-3</v>
      </c>
      <c r="H238" s="3">
        <f t="shared" si="199"/>
        <v>6.6530683932672779E-3</v>
      </c>
      <c r="I238" s="3">
        <f t="shared" si="199"/>
        <v>6.6530683932672779E-3</v>
      </c>
      <c r="J238" s="3">
        <f t="shared" si="199"/>
        <v>6.6530683932672779E-3</v>
      </c>
      <c r="K238" s="3">
        <f t="shared" si="199"/>
        <v>6.6530683932672779E-3</v>
      </c>
      <c r="L238" s="3">
        <f t="shared" si="199"/>
        <v>6.6530683932672779E-3</v>
      </c>
      <c r="M238" s="3">
        <f t="shared" si="199"/>
        <v>6.6530683932672779E-3</v>
      </c>
      <c r="N238" s="3">
        <f t="shared" si="199"/>
        <v>6.6530683932672779E-3</v>
      </c>
      <c r="O238" s="3">
        <f t="shared" si="199"/>
        <v>6.6530683932672779E-3</v>
      </c>
      <c r="P238" s="3">
        <f t="shared" si="199"/>
        <v>6.6530683932672779E-3</v>
      </c>
      <c r="Q238" s="3">
        <f t="shared" si="199"/>
        <v>6.6530683932672779E-3</v>
      </c>
      <c r="R238" s="3">
        <f t="shared" si="199"/>
        <v>6.6530683932672779E-3</v>
      </c>
      <c r="S238" s="3">
        <f t="shared" si="199"/>
        <v>6.6530683932672779E-3</v>
      </c>
      <c r="T238" s="3">
        <f t="shared" si="199"/>
        <v>6.6530683932672771E-3</v>
      </c>
      <c r="U238" s="3">
        <f t="shared" si="199"/>
        <v>6.6530683932672736E-3</v>
      </c>
      <c r="V238" s="3">
        <f t="shared" si="199"/>
        <v>6.6530683932672346E-3</v>
      </c>
      <c r="W238" s="3">
        <f t="shared" si="199"/>
        <v>6.6530683932668391E-3</v>
      </c>
      <c r="X238" s="3">
        <f t="shared" si="199"/>
        <v>6.6530683932628891E-3</v>
      </c>
      <c r="Y238" s="3">
        <f t="shared" si="199"/>
        <v>6.6530683932233886E-3</v>
      </c>
      <c r="Z238" s="3">
        <f t="shared" si="199"/>
        <v>6.653068392828386E-3</v>
      </c>
      <c r="AA238" s="3">
        <f t="shared" si="199"/>
        <v>6.6530683888783616E-3</v>
      </c>
      <c r="AB238" s="3">
        <f t="shared" si="199"/>
        <v>6.65306834937812E-3</v>
      </c>
      <c r="AC238" s="3">
        <f t="shared" si="199"/>
        <v>6.6530679543757082E-3</v>
      </c>
      <c r="AD238" s="3">
        <f t="shared" si="199"/>
        <v>6.6530640043528811E-3</v>
      </c>
      <c r="AE238" s="3">
        <f t="shared" si="199"/>
        <v>6.6530245042535959E-3</v>
      </c>
      <c r="AF238" s="3">
        <f t="shared" si="199"/>
        <v>6.6526295161589647E-3</v>
      </c>
      <c r="AG238" s="3"/>
      <c r="AH238" s="3"/>
    </row>
    <row r="239" spans="2:34" x14ac:dyDescent="0.25">
      <c r="B239" s="3">
        <f t="shared" ref="B239:AF239" si="200">$C47*EXP(-B$207/$A47/EXP(-$D$126))</f>
        <v>6.4465417196877487E-4</v>
      </c>
      <c r="C239" s="3">
        <f t="shared" si="200"/>
        <v>6.4465417196877487E-4</v>
      </c>
      <c r="D239" s="3">
        <f t="shared" si="200"/>
        <v>6.4465417196877487E-4</v>
      </c>
      <c r="E239" s="3">
        <f t="shared" si="200"/>
        <v>6.4465417196877487E-4</v>
      </c>
      <c r="F239" s="3">
        <f t="shared" si="200"/>
        <v>6.4465417196877487E-4</v>
      </c>
      <c r="G239" s="3">
        <f t="shared" si="200"/>
        <v>6.4465417196877487E-4</v>
      </c>
      <c r="H239" s="3">
        <f t="shared" si="200"/>
        <v>6.4465417196877487E-4</v>
      </c>
      <c r="I239" s="3">
        <f t="shared" si="200"/>
        <v>6.4465417196877487E-4</v>
      </c>
      <c r="J239" s="3">
        <f t="shared" si="200"/>
        <v>6.4465417196877487E-4</v>
      </c>
      <c r="K239" s="3">
        <f t="shared" si="200"/>
        <v>6.4465417196877487E-4</v>
      </c>
      <c r="L239" s="3">
        <f t="shared" si="200"/>
        <v>6.4465417196877487E-4</v>
      </c>
      <c r="M239" s="3">
        <f t="shared" si="200"/>
        <v>6.4465417196877487E-4</v>
      </c>
      <c r="N239" s="3">
        <f t="shared" si="200"/>
        <v>6.4465417196877487E-4</v>
      </c>
      <c r="O239" s="3">
        <f t="shared" si="200"/>
        <v>6.4465417196877487E-4</v>
      </c>
      <c r="P239" s="3">
        <f t="shared" si="200"/>
        <v>6.4465417196877487E-4</v>
      </c>
      <c r="Q239" s="3">
        <f t="shared" si="200"/>
        <v>6.4465417196877487E-4</v>
      </c>
      <c r="R239" s="3">
        <f t="shared" si="200"/>
        <v>6.4465417196877487E-4</v>
      </c>
      <c r="S239" s="3">
        <f t="shared" si="200"/>
        <v>6.4465417196877487E-4</v>
      </c>
      <c r="T239" s="3">
        <f t="shared" si="200"/>
        <v>6.4465417196877487E-4</v>
      </c>
      <c r="U239" s="3">
        <f t="shared" si="200"/>
        <v>6.4465417196877476E-4</v>
      </c>
      <c r="V239" s="3">
        <f t="shared" si="200"/>
        <v>6.4465417196877444E-4</v>
      </c>
      <c r="W239" s="3">
        <f t="shared" si="200"/>
        <v>6.4465417196877064E-4</v>
      </c>
      <c r="X239" s="3">
        <f t="shared" si="200"/>
        <v>6.4465417196873237E-4</v>
      </c>
      <c r="Y239" s="3">
        <f t="shared" si="200"/>
        <v>6.4465417196834965E-4</v>
      </c>
      <c r="Z239" s="3">
        <f t="shared" si="200"/>
        <v>6.446541719645222E-4</v>
      </c>
      <c r="AA239" s="3">
        <f t="shared" si="200"/>
        <v>6.4465417192624812E-4</v>
      </c>
      <c r="AB239" s="3">
        <f t="shared" si="200"/>
        <v>6.4465417154350752E-4</v>
      </c>
      <c r="AC239" s="3">
        <f t="shared" si="200"/>
        <v>6.4465416771610125E-4</v>
      </c>
      <c r="AD239" s="3">
        <f t="shared" si="200"/>
        <v>6.4465412944203916E-4</v>
      </c>
      <c r="AE239" s="3">
        <f t="shared" si="200"/>
        <v>6.4465374670154339E-4</v>
      </c>
      <c r="AF239" s="3">
        <f t="shared" si="200"/>
        <v>6.4464991930908444E-4</v>
      </c>
      <c r="AG239" s="3"/>
      <c r="AH239" s="3"/>
    </row>
    <row r="240" spans="2:34" x14ac:dyDescent="0.25">
      <c r="B240" s="3">
        <f t="shared" ref="B240:AF240" si="201">$C48*EXP(-B$207/$A48/EXP(-$D$126))</f>
        <v>7.8044740016632993E-3</v>
      </c>
      <c r="C240" s="3">
        <f t="shared" si="201"/>
        <v>7.8044740016632993E-3</v>
      </c>
      <c r="D240" s="3">
        <f t="shared" si="201"/>
        <v>7.8044740016632993E-3</v>
      </c>
      <c r="E240" s="3">
        <f t="shared" si="201"/>
        <v>7.8044740016632993E-3</v>
      </c>
      <c r="F240" s="3">
        <f t="shared" si="201"/>
        <v>7.8044740016632993E-3</v>
      </c>
      <c r="G240" s="3">
        <f t="shared" si="201"/>
        <v>7.8044740016632993E-3</v>
      </c>
      <c r="H240" s="3">
        <f t="shared" si="201"/>
        <v>7.8044740016632993E-3</v>
      </c>
      <c r="I240" s="3">
        <f t="shared" si="201"/>
        <v>7.8044740016632993E-3</v>
      </c>
      <c r="J240" s="3">
        <f t="shared" si="201"/>
        <v>7.8044740016632993E-3</v>
      </c>
      <c r="K240" s="3">
        <f t="shared" si="201"/>
        <v>7.8044740016632993E-3</v>
      </c>
      <c r="L240" s="3">
        <f t="shared" si="201"/>
        <v>7.8044740016632993E-3</v>
      </c>
      <c r="M240" s="3">
        <f t="shared" si="201"/>
        <v>7.8044740016632993E-3</v>
      </c>
      <c r="N240" s="3">
        <f t="shared" si="201"/>
        <v>7.8044740016632993E-3</v>
      </c>
      <c r="O240" s="3">
        <f t="shared" si="201"/>
        <v>7.8044740016632993E-3</v>
      </c>
      <c r="P240" s="3">
        <f t="shared" si="201"/>
        <v>7.8044740016632993E-3</v>
      </c>
      <c r="Q240" s="3">
        <f t="shared" si="201"/>
        <v>7.8044740016632993E-3</v>
      </c>
      <c r="R240" s="3">
        <f t="shared" si="201"/>
        <v>7.8044740016632993E-3</v>
      </c>
      <c r="S240" s="3">
        <f t="shared" si="201"/>
        <v>7.8044740016632993E-3</v>
      </c>
      <c r="T240" s="3">
        <f t="shared" si="201"/>
        <v>7.8044740016632993E-3</v>
      </c>
      <c r="U240" s="3">
        <f t="shared" si="201"/>
        <v>7.8044740016632993E-3</v>
      </c>
      <c r="V240" s="3">
        <f t="shared" si="201"/>
        <v>7.8044740016632985E-3</v>
      </c>
      <c r="W240" s="3">
        <f t="shared" si="201"/>
        <v>7.8044740016632941E-3</v>
      </c>
      <c r="X240" s="3">
        <f t="shared" si="201"/>
        <v>7.8044740016632481E-3</v>
      </c>
      <c r="Y240" s="3">
        <f t="shared" si="201"/>
        <v>7.804474001662785E-3</v>
      </c>
      <c r="Z240" s="3">
        <f t="shared" si="201"/>
        <v>7.8044740016581507E-3</v>
      </c>
      <c r="AA240" s="3">
        <f t="shared" si="201"/>
        <v>7.8044740016118145E-3</v>
      </c>
      <c r="AB240" s="3">
        <f t="shared" si="201"/>
        <v>7.8044740011484507E-3</v>
      </c>
      <c r="AC240" s="3">
        <f t="shared" si="201"/>
        <v>7.8044739965148205E-3</v>
      </c>
      <c r="AD240" s="3">
        <f t="shared" si="201"/>
        <v>7.804473950178515E-3</v>
      </c>
      <c r="AE240" s="3">
        <f t="shared" si="201"/>
        <v>7.8044734868154657E-3</v>
      </c>
      <c r="AF240" s="3">
        <f t="shared" si="201"/>
        <v>7.8044688531864947E-3</v>
      </c>
      <c r="AG240" s="3"/>
      <c r="AH240" s="3"/>
    </row>
    <row r="241" spans="1:34" x14ac:dyDescent="0.25">
      <c r="A241" s="79">
        <f>AVERAGE(B241:AF241)</f>
        <v>1.4897781132511809E-2</v>
      </c>
      <c r="B241" s="80">
        <f>IF($A$64&lt;=B207,IF($B$64&gt;=B207,ABS((B209-B208)/B208),0),0)</f>
        <v>1.0856627605856794E-2</v>
      </c>
      <c r="C241" s="80">
        <f t="shared" ref="C241:AF241" si="202">IF($A$64&lt;=C207,IF($B$64&gt;=C207,ABS((C209-C208)/C208),0),0)</f>
        <v>2.2452527757355741E-2</v>
      </c>
      <c r="D241" s="80">
        <f t="shared" si="202"/>
        <v>2.2470626387647602E-2</v>
      </c>
      <c r="E241" s="80">
        <f t="shared" si="202"/>
        <v>2.2379972035748277E-2</v>
      </c>
      <c r="F241" s="80">
        <f t="shared" si="202"/>
        <v>2.150790325156007E-2</v>
      </c>
      <c r="G241" s="80">
        <f t="shared" si="202"/>
        <v>1.4025086256777324E-2</v>
      </c>
      <c r="H241" s="80">
        <f t="shared" si="202"/>
        <v>9.4167493709532025E-3</v>
      </c>
      <c r="I241" s="80">
        <f t="shared" si="202"/>
        <v>5.457593149764739E-3</v>
      </c>
      <c r="J241" s="80">
        <f t="shared" si="202"/>
        <v>5.3689057248114324E-3</v>
      </c>
      <c r="K241" s="80">
        <f t="shared" si="202"/>
        <v>4.4098375474657132E-3</v>
      </c>
      <c r="L241" s="80">
        <f t="shared" si="202"/>
        <v>5.2511984319293104E-3</v>
      </c>
      <c r="M241" s="80">
        <f t="shared" si="202"/>
        <v>5.2715081035283624E-3</v>
      </c>
      <c r="N241" s="80">
        <f t="shared" si="202"/>
        <v>5.6277736500552145E-3</v>
      </c>
      <c r="O241" s="80">
        <f t="shared" si="202"/>
        <v>5.3993503057528733E-3</v>
      </c>
      <c r="P241" s="80">
        <f t="shared" si="202"/>
        <v>5.7650787123607614E-3</v>
      </c>
      <c r="Q241" s="80">
        <f t="shared" si="202"/>
        <v>6.9475083577424952E-3</v>
      </c>
      <c r="R241" s="80">
        <f t="shared" si="202"/>
        <v>7.50157077310965E-3</v>
      </c>
      <c r="S241" s="80">
        <f t="shared" si="202"/>
        <v>4.9301933710842105E-3</v>
      </c>
      <c r="T241" s="80">
        <f t="shared" si="202"/>
        <v>5.4738319957460049E-3</v>
      </c>
      <c r="U241" s="80">
        <f t="shared" si="202"/>
        <v>2.0597053988008551E-2</v>
      </c>
      <c r="V241" s="80">
        <f t="shared" si="202"/>
        <v>3.4026412113689473E-2</v>
      </c>
      <c r="W241" s="80">
        <f t="shared" si="202"/>
        <v>3.9202715061189233E-2</v>
      </c>
      <c r="X241" s="80">
        <f t="shared" si="202"/>
        <v>3.507722218848279E-2</v>
      </c>
      <c r="Y241" s="80">
        <f t="shared" si="202"/>
        <v>2.4856154985626808E-2</v>
      </c>
      <c r="Z241" s="80">
        <f t="shared" si="202"/>
        <v>1.5249976756999604E-2</v>
      </c>
      <c r="AA241" s="80">
        <f t="shared" si="202"/>
        <v>6.8952612466484089E-3</v>
      </c>
      <c r="AB241" s="80">
        <f t="shared" si="202"/>
        <v>4.0410093546787689E-3</v>
      </c>
      <c r="AC241" s="80">
        <f t="shared" si="202"/>
        <v>5.1022978223996948E-3</v>
      </c>
      <c r="AD241" s="80">
        <f t="shared" si="202"/>
        <v>1.7472656940239979E-2</v>
      </c>
      <c r="AE241" s="80">
        <f t="shared" si="202"/>
        <v>3.0237610422985461E-2</v>
      </c>
      <c r="AF241" s="80">
        <f t="shared" si="202"/>
        <v>3.8559001437667467E-2</v>
      </c>
    </row>
    <row r="242" spans="1:34" x14ac:dyDescent="0.25">
      <c r="B242" s="21">
        <f>(B209-B208)^2</f>
        <v>3715.0049948488268</v>
      </c>
      <c r="C242" s="21">
        <f t="shared" ref="C242:AF242" si="203">(C209-C208)^2</f>
        <v>15889.279836541731</v>
      </c>
      <c r="D242" s="21">
        <f t="shared" si="203"/>
        <v>15914.471058563668</v>
      </c>
      <c r="E242" s="21">
        <f t="shared" si="203"/>
        <v>15783.137946346229</v>
      </c>
      <c r="F242" s="21">
        <f t="shared" si="203"/>
        <v>14548.751028468143</v>
      </c>
      <c r="G242" s="21">
        <f t="shared" si="203"/>
        <v>6083.1219764399493</v>
      </c>
      <c r="H242" s="21">
        <f t="shared" si="203"/>
        <v>2577.8263099007886</v>
      </c>
      <c r="I242" s="21">
        <f t="shared" si="203"/>
        <v>828.41211556485962</v>
      </c>
      <c r="J242" s="21">
        <f t="shared" si="203"/>
        <v>769.61234212059003</v>
      </c>
      <c r="K242" s="21">
        <f t="shared" si="203"/>
        <v>495.24434383148582</v>
      </c>
      <c r="L242" s="21">
        <f t="shared" si="203"/>
        <v>667.66908675540253</v>
      </c>
      <c r="M242" s="21">
        <f t="shared" si="203"/>
        <v>634.56333102340591</v>
      </c>
      <c r="N242" s="21">
        <f t="shared" si="203"/>
        <v>677.4298777904811</v>
      </c>
      <c r="O242" s="21">
        <f t="shared" si="203"/>
        <v>581.05547305037067</v>
      </c>
      <c r="P242" s="21">
        <f t="shared" si="203"/>
        <v>617.78943064076122</v>
      </c>
      <c r="Q242" s="21">
        <f t="shared" si="203"/>
        <v>832.37110159838846</v>
      </c>
      <c r="R242" s="21">
        <f t="shared" si="203"/>
        <v>881.55216906691555</v>
      </c>
      <c r="S242" s="21">
        <f t="shared" si="203"/>
        <v>338.28513540970562</v>
      </c>
      <c r="T242" s="21">
        <f t="shared" si="203"/>
        <v>367.05949075239334</v>
      </c>
      <c r="U242" s="21">
        <f t="shared" si="203"/>
        <v>4590.2342745041569</v>
      </c>
      <c r="V242" s="21">
        <f t="shared" si="203"/>
        <v>11020.893254864779</v>
      </c>
      <c r="W242" s="21">
        <f t="shared" si="203"/>
        <v>12972.876558674916</v>
      </c>
      <c r="X242" s="21">
        <f t="shared" si="203"/>
        <v>9189.8020646980385</v>
      </c>
      <c r="Y242" s="21">
        <f t="shared" si="203"/>
        <v>4074.9522764056142</v>
      </c>
      <c r="Z242" s="21">
        <f t="shared" si="203"/>
        <v>1324.098077609787</v>
      </c>
      <c r="AA242" s="21">
        <f t="shared" si="203"/>
        <v>229.44037751558736</v>
      </c>
      <c r="AB242" s="21">
        <f t="shared" si="203"/>
        <v>64.498899359740577</v>
      </c>
      <c r="AC242" s="21">
        <f t="shared" si="203"/>
        <v>80.314693605973318</v>
      </c>
      <c r="AD242" s="21">
        <f t="shared" si="203"/>
        <v>676.37035986080559</v>
      </c>
      <c r="AE242" s="21">
        <f t="shared" si="203"/>
        <v>1285.3634328115747</v>
      </c>
      <c r="AF242" s="21">
        <f t="shared" si="203"/>
        <v>1144.745617800862</v>
      </c>
      <c r="AG242" s="3"/>
      <c r="AH242" s="3"/>
    </row>
    <row r="243" spans="1:34" x14ac:dyDescent="0.25">
      <c r="A243" s="71">
        <f>SUM(B243:AF243)</f>
        <v>128856.22693642588</v>
      </c>
      <c r="B243" s="60">
        <f>IF($A$64&lt;=B207,IF($B$64&gt;=B207,ABS(B242),0),0)</f>
        <v>3715.0049948488268</v>
      </c>
      <c r="C243" s="60">
        <f t="shared" ref="C243" si="204">IF($A$64&lt;=C207,IF($B$64&gt;=C207,ABS(C242),0),0)</f>
        <v>15889.279836541731</v>
      </c>
      <c r="D243" s="60">
        <f t="shared" ref="D243" si="205">IF($A$64&lt;=D207,IF($B$64&gt;=D207,ABS(D242),0),0)</f>
        <v>15914.471058563668</v>
      </c>
      <c r="E243" s="60">
        <f t="shared" ref="E243" si="206">IF($A$64&lt;=E207,IF($B$64&gt;=E207,ABS(E242),0),0)</f>
        <v>15783.137946346229</v>
      </c>
      <c r="F243" s="60">
        <f t="shared" ref="F243" si="207">IF($A$64&lt;=F207,IF($B$64&gt;=F207,ABS(F242),0),0)</f>
        <v>14548.751028468143</v>
      </c>
      <c r="G243" s="60">
        <f t="shared" ref="G243" si="208">IF($A$64&lt;=G207,IF($B$64&gt;=G207,ABS(G242),0),0)</f>
        <v>6083.1219764399493</v>
      </c>
      <c r="H243" s="60">
        <f t="shared" ref="H243" si="209">IF($A$64&lt;=H207,IF($B$64&gt;=H207,ABS(H242),0),0)</f>
        <v>2577.8263099007886</v>
      </c>
      <c r="I243" s="60">
        <f t="shared" ref="I243" si="210">IF($A$64&lt;=I207,IF($B$64&gt;=I207,ABS(I242),0),0)</f>
        <v>828.41211556485962</v>
      </c>
      <c r="J243" s="60">
        <f t="shared" ref="J243" si="211">IF($A$64&lt;=J207,IF($B$64&gt;=J207,ABS(J242),0),0)</f>
        <v>769.61234212059003</v>
      </c>
      <c r="K243" s="60">
        <f t="shared" ref="K243" si="212">IF($A$64&lt;=K207,IF($B$64&gt;=K207,ABS(K242),0),0)</f>
        <v>495.24434383148582</v>
      </c>
      <c r="L243" s="60">
        <f t="shared" ref="L243" si="213">IF($A$64&lt;=L207,IF($B$64&gt;=L207,ABS(L242),0),0)</f>
        <v>667.66908675540253</v>
      </c>
      <c r="M243" s="60">
        <f t="shared" ref="M243" si="214">IF($A$64&lt;=M207,IF($B$64&gt;=M207,ABS(M242),0),0)</f>
        <v>634.56333102340591</v>
      </c>
      <c r="N243" s="60">
        <f t="shared" ref="N243" si="215">IF($A$64&lt;=N207,IF($B$64&gt;=N207,ABS(N242),0),0)</f>
        <v>677.4298777904811</v>
      </c>
      <c r="O243" s="60">
        <f t="shared" ref="O243" si="216">IF($A$64&lt;=O207,IF($B$64&gt;=O207,ABS(O242),0),0)</f>
        <v>581.05547305037067</v>
      </c>
      <c r="P243" s="60">
        <f t="shared" ref="P243" si="217">IF($A$64&lt;=P207,IF($B$64&gt;=P207,ABS(P242),0),0)</f>
        <v>617.78943064076122</v>
      </c>
      <c r="Q243" s="60">
        <f t="shared" ref="Q243" si="218">IF($A$64&lt;=Q207,IF($B$64&gt;=Q207,ABS(Q242),0),0)</f>
        <v>832.37110159838846</v>
      </c>
      <c r="R243" s="60">
        <f t="shared" ref="R243" si="219">IF($A$64&lt;=R207,IF($B$64&gt;=R207,ABS(R242),0),0)</f>
        <v>881.55216906691555</v>
      </c>
      <c r="S243" s="60">
        <f t="shared" ref="S243" si="220">IF($A$64&lt;=S207,IF($B$64&gt;=S207,ABS(S242),0),0)</f>
        <v>338.28513540970562</v>
      </c>
      <c r="T243" s="60">
        <f t="shared" ref="T243" si="221">IF($A$64&lt;=T207,IF($B$64&gt;=T207,ABS(T242),0),0)</f>
        <v>367.05949075239334</v>
      </c>
      <c r="U243" s="60">
        <f t="shared" ref="U243" si="222">IF($A$64&lt;=U207,IF($B$64&gt;=U207,ABS(U242),0),0)</f>
        <v>4590.2342745041569</v>
      </c>
      <c r="V243" s="60">
        <f t="shared" ref="V243" si="223">IF($A$64&lt;=V207,IF($B$64&gt;=V207,ABS(V242),0),0)</f>
        <v>11020.893254864779</v>
      </c>
      <c r="W243" s="60">
        <f t="shared" ref="W243" si="224">IF($A$64&lt;=W207,IF($B$64&gt;=W207,ABS(W242),0),0)</f>
        <v>12972.876558674916</v>
      </c>
      <c r="X243" s="60">
        <f t="shared" ref="X243" si="225">IF($A$64&lt;=X207,IF($B$64&gt;=X207,ABS(X242),0),0)</f>
        <v>9189.8020646980385</v>
      </c>
      <c r="Y243" s="60">
        <f t="shared" ref="Y243" si="226">IF($A$64&lt;=Y207,IF($B$64&gt;=Y207,ABS(Y242),0),0)</f>
        <v>4074.9522764056142</v>
      </c>
      <c r="Z243" s="60">
        <f t="shared" ref="Z243" si="227">IF($A$64&lt;=Z207,IF($B$64&gt;=Z207,ABS(Z242),0),0)</f>
        <v>1324.098077609787</v>
      </c>
      <c r="AA243" s="60">
        <f t="shared" ref="AA243" si="228">IF($A$64&lt;=AA207,IF($B$64&gt;=AA207,ABS(AA242),0),0)</f>
        <v>229.44037751558736</v>
      </c>
      <c r="AB243" s="60">
        <f t="shared" ref="AB243" si="229">IF($A$64&lt;=AB207,IF($B$64&gt;=AB207,ABS(AB242),0),0)</f>
        <v>64.498899359740577</v>
      </c>
      <c r="AC243" s="60">
        <f t="shared" ref="AC243" si="230">IF($A$64&lt;=AC207,IF($B$64&gt;=AC207,ABS(AC242),0),0)</f>
        <v>80.314693605973318</v>
      </c>
      <c r="AD243" s="60">
        <f t="shared" ref="AD243" si="231">IF($A$64&lt;=AD207,IF($B$64&gt;=AD207,ABS(AD242),0),0)</f>
        <v>676.37035986080559</v>
      </c>
      <c r="AE243" s="60">
        <f t="shared" ref="AE243" si="232">IF($A$64&lt;=AE207,IF($B$64&gt;=AE207,ABS(AE242),0),0)</f>
        <v>1285.3634328115747</v>
      </c>
      <c r="AF243" s="60">
        <f t="shared" ref="AF243" si="233">IF($A$64&lt;=AF207,IF($B$64&gt;=AF207,ABS(AF242),0),0)</f>
        <v>1144.745617800862</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5608.5595412821331</v>
      </c>
      <c r="C247" s="26">
        <f>INDEX(Comparison!$AM$3:$AS$33,G$14,$E$122)</f>
        <v>5607.5578036030483</v>
      </c>
      <c r="D247" s="26">
        <f>INDEX(Comparison!$AM$3:$AS$33,H$14,$E$122)</f>
        <v>5597.5650860558781</v>
      </c>
      <c r="E247" s="26">
        <f>INDEX(Comparison!$AM$3:$AS$33,I$14,$E$122)</f>
        <v>5515.87592015054</v>
      </c>
      <c r="F247" s="26">
        <f>INDEX(Comparison!$AM$3:$AS$33,J$14,$E$122)</f>
        <v>5354.4297457358771</v>
      </c>
      <c r="G247" s="26">
        <f>INDEX(Comparison!$AM$3:$AS$33,K$14,$E$122)</f>
        <v>5243.0021702463746</v>
      </c>
      <c r="H247" s="26">
        <f>INDEX(Comparison!$AM$3:$AS$33,L$14,$E$122)</f>
        <v>5133.7176502815901</v>
      </c>
      <c r="I247" s="26">
        <f>INDEX(Comparison!$AM$3:$AS$33,M$14,$E$122)</f>
        <v>5011.8758976932013</v>
      </c>
      <c r="J247" s="26">
        <f>INDEX(Comparison!$AM$3:$AS$33,N$14,$E$122)</f>
        <v>4882.7230333645084</v>
      </c>
      <c r="K247" s="26">
        <f>INDEX(Comparison!$AM$3:$AS$33,O$14,$E$122)</f>
        <v>4737.6825060207148</v>
      </c>
      <c r="L247" s="26">
        <f>INDEX(Comparison!$AM$3:$AS$33,P$14,$E$122)</f>
        <v>4581.7042756516666</v>
      </c>
      <c r="M247" s="26">
        <f>INDEX(Comparison!$AM$3:$AS$33,Q$14,$E$122)</f>
        <v>4422.8560767502513</v>
      </c>
      <c r="N247" s="26">
        <f>INDEX(Comparison!$AM$3:$AS$33,R$14,$E$122)</f>
        <v>4270.4317526073974</v>
      </c>
      <c r="O247" s="26">
        <f>INDEX(Comparison!$AM$3:$AS$33,S$14,$E$122)</f>
        <v>4104.9210309366072</v>
      </c>
      <c r="P247" s="26">
        <f>INDEX(Comparison!$AM$3:$AS$33,T$14,$E$122)</f>
        <v>3904.1870554469519</v>
      </c>
      <c r="Q247" s="26">
        <f>INDEX(Comparison!$AM$3:$AS$33,U$14,$E$122)</f>
        <v>3689.3430627142566</v>
      </c>
      <c r="R247" s="26">
        <f>INDEX(Comparison!$AM$3:$AS$33,V$14,$E$122)</f>
        <v>3495.8611800317371</v>
      </c>
      <c r="S247" s="26">
        <f>INDEX(Comparison!$AM$3:$AS$33,W$14,$E$122)</f>
        <v>3307.8943029856523</v>
      </c>
      <c r="T247" s="26">
        <f>INDEX(Comparison!$AM$3:$AS$33,X$14,$E$122)</f>
        <v>3103.7900841852515</v>
      </c>
      <c r="U247" s="26">
        <f>INDEX(Comparison!$AM$3:$AS$33,Y$14,$E$122)</f>
        <v>2911.6115267339505</v>
      </c>
      <c r="V247" s="26">
        <f>INDEX(Comparison!$AM$3:$AS$33,Z$14,$E$122)</f>
        <v>2729.2195894835777</v>
      </c>
      <c r="W247" s="26">
        <f>INDEX(Comparison!$AM$3:$AS$33,AA$14,$E$122)</f>
        <v>2550.726219448276</v>
      </c>
      <c r="X247" s="26">
        <f>INDEX(Comparison!$AM$3:$AS$33,AB$14,$E$122)</f>
        <v>2358.1438044871866</v>
      </c>
      <c r="Y247" s="26">
        <f>INDEX(Comparison!$AM$3:$AS$33,AC$14,$E$122)</f>
        <v>2158.239452794789</v>
      </c>
      <c r="Z247" s="26">
        <f>INDEX(Comparison!$AM$3:$AS$33,AD$14,$E$122)</f>
        <v>1939.4329282086981</v>
      </c>
      <c r="AA247" s="26">
        <f>INDEX(Comparison!$AM$3:$AS$33,AE$14,$E$122)</f>
        <v>1697.1946565213088</v>
      </c>
      <c r="AB247" s="26">
        <f>INDEX(Comparison!$AM$3:$AS$33,AF$14,$E$122)</f>
        <v>1417.4356606109552</v>
      </c>
      <c r="AC247" s="26">
        <f>INDEX(Comparison!$AM$3:$AS$33,AG$14,$E$122)</f>
        <v>1107.9541803332813</v>
      </c>
      <c r="AD247" s="26">
        <f>INDEX(Comparison!$AM$3:$AS$33,AH$14,$E$122)</f>
        <v>805.95331833639966</v>
      </c>
      <c r="AE247" s="26">
        <f>INDEX(Comparison!$AM$3:$AS$33,AI$14,$E$122)</f>
        <v>565.79561192848462</v>
      </c>
      <c r="AF247" s="26">
        <f>INDEX(Comparison!$AM$3:$AS$33,AJ$14,$E$122)</f>
        <v>408.65393596789795</v>
      </c>
      <c r="AG247" s="26"/>
      <c r="AH247" s="26"/>
    </row>
    <row r="248" spans="1:34" x14ac:dyDescent="0.25">
      <c r="A248" s="70" t="s">
        <v>22</v>
      </c>
      <c r="B248" s="27">
        <f>($C$17+SUM(B249:B279))*$B$51</f>
        <v>5487.9538819937861</v>
      </c>
      <c r="C248" s="27">
        <f t="shared" ref="C248:AF248" si="234">($C$17+SUM(C249:C279))*$B$51</f>
        <v>5487.8766442515107</v>
      </c>
      <c r="D248" s="27">
        <f t="shared" si="234"/>
        <v>5487.1053673153519</v>
      </c>
      <c r="E248" s="27">
        <f t="shared" si="234"/>
        <v>5479.501578833384</v>
      </c>
      <c r="F248" s="27">
        <f t="shared" si="234"/>
        <v>5413.3681522027409</v>
      </c>
      <c r="G248" s="27">
        <f t="shared" si="234"/>
        <v>5200.8365973784266</v>
      </c>
      <c r="H248" s="27">
        <f t="shared" si="234"/>
        <v>5118.0879590249833</v>
      </c>
      <c r="I248" s="27">
        <f t="shared" si="234"/>
        <v>4989.8081283584434</v>
      </c>
      <c r="J248" s="27">
        <f t="shared" si="234"/>
        <v>4859.9305275430597</v>
      </c>
      <c r="K248" s="27">
        <f t="shared" si="234"/>
        <v>4712.8981966769807</v>
      </c>
      <c r="L248" s="27">
        <f t="shared" si="234"/>
        <v>4555.9769238878507</v>
      </c>
      <c r="M248" s="27">
        <f t="shared" si="234"/>
        <v>4397.8487674052176</v>
      </c>
      <c r="N248" s="27">
        <f t="shared" si="234"/>
        <v>4245.9464834496102</v>
      </c>
      <c r="O248" s="27">
        <f t="shared" si="234"/>
        <v>4076.250987477722</v>
      </c>
      <c r="P248" s="27">
        <f t="shared" si="234"/>
        <v>3872.1853469261964</v>
      </c>
      <c r="Q248" s="27">
        <f t="shared" si="234"/>
        <v>3660.2578318850028</v>
      </c>
      <c r="R248" s="27">
        <f t="shared" si="234"/>
        <v>3480.5392264187203</v>
      </c>
      <c r="S248" s="27">
        <f t="shared" si="234"/>
        <v>3318.0210733691988</v>
      </c>
      <c r="T248" s="27">
        <f t="shared" si="234"/>
        <v>3152.8989466559669</v>
      </c>
      <c r="U248" s="27">
        <f t="shared" si="234"/>
        <v>2977.9638463262577</v>
      </c>
      <c r="V248" s="27">
        <f t="shared" si="234"/>
        <v>2787.4395644313386</v>
      </c>
      <c r="W248" s="27">
        <f t="shared" si="234"/>
        <v>2588.1204460520439</v>
      </c>
      <c r="X248" s="27">
        <f t="shared" si="234"/>
        <v>2379.23169693316</v>
      </c>
      <c r="Y248" s="27">
        <f t="shared" si="234"/>
        <v>2163.1958501837944</v>
      </c>
      <c r="Z248" s="27">
        <f t="shared" si="234"/>
        <v>1934.1200955219454</v>
      </c>
      <c r="AA248" s="27">
        <f t="shared" si="234"/>
        <v>1674.2283979101041</v>
      </c>
      <c r="AB248" s="27">
        <f t="shared" si="234"/>
        <v>1384.5640961197337</v>
      </c>
      <c r="AC248" s="27">
        <f t="shared" si="234"/>
        <v>1070.9784730296794</v>
      </c>
      <c r="AD248" s="27">
        <f t="shared" si="234"/>
        <v>772.16796656821191</v>
      </c>
      <c r="AE248" s="27">
        <f t="shared" si="234"/>
        <v>542.12805858344439</v>
      </c>
      <c r="AF248" s="27">
        <f t="shared" si="234"/>
        <v>394.91917740688393</v>
      </c>
      <c r="AG248" s="27"/>
      <c r="AH248" s="27"/>
    </row>
    <row r="249" spans="1:34" x14ac:dyDescent="0.25">
      <c r="B249" s="3">
        <f t="shared" ref="B249:AF249" si="235">$C18*EXP(-B$246/$A18/EXP(-$E$126))</f>
        <v>3.3810015366199436E-52</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5.0925368184748125E-2</v>
      </c>
      <c r="C250" s="3">
        <f t="shared" si="236"/>
        <v>5.0911901387626517E-2</v>
      </c>
      <c r="D250" s="3">
        <f t="shared" si="236"/>
        <v>5.0777429126247546E-2</v>
      </c>
      <c r="E250" s="3">
        <f t="shared" si="236"/>
        <v>4.9452087328849224E-2</v>
      </c>
      <c r="F250" s="3">
        <f t="shared" si="236"/>
        <v>3.7959791295088585E-2</v>
      </c>
      <c r="G250" s="3">
        <f t="shared" si="236"/>
        <v>2.6959740078668789E-3</v>
      </c>
      <c r="H250" s="3">
        <f t="shared" si="236"/>
        <v>8.8030779813147683E-15</v>
      </c>
      <c r="I250" s="3">
        <f t="shared" si="236"/>
        <v>1.2128945127503057E-129</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9.6936893353226222E-3</v>
      </c>
      <c r="C251" s="3">
        <f t="shared" si="237"/>
        <v>9.6934580659743322E-3</v>
      </c>
      <c r="D251" s="3">
        <f t="shared" si="237"/>
        <v>9.6911456759355072E-3</v>
      </c>
      <c r="E251" s="3">
        <f t="shared" si="237"/>
        <v>9.6680520931854193E-3</v>
      </c>
      <c r="F251" s="3">
        <f t="shared" si="237"/>
        <v>9.4401214366539934E-3</v>
      </c>
      <c r="G251" s="3">
        <f t="shared" si="237"/>
        <v>7.4364142354078145E-3</v>
      </c>
      <c r="H251" s="3">
        <f t="shared" si="237"/>
        <v>6.8426369570684885E-4</v>
      </c>
      <c r="I251" s="3">
        <f t="shared" si="237"/>
        <v>2.9773010451425637E-14</v>
      </c>
      <c r="J251" s="3">
        <f t="shared" si="237"/>
        <v>7.241278683833215E-118</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2.5359178305707157E-2</v>
      </c>
      <c r="C252" s="3">
        <f t="shared" si="238"/>
        <v>2.5359123727978113E-2</v>
      </c>
      <c r="D252" s="3">
        <f t="shared" si="238"/>
        <v>2.5358577957148045E-2</v>
      </c>
      <c r="E252" s="3">
        <f t="shared" si="238"/>
        <v>2.5353120894830286E-2</v>
      </c>
      <c r="F252" s="3">
        <f t="shared" si="238"/>
        <v>2.5298614818535757E-2</v>
      </c>
      <c r="G252" s="3">
        <f t="shared" si="238"/>
        <v>2.4759957639089905E-2</v>
      </c>
      <c r="H252" s="3">
        <f t="shared" si="238"/>
        <v>1.9965557554179045E-2</v>
      </c>
      <c r="I252" s="3">
        <f t="shared" si="238"/>
        <v>2.3205818791757196E-3</v>
      </c>
      <c r="J252" s="3">
        <f t="shared" si="238"/>
        <v>1.0441224546533405E-12</v>
      </c>
      <c r="K252" s="3">
        <f t="shared" si="238"/>
        <v>3.5505597574022621E-106</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2.3102406304319076E-2</v>
      </c>
      <c r="C253" s="3">
        <f t="shared" si="239"/>
        <v>2.3102401819091154E-2</v>
      </c>
      <c r="D253" s="3">
        <f t="shared" si="239"/>
        <v>2.3102356966859815E-2</v>
      </c>
      <c r="E253" s="3">
        <f t="shared" si="239"/>
        <v>2.3101908449335705E-2</v>
      </c>
      <c r="F253" s="3">
        <f t="shared" si="239"/>
        <v>2.3097423752989246E-2</v>
      </c>
      <c r="G253" s="3">
        <f t="shared" si="239"/>
        <v>2.3052624644601349E-2</v>
      </c>
      <c r="H253" s="3">
        <f t="shared" si="239"/>
        <v>2.2609384870047381E-2</v>
      </c>
      <c r="I253" s="3">
        <f t="shared" si="239"/>
        <v>1.8619689087760682E-2</v>
      </c>
      <c r="J253" s="3">
        <f t="shared" si="239"/>
        <v>2.6718323629555136E-3</v>
      </c>
      <c r="K253" s="3">
        <f t="shared" si="239"/>
        <v>9.8895610914832704E-12</v>
      </c>
      <c r="L253" s="3">
        <f t="shared" si="239"/>
        <v>4.7737001216493212E-96</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2.7648232974513874E-2</v>
      </c>
      <c r="C254" s="3">
        <f t="shared" si="240"/>
        <v>2.7648232490295448E-2</v>
      </c>
      <c r="D254" s="3">
        <f t="shared" si="240"/>
        <v>2.7648227648111683E-2</v>
      </c>
      <c r="E254" s="3">
        <f t="shared" si="240"/>
        <v>2.7648179226320652E-2</v>
      </c>
      <c r="F254" s="3">
        <f t="shared" si="240"/>
        <v>2.7647695013074521E-2</v>
      </c>
      <c r="G254" s="3">
        <f t="shared" si="240"/>
        <v>2.7642853347000469E-2</v>
      </c>
      <c r="H254" s="3">
        <f t="shared" si="240"/>
        <v>2.7594483294776963E-2</v>
      </c>
      <c r="I254" s="3">
        <f t="shared" si="240"/>
        <v>2.7115413562845331E-2</v>
      </c>
      <c r="J254" s="3">
        <f t="shared" si="240"/>
        <v>2.2759142543544046E-2</v>
      </c>
      <c r="K254" s="3">
        <f t="shared" si="240"/>
        <v>3.9495946693780823E-3</v>
      </c>
      <c r="L254" s="3">
        <f t="shared" si="240"/>
        <v>9.7840542008167036E-11</v>
      </c>
      <c r="M254" s="3">
        <f t="shared" si="240"/>
        <v>8.5149493368428562E-87</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2.9569052689873965E-2</v>
      </c>
      <c r="C255" s="3">
        <f t="shared" si="241"/>
        <v>2.9569052643158796E-2</v>
      </c>
      <c r="D255" s="3">
        <f t="shared" si="241"/>
        <v>2.95690521760071E-2</v>
      </c>
      <c r="E255" s="3">
        <f t="shared" si="241"/>
        <v>2.9569047504490537E-2</v>
      </c>
      <c r="F255" s="3">
        <f t="shared" si="241"/>
        <v>2.9569000789365498E-2</v>
      </c>
      <c r="G255" s="3">
        <f t="shared" si="241"/>
        <v>2.956853364217429E-2</v>
      </c>
      <c r="H255" s="3">
        <f t="shared" si="241"/>
        <v>2.9563862576156532E-2</v>
      </c>
      <c r="I255" s="3">
        <f t="shared" si="241"/>
        <v>2.951719248169132E-2</v>
      </c>
      <c r="J255" s="3">
        <f t="shared" si="241"/>
        <v>2.905452449543253E-2</v>
      </c>
      <c r="K255" s="3">
        <f t="shared" si="241"/>
        <v>2.4808529393235242E-2</v>
      </c>
      <c r="L255" s="3">
        <f t="shared" si="241"/>
        <v>5.1106190201260851E-3</v>
      </c>
      <c r="M255" s="3">
        <f t="shared" si="241"/>
        <v>7.0339352828554058E-10</v>
      </c>
      <c r="N255" s="3">
        <f t="shared" si="241"/>
        <v>1.7157222394705231E-78</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2.9954793945209661E-2</v>
      </c>
      <c r="C256" s="3">
        <f t="shared" si="242"/>
        <v>2.995479394094059E-2</v>
      </c>
      <c r="D256" s="3">
        <f t="shared" si="242"/>
        <v>2.9954793898249871E-2</v>
      </c>
      <c r="E256" s="3">
        <f t="shared" si="242"/>
        <v>2.9954793471342701E-2</v>
      </c>
      <c r="F256" s="3">
        <f t="shared" si="242"/>
        <v>2.9954789202271351E-2</v>
      </c>
      <c r="G256" s="3">
        <f t="shared" si="242"/>
        <v>2.9954746511591319E-2</v>
      </c>
      <c r="H256" s="3">
        <f t="shared" si="242"/>
        <v>2.9954319608137263E-2</v>
      </c>
      <c r="I256" s="3">
        <f t="shared" si="242"/>
        <v>2.9950050908205846E-2</v>
      </c>
      <c r="J256" s="3">
        <f t="shared" si="242"/>
        <v>2.990739735216881E-2</v>
      </c>
      <c r="K256" s="3">
        <f t="shared" si="242"/>
        <v>2.9484188551448354E-2</v>
      </c>
      <c r="L256" s="3">
        <f t="shared" si="242"/>
        <v>2.5567882987311861E-2</v>
      </c>
      <c r="M256" s="3">
        <f t="shared" si="242"/>
        <v>6.1482380202352287E-3</v>
      </c>
      <c r="N256" s="3">
        <f t="shared" si="242"/>
        <v>3.9747488648547264E-9</v>
      </c>
      <c r="O256" s="3">
        <f t="shared" si="242"/>
        <v>5.0687387939929301E-71</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2.7077191993195884E-2</v>
      </c>
      <c r="C257" s="3">
        <f t="shared" si="243"/>
        <v>2.7077191992847777E-2</v>
      </c>
      <c r="D257" s="3">
        <f t="shared" si="243"/>
        <v>2.7077191989366665E-2</v>
      </c>
      <c r="E257" s="3">
        <f t="shared" si="243"/>
        <v>2.7077191954555602E-2</v>
      </c>
      <c r="F257" s="3">
        <f t="shared" si="243"/>
        <v>2.7077191606444936E-2</v>
      </c>
      <c r="G257" s="3">
        <f t="shared" si="243"/>
        <v>2.7077188125338554E-2</v>
      </c>
      <c r="H257" s="3">
        <f t="shared" si="243"/>
        <v>2.7077153314299322E-2</v>
      </c>
      <c r="I257" s="3">
        <f t="shared" si="243"/>
        <v>2.7076805206368442E-2</v>
      </c>
      <c r="J257" s="3">
        <f t="shared" si="243"/>
        <v>2.7073324373193174E-2</v>
      </c>
      <c r="K257" s="3">
        <f t="shared" si="243"/>
        <v>2.7038540643088915E-2</v>
      </c>
      <c r="L257" s="3">
        <f t="shared" si="243"/>
        <v>2.6693151844496665E-2</v>
      </c>
      <c r="M257" s="3">
        <f t="shared" si="243"/>
        <v>2.3472856850044622E-2</v>
      </c>
      <c r="N257" s="3">
        <f t="shared" si="243"/>
        <v>6.489733796842076E-3</v>
      </c>
      <c r="O257" s="3">
        <f t="shared" si="243"/>
        <v>1.6936989118750917E-8</v>
      </c>
      <c r="P257" s="3">
        <f t="shared" si="243"/>
        <v>2.4827298496782476E-64</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3.1999713533515536E-2</v>
      </c>
      <c r="C258" s="3">
        <f t="shared" si="244"/>
        <v>3.199971353347842E-2</v>
      </c>
      <c r="D258" s="3">
        <f t="shared" si="244"/>
        <v>3.1999713533107307E-2</v>
      </c>
      <c r="E258" s="3">
        <f t="shared" si="244"/>
        <v>3.1999713529396179E-2</v>
      </c>
      <c r="F258" s="3">
        <f t="shared" si="244"/>
        <v>3.1999713492284858E-2</v>
      </c>
      <c r="G258" s="3">
        <f t="shared" si="244"/>
        <v>3.1999713121171676E-2</v>
      </c>
      <c r="H258" s="3">
        <f t="shared" si="244"/>
        <v>3.1999709410040066E-2</v>
      </c>
      <c r="I258" s="3">
        <f t="shared" si="244"/>
        <v>3.1999672298747645E-2</v>
      </c>
      <c r="J258" s="3">
        <f t="shared" si="244"/>
        <v>3.199930118819061E-2</v>
      </c>
      <c r="K258" s="3">
        <f t="shared" si="244"/>
        <v>3.1995590319325903E-2</v>
      </c>
      <c r="L258" s="3">
        <f t="shared" si="244"/>
        <v>3.1958505291092183E-2</v>
      </c>
      <c r="M258" s="3">
        <f t="shared" si="244"/>
        <v>3.159001092874239E-2</v>
      </c>
      <c r="N258" s="3">
        <f t="shared" si="244"/>
        <v>2.8130855982364113E-2</v>
      </c>
      <c r="O258" s="3">
        <f t="shared" si="244"/>
        <v>8.8209357583033908E-3</v>
      </c>
      <c r="P258" s="3">
        <f t="shared" si="244"/>
        <v>8.1064699589107376E-8</v>
      </c>
      <c r="Q258" s="3">
        <f t="shared" si="244"/>
        <v>3.4833969084837694E-58</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4.0927045287238811E-2</v>
      </c>
      <c r="C259" s="3">
        <f t="shared" si="245"/>
        <v>4.092704528723453E-2</v>
      </c>
      <c r="D259" s="3">
        <f t="shared" si="245"/>
        <v>4.0927045287191717E-2</v>
      </c>
      <c r="E259" s="3">
        <f t="shared" si="245"/>
        <v>4.0927045286763546E-2</v>
      </c>
      <c r="F259" s="3">
        <f t="shared" si="245"/>
        <v>4.0927045282481832E-2</v>
      </c>
      <c r="G259" s="3">
        <f t="shared" si="245"/>
        <v>4.0927045239664735E-2</v>
      </c>
      <c r="H259" s="3">
        <f t="shared" si="245"/>
        <v>4.0927044811493708E-2</v>
      </c>
      <c r="I259" s="3">
        <f t="shared" si="245"/>
        <v>4.092704052978368E-2</v>
      </c>
      <c r="J259" s="3">
        <f t="shared" si="245"/>
        <v>4.0926997712708073E-2</v>
      </c>
      <c r="K259" s="3">
        <f t="shared" si="245"/>
        <v>4.0926569544415689E-2</v>
      </c>
      <c r="L259" s="3">
        <f t="shared" si="245"/>
        <v>4.0922288107850723E-2</v>
      </c>
      <c r="M259" s="3">
        <f t="shared" si="245"/>
        <v>4.087949836855298E-2</v>
      </c>
      <c r="N259" s="3">
        <f t="shared" si="245"/>
        <v>4.0454054104849459E-2</v>
      </c>
      <c r="O259" s="3">
        <f t="shared" si="245"/>
        <v>3.6435688563877106E-2</v>
      </c>
      <c r="P259" s="3">
        <f t="shared" si="245"/>
        <v>1.2799007223720339E-2</v>
      </c>
      <c r="Q259" s="3">
        <f t="shared" si="245"/>
        <v>3.6615866277717476E-7</v>
      </c>
      <c r="R259" s="3">
        <f t="shared" si="245"/>
        <v>1.3446201192275404E-52</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4.0580339082525688E-2</v>
      </c>
      <c r="C260" s="3">
        <f t="shared" si="246"/>
        <v>4.0580339082525306E-2</v>
      </c>
      <c r="D260" s="3">
        <f t="shared" si="246"/>
        <v>4.0580339082521476E-2</v>
      </c>
      <c r="E260" s="3">
        <f t="shared" si="246"/>
        <v>4.0580339082483173E-2</v>
      </c>
      <c r="F260" s="3">
        <f t="shared" si="246"/>
        <v>4.0580339082100202E-2</v>
      </c>
      <c r="G260" s="3">
        <f t="shared" si="246"/>
        <v>4.0580339078270466E-2</v>
      </c>
      <c r="H260" s="3">
        <f t="shared" si="246"/>
        <v>4.058033903997308E-2</v>
      </c>
      <c r="I260" s="3">
        <f t="shared" si="246"/>
        <v>4.0580338656999206E-2</v>
      </c>
      <c r="J260" s="3">
        <f t="shared" si="246"/>
        <v>4.0580334827260665E-2</v>
      </c>
      <c r="K260" s="3">
        <f t="shared" si="246"/>
        <v>4.0580296529895178E-2</v>
      </c>
      <c r="L260" s="3">
        <f t="shared" si="246"/>
        <v>4.0579913558228153E-2</v>
      </c>
      <c r="M260" s="3">
        <f t="shared" si="246"/>
        <v>4.057608404033599E-2</v>
      </c>
      <c r="N260" s="3">
        <f t="shared" si="246"/>
        <v>4.0537808732281994E-2</v>
      </c>
      <c r="O260" s="3">
        <f t="shared" si="246"/>
        <v>4.015703581738575E-2</v>
      </c>
      <c r="P260" s="3">
        <f t="shared" si="246"/>
        <v>3.6540579893531079E-2</v>
      </c>
      <c r="Q260" s="3">
        <f t="shared" si="246"/>
        <v>1.4220448968001771E-2</v>
      </c>
      <c r="R260" s="3">
        <f t="shared" si="246"/>
        <v>1.1331620909532953E-6</v>
      </c>
      <c r="S260" s="3">
        <f t="shared" si="246"/>
        <v>1.1697130270866078E-47</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2.929696810817221E-2</v>
      </c>
      <c r="C261" s="3">
        <f t="shared" si="247"/>
        <v>2.9296968108172186E-2</v>
      </c>
      <c r="D261" s="3">
        <f t="shared" si="247"/>
        <v>2.9296968108171936E-2</v>
      </c>
      <c r="E261" s="3">
        <f t="shared" si="247"/>
        <v>2.9296968108169442E-2</v>
      </c>
      <c r="F261" s="3">
        <f t="shared" si="247"/>
        <v>2.92969681081445E-2</v>
      </c>
      <c r="G261" s="3">
        <f t="shared" si="247"/>
        <v>2.9296968107895085E-2</v>
      </c>
      <c r="H261" s="3">
        <f t="shared" si="247"/>
        <v>2.9296968105400934E-2</v>
      </c>
      <c r="I261" s="3">
        <f t="shared" si="247"/>
        <v>2.9296968080459423E-2</v>
      </c>
      <c r="J261" s="3">
        <f t="shared" si="247"/>
        <v>2.9296967831044324E-2</v>
      </c>
      <c r="K261" s="3">
        <f t="shared" si="247"/>
        <v>2.9296965336893424E-2</v>
      </c>
      <c r="L261" s="3">
        <f t="shared" si="247"/>
        <v>2.929694039539613E-2</v>
      </c>
      <c r="M261" s="3">
        <f t="shared" si="247"/>
        <v>2.9296690981591024E-2</v>
      </c>
      <c r="N261" s="3">
        <f t="shared" si="247"/>
        <v>2.9294196960320425E-2</v>
      </c>
      <c r="O261" s="3">
        <f t="shared" si="247"/>
        <v>2.9269268421986138E-2</v>
      </c>
      <c r="P261" s="3">
        <f t="shared" si="247"/>
        <v>2.9021146806817895E-2</v>
      </c>
      <c r="Q261" s="3">
        <f t="shared" si="247"/>
        <v>2.6652723663694037E-2</v>
      </c>
      <c r="R261" s="3">
        <f t="shared" si="247"/>
        <v>1.1376583550188725E-2</v>
      </c>
      <c r="S261" s="3">
        <f t="shared" si="247"/>
        <v>2.284096780866364E-6</v>
      </c>
      <c r="T261" s="3">
        <f t="shared" si="247"/>
        <v>2.4307534591918733E-43</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3.1189849975264177E-2</v>
      </c>
      <c r="C262" s="3">
        <f t="shared" si="248"/>
        <v>3.1189849975264174E-2</v>
      </c>
      <c r="D262" s="3">
        <f t="shared" si="248"/>
        <v>3.1189849975264149E-2</v>
      </c>
      <c r="E262" s="3">
        <f t="shared" si="248"/>
        <v>3.118984997526391E-2</v>
      </c>
      <c r="F262" s="3">
        <f t="shared" si="248"/>
        <v>3.1189849975261513E-2</v>
      </c>
      <c r="G262" s="3">
        <f t="shared" si="248"/>
        <v>3.1189849975237563E-2</v>
      </c>
      <c r="H262" s="3">
        <f t="shared" si="248"/>
        <v>3.1189849974998032E-2</v>
      </c>
      <c r="I262" s="3">
        <f t="shared" si="248"/>
        <v>3.118984997260273E-2</v>
      </c>
      <c r="J262" s="3">
        <f t="shared" si="248"/>
        <v>3.118984994864973E-2</v>
      </c>
      <c r="K262" s="3">
        <f t="shared" si="248"/>
        <v>3.1189849709119713E-2</v>
      </c>
      <c r="L262" s="3">
        <f t="shared" si="248"/>
        <v>3.1189847313819654E-2</v>
      </c>
      <c r="M262" s="3">
        <f t="shared" si="248"/>
        <v>3.118982336082916E-2</v>
      </c>
      <c r="N262" s="3">
        <f t="shared" si="248"/>
        <v>3.1189583831935947E-2</v>
      </c>
      <c r="O262" s="3">
        <f t="shared" si="248"/>
        <v>3.1187188644174749E-2</v>
      </c>
      <c r="P262" s="3">
        <f t="shared" si="248"/>
        <v>3.1163246880777887E-2</v>
      </c>
      <c r="Q262" s="3">
        <f t="shared" si="248"/>
        <v>3.0924837800257704E-2</v>
      </c>
      <c r="R262" s="3">
        <f t="shared" si="248"/>
        <v>2.8638794451271817E-2</v>
      </c>
      <c r="S262" s="3">
        <f t="shared" si="248"/>
        <v>1.3287024998254904E-2</v>
      </c>
      <c r="T262" s="3">
        <f t="shared" si="248"/>
        <v>6.1398526524212761E-6</v>
      </c>
      <c r="U262" s="3">
        <f t="shared" si="248"/>
        <v>2.7255861657306107E-39</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2.9811720745936274E-2</v>
      </c>
      <c r="C263" s="3">
        <f t="shared" si="249"/>
        <v>2.9811720745936274E-2</v>
      </c>
      <c r="D263" s="3">
        <f t="shared" si="249"/>
        <v>2.9811720745936271E-2</v>
      </c>
      <c r="E263" s="3">
        <f t="shared" si="249"/>
        <v>2.981172074593625E-2</v>
      </c>
      <c r="F263" s="3">
        <f t="shared" si="249"/>
        <v>2.9811720745936045E-2</v>
      </c>
      <c r="G263" s="3">
        <f t="shared" si="249"/>
        <v>2.9811720745933981E-2</v>
      </c>
      <c r="H263" s="3">
        <f t="shared" si="249"/>
        <v>2.9811720745913328E-2</v>
      </c>
      <c r="I263" s="3">
        <f t="shared" si="249"/>
        <v>2.9811720745706798E-2</v>
      </c>
      <c r="J263" s="3">
        <f t="shared" si="249"/>
        <v>2.9811720743641513E-2</v>
      </c>
      <c r="K263" s="3">
        <f t="shared" si="249"/>
        <v>2.9811720722988648E-2</v>
      </c>
      <c r="L263" s="3">
        <f t="shared" si="249"/>
        <v>2.9811720516460003E-2</v>
      </c>
      <c r="M263" s="3">
        <f t="shared" si="249"/>
        <v>2.9811718451173641E-2</v>
      </c>
      <c r="N263" s="3">
        <f t="shared" si="249"/>
        <v>2.9811697798317896E-2</v>
      </c>
      <c r="O263" s="3">
        <f t="shared" si="249"/>
        <v>2.981149127054734E-2</v>
      </c>
      <c r="P263" s="3">
        <f t="shared" si="249"/>
        <v>2.9809426071532596E-2</v>
      </c>
      <c r="Q263" s="3">
        <f t="shared" si="249"/>
        <v>2.9788781948446776E-2</v>
      </c>
      <c r="R263" s="3">
        <f t="shared" si="249"/>
        <v>2.9583125410939021E-2</v>
      </c>
      <c r="S263" s="3">
        <f t="shared" si="249"/>
        <v>2.760305471692626E-2</v>
      </c>
      <c r="T263" s="3">
        <f t="shared" si="249"/>
        <v>1.3806641979406488E-2</v>
      </c>
      <c r="U263" s="3">
        <f t="shared" si="249"/>
        <v>1.3533098194876169E-5</v>
      </c>
      <c r="V263" s="3">
        <f t="shared" si="249"/>
        <v>1.1078703269010163E-35</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3.5101091393318837E-2</v>
      </c>
      <c r="C264" s="3">
        <f t="shared" si="250"/>
        <v>3.5101091393318837E-2</v>
      </c>
      <c r="D264" s="3">
        <f t="shared" si="250"/>
        <v>3.5101091393318837E-2</v>
      </c>
      <c r="E264" s="3">
        <f t="shared" si="250"/>
        <v>3.510109139331883E-2</v>
      </c>
      <c r="F264" s="3">
        <f t="shared" si="250"/>
        <v>3.5101091393318816E-2</v>
      </c>
      <c r="G264" s="3">
        <f t="shared" si="250"/>
        <v>3.5101091393318594E-2</v>
      </c>
      <c r="H264" s="3">
        <f t="shared" si="250"/>
        <v>3.5101091393316401E-2</v>
      </c>
      <c r="I264" s="3">
        <f t="shared" si="250"/>
        <v>3.5101091393294467E-2</v>
      </c>
      <c r="J264" s="3">
        <f t="shared" si="250"/>
        <v>3.5101091393075101E-2</v>
      </c>
      <c r="K264" s="3">
        <f t="shared" si="250"/>
        <v>3.5101091390881488E-2</v>
      </c>
      <c r="L264" s="3">
        <f t="shared" si="250"/>
        <v>3.5101091368945334E-2</v>
      </c>
      <c r="M264" s="3">
        <f t="shared" si="250"/>
        <v>3.5101091149583805E-2</v>
      </c>
      <c r="N264" s="3">
        <f t="shared" si="250"/>
        <v>3.5101088955968612E-2</v>
      </c>
      <c r="O264" s="3">
        <f t="shared" si="250"/>
        <v>3.5101067019824211E-2</v>
      </c>
      <c r="P264" s="3">
        <f t="shared" si="250"/>
        <v>3.5100847659134189E-2</v>
      </c>
      <c r="Q264" s="3">
        <f t="shared" si="250"/>
        <v>3.5098654127630594E-2</v>
      </c>
      <c r="R264" s="3">
        <f t="shared" si="250"/>
        <v>3.5076726350512823E-2</v>
      </c>
      <c r="S264" s="3">
        <f t="shared" si="250"/>
        <v>3.4858200631081721E-2</v>
      </c>
      <c r="T264" s="3">
        <f t="shared" si="250"/>
        <v>3.2746438339493672E-2</v>
      </c>
      <c r="U264" s="3">
        <f t="shared" si="250"/>
        <v>1.752891875624912E-2</v>
      </c>
      <c r="V264" s="3">
        <f t="shared" si="250"/>
        <v>3.3858343001302105E-5</v>
      </c>
      <c r="W264" s="3">
        <f t="shared" si="250"/>
        <v>2.4477745875070005E-32</v>
      </c>
      <c r="X264" s="3">
        <f t="shared" si="250"/>
        <v>9.5461583833057871E-304</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3.5333951268882481E-2</v>
      </c>
      <c r="C265" s="3">
        <f t="shared" si="251"/>
        <v>3.5333951268882481E-2</v>
      </c>
      <c r="D265" s="3">
        <f t="shared" si="251"/>
        <v>3.5333951268882481E-2</v>
      </c>
      <c r="E265" s="3">
        <f t="shared" si="251"/>
        <v>3.5333951268882481E-2</v>
      </c>
      <c r="F265" s="3">
        <f t="shared" si="251"/>
        <v>3.5333951268882474E-2</v>
      </c>
      <c r="G265" s="3">
        <f t="shared" si="251"/>
        <v>3.533395126888246E-2</v>
      </c>
      <c r="H265" s="3">
        <f t="shared" si="251"/>
        <v>3.5333951268882259E-2</v>
      </c>
      <c r="I265" s="3">
        <f t="shared" si="251"/>
        <v>3.5333951268880268E-2</v>
      </c>
      <c r="J265" s="3">
        <f t="shared" si="251"/>
        <v>3.5333951268860346E-2</v>
      </c>
      <c r="K265" s="3">
        <f t="shared" si="251"/>
        <v>3.5333951268661151E-2</v>
      </c>
      <c r="L265" s="3">
        <f t="shared" si="251"/>
        <v>3.5333951266669203E-2</v>
      </c>
      <c r="M265" s="3">
        <f t="shared" si="251"/>
        <v>3.5333951246749692E-2</v>
      </c>
      <c r="N265" s="3">
        <f t="shared" si="251"/>
        <v>3.5333951047554601E-2</v>
      </c>
      <c r="O265" s="3">
        <f t="shared" si="251"/>
        <v>3.5333949055603726E-2</v>
      </c>
      <c r="P265" s="3">
        <f t="shared" si="251"/>
        <v>3.5333929136101151E-2</v>
      </c>
      <c r="Q265" s="3">
        <f t="shared" si="251"/>
        <v>3.5333729941693044E-2</v>
      </c>
      <c r="R265" s="3">
        <f t="shared" si="251"/>
        <v>3.5331738059373466E-2</v>
      </c>
      <c r="S265" s="3">
        <f t="shared" si="251"/>
        <v>3.5311825411037605E-2</v>
      </c>
      <c r="T265" s="3">
        <f t="shared" si="251"/>
        <v>3.5113315127615362E-2</v>
      </c>
      <c r="U265" s="3">
        <f t="shared" si="251"/>
        <v>3.3188566123288923E-2</v>
      </c>
      <c r="V265" s="3">
        <f t="shared" si="251"/>
        <v>1.8886654867281465E-2</v>
      </c>
      <c r="W265" s="3">
        <f t="shared" si="251"/>
        <v>6.7269870204008864E-5</v>
      </c>
      <c r="X265" s="3">
        <f t="shared" si="251"/>
        <v>2.2104263319347132E-29</v>
      </c>
      <c r="Y265" s="3">
        <f t="shared" si="251"/>
        <v>3.2436247344088165E-274</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3.9261973776363202E-2</v>
      </c>
      <c r="C266" s="3">
        <f t="shared" si="252"/>
        <v>3.9261973776363202E-2</v>
      </c>
      <c r="D266" s="3">
        <f t="shared" si="252"/>
        <v>3.9261973776363202E-2</v>
      </c>
      <c r="E266" s="3">
        <f t="shared" si="252"/>
        <v>3.9261973776363202E-2</v>
      </c>
      <c r="F266" s="3">
        <f t="shared" si="252"/>
        <v>3.9261973776363202E-2</v>
      </c>
      <c r="G266" s="3">
        <f t="shared" si="252"/>
        <v>3.9261973776363195E-2</v>
      </c>
      <c r="H266" s="3">
        <f t="shared" si="252"/>
        <v>3.9261973776363181E-2</v>
      </c>
      <c r="I266" s="3">
        <f t="shared" si="252"/>
        <v>3.9261973776362979E-2</v>
      </c>
      <c r="J266" s="3">
        <f t="shared" si="252"/>
        <v>3.9261973776360981E-2</v>
      </c>
      <c r="K266" s="3">
        <f t="shared" si="252"/>
        <v>3.9261973776341018E-2</v>
      </c>
      <c r="L266" s="3">
        <f t="shared" si="252"/>
        <v>3.9261973776141351E-2</v>
      </c>
      <c r="M266" s="3">
        <f t="shared" si="252"/>
        <v>3.9261973774144684E-2</v>
      </c>
      <c r="N266" s="3">
        <f t="shared" si="252"/>
        <v>3.9261973754178038E-2</v>
      </c>
      <c r="O266" s="3">
        <f t="shared" si="252"/>
        <v>3.926197355451156E-2</v>
      </c>
      <c r="P266" s="3">
        <f t="shared" si="252"/>
        <v>3.9261971557846866E-2</v>
      </c>
      <c r="Q266" s="3">
        <f t="shared" si="252"/>
        <v>3.9261951591205491E-2</v>
      </c>
      <c r="R266" s="3">
        <f t="shared" si="252"/>
        <v>3.9261751925350197E-2</v>
      </c>
      <c r="S266" s="3">
        <f t="shared" si="252"/>
        <v>3.925975532264326E-2</v>
      </c>
      <c r="T266" s="3">
        <f t="shared" si="252"/>
        <v>3.923979487911948E-2</v>
      </c>
      <c r="U266" s="3">
        <f t="shared" si="252"/>
        <v>3.9040747749256623E-2</v>
      </c>
      <c r="V266" s="3">
        <f t="shared" si="252"/>
        <v>3.710497245625459E-2</v>
      </c>
      <c r="W266" s="3">
        <f t="shared" si="252"/>
        <v>2.2313719921167891E-2</v>
      </c>
      <c r="X266" s="3">
        <f t="shared" si="252"/>
        <v>1.3802908780894912E-4</v>
      </c>
      <c r="Y266" s="3">
        <f t="shared" si="252"/>
        <v>1.1322883031307543E-26</v>
      </c>
      <c r="Z266" s="3">
        <f t="shared" si="252"/>
        <v>1.562503690053125E-247</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3.7079136060128547E-2</v>
      </c>
      <c r="C267" s="3">
        <f t="shared" si="253"/>
        <v>3.7079136060128547E-2</v>
      </c>
      <c r="D267" s="3">
        <f t="shared" si="253"/>
        <v>3.7079136060128547E-2</v>
      </c>
      <c r="E267" s="3">
        <f t="shared" si="253"/>
        <v>3.7079136060128547E-2</v>
      </c>
      <c r="F267" s="3">
        <f t="shared" si="253"/>
        <v>3.7079136060128547E-2</v>
      </c>
      <c r="G267" s="3">
        <f t="shared" si="253"/>
        <v>3.7079136060128547E-2</v>
      </c>
      <c r="H267" s="3">
        <f t="shared" si="253"/>
        <v>3.7079136060128547E-2</v>
      </c>
      <c r="I267" s="3">
        <f t="shared" si="253"/>
        <v>3.7079136060128526E-2</v>
      </c>
      <c r="J267" s="3">
        <f t="shared" si="253"/>
        <v>3.7079136060128359E-2</v>
      </c>
      <c r="K267" s="3">
        <f t="shared" si="253"/>
        <v>3.7079136060126659E-2</v>
      </c>
      <c r="L267" s="3">
        <f t="shared" si="253"/>
        <v>3.7079136060109645E-2</v>
      </c>
      <c r="M267" s="3">
        <f t="shared" si="253"/>
        <v>3.7079136059939545E-2</v>
      </c>
      <c r="N267" s="3">
        <f t="shared" si="253"/>
        <v>3.7079136058238524E-2</v>
      </c>
      <c r="O267" s="3">
        <f t="shared" si="253"/>
        <v>3.7079136041228332E-2</v>
      </c>
      <c r="P267" s="3">
        <f t="shared" si="253"/>
        <v>3.7079135871126413E-2</v>
      </c>
      <c r="Q267" s="3">
        <f t="shared" si="253"/>
        <v>3.7079134170107234E-2</v>
      </c>
      <c r="R267" s="3">
        <f t="shared" si="253"/>
        <v>3.7079117159919781E-2</v>
      </c>
      <c r="S267" s="3">
        <f t="shared" si="253"/>
        <v>3.7078947058474414E-2</v>
      </c>
      <c r="T267" s="3">
        <f t="shared" si="253"/>
        <v>3.7077246086939158E-2</v>
      </c>
      <c r="U267" s="3">
        <f t="shared" si="253"/>
        <v>3.7060240662696323E-2</v>
      </c>
      <c r="V267" s="3">
        <f t="shared" si="253"/>
        <v>3.6890614803766673E-2</v>
      </c>
      <c r="W267" s="3">
        <f t="shared" si="253"/>
        <v>3.5236476267405413E-2</v>
      </c>
      <c r="X267" s="3">
        <f t="shared" si="253"/>
        <v>2.2271950616812971E-2</v>
      </c>
      <c r="Y267" s="3">
        <f t="shared" si="253"/>
        <v>2.266815066827347E-4</v>
      </c>
      <c r="Z267" s="3">
        <f t="shared" si="253"/>
        <v>2.7039237898101597E-24</v>
      </c>
      <c r="AA267" s="3">
        <f t="shared" si="253"/>
        <v>1.5768050754261263E-223</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4.610056969230196E-2</v>
      </c>
      <c r="C268" s="3">
        <f t="shared" si="254"/>
        <v>4.610056969230196E-2</v>
      </c>
      <c r="D268" s="3">
        <f t="shared" si="254"/>
        <v>4.610056969230196E-2</v>
      </c>
      <c r="E268" s="3">
        <f t="shared" si="254"/>
        <v>4.610056969230196E-2</v>
      </c>
      <c r="F268" s="3">
        <f t="shared" si="254"/>
        <v>4.610056969230196E-2</v>
      </c>
      <c r="G268" s="3">
        <f t="shared" si="254"/>
        <v>4.610056969230196E-2</v>
      </c>
      <c r="H268" s="3">
        <f t="shared" si="254"/>
        <v>4.610056969230196E-2</v>
      </c>
      <c r="I268" s="3">
        <f t="shared" si="254"/>
        <v>4.610056969230196E-2</v>
      </c>
      <c r="J268" s="3">
        <f t="shared" si="254"/>
        <v>4.6100569692301939E-2</v>
      </c>
      <c r="K268" s="3">
        <f t="shared" si="254"/>
        <v>4.6100569692301752E-2</v>
      </c>
      <c r="L268" s="3">
        <f t="shared" si="254"/>
        <v>4.6100569692299843E-2</v>
      </c>
      <c r="M268" s="3">
        <f t="shared" si="254"/>
        <v>4.6100569692280761E-2</v>
      </c>
      <c r="N268" s="3">
        <f t="shared" si="254"/>
        <v>4.6100569692089977E-2</v>
      </c>
      <c r="O268" s="3">
        <f t="shared" si="254"/>
        <v>4.6100569690182183E-2</v>
      </c>
      <c r="P268" s="3">
        <f t="shared" si="254"/>
        <v>4.6100569671104194E-2</v>
      </c>
      <c r="Q268" s="3">
        <f t="shared" si="254"/>
        <v>4.6100569480324351E-2</v>
      </c>
      <c r="R268" s="3">
        <f t="shared" si="254"/>
        <v>4.6100567572525918E-2</v>
      </c>
      <c r="S268" s="3">
        <f t="shared" si="254"/>
        <v>4.6100548494545965E-2</v>
      </c>
      <c r="T268" s="3">
        <f t="shared" si="254"/>
        <v>4.6100357715180632E-2</v>
      </c>
      <c r="U268" s="3">
        <f t="shared" si="254"/>
        <v>4.6098449964949696E-2</v>
      </c>
      <c r="V268" s="3">
        <f t="shared" si="254"/>
        <v>4.6079376804217358E-2</v>
      </c>
      <c r="W268" s="3">
        <f t="shared" si="254"/>
        <v>4.5889078690553482E-2</v>
      </c>
      <c r="X268" s="3">
        <f t="shared" si="254"/>
        <v>4.4028790443872229E-2</v>
      </c>
      <c r="Y268" s="3">
        <f t="shared" si="254"/>
        <v>2.9107902852516833E-2</v>
      </c>
      <c r="Z268" s="3">
        <f t="shared" si="254"/>
        <v>4.6425066833985295E-4</v>
      </c>
      <c r="AA268" s="3">
        <f t="shared" si="254"/>
        <v>4.945027896488866E-22</v>
      </c>
      <c r="AB268" s="3">
        <f t="shared" si="254"/>
        <v>9.2967430762635118E-202</v>
      </c>
      <c r="AC268" s="3">
        <f t="shared" si="254"/>
        <v>0</v>
      </c>
      <c r="AD268" s="3">
        <f t="shared" si="254"/>
        <v>0</v>
      </c>
      <c r="AE268" s="3">
        <f t="shared" si="254"/>
        <v>0</v>
      </c>
      <c r="AF268" s="3">
        <f t="shared" si="254"/>
        <v>0</v>
      </c>
      <c r="AG268" s="3"/>
      <c r="AH268" s="3"/>
    </row>
    <row r="269" spans="2:34" x14ac:dyDescent="0.25">
      <c r="B269" s="3">
        <f t="shared" ref="B269:AF269" si="255">$C38*EXP(-B$246/$A38/EXP(-$E$126))</f>
        <v>2.4069457926978895E-2</v>
      </c>
      <c r="C269" s="3">
        <f t="shared" si="255"/>
        <v>2.4069457926978895E-2</v>
      </c>
      <c r="D269" s="3">
        <f t="shared" si="255"/>
        <v>2.4069457926978895E-2</v>
      </c>
      <c r="E269" s="3">
        <f t="shared" si="255"/>
        <v>2.4069457926978895E-2</v>
      </c>
      <c r="F269" s="3">
        <f t="shared" si="255"/>
        <v>2.4069457926978895E-2</v>
      </c>
      <c r="G269" s="3">
        <f t="shared" si="255"/>
        <v>2.4069457926978895E-2</v>
      </c>
      <c r="H269" s="3">
        <f t="shared" si="255"/>
        <v>2.4069457926978895E-2</v>
      </c>
      <c r="I269" s="3">
        <f t="shared" si="255"/>
        <v>2.4069457926978895E-2</v>
      </c>
      <c r="J269" s="3">
        <f t="shared" si="255"/>
        <v>2.4069457926978895E-2</v>
      </c>
      <c r="K269" s="3">
        <f t="shared" si="255"/>
        <v>2.4069457926978885E-2</v>
      </c>
      <c r="L269" s="3">
        <f t="shared" si="255"/>
        <v>2.4069457926978798E-2</v>
      </c>
      <c r="M269" s="3">
        <f t="shared" si="255"/>
        <v>2.4069457926977896E-2</v>
      </c>
      <c r="N269" s="3">
        <f t="shared" si="255"/>
        <v>2.406945792696891E-2</v>
      </c>
      <c r="O269" s="3">
        <f t="shared" si="255"/>
        <v>2.4069457926879059E-2</v>
      </c>
      <c r="P269" s="3">
        <f t="shared" si="255"/>
        <v>2.4069457925980513E-2</v>
      </c>
      <c r="Q269" s="3">
        <f t="shared" si="255"/>
        <v>2.406945791699508E-2</v>
      </c>
      <c r="R269" s="3">
        <f t="shared" si="255"/>
        <v>2.4069457827140726E-2</v>
      </c>
      <c r="S269" s="3">
        <f t="shared" si="255"/>
        <v>2.4069456928597251E-2</v>
      </c>
      <c r="T269" s="3">
        <f t="shared" si="255"/>
        <v>2.4069447943164315E-2</v>
      </c>
      <c r="U269" s="3">
        <f t="shared" si="255"/>
        <v>2.4069358089019437E-2</v>
      </c>
      <c r="V269" s="3">
        <f t="shared" si="255"/>
        <v>2.4068459566019454E-2</v>
      </c>
      <c r="W269" s="3">
        <f t="shared" si="255"/>
        <v>2.4059476180644017E-2</v>
      </c>
      <c r="X269" s="3">
        <f t="shared" si="255"/>
        <v>2.3969826534790739E-2</v>
      </c>
      <c r="Y269" s="3">
        <f t="shared" si="255"/>
        <v>2.3091498948630426E-2</v>
      </c>
      <c r="Z269" s="3">
        <f t="shared" si="255"/>
        <v>1.5897340188261656E-2</v>
      </c>
      <c r="AA269" s="3">
        <f t="shared" si="255"/>
        <v>3.8023132445734519E-4</v>
      </c>
      <c r="AB269" s="3">
        <f t="shared" si="255"/>
        <v>2.3296041821037947E-20</v>
      </c>
      <c r="AC269" s="3">
        <f t="shared" si="255"/>
        <v>1.7362992866102117E-182</v>
      </c>
      <c r="AD269" s="3">
        <f t="shared" si="255"/>
        <v>0</v>
      </c>
      <c r="AE269" s="3">
        <f t="shared" si="255"/>
        <v>0</v>
      </c>
      <c r="AF269" s="3">
        <f t="shared" si="255"/>
        <v>0</v>
      </c>
      <c r="AG269" s="3"/>
      <c r="AH269" s="3"/>
    </row>
    <row r="270" spans="2:34" x14ac:dyDescent="0.25">
      <c r="B270" s="3">
        <f t="shared" ref="B270:AF270" si="256">$C39*EXP(-B$246/$A39/EXP(-$E$126))</f>
        <v>4.2363904015121308E-2</v>
      </c>
      <c r="C270" s="3">
        <f t="shared" si="256"/>
        <v>4.2363904015121308E-2</v>
      </c>
      <c r="D270" s="3">
        <f t="shared" si="256"/>
        <v>4.2363904015121308E-2</v>
      </c>
      <c r="E270" s="3">
        <f t="shared" si="256"/>
        <v>4.2363904015121308E-2</v>
      </c>
      <c r="F270" s="3">
        <f t="shared" si="256"/>
        <v>4.2363904015121308E-2</v>
      </c>
      <c r="G270" s="3">
        <f t="shared" si="256"/>
        <v>4.2363904015121308E-2</v>
      </c>
      <c r="H270" s="3">
        <f t="shared" si="256"/>
        <v>4.2363904015121308E-2</v>
      </c>
      <c r="I270" s="3">
        <f t="shared" si="256"/>
        <v>4.2363904015121308E-2</v>
      </c>
      <c r="J270" s="3">
        <f t="shared" si="256"/>
        <v>4.2363904015121308E-2</v>
      </c>
      <c r="K270" s="3">
        <f t="shared" si="256"/>
        <v>4.2363904015121301E-2</v>
      </c>
      <c r="L270" s="3">
        <f t="shared" si="256"/>
        <v>4.2363904015121259E-2</v>
      </c>
      <c r="M270" s="3">
        <f t="shared" si="256"/>
        <v>4.2363904015120822E-2</v>
      </c>
      <c r="N270" s="3">
        <f t="shared" si="256"/>
        <v>4.2363904015116451E-2</v>
      </c>
      <c r="O270" s="3">
        <f t="shared" si="256"/>
        <v>4.2363904015072708E-2</v>
      </c>
      <c r="P270" s="3">
        <f t="shared" si="256"/>
        <v>4.2363904014635301E-2</v>
      </c>
      <c r="Q270" s="3">
        <f t="shared" si="256"/>
        <v>4.2363904010261279E-2</v>
      </c>
      <c r="R270" s="3">
        <f t="shared" si="256"/>
        <v>4.236390396652099E-2</v>
      </c>
      <c r="S270" s="3">
        <f t="shared" si="256"/>
        <v>4.2363903529118112E-2</v>
      </c>
      <c r="T270" s="3">
        <f t="shared" si="256"/>
        <v>4.2363899155089632E-2</v>
      </c>
      <c r="U270" s="3">
        <f t="shared" si="256"/>
        <v>4.2363855414829676E-2</v>
      </c>
      <c r="V270" s="3">
        <f t="shared" si="256"/>
        <v>4.236341801471398E-2</v>
      </c>
      <c r="W270" s="3">
        <f t="shared" si="256"/>
        <v>4.2359044261934077E-2</v>
      </c>
      <c r="X270" s="3">
        <f t="shared" si="256"/>
        <v>4.2315331562358886E-2</v>
      </c>
      <c r="Y270" s="3">
        <f t="shared" si="256"/>
        <v>4.188067793022282E-2</v>
      </c>
      <c r="Z270" s="3">
        <f t="shared" si="256"/>
        <v>3.7772284515686108E-2</v>
      </c>
      <c r="AA270" s="3">
        <f t="shared" si="256"/>
        <v>1.3451438942166053E-2</v>
      </c>
      <c r="AB270" s="3">
        <f t="shared" si="256"/>
        <v>4.4128957532503518E-7</v>
      </c>
      <c r="AC270" s="3">
        <f t="shared" si="256"/>
        <v>6.3719579777287246E-52</v>
      </c>
      <c r="AD270" s="3">
        <f t="shared" si="256"/>
        <v>0</v>
      </c>
      <c r="AE270" s="3">
        <f t="shared" si="256"/>
        <v>0</v>
      </c>
      <c r="AF270" s="3">
        <f t="shared" si="256"/>
        <v>0</v>
      </c>
      <c r="AG270" s="3"/>
      <c r="AH270" s="3"/>
    </row>
    <row r="271" spans="2:34" x14ac:dyDescent="0.25">
      <c r="B271" s="3">
        <f t="shared" ref="B271:AF271" si="257">$C40*EXP(-B$246/$A40/EXP(-$E$126))</f>
        <v>5.5125175365667731E-2</v>
      </c>
      <c r="C271" s="3">
        <f t="shared" si="257"/>
        <v>5.5125175365667731E-2</v>
      </c>
      <c r="D271" s="3">
        <f t="shared" si="257"/>
        <v>5.5125175365667731E-2</v>
      </c>
      <c r="E271" s="3">
        <f t="shared" si="257"/>
        <v>5.5125175365667731E-2</v>
      </c>
      <c r="F271" s="3">
        <f t="shared" si="257"/>
        <v>5.5125175365667731E-2</v>
      </c>
      <c r="G271" s="3">
        <f t="shared" si="257"/>
        <v>5.5125175365667731E-2</v>
      </c>
      <c r="H271" s="3">
        <f t="shared" si="257"/>
        <v>5.5125175365667731E-2</v>
      </c>
      <c r="I271" s="3">
        <f t="shared" si="257"/>
        <v>5.5125175365667731E-2</v>
      </c>
      <c r="J271" s="3">
        <f t="shared" si="257"/>
        <v>5.5125175365667731E-2</v>
      </c>
      <c r="K271" s="3">
        <f t="shared" si="257"/>
        <v>5.5125175365667731E-2</v>
      </c>
      <c r="L271" s="3">
        <f t="shared" si="257"/>
        <v>5.5125175365667724E-2</v>
      </c>
      <c r="M271" s="3">
        <f t="shared" si="257"/>
        <v>5.5125175365667668E-2</v>
      </c>
      <c r="N271" s="3">
        <f t="shared" si="257"/>
        <v>5.5125175365667099E-2</v>
      </c>
      <c r="O271" s="3">
        <f t="shared" si="257"/>
        <v>5.5125175365661409E-2</v>
      </c>
      <c r="P271" s="3">
        <f t="shared" si="257"/>
        <v>5.512517536560449E-2</v>
      </c>
      <c r="Q271" s="3">
        <f t="shared" si="257"/>
        <v>5.5125175365035327E-2</v>
      </c>
      <c r="R271" s="3">
        <f t="shared" si="257"/>
        <v>5.5125175359343713E-2</v>
      </c>
      <c r="S271" s="3">
        <f t="shared" si="257"/>
        <v>5.5125175302427547E-2</v>
      </c>
      <c r="T271" s="3">
        <f t="shared" si="257"/>
        <v>5.5125174733265878E-2</v>
      </c>
      <c r="U271" s="3">
        <f t="shared" si="257"/>
        <v>5.5125169041649574E-2</v>
      </c>
      <c r="V271" s="3">
        <f t="shared" si="257"/>
        <v>5.5125112125518808E-2</v>
      </c>
      <c r="W271" s="3">
        <f t="shared" si="257"/>
        <v>5.5124542967443235E-2</v>
      </c>
      <c r="X271" s="3">
        <f t="shared" si="257"/>
        <v>5.5118851709883218E-2</v>
      </c>
      <c r="Y271" s="3">
        <f t="shared" si="257"/>
        <v>5.5061971441508303E-2</v>
      </c>
      <c r="Z271" s="3">
        <f t="shared" si="257"/>
        <v>5.4496387172261712E-2</v>
      </c>
      <c r="AA271" s="3">
        <f t="shared" si="257"/>
        <v>4.9150423132529847E-2</v>
      </c>
      <c r="AB271" s="3">
        <f t="shared" si="257"/>
        <v>1.750341352729912E-2</v>
      </c>
      <c r="AC271" s="3">
        <f t="shared" si="257"/>
        <v>5.7421915643446498E-7</v>
      </c>
      <c r="AD271" s="3">
        <f t="shared" si="257"/>
        <v>8.2913817579131737E-52</v>
      </c>
      <c r="AE271" s="3">
        <f t="shared" si="257"/>
        <v>0</v>
      </c>
      <c r="AF271" s="3">
        <f t="shared" si="257"/>
        <v>0</v>
      </c>
      <c r="AG271" s="3"/>
      <c r="AH271" s="3"/>
    </row>
    <row r="272" spans="2:34" x14ac:dyDescent="0.25">
      <c r="B272" s="3">
        <f t="shared" ref="B272:AF272" si="258">$C41*EXP(-B$246/$A41/EXP(-$E$126))</f>
        <v>5.6884717195846243E-2</v>
      </c>
      <c r="C272" s="3">
        <f t="shared" si="258"/>
        <v>5.6884717195846243E-2</v>
      </c>
      <c r="D272" s="3">
        <f t="shared" si="258"/>
        <v>5.6884717195846243E-2</v>
      </c>
      <c r="E272" s="3">
        <f t="shared" si="258"/>
        <v>5.6884717195846243E-2</v>
      </c>
      <c r="F272" s="3">
        <f t="shared" si="258"/>
        <v>5.6884717195846243E-2</v>
      </c>
      <c r="G272" s="3">
        <f t="shared" si="258"/>
        <v>5.6884717195846243E-2</v>
      </c>
      <c r="H272" s="3">
        <f t="shared" si="258"/>
        <v>5.6884717195846243E-2</v>
      </c>
      <c r="I272" s="3">
        <f t="shared" si="258"/>
        <v>5.6884717195846243E-2</v>
      </c>
      <c r="J272" s="3">
        <f t="shared" si="258"/>
        <v>5.6884717195846243E-2</v>
      </c>
      <c r="K272" s="3">
        <f t="shared" si="258"/>
        <v>5.6884717195846243E-2</v>
      </c>
      <c r="L272" s="3">
        <f t="shared" si="258"/>
        <v>5.6884717195846243E-2</v>
      </c>
      <c r="M272" s="3">
        <f t="shared" si="258"/>
        <v>5.6884717195846236E-2</v>
      </c>
      <c r="N272" s="3">
        <f t="shared" si="258"/>
        <v>5.6884717195846181E-2</v>
      </c>
      <c r="O272" s="3">
        <f t="shared" si="258"/>
        <v>5.6884717195845591E-2</v>
      </c>
      <c r="P272" s="3">
        <f t="shared" si="258"/>
        <v>5.6884717195839721E-2</v>
      </c>
      <c r="Q272" s="3">
        <f t="shared" si="258"/>
        <v>5.6884717195780983E-2</v>
      </c>
      <c r="R272" s="3">
        <f t="shared" si="258"/>
        <v>5.6884717195193654E-2</v>
      </c>
      <c r="S272" s="3">
        <f t="shared" si="258"/>
        <v>5.6884717189320373E-2</v>
      </c>
      <c r="T272" s="3">
        <f t="shared" si="258"/>
        <v>5.6884717130587494E-2</v>
      </c>
      <c r="U272" s="3">
        <f t="shared" si="258"/>
        <v>5.6884716543258738E-2</v>
      </c>
      <c r="V272" s="3">
        <f t="shared" si="258"/>
        <v>5.6884710669971597E-2</v>
      </c>
      <c r="W272" s="3">
        <f t="shared" si="258"/>
        <v>5.6884651937133449E-2</v>
      </c>
      <c r="X272" s="3">
        <f t="shared" si="258"/>
        <v>5.6884064612087247E-2</v>
      </c>
      <c r="Y272" s="3">
        <f t="shared" si="258"/>
        <v>5.6878191695136998E-2</v>
      </c>
      <c r="Z272" s="3">
        <f t="shared" si="258"/>
        <v>5.6819495864074913E-2</v>
      </c>
      <c r="AA272" s="3">
        <f t="shared" si="258"/>
        <v>5.623585869660843E-2</v>
      </c>
      <c r="AB272" s="3">
        <f t="shared" si="258"/>
        <v>5.0719256699026244E-2</v>
      </c>
      <c r="AC272" s="3">
        <f t="shared" si="258"/>
        <v>1.8062105414769766E-2</v>
      </c>
      <c r="AD272" s="3">
        <f t="shared" si="258"/>
        <v>5.9254767183118016E-7</v>
      </c>
      <c r="AE272" s="3">
        <f t="shared" si="258"/>
        <v>8.5560345764530203E-52</v>
      </c>
      <c r="AF272" s="3">
        <f t="shared" si="258"/>
        <v>0</v>
      </c>
      <c r="AG272" s="3"/>
      <c r="AH272" s="3"/>
    </row>
    <row r="273" spans="1:34" x14ac:dyDescent="0.25">
      <c r="B273" s="3">
        <f t="shared" ref="B273:AF273" si="259">$C42*EXP(-B$246/$A42/EXP(-$E$126))</f>
        <v>5.455134576807355E-2</v>
      </c>
      <c r="C273" s="3">
        <f t="shared" si="259"/>
        <v>5.455134576807355E-2</v>
      </c>
      <c r="D273" s="3">
        <f t="shared" si="259"/>
        <v>5.455134576807355E-2</v>
      </c>
      <c r="E273" s="3">
        <f t="shared" si="259"/>
        <v>5.455134576807355E-2</v>
      </c>
      <c r="F273" s="3">
        <f t="shared" si="259"/>
        <v>5.455134576807355E-2</v>
      </c>
      <c r="G273" s="3">
        <f t="shared" si="259"/>
        <v>5.455134576807355E-2</v>
      </c>
      <c r="H273" s="3">
        <f t="shared" si="259"/>
        <v>5.455134576807355E-2</v>
      </c>
      <c r="I273" s="3">
        <f t="shared" si="259"/>
        <v>5.455134576807355E-2</v>
      </c>
      <c r="J273" s="3">
        <f t="shared" si="259"/>
        <v>5.455134576807355E-2</v>
      </c>
      <c r="K273" s="3">
        <f t="shared" si="259"/>
        <v>5.455134576807355E-2</v>
      </c>
      <c r="L273" s="3">
        <f t="shared" si="259"/>
        <v>5.455134576807355E-2</v>
      </c>
      <c r="M273" s="3">
        <f t="shared" si="259"/>
        <v>5.455134576807355E-2</v>
      </c>
      <c r="N273" s="3">
        <f t="shared" si="259"/>
        <v>5.4551345768073543E-2</v>
      </c>
      <c r="O273" s="3">
        <f t="shared" si="259"/>
        <v>5.4551345768073488E-2</v>
      </c>
      <c r="P273" s="3">
        <f t="shared" si="259"/>
        <v>5.4551345768072926E-2</v>
      </c>
      <c r="Q273" s="3">
        <f t="shared" si="259"/>
        <v>5.4551345768067291E-2</v>
      </c>
      <c r="R273" s="3">
        <f t="shared" si="259"/>
        <v>5.4551345768010968E-2</v>
      </c>
      <c r="S273" s="3">
        <f t="shared" si="259"/>
        <v>5.4551345767447731E-2</v>
      </c>
      <c r="T273" s="3">
        <f t="shared" si="259"/>
        <v>5.4551345761815362E-2</v>
      </c>
      <c r="U273" s="3">
        <f t="shared" si="259"/>
        <v>5.4551345705491673E-2</v>
      </c>
      <c r="V273" s="3">
        <f t="shared" si="259"/>
        <v>5.455134514225473E-2</v>
      </c>
      <c r="W273" s="3">
        <f t="shared" si="259"/>
        <v>5.4551339509885728E-2</v>
      </c>
      <c r="X273" s="3">
        <f t="shared" si="259"/>
        <v>5.4551283186227643E-2</v>
      </c>
      <c r="Y273" s="3">
        <f t="shared" si="259"/>
        <v>5.4550719952845238E-2</v>
      </c>
      <c r="Z273" s="3">
        <f t="shared" si="259"/>
        <v>5.4545087938852488E-2</v>
      </c>
      <c r="AA273" s="3">
        <f t="shared" si="259"/>
        <v>5.44887997698459E-2</v>
      </c>
      <c r="AB273" s="3">
        <f t="shared" si="259"/>
        <v>5.3929102991958279E-2</v>
      </c>
      <c r="AC273" s="3">
        <f t="shared" si="259"/>
        <v>4.8638788161019374E-2</v>
      </c>
      <c r="AD273" s="3">
        <f t="shared" si="259"/>
        <v>1.7321210447231457E-2</v>
      </c>
      <c r="AE273" s="3">
        <f t="shared" si="259"/>
        <v>5.6824177957748595E-7</v>
      </c>
      <c r="AF273" s="3">
        <f t="shared" si="259"/>
        <v>8.2050720051353843E-52</v>
      </c>
      <c r="AG273" s="3"/>
      <c r="AH273" s="3"/>
    </row>
    <row r="274" spans="1:34" x14ac:dyDescent="0.25">
      <c r="B274" s="3">
        <f t="shared" ref="B274:AF274" si="260">$C43*EXP(-B$246/$A43/EXP(-$E$126))</f>
        <v>3.7051538899778975E-2</v>
      </c>
      <c r="C274" s="3">
        <f t="shared" si="260"/>
        <v>3.7051538899778975E-2</v>
      </c>
      <c r="D274" s="3">
        <f t="shared" si="260"/>
        <v>3.7051538899778975E-2</v>
      </c>
      <c r="E274" s="3">
        <f t="shared" si="260"/>
        <v>3.7051538899778975E-2</v>
      </c>
      <c r="F274" s="3">
        <f t="shared" si="260"/>
        <v>3.7051538899778975E-2</v>
      </c>
      <c r="G274" s="3">
        <f t="shared" si="260"/>
        <v>3.7051538899778975E-2</v>
      </c>
      <c r="H274" s="3">
        <f t="shared" si="260"/>
        <v>3.7051538899778975E-2</v>
      </c>
      <c r="I274" s="3">
        <f t="shared" si="260"/>
        <v>3.7051538899778975E-2</v>
      </c>
      <c r="J274" s="3">
        <f t="shared" si="260"/>
        <v>3.7051538899778975E-2</v>
      </c>
      <c r="K274" s="3">
        <f t="shared" si="260"/>
        <v>3.7051538899778975E-2</v>
      </c>
      <c r="L274" s="3">
        <f t="shared" si="260"/>
        <v>3.7051538899778975E-2</v>
      </c>
      <c r="M274" s="3">
        <f t="shared" si="260"/>
        <v>3.7051538899778975E-2</v>
      </c>
      <c r="N274" s="3">
        <f t="shared" si="260"/>
        <v>3.7051538899778975E-2</v>
      </c>
      <c r="O274" s="3">
        <f t="shared" si="260"/>
        <v>3.7051538899778969E-2</v>
      </c>
      <c r="P274" s="3">
        <f t="shared" si="260"/>
        <v>3.7051538899778934E-2</v>
      </c>
      <c r="Q274" s="3">
        <f t="shared" si="260"/>
        <v>3.7051538899778552E-2</v>
      </c>
      <c r="R274" s="3">
        <f t="shared" si="260"/>
        <v>3.7051538899774729E-2</v>
      </c>
      <c r="S274" s="3">
        <f t="shared" si="260"/>
        <v>3.7051538899736468E-2</v>
      </c>
      <c r="T274" s="3">
        <f t="shared" si="260"/>
        <v>3.7051538899353913E-2</v>
      </c>
      <c r="U274" s="3">
        <f t="shared" si="260"/>
        <v>3.7051538895528383E-2</v>
      </c>
      <c r="V274" s="3">
        <f t="shared" si="260"/>
        <v>3.705153885727306E-2</v>
      </c>
      <c r="W274" s="3">
        <f t="shared" si="260"/>
        <v>3.7051538474719793E-2</v>
      </c>
      <c r="X274" s="3">
        <f t="shared" si="260"/>
        <v>3.7051534649187423E-2</v>
      </c>
      <c r="Y274" s="3">
        <f t="shared" si="260"/>
        <v>3.7051496393885393E-2</v>
      </c>
      <c r="Z274" s="3">
        <f t="shared" si="260"/>
        <v>3.7051113843037484E-2</v>
      </c>
      <c r="AA274" s="3">
        <f t="shared" si="260"/>
        <v>3.7047288551789431E-2</v>
      </c>
      <c r="AB274" s="3">
        <f t="shared" si="260"/>
        <v>3.7009057354113542E-2</v>
      </c>
      <c r="AC274" s="3">
        <f t="shared" si="260"/>
        <v>3.6628908585169311E-2</v>
      </c>
      <c r="AD274" s="3">
        <f t="shared" si="260"/>
        <v>3.3035701066807248E-2</v>
      </c>
      <c r="AE274" s="3">
        <f t="shared" si="260"/>
        <v>1.1764650232560493E-2</v>
      </c>
      <c r="AF274" s="3">
        <f t="shared" si="260"/>
        <v>3.8595257557911511E-7</v>
      </c>
      <c r="AG274" s="3"/>
      <c r="AH274" s="3"/>
    </row>
    <row r="275" spans="1:34" x14ac:dyDescent="0.25">
      <c r="B275" s="3">
        <f t="shared" ref="B275:AF275" si="261">$C44*EXP(-B$246/$A44/EXP(-$E$126))</f>
        <v>2.3553362774933962E-2</v>
      </c>
      <c r="C275" s="3">
        <f t="shared" si="261"/>
        <v>2.3553362774933962E-2</v>
      </c>
      <c r="D275" s="3">
        <f t="shared" si="261"/>
        <v>2.3553362774933962E-2</v>
      </c>
      <c r="E275" s="3">
        <f t="shared" si="261"/>
        <v>2.3553362774933962E-2</v>
      </c>
      <c r="F275" s="3">
        <f t="shared" si="261"/>
        <v>2.3553362774933962E-2</v>
      </c>
      <c r="G275" s="3">
        <f t="shared" si="261"/>
        <v>2.3553362774933962E-2</v>
      </c>
      <c r="H275" s="3">
        <f t="shared" si="261"/>
        <v>2.3553362774933962E-2</v>
      </c>
      <c r="I275" s="3">
        <f t="shared" si="261"/>
        <v>2.3553362774933962E-2</v>
      </c>
      <c r="J275" s="3">
        <f t="shared" si="261"/>
        <v>2.3553362774933962E-2</v>
      </c>
      <c r="K275" s="3">
        <f t="shared" si="261"/>
        <v>2.3553362774933962E-2</v>
      </c>
      <c r="L275" s="3">
        <f t="shared" si="261"/>
        <v>2.3553362774933962E-2</v>
      </c>
      <c r="M275" s="3">
        <f t="shared" si="261"/>
        <v>2.3553362774933962E-2</v>
      </c>
      <c r="N275" s="3">
        <f t="shared" si="261"/>
        <v>2.3553362774933962E-2</v>
      </c>
      <c r="O275" s="3">
        <f t="shared" si="261"/>
        <v>2.3553362774933962E-2</v>
      </c>
      <c r="P275" s="3">
        <f t="shared" si="261"/>
        <v>2.3553362774933959E-2</v>
      </c>
      <c r="Q275" s="3">
        <f t="shared" si="261"/>
        <v>2.3553362774933934E-2</v>
      </c>
      <c r="R275" s="3">
        <f t="shared" si="261"/>
        <v>2.3553362774933691E-2</v>
      </c>
      <c r="S275" s="3">
        <f t="shared" si="261"/>
        <v>2.3553362774931259E-2</v>
      </c>
      <c r="T275" s="3">
        <f t="shared" si="261"/>
        <v>2.3553362774906942E-2</v>
      </c>
      <c r="U275" s="3">
        <f t="shared" si="261"/>
        <v>2.3553362774663755E-2</v>
      </c>
      <c r="V275" s="3">
        <f t="shared" si="261"/>
        <v>2.3553362772231898E-2</v>
      </c>
      <c r="W275" s="3">
        <f t="shared" si="261"/>
        <v>2.3553362747913295E-2</v>
      </c>
      <c r="X275" s="3">
        <f t="shared" si="261"/>
        <v>2.3553362504727289E-2</v>
      </c>
      <c r="Y275" s="3">
        <f t="shared" si="261"/>
        <v>2.3553360072867385E-2</v>
      </c>
      <c r="Z275" s="3">
        <f t="shared" si="261"/>
        <v>2.3553335754282152E-2</v>
      </c>
      <c r="AA275" s="3">
        <f t="shared" si="261"/>
        <v>2.3553092569810787E-2</v>
      </c>
      <c r="AB275" s="3">
        <f t="shared" si="261"/>
        <v>2.3550660863189129E-2</v>
      </c>
      <c r="AC275" s="3">
        <f t="shared" si="261"/>
        <v>2.3526357600897753E-2</v>
      </c>
      <c r="AD275" s="3">
        <f t="shared" si="261"/>
        <v>2.3284700111647249E-2</v>
      </c>
      <c r="AE275" s="3">
        <f t="shared" si="261"/>
        <v>2.1000527234657604E-2</v>
      </c>
      <c r="AF275" s="3">
        <f t="shared" si="261"/>
        <v>7.4786927365481561E-3</v>
      </c>
      <c r="AG275" s="3"/>
      <c r="AH275" s="3"/>
    </row>
    <row r="276" spans="1:34" x14ac:dyDescent="0.25">
      <c r="B276" s="3">
        <f t="shared" ref="B276:AF276" si="262">$C45*EXP(-B$246/$A45/EXP(-$E$126))</f>
        <v>8.915333557989135E-3</v>
      </c>
      <c r="C276" s="3">
        <f t="shared" si="262"/>
        <v>8.915333557989135E-3</v>
      </c>
      <c r="D276" s="3">
        <f t="shared" si="262"/>
        <v>8.915333557989135E-3</v>
      </c>
      <c r="E276" s="3">
        <f t="shared" si="262"/>
        <v>8.915333557989135E-3</v>
      </c>
      <c r="F276" s="3">
        <f t="shared" si="262"/>
        <v>8.915333557989135E-3</v>
      </c>
      <c r="G276" s="3">
        <f t="shared" si="262"/>
        <v>8.915333557989135E-3</v>
      </c>
      <c r="H276" s="3">
        <f t="shared" si="262"/>
        <v>8.915333557989135E-3</v>
      </c>
      <c r="I276" s="3">
        <f t="shared" si="262"/>
        <v>8.915333557989135E-3</v>
      </c>
      <c r="J276" s="3">
        <f t="shared" si="262"/>
        <v>8.915333557989135E-3</v>
      </c>
      <c r="K276" s="3">
        <f t="shared" si="262"/>
        <v>8.915333557989135E-3</v>
      </c>
      <c r="L276" s="3">
        <f t="shared" si="262"/>
        <v>8.915333557989135E-3</v>
      </c>
      <c r="M276" s="3">
        <f t="shared" si="262"/>
        <v>8.915333557989135E-3</v>
      </c>
      <c r="N276" s="3">
        <f t="shared" si="262"/>
        <v>8.915333557989135E-3</v>
      </c>
      <c r="O276" s="3">
        <f t="shared" si="262"/>
        <v>8.915333557989135E-3</v>
      </c>
      <c r="P276" s="3">
        <f t="shared" si="262"/>
        <v>8.915333557989135E-3</v>
      </c>
      <c r="Q276" s="3">
        <f t="shared" si="262"/>
        <v>8.9153335579891333E-3</v>
      </c>
      <c r="R276" s="3">
        <f t="shared" si="262"/>
        <v>8.9153335579891246E-3</v>
      </c>
      <c r="S276" s="3">
        <f t="shared" si="262"/>
        <v>8.9153335579890327E-3</v>
      </c>
      <c r="T276" s="3">
        <f t="shared" si="262"/>
        <v>8.9153335579881133E-3</v>
      </c>
      <c r="U276" s="3">
        <f t="shared" si="262"/>
        <v>8.9153335579789071E-3</v>
      </c>
      <c r="V276" s="3">
        <f t="shared" si="262"/>
        <v>8.9153335578868575E-3</v>
      </c>
      <c r="W276" s="3">
        <f t="shared" si="262"/>
        <v>8.9153335569663594E-3</v>
      </c>
      <c r="X276" s="3">
        <f t="shared" si="262"/>
        <v>8.9153335477613702E-3</v>
      </c>
      <c r="Y276" s="3">
        <f t="shared" si="262"/>
        <v>8.9153334557114834E-3</v>
      </c>
      <c r="Z276" s="3">
        <f t="shared" si="262"/>
        <v>8.915332535212683E-3</v>
      </c>
      <c r="AA276" s="3">
        <f t="shared" si="262"/>
        <v>8.9153233302298913E-3</v>
      </c>
      <c r="AB276" s="3">
        <f t="shared" si="262"/>
        <v>8.9152312809247011E-3</v>
      </c>
      <c r="AC276" s="3">
        <f t="shared" si="262"/>
        <v>8.9143108401428719E-3</v>
      </c>
      <c r="AD276" s="3">
        <f t="shared" si="262"/>
        <v>8.9051116573363506E-3</v>
      </c>
      <c r="AE276" s="3">
        <f t="shared" si="262"/>
        <v>8.8136403398840837E-3</v>
      </c>
      <c r="AF276" s="3">
        <f t="shared" si="262"/>
        <v>7.9490434966619176E-3</v>
      </c>
      <c r="AG276" s="3"/>
      <c r="AH276" s="3"/>
    </row>
    <row r="277" spans="1:34" x14ac:dyDescent="0.25">
      <c r="B277" s="3">
        <f t="shared" ref="B277:AF277" si="263">$C46*EXP(-B$246/$A46/EXP(-$E$126))</f>
        <v>6.6530683932672779E-3</v>
      </c>
      <c r="C277" s="3">
        <f t="shared" si="263"/>
        <v>6.6530683932672779E-3</v>
      </c>
      <c r="D277" s="3">
        <f t="shared" si="263"/>
        <v>6.6530683932672779E-3</v>
      </c>
      <c r="E277" s="3">
        <f t="shared" si="263"/>
        <v>6.6530683932672779E-3</v>
      </c>
      <c r="F277" s="3">
        <f t="shared" si="263"/>
        <v>6.6530683932672779E-3</v>
      </c>
      <c r="G277" s="3">
        <f t="shared" si="263"/>
        <v>6.6530683932672779E-3</v>
      </c>
      <c r="H277" s="3">
        <f t="shared" si="263"/>
        <v>6.6530683932672779E-3</v>
      </c>
      <c r="I277" s="3">
        <f t="shared" si="263"/>
        <v>6.6530683932672779E-3</v>
      </c>
      <c r="J277" s="3">
        <f t="shared" si="263"/>
        <v>6.6530683932672779E-3</v>
      </c>
      <c r="K277" s="3">
        <f t="shared" si="263"/>
        <v>6.6530683932672779E-3</v>
      </c>
      <c r="L277" s="3">
        <f t="shared" si="263"/>
        <v>6.6530683932672779E-3</v>
      </c>
      <c r="M277" s="3">
        <f t="shared" si="263"/>
        <v>6.6530683932672779E-3</v>
      </c>
      <c r="N277" s="3">
        <f t="shared" si="263"/>
        <v>6.6530683932672779E-3</v>
      </c>
      <c r="O277" s="3">
        <f t="shared" si="263"/>
        <v>6.6530683932672779E-3</v>
      </c>
      <c r="P277" s="3">
        <f t="shared" si="263"/>
        <v>6.6530683932672779E-3</v>
      </c>
      <c r="Q277" s="3">
        <f t="shared" si="263"/>
        <v>6.6530683932672779E-3</v>
      </c>
      <c r="R277" s="3">
        <f t="shared" si="263"/>
        <v>6.6530683932672771E-3</v>
      </c>
      <c r="S277" s="3">
        <f t="shared" si="263"/>
        <v>6.6530683932672701E-3</v>
      </c>
      <c r="T277" s="3">
        <f t="shared" si="263"/>
        <v>6.6530683932672016E-3</v>
      </c>
      <c r="U277" s="3">
        <f t="shared" si="263"/>
        <v>6.6530683932665147E-3</v>
      </c>
      <c r="V277" s="3">
        <f t="shared" si="263"/>
        <v>6.6530683932596452E-3</v>
      </c>
      <c r="W277" s="3">
        <f t="shared" si="263"/>
        <v>6.6530683931909527E-3</v>
      </c>
      <c r="X277" s="3">
        <f t="shared" si="263"/>
        <v>6.6530683925040308E-3</v>
      </c>
      <c r="Y277" s="3">
        <f t="shared" si="263"/>
        <v>6.6530683856348078E-3</v>
      </c>
      <c r="Z277" s="3">
        <f t="shared" si="263"/>
        <v>6.6530683169425727E-3</v>
      </c>
      <c r="AA277" s="3">
        <f t="shared" si="263"/>
        <v>6.6530676300202672E-3</v>
      </c>
      <c r="AB277" s="3">
        <f t="shared" si="263"/>
        <v>6.6530607608011102E-3</v>
      </c>
      <c r="AC277" s="3">
        <f t="shared" si="263"/>
        <v>6.6529920689996193E-3</v>
      </c>
      <c r="AD277" s="3">
        <f t="shared" si="263"/>
        <v>6.6523051899912656E-3</v>
      </c>
      <c r="AE277" s="3">
        <f t="shared" si="263"/>
        <v>6.6454402990731784E-3</v>
      </c>
      <c r="AF277" s="3">
        <f t="shared" si="263"/>
        <v>6.5771798209795854E-3</v>
      </c>
      <c r="AG277" s="3"/>
      <c r="AH277" s="3"/>
    </row>
    <row r="278" spans="1:34" x14ac:dyDescent="0.25">
      <c r="B278" s="3">
        <f t="shared" ref="B278:AF278" si="264">$C47*EXP(-B$246/$A47/EXP(-$E$126))</f>
        <v>6.4465417196877487E-4</v>
      </c>
      <c r="C278" s="3">
        <f t="shared" si="264"/>
        <v>6.4465417196877487E-4</v>
      </c>
      <c r="D278" s="3">
        <f t="shared" si="264"/>
        <v>6.4465417196877487E-4</v>
      </c>
      <c r="E278" s="3">
        <f t="shared" si="264"/>
        <v>6.4465417196877487E-4</v>
      </c>
      <c r="F278" s="3">
        <f t="shared" si="264"/>
        <v>6.4465417196877487E-4</v>
      </c>
      <c r="G278" s="3">
        <f t="shared" si="264"/>
        <v>6.4465417196877487E-4</v>
      </c>
      <c r="H278" s="3">
        <f t="shared" si="264"/>
        <v>6.4465417196877487E-4</v>
      </c>
      <c r="I278" s="3">
        <f t="shared" si="264"/>
        <v>6.4465417196877487E-4</v>
      </c>
      <c r="J278" s="3">
        <f t="shared" si="264"/>
        <v>6.4465417196877487E-4</v>
      </c>
      <c r="K278" s="3">
        <f t="shared" si="264"/>
        <v>6.4465417196877487E-4</v>
      </c>
      <c r="L278" s="3">
        <f t="shared" si="264"/>
        <v>6.4465417196877487E-4</v>
      </c>
      <c r="M278" s="3">
        <f t="shared" si="264"/>
        <v>6.4465417196877487E-4</v>
      </c>
      <c r="N278" s="3">
        <f t="shared" si="264"/>
        <v>6.4465417196877487E-4</v>
      </c>
      <c r="O278" s="3">
        <f t="shared" si="264"/>
        <v>6.4465417196877487E-4</v>
      </c>
      <c r="P278" s="3">
        <f t="shared" si="264"/>
        <v>6.4465417196877487E-4</v>
      </c>
      <c r="Q278" s="3">
        <f t="shared" si="264"/>
        <v>6.4465417196877487E-4</v>
      </c>
      <c r="R278" s="3">
        <f t="shared" si="264"/>
        <v>6.4465417196877487E-4</v>
      </c>
      <c r="S278" s="3">
        <f t="shared" si="264"/>
        <v>6.4465417196877476E-4</v>
      </c>
      <c r="T278" s="3">
        <f t="shared" si="264"/>
        <v>6.4465417196877411E-4</v>
      </c>
      <c r="U278" s="3">
        <f t="shared" si="264"/>
        <v>6.446541719687675E-4</v>
      </c>
      <c r="V278" s="3">
        <f t="shared" si="264"/>
        <v>6.4465417196870093E-4</v>
      </c>
      <c r="W278" s="3">
        <f t="shared" si="264"/>
        <v>6.4465417196803534E-4</v>
      </c>
      <c r="X278" s="3">
        <f t="shared" si="264"/>
        <v>6.4465417196137931E-4</v>
      </c>
      <c r="Y278" s="3">
        <f t="shared" si="264"/>
        <v>6.4465417189481949E-4</v>
      </c>
      <c r="Z278" s="3">
        <f t="shared" si="264"/>
        <v>6.4465417122922084E-4</v>
      </c>
      <c r="AA278" s="3">
        <f t="shared" si="264"/>
        <v>6.4465416457323388E-4</v>
      </c>
      <c r="AB278" s="3">
        <f t="shared" si="264"/>
        <v>6.4465409801336949E-4</v>
      </c>
      <c r="AC278" s="3">
        <f t="shared" si="264"/>
        <v>6.4465343241510331E-4</v>
      </c>
      <c r="AD278" s="3">
        <f t="shared" si="264"/>
        <v>6.4464677647023795E-4</v>
      </c>
      <c r="AE278" s="3">
        <f t="shared" si="264"/>
        <v>6.4458022080115423E-4</v>
      </c>
      <c r="AF278" s="3">
        <f t="shared" si="264"/>
        <v>6.4391504192294917E-4</v>
      </c>
      <c r="AG278" s="3"/>
      <c r="AH278" s="3"/>
    </row>
    <row r="279" spans="1:34" x14ac:dyDescent="0.25">
      <c r="B279" s="3">
        <f t="shared" ref="B279:AF279" si="265">$C48*EXP(-B$246/$A48/EXP(-$E$126))</f>
        <v>7.8044740016632993E-3</v>
      </c>
      <c r="C279" s="3">
        <f t="shared" si="265"/>
        <v>7.8044740016632993E-3</v>
      </c>
      <c r="D279" s="3">
        <f t="shared" si="265"/>
        <v>7.8044740016632993E-3</v>
      </c>
      <c r="E279" s="3">
        <f t="shared" si="265"/>
        <v>7.8044740016632993E-3</v>
      </c>
      <c r="F279" s="3">
        <f t="shared" si="265"/>
        <v>7.8044740016632993E-3</v>
      </c>
      <c r="G279" s="3">
        <f t="shared" si="265"/>
        <v>7.8044740016632993E-3</v>
      </c>
      <c r="H279" s="3">
        <f t="shared" si="265"/>
        <v>7.8044740016632993E-3</v>
      </c>
      <c r="I279" s="3">
        <f t="shared" si="265"/>
        <v>7.8044740016632993E-3</v>
      </c>
      <c r="J279" s="3">
        <f t="shared" si="265"/>
        <v>7.8044740016632993E-3</v>
      </c>
      <c r="K279" s="3">
        <f t="shared" si="265"/>
        <v>7.8044740016632993E-3</v>
      </c>
      <c r="L279" s="3">
        <f t="shared" si="265"/>
        <v>7.8044740016632993E-3</v>
      </c>
      <c r="M279" s="3">
        <f t="shared" si="265"/>
        <v>7.8044740016632993E-3</v>
      </c>
      <c r="N279" s="3">
        <f t="shared" si="265"/>
        <v>7.8044740016632993E-3</v>
      </c>
      <c r="O279" s="3">
        <f t="shared" si="265"/>
        <v>7.8044740016632993E-3</v>
      </c>
      <c r="P279" s="3">
        <f t="shared" si="265"/>
        <v>7.8044740016632993E-3</v>
      </c>
      <c r="Q279" s="3">
        <f t="shared" si="265"/>
        <v>7.8044740016632993E-3</v>
      </c>
      <c r="R279" s="3">
        <f t="shared" si="265"/>
        <v>7.8044740016632993E-3</v>
      </c>
      <c r="S279" s="3">
        <f t="shared" si="265"/>
        <v>7.8044740016632993E-3</v>
      </c>
      <c r="T279" s="3">
        <f t="shared" si="265"/>
        <v>7.8044740016632985E-3</v>
      </c>
      <c r="U279" s="3">
        <f t="shared" si="265"/>
        <v>7.8044740016632906E-3</v>
      </c>
      <c r="V279" s="3">
        <f t="shared" si="265"/>
        <v>7.80447400166321E-3</v>
      </c>
      <c r="W279" s="3">
        <f t="shared" si="265"/>
        <v>7.8044740016624042E-3</v>
      </c>
      <c r="X279" s="3">
        <f t="shared" si="265"/>
        <v>7.8044740016543464E-3</v>
      </c>
      <c r="Y279" s="3">
        <f t="shared" si="265"/>
        <v>7.804474001573765E-3</v>
      </c>
      <c r="Z279" s="3">
        <f t="shared" si="265"/>
        <v>7.8044740007679626E-3</v>
      </c>
      <c r="AA279" s="3">
        <f t="shared" si="265"/>
        <v>7.8044739927099248E-3</v>
      </c>
      <c r="AB279" s="3">
        <f t="shared" si="265"/>
        <v>7.8044739121295465E-3</v>
      </c>
      <c r="AC279" s="3">
        <f t="shared" si="265"/>
        <v>7.804473106325825E-3</v>
      </c>
      <c r="AD279" s="3">
        <f t="shared" si="265"/>
        <v>7.8044650482931768E-3</v>
      </c>
      <c r="AE279" s="3">
        <f t="shared" si="265"/>
        <v>7.8043844684242848E-3</v>
      </c>
      <c r="AF279" s="3">
        <f t="shared" si="265"/>
        <v>7.8035787154925379E-3</v>
      </c>
      <c r="AG279" s="3"/>
      <c r="AH279" s="3"/>
    </row>
    <row r="280" spans="1:34" x14ac:dyDescent="0.25">
      <c r="A280" s="79">
        <f>AVERAGE(B280:AF280)</f>
        <v>7.7072817632901384E-3</v>
      </c>
      <c r="B280" s="80">
        <f>IF($D$61&lt;=B246,IF($E$61&gt;=B246,ABS((B248-B247)/B247),0),0)</f>
        <v>2.1503856453804562E-2</v>
      </c>
      <c r="C280" s="80">
        <f t="shared" ref="C280:AF280" si="266">IF($D$61&lt;=C246,IF($E$61&gt;=C246,ABS((C248-C247)/C247),0),0)</f>
        <v>2.1342831147391543E-2</v>
      </c>
      <c r="D280" s="80">
        <f t="shared" si="266"/>
        <v>1.9733530033566357E-2</v>
      </c>
      <c r="E280" s="80">
        <f t="shared" si="266"/>
        <v>6.5944814284660813E-3</v>
      </c>
      <c r="F280" s="80">
        <f t="shared" si="266"/>
        <v>1.1007410548957302E-2</v>
      </c>
      <c r="G280" s="80">
        <f t="shared" si="266"/>
        <v>8.0422573744550925E-3</v>
      </c>
      <c r="H280" s="80">
        <f t="shared" si="266"/>
        <v>3.0445171163142252E-3</v>
      </c>
      <c r="I280" s="80">
        <f t="shared" si="266"/>
        <v>4.4030957240810764E-3</v>
      </c>
      <c r="J280" s="80">
        <f t="shared" si="266"/>
        <v>4.6679907227388222E-3</v>
      </c>
      <c r="K280" s="80">
        <f t="shared" si="266"/>
        <v>5.2313149545664657E-3</v>
      </c>
      <c r="L280" s="80">
        <f t="shared" si="266"/>
        <v>5.6152362125459678E-3</v>
      </c>
      <c r="M280" s="80">
        <f t="shared" si="266"/>
        <v>5.6541087729465866E-3</v>
      </c>
      <c r="N280" s="80">
        <f t="shared" si="266"/>
        <v>5.7336753228375906E-3</v>
      </c>
      <c r="O280" s="80">
        <f t="shared" si="266"/>
        <v>6.9843105976495779E-3</v>
      </c>
      <c r="P280" s="80">
        <f t="shared" si="266"/>
        <v>8.1967662067082923E-3</v>
      </c>
      <c r="Q280" s="80">
        <f t="shared" si="266"/>
        <v>7.883579904292148E-3</v>
      </c>
      <c r="R280" s="80">
        <f t="shared" si="266"/>
        <v>4.3828838800966724E-3</v>
      </c>
      <c r="S280" s="80">
        <f t="shared" si="266"/>
        <v>3.061394789551238E-3</v>
      </c>
      <c r="T280" s="80">
        <f t="shared" si="266"/>
        <v>1.5822224164237102E-2</v>
      </c>
      <c r="U280" s="80">
        <f t="shared" si="266"/>
        <v>2.2788864167857137E-2</v>
      </c>
      <c r="V280" s="80">
        <f t="shared" si="266"/>
        <v>2.1332096241760176E-2</v>
      </c>
      <c r="W280" s="80">
        <f t="shared" si="266"/>
        <v>1.4660227475082116E-2</v>
      </c>
      <c r="X280" s="80">
        <f t="shared" si="266"/>
        <v>8.9425811970611953E-3</v>
      </c>
      <c r="Y280" s="80">
        <f t="shared" si="266"/>
        <v>2.2965002250269896E-3</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14545.725052376827</v>
      </c>
      <c r="C281" s="21">
        <f t="shared" ref="C281:AF281" si="267">(C248-C247)^2</f>
        <v>14323.579903728147</v>
      </c>
      <c r="D281" s="21">
        <f t="shared" si="267"/>
        <v>12201.349464236137</v>
      </c>
      <c r="E281" s="21">
        <f t="shared" si="267"/>
        <v>1323.0927062569617</v>
      </c>
      <c r="F281" s="21">
        <f t="shared" si="267"/>
        <v>3473.7357568532589</v>
      </c>
      <c r="G281" s="21">
        <f t="shared" si="267"/>
        <v>1777.935535282229</v>
      </c>
      <c r="H281" s="21">
        <f t="shared" si="267"/>
        <v>244.28724877684942</v>
      </c>
      <c r="I281" s="21">
        <f t="shared" si="267"/>
        <v>486.98644341208291</v>
      </c>
      <c r="J281" s="21">
        <f t="shared" si="267"/>
        <v>519.49832162077223</v>
      </c>
      <c r="K281" s="21">
        <f t="shared" si="267"/>
        <v>614.26198964590515</v>
      </c>
      <c r="L281" s="21">
        <f t="shared" si="267"/>
        <v>661.89662877912269</v>
      </c>
      <c r="M281" s="21">
        <f t="shared" si="267"/>
        <v>625.36552067821071</v>
      </c>
      <c r="N281" s="21">
        <f t="shared" si="267"/>
        <v>599.52840572928096</v>
      </c>
      <c r="O281" s="21">
        <f t="shared" si="267"/>
        <v>821.97139193436465</v>
      </c>
      <c r="P281" s="21">
        <f t="shared" si="267"/>
        <v>1024.1093482473971</v>
      </c>
      <c r="Q281" s="21">
        <f t="shared" si="267"/>
        <v>845.95065239097335</v>
      </c>
      <c r="R281" s="21">
        <f t="shared" si="267"/>
        <v>234.7622625194395</v>
      </c>
      <c r="S281" s="21">
        <f t="shared" si="267"/>
        <v>102.55147840107452</v>
      </c>
      <c r="T281" s="21">
        <f t="shared" si="267"/>
        <v>2411.6803731676387</v>
      </c>
      <c r="U281" s="21">
        <f t="shared" si="267"/>
        <v>4402.6303152796663</v>
      </c>
      <c r="V281" s="21">
        <f t="shared" si="267"/>
        <v>3389.5654829179039</v>
      </c>
      <c r="W281" s="21">
        <f t="shared" si="267"/>
        <v>1398.3281832939465</v>
      </c>
      <c r="X281" s="21">
        <f t="shared" si="267"/>
        <v>444.69920781294479</v>
      </c>
      <c r="Y281" s="21">
        <f t="shared" si="267"/>
        <v>24.565875077739154</v>
      </c>
      <c r="Z281" s="21">
        <f t="shared" si="267"/>
        <v>28.226191157427905</v>
      </c>
      <c r="AA281" s="21">
        <f t="shared" si="267"/>
        <v>527.44903459673378</v>
      </c>
      <c r="AB281" s="21">
        <f t="shared" si="267"/>
        <v>1080.5397521005364</v>
      </c>
      <c r="AC281" s="21">
        <f t="shared" si="267"/>
        <v>1367.2029306016384</v>
      </c>
      <c r="AD281" s="21">
        <f t="shared" si="267"/>
        <v>1141.4499941001873</v>
      </c>
      <c r="AE281" s="21">
        <f t="shared" si="267"/>
        <v>560.15308134032512</v>
      </c>
      <c r="AF281" s="21">
        <f t="shared" si="267"/>
        <v>188.64359272934789</v>
      </c>
      <c r="AG281" s="3"/>
      <c r="AH281" s="3"/>
    </row>
    <row r="282" spans="1:34" s="3" customFormat="1" x14ac:dyDescent="0.25">
      <c r="A282" s="71">
        <f>SUM(B282:AF282)</f>
        <v>66498.057548418859</v>
      </c>
      <c r="B282" s="21">
        <f>IF($D$61&lt;=B246,IF($E$61&gt;=B246,ABS(B281),0),0)</f>
        <v>14545.725052376827</v>
      </c>
      <c r="C282" s="21">
        <f t="shared" ref="C282:AF282" si="268">IF($D$61&lt;=C246,IF($E$61&gt;=C246,ABS(C281),0),0)</f>
        <v>14323.579903728147</v>
      </c>
      <c r="D282" s="21">
        <f t="shared" si="268"/>
        <v>12201.349464236137</v>
      </c>
      <c r="E282" s="21">
        <f t="shared" si="268"/>
        <v>1323.0927062569617</v>
      </c>
      <c r="F282" s="21">
        <f t="shared" si="268"/>
        <v>3473.7357568532589</v>
      </c>
      <c r="G282" s="21">
        <f t="shared" si="268"/>
        <v>1777.935535282229</v>
      </c>
      <c r="H282" s="21">
        <f t="shared" si="268"/>
        <v>244.28724877684942</v>
      </c>
      <c r="I282" s="21">
        <f t="shared" si="268"/>
        <v>486.98644341208291</v>
      </c>
      <c r="J282" s="21">
        <f t="shared" si="268"/>
        <v>519.49832162077223</v>
      </c>
      <c r="K282" s="21">
        <f t="shared" si="268"/>
        <v>614.26198964590515</v>
      </c>
      <c r="L282" s="21">
        <f t="shared" si="268"/>
        <v>661.89662877912269</v>
      </c>
      <c r="M282" s="21">
        <f t="shared" si="268"/>
        <v>625.36552067821071</v>
      </c>
      <c r="N282" s="21">
        <f t="shared" si="268"/>
        <v>599.52840572928096</v>
      </c>
      <c r="O282" s="21">
        <f t="shared" si="268"/>
        <v>821.97139193436465</v>
      </c>
      <c r="P282" s="21">
        <f t="shared" si="268"/>
        <v>1024.1093482473971</v>
      </c>
      <c r="Q282" s="21">
        <f t="shared" si="268"/>
        <v>845.95065239097335</v>
      </c>
      <c r="R282" s="21">
        <f t="shared" si="268"/>
        <v>234.7622625194395</v>
      </c>
      <c r="S282" s="21">
        <f t="shared" si="268"/>
        <v>102.55147840107452</v>
      </c>
      <c r="T282" s="21">
        <f t="shared" si="268"/>
        <v>2411.6803731676387</v>
      </c>
      <c r="U282" s="21">
        <f t="shared" si="268"/>
        <v>4402.6303152796663</v>
      </c>
      <c r="V282" s="21">
        <f t="shared" si="268"/>
        <v>3389.5654829179039</v>
      </c>
      <c r="W282" s="21">
        <f t="shared" si="268"/>
        <v>1398.3281832939465</v>
      </c>
      <c r="X282" s="21">
        <f t="shared" si="268"/>
        <v>444.69920781294479</v>
      </c>
      <c r="Y282" s="21">
        <f t="shared" si="268"/>
        <v>24.565875077739154</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5541.3343805505365</v>
      </c>
      <c r="C286" s="26">
        <f>INDEX(Comparison!$AM$3:$AS$33,G$14,$F$122)</f>
        <v>5343.1911525840997</v>
      </c>
      <c r="D286" s="26">
        <f>INDEX(Comparison!$AM$3:$AS$33,H$14,$F$122)</f>
        <v>5230.4848257433341</v>
      </c>
      <c r="E286" s="26">
        <f>INDEX(Comparison!$AM$3:$AS$33,I$14,$F$122)</f>
        <v>5120.1446027142574</v>
      </c>
      <c r="F286" s="26">
        <f>INDEX(Comparison!$AM$3:$AS$33,J$14,$F$122)</f>
        <v>4998.3099857085181</v>
      </c>
      <c r="G286" s="26">
        <f>INDEX(Comparison!$AM$3:$AS$33,K$14,$F$122)</f>
        <v>4868.289986185935</v>
      </c>
      <c r="H286" s="26">
        <f>INDEX(Comparison!$AM$3:$AS$33,L$14,$F$122)</f>
        <v>4722.7423685745798</v>
      </c>
      <c r="I286" s="26">
        <f>INDEX(Comparison!$AM$3:$AS$33,M$14,$F$122)</f>
        <v>4566.4647906515956</v>
      </c>
      <c r="J286" s="26">
        <f>INDEX(Comparison!$AM$3:$AS$33,N$14,$F$122)</f>
        <v>4408.434781704007</v>
      </c>
      <c r="K286" s="26">
        <f>INDEX(Comparison!$AM$3:$AS$33,O$14,$F$122)</f>
        <v>4256.2001953133786</v>
      </c>
      <c r="L286" s="26">
        <f>INDEX(Comparison!$AM$3:$AS$33,P$14,$F$122)</f>
        <v>4088.6897076558816</v>
      </c>
      <c r="M286" s="26">
        <f>INDEX(Comparison!$AM$3:$AS$33,Q$14,$F$122)</f>
        <v>3886.5453020717396</v>
      </c>
      <c r="N286" s="26">
        <f>INDEX(Comparison!$AM$3:$AS$33,R$14,$F$122)</f>
        <v>3674.0476464355193</v>
      </c>
      <c r="O286" s="26">
        <f>INDEX(Comparison!$AM$3:$AS$33,S$14,$F$122)</f>
        <v>3490.4964950029853</v>
      </c>
      <c r="P286" s="26">
        <f>INDEX(Comparison!$AM$3:$AS$33,T$14,$F$122)</f>
        <v>3328.6476119407066</v>
      </c>
      <c r="Q286" s="26">
        <f>INDEX(Comparison!$AM$3:$AS$33,U$14,$F$122)</f>
        <v>3162.6549081928265</v>
      </c>
      <c r="R286" s="26">
        <f>INDEX(Comparison!$AM$3:$AS$33,V$14,$F$122)</f>
        <v>2989.0593935666489</v>
      </c>
      <c r="S286" s="26">
        <f>INDEX(Comparison!$AM$3:$AS$33,W$14,$F$122)</f>
        <v>2798.1852090008501</v>
      </c>
      <c r="T286" s="26">
        <f>INDEX(Comparison!$AM$3:$AS$33,X$14,$F$122)</f>
        <v>2599.5030730508342</v>
      </c>
      <c r="U286" s="26">
        <f>INDEX(Comparison!$AM$3:$AS$33,Y$14,$F$122)</f>
        <v>2390.0680354035449</v>
      </c>
      <c r="V286" s="26">
        <f>INDEX(Comparison!$AM$3:$AS$33,Z$14,$F$122)</f>
        <v>2175.40034172183</v>
      </c>
      <c r="W286" s="26">
        <f>INDEX(Comparison!$AM$3:$AS$33,AA$14,$F$122)</f>
        <v>1944.7438917872487</v>
      </c>
      <c r="X286" s="26">
        <f>INDEX(Comparison!$AM$3:$AS$33,AB$14,$F$122)</f>
        <v>1692.3075271682321</v>
      </c>
      <c r="Y286" s="26">
        <f>INDEX(Comparison!$AM$3:$AS$33,AC$14,$F$122)</f>
        <v>1404.857998960405</v>
      </c>
      <c r="Z286" s="26">
        <f>INDEX(Comparison!$AM$3:$AS$33,AD$14,$F$122)</f>
        <v>1091.4425267820036</v>
      </c>
      <c r="AA286" s="26">
        <f>INDEX(Comparison!$AM$3:$AS$33,AE$14,$F$122)</f>
        <v>790.55484106714846</v>
      </c>
      <c r="AB286" s="26">
        <f>INDEX(Comparison!$AM$3:$AS$33,AF$14,$F$122)</f>
        <v>554.44228824478739</v>
      </c>
      <c r="AC286" s="26">
        <f>INDEX(Comparison!$AM$3:$AS$33,AG$14,$F$122)</f>
        <v>402.30286435501444</v>
      </c>
      <c r="AD286" s="26">
        <f>INDEX(Comparison!$AM$3:$AS$33,AH$14,$F$122)</f>
        <v>323.52349101295181</v>
      </c>
      <c r="AE286" s="26">
        <f>INDEX(Comparison!$AM$3:$AS$33,AI$14,$F$122)</f>
        <v>284.35137217816799</v>
      </c>
      <c r="AF286" s="26">
        <f>INDEX(Comparison!$AM$3:$AS$33,AJ$14,$F$122)</f>
        <v>264.92729834801332</v>
      </c>
      <c r="AG286" s="26"/>
      <c r="AH286" s="26"/>
    </row>
    <row r="287" spans="1:34" x14ac:dyDescent="0.25">
      <c r="A287" s="70" t="s">
        <v>22</v>
      </c>
      <c r="B287" s="27">
        <f>($C$17+SUM(B288:B318))*$B$51</f>
        <v>5480.4754128485947</v>
      </c>
      <c r="C287" s="27">
        <f t="shared" ref="C287:AF287" si="269">($C$17+SUM(C288:C318))*$B$51</f>
        <v>5421.0025946977021</v>
      </c>
      <c r="D287" s="27">
        <f t="shared" si="269"/>
        <v>5208.7553445460808</v>
      </c>
      <c r="E287" s="27">
        <f t="shared" si="269"/>
        <v>5123.0061881220754</v>
      </c>
      <c r="F287" s="27">
        <f t="shared" si="269"/>
        <v>4997.0418464999457</v>
      </c>
      <c r="G287" s="27">
        <f t="shared" si="269"/>
        <v>4867.5190065486186</v>
      </c>
      <c r="H287" s="27">
        <f t="shared" si="269"/>
        <v>4721.758271849837</v>
      </c>
      <c r="I287" s="27">
        <f t="shared" si="269"/>
        <v>4565.4468399739071</v>
      </c>
      <c r="J287" s="27">
        <f t="shared" si="269"/>
        <v>4407.360300350324</v>
      </c>
      <c r="K287" s="27">
        <f t="shared" si="269"/>
        <v>4255.2764199853536</v>
      </c>
      <c r="L287" s="27">
        <f t="shared" si="269"/>
        <v>4087.3650173131041</v>
      </c>
      <c r="M287" s="27">
        <f t="shared" si="269"/>
        <v>3885.3366906105871</v>
      </c>
      <c r="N287" s="27">
        <f t="shared" si="269"/>
        <v>3672.4933135800893</v>
      </c>
      <c r="O287" s="27">
        <f t="shared" si="269"/>
        <v>3489.7745738595445</v>
      </c>
      <c r="P287" s="27">
        <f t="shared" si="269"/>
        <v>3327.4202691885944</v>
      </c>
      <c r="Q287" s="27">
        <f t="shared" si="269"/>
        <v>3161.8889944936668</v>
      </c>
      <c r="R287" s="27">
        <f t="shared" si="269"/>
        <v>2987.8954982617311</v>
      </c>
      <c r="S287" s="27">
        <f t="shared" si="269"/>
        <v>2797.2236739438081</v>
      </c>
      <c r="T287" s="27">
        <f t="shared" si="269"/>
        <v>2598.3837398586043</v>
      </c>
      <c r="U287" s="27">
        <f t="shared" si="269"/>
        <v>2389.0393791219471</v>
      </c>
      <c r="V287" s="27">
        <f t="shared" si="269"/>
        <v>2174.2165390356531</v>
      </c>
      <c r="W287" s="27">
        <f t="shared" si="269"/>
        <v>1943.7018688699727</v>
      </c>
      <c r="X287" s="27">
        <f t="shared" si="269"/>
        <v>1690.5434014339785</v>
      </c>
      <c r="Y287" s="27">
        <f t="shared" si="269"/>
        <v>1402.9008044339555</v>
      </c>
      <c r="Z287" s="27">
        <f t="shared" si="269"/>
        <v>1089.4676194228532</v>
      </c>
      <c r="AA287" s="27">
        <f t="shared" si="269"/>
        <v>788.77137955296428</v>
      </c>
      <c r="AB287" s="27">
        <f t="shared" si="269"/>
        <v>553.246742819509</v>
      </c>
      <c r="AC287" s="27">
        <f t="shared" si="269"/>
        <v>401.58454606751951</v>
      </c>
      <c r="AD287" s="27">
        <f t="shared" si="269"/>
        <v>323.22957399836611</v>
      </c>
      <c r="AE287" s="27">
        <f t="shared" si="269"/>
        <v>284.15531563685306</v>
      </c>
      <c r="AF287" s="27">
        <f t="shared" si="269"/>
        <v>264.85996542573417</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4.9621787639418831E-2</v>
      </c>
      <c r="C289" s="3">
        <f t="shared" si="271"/>
        <v>3.9282724300854457E-2</v>
      </c>
      <c r="D289" s="3">
        <f t="shared" si="271"/>
        <v>3.7974628209973605E-3</v>
      </c>
      <c r="E289" s="3">
        <f t="shared" si="271"/>
        <v>2.7065300102461841E-13</v>
      </c>
      <c r="F289" s="3">
        <f t="shared" si="271"/>
        <v>9.1538967682730272E-115</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9.671040272035511E-3</v>
      </c>
      <c r="C290" s="3">
        <f t="shared" si="272"/>
        <v>9.4693393571360206E-3</v>
      </c>
      <c r="D290" s="3">
        <f t="shared" si="272"/>
        <v>7.6698093991494293E-3</v>
      </c>
      <c r="E290" s="3">
        <f t="shared" si="272"/>
        <v>9.3203769739366195E-4</v>
      </c>
      <c r="F290" s="3">
        <f t="shared" si="272"/>
        <v>6.5451943350329744E-13</v>
      </c>
      <c r="G290" s="3">
        <f t="shared" si="272"/>
        <v>1.9090320573712217E-104</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2.5353827675349619E-2</v>
      </c>
      <c r="C291" s="3">
        <f t="shared" si="273"/>
        <v>2.5305668313627037E-2</v>
      </c>
      <c r="D291" s="3">
        <f t="shared" si="273"/>
        <v>2.4829077438759159E-2</v>
      </c>
      <c r="E291" s="3">
        <f t="shared" si="273"/>
        <v>2.0529969274555117E-2</v>
      </c>
      <c r="F291" s="3">
        <f t="shared" si="273"/>
        <v>3.0666588342662987E-3</v>
      </c>
      <c r="G291" s="3">
        <f t="shared" si="273"/>
        <v>1.696043956049157E-11</v>
      </c>
      <c r="H291" s="3">
        <f t="shared" si="273"/>
        <v>4.5410209483101538E-94</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2.3101966544781076E-2</v>
      </c>
      <c r="C292" s="3">
        <f t="shared" si="274"/>
        <v>2.3098004601237229E-2</v>
      </c>
      <c r="D292" s="3">
        <f t="shared" si="274"/>
        <v>2.3058422517198494E-2</v>
      </c>
      <c r="E292" s="3">
        <f t="shared" si="274"/>
        <v>2.2666313222034162E-2</v>
      </c>
      <c r="F292" s="3">
        <f t="shared" si="274"/>
        <v>1.9093863642620026E-2</v>
      </c>
      <c r="G292" s="3">
        <f t="shared" si="274"/>
        <v>3.4357624205575048E-3</v>
      </c>
      <c r="H292" s="3">
        <f t="shared" si="274"/>
        <v>1.2226895752512612E-10</v>
      </c>
      <c r="I292" s="3">
        <f t="shared" si="274"/>
        <v>3.9833370108850771E-85</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2.7648185498332315E-2</v>
      </c>
      <c r="C293" s="3">
        <f t="shared" si="275"/>
        <v>2.7647757732156719E-2</v>
      </c>
      <c r="D293" s="3">
        <f t="shared" si="275"/>
        <v>2.764348043439022E-2</v>
      </c>
      <c r="E293" s="3">
        <f t="shared" si="275"/>
        <v>2.7600743834840517E-2</v>
      </c>
      <c r="F293" s="3">
        <f t="shared" si="275"/>
        <v>2.7176994911772074E-2</v>
      </c>
      <c r="G293" s="3">
        <f t="shared" si="275"/>
        <v>2.328133606792963E-2</v>
      </c>
      <c r="H293" s="3">
        <f t="shared" si="275"/>
        <v>4.9553298548066158E-3</v>
      </c>
      <c r="I293" s="3">
        <f t="shared" si="275"/>
        <v>9.4562568098376855E-10</v>
      </c>
      <c r="J293" s="3">
        <f t="shared" si="275"/>
        <v>6.056003960332203E-77</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2.9569048109586424E-2</v>
      </c>
      <c r="C294" s="3">
        <f t="shared" si="276"/>
        <v>2.9569006840315382E-2</v>
      </c>
      <c r="D294" s="3">
        <f t="shared" si="276"/>
        <v>2.9568594150772901E-2</v>
      </c>
      <c r="E294" s="3">
        <f t="shared" si="276"/>
        <v>2.9564467572125875E-2</v>
      </c>
      <c r="F294" s="3">
        <f t="shared" si="276"/>
        <v>2.9523233447080008E-2</v>
      </c>
      <c r="G294" s="3">
        <f t="shared" si="276"/>
        <v>2.9114042049765899E-2</v>
      </c>
      <c r="H294" s="3">
        <f t="shared" si="276"/>
        <v>2.5321436982336867E-2</v>
      </c>
      <c r="I294" s="3">
        <f t="shared" si="276"/>
        <v>6.2711440943704613E-3</v>
      </c>
      <c r="J294" s="3">
        <f t="shared" si="276"/>
        <v>5.4441627183926343E-9</v>
      </c>
      <c r="K294" s="3">
        <f t="shared" si="276"/>
        <v>1.3236533728721284E-69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2.9954793526639475E-2</v>
      </c>
      <c r="C295" s="3">
        <f t="shared" si="277"/>
        <v>2.9954789755239002E-2</v>
      </c>
      <c r="D295" s="3">
        <f t="shared" si="277"/>
        <v>2.9954752041260409E-2</v>
      </c>
      <c r="E295" s="3">
        <f t="shared" si="277"/>
        <v>2.9954374904086003E-2</v>
      </c>
      <c r="F295" s="3">
        <f t="shared" si="277"/>
        <v>2.9950603793485481E-2</v>
      </c>
      <c r="G295" s="3">
        <f t="shared" si="277"/>
        <v>2.9912918789670537E-2</v>
      </c>
      <c r="H295" s="3">
        <f t="shared" si="277"/>
        <v>2.953866685191233E-2</v>
      </c>
      <c r="I295" s="3">
        <f t="shared" si="277"/>
        <v>2.6044251387069246E-2</v>
      </c>
      <c r="J295" s="3">
        <f t="shared" si="277"/>
        <v>7.3947204051577333E-3</v>
      </c>
      <c r="K295" s="3">
        <f t="shared" si="277"/>
        <v>2.5177960679976159E-8</v>
      </c>
      <c r="L295" s="3">
        <f t="shared" si="277"/>
        <v>5.2724015780452149E-63</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2.7077191959064637E-2</v>
      </c>
      <c r="C296" s="3">
        <f t="shared" si="278"/>
        <v>2.7077191651535295E-2</v>
      </c>
      <c r="D296" s="3">
        <f t="shared" si="278"/>
        <v>2.707718857624206E-2</v>
      </c>
      <c r="E296" s="3">
        <f t="shared" si="278"/>
        <v>2.7077157823328906E-2</v>
      </c>
      <c r="F296" s="3">
        <f t="shared" si="278"/>
        <v>2.7076850296118386E-2</v>
      </c>
      <c r="G296" s="3">
        <f t="shared" si="278"/>
        <v>2.7073775216106342E-2</v>
      </c>
      <c r="H296" s="3">
        <f t="shared" si="278"/>
        <v>2.7043043617232643E-2</v>
      </c>
      <c r="I296" s="3">
        <f t="shared" si="278"/>
        <v>2.6737639708728146E-2</v>
      </c>
      <c r="J296" s="3">
        <f t="shared" si="278"/>
        <v>2.3867011870159351E-2</v>
      </c>
      <c r="K296" s="3">
        <f t="shared" si="278"/>
        <v>7.6656303269138455E-3</v>
      </c>
      <c r="L296" s="3">
        <f t="shared" si="278"/>
        <v>8.9545980754407585E-8</v>
      </c>
      <c r="M296" s="3">
        <f t="shared" si="278"/>
        <v>4.2367062653588711E-57</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3.1999713529876878E-2</v>
      </c>
      <c r="C297" s="3">
        <f t="shared" si="279"/>
        <v>3.1999713497091846E-2</v>
      </c>
      <c r="D297" s="3">
        <f t="shared" si="279"/>
        <v>3.1999713169241523E-2</v>
      </c>
      <c r="E297" s="3">
        <f t="shared" si="279"/>
        <v>3.1999709890738463E-2</v>
      </c>
      <c r="F297" s="3">
        <f t="shared" si="279"/>
        <v>3.1999677105726362E-2</v>
      </c>
      <c r="G297" s="3">
        <f t="shared" si="279"/>
        <v>3.1999349257452757E-2</v>
      </c>
      <c r="H297" s="3">
        <f t="shared" si="279"/>
        <v>3.1996070959451901E-2</v>
      </c>
      <c r="I297" s="3">
        <f t="shared" si="279"/>
        <v>3.196330644595767E-2</v>
      </c>
      <c r="J297" s="3">
        <f t="shared" si="279"/>
        <v>3.1637500981304391E-2</v>
      </c>
      <c r="K297" s="3">
        <f t="shared" si="279"/>
        <v>2.8556626557044419E-2</v>
      </c>
      <c r="L297" s="3">
        <f t="shared" si="279"/>
        <v>1.0250716148648302E-2</v>
      </c>
      <c r="M297" s="3">
        <f t="shared" si="279"/>
        <v>3.641055196846697E-7</v>
      </c>
      <c r="N297" s="3">
        <f t="shared" si="279"/>
        <v>1.164012952282564E-51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4.0927045286819008E-2</v>
      </c>
      <c r="C298" s="3">
        <f t="shared" si="280"/>
        <v>4.0927045283036437E-2</v>
      </c>
      <c r="D298" s="3">
        <f t="shared" si="280"/>
        <v>4.0927045245210777E-2</v>
      </c>
      <c r="E298" s="3">
        <f t="shared" si="280"/>
        <v>4.0927044866954185E-2</v>
      </c>
      <c r="F298" s="3">
        <f t="shared" si="280"/>
        <v>4.092704108438841E-2</v>
      </c>
      <c r="G298" s="3">
        <f t="shared" si="280"/>
        <v>4.0927003258749935E-2</v>
      </c>
      <c r="H298" s="3">
        <f t="shared" si="280"/>
        <v>4.0926625004287884E-2</v>
      </c>
      <c r="I298" s="3">
        <f t="shared" si="280"/>
        <v>4.0922842651936214E-2</v>
      </c>
      <c r="J298" s="3">
        <f t="shared" si="280"/>
        <v>4.0885038348726553E-2</v>
      </c>
      <c r="K298" s="3">
        <f t="shared" si="280"/>
        <v>4.0508910790935312E-2</v>
      </c>
      <c r="L298" s="3">
        <f t="shared" si="280"/>
        <v>3.6932791245147721E-2</v>
      </c>
      <c r="M298" s="3">
        <f t="shared" si="280"/>
        <v>1.4656416035687431E-2</v>
      </c>
      <c r="N298" s="3">
        <f t="shared" si="280"/>
        <v>1.4196598988365716E-6</v>
      </c>
      <c r="O298" s="3">
        <f t="shared" si="280"/>
        <v>1.032166171736787E-46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4.0580339082488134E-2</v>
      </c>
      <c r="C299" s="3">
        <f t="shared" si="281"/>
        <v>4.0580339082149808E-2</v>
      </c>
      <c r="D299" s="3">
        <f t="shared" si="281"/>
        <v>4.0580339078766521E-2</v>
      </c>
      <c r="E299" s="3">
        <f t="shared" si="281"/>
        <v>4.0580339044933689E-2</v>
      </c>
      <c r="F299" s="3">
        <f t="shared" si="281"/>
        <v>4.0580338706605351E-2</v>
      </c>
      <c r="G299" s="3">
        <f t="shared" si="281"/>
        <v>4.058033532332208E-2</v>
      </c>
      <c r="H299" s="3">
        <f t="shared" si="281"/>
        <v>4.05803014905049E-2</v>
      </c>
      <c r="I299" s="3">
        <f t="shared" si="281"/>
        <v>4.0579963163884514E-2</v>
      </c>
      <c r="J299" s="3">
        <f t="shared" si="281"/>
        <v>4.0576580052815357E-2</v>
      </c>
      <c r="K299" s="3">
        <f t="shared" si="281"/>
        <v>4.05427644508074E-2</v>
      </c>
      <c r="L299" s="3">
        <f t="shared" si="281"/>
        <v>4.020615452565475E-2</v>
      </c>
      <c r="M299" s="3">
        <f t="shared" si="281"/>
        <v>3.6989999902571874E-2</v>
      </c>
      <c r="N299" s="3">
        <f t="shared" si="281"/>
        <v>1.6069496052176949E-2</v>
      </c>
      <c r="O299" s="3">
        <f t="shared" si="281"/>
        <v>3.8475256899622526E-6</v>
      </c>
      <c r="P299" s="3">
        <f t="shared" si="281"/>
        <v>2.382178159404753E-42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2.9296968108169764E-2</v>
      </c>
      <c r="C300" s="3">
        <f t="shared" si="282"/>
        <v>2.929696810814773E-2</v>
      </c>
      <c r="D300" s="3">
        <f t="shared" si="282"/>
        <v>2.9296968107927392E-2</v>
      </c>
      <c r="E300" s="3">
        <f t="shared" si="282"/>
        <v>2.9296968105723999E-2</v>
      </c>
      <c r="F300" s="3">
        <f t="shared" si="282"/>
        <v>2.9296968083690068E-2</v>
      </c>
      <c r="G300" s="3">
        <f t="shared" si="282"/>
        <v>2.9296967863350763E-2</v>
      </c>
      <c r="H300" s="3">
        <f t="shared" si="282"/>
        <v>2.9296965659957788E-2</v>
      </c>
      <c r="I300" s="3">
        <f t="shared" si="282"/>
        <v>2.9296943626037124E-2</v>
      </c>
      <c r="J300" s="3">
        <f t="shared" si="282"/>
        <v>2.9296723287741969E-2</v>
      </c>
      <c r="K300" s="3">
        <f t="shared" si="282"/>
        <v>2.9294519995930739E-2</v>
      </c>
      <c r="L300" s="3">
        <f t="shared" si="282"/>
        <v>2.9272496189314667E-2</v>
      </c>
      <c r="M300" s="3">
        <f t="shared" si="282"/>
        <v>2.9053166742387032E-2</v>
      </c>
      <c r="N300" s="3">
        <f t="shared" si="282"/>
        <v>2.6948255816694817E-2</v>
      </c>
      <c r="O300" s="3">
        <f t="shared" si="282"/>
        <v>1.2702889180213856E-2</v>
      </c>
      <c r="P300" s="3">
        <f t="shared" si="282"/>
        <v>6.8805156740483854E-6</v>
      </c>
      <c r="Q300" s="3">
        <f t="shared" si="282"/>
        <v>1.495566678789635E-38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3.1189849975263941E-2</v>
      </c>
      <c r="C301" s="3">
        <f t="shared" si="283"/>
        <v>3.1189849975261825E-2</v>
      </c>
      <c r="D301" s="3">
        <f t="shared" si="283"/>
        <v>3.1189849975240665E-2</v>
      </c>
      <c r="E301" s="3">
        <f t="shared" si="283"/>
        <v>3.118984997502906E-2</v>
      </c>
      <c r="F301" s="3">
        <f t="shared" si="283"/>
        <v>3.1189849972912992E-2</v>
      </c>
      <c r="G301" s="3">
        <f t="shared" si="283"/>
        <v>3.1189849951752335E-2</v>
      </c>
      <c r="H301" s="3">
        <f t="shared" si="283"/>
        <v>3.1189849740145749E-2</v>
      </c>
      <c r="I301" s="3">
        <f t="shared" si="283"/>
        <v>3.1189847624079985E-2</v>
      </c>
      <c r="J301" s="3">
        <f t="shared" si="283"/>
        <v>3.1189826463430215E-2</v>
      </c>
      <c r="K301" s="3">
        <f t="shared" si="283"/>
        <v>3.118961485772213E-2</v>
      </c>
      <c r="L301" s="3">
        <f t="shared" si="283"/>
        <v>3.118749887959921E-2</v>
      </c>
      <c r="M301" s="3">
        <f t="shared" si="283"/>
        <v>3.1166346992179399E-2</v>
      </c>
      <c r="N301" s="3">
        <f t="shared" si="283"/>
        <v>3.0955615520966432E-2</v>
      </c>
      <c r="O301" s="3">
        <f t="shared" si="283"/>
        <v>2.8925099884499209E-2</v>
      </c>
      <c r="P301" s="3">
        <f t="shared" si="283"/>
        <v>1.467672312269272E-2</v>
      </c>
      <c r="Q301" s="3">
        <f t="shared" si="283"/>
        <v>1.6602421715357721E-5</v>
      </c>
      <c r="R301" s="3">
        <f t="shared" si="283"/>
        <v>5.6963260400584594E-35</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2.9811720745936254E-2</v>
      </c>
      <c r="C302" s="3">
        <f t="shared" si="284"/>
        <v>2.9811720745936073E-2</v>
      </c>
      <c r="D302" s="3">
        <f t="shared" si="284"/>
        <v>2.9811720745934245E-2</v>
      </c>
      <c r="E302" s="3">
        <f t="shared" si="284"/>
        <v>2.9811720745916002E-2</v>
      </c>
      <c r="F302" s="3">
        <f t="shared" si="284"/>
        <v>2.9811720745733548E-2</v>
      </c>
      <c r="G302" s="3">
        <f t="shared" si="284"/>
        <v>2.9811720743909028E-2</v>
      </c>
      <c r="H302" s="3">
        <f t="shared" si="284"/>
        <v>2.9811720725663786E-2</v>
      </c>
      <c r="I302" s="3">
        <f t="shared" si="284"/>
        <v>2.981172054321141E-2</v>
      </c>
      <c r="J302" s="3">
        <f t="shared" si="284"/>
        <v>2.9811718718687694E-2</v>
      </c>
      <c r="K302" s="3">
        <f t="shared" si="284"/>
        <v>2.9811700473456691E-2</v>
      </c>
      <c r="L302" s="3">
        <f t="shared" si="284"/>
        <v>2.9811518021760779E-2</v>
      </c>
      <c r="M302" s="3">
        <f t="shared" si="284"/>
        <v>2.980969356621517E-2</v>
      </c>
      <c r="N302" s="3">
        <f t="shared" si="284"/>
        <v>2.9791455150717575E-2</v>
      </c>
      <c r="O302" s="3">
        <f t="shared" si="284"/>
        <v>2.9609683603498301E-2</v>
      </c>
      <c r="P302" s="3">
        <f t="shared" si="284"/>
        <v>2.7851864099856769E-2</v>
      </c>
      <c r="Q302" s="3">
        <f t="shared" si="284"/>
        <v>1.5102862701851924E-2</v>
      </c>
      <c r="R302" s="3">
        <f t="shared" si="284"/>
        <v>3.3197802975419047E-5</v>
      </c>
      <c r="S302" s="3">
        <f t="shared" si="284"/>
        <v>8.7419844851301868E-32</v>
      </c>
      <c r="T302" s="3">
        <f t="shared" si="284"/>
        <v>1.40157684493648E-297</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3.510109139331883E-2</v>
      </c>
      <c r="C303" s="3">
        <f t="shared" si="285"/>
        <v>3.5101091393318816E-2</v>
      </c>
      <c r="D303" s="3">
        <f t="shared" si="285"/>
        <v>3.5101091393318622E-2</v>
      </c>
      <c r="E303" s="3">
        <f t="shared" si="285"/>
        <v>3.5101091393316679E-2</v>
      </c>
      <c r="F303" s="3">
        <f t="shared" si="285"/>
        <v>3.5101091393297305E-2</v>
      </c>
      <c r="G303" s="3">
        <f t="shared" si="285"/>
        <v>3.5101091393103516E-2</v>
      </c>
      <c r="H303" s="3">
        <f t="shared" si="285"/>
        <v>3.5101091391165622E-2</v>
      </c>
      <c r="I303" s="3">
        <f t="shared" si="285"/>
        <v>3.51010913717867E-2</v>
      </c>
      <c r="J303" s="3">
        <f t="shared" si="285"/>
        <v>3.5101091177997444E-2</v>
      </c>
      <c r="K303" s="3">
        <f t="shared" si="285"/>
        <v>3.5101089240104945E-2</v>
      </c>
      <c r="L303" s="3">
        <f t="shared" si="285"/>
        <v>3.5101069861185878E-2</v>
      </c>
      <c r="M303" s="3">
        <f t="shared" si="285"/>
        <v>3.5100876072583657E-2</v>
      </c>
      <c r="N303" s="3">
        <f t="shared" si="285"/>
        <v>3.5098938245403964E-2</v>
      </c>
      <c r="O303" s="3">
        <f t="shared" si="285"/>
        <v>3.5079565856661853E-2</v>
      </c>
      <c r="P303" s="3">
        <f t="shared" si="285"/>
        <v>3.4886429074743035E-2</v>
      </c>
      <c r="Q303" s="3">
        <f t="shared" si="285"/>
        <v>3.301259001313106E-2</v>
      </c>
      <c r="R303" s="3">
        <f t="shared" si="285"/>
        <v>1.9006861170876948E-2</v>
      </c>
      <c r="S303" s="3">
        <f t="shared" si="285"/>
        <v>7.6070880744095529E-5</v>
      </c>
      <c r="T303" s="3">
        <f t="shared" si="285"/>
        <v>8.0222993585657613E-29</v>
      </c>
      <c r="U303" s="3">
        <f t="shared" si="285"/>
        <v>1.3649069927471766E-268</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3.5333951268882481E-2</v>
      </c>
      <c r="C304" s="3">
        <f t="shared" si="286"/>
        <v>3.5333951268882481E-2</v>
      </c>
      <c r="D304" s="3">
        <f t="shared" si="286"/>
        <v>3.533395126888246E-2</v>
      </c>
      <c r="E304" s="3">
        <f t="shared" si="286"/>
        <v>3.5333951268882287E-2</v>
      </c>
      <c r="F304" s="3">
        <f t="shared" si="286"/>
        <v>3.5333951268880524E-2</v>
      </c>
      <c r="G304" s="3">
        <f t="shared" si="286"/>
        <v>3.5333951268862927E-2</v>
      </c>
      <c r="H304" s="3">
        <f t="shared" si="286"/>
        <v>3.5333951268686957E-2</v>
      </c>
      <c r="I304" s="3">
        <f t="shared" si="286"/>
        <v>3.5333951266927219E-2</v>
      </c>
      <c r="J304" s="3">
        <f t="shared" si="286"/>
        <v>3.5333951249329844E-2</v>
      </c>
      <c r="K304" s="3">
        <f t="shared" si="286"/>
        <v>3.5333951073356101E-2</v>
      </c>
      <c r="L304" s="3">
        <f t="shared" si="286"/>
        <v>3.5333949313618725E-2</v>
      </c>
      <c r="M304" s="3">
        <f t="shared" si="286"/>
        <v>3.533393171624976E-2</v>
      </c>
      <c r="N304" s="3">
        <f t="shared" si="286"/>
        <v>3.5333755743042206E-2</v>
      </c>
      <c r="O304" s="3">
        <f t="shared" si="286"/>
        <v>3.5331996059167765E-2</v>
      </c>
      <c r="P304" s="3">
        <f t="shared" si="286"/>
        <v>3.5314404039649534E-2</v>
      </c>
      <c r="Q304" s="3">
        <f t="shared" si="286"/>
        <v>3.513896488022452E-2</v>
      </c>
      <c r="R304" s="3">
        <f t="shared" si="286"/>
        <v>3.3431802136033681E-2</v>
      </c>
      <c r="S304" s="3">
        <f t="shared" si="286"/>
        <v>2.0317395107797159E-2</v>
      </c>
      <c r="T304" s="3">
        <f t="shared" si="286"/>
        <v>1.3962089300283931E-4</v>
      </c>
      <c r="U304" s="3">
        <f t="shared" si="286"/>
        <v>3.279247998907791E-26</v>
      </c>
      <c r="V304" s="3">
        <f t="shared" si="286"/>
        <v>1.6749921278794606E-242</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3.9261973776363202E-2</v>
      </c>
      <c r="C305" s="3">
        <f t="shared" si="287"/>
        <v>3.9261973776363202E-2</v>
      </c>
      <c r="D305" s="3">
        <f t="shared" si="287"/>
        <v>3.9261973776363202E-2</v>
      </c>
      <c r="E305" s="3">
        <f t="shared" si="287"/>
        <v>3.9261973776363181E-2</v>
      </c>
      <c r="F305" s="3">
        <f t="shared" si="287"/>
        <v>3.9261973776363007E-2</v>
      </c>
      <c r="G305" s="3">
        <f t="shared" si="287"/>
        <v>3.9261973776361238E-2</v>
      </c>
      <c r="H305" s="3">
        <f t="shared" si="287"/>
        <v>3.9261973776343606E-2</v>
      </c>
      <c r="I305" s="3">
        <f t="shared" si="287"/>
        <v>3.9261973776167212E-2</v>
      </c>
      <c r="J305" s="3">
        <f t="shared" si="287"/>
        <v>3.9261973774403311E-2</v>
      </c>
      <c r="K305" s="3">
        <f t="shared" si="287"/>
        <v>3.9261973756764296E-2</v>
      </c>
      <c r="L305" s="3">
        <f t="shared" si="287"/>
        <v>3.9261973580374122E-2</v>
      </c>
      <c r="M305" s="3">
        <f t="shared" si="287"/>
        <v>3.9261971816472438E-2</v>
      </c>
      <c r="N305" s="3">
        <f t="shared" si="287"/>
        <v>3.9261954177459993E-2</v>
      </c>
      <c r="O305" s="3">
        <f t="shared" si="287"/>
        <v>3.9261777787771415E-2</v>
      </c>
      <c r="P305" s="3">
        <f t="shared" si="287"/>
        <v>3.9260013934469991E-2</v>
      </c>
      <c r="Q305" s="3">
        <f t="shared" si="287"/>
        <v>3.9242379759173739E-2</v>
      </c>
      <c r="R305" s="3">
        <f t="shared" si="287"/>
        <v>3.9066473054506147E-2</v>
      </c>
      <c r="S305" s="3">
        <f t="shared" si="287"/>
        <v>3.7350196273811774E-2</v>
      </c>
      <c r="T305" s="3">
        <f t="shared" si="287"/>
        <v>2.3833055577849083E-2</v>
      </c>
      <c r="U305" s="3">
        <f t="shared" si="287"/>
        <v>2.6671540451034302E-4</v>
      </c>
      <c r="V305" s="3">
        <f t="shared" si="287"/>
        <v>8.217351017992031E-24</v>
      </c>
      <c r="W305" s="3">
        <f t="shared" si="287"/>
        <v>6.3324130039915659E-219</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3.7079136060128547E-2</v>
      </c>
      <c r="C306" s="3">
        <f t="shared" si="288"/>
        <v>3.7079136060128547E-2</v>
      </c>
      <c r="D306" s="3">
        <f t="shared" si="288"/>
        <v>3.7079136060128547E-2</v>
      </c>
      <c r="E306" s="3">
        <f t="shared" si="288"/>
        <v>3.7079136060128547E-2</v>
      </c>
      <c r="F306" s="3">
        <f t="shared" si="288"/>
        <v>3.7079136060128533E-2</v>
      </c>
      <c r="G306" s="3">
        <f t="shared" si="288"/>
        <v>3.707913606012838E-2</v>
      </c>
      <c r="H306" s="3">
        <f t="shared" si="288"/>
        <v>3.7079136060126874E-2</v>
      </c>
      <c r="I306" s="3">
        <f t="shared" si="288"/>
        <v>3.7079136060111852E-2</v>
      </c>
      <c r="J306" s="3">
        <f t="shared" si="288"/>
        <v>3.7079136059961576E-2</v>
      </c>
      <c r="K306" s="3">
        <f t="shared" si="288"/>
        <v>3.7079136058458854E-2</v>
      </c>
      <c r="L306" s="3">
        <f t="shared" si="288"/>
        <v>3.7079136043431639E-2</v>
      </c>
      <c r="M306" s="3">
        <f t="shared" si="288"/>
        <v>3.7079135893159511E-2</v>
      </c>
      <c r="N306" s="3">
        <f t="shared" si="288"/>
        <v>3.7079134390438202E-2</v>
      </c>
      <c r="O306" s="3">
        <f t="shared" si="288"/>
        <v>3.7079119363228497E-2</v>
      </c>
      <c r="P306" s="3">
        <f t="shared" si="288"/>
        <v>3.7078969091466372E-2</v>
      </c>
      <c r="Q306" s="3">
        <f t="shared" si="288"/>
        <v>3.7077466407340311E-2</v>
      </c>
      <c r="R306" s="3">
        <f t="shared" si="288"/>
        <v>3.70624429150989E-2</v>
      </c>
      <c r="S306" s="3">
        <f t="shared" si="288"/>
        <v>3.6912542392957215E-2</v>
      </c>
      <c r="T306" s="3">
        <f t="shared" si="288"/>
        <v>3.5446481150255747E-2</v>
      </c>
      <c r="U306" s="3">
        <f t="shared" si="288"/>
        <v>2.3635501616465833E-2</v>
      </c>
      <c r="V306" s="3">
        <f t="shared" si="288"/>
        <v>4.1065940970026347E-4</v>
      </c>
      <c r="W306" s="3">
        <f t="shared" si="288"/>
        <v>1.0295592059220208E-21</v>
      </c>
      <c r="X306" s="3">
        <f t="shared" si="288"/>
        <v>1.0100591409086819E-197</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4.610056969230196E-2</v>
      </c>
      <c r="C307" s="3">
        <f t="shared" si="289"/>
        <v>4.610056969230196E-2</v>
      </c>
      <c r="D307" s="3">
        <f t="shared" si="289"/>
        <v>4.610056969230196E-2</v>
      </c>
      <c r="E307" s="3">
        <f t="shared" si="289"/>
        <v>4.610056969230196E-2</v>
      </c>
      <c r="F307" s="3">
        <f t="shared" si="289"/>
        <v>4.610056969230196E-2</v>
      </c>
      <c r="G307" s="3">
        <f t="shared" si="289"/>
        <v>4.6100569692301939E-2</v>
      </c>
      <c r="H307" s="3">
        <f t="shared" si="289"/>
        <v>4.6100569692301772E-2</v>
      </c>
      <c r="I307" s="3">
        <f t="shared" si="289"/>
        <v>4.6100569692300086E-2</v>
      </c>
      <c r="J307" s="3">
        <f t="shared" si="289"/>
        <v>4.6100569692283232E-2</v>
      </c>
      <c r="K307" s="3">
        <f t="shared" si="289"/>
        <v>4.6100569692114693E-2</v>
      </c>
      <c r="L307" s="3">
        <f t="shared" si="289"/>
        <v>4.6100569690429298E-2</v>
      </c>
      <c r="M307" s="3">
        <f t="shared" si="289"/>
        <v>4.6100569673575349E-2</v>
      </c>
      <c r="N307" s="3">
        <f t="shared" si="289"/>
        <v>4.6100569505035841E-2</v>
      </c>
      <c r="O307" s="3">
        <f t="shared" si="289"/>
        <v>4.610056781964076E-2</v>
      </c>
      <c r="P307" s="3">
        <f t="shared" si="289"/>
        <v>4.6100550965693356E-2</v>
      </c>
      <c r="Q307" s="3">
        <f t="shared" si="289"/>
        <v>4.6100382426558201E-2</v>
      </c>
      <c r="R307" s="3">
        <f t="shared" si="289"/>
        <v>4.6098697069095307E-2</v>
      </c>
      <c r="S307" s="3">
        <f t="shared" si="289"/>
        <v>4.6081846882865624E-2</v>
      </c>
      <c r="T307" s="3">
        <f t="shared" si="289"/>
        <v>4.5913683402605994E-2</v>
      </c>
      <c r="U307" s="3">
        <f t="shared" si="289"/>
        <v>4.426543352053295E-2</v>
      </c>
      <c r="V307" s="3">
        <f t="shared" si="289"/>
        <v>3.07107617448651E-2</v>
      </c>
      <c r="W307" s="3">
        <f t="shared" si="289"/>
        <v>7.9350424995151424E-4</v>
      </c>
      <c r="X307" s="3">
        <f t="shared" si="289"/>
        <v>1.0522912062959149E-19</v>
      </c>
      <c r="Y307" s="3">
        <f t="shared" si="289"/>
        <v>1.7701202933199414E-178</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2.4069457926978895E-2</v>
      </c>
      <c r="C308" s="3">
        <f t="shared" si="290"/>
        <v>2.4069457926978895E-2</v>
      </c>
      <c r="D308" s="3">
        <f t="shared" si="290"/>
        <v>2.4069457926978895E-2</v>
      </c>
      <c r="E308" s="3">
        <f t="shared" si="290"/>
        <v>2.4069457926978895E-2</v>
      </c>
      <c r="F308" s="3">
        <f t="shared" si="290"/>
        <v>2.4069457926978895E-2</v>
      </c>
      <c r="G308" s="3">
        <f t="shared" si="290"/>
        <v>2.4069457926978895E-2</v>
      </c>
      <c r="H308" s="3">
        <f t="shared" si="290"/>
        <v>2.4069457926978888E-2</v>
      </c>
      <c r="I308" s="3">
        <f t="shared" si="290"/>
        <v>2.4069457926978809E-2</v>
      </c>
      <c r="J308" s="3">
        <f t="shared" si="290"/>
        <v>2.4069457926978014E-2</v>
      </c>
      <c r="K308" s="3">
        <f t="shared" si="290"/>
        <v>2.4069457926970073E-2</v>
      </c>
      <c r="L308" s="3">
        <f t="shared" si="290"/>
        <v>2.4069457926890695E-2</v>
      </c>
      <c r="M308" s="3">
        <f t="shared" si="290"/>
        <v>2.4069457926096903E-2</v>
      </c>
      <c r="N308" s="3">
        <f t="shared" si="290"/>
        <v>2.4069457918158951E-2</v>
      </c>
      <c r="O308" s="3">
        <f t="shared" si="290"/>
        <v>2.4069457838779455E-2</v>
      </c>
      <c r="P308" s="3">
        <f t="shared" si="290"/>
        <v>2.4069457044984508E-2</v>
      </c>
      <c r="Q308" s="3">
        <f t="shared" si="290"/>
        <v>2.4069449107036463E-2</v>
      </c>
      <c r="R308" s="3">
        <f t="shared" si="290"/>
        <v>2.4069369727700008E-2</v>
      </c>
      <c r="S308" s="3">
        <f t="shared" si="290"/>
        <v>2.4068575948733607E-2</v>
      </c>
      <c r="T308" s="3">
        <f t="shared" si="290"/>
        <v>2.4060639598710527E-2</v>
      </c>
      <c r="U308" s="3">
        <f t="shared" si="290"/>
        <v>2.3981419887055006E-2</v>
      </c>
      <c r="V308" s="3">
        <f t="shared" si="290"/>
        <v>2.320342770909516E-2</v>
      </c>
      <c r="W308" s="3">
        <f t="shared" si="290"/>
        <v>1.6684940744073947E-2</v>
      </c>
      <c r="X308" s="3">
        <f t="shared" si="290"/>
        <v>6.1666585229770232E-4</v>
      </c>
      <c r="Y308" s="3">
        <f t="shared" si="290"/>
        <v>2.932933496407322E-18</v>
      </c>
      <c r="Z308" s="3">
        <f t="shared" si="290"/>
        <v>1.7371021974190089E-161</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4.2363904015121308E-2</v>
      </c>
      <c r="C309" s="3">
        <f t="shared" si="291"/>
        <v>4.2363904015121308E-2</v>
      </c>
      <c r="D309" s="3">
        <f t="shared" si="291"/>
        <v>4.2363904015121308E-2</v>
      </c>
      <c r="E309" s="3">
        <f t="shared" si="291"/>
        <v>4.2363904015121308E-2</v>
      </c>
      <c r="F309" s="3">
        <f t="shared" si="291"/>
        <v>4.2363904015121308E-2</v>
      </c>
      <c r="G309" s="3">
        <f t="shared" si="291"/>
        <v>4.2363904015121308E-2</v>
      </c>
      <c r="H309" s="3">
        <f t="shared" si="291"/>
        <v>4.2363904015121301E-2</v>
      </c>
      <c r="I309" s="3">
        <f t="shared" si="291"/>
        <v>4.2363904015121266E-2</v>
      </c>
      <c r="J309" s="3">
        <f t="shared" si="291"/>
        <v>4.2363904015120878E-2</v>
      </c>
      <c r="K309" s="3">
        <f t="shared" si="291"/>
        <v>4.2363904015117013E-2</v>
      </c>
      <c r="L309" s="3">
        <f t="shared" si="291"/>
        <v>4.236390401507837E-2</v>
      </c>
      <c r="M309" s="3">
        <f t="shared" si="291"/>
        <v>4.2363904014691957E-2</v>
      </c>
      <c r="N309" s="3">
        <f t="shared" si="291"/>
        <v>4.2363904010827839E-2</v>
      </c>
      <c r="O309" s="3">
        <f t="shared" si="291"/>
        <v>4.2363903972186617E-2</v>
      </c>
      <c r="P309" s="3">
        <f t="shared" si="291"/>
        <v>4.2363903585774382E-2</v>
      </c>
      <c r="Q309" s="3">
        <f t="shared" si="291"/>
        <v>4.2363899721652269E-2</v>
      </c>
      <c r="R309" s="3">
        <f t="shared" si="291"/>
        <v>4.2363861080450482E-2</v>
      </c>
      <c r="S309" s="3">
        <f t="shared" si="291"/>
        <v>4.236347467037109E-2</v>
      </c>
      <c r="T309" s="3">
        <f t="shared" si="291"/>
        <v>4.2359610763421159E-2</v>
      </c>
      <c r="U309" s="3">
        <f t="shared" si="291"/>
        <v>4.2320991071772486E-2</v>
      </c>
      <c r="V309" s="3">
        <f t="shared" si="291"/>
        <v>4.1936725416515303E-2</v>
      </c>
      <c r="W309" s="3">
        <f t="shared" si="291"/>
        <v>3.8280833218877493E-2</v>
      </c>
      <c r="X309" s="3">
        <f t="shared" si="291"/>
        <v>1.5376236210800021E-2</v>
      </c>
      <c r="Y309" s="3">
        <f t="shared" si="291"/>
        <v>1.6808797377564478E-6</v>
      </c>
      <c r="Z309" s="3">
        <f t="shared" si="291"/>
        <v>4.0964026798091758E-46</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5.5125175365667731E-2</v>
      </c>
      <c r="C310" s="3">
        <f t="shared" si="292"/>
        <v>5.5125175365667731E-2</v>
      </c>
      <c r="D310" s="3">
        <f t="shared" si="292"/>
        <v>5.5125175365667731E-2</v>
      </c>
      <c r="E310" s="3">
        <f t="shared" si="292"/>
        <v>5.5125175365667731E-2</v>
      </c>
      <c r="F310" s="3">
        <f t="shared" si="292"/>
        <v>5.5125175365667731E-2</v>
      </c>
      <c r="G310" s="3">
        <f t="shared" si="292"/>
        <v>5.5125175365667731E-2</v>
      </c>
      <c r="H310" s="3">
        <f t="shared" si="292"/>
        <v>5.5125175365667731E-2</v>
      </c>
      <c r="I310" s="3">
        <f t="shared" si="292"/>
        <v>5.5125175365667724E-2</v>
      </c>
      <c r="J310" s="3">
        <f t="shared" si="292"/>
        <v>5.5125175365667675E-2</v>
      </c>
      <c r="K310" s="3">
        <f t="shared" si="292"/>
        <v>5.5125175365667176E-2</v>
      </c>
      <c r="L310" s="3">
        <f t="shared" si="292"/>
        <v>5.5125175365662145E-2</v>
      </c>
      <c r="M310" s="3">
        <f t="shared" si="292"/>
        <v>5.5125175365611859E-2</v>
      </c>
      <c r="N310" s="3">
        <f t="shared" si="292"/>
        <v>5.5125175365109046E-2</v>
      </c>
      <c r="O310" s="3">
        <f t="shared" si="292"/>
        <v>5.5125175360080936E-2</v>
      </c>
      <c r="P310" s="3">
        <f t="shared" si="292"/>
        <v>5.512517530979983E-2</v>
      </c>
      <c r="Q310" s="3">
        <f t="shared" si="292"/>
        <v>5.5125174806988711E-2</v>
      </c>
      <c r="R310" s="3">
        <f t="shared" si="292"/>
        <v>5.5125169778877769E-2</v>
      </c>
      <c r="S310" s="3">
        <f t="shared" si="292"/>
        <v>5.5125119497793564E-2</v>
      </c>
      <c r="T310" s="3">
        <f t="shared" si="292"/>
        <v>5.5124616689473972E-2</v>
      </c>
      <c r="U310" s="3">
        <f t="shared" si="292"/>
        <v>5.5119588858513542E-2</v>
      </c>
      <c r="V310" s="3">
        <f t="shared" si="292"/>
        <v>5.50693357639465E-2</v>
      </c>
      <c r="W310" s="3">
        <f t="shared" si="292"/>
        <v>5.4569317832985881E-2</v>
      </c>
      <c r="X310" s="3">
        <f t="shared" si="292"/>
        <v>4.9812161872080429E-2</v>
      </c>
      <c r="Y310" s="3">
        <f t="shared" si="292"/>
        <v>2.0008017138404763E-2</v>
      </c>
      <c r="Z310" s="3">
        <f t="shared" si="292"/>
        <v>2.1872108453306921E-6</v>
      </c>
      <c r="AA310" s="3">
        <f t="shared" si="292"/>
        <v>5.3303613380926843E-46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5.6884717195846243E-2</v>
      </c>
      <c r="C311" s="3">
        <f t="shared" si="293"/>
        <v>5.6884717195846243E-2</v>
      </c>
      <c r="D311" s="3">
        <f t="shared" si="293"/>
        <v>5.6884717195846243E-2</v>
      </c>
      <c r="E311" s="3">
        <f t="shared" si="293"/>
        <v>5.6884717195846243E-2</v>
      </c>
      <c r="F311" s="3">
        <f t="shared" si="293"/>
        <v>5.6884717195846243E-2</v>
      </c>
      <c r="G311" s="3">
        <f t="shared" si="293"/>
        <v>5.6884717195846243E-2</v>
      </c>
      <c r="H311" s="3">
        <f t="shared" si="293"/>
        <v>5.6884717195846243E-2</v>
      </c>
      <c r="I311" s="3">
        <f t="shared" si="293"/>
        <v>5.6884717195846243E-2</v>
      </c>
      <c r="J311" s="3">
        <f t="shared" si="293"/>
        <v>5.6884717195846236E-2</v>
      </c>
      <c r="K311" s="3">
        <f t="shared" si="293"/>
        <v>5.6884717195846188E-2</v>
      </c>
      <c r="L311" s="3">
        <f t="shared" si="293"/>
        <v>5.6884717195845667E-2</v>
      </c>
      <c r="M311" s="3">
        <f t="shared" si="293"/>
        <v>5.6884717195840477E-2</v>
      </c>
      <c r="N311" s="3">
        <f t="shared" si="293"/>
        <v>5.6884717195788588E-2</v>
      </c>
      <c r="O311" s="3">
        <f t="shared" si="293"/>
        <v>5.6884717195269732E-2</v>
      </c>
      <c r="P311" s="3">
        <f t="shared" si="293"/>
        <v>5.6884717190081126E-2</v>
      </c>
      <c r="Q311" s="3">
        <f t="shared" si="293"/>
        <v>5.6884717138195096E-2</v>
      </c>
      <c r="R311" s="3">
        <f t="shared" si="293"/>
        <v>5.6884716619334731E-2</v>
      </c>
      <c r="S311" s="3">
        <f t="shared" si="293"/>
        <v>5.6884711430731393E-2</v>
      </c>
      <c r="T311" s="3">
        <f t="shared" si="293"/>
        <v>5.6884659544724027E-2</v>
      </c>
      <c r="U311" s="3">
        <f t="shared" si="293"/>
        <v>5.6884140687253296E-2</v>
      </c>
      <c r="V311" s="3">
        <f t="shared" si="293"/>
        <v>5.6878952372832609E-2</v>
      </c>
      <c r="W311" s="3">
        <f t="shared" si="293"/>
        <v>5.6827095248502393E-2</v>
      </c>
      <c r="X311" s="3">
        <f t="shared" si="293"/>
        <v>5.6311117232888466E-2</v>
      </c>
      <c r="Y311" s="3">
        <f t="shared" si="293"/>
        <v>5.1402117493702548E-2</v>
      </c>
      <c r="Z311" s="3">
        <f t="shared" si="293"/>
        <v>2.0646653530224345E-2</v>
      </c>
      <c r="AA311" s="3">
        <f t="shared" si="293"/>
        <v>2.2570244821717696E-6</v>
      </c>
      <c r="AB311" s="3">
        <f t="shared" si="293"/>
        <v>5.5005012729251036E-46</v>
      </c>
      <c r="AC311" s="3">
        <f t="shared" si="293"/>
        <v>0</v>
      </c>
      <c r="AD311" s="3">
        <f t="shared" si="293"/>
        <v>0</v>
      </c>
      <c r="AE311" s="3">
        <f t="shared" si="293"/>
        <v>0</v>
      </c>
      <c r="AF311" s="3">
        <f t="shared" si="293"/>
        <v>0</v>
      </c>
      <c r="AG311" s="3"/>
      <c r="AH311" s="3"/>
    </row>
    <row r="312" spans="1:34" x14ac:dyDescent="0.25">
      <c r="B312" s="3">
        <f t="shared" ref="B312:AF312" si="294">$C42*EXP(-B$285/$A42/EXP(-$F$126))</f>
        <v>5.455134576807355E-2</v>
      </c>
      <c r="C312" s="3">
        <f t="shared" si="294"/>
        <v>5.455134576807355E-2</v>
      </c>
      <c r="D312" s="3">
        <f t="shared" si="294"/>
        <v>5.455134576807355E-2</v>
      </c>
      <c r="E312" s="3">
        <f t="shared" si="294"/>
        <v>5.455134576807355E-2</v>
      </c>
      <c r="F312" s="3">
        <f t="shared" si="294"/>
        <v>5.455134576807355E-2</v>
      </c>
      <c r="G312" s="3">
        <f t="shared" si="294"/>
        <v>5.455134576807355E-2</v>
      </c>
      <c r="H312" s="3">
        <f t="shared" si="294"/>
        <v>5.455134576807355E-2</v>
      </c>
      <c r="I312" s="3">
        <f t="shared" si="294"/>
        <v>5.455134576807355E-2</v>
      </c>
      <c r="J312" s="3">
        <f t="shared" si="294"/>
        <v>5.455134576807355E-2</v>
      </c>
      <c r="K312" s="3">
        <f t="shared" si="294"/>
        <v>5.4551345768073543E-2</v>
      </c>
      <c r="L312" s="3">
        <f t="shared" si="294"/>
        <v>5.4551345768073495E-2</v>
      </c>
      <c r="M312" s="3">
        <f t="shared" si="294"/>
        <v>5.4551345768073002E-2</v>
      </c>
      <c r="N312" s="3">
        <f t="shared" si="294"/>
        <v>5.455134576806802E-2</v>
      </c>
      <c r="O312" s="3">
        <f t="shared" si="294"/>
        <v>5.4551345768018261E-2</v>
      </c>
      <c r="P312" s="3">
        <f t="shared" si="294"/>
        <v>5.4551345767520687E-2</v>
      </c>
      <c r="Q312" s="3">
        <f t="shared" si="294"/>
        <v>5.4551345762544917E-2</v>
      </c>
      <c r="R312" s="3">
        <f t="shared" si="294"/>
        <v>5.4551345712787212E-2</v>
      </c>
      <c r="S312" s="3">
        <f t="shared" si="294"/>
        <v>5.4551345215210136E-2</v>
      </c>
      <c r="T312" s="3">
        <f t="shared" si="294"/>
        <v>5.4551340239439694E-2</v>
      </c>
      <c r="U312" s="3">
        <f t="shared" si="294"/>
        <v>5.4551290481760162E-2</v>
      </c>
      <c r="V312" s="3">
        <f t="shared" si="294"/>
        <v>5.4550792907461024E-2</v>
      </c>
      <c r="W312" s="3">
        <f t="shared" si="294"/>
        <v>5.4545817414079531E-2</v>
      </c>
      <c r="X312" s="3">
        <f t="shared" si="294"/>
        <v>5.4496087432823997E-2</v>
      </c>
      <c r="Y312" s="3">
        <f t="shared" si="294"/>
        <v>5.4001274475565679E-2</v>
      </c>
      <c r="Z312" s="3">
        <f t="shared" si="294"/>
        <v>4.9293638482127568E-2</v>
      </c>
      <c r="AA312" s="3">
        <f t="shared" si="294"/>
        <v>1.9799742201462994E-2</v>
      </c>
      <c r="AB312" s="3">
        <f t="shared" si="294"/>
        <v>2.1644429119698594E-6</v>
      </c>
      <c r="AC312" s="3">
        <f t="shared" si="294"/>
        <v>5.2748745467785604E-46</v>
      </c>
      <c r="AD312" s="3">
        <f t="shared" si="294"/>
        <v>0</v>
      </c>
      <c r="AE312" s="3">
        <f t="shared" si="294"/>
        <v>0</v>
      </c>
      <c r="AF312" s="3">
        <f t="shared" si="294"/>
        <v>0</v>
      </c>
      <c r="AG312" s="3"/>
      <c r="AH312" s="3"/>
    </row>
    <row r="313" spans="1:34" x14ac:dyDescent="0.25">
      <c r="B313" s="3">
        <f t="shared" ref="B313:AF313" si="295">$C43*EXP(-B$285/$A43/EXP(-$F$126))</f>
        <v>3.7051538899778975E-2</v>
      </c>
      <c r="C313" s="3">
        <f t="shared" si="295"/>
        <v>3.7051538899778975E-2</v>
      </c>
      <c r="D313" s="3">
        <f t="shared" si="295"/>
        <v>3.7051538899778975E-2</v>
      </c>
      <c r="E313" s="3">
        <f t="shared" si="295"/>
        <v>3.7051538899778975E-2</v>
      </c>
      <c r="F313" s="3">
        <f t="shared" si="295"/>
        <v>3.7051538899778975E-2</v>
      </c>
      <c r="G313" s="3">
        <f t="shared" si="295"/>
        <v>3.7051538899778975E-2</v>
      </c>
      <c r="H313" s="3">
        <f t="shared" si="295"/>
        <v>3.7051538899778975E-2</v>
      </c>
      <c r="I313" s="3">
        <f t="shared" si="295"/>
        <v>3.7051538899778975E-2</v>
      </c>
      <c r="J313" s="3">
        <f t="shared" si="295"/>
        <v>3.7051538899778975E-2</v>
      </c>
      <c r="K313" s="3">
        <f t="shared" si="295"/>
        <v>3.7051538899778975E-2</v>
      </c>
      <c r="L313" s="3">
        <f t="shared" si="295"/>
        <v>3.7051538899778969E-2</v>
      </c>
      <c r="M313" s="3">
        <f t="shared" si="295"/>
        <v>3.7051538899778941E-2</v>
      </c>
      <c r="N313" s="3">
        <f t="shared" si="295"/>
        <v>3.7051538899778601E-2</v>
      </c>
      <c r="O313" s="3">
        <f t="shared" si="295"/>
        <v>3.7051538899775222E-2</v>
      </c>
      <c r="P313" s="3">
        <f t="shared" si="295"/>
        <v>3.7051538899741422E-2</v>
      </c>
      <c r="Q313" s="3">
        <f t="shared" si="295"/>
        <v>3.7051538899403463E-2</v>
      </c>
      <c r="R313" s="3">
        <f t="shared" si="295"/>
        <v>3.7051538896023896E-2</v>
      </c>
      <c r="S313" s="3">
        <f t="shared" si="295"/>
        <v>3.7051538862228228E-2</v>
      </c>
      <c r="T313" s="3">
        <f t="shared" si="295"/>
        <v>3.7051538524271461E-2</v>
      </c>
      <c r="U313" s="3">
        <f t="shared" si="295"/>
        <v>3.7051535144704016E-2</v>
      </c>
      <c r="V313" s="3">
        <f t="shared" si="295"/>
        <v>3.7051501349046501E-2</v>
      </c>
      <c r="W313" s="3">
        <f t="shared" si="295"/>
        <v>3.7051163394166739E-2</v>
      </c>
      <c r="X313" s="3">
        <f t="shared" si="295"/>
        <v>3.7047784014905334E-2</v>
      </c>
      <c r="Y313" s="3">
        <f t="shared" si="295"/>
        <v>3.7014007170190849E-2</v>
      </c>
      <c r="Z313" s="3">
        <f t="shared" si="295"/>
        <v>3.6677927807237692E-2</v>
      </c>
      <c r="AA313" s="3">
        <f t="shared" si="295"/>
        <v>3.348047858429011E-2</v>
      </c>
      <c r="AB313" s="3">
        <f t="shared" si="295"/>
        <v>1.344808103363879E-2</v>
      </c>
      <c r="AC313" s="3">
        <f t="shared" si="295"/>
        <v>1.4701001344706915E-6</v>
      </c>
      <c r="AD313" s="3">
        <f t="shared" si="295"/>
        <v>3.582720402395707E-46</v>
      </c>
      <c r="AE313" s="3">
        <f t="shared" si="295"/>
        <v>0</v>
      </c>
      <c r="AF313" s="3">
        <f t="shared" si="295"/>
        <v>0</v>
      </c>
      <c r="AG313" s="3"/>
      <c r="AH313" s="3"/>
    </row>
    <row r="314" spans="1:34" x14ac:dyDescent="0.25">
      <c r="B314" s="3">
        <f t="shared" ref="B314:AF314" si="296">$C44*EXP(-B$285/$A44/EXP(-$F$126))</f>
        <v>2.3553362774933962E-2</v>
      </c>
      <c r="C314" s="3">
        <f t="shared" si="296"/>
        <v>2.3553362774933962E-2</v>
      </c>
      <c r="D314" s="3">
        <f t="shared" si="296"/>
        <v>2.3553362774933962E-2</v>
      </c>
      <c r="E314" s="3">
        <f t="shared" si="296"/>
        <v>2.3553362774933962E-2</v>
      </c>
      <c r="F314" s="3">
        <f t="shared" si="296"/>
        <v>2.3553362774933962E-2</v>
      </c>
      <c r="G314" s="3">
        <f t="shared" si="296"/>
        <v>2.3553362774933962E-2</v>
      </c>
      <c r="H314" s="3">
        <f t="shared" si="296"/>
        <v>2.3553362774933962E-2</v>
      </c>
      <c r="I314" s="3">
        <f t="shared" si="296"/>
        <v>2.3553362774933962E-2</v>
      </c>
      <c r="J314" s="3">
        <f t="shared" si="296"/>
        <v>2.3553362774933962E-2</v>
      </c>
      <c r="K314" s="3">
        <f t="shared" si="296"/>
        <v>2.3553362774933962E-2</v>
      </c>
      <c r="L314" s="3">
        <f t="shared" si="296"/>
        <v>2.3553362774933962E-2</v>
      </c>
      <c r="M314" s="3">
        <f t="shared" si="296"/>
        <v>2.3553362774933959E-2</v>
      </c>
      <c r="N314" s="3">
        <f t="shared" si="296"/>
        <v>2.3553362774933938E-2</v>
      </c>
      <c r="O314" s="3">
        <f t="shared" si="296"/>
        <v>2.3553362774933723E-2</v>
      </c>
      <c r="P314" s="3">
        <f t="shared" si="296"/>
        <v>2.3553362774931575E-2</v>
      </c>
      <c r="Q314" s="3">
        <f t="shared" si="296"/>
        <v>2.3553362774910089E-2</v>
      </c>
      <c r="R314" s="3">
        <f t="shared" si="296"/>
        <v>2.3553362774695254E-2</v>
      </c>
      <c r="S314" s="3">
        <f t="shared" si="296"/>
        <v>2.3553362772546889E-2</v>
      </c>
      <c r="T314" s="3">
        <f t="shared" si="296"/>
        <v>2.3553362751063255E-2</v>
      </c>
      <c r="U314" s="3">
        <f t="shared" si="296"/>
        <v>2.355336253622688E-2</v>
      </c>
      <c r="V314" s="3">
        <f t="shared" si="296"/>
        <v>2.3553360387863265E-2</v>
      </c>
      <c r="W314" s="3">
        <f t="shared" si="296"/>
        <v>2.3553338904237879E-2</v>
      </c>
      <c r="X314" s="3">
        <f t="shared" si="296"/>
        <v>2.3553124069061772E-2</v>
      </c>
      <c r="Y314" s="3">
        <f t="shared" si="296"/>
        <v>2.3550975825073494E-2</v>
      </c>
      <c r="Z314" s="3">
        <f t="shared" si="296"/>
        <v>2.3529504158832995E-2</v>
      </c>
      <c r="AA314" s="3">
        <f t="shared" si="296"/>
        <v>2.3315861233549489E-2</v>
      </c>
      <c r="AB314" s="3">
        <f t="shared" si="296"/>
        <v>2.1283268695187624E-2</v>
      </c>
      <c r="AC314" s="3">
        <f t="shared" si="296"/>
        <v>8.5488360434576392E-3</v>
      </c>
      <c r="AD314" s="3">
        <f t="shared" si="296"/>
        <v>9.3453073234898626E-7</v>
      </c>
      <c r="AE314" s="3">
        <f t="shared" si="296"/>
        <v>2.2775063024247786E-46</v>
      </c>
      <c r="AF314" s="3">
        <f t="shared" si="296"/>
        <v>0</v>
      </c>
      <c r="AG314" s="3"/>
      <c r="AH314" s="3"/>
    </row>
    <row r="315" spans="1:34" x14ac:dyDescent="0.25">
      <c r="B315" s="3">
        <f t="shared" ref="B315:AF315" si="297">$C45*EXP(-B$285/$A45/EXP(-$F$126))</f>
        <v>8.915333557989135E-3</v>
      </c>
      <c r="C315" s="3">
        <f t="shared" si="297"/>
        <v>8.915333557989135E-3</v>
      </c>
      <c r="D315" s="3">
        <f t="shared" si="297"/>
        <v>8.915333557989135E-3</v>
      </c>
      <c r="E315" s="3">
        <f t="shared" si="297"/>
        <v>8.915333557989135E-3</v>
      </c>
      <c r="F315" s="3">
        <f t="shared" si="297"/>
        <v>8.915333557989135E-3</v>
      </c>
      <c r="G315" s="3">
        <f t="shared" si="297"/>
        <v>8.915333557989135E-3</v>
      </c>
      <c r="H315" s="3">
        <f t="shared" si="297"/>
        <v>8.915333557989135E-3</v>
      </c>
      <c r="I315" s="3">
        <f t="shared" si="297"/>
        <v>8.915333557989135E-3</v>
      </c>
      <c r="J315" s="3">
        <f t="shared" si="297"/>
        <v>8.915333557989135E-3</v>
      </c>
      <c r="K315" s="3">
        <f t="shared" si="297"/>
        <v>8.915333557989135E-3</v>
      </c>
      <c r="L315" s="3">
        <f t="shared" si="297"/>
        <v>8.915333557989135E-3</v>
      </c>
      <c r="M315" s="3">
        <f t="shared" si="297"/>
        <v>8.915333557989135E-3</v>
      </c>
      <c r="N315" s="3">
        <f t="shared" si="297"/>
        <v>8.9153335579891333E-3</v>
      </c>
      <c r="O315" s="3">
        <f t="shared" si="297"/>
        <v>8.9153335579891264E-3</v>
      </c>
      <c r="P315" s="3">
        <f t="shared" si="297"/>
        <v>8.9153335579890448E-3</v>
      </c>
      <c r="Q315" s="3">
        <f t="shared" si="297"/>
        <v>8.9153335579882313E-3</v>
      </c>
      <c r="R315" s="3">
        <f t="shared" si="297"/>
        <v>8.9153335579800989E-3</v>
      </c>
      <c r="S315" s="3">
        <f t="shared" si="297"/>
        <v>8.9153335578987802E-3</v>
      </c>
      <c r="T315" s="3">
        <f t="shared" si="297"/>
        <v>8.9153335570855887E-3</v>
      </c>
      <c r="U315" s="3">
        <f t="shared" si="297"/>
        <v>8.9153335489536821E-3</v>
      </c>
      <c r="V315" s="3">
        <f t="shared" si="297"/>
        <v>8.9153334676345952E-3</v>
      </c>
      <c r="W315" s="3">
        <f t="shared" si="297"/>
        <v>8.9153326544437819E-3</v>
      </c>
      <c r="X315" s="3">
        <f t="shared" si="297"/>
        <v>8.9153245225397221E-3</v>
      </c>
      <c r="Y315" s="3">
        <f t="shared" si="297"/>
        <v>8.9152432039070802E-3</v>
      </c>
      <c r="Z315" s="3">
        <f t="shared" si="297"/>
        <v>8.914430058374426E-3</v>
      </c>
      <c r="AA315" s="3">
        <f t="shared" si="297"/>
        <v>8.9063026810479243E-3</v>
      </c>
      <c r="AB315" s="3">
        <f t="shared" si="297"/>
        <v>8.8254353348686341E-3</v>
      </c>
      <c r="AC315" s="3">
        <f t="shared" si="297"/>
        <v>8.0560657701005435E-3</v>
      </c>
      <c r="AD315" s="3">
        <f t="shared" si="297"/>
        <v>3.2358744519103448E-3</v>
      </c>
      <c r="AE315" s="3">
        <f t="shared" si="297"/>
        <v>3.5373518756947179E-7</v>
      </c>
      <c r="AF315" s="3">
        <f t="shared" si="297"/>
        <v>8.6207343556683749E-47</v>
      </c>
      <c r="AG315" s="3"/>
      <c r="AH315" s="3"/>
    </row>
    <row r="316" spans="1:34" x14ac:dyDescent="0.25">
      <c r="B316" s="3">
        <f t="shared" ref="B316:AF316" si="298">$C46*EXP(-B$285/$A46/EXP(-$F$126))</f>
        <v>6.6530683932672779E-3</v>
      </c>
      <c r="C316" s="3">
        <f t="shared" si="298"/>
        <v>6.6530683932672779E-3</v>
      </c>
      <c r="D316" s="3">
        <f t="shared" si="298"/>
        <v>6.6530683932672779E-3</v>
      </c>
      <c r="E316" s="3">
        <f t="shared" si="298"/>
        <v>6.6530683932672779E-3</v>
      </c>
      <c r="F316" s="3">
        <f t="shared" si="298"/>
        <v>6.6530683932672779E-3</v>
      </c>
      <c r="G316" s="3">
        <f t="shared" si="298"/>
        <v>6.6530683932672779E-3</v>
      </c>
      <c r="H316" s="3">
        <f t="shared" si="298"/>
        <v>6.6530683932672779E-3</v>
      </c>
      <c r="I316" s="3">
        <f t="shared" si="298"/>
        <v>6.6530683932672779E-3</v>
      </c>
      <c r="J316" s="3">
        <f t="shared" si="298"/>
        <v>6.6530683932672779E-3</v>
      </c>
      <c r="K316" s="3">
        <f t="shared" si="298"/>
        <v>6.6530683932672779E-3</v>
      </c>
      <c r="L316" s="3">
        <f t="shared" si="298"/>
        <v>6.6530683932672779E-3</v>
      </c>
      <c r="M316" s="3">
        <f t="shared" si="298"/>
        <v>6.6530683932672779E-3</v>
      </c>
      <c r="N316" s="3">
        <f t="shared" si="298"/>
        <v>6.6530683932672779E-3</v>
      </c>
      <c r="O316" s="3">
        <f t="shared" si="298"/>
        <v>6.6530683932672771E-3</v>
      </c>
      <c r="P316" s="3">
        <f t="shared" si="298"/>
        <v>6.653068393267271E-3</v>
      </c>
      <c r="Q316" s="3">
        <f t="shared" si="298"/>
        <v>6.6530683932672112E-3</v>
      </c>
      <c r="R316" s="3">
        <f t="shared" si="298"/>
        <v>6.6530683932666031E-3</v>
      </c>
      <c r="S316" s="3">
        <f t="shared" si="298"/>
        <v>6.6530683932605351E-3</v>
      </c>
      <c r="T316" s="3">
        <f t="shared" si="298"/>
        <v>6.653068393199851E-3</v>
      </c>
      <c r="U316" s="3">
        <f t="shared" si="298"/>
        <v>6.6530683925930065E-3</v>
      </c>
      <c r="V316" s="3">
        <f t="shared" si="298"/>
        <v>6.65306838652457E-3</v>
      </c>
      <c r="W316" s="3">
        <f t="shared" si="298"/>
        <v>6.6530683258401958E-3</v>
      </c>
      <c r="X316" s="3">
        <f t="shared" si="298"/>
        <v>6.6530677189964851E-3</v>
      </c>
      <c r="Y316" s="3">
        <f t="shared" si="298"/>
        <v>6.6530616505624191E-3</v>
      </c>
      <c r="Z316" s="3">
        <f t="shared" si="298"/>
        <v>6.6530009665261907E-3</v>
      </c>
      <c r="AA316" s="3">
        <f t="shared" si="298"/>
        <v>6.6523941566062651E-3</v>
      </c>
      <c r="AB316" s="3">
        <f t="shared" si="298"/>
        <v>6.646329100614877E-3</v>
      </c>
      <c r="AC316" s="3">
        <f t="shared" si="298"/>
        <v>6.5859818369467986E-3</v>
      </c>
      <c r="AD316" s="3">
        <f t="shared" si="298"/>
        <v>6.0118397366197189E-3</v>
      </c>
      <c r="AE316" s="3">
        <f t="shared" si="298"/>
        <v>2.4147715731055127E-3</v>
      </c>
      <c r="AF316" s="3">
        <f t="shared" si="298"/>
        <v>2.6397491251418111E-7</v>
      </c>
      <c r="AG316" s="3"/>
      <c r="AH316" s="3"/>
    </row>
    <row r="317" spans="1:34" x14ac:dyDescent="0.25">
      <c r="B317" s="3">
        <f t="shared" ref="B317:AF317" si="299">$C47*EXP(-B$285/$A47/EXP(-$F$126))</f>
        <v>6.4465417196877487E-4</v>
      </c>
      <c r="C317" s="3">
        <f t="shared" si="299"/>
        <v>6.4465417196877487E-4</v>
      </c>
      <c r="D317" s="3">
        <f t="shared" si="299"/>
        <v>6.4465417196877487E-4</v>
      </c>
      <c r="E317" s="3">
        <f t="shared" si="299"/>
        <v>6.4465417196877487E-4</v>
      </c>
      <c r="F317" s="3">
        <f t="shared" si="299"/>
        <v>6.4465417196877487E-4</v>
      </c>
      <c r="G317" s="3">
        <f t="shared" si="299"/>
        <v>6.4465417196877487E-4</v>
      </c>
      <c r="H317" s="3">
        <f t="shared" si="299"/>
        <v>6.4465417196877487E-4</v>
      </c>
      <c r="I317" s="3">
        <f t="shared" si="299"/>
        <v>6.4465417196877487E-4</v>
      </c>
      <c r="J317" s="3">
        <f t="shared" si="299"/>
        <v>6.4465417196877487E-4</v>
      </c>
      <c r="K317" s="3">
        <f t="shared" si="299"/>
        <v>6.4465417196877487E-4</v>
      </c>
      <c r="L317" s="3">
        <f t="shared" si="299"/>
        <v>6.4465417196877487E-4</v>
      </c>
      <c r="M317" s="3">
        <f t="shared" si="299"/>
        <v>6.4465417196877487E-4</v>
      </c>
      <c r="N317" s="3">
        <f t="shared" si="299"/>
        <v>6.4465417196877487E-4</v>
      </c>
      <c r="O317" s="3">
        <f t="shared" si="299"/>
        <v>6.4465417196877487E-4</v>
      </c>
      <c r="P317" s="3">
        <f t="shared" si="299"/>
        <v>6.4465417196877476E-4</v>
      </c>
      <c r="Q317" s="3">
        <f t="shared" si="299"/>
        <v>6.4465417196877422E-4</v>
      </c>
      <c r="R317" s="3">
        <f t="shared" si="299"/>
        <v>6.4465417196876837E-4</v>
      </c>
      <c r="S317" s="3">
        <f t="shared" si="299"/>
        <v>6.4465417196870949E-4</v>
      </c>
      <c r="T317" s="3">
        <f t="shared" si="299"/>
        <v>6.4465417196812153E-4</v>
      </c>
      <c r="U317" s="3">
        <f t="shared" si="299"/>
        <v>6.4465417196224147E-4</v>
      </c>
      <c r="V317" s="3">
        <f t="shared" si="299"/>
        <v>6.4465417190344085E-4</v>
      </c>
      <c r="W317" s="3">
        <f t="shared" si="299"/>
        <v>6.4465417131543497E-4</v>
      </c>
      <c r="X317" s="3">
        <f t="shared" si="299"/>
        <v>6.4465416543537594E-4</v>
      </c>
      <c r="Y317" s="3">
        <f t="shared" si="299"/>
        <v>6.4465410663478849E-4</v>
      </c>
      <c r="Z317" s="3">
        <f t="shared" si="299"/>
        <v>6.4465351862920872E-4</v>
      </c>
      <c r="AA317" s="3">
        <f t="shared" si="299"/>
        <v>6.4464763860290898E-4</v>
      </c>
      <c r="AB317" s="3">
        <f t="shared" si="299"/>
        <v>6.4458884128964697E-4</v>
      </c>
      <c r="AC317" s="3">
        <f t="shared" si="299"/>
        <v>6.4400116303099132E-4</v>
      </c>
      <c r="AD317" s="3">
        <f t="shared" si="299"/>
        <v>6.3815376856712327E-4</v>
      </c>
      <c r="AE317" s="3">
        <f t="shared" si="299"/>
        <v>5.8252182877625608E-4</v>
      </c>
      <c r="AF317" s="3">
        <f t="shared" si="299"/>
        <v>2.3398114628272879E-4</v>
      </c>
      <c r="AG317" s="3"/>
      <c r="AH317" s="3"/>
    </row>
    <row r="318" spans="1:34" x14ac:dyDescent="0.25">
      <c r="B318" s="3">
        <f t="shared" ref="B318:AF318" si="300">$C48*EXP(-B$285/$A48/EXP(-$F$126))</f>
        <v>7.8044740016632993E-3</v>
      </c>
      <c r="C318" s="3">
        <f t="shared" si="300"/>
        <v>7.8044740016632993E-3</v>
      </c>
      <c r="D318" s="3">
        <f t="shared" si="300"/>
        <v>7.8044740016632993E-3</v>
      </c>
      <c r="E318" s="3">
        <f t="shared" si="300"/>
        <v>7.8044740016632993E-3</v>
      </c>
      <c r="F318" s="3">
        <f t="shared" si="300"/>
        <v>7.8044740016632993E-3</v>
      </c>
      <c r="G318" s="3">
        <f t="shared" si="300"/>
        <v>7.8044740016632993E-3</v>
      </c>
      <c r="H318" s="3">
        <f t="shared" si="300"/>
        <v>7.8044740016632993E-3</v>
      </c>
      <c r="I318" s="3">
        <f t="shared" si="300"/>
        <v>7.8044740016632993E-3</v>
      </c>
      <c r="J318" s="3">
        <f t="shared" si="300"/>
        <v>7.8044740016632993E-3</v>
      </c>
      <c r="K318" s="3">
        <f t="shared" si="300"/>
        <v>7.8044740016632993E-3</v>
      </c>
      <c r="L318" s="3">
        <f t="shared" si="300"/>
        <v>7.8044740016632993E-3</v>
      </c>
      <c r="M318" s="3">
        <f t="shared" si="300"/>
        <v>7.8044740016632993E-3</v>
      </c>
      <c r="N318" s="3">
        <f t="shared" si="300"/>
        <v>7.8044740016632993E-3</v>
      </c>
      <c r="O318" s="3">
        <f t="shared" si="300"/>
        <v>7.8044740016632993E-3</v>
      </c>
      <c r="P318" s="3">
        <f t="shared" si="300"/>
        <v>7.8044740016632993E-3</v>
      </c>
      <c r="Q318" s="3">
        <f t="shared" si="300"/>
        <v>7.8044740016632985E-3</v>
      </c>
      <c r="R318" s="3">
        <f t="shared" si="300"/>
        <v>7.8044740016632915E-3</v>
      </c>
      <c r="S318" s="3">
        <f t="shared" si="300"/>
        <v>7.8044740016632204E-3</v>
      </c>
      <c r="T318" s="3">
        <f t="shared" si="300"/>
        <v>7.8044740016625083E-3</v>
      </c>
      <c r="U318" s="3">
        <f t="shared" si="300"/>
        <v>7.804474001655389E-3</v>
      </c>
      <c r="V318" s="3">
        <f t="shared" si="300"/>
        <v>7.8044740015842029E-3</v>
      </c>
      <c r="W318" s="3">
        <f t="shared" si="300"/>
        <v>7.8044740008723365E-3</v>
      </c>
      <c r="X318" s="3">
        <f t="shared" si="300"/>
        <v>7.8044739937536724E-3</v>
      </c>
      <c r="Y318" s="3">
        <f t="shared" si="300"/>
        <v>7.8044739225670264E-3</v>
      </c>
      <c r="Z318" s="3">
        <f t="shared" si="300"/>
        <v>7.804473210700609E-3</v>
      </c>
      <c r="AA318" s="3">
        <f t="shared" si="300"/>
        <v>7.8044660920400001E-3</v>
      </c>
      <c r="AB318" s="3">
        <f t="shared" si="300"/>
        <v>7.8043949057910299E-3</v>
      </c>
      <c r="AC318" s="3">
        <f t="shared" si="300"/>
        <v>7.8036830790121558E-3</v>
      </c>
      <c r="AD318" s="3">
        <f t="shared" si="300"/>
        <v>7.7965683811005394E-3</v>
      </c>
      <c r="AE318" s="3">
        <f t="shared" si="300"/>
        <v>7.7257771878451601E-3</v>
      </c>
      <c r="AF318" s="3">
        <f t="shared" si="300"/>
        <v>7.0522718470917749E-3</v>
      </c>
      <c r="AG318" s="3"/>
      <c r="AH318" s="3"/>
    </row>
    <row r="319" spans="1:34" x14ac:dyDescent="0.25">
      <c r="A319" s="79">
        <f>AVERAGE(B319:AF319)</f>
        <v>1.5615345368147962E-3</v>
      </c>
      <c r="B319" s="80">
        <f>IF($A$64&lt;=B285,IF($B$64&gt;=B285,ABS((B287-B286)/B286),0),0)</f>
        <v>1.0982727899538048E-2</v>
      </c>
      <c r="C319" s="80">
        <f t="shared" ref="C319:AF319" si="301">IF($A$64&lt;=C285,IF($B$64&gt;=C285,ABS((C287-C286)/C286),0),0)</f>
        <v>1.4562728506535066E-2</v>
      </c>
      <c r="D319" s="80">
        <f t="shared" si="301"/>
        <v>4.1543914037003703E-3</v>
      </c>
      <c r="E319" s="80">
        <f t="shared" si="301"/>
        <v>5.5888761545934049E-4</v>
      </c>
      <c r="F319" s="80">
        <f t="shared" si="301"/>
        <v>2.5371359763566809E-4</v>
      </c>
      <c r="G319" s="80">
        <f t="shared" si="301"/>
        <v>1.583676484975602E-4</v>
      </c>
      <c r="H319" s="80">
        <f t="shared" si="301"/>
        <v>2.0837400136222825E-4</v>
      </c>
      <c r="I319" s="80">
        <f t="shared" si="301"/>
        <v>2.2291876196493763E-4</v>
      </c>
      <c r="J319" s="80">
        <f t="shared" si="301"/>
        <v>2.4373307236899119E-4</v>
      </c>
      <c r="K319" s="80">
        <f t="shared" si="301"/>
        <v>2.1704226437518746E-4</v>
      </c>
      <c r="L319" s="80">
        <f t="shared" si="301"/>
        <v>3.2398896406766613E-4</v>
      </c>
      <c r="M319" s="80">
        <f t="shared" si="301"/>
        <v>3.1097320813634435E-4</v>
      </c>
      <c r="N319" s="80">
        <f t="shared" si="301"/>
        <v>4.230573484636019E-4</v>
      </c>
      <c r="O319" s="80">
        <f t="shared" si="301"/>
        <v>2.0682477248560533E-4</v>
      </c>
      <c r="P319" s="80">
        <f t="shared" si="301"/>
        <v>3.6872114299796852E-4</v>
      </c>
      <c r="Q319" s="80">
        <f t="shared" si="301"/>
        <v>2.4217428755049768E-4</v>
      </c>
      <c r="R319" s="80">
        <f t="shared" si="301"/>
        <v>3.8938513815511274E-4</v>
      </c>
      <c r="S319" s="80">
        <f t="shared" si="301"/>
        <v>3.4362809650666118E-4</v>
      </c>
      <c r="T319" s="80">
        <f t="shared" si="301"/>
        <v>4.3059506404672699E-4</v>
      </c>
      <c r="U319" s="80">
        <f t="shared" si="301"/>
        <v>4.3038786610274222E-4</v>
      </c>
      <c r="V319" s="80">
        <f t="shared" si="301"/>
        <v>5.4417693307887963E-4</v>
      </c>
      <c r="W319" s="80">
        <f t="shared" si="301"/>
        <v>5.3581498400714206E-4</v>
      </c>
      <c r="X319" s="80">
        <f t="shared" si="301"/>
        <v>1.0424380356007644E-3</v>
      </c>
      <c r="Y319" s="80">
        <f t="shared" si="301"/>
        <v>1.3931618198407302E-3</v>
      </c>
      <c r="Z319" s="80">
        <f t="shared" si="301"/>
        <v>1.8094469572971347E-3</v>
      </c>
      <c r="AA319" s="80">
        <f t="shared" si="301"/>
        <v>2.2559617897940339E-3</v>
      </c>
      <c r="AB319" s="80">
        <f t="shared" si="301"/>
        <v>2.156302739935596E-3</v>
      </c>
      <c r="AC319" s="80">
        <f t="shared" si="301"/>
        <v>1.785516214622424E-3</v>
      </c>
      <c r="AD319" s="80">
        <f t="shared" si="301"/>
        <v>9.0848739813436112E-4</v>
      </c>
      <c r="AE319" s="80">
        <f t="shared" si="301"/>
        <v>6.8948688312320369E-4</v>
      </c>
      <c r="AF319" s="80">
        <f t="shared" si="301"/>
        <v>2.5415622587408751E-4</v>
      </c>
    </row>
    <row r="320" spans="1:34" x14ac:dyDescent="0.25">
      <c r="B320" s="21">
        <f>(B287-B286)^2</f>
        <v>3703.8139497459911</v>
      </c>
      <c r="C320" s="21">
        <f t="shared" ref="C320:AF320" si="302">(C287-C286)^2</f>
        <v>6054.6205237985014</v>
      </c>
      <c r="D320" s="21">
        <f t="shared" si="302"/>
        <v>472.17035310178625</v>
      </c>
      <c r="E320" s="21">
        <f t="shared" si="302"/>
        <v>8.1886710462368164</v>
      </c>
      <c r="F320" s="21">
        <f t="shared" si="302"/>
        <v>1.6081770523186147</v>
      </c>
      <c r="G320" s="21">
        <f t="shared" si="302"/>
        <v>0.59440960115666075</v>
      </c>
      <c r="H320" s="21">
        <f t="shared" si="302"/>
        <v>0.96844636364953085</v>
      </c>
      <c r="I320" s="21">
        <f t="shared" si="302"/>
        <v>1.0362235822065413</v>
      </c>
      <c r="J320" s="21">
        <f t="shared" si="302"/>
        <v>1.1545101794125394</v>
      </c>
      <c r="K320" s="21">
        <f t="shared" si="302"/>
        <v>0.85336085666756845</v>
      </c>
      <c r="L320" s="21">
        <f t="shared" si="302"/>
        <v>1.7548045042481237</v>
      </c>
      <c r="M320" s="21">
        <f t="shared" si="302"/>
        <v>1.460741664029148</v>
      </c>
      <c r="N320" s="21">
        <f t="shared" si="302"/>
        <v>2.4159506254690148</v>
      </c>
      <c r="O320" s="21">
        <f t="shared" si="302"/>
        <v>0.52117013734686535</v>
      </c>
      <c r="P320" s="21">
        <f t="shared" si="302"/>
        <v>1.506370231162437</v>
      </c>
      <c r="Q320" s="21">
        <f t="shared" si="302"/>
        <v>0.58662379456046854</v>
      </c>
      <c r="R320" s="21">
        <f t="shared" si="302"/>
        <v>1.3546522808096688</v>
      </c>
      <c r="S320" s="21">
        <f t="shared" si="302"/>
        <v>0.92454966592086985</v>
      </c>
      <c r="T320" s="21">
        <f t="shared" si="302"/>
        <v>1.2529067952277744</v>
      </c>
      <c r="U320" s="21">
        <f t="shared" si="302"/>
        <v>1.058133745670417</v>
      </c>
      <c r="V320" s="21">
        <f t="shared" si="302"/>
        <v>1.4013887997997201</v>
      </c>
      <c r="W320" s="21">
        <f t="shared" si="302"/>
        <v>1.0858117601283268</v>
      </c>
      <c r="X320" s="21">
        <f t="shared" si="302"/>
        <v>3.1121396062559414</v>
      </c>
      <c r="Y320" s="21">
        <f t="shared" si="302"/>
        <v>3.8306104143638211</v>
      </c>
      <c r="Z320" s="21">
        <f t="shared" si="302"/>
        <v>3.9002590772263792</v>
      </c>
      <c r="AA320" s="21">
        <f t="shared" si="302"/>
        <v>3.1807349725761362</v>
      </c>
      <c r="AB320" s="21">
        <f t="shared" si="302"/>
        <v>1.4293288639041022</v>
      </c>
      <c r="AC320" s="21">
        <f t="shared" si="302"/>
        <v>0.51598116214964007</v>
      </c>
      <c r="AD320" s="21">
        <f t="shared" si="302"/>
        <v>8.6387211462971736E-2</v>
      </c>
      <c r="AE320" s="21">
        <f t="shared" si="302"/>
        <v>3.8438167392373289E-2</v>
      </c>
      <c r="AF320" s="21">
        <f t="shared" si="302"/>
        <v>4.5337224226499797E-3</v>
      </c>
      <c r="AG320" s="3"/>
      <c r="AH320" s="3"/>
    </row>
    <row r="321" spans="1:34" x14ac:dyDescent="0.25">
      <c r="A321" s="71">
        <f>SUM(B321:AF321)</f>
        <v>10276.430142530047</v>
      </c>
      <c r="B321" s="60">
        <f>IF($A$64&lt;=B285,IF($B$64&gt;=B285,ABS(B320),0),0)</f>
        <v>3703.8139497459911</v>
      </c>
      <c r="C321" s="60">
        <f t="shared" ref="C321" si="303">IF($A$64&lt;=C285,IF($B$64&gt;=C285,ABS(C320),0),0)</f>
        <v>6054.6205237985014</v>
      </c>
      <c r="D321" s="60">
        <f t="shared" ref="D321" si="304">IF($A$64&lt;=D285,IF($B$64&gt;=D285,ABS(D320),0),0)</f>
        <v>472.17035310178625</v>
      </c>
      <c r="E321" s="60">
        <f t="shared" ref="E321" si="305">IF($A$64&lt;=E285,IF($B$64&gt;=E285,ABS(E320),0),0)</f>
        <v>8.1886710462368164</v>
      </c>
      <c r="F321" s="60">
        <f t="shared" ref="F321" si="306">IF($A$64&lt;=F285,IF($B$64&gt;=F285,ABS(F320),0),0)</f>
        <v>1.6081770523186147</v>
      </c>
      <c r="G321" s="60">
        <f t="shared" ref="G321" si="307">IF($A$64&lt;=G285,IF($B$64&gt;=G285,ABS(G320),0),0)</f>
        <v>0.59440960115666075</v>
      </c>
      <c r="H321" s="60">
        <f t="shared" ref="H321" si="308">IF($A$64&lt;=H285,IF($B$64&gt;=H285,ABS(H320),0),0)</f>
        <v>0.96844636364953085</v>
      </c>
      <c r="I321" s="60">
        <f t="shared" ref="I321" si="309">IF($A$64&lt;=I285,IF($B$64&gt;=I285,ABS(I320),0),0)</f>
        <v>1.0362235822065413</v>
      </c>
      <c r="J321" s="60">
        <f t="shared" ref="J321" si="310">IF($A$64&lt;=J285,IF($B$64&gt;=J285,ABS(J320),0),0)</f>
        <v>1.1545101794125394</v>
      </c>
      <c r="K321" s="60">
        <f t="shared" ref="K321" si="311">IF($A$64&lt;=K285,IF($B$64&gt;=K285,ABS(K320),0),0)</f>
        <v>0.85336085666756845</v>
      </c>
      <c r="L321" s="60">
        <f t="shared" ref="L321" si="312">IF($A$64&lt;=L285,IF($B$64&gt;=L285,ABS(L320),0),0)</f>
        <v>1.7548045042481237</v>
      </c>
      <c r="M321" s="60">
        <f t="shared" ref="M321" si="313">IF($A$64&lt;=M285,IF($B$64&gt;=M285,ABS(M320),0),0)</f>
        <v>1.460741664029148</v>
      </c>
      <c r="N321" s="60">
        <f t="shared" ref="N321" si="314">IF($A$64&lt;=N285,IF($B$64&gt;=N285,ABS(N320),0),0)</f>
        <v>2.4159506254690148</v>
      </c>
      <c r="O321" s="60">
        <f t="shared" ref="O321" si="315">IF($A$64&lt;=O285,IF($B$64&gt;=O285,ABS(O320),0),0)</f>
        <v>0.52117013734686535</v>
      </c>
      <c r="P321" s="60">
        <f t="shared" ref="P321" si="316">IF($A$64&lt;=P285,IF($B$64&gt;=P285,ABS(P320),0),0)</f>
        <v>1.506370231162437</v>
      </c>
      <c r="Q321" s="60">
        <f t="shared" ref="Q321" si="317">IF($A$64&lt;=Q285,IF($B$64&gt;=Q285,ABS(Q320),0),0)</f>
        <v>0.58662379456046854</v>
      </c>
      <c r="R321" s="60">
        <f t="shared" ref="R321" si="318">IF($A$64&lt;=R285,IF($B$64&gt;=R285,ABS(R320),0),0)</f>
        <v>1.3546522808096688</v>
      </c>
      <c r="S321" s="60">
        <f t="shared" ref="S321" si="319">IF($A$64&lt;=S285,IF($B$64&gt;=S285,ABS(S320),0),0)</f>
        <v>0.92454966592086985</v>
      </c>
      <c r="T321" s="60">
        <f t="shared" ref="T321" si="320">IF($A$64&lt;=T285,IF($B$64&gt;=T285,ABS(T320),0),0)</f>
        <v>1.2529067952277744</v>
      </c>
      <c r="U321" s="60">
        <f t="shared" ref="U321" si="321">IF($A$64&lt;=U285,IF($B$64&gt;=U285,ABS(U320),0),0)</f>
        <v>1.058133745670417</v>
      </c>
      <c r="V321" s="60">
        <f t="shared" ref="V321" si="322">IF($A$64&lt;=V285,IF($B$64&gt;=V285,ABS(V320),0),0)</f>
        <v>1.4013887997997201</v>
      </c>
      <c r="W321" s="60">
        <f t="shared" ref="W321" si="323">IF($A$64&lt;=W285,IF($B$64&gt;=W285,ABS(W320),0),0)</f>
        <v>1.0858117601283268</v>
      </c>
      <c r="X321" s="60">
        <f t="shared" ref="X321" si="324">IF($A$64&lt;=X285,IF($B$64&gt;=X285,ABS(X320),0),0)</f>
        <v>3.1121396062559414</v>
      </c>
      <c r="Y321" s="60">
        <f t="shared" ref="Y321" si="325">IF($A$64&lt;=Y285,IF($B$64&gt;=Y285,ABS(Y320),0),0)</f>
        <v>3.8306104143638211</v>
      </c>
      <c r="Z321" s="60">
        <f t="shared" ref="Z321" si="326">IF($A$64&lt;=Z285,IF($B$64&gt;=Z285,ABS(Z320),0),0)</f>
        <v>3.9002590772263792</v>
      </c>
      <c r="AA321" s="60">
        <f t="shared" ref="AA321" si="327">IF($A$64&lt;=AA285,IF($B$64&gt;=AA285,ABS(AA320),0),0)</f>
        <v>3.1807349725761362</v>
      </c>
      <c r="AB321" s="60">
        <f t="shared" ref="AB321" si="328">IF($A$64&lt;=AB285,IF($B$64&gt;=AB285,ABS(AB320),0),0)</f>
        <v>1.4293288639041022</v>
      </c>
      <c r="AC321" s="60">
        <f t="shared" ref="AC321" si="329">IF($A$64&lt;=AC285,IF($B$64&gt;=AC285,ABS(AC320),0),0)</f>
        <v>0.51598116214964007</v>
      </c>
      <c r="AD321" s="60">
        <f t="shared" ref="AD321" si="330">IF($A$64&lt;=AD285,IF($B$64&gt;=AD285,ABS(AD320),0),0)</f>
        <v>8.6387211462971736E-2</v>
      </c>
      <c r="AE321" s="60">
        <f t="shared" ref="AE321" si="331">IF($A$64&lt;=AE285,IF($B$64&gt;=AE285,ABS(AE320),0),0)</f>
        <v>3.8438167392373289E-2</v>
      </c>
      <c r="AF321" s="60">
        <f t="shared" ref="AF321" si="332">IF($A$64&lt;=AF285,IF($B$64&gt;=AF285,ABS(AF320),0),0)</f>
        <v>4.5337224226499797E-3</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4566.6036136134571</v>
      </c>
      <c r="C325" s="26">
        <f>INDEX(Comparison!$AM$3:$AS$33,G$14,$G$122)</f>
        <v>4367.9191662396088</v>
      </c>
      <c r="D325" s="26">
        <f>INDEX(Comparison!$AM$3:$AS$33,H$14,$G$122)</f>
        <v>4211.7468990411771</v>
      </c>
      <c r="E325" s="26">
        <f>INDEX(Comparison!$AM$3:$AS$33,I$14,$G$122)</f>
        <v>4035.1164889708966</v>
      </c>
      <c r="F325" s="26">
        <f>INDEX(Comparison!$AM$3:$AS$33,J$14,$G$122)</f>
        <v>3826.9829326183326</v>
      </c>
      <c r="G325" s="26">
        <f>INDEX(Comparison!$AM$3:$AS$33,K$14,$G$122)</f>
        <v>3620.1591645384274</v>
      </c>
      <c r="H325" s="26">
        <f>INDEX(Comparison!$AM$3:$AS$33,L$14,$G$122)</f>
        <v>3446.6232486673289</v>
      </c>
      <c r="I325" s="26">
        <f>INDEX(Comparison!$AM$3:$AS$33,M$14,$G$122)</f>
        <v>3283.5389960784037</v>
      </c>
      <c r="J325" s="26">
        <f>INDEX(Comparison!$AM$3:$AS$33,N$14,$G$122)</f>
        <v>3126.1515402495047</v>
      </c>
      <c r="K325" s="26">
        <f>INDEX(Comparison!$AM$3:$AS$33,O$14,$G$122)</f>
        <v>2970.9240585633979</v>
      </c>
      <c r="L325" s="26">
        <f>INDEX(Comparison!$AM$3:$AS$33,P$14,$G$122)</f>
        <v>2814.9531210575578</v>
      </c>
      <c r="M325" s="26">
        <f>INDEX(Comparison!$AM$3:$AS$33,Q$14,$G$122)</f>
        <v>2641.4801683555684</v>
      </c>
      <c r="N325" s="26">
        <f>INDEX(Comparison!$AM$3:$AS$33,R$14,$G$122)</f>
        <v>2449.1835010011705</v>
      </c>
      <c r="O325" s="26">
        <f>INDEX(Comparison!$AM$3:$AS$33,S$14,$G$122)</f>
        <v>2235.8247528873858</v>
      </c>
      <c r="P325" s="26">
        <f>INDEX(Comparison!$AM$3:$AS$33,T$14,$G$122)</f>
        <v>1993.335720552192</v>
      </c>
      <c r="Q325" s="26">
        <f>INDEX(Comparison!$AM$3:$AS$33,U$14,$G$122)</f>
        <v>1707.9100595434049</v>
      </c>
      <c r="R325" s="26">
        <f>INDEX(Comparison!$AM$3:$AS$33,V$14,$G$122)</f>
        <v>1382.9901395885138</v>
      </c>
      <c r="S325" s="26">
        <f>INDEX(Comparison!$AM$3:$AS$33,W$14,$G$122)</f>
        <v>1045.3846206276212</v>
      </c>
      <c r="T325" s="26">
        <f>INDEX(Comparison!$AM$3:$AS$33,X$14,$G$122)</f>
        <v>743.50488577028852</v>
      </c>
      <c r="U325" s="26">
        <f>INDEX(Comparison!$AM$3:$AS$33,Y$14,$G$122)</f>
        <v>519.49600219625086</v>
      </c>
      <c r="V325" s="26">
        <f>INDEX(Comparison!$AM$3:$AS$33,Z$14,$G$122)</f>
        <v>383.51568079468302</v>
      </c>
      <c r="W325" s="26">
        <f>INDEX(Comparison!$AM$3:$AS$33,AA$14,$G$122)</f>
        <v>314.10371823238006</v>
      </c>
      <c r="X325" s="26">
        <f>INDEX(Comparison!$AM$3:$AS$33,AB$14,$G$122)</f>
        <v>280.6909623460773</v>
      </c>
      <c r="Y325" s="26">
        <f>INDEX(Comparison!$AM$3:$AS$33,AC$14,$G$122)</f>
        <v>262.23895816268134</v>
      </c>
      <c r="Z325" s="26">
        <f>INDEX(Comparison!$AM$3:$AS$33,AD$14,$G$122)</f>
        <v>250.5385469230996</v>
      </c>
      <c r="AA325" s="26">
        <f>INDEX(Comparison!$AM$3:$AS$33,AE$14,$G$122)</f>
        <v>245.32626479673095</v>
      </c>
      <c r="AB325" s="26">
        <f>INDEX(Comparison!$AM$3:$AS$33,AF$14,$G$122)</f>
        <v>234.06992955511652</v>
      </c>
      <c r="AC325" s="26">
        <f>INDEX(Comparison!$AM$3:$AS$33,AG$14,$G$122)</f>
        <v>226.1826531941249</v>
      </c>
      <c r="AD325" s="26">
        <f>INDEX(Comparison!$AM$3:$AS$33,AH$14,$G$122)</f>
        <v>225.23832209445587</v>
      </c>
      <c r="AE325" s="26">
        <f>INDEX(Comparison!$AM$3:$AS$33,AI$14,$G$122)</f>
        <v>225.13655271656646</v>
      </c>
      <c r="AF325" s="26">
        <f>INDEX(Comparison!$AM$3:$AS$33,AJ$14,$G$122)</f>
        <v>225.03956034728361</v>
      </c>
      <c r="AG325" s="26"/>
      <c r="AH325" s="26"/>
    </row>
    <row r="326" spans="1:34" x14ac:dyDescent="0.25">
      <c r="A326" s="77" t="s">
        <v>22</v>
      </c>
      <c r="B326" s="27">
        <f>($C$17+SUM(B327:B357))*$B$51</f>
        <v>4553.3422840366611</v>
      </c>
      <c r="C326" s="27">
        <f t="shared" ref="C326:AF326" si="333">($C$17+SUM(C327:C357))*$B$51</f>
        <v>4395.1924002804581</v>
      </c>
      <c r="D326" s="27">
        <f t="shared" si="333"/>
        <v>4243.3099422540608</v>
      </c>
      <c r="E326" s="27">
        <f t="shared" si="333"/>
        <v>4073.0905217750078</v>
      </c>
      <c r="F326" s="27">
        <f t="shared" si="333"/>
        <v>3868.4413795079881</v>
      </c>
      <c r="G326" s="27">
        <f t="shared" si="333"/>
        <v>3656.7654142823149</v>
      </c>
      <c r="H326" s="27">
        <f t="shared" si="333"/>
        <v>3477.879511051211</v>
      </c>
      <c r="I326" s="27">
        <f t="shared" si="333"/>
        <v>3315.3038127986233</v>
      </c>
      <c r="J326" s="27">
        <f t="shared" si="333"/>
        <v>3150.2878420224647</v>
      </c>
      <c r="K326" s="27">
        <f t="shared" si="333"/>
        <v>2975.0748630583148</v>
      </c>
      <c r="L326" s="27">
        <f t="shared" si="333"/>
        <v>2784.5944022708627</v>
      </c>
      <c r="M326" s="27">
        <f t="shared" si="333"/>
        <v>2585.1415355873846</v>
      </c>
      <c r="N326" s="27">
        <f t="shared" si="333"/>
        <v>2376.4022486820986</v>
      </c>
      <c r="O326" s="27">
        <f t="shared" si="333"/>
        <v>2160.0250480504687</v>
      </c>
      <c r="P326" s="27">
        <f t="shared" si="333"/>
        <v>1931.4104519523132</v>
      </c>
      <c r="Q326" s="27">
        <f t="shared" si="333"/>
        <v>1669.6391058502284</v>
      </c>
      <c r="R326" s="27">
        <f t="shared" si="333"/>
        <v>1379.3293872468328</v>
      </c>
      <c r="S326" s="27">
        <f t="shared" si="333"/>
        <v>1065.7086393925258</v>
      </c>
      <c r="T326" s="27">
        <f t="shared" si="333"/>
        <v>767.45647082035907</v>
      </c>
      <c r="U326" s="27">
        <f t="shared" si="333"/>
        <v>538.976631793612</v>
      </c>
      <c r="V326" s="27">
        <f t="shared" si="333"/>
        <v>393.0379985771952</v>
      </c>
      <c r="W326" s="27">
        <f t="shared" si="333"/>
        <v>319.71592535383178</v>
      </c>
      <c r="X326" s="27">
        <f t="shared" si="333"/>
        <v>281.84896989821243</v>
      </c>
      <c r="Y326" s="27">
        <f t="shared" si="333"/>
        <v>263.96279118412667</v>
      </c>
      <c r="Z326" s="27">
        <f t="shared" si="333"/>
        <v>237.3070721627823</v>
      </c>
      <c r="AA326" s="27">
        <f t="shared" si="333"/>
        <v>223.95259140505445</v>
      </c>
      <c r="AB326" s="27">
        <f t="shared" si="333"/>
        <v>223.95228822249405</v>
      </c>
      <c r="AC326" s="27">
        <f t="shared" si="333"/>
        <v>223.95228822249405</v>
      </c>
      <c r="AD326" s="27">
        <f t="shared" si="333"/>
        <v>223.95228822249405</v>
      </c>
      <c r="AE326" s="27">
        <f t="shared" si="333"/>
        <v>223.95228822249405</v>
      </c>
      <c r="AF326" s="27">
        <f t="shared" si="333"/>
        <v>223.95228822249405</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2.1794836677857532E-99</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4.8885248025779577E-11</v>
      </c>
      <c r="C332" s="3">
        <f t="shared" si="339"/>
        <v>8.256040202370038E-90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4.8005394100961267E-3</v>
      </c>
      <c r="C333" s="3">
        <f t="shared" si="340"/>
        <v>3.7615227493926617E-10</v>
      </c>
      <c r="D333" s="3">
        <f t="shared" si="340"/>
        <v>3.2817101952108169E-81</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2.5423924791865827E-2</v>
      </c>
      <c r="C334" s="3">
        <f t="shared" si="341"/>
        <v>5.8107062776720743E-3</v>
      </c>
      <c r="D334" s="3">
        <f t="shared" si="341"/>
        <v>2.2599155074251727E-9</v>
      </c>
      <c r="E334" s="3">
        <f t="shared" si="341"/>
        <v>1.7894723581068875E-73</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2.6679559230505516E-2</v>
      </c>
      <c r="C335" s="3">
        <f t="shared" si="342"/>
        <v>2.3353602532279867E-2</v>
      </c>
      <c r="D335" s="3">
        <f t="shared" si="342"/>
        <v>6.1674583460720215E-3</v>
      </c>
      <c r="E335" s="3">
        <f t="shared" si="342"/>
        <v>1.0177230970211623E-8</v>
      </c>
      <c r="F335" s="3">
        <f t="shared" si="342"/>
        <v>1.5235744785781222E-66</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3.1957036916713179E-2</v>
      </c>
      <c r="C336" s="3">
        <f t="shared" si="343"/>
        <v>3.1575499495009096E-2</v>
      </c>
      <c r="D336" s="3">
        <f t="shared" si="343"/>
        <v>2.8001898688190037E-2</v>
      </c>
      <c r="E336" s="3">
        <f t="shared" si="343"/>
        <v>8.4248074851293632E-3</v>
      </c>
      <c r="F336" s="3">
        <f t="shared" si="343"/>
        <v>5.1201777963952223E-8</v>
      </c>
      <c r="G336" s="3">
        <f t="shared" si="343"/>
        <v>3.5199427944044698E-60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4.0922118492202716E-2</v>
      </c>
      <c r="C337" s="3">
        <f t="shared" si="344"/>
        <v>4.0877804017234787E-2</v>
      </c>
      <c r="D337" s="3">
        <f t="shared" si="344"/>
        <v>4.0437290054463157E-2</v>
      </c>
      <c r="E337" s="3">
        <f t="shared" si="344"/>
        <v>3.6284981308521792E-2</v>
      </c>
      <c r="F337" s="3">
        <f t="shared" si="344"/>
        <v>1.2279353682955633E-2</v>
      </c>
      <c r="G337" s="3">
        <f t="shared" si="344"/>
        <v>2.419143089352323E-7</v>
      </c>
      <c r="H337" s="3">
        <f t="shared" si="344"/>
        <v>2.130698708552204E-54</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4.0579898385470034E-2</v>
      </c>
      <c r="C338" s="3">
        <f t="shared" si="345"/>
        <v>4.0575932327328507E-2</v>
      </c>
      <c r="D338" s="3">
        <f t="shared" si="345"/>
        <v>4.053629305881376E-2</v>
      </c>
      <c r="E338" s="3">
        <f t="shared" si="345"/>
        <v>4.014202397632171E-2</v>
      </c>
      <c r="F338" s="3">
        <f t="shared" si="345"/>
        <v>3.6404210384602662E-2</v>
      </c>
      <c r="G338" s="3">
        <f t="shared" si="345"/>
        <v>1.3698566142335233E-2</v>
      </c>
      <c r="H338" s="3">
        <f t="shared" si="345"/>
        <v>7.7966863906477629E-7</v>
      </c>
      <c r="I338" s="3">
        <f t="shared" si="345"/>
        <v>2.7813754256835737E-49</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2.9296939407247327E-2</v>
      </c>
      <c r="C339" s="3">
        <f t="shared" si="346"/>
        <v>2.9296681100188609E-2</v>
      </c>
      <c r="D339" s="3">
        <f t="shared" si="346"/>
        <v>2.9294098154858256E-2</v>
      </c>
      <c r="E339" s="3">
        <f t="shared" si="346"/>
        <v>2.9268281223154842E-2</v>
      </c>
      <c r="F339" s="3">
        <f t="shared" si="346"/>
        <v>2.90113599908856E-2</v>
      </c>
      <c r="G339" s="3">
        <f t="shared" si="346"/>
        <v>2.6562978824999431E-2</v>
      </c>
      <c r="H339" s="3">
        <f t="shared" si="346"/>
        <v>1.0999264759975159E-2</v>
      </c>
      <c r="I339" s="3">
        <f t="shared" si="346"/>
        <v>1.630168341395498E-6</v>
      </c>
      <c r="J339" s="3">
        <f t="shared" si="346"/>
        <v>8.3352847759282823E-45</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3.1189847218921027E-2</v>
      </c>
      <c r="C340" s="3">
        <f t="shared" si="347"/>
        <v>3.1189822411843635E-2</v>
      </c>
      <c r="D340" s="3">
        <f t="shared" si="347"/>
        <v>3.1189574342154868E-2</v>
      </c>
      <c r="E340" s="3">
        <f t="shared" si="347"/>
        <v>3.118709375378147E-2</v>
      </c>
      <c r="F340" s="3">
        <f t="shared" si="347"/>
        <v>3.1162298718281183E-2</v>
      </c>
      <c r="G340" s="3">
        <f t="shared" si="347"/>
        <v>3.091543000098311E-2</v>
      </c>
      <c r="H340" s="3">
        <f t="shared" si="347"/>
        <v>2.8551790117650824E-2</v>
      </c>
      <c r="I340" s="3">
        <f t="shared" si="347"/>
        <v>1.2888840604597412E-2</v>
      </c>
      <c r="J340" s="3">
        <f t="shared" si="347"/>
        <v>4.5291734860197794E-6</v>
      </c>
      <c r="K340" s="3">
        <f t="shared" si="347"/>
        <v>1.3003791295132123E-40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2.9811720508277611E-2</v>
      </c>
      <c r="C341" s="3">
        <f t="shared" si="348"/>
        <v>2.9811718369349722E-2</v>
      </c>
      <c r="D341" s="3">
        <f t="shared" si="348"/>
        <v>2.9811696980079273E-2</v>
      </c>
      <c r="E341" s="3">
        <f t="shared" si="348"/>
        <v>2.9811483088218814E-2</v>
      </c>
      <c r="F341" s="3">
        <f t="shared" si="348"/>
        <v>2.9809344254016698E-2</v>
      </c>
      <c r="G341" s="3">
        <f t="shared" si="348"/>
        <v>2.9787964350002454E-2</v>
      </c>
      <c r="H341" s="3">
        <f t="shared" si="348"/>
        <v>2.9575006874827139E-2</v>
      </c>
      <c r="I341" s="3">
        <f t="shared" si="348"/>
        <v>2.7527396770030667E-2</v>
      </c>
      <c r="J341" s="3">
        <f t="shared" si="348"/>
        <v>1.3432845722642067E-2</v>
      </c>
      <c r="K341" s="3">
        <f t="shared" si="348"/>
        <v>1.0284824110061468E-5</v>
      </c>
      <c r="L341" s="3">
        <f t="shared" si="348"/>
        <v>7.1200868068817346E-37</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3.5101091368076251E-2</v>
      </c>
      <c r="C342" s="3">
        <f t="shared" si="349"/>
        <v>3.5101091140892993E-2</v>
      </c>
      <c r="D342" s="3">
        <f t="shared" si="349"/>
        <v>3.5101088869060472E-2</v>
      </c>
      <c r="E342" s="3">
        <f t="shared" si="349"/>
        <v>3.5101066150743376E-2</v>
      </c>
      <c r="F342" s="3">
        <f t="shared" si="349"/>
        <v>3.5100838968381079E-2</v>
      </c>
      <c r="G342" s="3">
        <f t="shared" si="349"/>
        <v>3.509856722562734E-2</v>
      </c>
      <c r="H342" s="3">
        <f t="shared" si="349"/>
        <v>3.507585788307415E-2</v>
      </c>
      <c r="I342" s="3">
        <f t="shared" si="349"/>
        <v>3.4849571023169282E-2</v>
      </c>
      <c r="J342" s="3">
        <f t="shared" si="349"/>
        <v>3.2665460459901853E-2</v>
      </c>
      <c r="K342" s="3">
        <f t="shared" si="349"/>
        <v>1.7100242281243034E-2</v>
      </c>
      <c r="L342" s="3">
        <f t="shared" si="349"/>
        <v>2.643242784045666E-5</v>
      </c>
      <c r="M342" s="3">
        <f t="shared" si="349"/>
        <v>2.0581876670944541E-33</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3.5333951266590287E-2</v>
      </c>
      <c r="C343" s="3">
        <f t="shared" si="350"/>
        <v>3.5333951245960511E-2</v>
      </c>
      <c r="D343" s="3">
        <f t="shared" si="350"/>
        <v>3.5333951039662748E-2</v>
      </c>
      <c r="E343" s="3">
        <f t="shared" si="350"/>
        <v>3.5333948976685264E-2</v>
      </c>
      <c r="F343" s="3">
        <f t="shared" si="350"/>
        <v>3.5333928346916954E-2</v>
      </c>
      <c r="G343" s="3">
        <f t="shared" si="350"/>
        <v>3.5333722049896328E-2</v>
      </c>
      <c r="H343" s="3">
        <f t="shared" si="350"/>
        <v>3.5331659145934502E-2</v>
      </c>
      <c r="I343" s="3">
        <f t="shared" si="350"/>
        <v>3.5311036729323855E-2</v>
      </c>
      <c r="J343" s="3">
        <f t="shared" si="350"/>
        <v>3.5105473435478478E-2</v>
      </c>
      <c r="K343" s="3">
        <f t="shared" si="350"/>
        <v>3.3114522095728877E-2</v>
      </c>
      <c r="L343" s="3">
        <f t="shared" si="350"/>
        <v>1.8469496907420852E-2</v>
      </c>
      <c r="M343" s="3">
        <f t="shared" si="350"/>
        <v>5.3804773362883765E-5</v>
      </c>
      <c r="N343" s="3">
        <f t="shared" si="350"/>
        <v>2.3685263043062643E-30</v>
      </c>
      <c r="O343" s="3">
        <f t="shared" si="350"/>
        <v>6.4722050944959537E-284</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3.9261973776133441E-2</v>
      </c>
      <c r="C344" s="3">
        <f t="shared" si="351"/>
        <v>3.9261973774065581E-2</v>
      </c>
      <c r="D344" s="3">
        <f t="shared" si="351"/>
        <v>3.9261973753386983E-2</v>
      </c>
      <c r="E344" s="3">
        <f t="shared" si="351"/>
        <v>3.9261973546601041E-2</v>
      </c>
      <c r="F344" s="3">
        <f t="shared" si="351"/>
        <v>3.9261971478741643E-2</v>
      </c>
      <c r="G344" s="3">
        <f t="shared" si="351"/>
        <v>3.926195080015369E-2</v>
      </c>
      <c r="H344" s="3">
        <f t="shared" si="351"/>
        <v>3.9261744014873153E-2</v>
      </c>
      <c r="I344" s="3">
        <f t="shared" si="351"/>
        <v>3.9259676221967278E-2</v>
      </c>
      <c r="J344" s="3">
        <f t="shared" si="351"/>
        <v>3.9239004281691393E-2</v>
      </c>
      <c r="K344" s="3">
        <f t="shared" si="351"/>
        <v>3.9032882591812548E-2</v>
      </c>
      <c r="L344" s="3">
        <f t="shared" si="351"/>
        <v>3.7030288430264617E-2</v>
      </c>
      <c r="M344" s="3">
        <f t="shared" si="351"/>
        <v>2.1868640747137305E-2</v>
      </c>
      <c r="N344" s="3">
        <f t="shared" si="351"/>
        <v>1.1284147223052676E-4</v>
      </c>
      <c r="O344" s="3">
        <f t="shared" si="351"/>
        <v>1.5098655611343616E-27</v>
      </c>
      <c r="P344" s="3">
        <f t="shared" si="351"/>
        <v>2.7773693293770151E-256</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3.7079136060108972E-2</v>
      </c>
      <c r="C345" s="3">
        <f t="shared" si="352"/>
        <v>3.7079136059932807E-2</v>
      </c>
      <c r="D345" s="3">
        <f t="shared" si="352"/>
        <v>3.7079136058171133E-2</v>
      </c>
      <c r="E345" s="3">
        <f t="shared" si="352"/>
        <v>3.7079136040554413E-2</v>
      </c>
      <c r="F345" s="3">
        <f t="shared" si="352"/>
        <v>3.70791358643872E-2</v>
      </c>
      <c r="G345" s="3">
        <f t="shared" si="352"/>
        <v>3.70791341027151E-2</v>
      </c>
      <c r="H345" s="3">
        <f t="shared" si="352"/>
        <v>3.7079116485998743E-2</v>
      </c>
      <c r="I345" s="3">
        <f t="shared" si="352"/>
        <v>3.7078940319295477E-2</v>
      </c>
      <c r="J345" s="3">
        <f t="shared" si="352"/>
        <v>3.7077178698296409E-2</v>
      </c>
      <c r="K345" s="3">
        <f t="shared" si="352"/>
        <v>3.7059567090854915E-2</v>
      </c>
      <c r="L345" s="3">
        <f t="shared" si="352"/>
        <v>3.688391046329359E-2</v>
      </c>
      <c r="M345" s="3">
        <f t="shared" si="352"/>
        <v>3.5172491367329597E-2</v>
      </c>
      <c r="N345" s="3">
        <f t="shared" si="352"/>
        <v>2.1870809509635828E-2</v>
      </c>
      <c r="O345" s="3">
        <f t="shared" si="352"/>
        <v>1.8900884170604352E-4</v>
      </c>
      <c r="P345" s="3">
        <f t="shared" si="352"/>
        <v>4.3919233028959649E-25</v>
      </c>
      <c r="Q345" s="3">
        <f t="shared" si="352"/>
        <v>2.0154917004397163E-231</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4.6100569692299767E-2</v>
      </c>
      <c r="C346" s="3">
        <f t="shared" si="353"/>
        <v>4.6100569692280005E-2</v>
      </c>
      <c r="D346" s="3">
        <f t="shared" si="353"/>
        <v>4.6100569692082427E-2</v>
      </c>
      <c r="E346" s="3">
        <f t="shared" si="353"/>
        <v>4.6100569690106598E-2</v>
      </c>
      <c r="F346" s="3">
        <f t="shared" si="353"/>
        <v>4.6100569670348354E-2</v>
      </c>
      <c r="G346" s="3">
        <f t="shared" si="353"/>
        <v>4.6100569472765911E-2</v>
      </c>
      <c r="H346" s="3">
        <f t="shared" si="353"/>
        <v>4.6100567496941462E-2</v>
      </c>
      <c r="I346" s="3">
        <f t="shared" si="353"/>
        <v>4.6100547738701717E-2</v>
      </c>
      <c r="J346" s="3">
        <f t="shared" si="353"/>
        <v>4.6100350156769949E-2</v>
      </c>
      <c r="K346" s="3">
        <f t="shared" si="353"/>
        <v>4.6098374384026503E-2</v>
      </c>
      <c r="L346" s="3">
        <f t="shared" si="353"/>
        <v>4.6078621313274365E-2</v>
      </c>
      <c r="M346" s="3">
        <f t="shared" si="353"/>
        <v>4.5881555536377676E-2</v>
      </c>
      <c r="N346" s="3">
        <f t="shared" si="353"/>
        <v>4.3956661926706463E-2</v>
      </c>
      <c r="O346" s="3">
        <f t="shared" si="353"/>
        <v>2.8634553533775198E-2</v>
      </c>
      <c r="P346" s="3">
        <f t="shared" si="353"/>
        <v>3.9404655052847139E-4</v>
      </c>
      <c r="Q346" s="3">
        <f t="shared" si="353"/>
        <v>9.5966282195769497E-23</v>
      </c>
      <c r="R346" s="3">
        <f t="shared" si="353"/>
        <v>7.0441739520074212E-209</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2.4069457926978791E-2</v>
      </c>
      <c r="C347" s="3">
        <f t="shared" si="354"/>
        <v>2.4069457926977861E-2</v>
      </c>
      <c r="D347" s="3">
        <f t="shared" si="354"/>
        <v>2.4069457926968556E-2</v>
      </c>
      <c r="E347" s="3">
        <f t="shared" si="354"/>
        <v>2.4069457926875499E-2</v>
      </c>
      <c r="F347" s="3">
        <f t="shared" si="354"/>
        <v>2.4069457925944913E-2</v>
      </c>
      <c r="G347" s="3">
        <f t="shared" si="354"/>
        <v>2.406945791663909E-2</v>
      </c>
      <c r="H347" s="3">
        <f t="shared" si="354"/>
        <v>2.4069457823580817E-2</v>
      </c>
      <c r="I347" s="3">
        <f t="shared" si="354"/>
        <v>2.4069456892998144E-2</v>
      </c>
      <c r="J347" s="3">
        <f t="shared" si="354"/>
        <v>2.4069447587173377E-2</v>
      </c>
      <c r="K347" s="3">
        <f t="shared" si="354"/>
        <v>2.4069354529123583E-2</v>
      </c>
      <c r="L347" s="3">
        <f t="shared" si="354"/>
        <v>2.4068423968413549E-2</v>
      </c>
      <c r="M347" s="3">
        <f t="shared" si="354"/>
        <v>2.4059120339818867E-2</v>
      </c>
      <c r="N347" s="3">
        <f t="shared" si="354"/>
        <v>2.3966281621704413E-2</v>
      </c>
      <c r="O347" s="3">
        <f t="shared" si="354"/>
        <v>2.3057371500336897E-2</v>
      </c>
      <c r="P347" s="3">
        <f t="shared" si="354"/>
        <v>1.5663946234708126E-2</v>
      </c>
      <c r="Q347" s="3">
        <f t="shared" si="354"/>
        <v>3.2795560054623465E-4</v>
      </c>
      <c r="R347" s="3">
        <f t="shared" si="354"/>
        <v>5.3082788911144891E-21</v>
      </c>
      <c r="S347" s="3">
        <f t="shared" si="354"/>
        <v>6.5514968337222307E-189</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4.2363904015121259E-2</v>
      </c>
      <c r="C348" s="3">
        <f t="shared" si="355"/>
        <v>4.2363904015120801E-2</v>
      </c>
      <c r="D348" s="3">
        <f t="shared" si="355"/>
        <v>4.2363904015116277E-2</v>
      </c>
      <c r="E348" s="3">
        <f t="shared" si="355"/>
        <v>4.2363904015070973E-2</v>
      </c>
      <c r="F348" s="3">
        <f t="shared" si="355"/>
        <v>4.2363904014617974E-2</v>
      </c>
      <c r="G348" s="3">
        <f t="shared" si="355"/>
        <v>4.2363904010087987E-2</v>
      </c>
      <c r="H348" s="3">
        <f t="shared" si="355"/>
        <v>4.2363903964788056E-2</v>
      </c>
      <c r="I348" s="3">
        <f t="shared" si="355"/>
        <v>4.2363903511788793E-2</v>
      </c>
      <c r="J348" s="3">
        <f t="shared" si="355"/>
        <v>4.2363898981796405E-2</v>
      </c>
      <c r="K348" s="3">
        <f t="shared" si="355"/>
        <v>4.2363853681899176E-2</v>
      </c>
      <c r="L348" s="3">
        <f t="shared" si="355"/>
        <v>4.2363400685591045E-2</v>
      </c>
      <c r="M348" s="3">
        <f t="shared" si="355"/>
        <v>4.2358870988914922E-2</v>
      </c>
      <c r="N348" s="3">
        <f t="shared" si="355"/>
        <v>4.2313600652131987E-2</v>
      </c>
      <c r="O348" s="3">
        <f t="shared" si="355"/>
        <v>4.1863549776246775E-2</v>
      </c>
      <c r="P348" s="3">
        <f t="shared" si="355"/>
        <v>3.7618089273417074E-2</v>
      </c>
      <c r="Q348" s="3">
        <f t="shared" si="355"/>
        <v>1.2912298259697584E-2</v>
      </c>
      <c r="R348" s="3">
        <f t="shared" si="355"/>
        <v>2.9313772548143118E-7</v>
      </c>
      <c r="S348" s="3">
        <f t="shared" si="355"/>
        <v>1.0659905607326125E-53</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5.5125175365667724E-2</v>
      </c>
      <c r="C349" s="3">
        <f t="shared" si="356"/>
        <v>5.5125175365667661E-2</v>
      </c>
      <c r="D349" s="3">
        <f t="shared" si="356"/>
        <v>5.5125175365667078E-2</v>
      </c>
      <c r="E349" s="3">
        <f t="shared" si="356"/>
        <v>5.512517536566118E-2</v>
      </c>
      <c r="F349" s="3">
        <f t="shared" si="356"/>
        <v>5.5125175365602234E-2</v>
      </c>
      <c r="G349" s="3">
        <f t="shared" si="356"/>
        <v>5.5125175365012782E-2</v>
      </c>
      <c r="H349" s="3">
        <f t="shared" si="356"/>
        <v>5.512517535911822E-2</v>
      </c>
      <c r="I349" s="3">
        <f t="shared" si="356"/>
        <v>5.5125175300172601E-2</v>
      </c>
      <c r="J349" s="3">
        <f t="shared" si="356"/>
        <v>5.512517471071645E-2</v>
      </c>
      <c r="K349" s="3">
        <f t="shared" si="356"/>
        <v>5.5125168816155257E-2</v>
      </c>
      <c r="L349" s="3">
        <f t="shared" si="356"/>
        <v>5.5125109870577955E-2</v>
      </c>
      <c r="M349" s="3">
        <f t="shared" si="356"/>
        <v>5.512452041827165E-2</v>
      </c>
      <c r="N349" s="3">
        <f t="shared" si="356"/>
        <v>5.5118626241862992E-2</v>
      </c>
      <c r="O349" s="3">
        <f t="shared" si="356"/>
        <v>5.5059719129498391E-2</v>
      </c>
      <c r="P349" s="3">
        <f t="shared" si="356"/>
        <v>5.4474099507477967E-2</v>
      </c>
      <c r="Q349" s="3">
        <f t="shared" si="356"/>
        <v>4.8949779684570038E-2</v>
      </c>
      <c r="R349" s="3">
        <f t="shared" si="356"/>
        <v>1.6801867591937924E-2</v>
      </c>
      <c r="S349" s="3">
        <f t="shared" si="356"/>
        <v>3.8143955093678325E-7</v>
      </c>
      <c r="T349" s="3">
        <f t="shared" si="356"/>
        <v>1.3870987097307415E-53</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5.6884717195846243E-2</v>
      </c>
      <c r="C350" s="3">
        <f t="shared" si="357"/>
        <v>5.6884717195846236E-2</v>
      </c>
      <c r="D350" s="3">
        <f t="shared" si="357"/>
        <v>5.6884717195846174E-2</v>
      </c>
      <c r="E350" s="3">
        <f t="shared" si="357"/>
        <v>5.688471719584557E-2</v>
      </c>
      <c r="F350" s="3">
        <f t="shared" si="357"/>
        <v>5.6884717195839485E-2</v>
      </c>
      <c r="G350" s="3">
        <f t="shared" si="357"/>
        <v>5.6884717195778658E-2</v>
      </c>
      <c r="H350" s="3">
        <f t="shared" si="357"/>
        <v>5.6884717195170388E-2</v>
      </c>
      <c r="I350" s="3">
        <f t="shared" si="357"/>
        <v>5.6884717189087677E-2</v>
      </c>
      <c r="J350" s="3">
        <f t="shared" si="357"/>
        <v>5.688471712826057E-2</v>
      </c>
      <c r="K350" s="3">
        <f t="shared" si="357"/>
        <v>5.6884716519989553E-2</v>
      </c>
      <c r="L350" s="3">
        <f t="shared" si="357"/>
        <v>5.6884710437279717E-2</v>
      </c>
      <c r="M350" s="3">
        <f t="shared" si="357"/>
        <v>5.6884649610217081E-2</v>
      </c>
      <c r="N350" s="3">
        <f t="shared" si="357"/>
        <v>5.6884041343168094E-2</v>
      </c>
      <c r="O350" s="3">
        <f t="shared" si="357"/>
        <v>5.6877959030397482E-2</v>
      </c>
      <c r="P350" s="3">
        <f t="shared" si="357"/>
        <v>5.681717166046249E-2</v>
      </c>
      <c r="Q350" s="3">
        <f t="shared" si="357"/>
        <v>5.6212859631303527E-2</v>
      </c>
      <c r="R350" s="3">
        <f t="shared" si="357"/>
        <v>5.0512208907909348E-2</v>
      </c>
      <c r="S350" s="3">
        <f t="shared" si="357"/>
        <v>1.733816681741935E-2</v>
      </c>
      <c r="T350" s="3">
        <f t="shared" si="357"/>
        <v>3.9361472935763557E-7</v>
      </c>
      <c r="U350" s="3">
        <f t="shared" si="357"/>
        <v>1.4313735476095873E-53</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5.455134576807355E-2</v>
      </c>
      <c r="C351" s="3">
        <f t="shared" si="358"/>
        <v>5.455134576807355E-2</v>
      </c>
      <c r="D351" s="3">
        <f t="shared" si="358"/>
        <v>5.4551345768073543E-2</v>
      </c>
      <c r="E351" s="3">
        <f t="shared" si="358"/>
        <v>5.4551345768073481E-2</v>
      </c>
      <c r="F351" s="3">
        <f t="shared" si="358"/>
        <v>5.4551345768072905E-2</v>
      </c>
      <c r="G351" s="3">
        <f t="shared" si="358"/>
        <v>5.4551345768067069E-2</v>
      </c>
      <c r="H351" s="3">
        <f t="shared" si="358"/>
        <v>5.4551345768008734E-2</v>
      </c>
      <c r="I351" s="3">
        <f t="shared" si="358"/>
        <v>5.4551345767425416E-2</v>
      </c>
      <c r="J351" s="3">
        <f t="shared" si="358"/>
        <v>5.4551345761592214E-2</v>
      </c>
      <c r="K351" s="3">
        <f t="shared" si="358"/>
        <v>5.4551345703260194E-2</v>
      </c>
      <c r="L351" s="3">
        <f t="shared" si="358"/>
        <v>5.4551345119940031E-2</v>
      </c>
      <c r="M351" s="3">
        <f t="shared" si="358"/>
        <v>5.4551339286738706E-2</v>
      </c>
      <c r="N351" s="3">
        <f t="shared" si="358"/>
        <v>5.4551280954759765E-2</v>
      </c>
      <c r="O351" s="3">
        <f t="shared" si="358"/>
        <v>5.4550697638400918E-2</v>
      </c>
      <c r="P351" s="3">
        <f t="shared" si="358"/>
        <v>5.4544864817858328E-2</v>
      </c>
      <c r="Q351" s="3">
        <f t="shared" si="358"/>
        <v>5.4486570903444741E-2</v>
      </c>
      <c r="R351" s="3">
        <f t="shared" si="358"/>
        <v>5.3907047332272563E-2</v>
      </c>
      <c r="S351" s="3">
        <f t="shared" si="358"/>
        <v>4.8440233325898238E-2</v>
      </c>
      <c r="T351" s="3">
        <f t="shared" si="358"/>
        <v>1.6626967306267046E-2</v>
      </c>
      <c r="U351" s="3">
        <f t="shared" si="358"/>
        <v>3.774689276676756E-7</v>
      </c>
      <c r="V351" s="3">
        <f t="shared" si="358"/>
        <v>1.3726596029315651E-53</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3.7051538899778975E-2</v>
      </c>
      <c r="C352" s="3">
        <f t="shared" si="359"/>
        <v>3.7051538899778975E-2</v>
      </c>
      <c r="D352" s="3">
        <f t="shared" si="359"/>
        <v>3.7051538899778975E-2</v>
      </c>
      <c r="E352" s="3">
        <f t="shared" si="359"/>
        <v>3.7051538899778969E-2</v>
      </c>
      <c r="F352" s="3">
        <f t="shared" si="359"/>
        <v>3.7051538899778927E-2</v>
      </c>
      <c r="G352" s="3">
        <f t="shared" si="359"/>
        <v>3.7051538899778538E-2</v>
      </c>
      <c r="H352" s="3">
        <f t="shared" si="359"/>
        <v>3.7051538899774576E-2</v>
      </c>
      <c r="I352" s="3">
        <f t="shared" si="359"/>
        <v>3.7051538899734955E-2</v>
      </c>
      <c r="J352" s="3">
        <f t="shared" si="359"/>
        <v>3.7051538899338758E-2</v>
      </c>
      <c r="K352" s="3">
        <f t="shared" si="359"/>
        <v>3.7051538895376823E-2</v>
      </c>
      <c r="L352" s="3">
        <f t="shared" si="359"/>
        <v>3.7051538855757432E-2</v>
      </c>
      <c r="M352" s="3">
        <f t="shared" si="359"/>
        <v>3.7051538459563542E-2</v>
      </c>
      <c r="N352" s="3">
        <f t="shared" si="359"/>
        <v>3.7051534497624883E-2</v>
      </c>
      <c r="O352" s="3">
        <f t="shared" si="359"/>
        <v>3.7051494878261572E-2</v>
      </c>
      <c r="P352" s="3">
        <f t="shared" si="359"/>
        <v>3.7051098686958571E-2</v>
      </c>
      <c r="Q352" s="3">
        <f t="shared" si="359"/>
        <v>3.7047137006926911E-2</v>
      </c>
      <c r="R352" s="3">
        <f t="shared" si="359"/>
        <v>3.7007543497232433E-2</v>
      </c>
      <c r="S352" s="3">
        <f t="shared" si="359"/>
        <v>3.6613928274027582E-2</v>
      </c>
      <c r="T352" s="3">
        <f t="shared" si="359"/>
        <v>3.2900841658782605E-2</v>
      </c>
      <c r="U352" s="3">
        <f t="shared" si="359"/>
        <v>1.1293116920573861E-2</v>
      </c>
      <c r="V352" s="3">
        <f t="shared" si="359"/>
        <v>2.5637872833417796E-7</v>
      </c>
      <c r="W352" s="3">
        <f t="shared" si="359"/>
        <v>9.3231706675767523E-54</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2.3553362774933962E-2</v>
      </c>
      <c r="C353" s="3">
        <f t="shared" si="360"/>
        <v>2.3553362774933962E-2</v>
      </c>
      <c r="D353" s="3">
        <f t="shared" si="360"/>
        <v>2.3553362774933962E-2</v>
      </c>
      <c r="E353" s="3">
        <f t="shared" si="360"/>
        <v>2.3553362774933962E-2</v>
      </c>
      <c r="F353" s="3">
        <f t="shared" si="360"/>
        <v>2.3553362774933959E-2</v>
      </c>
      <c r="G353" s="3">
        <f t="shared" si="360"/>
        <v>2.3553362774933934E-2</v>
      </c>
      <c r="H353" s="3">
        <f t="shared" si="360"/>
        <v>2.3553362774933681E-2</v>
      </c>
      <c r="I353" s="3">
        <f t="shared" si="360"/>
        <v>2.3553362774931166E-2</v>
      </c>
      <c r="J353" s="3">
        <f t="shared" si="360"/>
        <v>2.3553362774905977E-2</v>
      </c>
      <c r="K353" s="3">
        <f t="shared" si="360"/>
        <v>2.355336277465412E-2</v>
      </c>
      <c r="L353" s="3">
        <f t="shared" si="360"/>
        <v>2.3553362772135548E-2</v>
      </c>
      <c r="M353" s="3">
        <f t="shared" si="360"/>
        <v>2.3553362746949823E-2</v>
      </c>
      <c r="N353" s="3">
        <f t="shared" si="360"/>
        <v>2.3553362495092583E-2</v>
      </c>
      <c r="O353" s="3">
        <f t="shared" si="360"/>
        <v>2.3553359976520308E-2</v>
      </c>
      <c r="P353" s="3">
        <f t="shared" si="360"/>
        <v>2.3553334790812383E-2</v>
      </c>
      <c r="Q353" s="3">
        <f t="shared" si="360"/>
        <v>2.3553082935214343E-2</v>
      </c>
      <c r="R353" s="3">
        <f t="shared" si="360"/>
        <v>2.3550564527349119E-2</v>
      </c>
      <c r="S353" s="3">
        <f t="shared" si="360"/>
        <v>2.352539525435645E-2</v>
      </c>
      <c r="T353" s="3">
        <f t="shared" si="360"/>
        <v>2.3275177249351114E-2</v>
      </c>
      <c r="U353" s="3">
        <f t="shared" si="360"/>
        <v>2.0914798202743192E-2</v>
      </c>
      <c r="V353" s="3">
        <f t="shared" si="360"/>
        <v>7.1789428344529024E-3</v>
      </c>
      <c r="W353" s="3">
        <f t="shared" si="360"/>
        <v>1.6297787826208637E-7</v>
      </c>
      <c r="X353" s="3">
        <f t="shared" si="360"/>
        <v>5.926663978520159E-54</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8.915333557989135E-3</v>
      </c>
      <c r="C354" s="3">
        <f t="shared" si="361"/>
        <v>8.915333557989135E-3</v>
      </c>
      <c r="D354" s="3">
        <f t="shared" si="361"/>
        <v>8.915333557989135E-3</v>
      </c>
      <c r="E354" s="3">
        <f t="shared" si="361"/>
        <v>8.915333557989135E-3</v>
      </c>
      <c r="F354" s="3">
        <f t="shared" si="361"/>
        <v>8.915333557989135E-3</v>
      </c>
      <c r="G354" s="3">
        <f t="shared" si="361"/>
        <v>8.9153335579891333E-3</v>
      </c>
      <c r="H354" s="3">
        <f t="shared" si="361"/>
        <v>8.9153335579891246E-3</v>
      </c>
      <c r="I354" s="3">
        <f t="shared" si="361"/>
        <v>8.9153335579890292E-3</v>
      </c>
      <c r="J354" s="3">
        <f t="shared" si="361"/>
        <v>8.9153335579880751E-3</v>
      </c>
      <c r="K354" s="3">
        <f t="shared" si="361"/>
        <v>8.9153335579785428E-3</v>
      </c>
      <c r="L354" s="3">
        <f t="shared" si="361"/>
        <v>8.9153335578832111E-3</v>
      </c>
      <c r="M354" s="3">
        <f t="shared" si="361"/>
        <v>8.9153335569298903E-3</v>
      </c>
      <c r="N354" s="3">
        <f t="shared" si="361"/>
        <v>8.915333547396681E-3</v>
      </c>
      <c r="O354" s="3">
        <f t="shared" si="361"/>
        <v>8.9153334520645899E-3</v>
      </c>
      <c r="P354" s="3">
        <f t="shared" si="361"/>
        <v>8.9153324987437353E-3</v>
      </c>
      <c r="Q354" s="3">
        <f t="shared" si="361"/>
        <v>8.9153229655408051E-3</v>
      </c>
      <c r="R354" s="3">
        <f t="shared" si="361"/>
        <v>8.9152276340721537E-3</v>
      </c>
      <c r="S354" s="3">
        <f t="shared" si="361"/>
        <v>8.9142743754496781E-3</v>
      </c>
      <c r="T354" s="3">
        <f t="shared" si="361"/>
        <v>8.9047473934095369E-3</v>
      </c>
      <c r="U354" s="3">
        <f t="shared" si="361"/>
        <v>8.8100357805433165E-3</v>
      </c>
      <c r="V354" s="3">
        <f t="shared" si="361"/>
        <v>7.9165936540460738E-3</v>
      </c>
      <c r="W354" s="3">
        <f t="shared" si="361"/>
        <v>2.7173474367319103E-3</v>
      </c>
      <c r="X354" s="3">
        <f t="shared" si="361"/>
        <v>6.1689796109545983E-8</v>
      </c>
      <c r="Y354" s="3">
        <f t="shared" si="361"/>
        <v>2.2433393804326658E-54</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6.6530683932672779E-3</v>
      </c>
      <c r="C355" s="3">
        <f t="shared" si="362"/>
        <v>6.6530683932672779E-3</v>
      </c>
      <c r="D355" s="3">
        <f t="shared" si="362"/>
        <v>6.6530683932672779E-3</v>
      </c>
      <c r="E355" s="3">
        <f t="shared" si="362"/>
        <v>6.6530683932672779E-3</v>
      </c>
      <c r="F355" s="3">
        <f t="shared" si="362"/>
        <v>6.6530683932672779E-3</v>
      </c>
      <c r="G355" s="3">
        <f t="shared" si="362"/>
        <v>6.6530683932672779E-3</v>
      </c>
      <c r="H355" s="3">
        <f t="shared" si="362"/>
        <v>6.6530683932672771E-3</v>
      </c>
      <c r="I355" s="3">
        <f t="shared" si="362"/>
        <v>6.6530683932672701E-3</v>
      </c>
      <c r="J355" s="3">
        <f t="shared" si="362"/>
        <v>6.653068393267199E-3</v>
      </c>
      <c r="K355" s="3">
        <f t="shared" si="362"/>
        <v>6.6530683932664878E-3</v>
      </c>
      <c r="L355" s="3">
        <f t="shared" si="362"/>
        <v>6.6530683932593728E-3</v>
      </c>
      <c r="M355" s="3">
        <f t="shared" si="362"/>
        <v>6.6530683931882318E-3</v>
      </c>
      <c r="N355" s="3">
        <f t="shared" si="362"/>
        <v>6.6530683924768156E-3</v>
      </c>
      <c r="O355" s="3">
        <f t="shared" si="362"/>
        <v>6.6530683853626574E-3</v>
      </c>
      <c r="P355" s="3">
        <f t="shared" si="362"/>
        <v>6.6530683142210769E-3</v>
      </c>
      <c r="Q355" s="3">
        <f t="shared" si="362"/>
        <v>6.653067602805313E-3</v>
      </c>
      <c r="R355" s="3">
        <f t="shared" si="362"/>
        <v>6.6530604886518487E-3</v>
      </c>
      <c r="S355" s="3">
        <f t="shared" si="362"/>
        <v>6.6529893475356094E-3</v>
      </c>
      <c r="T355" s="3">
        <f t="shared" si="362"/>
        <v>6.6522779782110016E-3</v>
      </c>
      <c r="U355" s="3">
        <f t="shared" si="362"/>
        <v>6.6451684670881458E-3</v>
      </c>
      <c r="V355" s="3">
        <f t="shared" si="362"/>
        <v>6.5744899182781638E-3</v>
      </c>
      <c r="W355" s="3">
        <f t="shared" si="362"/>
        <v>5.9077586586624526E-3</v>
      </c>
      <c r="X355" s="3">
        <f t="shared" si="362"/>
        <v>2.0278207458257571E-3</v>
      </c>
      <c r="Y355" s="3">
        <f t="shared" si="362"/>
        <v>4.6036015367673501E-8</v>
      </c>
      <c r="Z355" s="3">
        <f t="shared" si="362"/>
        <v>1.6740921952329891E-54</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6.4465417196877487E-4</v>
      </c>
      <c r="C356" s="3">
        <f t="shared" si="363"/>
        <v>6.4465417196877487E-4</v>
      </c>
      <c r="D356" s="3">
        <f t="shared" si="363"/>
        <v>6.4465417196877487E-4</v>
      </c>
      <c r="E356" s="3">
        <f t="shared" si="363"/>
        <v>6.4465417196877487E-4</v>
      </c>
      <c r="F356" s="3">
        <f t="shared" si="363"/>
        <v>6.4465417196877487E-4</v>
      </c>
      <c r="G356" s="3">
        <f t="shared" si="363"/>
        <v>6.4465417196877487E-4</v>
      </c>
      <c r="H356" s="3">
        <f t="shared" si="363"/>
        <v>6.4465417196877487E-4</v>
      </c>
      <c r="I356" s="3">
        <f t="shared" si="363"/>
        <v>6.4465417196877476E-4</v>
      </c>
      <c r="J356" s="3">
        <f t="shared" si="363"/>
        <v>6.4465417196877411E-4</v>
      </c>
      <c r="K356" s="3">
        <f t="shared" si="363"/>
        <v>6.4465417196876717E-4</v>
      </c>
      <c r="L356" s="3">
        <f t="shared" si="363"/>
        <v>6.4465417196869833E-4</v>
      </c>
      <c r="M356" s="3">
        <f t="shared" si="363"/>
        <v>6.4465417196800888E-4</v>
      </c>
      <c r="N356" s="3">
        <f t="shared" si="363"/>
        <v>6.4465417196111563E-4</v>
      </c>
      <c r="O356" s="3">
        <f t="shared" si="363"/>
        <v>6.4465417189218249E-4</v>
      </c>
      <c r="P356" s="3">
        <f t="shared" si="363"/>
        <v>6.4465417120285065E-4</v>
      </c>
      <c r="Q356" s="3">
        <f t="shared" si="363"/>
        <v>6.4465416430953249E-4</v>
      </c>
      <c r="R356" s="3">
        <f t="shared" si="363"/>
        <v>6.4465409537635561E-4</v>
      </c>
      <c r="S356" s="3">
        <f t="shared" si="363"/>
        <v>6.446534060449916E-4</v>
      </c>
      <c r="T356" s="3">
        <f t="shared" si="363"/>
        <v>6.4464651277189246E-4</v>
      </c>
      <c r="U356" s="3">
        <f t="shared" si="363"/>
        <v>6.4457758409480509E-4</v>
      </c>
      <c r="V356" s="3">
        <f t="shared" si="363"/>
        <v>6.4388870255397421E-4</v>
      </c>
      <c r="W356" s="3">
        <f t="shared" si="363"/>
        <v>6.3704025028116088E-4</v>
      </c>
      <c r="X356" s="3">
        <f t="shared" si="363"/>
        <v>5.7243681278633201E-4</v>
      </c>
      <c r="Y356" s="3">
        <f t="shared" si="363"/>
        <v>1.9648724866924575E-4</v>
      </c>
      <c r="Z356" s="3">
        <f t="shared" si="363"/>
        <v>4.4606950678008926E-9</v>
      </c>
      <c r="AA356" s="3">
        <f t="shared" si="363"/>
        <v>1.6221244907228708E-55</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7.8044740016632993E-3</v>
      </c>
      <c r="C357" s="3">
        <f t="shared" si="364"/>
        <v>7.8044740016632993E-3</v>
      </c>
      <c r="D357" s="3">
        <f t="shared" si="364"/>
        <v>7.8044740016632993E-3</v>
      </c>
      <c r="E357" s="3">
        <f t="shared" si="364"/>
        <v>7.8044740016632993E-3</v>
      </c>
      <c r="F357" s="3">
        <f t="shared" si="364"/>
        <v>7.8044740016632993E-3</v>
      </c>
      <c r="G357" s="3">
        <f t="shared" si="364"/>
        <v>7.8044740016632993E-3</v>
      </c>
      <c r="H357" s="3">
        <f t="shared" si="364"/>
        <v>7.8044740016632993E-3</v>
      </c>
      <c r="I357" s="3">
        <f t="shared" si="364"/>
        <v>7.8044740016632993E-3</v>
      </c>
      <c r="J357" s="3">
        <f t="shared" si="364"/>
        <v>7.8044740016632985E-3</v>
      </c>
      <c r="K357" s="3">
        <f t="shared" si="364"/>
        <v>7.8044740016632898E-3</v>
      </c>
      <c r="L357" s="3">
        <f t="shared" si="364"/>
        <v>7.8044740016632065E-3</v>
      </c>
      <c r="M357" s="3">
        <f t="shared" si="364"/>
        <v>7.8044740016623721E-3</v>
      </c>
      <c r="N357" s="3">
        <f t="shared" si="364"/>
        <v>7.8044740016540264E-3</v>
      </c>
      <c r="O357" s="3">
        <f t="shared" si="364"/>
        <v>7.8044740015705731E-3</v>
      </c>
      <c r="P357" s="3">
        <f t="shared" si="364"/>
        <v>7.8044740007360367E-3</v>
      </c>
      <c r="Q357" s="3">
        <f t="shared" si="364"/>
        <v>7.804473992390675E-3</v>
      </c>
      <c r="R357" s="3">
        <f t="shared" si="364"/>
        <v>7.8044739089370594E-3</v>
      </c>
      <c r="S357" s="3">
        <f t="shared" si="364"/>
        <v>7.8044730744009456E-3</v>
      </c>
      <c r="T357" s="3">
        <f t="shared" si="364"/>
        <v>7.8044647290447175E-3</v>
      </c>
      <c r="U357" s="3">
        <f t="shared" si="364"/>
        <v>7.8043812759732451E-3</v>
      </c>
      <c r="V357" s="3">
        <f t="shared" si="364"/>
        <v>7.8035467943369059E-3</v>
      </c>
      <c r="W357" s="3">
        <f t="shared" si="364"/>
        <v>7.7952068838710803E-3</v>
      </c>
      <c r="X357" s="3">
        <f t="shared" si="364"/>
        <v>7.7122964335259421E-3</v>
      </c>
      <c r="Y357" s="3">
        <f t="shared" si="364"/>
        <v>6.9301780974161216E-3</v>
      </c>
      <c r="Z357" s="3">
        <f t="shared" si="364"/>
        <v>2.3787632044856405E-3</v>
      </c>
      <c r="AA357" s="3">
        <f t="shared" si="364"/>
        <v>5.4003185273244511E-8</v>
      </c>
      <c r="AB357" s="3">
        <f t="shared" si="364"/>
        <v>1.9638170302450428E-54</v>
      </c>
      <c r="AC357" s="3">
        <f t="shared" si="364"/>
        <v>0</v>
      </c>
      <c r="AD357" s="3">
        <f t="shared" si="364"/>
        <v>0</v>
      </c>
      <c r="AE357" s="3">
        <f t="shared" si="364"/>
        <v>0</v>
      </c>
      <c r="AF357" s="3">
        <f t="shared" si="364"/>
        <v>0</v>
      </c>
      <c r="AG357" s="3"/>
      <c r="AH357" s="3"/>
    </row>
    <row r="358" spans="1:34" x14ac:dyDescent="0.25">
      <c r="A358" s="79">
        <f>AVERAGE(B358:AF358)</f>
        <v>1.8647905945868914E-2</v>
      </c>
      <c r="B358" s="80">
        <f>IF($A$64&lt;=B324,IF($B$64&gt;=B324,ABS((B326-B325)/B325),0),0)</f>
        <v>2.9039808791949439E-3</v>
      </c>
      <c r="C358" s="80">
        <f t="shared" ref="C358:AF358" si="365">IF($A$64&lt;=C324,IF($B$64&gt;=C324,ABS((C326-C325)/C325),0),0)</f>
        <v>6.2439878126978052E-3</v>
      </c>
      <c r="D358" s="80">
        <f t="shared" si="365"/>
        <v>7.4940503238856019E-3</v>
      </c>
      <c r="E358" s="80">
        <f t="shared" si="365"/>
        <v>9.4108888573365464E-3</v>
      </c>
      <c r="F358" s="80">
        <f t="shared" si="365"/>
        <v>1.0833193567782815E-2</v>
      </c>
      <c r="G358" s="80">
        <f t="shared" si="365"/>
        <v>1.011177909039665E-2</v>
      </c>
      <c r="H358" s="80">
        <f t="shared" si="365"/>
        <v>9.0686623192620993E-3</v>
      </c>
      <c r="I358" s="80">
        <f t="shared" si="365"/>
        <v>9.6739575068720048E-3</v>
      </c>
      <c r="J358" s="80">
        <f t="shared" si="365"/>
        <v>7.7207715180159266E-3</v>
      </c>
      <c r="K358" s="80">
        <f t="shared" si="365"/>
        <v>1.3971425768870111E-3</v>
      </c>
      <c r="L358" s="80">
        <f t="shared" si="365"/>
        <v>1.078480439322186E-2</v>
      </c>
      <c r="M358" s="80">
        <f t="shared" si="365"/>
        <v>2.1328432991135002E-2</v>
      </c>
      <c r="N358" s="80">
        <f t="shared" si="365"/>
        <v>2.971653707830408E-2</v>
      </c>
      <c r="O358" s="80">
        <f t="shared" si="365"/>
        <v>3.3902346209839521E-2</v>
      </c>
      <c r="P358" s="80">
        <f t="shared" si="365"/>
        <v>3.1066151055941699E-2</v>
      </c>
      <c r="Q358" s="80">
        <f t="shared" si="365"/>
        <v>2.2408061524860384E-2</v>
      </c>
      <c r="R358" s="80">
        <f t="shared" si="365"/>
        <v>2.6469836891029573E-3</v>
      </c>
      <c r="S358" s="80">
        <f t="shared" si="365"/>
        <v>1.9441666123519802E-2</v>
      </c>
      <c r="T358" s="80">
        <f t="shared" si="365"/>
        <v>3.2214428591489541E-2</v>
      </c>
      <c r="U358" s="80">
        <f t="shared" si="365"/>
        <v>3.7499094343370738E-2</v>
      </c>
      <c r="V358" s="80">
        <f t="shared" si="365"/>
        <v>2.4829018106328732E-2</v>
      </c>
      <c r="W358" s="80">
        <f t="shared" si="365"/>
        <v>1.7867369265905021E-2</v>
      </c>
      <c r="X358" s="80">
        <f t="shared" si="365"/>
        <v>4.1255605184301195E-3</v>
      </c>
      <c r="Y358" s="80">
        <f t="shared" si="365"/>
        <v>6.5735199435010749E-3</v>
      </c>
      <c r="Z358" s="80">
        <f t="shared" si="365"/>
        <v>5.2812131796942892E-2</v>
      </c>
      <c r="AA358" s="80">
        <f t="shared" si="365"/>
        <v>8.712346152331471E-2</v>
      </c>
      <c r="AB358" s="80">
        <f t="shared" si="365"/>
        <v>4.3224865969979563E-2</v>
      </c>
      <c r="AC358" s="80">
        <f t="shared" si="365"/>
        <v>9.8609019751687236E-3</v>
      </c>
      <c r="AD358" s="80">
        <f t="shared" si="365"/>
        <v>5.7096583743085653E-3</v>
      </c>
      <c r="AE358" s="80">
        <f t="shared" si="365"/>
        <v>5.2602053277564708E-3</v>
      </c>
      <c r="AF358" s="80">
        <f t="shared" si="365"/>
        <v>4.8314710671833582E-3</v>
      </c>
    </row>
    <row r="359" spans="1:34" x14ac:dyDescent="0.25">
      <c r="B359" s="21">
        <f>(B326-B325)^2</f>
        <v>175.86286214440477</v>
      </c>
      <c r="C359" s="21">
        <f t="shared" ref="C359:AF359" si="366">(C326-C325)^2</f>
        <v>743.82929504693971</v>
      </c>
      <c r="D359" s="21">
        <f t="shared" si="366"/>
        <v>996.22569685836459</v>
      </c>
      <c r="E359" s="21">
        <f t="shared" si="366"/>
        <v>1442.0271674077117</v>
      </c>
      <c r="F359" s="21">
        <f t="shared" si="366"/>
        <v>1718.8028185023886</v>
      </c>
      <c r="G359" s="21">
        <f t="shared" si="366"/>
        <v>1340.0175203118617</v>
      </c>
      <c r="H359" s="21">
        <f t="shared" si="366"/>
        <v>976.95393821008508</v>
      </c>
      <c r="I359" s="21">
        <f t="shared" si="366"/>
        <v>1009.0035812691453</v>
      </c>
      <c r="J359" s="21">
        <f t="shared" si="366"/>
        <v>582.5610632753918</v>
      </c>
      <c r="K359" s="21">
        <f t="shared" si="366"/>
        <v>17.229177955022205</v>
      </c>
      <c r="L359" s="21">
        <f t="shared" si="366"/>
        <v>921.65180636963612</v>
      </c>
      <c r="M359" s="21">
        <f t="shared" si="366"/>
        <v>3174.0415421882672</v>
      </c>
      <c r="N359" s="21">
        <f t="shared" si="366"/>
        <v>5297.1106891324062</v>
      </c>
      <c r="O359" s="21">
        <f t="shared" si="366"/>
        <v>5745.5952533637455</v>
      </c>
      <c r="P359" s="21">
        <f t="shared" si="366"/>
        <v>3834.7388911671342</v>
      </c>
      <c r="Q359" s="21">
        <f t="shared" si="366"/>
        <v>1464.6658965852662</v>
      </c>
      <c r="R359" s="21">
        <f t="shared" si="366"/>
        <v>13.401107707123058</v>
      </c>
      <c r="S359" s="21">
        <f t="shared" si="366"/>
        <v>413.06573875619517</v>
      </c>
      <c r="T359" s="21">
        <f t="shared" si="366"/>
        <v>573.678426410763</v>
      </c>
      <c r="U359" s="21">
        <f t="shared" si="366"/>
        <v>379.49492950958302</v>
      </c>
      <c r="V359" s="21">
        <f t="shared" si="366"/>
        <v>90.67453595114759</v>
      </c>
      <c r="W359" s="21">
        <f t="shared" si="366"/>
        <v>31.496868774073377</v>
      </c>
      <c r="X359" s="21">
        <f t="shared" si="366"/>
        <v>1.3409814908020001</v>
      </c>
      <c r="Y359" s="21">
        <f t="shared" si="366"/>
        <v>2.9716002858253354</v>
      </c>
      <c r="Z359" s="21">
        <f t="shared" si="366"/>
        <v>175.07192433291368</v>
      </c>
      <c r="AA359" s="21">
        <f t="shared" si="366"/>
        <v>456.83391425406023</v>
      </c>
      <c r="AB359" s="21">
        <f t="shared" si="366"/>
        <v>102.36666613559058</v>
      </c>
      <c r="AC359" s="21">
        <f t="shared" si="366"/>
        <v>4.9745279066778751</v>
      </c>
      <c r="AD359" s="21">
        <f t="shared" si="366"/>
        <v>1.6538831198331105</v>
      </c>
      <c r="AE359" s="21">
        <f t="shared" si="366"/>
        <v>1.4024823919205778</v>
      </c>
      <c r="AF359" s="21">
        <f t="shared" si="366"/>
        <v>1.1821606733444132</v>
      </c>
      <c r="AG359" s="3"/>
      <c r="AH359" s="3"/>
    </row>
    <row r="360" spans="1:34" x14ac:dyDescent="0.25">
      <c r="A360" s="71">
        <f>SUM(B360:AF360)</f>
        <v>31689.92694748762</v>
      </c>
      <c r="B360" s="60">
        <f>IF($A$64&lt;=B324,IF($B$64&gt;=B324,ABS(B359),0),0)</f>
        <v>175.86286214440477</v>
      </c>
      <c r="C360" s="60">
        <f t="shared" ref="C360:AF360" si="367">IF($A$64&lt;=C324,IF($B$64&gt;=C324,ABS(C359),0),0)</f>
        <v>743.82929504693971</v>
      </c>
      <c r="D360" s="60">
        <f t="shared" si="367"/>
        <v>996.22569685836459</v>
      </c>
      <c r="E360" s="60">
        <f t="shared" si="367"/>
        <v>1442.0271674077117</v>
      </c>
      <c r="F360" s="60">
        <f t="shared" si="367"/>
        <v>1718.8028185023886</v>
      </c>
      <c r="G360" s="60">
        <f t="shared" si="367"/>
        <v>1340.0175203118617</v>
      </c>
      <c r="H360" s="60">
        <f t="shared" si="367"/>
        <v>976.95393821008508</v>
      </c>
      <c r="I360" s="60">
        <f t="shared" si="367"/>
        <v>1009.0035812691453</v>
      </c>
      <c r="J360" s="60">
        <f t="shared" si="367"/>
        <v>582.5610632753918</v>
      </c>
      <c r="K360" s="60">
        <f t="shared" si="367"/>
        <v>17.229177955022205</v>
      </c>
      <c r="L360" s="60">
        <f t="shared" si="367"/>
        <v>921.65180636963612</v>
      </c>
      <c r="M360" s="60">
        <f t="shared" si="367"/>
        <v>3174.0415421882672</v>
      </c>
      <c r="N360" s="60">
        <f t="shared" si="367"/>
        <v>5297.1106891324062</v>
      </c>
      <c r="O360" s="60">
        <f t="shared" si="367"/>
        <v>5745.5952533637455</v>
      </c>
      <c r="P360" s="60">
        <f t="shared" si="367"/>
        <v>3834.7388911671342</v>
      </c>
      <c r="Q360" s="60">
        <f t="shared" si="367"/>
        <v>1464.6658965852662</v>
      </c>
      <c r="R360" s="60">
        <f t="shared" si="367"/>
        <v>13.401107707123058</v>
      </c>
      <c r="S360" s="60">
        <f t="shared" si="367"/>
        <v>413.06573875619517</v>
      </c>
      <c r="T360" s="60">
        <f t="shared" si="367"/>
        <v>573.678426410763</v>
      </c>
      <c r="U360" s="60">
        <f t="shared" si="367"/>
        <v>379.49492950958302</v>
      </c>
      <c r="V360" s="60">
        <f t="shared" si="367"/>
        <v>90.67453595114759</v>
      </c>
      <c r="W360" s="60">
        <f t="shared" si="367"/>
        <v>31.496868774073377</v>
      </c>
      <c r="X360" s="60">
        <f t="shared" si="367"/>
        <v>1.3409814908020001</v>
      </c>
      <c r="Y360" s="60">
        <f t="shared" si="367"/>
        <v>2.9716002858253354</v>
      </c>
      <c r="Z360" s="60">
        <f t="shared" si="367"/>
        <v>175.07192433291368</v>
      </c>
      <c r="AA360" s="60">
        <f t="shared" si="367"/>
        <v>456.83391425406023</v>
      </c>
      <c r="AB360" s="60">
        <f t="shared" si="367"/>
        <v>102.36666613559058</v>
      </c>
      <c r="AC360" s="60">
        <f t="shared" si="367"/>
        <v>4.9745279066778751</v>
      </c>
      <c r="AD360" s="60">
        <f t="shared" si="367"/>
        <v>1.6538831198331105</v>
      </c>
      <c r="AE360" s="60">
        <f t="shared" si="367"/>
        <v>1.4024823919205778</v>
      </c>
      <c r="AF360" s="60">
        <f t="shared" si="367"/>
        <v>1.1821606733444132</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3448.2859181540075</v>
      </c>
      <c r="C364" s="26">
        <f>INDEX(Comparison!$AM$3:$AS$33,G$14,$H$122)</f>
        <v>3239.5923652397146</v>
      </c>
      <c r="D364" s="26">
        <f>INDEX(Comparison!$AM$3:$AS$33,H$14,$H$122)</f>
        <v>3081.9689442141253</v>
      </c>
      <c r="E364" s="26">
        <f>INDEX(Comparison!$AM$3:$AS$33,I$14,$H$122)</f>
        <v>2925.1274026703973</v>
      </c>
      <c r="F364" s="26">
        <f>INDEX(Comparison!$AM$3:$AS$33,J$14,$H$122)</f>
        <v>2768.6775302611704</v>
      </c>
      <c r="G364" s="26">
        <f>INDEX(Comparison!$AM$3:$AS$33,K$14,$H$122)</f>
        <v>2587.8715481120807</v>
      </c>
      <c r="H364" s="26">
        <f>INDEX(Comparison!$AM$3:$AS$33,L$14,$H$122)</f>
        <v>2392.4689452404186</v>
      </c>
      <c r="I364" s="26">
        <f>INDEX(Comparison!$AM$3:$AS$33,M$14,$H$122)</f>
        <v>2172.7822789963197</v>
      </c>
      <c r="J364" s="26">
        <f>INDEX(Comparison!$AM$3:$AS$33,N$14,$H$122)</f>
        <v>1927.9643975704516</v>
      </c>
      <c r="K364" s="26">
        <f>INDEX(Comparison!$AM$3:$AS$33,O$14,$H$122)</f>
        <v>1643.6970338003</v>
      </c>
      <c r="L364" s="26">
        <f>INDEX(Comparison!$AM$3:$AS$33,P$14,$H$122)</f>
        <v>1319.6710728146086</v>
      </c>
      <c r="M364" s="26">
        <f>INDEX(Comparison!$AM$3:$AS$33,Q$14,$H$122)</f>
        <v>983.6154232764427</v>
      </c>
      <c r="N364" s="26">
        <f>INDEX(Comparison!$AM$3:$AS$33,R$14,$H$122)</f>
        <v>693.66104788005293</v>
      </c>
      <c r="O364" s="26">
        <f>INDEX(Comparison!$AM$3:$AS$33,S$14,$H$122)</f>
        <v>485.93999274200024</v>
      </c>
      <c r="P364" s="26">
        <f>INDEX(Comparison!$AM$3:$AS$33,T$14,$H$122)</f>
        <v>367.37990571310178</v>
      </c>
      <c r="Q364" s="26">
        <f>INDEX(Comparison!$AM$3:$AS$33,U$14,$H$122)</f>
        <v>307.17178720865763</v>
      </c>
      <c r="R364" s="26">
        <f>INDEX(Comparison!$AM$3:$AS$33,V$14,$H$122)</f>
        <v>279.06842494658031</v>
      </c>
      <c r="S364" s="26">
        <f>INDEX(Comparison!$AM$3:$AS$33,W$14,$H$122)</f>
        <v>261.67169004040318</v>
      </c>
      <c r="T364" s="26">
        <f>INDEX(Comparison!$AM$3:$AS$33,X$14,$H$122)</f>
        <v>251.34674819282765</v>
      </c>
      <c r="U364" s="26">
        <f>INDEX(Comparison!$AM$3:$AS$33,Y$14,$H$122)</f>
        <v>246.12933837944422</v>
      </c>
      <c r="V364" s="26">
        <f>INDEX(Comparison!$AM$3:$AS$33,Z$14,$H$122)</f>
        <v>232.30454015462297</v>
      </c>
      <c r="W364" s="26">
        <f>INDEX(Comparison!$AM$3:$AS$33,AA$14,$H$122)</f>
        <v>227.24083682489959</v>
      </c>
      <c r="X364" s="26">
        <f>INDEX(Comparison!$AM$3:$AS$33,AB$14,$H$122)</f>
        <v>226.40989093990805</v>
      </c>
      <c r="Y364" s="26">
        <f>INDEX(Comparison!$AM$3:$AS$33,AC$14,$H$122)</f>
        <v>226.30209993218824</v>
      </c>
      <c r="Z364" s="26">
        <f>INDEX(Comparison!$AM$3:$AS$33,AD$14,$H$122)</f>
        <v>225.971358220734</v>
      </c>
      <c r="AA364" s="26">
        <f>INDEX(Comparison!$AM$3:$AS$33,AE$14,$H$122)</f>
        <v>225.60625299057205</v>
      </c>
      <c r="AB364" s="26">
        <f>INDEX(Comparison!$AM$3:$AS$33,AF$14,$H$122)</f>
        <v>225.49131077609314</v>
      </c>
      <c r="AC364" s="26">
        <f>INDEX(Comparison!$AM$3:$AS$33,AG$14,$H$122)</f>
        <v>225.3813329804162</v>
      </c>
      <c r="AD364" s="26">
        <f>INDEX(Comparison!$AM$3:$AS$33,AH$14,$H$122)</f>
        <v>225.28846256587596</v>
      </c>
      <c r="AE364" s="26">
        <f>INDEX(Comparison!$AM$3:$AS$33,AI$14,$H$122)</f>
        <v>225.26138301118297</v>
      </c>
      <c r="AF364" s="26">
        <f>INDEX(Comparison!$AM$3:$AS$33,AJ$14,$H$122)</f>
        <v>225.24704548920718</v>
      </c>
      <c r="AG364" s="26"/>
      <c r="AH364" s="26"/>
    </row>
    <row r="365" spans="1:34" x14ac:dyDescent="0.25">
      <c r="A365" s="70" t="s">
        <v>22</v>
      </c>
      <c r="B365" s="27">
        <f>($C$17+SUM(B366:B396))*$B$51</f>
        <v>3449.7050595995197</v>
      </c>
      <c r="C365" s="27">
        <f t="shared" ref="C365:AF365" si="368">($C$17+SUM(C366:C396))*$B$51</f>
        <v>3286.2019278859871</v>
      </c>
      <c r="D365" s="27">
        <f t="shared" si="368"/>
        <v>3121.8408678240758</v>
      </c>
      <c r="E365" s="27">
        <f t="shared" si="368"/>
        <v>2943.3817045595142</v>
      </c>
      <c r="F365" s="27">
        <f t="shared" si="368"/>
        <v>2753.1347079556917</v>
      </c>
      <c r="G365" s="27">
        <f t="shared" si="368"/>
        <v>2552.1407495056515</v>
      </c>
      <c r="H365" s="27">
        <f t="shared" si="368"/>
        <v>2345.1086310545888</v>
      </c>
      <c r="I365" s="27">
        <f t="shared" si="368"/>
        <v>2125.1332397369251</v>
      </c>
      <c r="J365" s="27">
        <f t="shared" si="368"/>
        <v>1902.0299285078427</v>
      </c>
      <c r="K365" s="27">
        <f t="shared" si="368"/>
        <v>1623.0968364056234</v>
      </c>
      <c r="L365" s="27">
        <f t="shared" si="368"/>
        <v>1325.1941178182847</v>
      </c>
      <c r="M365" s="27">
        <f t="shared" si="368"/>
        <v>1011.4879907964601</v>
      </c>
      <c r="N365" s="27">
        <f t="shared" si="368"/>
        <v>719.68472785222536</v>
      </c>
      <c r="O365" s="27">
        <f t="shared" si="368"/>
        <v>507.13719325275929</v>
      </c>
      <c r="P365" s="27">
        <f t="shared" si="368"/>
        <v>374.3025027105773</v>
      </c>
      <c r="Q365" s="27">
        <f t="shared" si="368"/>
        <v>311.83134892075782</v>
      </c>
      <c r="R365" s="27">
        <f t="shared" si="368"/>
        <v>276.85973258060102</v>
      </c>
      <c r="S365" s="27">
        <f t="shared" si="368"/>
        <v>261.55229281914524</v>
      </c>
      <c r="T365" s="27">
        <f t="shared" si="368"/>
        <v>231.9075243104306</v>
      </c>
      <c r="U365" s="27">
        <f t="shared" si="368"/>
        <v>223.95228992808291</v>
      </c>
      <c r="V365" s="27">
        <f t="shared" si="368"/>
        <v>223.95228822249405</v>
      </c>
      <c r="W365" s="27">
        <f t="shared" si="368"/>
        <v>223.95228822249405</v>
      </c>
      <c r="X365" s="27">
        <f t="shared" si="368"/>
        <v>223.95228822249405</v>
      </c>
      <c r="Y365" s="27">
        <f t="shared" si="368"/>
        <v>223.95228822249405</v>
      </c>
      <c r="Z365" s="27">
        <f t="shared" si="368"/>
        <v>223.95228822249405</v>
      </c>
      <c r="AA365" s="27">
        <f t="shared" si="368"/>
        <v>223.95228822249405</v>
      </c>
      <c r="AB365" s="27">
        <f t="shared" si="368"/>
        <v>223.95228822249405</v>
      </c>
      <c r="AC365" s="27">
        <f t="shared" si="368"/>
        <v>223.95228822249405</v>
      </c>
      <c r="AD365" s="27">
        <f t="shared" si="368"/>
        <v>223.95228822249405</v>
      </c>
      <c r="AE365" s="27">
        <f t="shared" si="368"/>
        <v>223.95228822249405</v>
      </c>
      <c r="AF365" s="27">
        <f t="shared" si="368"/>
        <v>223.95228822249405</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3.4031303527992915E-77</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6.846414296756233E-9</v>
      </c>
      <c r="C377" s="3">
        <f t="shared" si="380"/>
        <v>7.5821210886174433E-70</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7.1755474143278177E-3</v>
      </c>
      <c r="C378" s="3">
        <f t="shared" si="381"/>
        <v>2.2758638643800685E-8</v>
      </c>
      <c r="D378" s="3">
        <f t="shared" si="381"/>
        <v>2.3445456749236062E-63</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2.7472546801694087E-2</v>
      </c>
      <c r="C379" s="3">
        <f t="shared" si="382"/>
        <v>8.767376299726664E-3</v>
      </c>
      <c r="D379" s="3">
        <f t="shared" si="382"/>
        <v>9.6067590601849565E-8</v>
      </c>
      <c r="E379" s="3">
        <f t="shared" si="382"/>
        <v>2.3968972339944669E-57</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2.9472384221270926E-2</v>
      </c>
      <c r="C380" s="3">
        <f t="shared" si="383"/>
        <v>2.6586998015140608E-2</v>
      </c>
      <c r="D380" s="3">
        <f t="shared" si="383"/>
        <v>9.4887637021730149E-3</v>
      </c>
      <c r="E380" s="3">
        <f t="shared" si="383"/>
        <v>3.18136072954945E-7</v>
      </c>
      <c r="F380" s="3">
        <f t="shared" si="383"/>
        <v>5.7101268858661644E-52</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3.5064861249212327E-2</v>
      </c>
      <c r="C381" s="3">
        <f t="shared" si="384"/>
        <v>3.4740468126919381E-2</v>
      </c>
      <c r="D381" s="3">
        <f t="shared" si="384"/>
        <v>3.1657096594294963E-2</v>
      </c>
      <c r="E381" s="3">
        <f t="shared" si="384"/>
        <v>1.2497560060753766E-2</v>
      </c>
      <c r="F381" s="3">
        <f t="shared" si="384"/>
        <v>1.1491236010548537E-6</v>
      </c>
      <c r="G381" s="3">
        <f t="shared" si="384"/>
        <v>4.9634295611865464E-47</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3.5330659781174674E-2</v>
      </c>
      <c r="C382" s="3">
        <f t="shared" si="385"/>
        <v>3.5301050186016709E-2</v>
      </c>
      <c r="D382" s="3">
        <f t="shared" si="385"/>
        <v>3.5006315630310252E-2</v>
      </c>
      <c r="E382" s="3">
        <f t="shared" si="385"/>
        <v>3.2190979437632342E-2</v>
      </c>
      <c r="F382" s="3">
        <f t="shared" si="385"/>
        <v>1.3919128843308813E-2</v>
      </c>
      <c r="G382" s="3">
        <f t="shared" si="385"/>
        <v>3.1797333186242787E-6</v>
      </c>
      <c r="H382" s="3">
        <f t="shared" si="385"/>
        <v>1.2307706313208726E-42</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3.9261643834702965E-2</v>
      </c>
      <c r="C383" s="3">
        <f t="shared" si="386"/>
        <v>3.9258674484529348E-2</v>
      </c>
      <c r="D383" s="3">
        <f t="shared" si="386"/>
        <v>3.9228993331415572E-2</v>
      </c>
      <c r="E383" s="3">
        <f t="shared" si="386"/>
        <v>3.8933413213849001E-2</v>
      </c>
      <c r="F383" s="3">
        <f t="shared" si="386"/>
        <v>3.6097376004811089E-2</v>
      </c>
      <c r="G383" s="3">
        <f t="shared" si="386"/>
        <v>1.6943657920911258E-2</v>
      </c>
      <c r="H383" s="3">
        <f t="shared" si="386"/>
        <v>8.7967568945926612E-6</v>
      </c>
      <c r="I383" s="3">
        <f t="shared" si="386"/>
        <v>1.2516322441898925E-38</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3.7079107951291074E-2</v>
      </c>
      <c r="C384" s="3">
        <f t="shared" si="387"/>
        <v>3.7078854972712662E-2</v>
      </c>
      <c r="D384" s="3">
        <f t="shared" si="387"/>
        <v>3.7076325281856087E-2</v>
      </c>
      <c r="E384" s="3">
        <f t="shared" si="387"/>
        <v>3.7051037863643901E-2</v>
      </c>
      <c r="F384" s="3">
        <f t="shared" si="387"/>
        <v>3.6799110325500498E-2</v>
      </c>
      <c r="G384" s="3">
        <f t="shared" si="387"/>
        <v>3.437215262261082E-2</v>
      </c>
      <c r="H384" s="3">
        <f t="shared" si="387"/>
        <v>1.7374041559720659E-2</v>
      </c>
      <c r="I384" s="3">
        <f t="shared" si="387"/>
        <v>1.8916557339723126E-5</v>
      </c>
      <c r="J384" s="3">
        <f t="shared" si="387"/>
        <v>4.4284786228681792E-35</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4.6100566539720549E-2</v>
      </c>
      <c r="C385" s="3">
        <f t="shared" si="388"/>
        <v>4.6100538166497521E-2</v>
      </c>
      <c r="D385" s="3">
        <f t="shared" si="388"/>
        <v>4.6100254435227729E-2</v>
      </c>
      <c r="E385" s="3">
        <f t="shared" si="388"/>
        <v>4.6097417218572204E-2</v>
      </c>
      <c r="F385" s="3">
        <f t="shared" si="388"/>
        <v>4.6069054654071871E-2</v>
      </c>
      <c r="G385" s="3">
        <f t="shared" si="388"/>
        <v>4.578638703156028E-2</v>
      </c>
      <c r="H385" s="3">
        <f t="shared" si="388"/>
        <v>4.3053366881851844E-2</v>
      </c>
      <c r="I385" s="3">
        <f t="shared" si="388"/>
        <v>2.3265616766691217E-2</v>
      </c>
      <c r="J385" s="3">
        <f t="shared" si="388"/>
        <v>4.9407066686816486E-5</v>
      </c>
      <c r="K385" s="3">
        <f t="shared" si="388"/>
        <v>9.2158219209212367E-32</v>
      </c>
      <c r="L385" s="3">
        <f t="shared" si="388"/>
        <v>4.6987691825820458E-299</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2.4069457778497193E-2</v>
      </c>
      <c r="C386" s="3">
        <f t="shared" si="389"/>
        <v>2.4069456442161932E-2</v>
      </c>
      <c r="D386" s="3">
        <f t="shared" si="389"/>
        <v>2.4069443078813382E-2</v>
      </c>
      <c r="E386" s="3">
        <f t="shared" si="389"/>
        <v>2.4069309445735963E-2</v>
      </c>
      <c r="F386" s="3">
        <f t="shared" si="389"/>
        <v>2.4067973155767124E-2</v>
      </c>
      <c r="G386" s="3">
        <f t="shared" si="389"/>
        <v>2.4054614335777932E-2</v>
      </c>
      <c r="H386" s="3">
        <f t="shared" si="389"/>
        <v>2.3921433268981957E-2</v>
      </c>
      <c r="I386" s="3">
        <f t="shared" si="389"/>
        <v>2.2629511837434196E-2</v>
      </c>
      <c r="J386" s="3">
        <f t="shared" si="389"/>
        <v>1.2988382468998286E-2</v>
      </c>
      <c r="K386" s="3">
        <f t="shared" si="389"/>
        <v>5.0391107355114523E-5</v>
      </c>
      <c r="L386" s="3">
        <f t="shared" si="389"/>
        <v>3.8935184387276023E-29</v>
      </c>
      <c r="M386" s="3">
        <f t="shared" si="389"/>
        <v>2.9527424756522441E-270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4.236390394284175E-2</v>
      </c>
      <c r="C387" s="3">
        <f t="shared" si="390"/>
        <v>4.2363903292325776E-2</v>
      </c>
      <c r="D387" s="3">
        <f t="shared" si="390"/>
        <v>4.2363896787166566E-2</v>
      </c>
      <c r="E387" s="3">
        <f t="shared" si="390"/>
        <v>4.2363831735629402E-2</v>
      </c>
      <c r="F387" s="3">
        <f t="shared" si="390"/>
        <v>4.2363181225751591E-2</v>
      </c>
      <c r="G387" s="3">
        <f t="shared" si="390"/>
        <v>4.2356676676331244E-2</v>
      </c>
      <c r="H387" s="3">
        <f t="shared" si="390"/>
        <v>4.2291686086701807E-2</v>
      </c>
      <c r="I387" s="3">
        <f t="shared" si="390"/>
        <v>4.1647239581441557E-2</v>
      </c>
      <c r="J387" s="3">
        <f t="shared" si="390"/>
        <v>3.571892946080496E-2</v>
      </c>
      <c r="K387" s="3">
        <f t="shared" si="390"/>
        <v>7.6916685703655148E-3</v>
      </c>
      <c r="L387" s="3">
        <f t="shared" si="390"/>
        <v>1.6490804620518571E-9</v>
      </c>
      <c r="M387" s="3">
        <f t="shared" si="390"/>
        <v>3.3841895845191154E-76</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5.5125175356262504E-2</v>
      </c>
      <c r="C388" s="3">
        <f t="shared" si="391"/>
        <v>5.5125175271615416E-2</v>
      </c>
      <c r="D388" s="3">
        <f t="shared" si="391"/>
        <v>5.5125174425144634E-2</v>
      </c>
      <c r="E388" s="3">
        <f t="shared" si="391"/>
        <v>5.5125165960437456E-2</v>
      </c>
      <c r="F388" s="3">
        <f t="shared" si="391"/>
        <v>5.5125081313437192E-2</v>
      </c>
      <c r="G388" s="3">
        <f t="shared" si="391"/>
        <v>5.5124234850583383E-2</v>
      </c>
      <c r="H388" s="3">
        <f t="shared" si="391"/>
        <v>5.5115770936885924E-2</v>
      </c>
      <c r="I388" s="3">
        <f t="shared" si="391"/>
        <v>5.5031203243380573E-2</v>
      </c>
      <c r="J388" s="3">
        <f t="shared" si="391"/>
        <v>5.4192630230761561E-2</v>
      </c>
      <c r="K388" s="3">
        <f t="shared" si="391"/>
        <v>4.6478536295851601E-2</v>
      </c>
      <c r="L388" s="3">
        <f t="shared" si="391"/>
        <v>1.0008628540104571E-2</v>
      </c>
      <c r="M388" s="3">
        <f t="shared" si="391"/>
        <v>2.145832679402191E-9</v>
      </c>
      <c r="N388" s="3">
        <f t="shared" si="391"/>
        <v>4.4036084174559114E-76</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5.68847171948757E-2</v>
      </c>
      <c r="C389" s="3">
        <f t="shared" si="392"/>
        <v>5.6884717186140805E-2</v>
      </c>
      <c r="D389" s="3">
        <f t="shared" si="392"/>
        <v>5.6884717098791872E-2</v>
      </c>
      <c r="E389" s="3">
        <f t="shared" si="392"/>
        <v>5.6884716225302563E-2</v>
      </c>
      <c r="F389" s="3">
        <f t="shared" si="392"/>
        <v>5.6884707490410191E-2</v>
      </c>
      <c r="G389" s="3">
        <f t="shared" si="392"/>
        <v>5.6884620141560246E-2</v>
      </c>
      <c r="H389" s="3">
        <f t="shared" si="392"/>
        <v>5.6883746660437752E-2</v>
      </c>
      <c r="I389" s="3">
        <f t="shared" si="392"/>
        <v>5.6875012586870527E-2</v>
      </c>
      <c r="J389" s="3">
        <f t="shared" si="392"/>
        <v>5.6787745575073358E-2</v>
      </c>
      <c r="K389" s="3">
        <f t="shared" si="392"/>
        <v>5.5922406129811288E-2</v>
      </c>
      <c r="L389" s="3">
        <f t="shared" si="392"/>
        <v>4.7962085840601978E-2</v>
      </c>
      <c r="M389" s="3">
        <f t="shared" si="392"/>
        <v>1.0328094200979375E-2</v>
      </c>
      <c r="N389" s="3">
        <f t="shared" si="392"/>
        <v>2.2143255655458914E-9</v>
      </c>
      <c r="O389" s="3">
        <f t="shared" si="392"/>
        <v>4.5441673029894634E-76</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5.4551345767980472E-2</v>
      </c>
      <c r="C390" s="3">
        <f t="shared" si="393"/>
        <v>5.4551345767142816E-2</v>
      </c>
      <c r="D390" s="3">
        <f t="shared" si="393"/>
        <v>5.4551345758766225E-2</v>
      </c>
      <c r="E390" s="3">
        <f t="shared" si="393"/>
        <v>5.4551345675000279E-2</v>
      </c>
      <c r="F390" s="3">
        <f t="shared" si="393"/>
        <v>5.4551344837340893E-2</v>
      </c>
      <c r="G390" s="3">
        <f t="shared" si="393"/>
        <v>5.4551336460747717E-2</v>
      </c>
      <c r="H390" s="3">
        <f t="shared" si="393"/>
        <v>5.4551252694886677E-2</v>
      </c>
      <c r="I390" s="3">
        <f t="shared" si="393"/>
        <v>5.4550415043350661E-2</v>
      </c>
      <c r="J390" s="3">
        <f t="shared" si="393"/>
        <v>5.4542039235389986E-2</v>
      </c>
      <c r="K390" s="3">
        <f t="shared" si="393"/>
        <v>5.4458351855556419E-2</v>
      </c>
      <c r="L390" s="3">
        <f t="shared" si="393"/>
        <v>5.3628508030848239E-2</v>
      </c>
      <c r="M390" s="3">
        <f t="shared" si="393"/>
        <v>4.599471452834706E-2</v>
      </c>
      <c r="N390" s="3">
        <f t="shared" si="393"/>
        <v>9.9044429797042529E-3</v>
      </c>
      <c r="O390" s="3">
        <f t="shared" si="393"/>
        <v>2.1234954751256005E-9</v>
      </c>
      <c r="P390" s="3">
        <f t="shared" si="393"/>
        <v>4.3577687293390214E-76</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3.7051538899772654E-2</v>
      </c>
      <c r="C391" s="3">
        <f t="shared" si="394"/>
        <v>3.7051538899715755E-2</v>
      </c>
      <c r="D391" s="3">
        <f t="shared" si="394"/>
        <v>3.7051538899146814E-2</v>
      </c>
      <c r="E391" s="3">
        <f t="shared" si="394"/>
        <v>3.7051538893457393E-2</v>
      </c>
      <c r="F391" s="3">
        <f t="shared" si="394"/>
        <v>3.7051538836563161E-2</v>
      </c>
      <c r="G391" s="3">
        <f t="shared" si="394"/>
        <v>3.7051538267620837E-2</v>
      </c>
      <c r="H391" s="3">
        <f t="shared" si="394"/>
        <v>3.7051532578198085E-2</v>
      </c>
      <c r="I391" s="3">
        <f t="shared" si="394"/>
        <v>3.7051475684018571E-2</v>
      </c>
      <c r="J391" s="3">
        <f t="shared" si="394"/>
        <v>3.7050906747028399E-2</v>
      </c>
      <c r="K391" s="3">
        <f t="shared" si="394"/>
        <v>3.7045217857595833E-2</v>
      </c>
      <c r="L391" s="3">
        <f t="shared" si="394"/>
        <v>3.6988376982899418E-2</v>
      </c>
      <c r="M391" s="3">
        <f t="shared" si="394"/>
        <v>3.6424743028154502E-2</v>
      </c>
      <c r="N391" s="3">
        <f t="shared" si="394"/>
        <v>3.1239833418163943E-2</v>
      </c>
      <c r="O391" s="3">
        <f t="shared" si="394"/>
        <v>6.7271457592147765E-3</v>
      </c>
      <c r="P391" s="3">
        <f t="shared" si="394"/>
        <v>1.4422884365607709E-9</v>
      </c>
      <c r="Q391" s="3">
        <f t="shared" si="394"/>
        <v>2.9598176785190555E-76</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2.355336277493356E-2</v>
      </c>
      <c r="C392" s="3">
        <f t="shared" si="395"/>
        <v>2.3553362774929944E-2</v>
      </c>
      <c r="D392" s="3">
        <f t="shared" si="395"/>
        <v>2.3553362774893775E-2</v>
      </c>
      <c r="E392" s="3">
        <f t="shared" si="395"/>
        <v>2.3553362774532103E-2</v>
      </c>
      <c r="F392" s="3">
        <f t="shared" si="395"/>
        <v>2.3553362770915385E-2</v>
      </c>
      <c r="G392" s="3">
        <f t="shared" si="395"/>
        <v>2.355336273474818E-2</v>
      </c>
      <c r="H392" s="3">
        <f t="shared" si="395"/>
        <v>2.3553362373076162E-2</v>
      </c>
      <c r="I392" s="3">
        <f t="shared" si="395"/>
        <v>2.3553358756356259E-2</v>
      </c>
      <c r="J392" s="3">
        <f t="shared" si="395"/>
        <v>2.3553322589187776E-2</v>
      </c>
      <c r="K392" s="3">
        <f t="shared" si="395"/>
        <v>2.3552960920557444E-2</v>
      </c>
      <c r="L392" s="3">
        <f t="shared" si="395"/>
        <v>2.3549344539684467E-2</v>
      </c>
      <c r="M392" s="3">
        <f t="shared" si="395"/>
        <v>2.3513211256643494E-2</v>
      </c>
      <c r="N392" s="3">
        <f t="shared" si="395"/>
        <v>2.3154913722921978E-2</v>
      </c>
      <c r="O392" s="3">
        <f t="shared" si="395"/>
        <v>1.9858908735661446E-2</v>
      </c>
      <c r="P392" s="3">
        <f t="shared" si="395"/>
        <v>4.2763919991347342E-3</v>
      </c>
      <c r="Q392" s="3">
        <f t="shared" si="395"/>
        <v>9.1685106155228575E-10</v>
      </c>
      <c r="R392" s="3">
        <f t="shared" si="395"/>
        <v>1.8815320928610078E-76</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8.9153335579891194E-3</v>
      </c>
      <c r="C393" s="3">
        <f t="shared" si="396"/>
        <v>8.9153335579889824E-3</v>
      </c>
      <c r="D393" s="3">
        <f t="shared" si="396"/>
        <v>8.9153335579876137E-3</v>
      </c>
      <c r="E393" s="3">
        <f t="shared" si="396"/>
        <v>8.9153335579739233E-3</v>
      </c>
      <c r="F393" s="3">
        <f t="shared" si="396"/>
        <v>8.9153335578370258E-3</v>
      </c>
      <c r="G393" s="3">
        <f t="shared" si="396"/>
        <v>8.9153335564680376E-3</v>
      </c>
      <c r="H393" s="3">
        <f t="shared" si="396"/>
        <v>8.9153335427781585E-3</v>
      </c>
      <c r="I393" s="3">
        <f t="shared" si="396"/>
        <v>8.9153334058793762E-3</v>
      </c>
      <c r="J393" s="3">
        <f t="shared" si="396"/>
        <v>8.9153320368916596E-3</v>
      </c>
      <c r="K393" s="3">
        <f t="shared" si="396"/>
        <v>8.9153183470260574E-3</v>
      </c>
      <c r="L393" s="3">
        <f t="shared" si="396"/>
        <v>8.9151814495262108E-3</v>
      </c>
      <c r="M393" s="3">
        <f t="shared" si="396"/>
        <v>8.9138125901381312E-3</v>
      </c>
      <c r="N393" s="3">
        <f t="shared" si="396"/>
        <v>8.9001355507304786E-3</v>
      </c>
      <c r="O393" s="3">
        <f t="shared" si="396"/>
        <v>8.7645140661613326E-3</v>
      </c>
      <c r="P393" s="3">
        <f t="shared" si="396"/>
        <v>7.5169221978148076E-3</v>
      </c>
      <c r="Q393" s="3">
        <f t="shared" si="396"/>
        <v>1.6186844087323338E-3</v>
      </c>
      <c r="R393" s="3">
        <f t="shared" si="396"/>
        <v>3.4704314262225229E-10</v>
      </c>
      <c r="S393" s="3">
        <f t="shared" si="396"/>
        <v>7.1219071213767707E-77</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6.6530683932672762E-3</v>
      </c>
      <c r="C394" s="3">
        <f t="shared" si="397"/>
        <v>6.6530683932672667E-3</v>
      </c>
      <c r="D394" s="3">
        <f t="shared" si="397"/>
        <v>6.6530683932671643E-3</v>
      </c>
      <c r="E394" s="3">
        <f t="shared" si="397"/>
        <v>6.6530683932661426E-3</v>
      </c>
      <c r="F394" s="3">
        <f t="shared" si="397"/>
        <v>6.6530683932559268E-3</v>
      </c>
      <c r="G394" s="3">
        <f t="shared" si="397"/>
        <v>6.6530683931537663E-3</v>
      </c>
      <c r="H394" s="3">
        <f t="shared" si="397"/>
        <v>6.653068392132159E-3</v>
      </c>
      <c r="I394" s="3">
        <f t="shared" si="397"/>
        <v>6.6530683819160854E-3</v>
      </c>
      <c r="J394" s="3">
        <f t="shared" si="397"/>
        <v>6.6530682797553576E-3</v>
      </c>
      <c r="K394" s="3">
        <f t="shared" si="397"/>
        <v>6.6530672581481629E-3</v>
      </c>
      <c r="L394" s="3">
        <f t="shared" si="397"/>
        <v>6.6530570420848438E-3</v>
      </c>
      <c r="M394" s="3">
        <f t="shared" si="397"/>
        <v>6.6529548823144411E-3</v>
      </c>
      <c r="N394" s="3">
        <f t="shared" si="397"/>
        <v>6.6519333708846742E-3</v>
      </c>
      <c r="O394" s="3">
        <f t="shared" si="397"/>
        <v>6.6417268791135421E-3</v>
      </c>
      <c r="P394" s="3">
        <f t="shared" si="397"/>
        <v>6.5405193352156017E-3</v>
      </c>
      <c r="Q394" s="3">
        <f t="shared" si="397"/>
        <v>5.6095038019206601E-3</v>
      </c>
      <c r="R394" s="3">
        <f t="shared" si="397"/>
        <v>1.2079433717610262E-3</v>
      </c>
      <c r="S394" s="3">
        <f t="shared" si="397"/>
        <v>2.5898097342765386E-10</v>
      </c>
      <c r="T394" s="3">
        <f t="shared" si="397"/>
        <v>5.314723768978547E-77</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6.4465417196877487E-4</v>
      </c>
      <c r="C395" s="3">
        <f t="shared" si="398"/>
        <v>6.4465417196877476E-4</v>
      </c>
      <c r="D395" s="3">
        <f t="shared" si="398"/>
        <v>6.4465417196877379E-4</v>
      </c>
      <c r="E395" s="3">
        <f t="shared" si="398"/>
        <v>6.4465417196876381E-4</v>
      </c>
      <c r="F395" s="3">
        <f t="shared" si="398"/>
        <v>6.4465417196866482E-4</v>
      </c>
      <c r="G395" s="3">
        <f t="shared" si="398"/>
        <v>6.4465417196767495E-4</v>
      </c>
      <c r="H395" s="3">
        <f t="shared" si="398"/>
        <v>6.4465417195777607E-4</v>
      </c>
      <c r="I395" s="3">
        <f t="shared" si="398"/>
        <v>6.4465417185878668E-4</v>
      </c>
      <c r="J395" s="3">
        <f t="shared" si="398"/>
        <v>6.4465417086889232E-4</v>
      </c>
      <c r="K395" s="3">
        <f t="shared" si="398"/>
        <v>6.4465416096995019E-4</v>
      </c>
      <c r="L395" s="3">
        <f t="shared" si="398"/>
        <v>6.4465406198053641E-4</v>
      </c>
      <c r="M395" s="3">
        <f t="shared" si="398"/>
        <v>6.4465307208723443E-4</v>
      </c>
      <c r="N395" s="3">
        <f t="shared" si="398"/>
        <v>6.4464317323781567E-4</v>
      </c>
      <c r="O395" s="3">
        <f t="shared" si="398"/>
        <v>6.4454419310323906E-4</v>
      </c>
      <c r="P395" s="3">
        <f t="shared" si="398"/>
        <v>6.4355522724380437E-4</v>
      </c>
      <c r="Q395" s="3">
        <f t="shared" si="398"/>
        <v>6.3374864454362578E-4</v>
      </c>
      <c r="R395" s="3">
        <f t="shared" si="398"/>
        <v>5.4353717936258443E-4</v>
      </c>
      <c r="S395" s="3">
        <f t="shared" si="398"/>
        <v>1.1704460078838256E-4</v>
      </c>
      <c r="T395" s="3">
        <f t="shared" si="398"/>
        <v>2.5094160335045327E-11</v>
      </c>
      <c r="U395" s="3">
        <f t="shared" si="398"/>
        <v>5.1497424165980468E-78</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7.8044740016632993E-3</v>
      </c>
      <c r="C396" s="3">
        <f t="shared" si="399"/>
        <v>7.8044740016632993E-3</v>
      </c>
      <c r="D396" s="3">
        <f t="shared" si="399"/>
        <v>7.8044740016632976E-3</v>
      </c>
      <c r="E396" s="3">
        <f t="shared" si="399"/>
        <v>7.8044740016632863E-3</v>
      </c>
      <c r="F396" s="3">
        <f t="shared" si="399"/>
        <v>7.8044740016631657E-3</v>
      </c>
      <c r="G396" s="3">
        <f t="shared" si="399"/>
        <v>7.8044740016619679E-3</v>
      </c>
      <c r="H396" s="3">
        <f t="shared" si="399"/>
        <v>7.8044740016499836E-3</v>
      </c>
      <c r="I396" s="3">
        <f t="shared" si="399"/>
        <v>7.8044740015301428E-3</v>
      </c>
      <c r="J396" s="3">
        <f t="shared" si="399"/>
        <v>7.8044740003317325E-3</v>
      </c>
      <c r="K396" s="3">
        <f t="shared" si="399"/>
        <v>7.8044739883476261E-3</v>
      </c>
      <c r="L396" s="3">
        <f t="shared" si="399"/>
        <v>7.8044738685065698E-3</v>
      </c>
      <c r="M396" s="3">
        <f t="shared" si="399"/>
        <v>7.8044726700961043E-3</v>
      </c>
      <c r="N396" s="3">
        <f t="shared" si="399"/>
        <v>7.804460686001569E-3</v>
      </c>
      <c r="O396" s="3">
        <f t="shared" si="399"/>
        <v>7.8043408460683238E-3</v>
      </c>
      <c r="P396" s="3">
        <f t="shared" si="399"/>
        <v>7.8031425479410891E-3</v>
      </c>
      <c r="Q396" s="3">
        <f t="shared" si="399"/>
        <v>7.7911696814428871E-3</v>
      </c>
      <c r="R396" s="3">
        <f t="shared" si="399"/>
        <v>7.6724467706844462E-3</v>
      </c>
      <c r="S396" s="3">
        <f t="shared" si="399"/>
        <v>6.5803061078741646E-3</v>
      </c>
      <c r="T396" s="3">
        <f t="shared" si="399"/>
        <v>1.4169946982554194E-3</v>
      </c>
      <c r="U396" s="3">
        <f t="shared" si="399"/>
        <v>3.0380121690722244E-10</v>
      </c>
      <c r="V396" s="3">
        <f t="shared" si="399"/>
        <v>6.2345103085052121E-77</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1.8167100865639527E-2</v>
      </c>
      <c r="B397" s="80">
        <f>IF($A$64&lt;=B363,IF($B$64&gt;=B363,ABS((B365-B364)/B364),0),0)</f>
        <v>4.1154981901034288E-4</v>
      </c>
      <c r="C397" s="80">
        <f t="shared" ref="C397:AF397" si="400">IF($A$64&lt;=C363,IF($B$64&gt;=C363,ABS((C365-C364)/C364),0),0)</f>
        <v>1.4387477617982222E-2</v>
      </c>
      <c r="D397" s="80">
        <f t="shared" si="400"/>
        <v>1.2937159436600841E-2</v>
      </c>
      <c r="E397" s="80">
        <f t="shared" si="400"/>
        <v>6.2405151558363936E-3</v>
      </c>
      <c r="F397" s="80">
        <f t="shared" si="400"/>
        <v>5.6138073631177027E-3</v>
      </c>
      <c r="G397" s="80">
        <f t="shared" si="400"/>
        <v>1.3807021694139275E-2</v>
      </c>
      <c r="H397" s="80">
        <f t="shared" si="400"/>
        <v>1.9795581581131271E-2</v>
      </c>
      <c r="I397" s="80">
        <f t="shared" si="400"/>
        <v>2.1929964967039996E-2</v>
      </c>
      <c r="J397" s="80">
        <f t="shared" si="400"/>
        <v>1.345173650265047E-2</v>
      </c>
      <c r="K397" s="80">
        <f t="shared" si="400"/>
        <v>1.2532843322743003E-2</v>
      </c>
      <c r="L397" s="80">
        <f t="shared" si="400"/>
        <v>4.1851678933118378E-3</v>
      </c>
      <c r="M397" s="80">
        <f t="shared" si="400"/>
        <v>2.8336854893117956E-2</v>
      </c>
      <c r="N397" s="80">
        <f t="shared" si="400"/>
        <v>3.7516421098900188E-2</v>
      </c>
      <c r="O397" s="80">
        <f t="shared" si="400"/>
        <v>4.3621024874182894E-2</v>
      </c>
      <c r="P397" s="80">
        <f t="shared" si="400"/>
        <v>1.8843156334417459E-2</v>
      </c>
      <c r="Q397" s="80">
        <f t="shared" si="400"/>
        <v>1.5169237235107819E-2</v>
      </c>
      <c r="R397" s="80">
        <f t="shared" si="400"/>
        <v>7.9145190517418088E-3</v>
      </c>
      <c r="S397" s="80">
        <f t="shared" si="400"/>
        <v>4.5628635348174515E-4</v>
      </c>
      <c r="T397" s="80">
        <f t="shared" si="400"/>
        <v>7.7340264086025512E-2</v>
      </c>
      <c r="U397" s="80">
        <f t="shared" si="400"/>
        <v>9.0103230266568898E-2</v>
      </c>
      <c r="V397" s="80">
        <f t="shared" si="400"/>
        <v>3.5953890210538395E-2</v>
      </c>
      <c r="W397" s="80">
        <f t="shared" si="400"/>
        <v>1.4471644482367102E-2</v>
      </c>
      <c r="X397" s="80">
        <f t="shared" si="400"/>
        <v>1.0854661460290543E-2</v>
      </c>
      <c r="Y397" s="80">
        <f t="shared" si="400"/>
        <v>1.0383517034964847E-2</v>
      </c>
      <c r="Z397" s="80">
        <f t="shared" si="400"/>
        <v>8.9350704183832116E-3</v>
      </c>
      <c r="AA397" s="80">
        <f t="shared" si="400"/>
        <v>7.3312009137757195E-3</v>
      </c>
      <c r="AB397" s="80">
        <f t="shared" si="400"/>
        <v>6.8251967151288801E-3</v>
      </c>
      <c r="AC397" s="80">
        <f t="shared" si="400"/>
        <v>6.3405639634154113E-3</v>
      </c>
      <c r="AD397" s="80">
        <f t="shared" si="400"/>
        <v>5.9309488296197411E-3</v>
      </c>
      <c r="AE397" s="80">
        <f t="shared" si="400"/>
        <v>5.8114478886242774E-3</v>
      </c>
      <c r="AF397" s="80">
        <f t="shared" si="400"/>
        <v>5.7481653706093691E-3</v>
      </c>
    </row>
    <row r="398" spans="1:34" x14ac:dyDescent="0.25">
      <c r="B398" s="21">
        <f>(B365-B364)^2</f>
        <v>2.0139624423704445</v>
      </c>
      <c r="C398" s="21">
        <f t="shared" ref="C398:AF398" si="401">(C365-C364)^2</f>
        <v>2172.451330076799</v>
      </c>
      <c r="D398" s="21">
        <f t="shared" si="401"/>
        <v>1589.7702923577281</v>
      </c>
      <c r="E398" s="21">
        <f t="shared" si="401"/>
        <v>333.21953745901902</v>
      </c>
      <c r="F398" s="21">
        <f t="shared" si="401"/>
        <v>241.57932521968601</v>
      </c>
      <c r="G398" s="21">
        <f t="shared" si="401"/>
        <v>1276.6899690532093</v>
      </c>
      <c r="H398" s="21">
        <f t="shared" si="401"/>
        <v>2242.9993597805105</v>
      </c>
      <c r="I398" s="21">
        <f t="shared" si="401"/>
        <v>2270.4309423433292</v>
      </c>
      <c r="J398" s="21">
        <f t="shared" si="401"/>
        <v>672.59668555942176</v>
      </c>
      <c r="K398" s="21">
        <f t="shared" si="401"/>
        <v>424.36813269963938</v>
      </c>
      <c r="L398" s="21">
        <f t="shared" si="401"/>
        <v>30.504026112631404</v>
      </c>
      <c r="M398" s="21">
        <f t="shared" si="401"/>
        <v>776.88002015792642</v>
      </c>
      <c r="N398" s="21">
        <f t="shared" si="401"/>
        <v>677.23191929404845</v>
      </c>
      <c r="O398" s="21">
        <f t="shared" si="401"/>
        <v>449.32130949332355</v>
      </c>
      <c r="P398" s="21">
        <f t="shared" si="401"/>
        <v>47.92234918945713</v>
      </c>
      <c r="Q398" s="21">
        <f t="shared" si="401"/>
        <v>21.711515348870009</v>
      </c>
      <c r="R398" s="21">
        <f t="shared" si="401"/>
        <v>4.8783219675351885</v>
      </c>
      <c r="S398" s="21">
        <f t="shared" si="401"/>
        <v>1.4255696444117732E-2</v>
      </c>
      <c r="T398" s="21">
        <f t="shared" si="401"/>
        <v>377.8834251499556</v>
      </c>
      <c r="U398" s="21">
        <f t="shared" si="401"/>
        <v>491.82147801402732</v>
      </c>
      <c r="V398" s="21">
        <f t="shared" si="401"/>
        <v>69.760112337751323</v>
      </c>
      <c r="W398" s="21">
        <f t="shared" si="401"/>
        <v>10.814551910383438</v>
      </c>
      <c r="X398" s="21">
        <f t="shared" si="401"/>
        <v>6.0398111166407027</v>
      </c>
      <c r="Y398" s="21">
        <f t="shared" si="401"/>
        <v>5.5216150710159511</v>
      </c>
      <c r="Z398" s="21">
        <f t="shared" si="401"/>
        <v>4.0766436577926974</v>
      </c>
      <c r="AA398" s="21">
        <f t="shared" si="401"/>
        <v>2.7355994540433053</v>
      </c>
      <c r="AB398" s="21">
        <f t="shared" si="401"/>
        <v>2.3685904204866839</v>
      </c>
      <c r="AC398" s="21">
        <f t="shared" si="401"/>
        <v>2.0421689201447943</v>
      </c>
      <c r="AD398" s="21">
        <f t="shared" si="401"/>
        <v>1.7853618759120859</v>
      </c>
      <c r="AE398" s="21">
        <f t="shared" si="401"/>
        <v>1.7137291657724985</v>
      </c>
      <c r="AF398" s="21">
        <f t="shared" si="401"/>
        <v>1.6763963797064656</v>
      </c>
      <c r="AG398" s="3"/>
      <c r="AH398" s="3"/>
    </row>
    <row r="399" spans="1:34" x14ac:dyDescent="0.25">
      <c r="A399" s="71">
        <f>SUM(B399:AF399)</f>
        <v>14212.822737725584</v>
      </c>
      <c r="B399" s="60">
        <f>IF($A$64&lt;=B363,IF($B$64&gt;=B363,ABS(B398),0),0)</f>
        <v>2.0139624423704445</v>
      </c>
      <c r="C399" s="60">
        <f t="shared" ref="C399" si="402">IF($A$64&lt;=C363,IF($B$64&gt;=C363,ABS(C398),0),0)</f>
        <v>2172.451330076799</v>
      </c>
      <c r="D399" s="60">
        <f t="shared" ref="D399" si="403">IF($A$64&lt;=D363,IF($B$64&gt;=D363,ABS(D398),0),0)</f>
        <v>1589.7702923577281</v>
      </c>
      <c r="E399" s="60">
        <f t="shared" ref="E399" si="404">IF($A$64&lt;=E363,IF($B$64&gt;=E363,ABS(E398),0),0)</f>
        <v>333.21953745901902</v>
      </c>
      <c r="F399" s="60">
        <f t="shared" ref="F399" si="405">IF($A$64&lt;=F363,IF($B$64&gt;=F363,ABS(F398),0),0)</f>
        <v>241.57932521968601</v>
      </c>
      <c r="G399" s="60">
        <f t="shared" ref="G399" si="406">IF($A$64&lt;=G363,IF($B$64&gt;=G363,ABS(G398),0),0)</f>
        <v>1276.6899690532093</v>
      </c>
      <c r="H399" s="60">
        <f t="shared" ref="H399" si="407">IF($A$64&lt;=H363,IF($B$64&gt;=H363,ABS(H398),0),0)</f>
        <v>2242.9993597805105</v>
      </c>
      <c r="I399" s="60">
        <f t="shared" ref="I399" si="408">IF($A$64&lt;=I363,IF($B$64&gt;=I363,ABS(I398),0),0)</f>
        <v>2270.4309423433292</v>
      </c>
      <c r="J399" s="60">
        <f t="shared" ref="J399" si="409">IF($A$64&lt;=J363,IF($B$64&gt;=J363,ABS(J398),0),0)</f>
        <v>672.59668555942176</v>
      </c>
      <c r="K399" s="60">
        <f t="shared" ref="K399" si="410">IF($A$64&lt;=K363,IF($B$64&gt;=K363,ABS(K398),0),0)</f>
        <v>424.36813269963938</v>
      </c>
      <c r="L399" s="60">
        <f t="shared" ref="L399" si="411">IF($A$64&lt;=L363,IF($B$64&gt;=L363,ABS(L398),0),0)</f>
        <v>30.504026112631404</v>
      </c>
      <c r="M399" s="60">
        <f t="shared" ref="M399" si="412">IF($A$64&lt;=M363,IF($B$64&gt;=M363,ABS(M398),0),0)</f>
        <v>776.88002015792642</v>
      </c>
      <c r="N399" s="60">
        <f t="shared" ref="N399" si="413">IF($A$64&lt;=N363,IF($B$64&gt;=N363,ABS(N398),0),0)</f>
        <v>677.23191929404845</v>
      </c>
      <c r="O399" s="60">
        <f t="shared" ref="O399" si="414">IF($A$64&lt;=O363,IF($B$64&gt;=O363,ABS(O398),0),0)</f>
        <v>449.32130949332355</v>
      </c>
      <c r="P399" s="60">
        <f t="shared" ref="P399" si="415">IF($A$64&lt;=P363,IF($B$64&gt;=P363,ABS(P398),0),0)</f>
        <v>47.92234918945713</v>
      </c>
      <c r="Q399" s="60">
        <f t="shared" ref="Q399" si="416">IF($A$64&lt;=Q363,IF($B$64&gt;=Q363,ABS(Q398),0),0)</f>
        <v>21.711515348870009</v>
      </c>
      <c r="R399" s="60">
        <f t="shared" ref="R399" si="417">IF($A$64&lt;=R363,IF($B$64&gt;=R363,ABS(R398),0),0)</f>
        <v>4.8783219675351885</v>
      </c>
      <c r="S399" s="60">
        <f t="shared" ref="S399" si="418">IF($A$64&lt;=S363,IF($B$64&gt;=S363,ABS(S398),0),0)</f>
        <v>1.4255696444117732E-2</v>
      </c>
      <c r="T399" s="60">
        <f t="shared" ref="T399" si="419">IF($A$64&lt;=T363,IF($B$64&gt;=T363,ABS(T398),0),0)</f>
        <v>377.8834251499556</v>
      </c>
      <c r="U399" s="60">
        <f t="shared" ref="U399" si="420">IF($A$64&lt;=U363,IF($B$64&gt;=U363,ABS(U398),0),0)</f>
        <v>491.82147801402732</v>
      </c>
      <c r="V399" s="60">
        <f t="shared" ref="V399" si="421">IF($A$64&lt;=V363,IF($B$64&gt;=V363,ABS(V398),0),0)</f>
        <v>69.760112337751323</v>
      </c>
      <c r="W399" s="60">
        <f t="shared" ref="W399" si="422">IF($A$64&lt;=W363,IF($B$64&gt;=W363,ABS(W398),0),0)</f>
        <v>10.814551910383438</v>
      </c>
      <c r="X399" s="60">
        <f t="shared" ref="X399" si="423">IF($A$64&lt;=X363,IF($B$64&gt;=X363,ABS(X398),0),0)</f>
        <v>6.0398111166407027</v>
      </c>
      <c r="Y399" s="60">
        <f t="shared" ref="Y399" si="424">IF($A$64&lt;=Y363,IF($B$64&gt;=Y363,ABS(Y398),0),0)</f>
        <v>5.5216150710159511</v>
      </c>
      <c r="Z399" s="60">
        <f t="shared" ref="Z399" si="425">IF($A$64&lt;=Z363,IF($B$64&gt;=Z363,ABS(Z398),0),0)</f>
        <v>4.0766436577926974</v>
      </c>
      <c r="AA399" s="60">
        <f t="shared" ref="AA399" si="426">IF($A$64&lt;=AA363,IF($B$64&gt;=AA363,ABS(AA398),0),0)</f>
        <v>2.7355994540433053</v>
      </c>
      <c r="AB399" s="60">
        <f t="shared" ref="AB399" si="427">IF($A$64&lt;=AB363,IF($B$64&gt;=AB363,ABS(AB398),0),0)</f>
        <v>2.3685904204866839</v>
      </c>
      <c r="AC399" s="60">
        <f t="shared" ref="AC399" si="428">IF($A$64&lt;=AC363,IF($B$64&gt;=AC363,ABS(AC398),0),0)</f>
        <v>2.0421689201447943</v>
      </c>
      <c r="AD399" s="60">
        <f t="shared" ref="AD399" si="429">IF($A$64&lt;=AD363,IF($B$64&gt;=AD363,ABS(AD398),0),0)</f>
        <v>1.7853618759120859</v>
      </c>
      <c r="AE399" s="60">
        <f t="shared" ref="AE399" si="430">IF($A$64&lt;=AE363,IF($B$64&gt;=AE363,ABS(AE398),0),0)</f>
        <v>1.7137291657724985</v>
      </c>
      <c r="AF399" s="60">
        <f t="shared" ref="AF399" si="431">IF($A$64&lt;=AF363,IF($B$64&gt;=AF363,ABS(AF398),0),0)</f>
        <v>1.6763963797064656</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-30.413945965899352</v>
      </c>
      <c r="C403" s="107">
        <f t="shared" ref="C403:H403" si="432">IF(C125=$B$2,0,C126)</f>
        <v>-17.933032284387114</v>
      </c>
      <c r="D403" s="107">
        <f t="shared" si="432"/>
        <v>-11.928921389382172</v>
      </c>
      <c r="E403" s="107">
        <f t="shared" si="432"/>
        <v>-6.7704218531652627</v>
      </c>
      <c r="F403" s="107">
        <f t="shared" si="432"/>
        <v>0</v>
      </c>
      <c r="G403" s="107">
        <f t="shared" si="432"/>
        <v>16.290464904619554</v>
      </c>
      <c r="H403" s="107">
        <f t="shared" si="432"/>
        <v>30.467850818974018</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6.1857319154219809E-29</v>
      </c>
      <c r="C404" s="3">
        <f t="shared" ref="C404:H419" si="433">$A404/EXP(-C$403)</f>
        <v>1.6284822719704427E-23</v>
      </c>
      <c r="D404" s="3">
        <f t="shared" si="433"/>
        <v>6.5968295907489954E-21</v>
      </c>
      <c r="E404" s="3">
        <f t="shared" si="433"/>
        <v>1.147210594387753E-18</v>
      </c>
      <c r="F404" s="3">
        <f t="shared" si="433"/>
        <v>1.0000000000000001E-15</v>
      </c>
      <c r="G404" s="3">
        <f t="shared" si="433"/>
        <v>1.1881164685810612E-8</v>
      </c>
      <c r="H404" s="3">
        <f t="shared" si="433"/>
        <v>1.7061589400385737E-2</v>
      </c>
      <c r="I404" s="109">
        <f>Comparison!AL3</f>
        <v>1.0000000000000001E-15</v>
      </c>
      <c r="J404" s="3">
        <f>Comparison!AM3</f>
        <v>5627.8046868132324</v>
      </c>
      <c r="K404" s="3">
        <f>Comparison!AN3</f>
        <v>5619.5329931741162</v>
      </c>
      <c r="L404" s="3">
        <f>Comparison!AO3</f>
        <v>5614.15966521874</v>
      </c>
      <c r="M404" s="3">
        <f>Comparison!AP3</f>
        <v>5608.5595412821331</v>
      </c>
      <c r="N404" s="3">
        <f>Comparison!AQ3</f>
        <v>5541.3343805505365</v>
      </c>
      <c r="O404" s="3">
        <f>Comparison!AR3</f>
        <v>4566.6036136134571</v>
      </c>
      <c r="P404" s="3">
        <f>Comparison!AS3</f>
        <v>3448.2859181540075</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6.1857319154219802E-28</v>
      </c>
      <c r="C405" s="3">
        <f t="shared" si="433"/>
        <v>1.6284822719704427E-22</v>
      </c>
      <c r="D405" s="3">
        <f t="shared" si="433"/>
        <v>6.5968295907489951E-20</v>
      </c>
      <c r="E405" s="3">
        <f t="shared" si="433"/>
        <v>1.1472105943877529E-17</v>
      </c>
      <c r="F405" s="3">
        <f t="shared" si="433"/>
        <v>1E-14</v>
      </c>
      <c r="G405" s="3">
        <f t="shared" si="433"/>
        <v>1.1881164685810611E-7</v>
      </c>
      <c r="H405" s="3">
        <f t="shared" si="433"/>
        <v>0.17061589400385738</v>
      </c>
      <c r="I405" s="109">
        <f>Comparison!AL4</f>
        <v>1E-14</v>
      </c>
      <c r="J405" s="3">
        <f>Comparison!AM4</f>
        <v>5627.8375717832278</v>
      </c>
      <c r="K405" s="3">
        <f>Comparison!AN4</f>
        <v>5619.5658717740425</v>
      </c>
      <c r="L405" s="3">
        <f>Comparison!AO4</f>
        <v>5614.1868795733999</v>
      </c>
      <c r="M405" s="3">
        <f>Comparison!AP4</f>
        <v>5607.5578036030483</v>
      </c>
      <c r="N405" s="3">
        <f>Comparison!AQ4</f>
        <v>5343.1911525840997</v>
      </c>
      <c r="O405" s="3">
        <f>Comparison!AR4</f>
        <v>4367.9191662396088</v>
      </c>
      <c r="P405" s="3">
        <f>Comparison!AS4</f>
        <v>3239.5923652397146</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6.1857319154219806E-27</v>
      </c>
      <c r="C406" s="3">
        <f t="shared" si="433"/>
        <v>1.6284822719704426E-21</v>
      </c>
      <c r="D406" s="3">
        <f t="shared" si="433"/>
        <v>6.5968295907489951E-19</v>
      </c>
      <c r="E406" s="3">
        <f t="shared" si="433"/>
        <v>1.1472105943877529E-16</v>
      </c>
      <c r="F406" s="3">
        <f t="shared" si="433"/>
        <v>1E-13</v>
      </c>
      <c r="G406" s="3">
        <f t="shared" si="433"/>
        <v>1.1881164685810611E-6</v>
      </c>
      <c r="H406" s="3">
        <f t="shared" si="433"/>
        <v>1.7061589400385737</v>
      </c>
      <c r="I406" s="109">
        <f>Comparison!AL5</f>
        <v>1E-13</v>
      </c>
      <c r="J406" s="3">
        <f>Comparison!AM5</f>
        <v>5627.8172471251501</v>
      </c>
      <c r="K406" s="3">
        <f>Comparison!AN5</f>
        <v>5619.5453722286029</v>
      </c>
      <c r="L406" s="3">
        <f>Comparison!AO5</f>
        <v>5614.1101001096886</v>
      </c>
      <c r="M406" s="3">
        <f>Comparison!AP5</f>
        <v>5597.5650860558781</v>
      </c>
      <c r="N406" s="3">
        <f>Comparison!AQ5</f>
        <v>5230.4848257433341</v>
      </c>
      <c r="O406" s="3">
        <f>Comparison!AR5</f>
        <v>4211.7468990411771</v>
      </c>
      <c r="P406" s="3">
        <f>Comparison!AS5</f>
        <v>3081.9689442141253</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6.1857319154219799E-26</v>
      </c>
      <c r="C407" s="3">
        <f t="shared" si="433"/>
        <v>1.6284822719704425E-20</v>
      </c>
      <c r="D407" s="3">
        <f t="shared" si="433"/>
        <v>6.5968295907489944E-18</v>
      </c>
      <c r="E407" s="3">
        <f t="shared" si="433"/>
        <v>1.1472105943877529E-15</v>
      </c>
      <c r="F407" s="3">
        <f t="shared" si="433"/>
        <v>9.9999999999999998E-13</v>
      </c>
      <c r="G407" s="3">
        <f t="shared" si="433"/>
        <v>1.1881164685810611E-5</v>
      </c>
      <c r="H407" s="3">
        <f t="shared" si="433"/>
        <v>17.061589400385738</v>
      </c>
      <c r="I407" s="109">
        <f>Comparison!AL6</f>
        <v>9.9999999999999998E-13</v>
      </c>
      <c r="J407" s="3">
        <f>Comparison!AM6</f>
        <v>5627.8109307653194</v>
      </c>
      <c r="K407" s="3">
        <f>Comparison!AN6</f>
        <v>5619.5381902049257</v>
      </c>
      <c r="L407" s="3">
        <f>Comparison!AO6</f>
        <v>5613.5440717227957</v>
      </c>
      <c r="M407" s="3">
        <f>Comparison!AP6</f>
        <v>5515.87592015054</v>
      </c>
      <c r="N407" s="3">
        <f>Comparison!AQ6</f>
        <v>5120.1446027142574</v>
      </c>
      <c r="O407" s="3">
        <f>Comparison!AR6</f>
        <v>4035.1164889708966</v>
      </c>
      <c r="P407" s="3">
        <f>Comparison!AS6</f>
        <v>2925.1274026703973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6.1857319154219796E-25</v>
      </c>
      <c r="C408" s="3">
        <f t="shared" si="433"/>
        <v>1.6284822719704425E-19</v>
      </c>
      <c r="D408" s="3">
        <f t="shared" si="433"/>
        <v>6.5968295907489945E-17</v>
      </c>
      <c r="E408" s="3">
        <f t="shared" si="433"/>
        <v>1.1472105943877528E-14</v>
      </c>
      <c r="F408" s="3">
        <f t="shared" si="433"/>
        <v>9.9999999999999994E-12</v>
      </c>
      <c r="G408" s="3">
        <f t="shared" si="433"/>
        <v>1.188116468581061E-4</v>
      </c>
      <c r="H408" s="3">
        <f t="shared" si="433"/>
        <v>170.61589400385736</v>
      </c>
      <c r="I408" s="109">
        <f>Comparison!AL7</f>
        <v>9.9999999999999994E-12</v>
      </c>
      <c r="J408" s="3">
        <f>Comparison!AM7</f>
        <v>5627.8090666274475</v>
      </c>
      <c r="K408" s="3">
        <f>Comparison!AN7</f>
        <v>5619.5270202096081</v>
      </c>
      <c r="L408" s="3">
        <f>Comparison!AO7</f>
        <v>5608.0875082385601</v>
      </c>
      <c r="M408" s="3">
        <f>Comparison!AP7</f>
        <v>5354.4297457358771</v>
      </c>
      <c r="N408" s="3">
        <f>Comparison!AQ7</f>
        <v>4998.3099857085181</v>
      </c>
      <c r="O408" s="3">
        <f>Comparison!AR7</f>
        <v>3826.9829326183326</v>
      </c>
      <c r="P408" s="3">
        <f>Comparison!AS7</f>
        <v>2768.6775302611704</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6.1857319154219802E-24</v>
      </c>
      <c r="C409" s="3">
        <f t="shared" si="433"/>
        <v>1.6284822719704426E-18</v>
      </c>
      <c r="D409" s="3">
        <f t="shared" si="433"/>
        <v>6.5968295907489953E-16</v>
      </c>
      <c r="E409" s="3">
        <f t="shared" si="433"/>
        <v>1.147210594387753E-13</v>
      </c>
      <c r="F409" s="3">
        <f t="shared" si="433"/>
        <v>1E-10</v>
      </c>
      <c r="G409" s="3">
        <f t="shared" si="433"/>
        <v>1.1881164685810612E-3</v>
      </c>
      <c r="H409" s="3">
        <f t="shared" si="433"/>
        <v>1706.1589400385737</v>
      </c>
      <c r="I409" s="109">
        <f>Comparison!AL8</f>
        <v>1E-10</v>
      </c>
      <c r="J409" s="3">
        <f>Comparison!AM8</f>
        <v>5627.8083245923272</v>
      </c>
      <c r="K409" s="3">
        <f>Comparison!AN8</f>
        <v>5619.4334394084344</v>
      </c>
      <c r="L409" s="3">
        <f>Comparison!AO8</f>
        <v>5561.0618011761198</v>
      </c>
      <c r="M409" s="3">
        <f>Comparison!AP8</f>
        <v>5243.0021702463746</v>
      </c>
      <c r="N409" s="3">
        <f>Comparison!AQ8</f>
        <v>4868.289986185935</v>
      </c>
      <c r="O409" s="3">
        <f>Comparison!AR8</f>
        <v>3620.1591645384274</v>
      </c>
      <c r="P409" s="3">
        <f>Comparison!AS8</f>
        <v>2587.8715481120807</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6.1857319154219809E-23</v>
      </c>
      <c r="C410" s="3">
        <f t="shared" si="433"/>
        <v>1.6284822719704428E-17</v>
      </c>
      <c r="D410" s="3">
        <f t="shared" si="433"/>
        <v>6.5968295907489954E-15</v>
      </c>
      <c r="E410" s="3">
        <f t="shared" si="433"/>
        <v>1.1472105943877529E-12</v>
      </c>
      <c r="F410" s="3">
        <f t="shared" si="433"/>
        <v>1.0000000000000001E-9</v>
      </c>
      <c r="G410" s="3">
        <f t="shared" si="433"/>
        <v>1.1881164685810611E-2</v>
      </c>
      <c r="H410" s="3">
        <f t="shared" si="433"/>
        <v>17061.589400385739</v>
      </c>
      <c r="I410" s="109">
        <f>Comparison!AL9</f>
        <v>1.0000000000000001E-9</v>
      </c>
      <c r="J410" s="3">
        <f>Comparison!AM9</f>
        <v>5627.808252198668</v>
      </c>
      <c r="K410" s="3">
        <f>Comparison!AN9</f>
        <v>5618.5096180858227</v>
      </c>
      <c r="L410" s="3">
        <f>Comparison!AO9</f>
        <v>5391.7011748892737</v>
      </c>
      <c r="M410" s="3">
        <f>Comparison!AP9</f>
        <v>5133.7176502815901</v>
      </c>
      <c r="N410" s="3">
        <f>Comparison!AQ9</f>
        <v>4722.7423685745798</v>
      </c>
      <c r="O410" s="3">
        <f>Comparison!AR9</f>
        <v>3446.6232486673289</v>
      </c>
      <c r="P410" s="3">
        <f>Comparison!AS9</f>
        <v>2392.4689452404186</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6.1857319154219802E-22</v>
      </c>
      <c r="C411" s="3">
        <f t="shared" si="433"/>
        <v>1.6284822719704428E-16</v>
      </c>
      <c r="D411" s="3">
        <f t="shared" si="433"/>
        <v>6.5968295907489953E-14</v>
      </c>
      <c r="E411" s="3">
        <f t="shared" si="433"/>
        <v>1.1472105943877528E-11</v>
      </c>
      <c r="F411" s="3">
        <f t="shared" si="433"/>
        <v>1E-8</v>
      </c>
      <c r="G411" s="3">
        <f t="shared" si="433"/>
        <v>0.11881164685810611</v>
      </c>
      <c r="H411" s="3">
        <f t="shared" si="433"/>
        <v>170615.89400385736</v>
      </c>
      <c r="I411" s="109">
        <f>Comparison!AL10</f>
        <v>1E-8</v>
      </c>
      <c r="J411" s="3">
        <f>Comparison!AM10</f>
        <v>5627.808053116114</v>
      </c>
      <c r="K411" s="3">
        <f>Comparison!AN10</f>
        <v>5609.604774269872</v>
      </c>
      <c r="L411" s="3">
        <f>Comparison!AO10</f>
        <v>5273.7806689105482</v>
      </c>
      <c r="M411" s="3">
        <f>Comparison!AP10</f>
        <v>5011.8758976932013</v>
      </c>
      <c r="N411" s="3">
        <f>Comparison!AQ10</f>
        <v>4566.4647906515956</v>
      </c>
      <c r="O411" s="3">
        <f>Comparison!AR10</f>
        <v>3283.5389960784037</v>
      </c>
      <c r="P411" s="3">
        <f>Comparison!AS10</f>
        <v>2172.7822789963197</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6.1857319154219798E-21</v>
      </c>
      <c r="C412" s="3">
        <f t="shared" si="433"/>
        <v>1.6284822719704426E-15</v>
      </c>
      <c r="D412" s="3">
        <f t="shared" si="433"/>
        <v>6.596829590748994E-13</v>
      </c>
      <c r="E412" s="3">
        <f t="shared" si="433"/>
        <v>1.1472105943877528E-10</v>
      </c>
      <c r="F412" s="3">
        <f t="shared" si="433"/>
        <v>9.9999999999999995E-8</v>
      </c>
      <c r="G412" s="3">
        <f t="shared" si="433"/>
        <v>1.188116468581061</v>
      </c>
      <c r="H412" s="3">
        <f t="shared" si="433"/>
        <v>1706158.9400385737</v>
      </c>
      <c r="I412" s="109">
        <f>Comparison!AL11</f>
        <v>9.9999999999999995E-8</v>
      </c>
      <c r="J412" s="3">
        <f>Comparison!AM11</f>
        <v>5627.8079807224613</v>
      </c>
      <c r="K412" s="3">
        <f>Comparison!AN11</f>
        <v>5534.6820731552771</v>
      </c>
      <c r="L412" s="3">
        <f>Comparison!AO11</f>
        <v>5167.1400623232676</v>
      </c>
      <c r="M412" s="3">
        <f>Comparison!AP11</f>
        <v>4882.7230333645084</v>
      </c>
      <c r="N412" s="3">
        <f>Comparison!AQ11</f>
        <v>4408.434781704007</v>
      </c>
      <c r="O412" s="3">
        <f>Comparison!AR11</f>
        <v>3126.1515402495047</v>
      </c>
      <c r="P412" s="3">
        <f>Comparison!AS11</f>
        <v>1927.9643975704516</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6.18573191542198E-20</v>
      </c>
      <c r="C413" s="3">
        <f t="shared" si="433"/>
        <v>1.6284822719704427E-14</v>
      </c>
      <c r="D413" s="3">
        <f t="shared" si="433"/>
        <v>6.5968295907489942E-12</v>
      </c>
      <c r="E413" s="3">
        <f t="shared" si="433"/>
        <v>1.1472105943877528E-9</v>
      </c>
      <c r="F413" s="3">
        <f t="shared" si="433"/>
        <v>9.9999999999999995E-7</v>
      </c>
      <c r="G413" s="3">
        <f t="shared" si="433"/>
        <v>11.88116468581061</v>
      </c>
      <c r="H413" s="3">
        <f t="shared" si="433"/>
        <v>17061589.400385737</v>
      </c>
      <c r="I413" s="109">
        <f>Comparison!AL12</f>
        <v>9.9999999999999995E-7</v>
      </c>
      <c r="J413" s="3">
        <f>Comparison!AM12</f>
        <v>5627.8066052434133</v>
      </c>
      <c r="K413" s="3">
        <f>Comparison!AN12</f>
        <v>5370.399425083704</v>
      </c>
      <c r="L413" s="3">
        <f>Comparison!AO12</f>
        <v>5046.4639033804824</v>
      </c>
      <c r="M413" s="3">
        <f>Comparison!AP12</f>
        <v>4737.6825060207148</v>
      </c>
      <c r="N413" s="3">
        <f>Comparison!AQ12</f>
        <v>4256.2001953133786</v>
      </c>
      <c r="O413" s="3">
        <f>Comparison!AR12</f>
        <v>2970.9240585633979</v>
      </c>
      <c r="P413" s="3">
        <f>Comparison!AS12</f>
        <v>1643.6970338003</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6.1857319154219812E-19</v>
      </c>
      <c r="C414" s="3">
        <f t="shared" si="433"/>
        <v>1.6284822719704428E-13</v>
      </c>
      <c r="D414" s="3">
        <f t="shared" si="433"/>
        <v>6.5968295907489947E-11</v>
      </c>
      <c r="E414" s="3">
        <f t="shared" si="433"/>
        <v>1.147210594387753E-8</v>
      </c>
      <c r="F414" s="3">
        <f t="shared" si="433"/>
        <v>1.0000000000000001E-5</v>
      </c>
      <c r="G414" s="3">
        <f t="shared" si="433"/>
        <v>118.81164685810612</v>
      </c>
      <c r="H414" s="3">
        <f t="shared" si="433"/>
        <v>170615894.00385737</v>
      </c>
      <c r="I414" s="109">
        <f>Comparison!AL13</f>
        <v>1.0000000000000001E-5</v>
      </c>
      <c r="J414" s="3">
        <f>Comparison!AM13</f>
        <v>5627.7932848495184</v>
      </c>
      <c r="K414" s="3">
        <f>Comparison!AN13</f>
        <v>5257.8155746015464</v>
      </c>
      <c r="L414" s="3">
        <f>Comparison!AO13</f>
        <v>4920.6469341545144</v>
      </c>
      <c r="M414" s="3">
        <f>Comparison!AP13</f>
        <v>4581.7042756516666</v>
      </c>
      <c r="N414" s="3">
        <f>Comparison!AQ13</f>
        <v>4088.6897076558816</v>
      </c>
      <c r="O414" s="3">
        <f>Comparison!AR13</f>
        <v>2814.9531210575578</v>
      </c>
      <c r="P414" s="3">
        <f>Comparison!AS13</f>
        <v>1319.6710728146086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6.1857319154219806E-18</v>
      </c>
      <c r="C415" s="3">
        <f t="shared" si="433"/>
        <v>1.6284822719704428E-12</v>
      </c>
      <c r="D415" s="3">
        <f t="shared" si="433"/>
        <v>6.596829590748995E-10</v>
      </c>
      <c r="E415" s="3">
        <f t="shared" si="433"/>
        <v>1.147210594387753E-7</v>
      </c>
      <c r="F415" s="3">
        <f t="shared" si="433"/>
        <v>1E-4</v>
      </c>
      <c r="G415" s="3">
        <f t="shared" si="433"/>
        <v>1188.1164685810611</v>
      </c>
      <c r="H415" s="3">
        <f t="shared" si="433"/>
        <v>1706158940.0385737</v>
      </c>
      <c r="I415" s="109">
        <f>Comparison!AL14</f>
        <v>1E-4</v>
      </c>
      <c r="J415" s="3">
        <f>Comparison!AM14</f>
        <v>5627.6610797391322</v>
      </c>
      <c r="K415" s="3">
        <f>Comparison!AN14</f>
        <v>5148.9525022518937</v>
      </c>
      <c r="L415" s="3">
        <f>Comparison!AO14</f>
        <v>4778.6212241451321</v>
      </c>
      <c r="M415" s="3">
        <f>Comparison!AP14</f>
        <v>4422.8560767502513</v>
      </c>
      <c r="N415" s="3">
        <f>Comparison!AQ14</f>
        <v>3886.5453020717396</v>
      </c>
      <c r="O415" s="3">
        <f>Comparison!AR14</f>
        <v>2641.4801683555684</v>
      </c>
      <c r="P415" s="3">
        <f>Comparison!AS14</f>
        <v>983.6154232764427</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6.1857319154219808E-17</v>
      </c>
      <c r="C416" s="3">
        <f t="shared" si="433"/>
        <v>1.6284822719704427E-11</v>
      </c>
      <c r="D416" s="3">
        <f t="shared" si="433"/>
        <v>6.5968295907489946E-9</v>
      </c>
      <c r="E416" s="3">
        <f t="shared" si="433"/>
        <v>1.1472105943877529E-6</v>
      </c>
      <c r="F416" s="3">
        <f t="shared" si="433"/>
        <v>1E-3</v>
      </c>
      <c r="G416" s="3">
        <f t="shared" si="433"/>
        <v>11881.164685810611</v>
      </c>
      <c r="H416" s="3">
        <f t="shared" si="433"/>
        <v>17061589400.385738</v>
      </c>
      <c r="I416" s="109">
        <f>Comparison!AL15</f>
        <v>1E-3</v>
      </c>
      <c r="J416" s="3">
        <f>Comparison!AM15</f>
        <v>5626.3493372203875</v>
      </c>
      <c r="K416" s="3">
        <f>Comparison!AN15</f>
        <v>5026.92102925375</v>
      </c>
      <c r="L416" s="3">
        <f>Comparison!AO15</f>
        <v>4624.8276392807802</v>
      </c>
      <c r="M416" s="3">
        <f>Comparison!AP15</f>
        <v>4270.4317526073974</v>
      </c>
      <c r="N416" s="3">
        <f>Comparison!AQ15</f>
        <v>3674.0476464355193</v>
      </c>
      <c r="O416" s="3">
        <f>Comparison!AR15</f>
        <v>2449.1835010011705</v>
      </c>
      <c r="P416" s="3">
        <f>Comparison!AS15</f>
        <v>693.66104788005293</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6.1857319154219805E-16</v>
      </c>
      <c r="C417" s="3">
        <f t="shared" si="433"/>
        <v>1.6284822719704427E-10</v>
      </c>
      <c r="D417" s="3">
        <f t="shared" si="433"/>
        <v>6.5968295907489947E-8</v>
      </c>
      <c r="E417" s="3">
        <f t="shared" si="433"/>
        <v>1.1472105943877529E-5</v>
      </c>
      <c r="F417" s="3">
        <f t="shared" si="433"/>
        <v>0.01</v>
      </c>
      <c r="G417" s="3">
        <f t="shared" si="433"/>
        <v>118811.64685810612</v>
      </c>
      <c r="H417" s="3">
        <f t="shared" si="433"/>
        <v>170615894003.85736</v>
      </c>
      <c r="I417" s="109">
        <f>Comparison!AL16</f>
        <v>0.01</v>
      </c>
      <c r="J417" s="3">
        <f>Comparison!AM16</f>
        <v>5613.8255139047442</v>
      </c>
      <c r="K417" s="3">
        <f>Comparison!AN16</f>
        <v>4898.1924827249632</v>
      </c>
      <c r="L417" s="3">
        <f>Comparison!AO16</f>
        <v>4464.4431086830655</v>
      </c>
      <c r="M417" s="3">
        <f>Comparison!AP16</f>
        <v>4104.9210309366072</v>
      </c>
      <c r="N417" s="3">
        <f>Comparison!AQ16</f>
        <v>3490.4964950029853</v>
      </c>
      <c r="O417" s="3">
        <f>Comparison!AR16</f>
        <v>2235.8247528873858</v>
      </c>
      <c r="P417" s="3">
        <f>Comparison!AS16</f>
        <v>485.93999274200024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6.1857319154219807E-15</v>
      </c>
      <c r="C418" s="3">
        <f t="shared" si="433"/>
        <v>1.6284822719704428E-9</v>
      </c>
      <c r="D418" s="3">
        <f t="shared" si="433"/>
        <v>6.5968295907489955E-7</v>
      </c>
      <c r="E418" s="3">
        <f t="shared" si="433"/>
        <v>1.147210594387753E-4</v>
      </c>
      <c r="F418" s="3">
        <f t="shared" si="433"/>
        <v>0.1</v>
      </c>
      <c r="G418" s="3">
        <f t="shared" si="433"/>
        <v>1188116.4685810611</v>
      </c>
      <c r="H418" s="3">
        <f t="shared" si="433"/>
        <v>1706158940038.5737</v>
      </c>
      <c r="I418" s="109">
        <f>Comparison!AL17</f>
        <v>0.1</v>
      </c>
      <c r="J418" s="3">
        <f>Comparison!AM17</f>
        <v>5517.4172060787987</v>
      </c>
      <c r="K418" s="3">
        <f>Comparison!AN17</f>
        <v>4753.3269146217463</v>
      </c>
      <c r="L418" s="3">
        <f>Comparison!AO17</f>
        <v>4311.3670250981177</v>
      </c>
      <c r="M418" s="3">
        <f>Comparison!AP17</f>
        <v>3904.1870554469519</v>
      </c>
      <c r="N418" s="3">
        <f>Comparison!AQ17</f>
        <v>3328.6476119407066</v>
      </c>
      <c r="O418" s="3">
        <f>Comparison!AR17</f>
        <v>1993.335720552192</v>
      </c>
      <c r="P418" s="3">
        <f>Comparison!AS17</f>
        <v>367.37990571310178</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6.1857319154219806E-14</v>
      </c>
      <c r="C419" s="3">
        <f t="shared" si="433"/>
        <v>1.6284822719704426E-8</v>
      </c>
      <c r="D419" s="3">
        <f t="shared" si="433"/>
        <v>6.5968295907489949E-6</v>
      </c>
      <c r="E419" s="3">
        <f t="shared" si="433"/>
        <v>1.1472105943877528E-3</v>
      </c>
      <c r="F419" s="3">
        <f t="shared" si="433"/>
        <v>1</v>
      </c>
      <c r="G419" s="3">
        <f t="shared" si="433"/>
        <v>11881164.685810611</v>
      </c>
      <c r="H419" s="3">
        <f t="shared" si="433"/>
        <v>17061589400385.736</v>
      </c>
      <c r="I419" s="109">
        <f>Comparison!AL18</f>
        <v>1</v>
      </c>
      <c r="J419" s="3">
        <f>Comparison!AM18</f>
        <v>5360.9194936383001</v>
      </c>
      <c r="K419" s="3">
        <f>Comparison!AN18</f>
        <v>4597.3394014710702</v>
      </c>
      <c r="L419" s="3">
        <f>Comparison!AO18</f>
        <v>4152.6891106145395</v>
      </c>
      <c r="M419" s="3">
        <f>Comparison!AP18</f>
        <v>3689.3430627142566</v>
      </c>
      <c r="N419" s="3">
        <f>Comparison!AQ18</f>
        <v>3162.6549081928265</v>
      </c>
      <c r="O419" s="3">
        <f>Comparison!AR18</f>
        <v>1707.9100595434049</v>
      </c>
      <c r="P419" s="3">
        <f>Comparison!AS18</f>
        <v>307.17178720865763</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6.1857319154219798E-13</v>
      </c>
      <c r="C420" s="3">
        <f t="shared" si="434"/>
        <v>1.6284822719704427E-7</v>
      </c>
      <c r="D420" s="3">
        <f t="shared" si="434"/>
        <v>6.5968295907489947E-5</v>
      </c>
      <c r="E420" s="3">
        <f t="shared" si="434"/>
        <v>1.147210594387753E-2</v>
      </c>
      <c r="F420" s="3">
        <f t="shared" si="434"/>
        <v>10</v>
      </c>
      <c r="G420" s="3">
        <f t="shared" si="434"/>
        <v>118811646.85810611</v>
      </c>
      <c r="H420" s="3">
        <f t="shared" si="434"/>
        <v>170615894003857.37</v>
      </c>
      <c r="I420" s="109">
        <f>Comparison!AL19</f>
        <v>10</v>
      </c>
      <c r="J420" s="3">
        <f>Comparison!AM19</f>
        <v>5250.254742360099</v>
      </c>
      <c r="K420" s="3">
        <f>Comparison!AN19</f>
        <v>4437.480614548972</v>
      </c>
      <c r="L420" s="3">
        <f>Comparison!AO19</f>
        <v>3957.9636218361616</v>
      </c>
      <c r="M420" s="3">
        <f>Comparison!AP19</f>
        <v>3495.8611800317371</v>
      </c>
      <c r="N420" s="3">
        <f>Comparison!AQ19</f>
        <v>2989.0593935666489</v>
      </c>
      <c r="O420" s="3">
        <f>Comparison!AR19</f>
        <v>1382.9901395885138</v>
      </c>
      <c r="P420" s="3">
        <f>Comparison!AS19</f>
        <v>279.06842494658031</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6.1857319154219804E-12</v>
      </c>
      <c r="C421" s="3">
        <f t="shared" si="434"/>
        <v>1.6284822719704426E-6</v>
      </c>
      <c r="D421" s="3">
        <f t="shared" si="434"/>
        <v>6.5968295907489944E-4</v>
      </c>
      <c r="E421" s="3">
        <f t="shared" si="434"/>
        <v>0.11472105943877529</v>
      </c>
      <c r="F421" s="3">
        <f t="shared" si="434"/>
        <v>100</v>
      </c>
      <c r="G421" s="3">
        <f t="shared" si="434"/>
        <v>1188116468.5810611</v>
      </c>
      <c r="H421" s="3">
        <f t="shared" si="434"/>
        <v>1706158940038573.7</v>
      </c>
      <c r="I421" s="109">
        <f>Comparison!AL20</f>
        <v>100</v>
      </c>
      <c r="J421" s="3">
        <f>Comparison!AM20</f>
        <v>5138.7770947931922</v>
      </c>
      <c r="K421" s="3">
        <f>Comparison!AN20</f>
        <v>4282.6976933023134</v>
      </c>
      <c r="L421" s="3">
        <f>Comparison!AO20</f>
        <v>3730.5898476111606</v>
      </c>
      <c r="M421" s="3">
        <f>Comparison!AP20</f>
        <v>3307.8943029856523</v>
      </c>
      <c r="N421" s="3">
        <f>Comparison!AQ20</f>
        <v>2798.1852090008501</v>
      </c>
      <c r="O421" s="3">
        <f>Comparison!AR20</f>
        <v>1045.3846206276212</v>
      </c>
      <c r="P421" s="3">
        <f>Comparison!AS20</f>
        <v>261.67169004040318</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6.1857319154219802E-11</v>
      </c>
      <c r="C422" s="3">
        <f t="shared" si="434"/>
        <v>1.6284822719704428E-5</v>
      </c>
      <c r="D422" s="3">
        <f t="shared" si="434"/>
        <v>6.5968295907489951E-3</v>
      </c>
      <c r="E422" s="3">
        <f t="shared" si="434"/>
        <v>1.1472105943877529</v>
      </c>
      <c r="F422" s="3">
        <f t="shared" si="434"/>
        <v>1000</v>
      </c>
      <c r="G422" s="3">
        <f t="shared" si="434"/>
        <v>11881164685.810612</v>
      </c>
      <c r="H422" s="3">
        <f t="shared" si="434"/>
        <v>1.7061589400385738E+16</v>
      </c>
      <c r="I422" s="109">
        <f>Comparison!AL21</f>
        <v>1000</v>
      </c>
      <c r="J422" s="3">
        <f>Comparison!AM21</f>
        <v>5015.7448530146003</v>
      </c>
      <c r="K422" s="3">
        <f>Comparison!AN21</f>
        <v>4104.6708903026465</v>
      </c>
      <c r="L422" s="3">
        <f>Comparison!AO21</f>
        <v>3500.0702814112506</v>
      </c>
      <c r="M422" s="3">
        <f>Comparison!AP21</f>
        <v>3103.7900841852515</v>
      </c>
      <c r="N422" s="3">
        <f>Comparison!AQ21</f>
        <v>2599.5030730508342</v>
      </c>
      <c r="O422" s="3">
        <f>Comparison!AR21</f>
        <v>743.50488577028852</v>
      </c>
      <c r="P422" s="3">
        <f>Comparison!AS21</f>
        <v>251.34674819282765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6.1857319154219802E-10</v>
      </c>
      <c r="C423" s="3">
        <f t="shared" si="434"/>
        <v>1.6284822719704427E-4</v>
      </c>
      <c r="D423" s="3">
        <f t="shared" si="434"/>
        <v>6.5968295907489941E-2</v>
      </c>
      <c r="E423" s="3">
        <f t="shared" si="434"/>
        <v>11.472105943877528</v>
      </c>
      <c r="F423" s="3">
        <f t="shared" si="434"/>
        <v>10000</v>
      </c>
      <c r="G423" s="3">
        <f t="shared" si="434"/>
        <v>118811646858.10611</v>
      </c>
      <c r="H423" s="3">
        <f t="shared" si="434"/>
        <v>1.7061589400385738E+17</v>
      </c>
      <c r="I423" s="109">
        <f>Comparison!AL22</f>
        <v>10000</v>
      </c>
      <c r="J423" s="3">
        <f>Comparison!AM22</f>
        <v>4881.370820360753</v>
      </c>
      <c r="K423" s="3">
        <f>Comparison!AN22</f>
        <v>3863.6251591234022</v>
      </c>
      <c r="L423" s="3">
        <f>Comparison!AO22</f>
        <v>3289.3669034465734</v>
      </c>
      <c r="M423" s="3">
        <f>Comparison!AP22</f>
        <v>2911.6115267339505</v>
      </c>
      <c r="N423" s="3">
        <f>Comparison!AQ22</f>
        <v>2390.0680354035449</v>
      </c>
      <c r="O423" s="3">
        <f>Comparison!AR22</f>
        <v>519.49600219625086</v>
      </c>
      <c r="P423" s="3">
        <f>Comparison!AS22</f>
        <v>246.12933837944422</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6.1857319154219807E-9</v>
      </c>
      <c r="C424" s="3">
        <f t="shared" si="434"/>
        <v>1.6284822719704426E-3</v>
      </c>
      <c r="D424" s="3">
        <f t="shared" si="434"/>
        <v>0.65968295907489949</v>
      </c>
      <c r="E424" s="3">
        <f t="shared" si="434"/>
        <v>114.72105943877528</v>
      </c>
      <c r="F424" s="3">
        <f t="shared" si="434"/>
        <v>100000</v>
      </c>
      <c r="G424" s="3">
        <f t="shared" si="434"/>
        <v>1188116468581.061</v>
      </c>
      <c r="H424" s="3">
        <f t="shared" si="434"/>
        <v>1.7061589400385738E+18</v>
      </c>
      <c r="I424" s="109">
        <f>Comparison!AL23</f>
        <v>100000</v>
      </c>
      <c r="J424" s="3">
        <f>Comparison!AM23</f>
        <v>4715.1502303445186</v>
      </c>
      <c r="K424" s="3">
        <f>Comparison!AN23</f>
        <v>3593.12923880173</v>
      </c>
      <c r="L424" s="3">
        <f>Comparison!AO23</f>
        <v>3085.2633506749817</v>
      </c>
      <c r="M424" s="3">
        <f>Comparison!AP23</f>
        <v>2729.2195894835777</v>
      </c>
      <c r="N424" s="3">
        <f>Comparison!AQ23</f>
        <v>2175.40034172183</v>
      </c>
      <c r="O424" s="3">
        <f>Comparison!AR23</f>
        <v>383.51568079468302</v>
      </c>
      <c r="P424" s="3">
        <f>Comparison!AS23</f>
        <v>232.30454015462297</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6.1857319154219807E-8</v>
      </c>
      <c r="C425" s="3">
        <f t="shared" si="434"/>
        <v>1.6284822719704425E-2</v>
      </c>
      <c r="D425" s="3">
        <f t="shared" si="434"/>
        <v>6.5968295907489951</v>
      </c>
      <c r="E425" s="3">
        <f t="shared" si="434"/>
        <v>1147.210594387753</v>
      </c>
      <c r="F425" s="3">
        <f t="shared" si="434"/>
        <v>1000000</v>
      </c>
      <c r="G425" s="3">
        <f t="shared" si="434"/>
        <v>11881164685810.611</v>
      </c>
      <c r="H425" s="3">
        <f t="shared" si="434"/>
        <v>1.7061589400385737E+19</v>
      </c>
      <c r="I425" s="109">
        <f>Comparison!AL24</f>
        <v>1000000</v>
      </c>
      <c r="J425" s="3">
        <f>Comparison!AM24</f>
        <v>4502.659399288631</v>
      </c>
      <c r="K425" s="3">
        <f>Comparison!AN24</f>
        <v>3360.468185804395</v>
      </c>
      <c r="L425" s="3">
        <f>Comparison!AO24</f>
        <v>2905.3736728917142</v>
      </c>
      <c r="M425" s="3">
        <f>Comparison!AP24</f>
        <v>2550.726219448276</v>
      </c>
      <c r="N425" s="3">
        <f>Comparison!AQ24</f>
        <v>1944.7438917872487</v>
      </c>
      <c r="O425" s="3">
        <f>Comparison!AR24</f>
        <v>314.10371823238006</v>
      </c>
      <c r="P425" s="3">
        <f>Comparison!AS24</f>
        <v>227.24083682489959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6.1857319154219801E-7</v>
      </c>
      <c r="C426" s="3">
        <f t="shared" si="434"/>
        <v>0.16284822719704425</v>
      </c>
      <c r="D426" s="3">
        <f t="shared" si="434"/>
        <v>65.968295907489946</v>
      </c>
      <c r="E426" s="3">
        <f t="shared" si="434"/>
        <v>11472.105943877528</v>
      </c>
      <c r="F426" s="3">
        <f t="shared" si="434"/>
        <v>10000000</v>
      </c>
      <c r="G426" s="3">
        <f t="shared" si="434"/>
        <v>118811646858106.11</v>
      </c>
      <c r="H426" s="3">
        <f t="shared" si="434"/>
        <v>1.7061589400385736E+20</v>
      </c>
      <c r="I426" s="109">
        <f>Comparison!AL25</f>
        <v>10000000</v>
      </c>
      <c r="J426" s="3">
        <f>Comparison!AM25</f>
        <v>4273.4157788380835</v>
      </c>
      <c r="K426" s="3">
        <f>Comparison!AN25</f>
        <v>3169.2406182554596</v>
      </c>
      <c r="L426" s="3">
        <f>Comparison!AO25</f>
        <v>2732.9260794562178</v>
      </c>
      <c r="M426" s="3">
        <f>Comparison!AP25</f>
        <v>2358.1438044871866</v>
      </c>
      <c r="N426" s="3">
        <f>Comparison!AQ25</f>
        <v>1692.3075271682321</v>
      </c>
      <c r="O426" s="3">
        <f>Comparison!AR25</f>
        <v>280.6909623460773</v>
      </c>
      <c r="P426" s="3">
        <f>Comparison!AS25</f>
        <v>226.40989093990805</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6.1857319154219806E-6</v>
      </c>
      <c r="C427" s="3">
        <f t="shared" si="434"/>
        <v>1.6284822719704426</v>
      </c>
      <c r="D427" s="3">
        <f t="shared" si="434"/>
        <v>659.68295907489949</v>
      </c>
      <c r="E427" s="3">
        <f t="shared" si="434"/>
        <v>114721.05943877529</v>
      </c>
      <c r="F427" s="3">
        <f t="shared" si="434"/>
        <v>100000000</v>
      </c>
      <c r="G427" s="3">
        <f t="shared" si="434"/>
        <v>1188116468581061</v>
      </c>
      <c r="H427" s="3">
        <f t="shared" si="434"/>
        <v>1.7061589400385736E+21</v>
      </c>
      <c r="I427" s="109">
        <f>Comparison!AL26</f>
        <v>100000000</v>
      </c>
      <c r="J427" s="3">
        <f>Comparison!AM26</f>
        <v>4058.4470173916279</v>
      </c>
      <c r="K427" s="3">
        <f>Comparison!AN26</f>
        <v>2988.8293612758935</v>
      </c>
      <c r="L427" s="3">
        <f>Comparison!AO26</f>
        <v>2568.1909736158736</v>
      </c>
      <c r="M427" s="3">
        <f>Comparison!AP26</f>
        <v>2158.239452794789</v>
      </c>
      <c r="N427" s="3">
        <f>Comparison!AQ26</f>
        <v>1404.857998960405</v>
      </c>
      <c r="O427" s="3">
        <f>Comparison!AR26</f>
        <v>262.23895816268134</v>
      </c>
      <c r="P427" s="3">
        <f>Comparison!AS26</f>
        <v>226.30209993218824</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6.1857319154219804E-5</v>
      </c>
      <c r="C428" s="3">
        <f t="shared" si="434"/>
        <v>16.284822719704426</v>
      </c>
      <c r="D428" s="3">
        <f t="shared" si="434"/>
        <v>6596.8295907489946</v>
      </c>
      <c r="E428" s="3">
        <f t="shared" si="434"/>
        <v>1147210.5943877529</v>
      </c>
      <c r="F428" s="3">
        <f t="shared" si="434"/>
        <v>1000000000</v>
      </c>
      <c r="G428" s="3">
        <f t="shared" si="434"/>
        <v>1.1881164685810612E+16</v>
      </c>
      <c r="H428" s="3">
        <f t="shared" si="434"/>
        <v>1.7061589400385736E+22</v>
      </c>
      <c r="I428" s="109">
        <f>Comparison!AL27</f>
        <v>1000000000</v>
      </c>
      <c r="J428" s="3">
        <f>Comparison!AM27</f>
        <v>3848.5922465336935</v>
      </c>
      <c r="K428" s="3">
        <f>Comparison!AN27</f>
        <v>2827.4607055264137</v>
      </c>
      <c r="L428" s="3">
        <f>Comparison!AO27</f>
        <v>2386.1123895749793</v>
      </c>
      <c r="M428" s="3">
        <f>Comparison!AP27</f>
        <v>1939.4329282086981</v>
      </c>
      <c r="N428" s="3">
        <f>Comparison!AQ27</f>
        <v>1091.4425267820036</v>
      </c>
      <c r="O428" s="3">
        <f>Comparison!AR27</f>
        <v>250.5385469230996</v>
      </c>
      <c r="P428" s="3">
        <f>Comparison!AS27</f>
        <v>225.971358220734</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6.1857319154219798E-4</v>
      </c>
      <c r="C429" s="3">
        <f t="shared" si="434"/>
        <v>162.84822719704425</v>
      </c>
      <c r="D429" s="3">
        <f t="shared" si="434"/>
        <v>65968.295907489941</v>
      </c>
      <c r="E429" s="3">
        <f t="shared" si="434"/>
        <v>11472105.943877529</v>
      </c>
      <c r="F429" s="3">
        <f t="shared" si="434"/>
        <v>10000000000</v>
      </c>
      <c r="G429" s="3">
        <f t="shared" si="434"/>
        <v>1.1881164685810611E+17</v>
      </c>
      <c r="H429" s="3">
        <f t="shared" si="434"/>
        <v>1.7061589400385737E+23</v>
      </c>
      <c r="I429" s="109">
        <f>Comparison!AL28</f>
        <v>10000000000</v>
      </c>
      <c r="J429" s="3">
        <f>Comparison!AM28</f>
        <v>3623.9563394023553</v>
      </c>
      <c r="K429" s="3">
        <f>Comparison!AN28</f>
        <v>2670.1707037079254</v>
      </c>
      <c r="L429" s="3">
        <f>Comparison!AO28</f>
        <v>2196.768027007945</v>
      </c>
      <c r="M429" s="3">
        <f>Comparison!AP28</f>
        <v>1697.1946565213088</v>
      </c>
      <c r="N429" s="3">
        <f>Comparison!AQ28</f>
        <v>790.55484106714846</v>
      </c>
      <c r="O429" s="3">
        <f>Comparison!AR28</f>
        <v>245.32626479673095</v>
      </c>
      <c r="P429" s="3">
        <f>Comparison!AS28</f>
        <v>225.60625299057205</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6.1857319154219803E-3</v>
      </c>
      <c r="C430" s="3">
        <f t="shared" si="434"/>
        <v>1628.4822719704425</v>
      </c>
      <c r="D430" s="3">
        <f t="shared" si="434"/>
        <v>659682.95907489944</v>
      </c>
      <c r="E430" s="3">
        <f t="shared" si="434"/>
        <v>114721059.43877529</v>
      </c>
      <c r="F430" s="3">
        <f t="shared" si="434"/>
        <v>100000000000</v>
      </c>
      <c r="G430" s="3">
        <f t="shared" si="434"/>
        <v>1.1881164685810611E+18</v>
      </c>
      <c r="H430" s="3">
        <f t="shared" si="434"/>
        <v>1.7061589400385737E+24</v>
      </c>
      <c r="I430" s="109">
        <f>Comparison!AL29</f>
        <v>100000000000</v>
      </c>
      <c r="J430" s="3">
        <f>Comparison!AM29</f>
        <v>3404.5451338992034</v>
      </c>
      <c r="K430" s="3">
        <f>Comparison!AN29</f>
        <v>2515.5612619665249</v>
      </c>
      <c r="L430" s="3">
        <f>Comparison!AO29</f>
        <v>1987.4046244520723</v>
      </c>
      <c r="M430" s="3">
        <f>Comparison!AP29</f>
        <v>1417.4356606109552</v>
      </c>
      <c r="N430" s="3">
        <f>Comparison!AQ29</f>
        <v>554.44228824478739</v>
      </c>
      <c r="O430" s="3">
        <f>Comparison!AR29</f>
        <v>234.06992955511652</v>
      </c>
      <c r="P430" s="3">
        <f>Comparison!AS29</f>
        <v>225.49131077609314</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6.1857319154219804E-2</v>
      </c>
      <c r="C431" s="3">
        <f t="shared" si="434"/>
        <v>16284.822719704427</v>
      </c>
      <c r="D431" s="3">
        <f t="shared" si="434"/>
        <v>6596829.5907489946</v>
      </c>
      <c r="E431" s="3">
        <f t="shared" si="434"/>
        <v>1147210594.3877528</v>
      </c>
      <c r="F431" s="3">
        <f t="shared" si="434"/>
        <v>1000000000000</v>
      </c>
      <c r="G431" s="3">
        <f t="shared" si="434"/>
        <v>1.188116468581061E+19</v>
      </c>
      <c r="H431" s="3">
        <f t="shared" si="434"/>
        <v>1.7061589400385736E+25</v>
      </c>
      <c r="I431" s="109">
        <f>Comparison!AL30</f>
        <v>1000000000000</v>
      </c>
      <c r="J431" s="3">
        <f>Comparison!AM30</f>
        <v>3224.8694264190117</v>
      </c>
      <c r="K431" s="3">
        <f>Comparison!AN30</f>
        <v>2336.7097855049965</v>
      </c>
      <c r="L431" s="3">
        <f>Comparison!AO30</f>
        <v>1756.4334468648422</v>
      </c>
      <c r="M431" s="3">
        <f>Comparison!AP30</f>
        <v>1107.9541803332813</v>
      </c>
      <c r="N431" s="3">
        <f>Comparison!AQ30</f>
        <v>402.30286435501444</v>
      </c>
      <c r="O431" s="3">
        <f>Comparison!AR30</f>
        <v>226.1826531941249</v>
      </c>
      <c r="P431" s="3">
        <f>Comparison!AS30</f>
        <v>225.3813329804162</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0.61857319154219803</v>
      </c>
      <c r="C432" s="3">
        <f t="shared" si="434"/>
        <v>162848.22719704427</v>
      </c>
      <c r="D432" s="3">
        <f t="shared" si="434"/>
        <v>65968295.907489948</v>
      </c>
      <c r="E432" s="3">
        <f t="shared" si="434"/>
        <v>11472105943.877529</v>
      </c>
      <c r="F432" s="3">
        <f t="shared" si="434"/>
        <v>10000000000000</v>
      </c>
      <c r="G432" s="3">
        <f t="shared" si="434"/>
        <v>1.1881164685810611E+20</v>
      </c>
      <c r="H432" s="3">
        <f t="shared" si="434"/>
        <v>1.7061589400385736E+26</v>
      </c>
      <c r="I432" s="109">
        <f>Comparison!AL31</f>
        <v>10000000000000</v>
      </c>
      <c r="J432" s="3">
        <f>Comparison!AM31</f>
        <v>3068.1804215620291</v>
      </c>
      <c r="K432" s="3">
        <f>Comparison!AN31</f>
        <v>2150.3686174171794</v>
      </c>
      <c r="L432" s="3">
        <f>Comparison!AO31</f>
        <v>1488.4468583518017</v>
      </c>
      <c r="M432" s="3">
        <f>Comparison!AP31</f>
        <v>805.95331833639966</v>
      </c>
      <c r="N432" s="3">
        <f>Comparison!AQ31</f>
        <v>323.52349101295181</v>
      </c>
      <c r="O432" s="3">
        <f>Comparison!AR31</f>
        <v>225.23832209445587</v>
      </c>
      <c r="P432" s="3">
        <f>Comparison!AS31</f>
        <v>225.28846256587596</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6.1857319154219805</v>
      </c>
      <c r="C433" s="3">
        <f t="shared" si="434"/>
        <v>1628482.2719704427</v>
      </c>
      <c r="D433" s="3">
        <f t="shared" si="434"/>
        <v>659682959.07489944</v>
      </c>
      <c r="E433" s="3">
        <f t="shared" si="434"/>
        <v>114721059438.77528</v>
      </c>
      <c r="F433" s="3">
        <f t="shared" si="434"/>
        <v>100000000000000</v>
      </c>
      <c r="G433" s="3">
        <f t="shared" si="434"/>
        <v>1.1881164685810611E+21</v>
      </c>
      <c r="H433" s="3">
        <f t="shared" si="434"/>
        <v>1.7061589400385738E+27</v>
      </c>
      <c r="I433" s="109">
        <f>Comparison!AL32</f>
        <v>100000000000000</v>
      </c>
      <c r="J433" s="3">
        <f>Comparison!AM32</f>
        <v>2915.919267959634</v>
      </c>
      <c r="K433" s="3">
        <f>Comparison!AN32</f>
        <v>1940.5173332718871</v>
      </c>
      <c r="L433" s="3">
        <f>Comparison!AO32</f>
        <v>1185.6745633902476</v>
      </c>
      <c r="M433" s="3">
        <f>Comparison!AP32</f>
        <v>565.79561192848462</v>
      </c>
      <c r="N433" s="3">
        <f>Comparison!AQ32</f>
        <v>284.35137217816799</v>
      </c>
      <c r="O433" s="3">
        <f>Comparison!AR32</f>
        <v>225.13655271656646</v>
      </c>
      <c r="P433" s="3">
        <f>Comparison!AS32</f>
        <v>225.26138301118297</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61.857319154219802</v>
      </c>
      <c r="C434" s="3">
        <f t="shared" si="434"/>
        <v>16284822.719704427</v>
      </c>
      <c r="D434" s="3">
        <f t="shared" si="434"/>
        <v>6596829590.7489948</v>
      </c>
      <c r="E434" s="3">
        <f t="shared" si="434"/>
        <v>1147210594387.7529</v>
      </c>
      <c r="F434" s="3">
        <f t="shared" si="434"/>
        <v>1000000000000000</v>
      </c>
      <c r="G434" s="3">
        <f t="shared" si="434"/>
        <v>1.188116468581061E+22</v>
      </c>
      <c r="H434" s="3">
        <f t="shared" si="434"/>
        <v>1.7061589400385738E+28</v>
      </c>
      <c r="I434" s="109">
        <f>Comparison!AL33</f>
        <v>1000000000000000</v>
      </c>
      <c r="J434" s="3">
        <f>Comparison!AM33</f>
        <v>2771.0117587804812</v>
      </c>
      <c r="K434" s="3">
        <f>Comparison!AN33</f>
        <v>1703.202634105066</v>
      </c>
      <c r="L434" s="3">
        <f>Comparison!AO33</f>
        <v>877.46280556758461</v>
      </c>
      <c r="M434" s="3">
        <f>Comparison!AP33</f>
        <v>408.65393596789795</v>
      </c>
      <c r="N434" s="3">
        <f>Comparison!AQ33</f>
        <v>264.92729834801332</v>
      </c>
      <c r="O434" s="3">
        <f>Comparison!AR33</f>
        <v>225.03956034728361</v>
      </c>
      <c r="P434" s="3">
        <f>Comparison!AS33</f>
        <v>225.24704548920718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-30.413945965899352</v>
      </c>
      <c r="M1" s="54">
        <v>1</v>
      </c>
      <c r="N1" s="56">
        <f>INDEX($H$217:$P$217,1,Q1)</f>
        <v>0.28062327447554514</v>
      </c>
      <c r="O1" s="11"/>
      <c r="P1" s="55">
        <v>1</v>
      </c>
      <c r="Q1" s="11">
        <v>2</v>
      </c>
    </row>
    <row r="2" spans="1:17" x14ac:dyDescent="0.25">
      <c r="A2" s="11">
        <f>'Mastercurve bestimmen'!M119</f>
        <v>0</v>
      </c>
      <c r="B2" s="11">
        <f>'Mastercurve bestimmen'!N119</f>
        <v>-17.933032284387114</v>
      </c>
      <c r="M2" s="54">
        <v>2</v>
      </c>
      <c r="N2" s="56">
        <f t="shared" ref="N2:N9" si="0">INDEX($H$217:$P$217,1,Q2)</f>
        <v>2.1683870963651627E-3</v>
      </c>
      <c r="O2" s="11"/>
      <c r="P2" s="55">
        <v>2</v>
      </c>
      <c r="Q2" s="11">
        <f>Q1+1</f>
        <v>3</v>
      </c>
    </row>
    <row r="3" spans="1:17" x14ac:dyDescent="0.25">
      <c r="A3" s="11">
        <f>'Mastercurve bestimmen'!M120</f>
        <v>25</v>
      </c>
      <c r="B3" s="11">
        <f>'Mastercurve bestimmen'!N120</f>
        <v>-11.928921389382172</v>
      </c>
      <c r="M3" s="54">
        <v>3</v>
      </c>
      <c r="N3" s="56">
        <f t="shared" si="0"/>
        <v>5.5122484555287574E-6</v>
      </c>
      <c r="O3" s="11"/>
      <c r="P3" s="55">
        <v>3</v>
      </c>
      <c r="Q3" s="11">
        <f t="shared" ref="Q3:Q8" si="1">Q2+1</f>
        <v>4</v>
      </c>
    </row>
    <row r="4" spans="1:17" x14ac:dyDescent="0.25">
      <c r="A4" s="11">
        <f>'Mastercurve bestimmen'!M121</f>
        <v>50</v>
      </c>
      <c r="B4" s="11">
        <f>'Mastercurve bestimmen'!N121</f>
        <v>-6.7704218531652627</v>
      </c>
      <c r="M4" s="54">
        <v>4</v>
      </c>
      <c r="N4" s="56">
        <f t="shared" si="0"/>
        <v>-3.0343157297387083E-7</v>
      </c>
      <c r="O4" s="11"/>
      <c r="P4" s="55">
        <v>4</v>
      </c>
      <c r="Q4" s="11">
        <f t="shared" si="1"/>
        <v>5</v>
      </c>
    </row>
    <row r="5" spans="1:17" x14ac:dyDescent="0.25">
      <c r="A5" s="11">
        <f>'Mastercurve bestimmen'!M122</f>
        <v>80</v>
      </c>
      <c r="B5" s="11">
        <f>'Mastercurve bestimmen'!N122</f>
        <v>0</v>
      </c>
      <c r="M5" s="54">
        <v>5</v>
      </c>
      <c r="N5" s="56">
        <f t="shared" si="0"/>
        <v>-6.8242100225649196E-10</v>
      </c>
      <c r="O5" s="11"/>
      <c r="P5" s="55">
        <v>5</v>
      </c>
      <c r="Q5" s="11">
        <f t="shared" si="1"/>
        <v>6</v>
      </c>
    </row>
    <row r="6" spans="1:17" x14ac:dyDescent="0.25">
      <c r="A6" s="11">
        <f>'Mastercurve bestimmen'!M123</f>
        <v>125</v>
      </c>
      <c r="B6" s="11">
        <f>'Mastercurve bestimmen'!N123</f>
        <v>16.290464904619554</v>
      </c>
      <c r="M6" s="54">
        <v>6</v>
      </c>
      <c r="N6" s="56">
        <f t="shared" si="0"/>
        <v>1.7036110974421873E-11</v>
      </c>
      <c r="O6" s="11"/>
      <c r="P6" s="55">
        <v>6</v>
      </c>
      <c r="Q6" s="11">
        <f t="shared" si="1"/>
        <v>7</v>
      </c>
    </row>
    <row r="7" spans="1:17" x14ac:dyDescent="0.25">
      <c r="A7" s="11">
        <f>'Mastercurve bestimmen'!M124</f>
        <v>160</v>
      </c>
      <c r="B7" s="11">
        <f>'Mastercurve bestimmen'!N124</f>
        <v>30.467850818974018</v>
      </c>
      <c r="M7" s="54">
        <v>7</v>
      </c>
      <c r="N7" s="56">
        <f t="shared" si="0"/>
        <v>7.2089581351429132E-14</v>
      </c>
      <c r="O7" s="11"/>
      <c r="P7" s="55">
        <v>7</v>
      </c>
      <c r="Q7" s="11">
        <f t="shared" si="1"/>
        <v>8</v>
      </c>
    </row>
    <row r="8" spans="1:17" x14ac:dyDescent="0.25">
      <c r="A8" s="11"/>
      <c r="B8" s="11"/>
      <c r="M8" s="54">
        <v>8</v>
      </c>
      <c r="N8" s="56">
        <f t="shared" si="0"/>
        <v>6.087687990107011E-17</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-30.413945965899352</v>
      </c>
      <c r="E15" s="11">
        <f>A15-'Mastercurve bestimmen'!$B$2</f>
        <v>-120</v>
      </c>
      <c r="F15" s="11">
        <f>B15</f>
        <v>-30.413945965899352</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-30.163000041454666</v>
      </c>
      <c r="E16" s="11">
        <f>A16-'Mastercurve bestimmen'!$B$2</f>
        <v>-119</v>
      </c>
      <c r="F16" s="11">
        <f t="shared" ref="F16:F79" si="4">B16</f>
        <v>-30.163000041454666</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-29.911824935330458</v>
      </c>
      <c r="E17" s="11">
        <f>A17-'Mastercurve bestimmen'!$B$2</f>
        <v>-118</v>
      </c>
      <c r="F17" s="11">
        <f t="shared" si="4"/>
        <v>-29.911824935330458</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-29.660191465847205</v>
      </c>
      <c r="E18" s="11">
        <f>A18-'Mastercurve bestimmen'!$B$2</f>
        <v>-117</v>
      </c>
      <c r="F18" s="11">
        <f t="shared" si="4"/>
        <v>-29.660191465847205</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-29.40787045132538</v>
      </c>
      <c r="E19" s="11">
        <f>A19-'Mastercurve bestimmen'!$B$2</f>
        <v>-116</v>
      </c>
      <c r="F19" s="11">
        <f t="shared" si="4"/>
        <v>-29.40787045132538</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-29.154632710085455</v>
      </c>
      <c r="E20" s="11">
        <f>A20-'Mastercurve bestimmen'!$B$2</f>
        <v>-115</v>
      </c>
      <c r="F20" s="11">
        <f t="shared" si="4"/>
        <v>-29.154632710085455</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-28.900249060447912</v>
      </c>
      <c r="E21" s="11">
        <f>A21-'Mastercurve bestimmen'!$B$2</f>
        <v>-114</v>
      </c>
      <c r="F21" s="11">
        <f t="shared" si="4"/>
        <v>-28.900249060447912</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-28.644490320733226</v>
      </c>
      <c r="E22" s="11">
        <f>A22-'Mastercurve bestimmen'!$B$2</f>
        <v>-113</v>
      </c>
      <c r="F22" s="11">
        <f t="shared" si="4"/>
        <v>-28.644490320733226</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-28.387127309261871</v>
      </c>
      <c r="E23" s="11">
        <f>A23-'Mastercurve bestimmen'!$B$2</f>
        <v>-112</v>
      </c>
      <c r="F23" s="11">
        <f t="shared" si="4"/>
        <v>-28.387127309261871</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-28.127930844354328</v>
      </c>
      <c r="E24" s="11">
        <f>A24-'Mastercurve bestimmen'!$B$2</f>
        <v>-111</v>
      </c>
      <c r="F24" s="11">
        <f t="shared" si="4"/>
        <v>-28.127930844354328</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-27.866671744331065</v>
      </c>
      <c r="E25" s="11">
        <f>A25-'Mastercurve bestimmen'!$B$2</f>
        <v>-110</v>
      </c>
      <c r="F25" s="11">
        <f t="shared" si="4"/>
        <v>-27.866671744331065</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-27.603120827512569</v>
      </c>
      <c r="E26" s="11">
        <f>A26-'Mastercurve bestimmen'!$B$2</f>
        <v>-109</v>
      </c>
      <c r="F26" s="11">
        <f t="shared" si="4"/>
        <v>-27.603120827512569</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-27.337048912219309</v>
      </c>
      <c r="E27" s="11">
        <f>A27-'Mastercurve bestimmen'!$B$2</f>
        <v>-108</v>
      </c>
      <c r="F27" s="11">
        <f t="shared" si="4"/>
        <v>-27.337048912219309</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-27.068226816771755</v>
      </c>
      <c r="E28" s="11">
        <f>A28-'Mastercurve bestimmen'!$B$2</f>
        <v>-107</v>
      </c>
      <c r="F28" s="11">
        <f t="shared" si="4"/>
        <v>-27.068226816771755</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-26.796425359490403</v>
      </c>
      <c r="E29" s="11">
        <f>A29-'Mastercurve bestimmen'!$B$2</f>
        <v>-106</v>
      </c>
      <c r="F29" s="11">
        <f t="shared" si="4"/>
        <v>-26.796425359490403</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-26.521415358695705</v>
      </c>
      <c r="E30" s="11">
        <f>A30-'Mastercurve bestimmen'!$B$2</f>
        <v>-105</v>
      </c>
      <c r="F30" s="11">
        <f t="shared" si="4"/>
        <v>-26.521415358695705</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-26.242967632708151</v>
      </c>
      <c r="E31" s="11">
        <f>A31-'Mastercurve bestimmen'!$B$2</f>
        <v>-104</v>
      </c>
      <c r="F31" s="11">
        <f t="shared" si="4"/>
        <v>-26.242967632708151</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-25.960852999848214</v>
      </c>
      <c r="E32" s="11">
        <f>A32-'Mastercurve bestimmen'!$B$2</f>
        <v>-103</v>
      </c>
      <c r="F32" s="11">
        <f t="shared" si="4"/>
        <v>-25.960852999848214</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-25.674842278436373</v>
      </c>
      <c r="E33" s="11">
        <f>A33-'Mastercurve bestimmen'!$B$2</f>
        <v>-102</v>
      </c>
      <c r="F33" s="11">
        <f t="shared" si="4"/>
        <v>-25.674842278436373</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-25.384706286793101</v>
      </c>
      <c r="E34" s="11">
        <f>A34-'Mastercurve bestimmen'!$B$2</f>
        <v>-101</v>
      </c>
      <c r="F34" s="11">
        <f t="shared" si="4"/>
        <v>-25.384706286793101</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-25.090215843238873</v>
      </c>
      <c r="E35" s="11">
        <f>A35-'Mastercurve bestimmen'!$B$2</f>
        <v>-100</v>
      </c>
      <c r="F35" s="11">
        <f t="shared" si="4"/>
        <v>-25.090215843238873</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-24.791141766094167</v>
      </c>
      <c r="E36" s="11">
        <f>A36-'Mastercurve bestimmen'!$B$2</f>
        <v>-99</v>
      </c>
      <c r="F36" s="11">
        <f t="shared" si="4"/>
        <v>-24.791141766094167</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-24.487254873679461</v>
      </c>
      <c r="E37" s="11">
        <f>A37-'Mastercurve bestimmen'!$B$2</f>
        <v>-98</v>
      </c>
      <c r="F37" s="11">
        <f t="shared" si="4"/>
        <v>-24.487254873679461</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-24.178325984315229</v>
      </c>
      <c r="E38" s="11">
        <f>A38-'Mastercurve bestimmen'!$B$2</f>
        <v>-97</v>
      </c>
      <c r="F38" s="11">
        <f t="shared" si="4"/>
        <v>-24.178325984315229</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-23.864125916321946</v>
      </c>
      <c r="E39" s="11">
        <f>A39-'Mastercurve bestimmen'!$B$2</f>
        <v>-96</v>
      </c>
      <c r="F39" s="11">
        <f t="shared" si="4"/>
        <v>-23.864125916321946</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-23.544425488020089</v>
      </c>
      <c r="E40" s="11">
        <f>A40-'Mastercurve bestimmen'!$B$2</f>
        <v>-95</v>
      </c>
      <c r="F40" s="11">
        <f t="shared" si="4"/>
        <v>-23.544425488020089</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-23.218995517730136</v>
      </c>
      <c r="E41" s="11">
        <f>A41-'Mastercurve bestimmen'!$B$2</f>
        <v>-94</v>
      </c>
      <c r="F41" s="11">
        <f t="shared" si="4"/>
        <v>-23.218995517730136</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-22.887606823772558</v>
      </c>
      <c r="E42" s="11">
        <f>A42-'Mastercurve bestimmen'!$B$2</f>
        <v>-93</v>
      </c>
      <c r="F42" s="11">
        <f t="shared" si="4"/>
        <v>-22.887606823772558</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-22.550030224467836</v>
      </c>
      <c r="E43" s="11">
        <f>A43-'Mastercurve bestimmen'!$B$2</f>
        <v>-92</v>
      </c>
      <c r="F43" s="11">
        <f t="shared" si="4"/>
        <v>-22.550030224467836</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-22.206036538136445</v>
      </c>
      <c r="E44" s="11">
        <f>A44-'Mastercurve bestimmen'!$B$2</f>
        <v>-91</v>
      </c>
      <c r="F44" s="11">
        <f t="shared" si="4"/>
        <v>-22.206036538136445</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-21.855396583098859</v>
      </c>
      <c r="E45" s="11">
        <f>A45-'Mastercurve bestimmen'!$B$2</f>
        <v>-90</v>
      </c>
      <c r="F45" s="11">
        <f t="shared" si="4"/>
        <v>-21.855396583098859</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-21.497881177675559</v>
      </c>
      <c r="E46" s="11">
        <f>A46-'Mastercurve bestimmen'!$B$2</f>
        <v>-89</v>
      </c>
      <c r="F46" s="11">
        <f t="shared" si="4"/>
        <v>-21.497881177675559</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-21.133261140187017</v>
      </c>
      <c r="E47" s="11">
        <f>A47-'Mastercurve bestimmen'!$B$2</f>
        <v>-88</v>
      </c>
      <c r="F47" s="11">
        <f t="shared" si="4"/>
        <v>-21.133261140187017</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-20.761307288953706</v>
      </c>
      <c r="E48" s="11">
        <f>A48-'Mastercurve bestimmen'!$B$2</f>
        <v>-87</v>
      </c>
      <c r="F48" s="11">
        <f t="shared" si="4"/>
        <v>-20.761307288953706</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-20.381790442296108</v>
      </c>
      <c r="E49" s="11">
        <f>A49-'Mastercurve bestimmen'!$B$2</f>
        <v>-86</v>
      </c>
      <c r="F49" s="11">
        <f t="shared" si="4"/>
        <v>-20.381790442296108</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-19.994481418534697</v>
      </c>
      <c r="E50" s="11">
        <f>A50-'Mastercurve bestimmen'!$B$2</f>
        <v>-85</v>
      </c>
      <c r="F50" s="11">
        <f t="shared" si="4"/>
        <v>-19.994481418534697</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-19.599151035989951</v>
      </c>
      <c r="E51" s="11">
        <f>A51-'Mastercurve bestimmen'!$B$2</f>
        <v>-84</v>
      </c>
      <c r="F51" s="11">
        <f t="shared" si="4"/>
        <v>-19.599151035989951</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-19.195570112982342</v>
      </c>
      <c r="E52" s="11">
        <f>A52-'Mastercurve bestimmen'!$B$2</f>
        <v>-83</v>
      </c>
      <c r="F52" s="11">
        <f t="shared" si="4"/>
        <v>-19.195570112982342</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-18.783509467832349</v>
      </c>
      <c r="E53" s="11">
        <f>A53-'Mastercurve bestimmen'!$B$2</f>
        <v>-82</v>
      </c>
      <c r="F53" s="11">
        <f t="shared" si="4"/>
        <v>-18.783509467832349</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-18.362739918860449</v>
      </c>
      <c r="E54" s="11">
        <f>A54-'Mastercurve bestimmen'!$B$2</f>
        <v>-81</v>
      </c>
      <c r="F54" s="11">
        <f t="shared" si="4"/>
        <v>-18.362739918860449</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-17.933032284387114</v>
      </c>
      <c r="E55" s="11">
        <f>A55-'Mastercurve bestimmen'!$B$2</f>
        <v>-80</v>
      </c>
      <c r="F55" s="11">
        <f t="shared" si="4"/>
        <v>-17.933032284387114</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-17.746107024932101</v>
      </c>
      <c r="E56" s="11">
        <f>A56-'Mastercurve bestimmen'!$B$2</f>
        <v>-79</v>
      </c>
      <c r="F56" s="11">
        <f t="shared" si="4"/>
        <v>-17.746107024932101</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-17.550560344736777</v>
      </c>
      <c r="E57" s="11">
        <f>A57-'Mastercurve bestimmen'!$B$2</f>
        <v>-78</v>
      </c>
      <c r="F57" s="11">
        <f t="shared" si="4"/>
        <v>-17.550560344736777</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-17.346938090241764</v>
      </c>
      <c r="E58" s="11">
        <f>A58-'Mastercurve bestimmen'!$B$2</f>
        <v>-77</v>
      </c>
      <c r="F58" s="11">
        <f t="shared" si="4"/>
        <v>-17.346938090241764</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-17.135786107887711</v>
      </c>
      <c r="E59" s="11">
        <f>A59-'Mastercurve bestimmen'!$B$2</f>
        <v>-76</v>
      </c>
      <c r="F59" s="11">
        <f t="shared" si="4"/>
        <v>-17.135786107887711</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-16.917650244115247</v>
      </c>
      <c r="E60" s="11">
        <f>A60-'Mastercurve bestimmen'!$B$2</f>
        <v>-75</v>
      </c>
      <c r="F60" s="11">
        <f t="shared" si="4"/>
        <v>-16.917650244115247</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-16.693076345365018</v>
      </c>
      <c r="E61" s="11">
        <f>A61-'Mastercurve bestimmen'!$B$2</f>
        <v>-74</v>
      </c>
      <c r="F61" s="11">
        <f t="shared" si="4"/>
        <v>-16.693076345365018</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-16.462610258077657</v>
      </c>
      <c r="E62" s="11">
        <f>A62-'Mastercurve bestimmen'!$B$2</f>
        <v>-73</v>
      </c>
      <c r="F62" s="11">
        <f t="shared" si="4"/>
        <v>-16.462610258077657</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-16.226797828693801</v>
      </c>
      <c r="E63" s="11">
        <f>A63-'Mastercurve bestimmen'!$B$2</f>
        <v>-72</v>
      </c>
      <c r="F63" s="11">
        <f t="shared" si="4"/>
        <v>-16.226797828693801</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-15.986184903654085</v>
      </c>
      <c r="E64" s="11">
        <f>A64-'Mastercurve bestimmen'!$B$2</f>
        <v>-71</v>
      </c>
      <c r="F64" s="11">
        <f t="shared" si="4"/>
        <v>-15.986184903654085</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-15.741317329399148</v>
      </c>
      <c r="E65" s="11">
        <f>A65-'Mastercurve bestimmen'!$B$2</f>
        <v>-70</v>
      </c>
      <c r="F65" s="11">
        <f t="shared" si="4"/>
        <v>-15.741317329399148</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-15.492740952369633</v>
      </c>
      <c r="E66" s="11">
        <f>A66-'Mastercurve bestimmen'!$B$2</f>
        <v>-69</v>
      </c>
      <c r="F66" s="11">
        <f t="shared" si="4"/>
        <v>-15.492740952369633</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-15.241001619006171</v>
      </c>
      <c r="E67" s="11">
        <f>A67-'Mastercurve bestimmen'!$B$2</f>
        <v>-68</v>
      </c>
      <c r="F67" s="11">
        <f t="shared" si="4"/>
        <v>-15.241001619006171</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-14.986645175749402</v>
      </c>
      <c r="E68" s="11">
        <f>A68-'Mastercurve bestimmen'!$B$2</f>
        <v>-67</v>
      </c>
      <c r="F68" s="11">
        <f t="shared" si="4"/>
        <v>-14.986645175749402</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-14.730217469039962</v>
      </c>
      <c r="E69" s="11">
        <f>A69-'Mastercurve bestimmen'!$B$2</f>
        <v>-66</v>
      </c>
      <c r="F69" s="11">
        <f t="shared" si="4"/>
        <v>-14.730217469039962</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-14.472264345318489</v>
      </c>
      <c r="E70" s="11">
        <f>A70-'Mastercurve bestimmen'!$B$2</f>
        <v>-65</v>
      </c>
      <c r="F70" s="11">
        <f t="shared" si="4"/>
        <v>-14.472264345318489</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-14.213331651025619</v>
      </c>
      <c r="E71" s="11">
        <f>A71-'Mastercurve bestimmen'!$B$2</f>
        <v>-64</v>
      </c>
      <c r="F71" s="11">
        <f t="shared" si="4"/>
        <v>-14.213331651025619</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-13.953965232601995</v>
      </c>
      <c r="E72" s="11">
        <f>A72-'Mastercurve bestimmen'!$B$2</f>
        <v>-63</v>
      </c>
      <c r="F72" s="11">
        <f t="shared" si="4"/>
        <v>-13.953965232601995</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-13.694710936488246</v>
      </c>
      <c r="E73" s="11">
        <f>A73-'Mastercurve bestimmen'!$B$2</f>
        <v>-62</v>
      </c>
      <c r="F73" s="11">
        <f t="shared" si="4"/>
        <v>-13.694710936488246</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-13.436114609125017</v>
      </c>
      <c r="E74" s="11">
        <f>A74-'Mastercurve bestimmen'!$B$2</f>
        <v>-61</v>
      </c>
      <c r="F74" s="11">
        <f t="shared" si="4"/>
        <v>-13.436114609125017</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-13.178722096952939</v>
      </c>
      <c r="E75" s="11">
        <f>A75-'Mastercurve bestimmen'!$B$2</f>
        <v>-60</v>
      </c>
      <c r="F75" s="11">
        <f t="shared" si="4"/>
        <v>-13.178722096952939</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-12.923079246412653</v>
      </c>
      <c r="E76" s="11">
        <f>A76-'Mastercurve bestimmen'!$B$2</f>
        <v>-59</v>
      </c>
      <c r="F76" s="11">
        <f t="shared" si="4"/>
        <v>-12.923079246412653</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-12.669731903944795</v>
      </c>
      <c r="E77" s="11">
        <f>A77-'Mastercurve bestimmen'!$B$2</f>
        <v>-58</v>
      </c>
      <c r="F77" s="11">
        <f t="shared" si="4"/>
        <v>-12.669731903944795</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-12.419225915990005</v>
      </c>
      <c r="E78" s="11">
        <f>A78-'Mastercurve bestimmen'!$B$2</f>
        <v>-57</v>
      </c>
      <c r="F78" s="11">
        <f t="shared" si="4"/>
        <v>-12.419225915990005</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-12.17210712898892</v>
      </c>
      <c r="E79" s="11">
        <f>A79-'Mastercurve bestimmen'!$B$2</f>
        <v>-56</v>
      </c>
      <c r="F79" s="11">
        <f t="shared" si="4"/>
        <v>-12.17210712898892</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-11.928921389382172</v>
      </c>
      <c r="E80" s="11">
        <f>A80-'Mastercurve bestimmen'!$B$2</f>
        <v>-55</v>
      </c>
      <c r="F80" s="11">
        <f t="shared" ref="F80:F143" si="10">B80</f>
        <v>-11.928921389382172</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-11.690089506983968</v>
      </c>
      <c r="E81" s="11">
        <f>A81-'Mastercurve bestimmen'!$B$2</f>
        <v>-54</v>
      </c>
      <c r="F81" s="11">
        <f t="shared" si="10"/>
        <v>-11.690089506983968</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-11.45553214510276</v>
      </c>
      <c r="E82" s="11">
        <f>A82-'Mastercurve bestimmen'!$B$2</f>
        <v>-53</v>
      </c>
      <c r="F82" s="11">
        <f t="shared" si="10"/>
        <v>-11.45553214510276</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-11.225044930420561</v>
      </c>
      <c r="E83" s="11">
        <f>A83-'Mastercurve bestimmen'!$B$2</f>
        <v>-52</v>
      </c>
      <c r="F83" s="11">
        <f t="shared" si="10"/>
        <v>-11.225044930420561</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-10.998423489619395</v>
      </c>
      <c r="E84" s="11">
        <f>A84-'Mastercurve bestimmen'!$B$2</f>
        <v>-51</v>
      </c>
      <c r="F84" s="11">
        <f t="shared" si="10"/>
        <v>-10.998423489619395</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-10.775463449381276</v>
      </c>
      <c r="E85" s="11">
        <f>A85-'Mastercurve bestimmen'!$B$2</f>
        <v>-50</v>
      </c>
      <c r="F85" s="11">
        <f t="shared" si="10"/>
        <v>-10.775463449381276</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-10.555960436388222</v>
      </c>
      <c r="E86" s="11">
        <f>A86-'Mastercurve bestimmen'!$B$2</f>
        <v>-49</v>
      </c>
      <c r="F86" s="11">
        <f t="shared" si="10"/>
        <v>-10.555960436388222</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-10.339710077322248</v>
      </c>
      <c r="E87" s="11">
        <f>A87-'Mastercurve bestimmen'!$B$2</f>
        <v>-48</v>
      </c>
      <c r="F87" s="11">
        <f t="shared" si="10"/>
        <v>-10.339710077322248</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-10.126507998865373</v>
      </c>
      <c r="E88" s="11">
        <f>A88-'Mastercurve bestimmen'!$B$2</f>
        <v>-47</v>
      </c>
      <c r="F88" s="11">
        <f t="shared" si="10"/>
        <v>-10.126507998865373</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-9.9161498276996127</v>
      </c>
      <c r="E89" s="11">
        <f>A89-'Mastercurve bestimmen'!$B$2</f>
        <v>-46</v>
      </c>
      <c r="F89" s="11">
        <f t="shared" si="10"/>
        <v>-9.9161498276996127</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-9.7084311905069871</v>
      </c>
      <c r="E90" s="11">
        <f>A90-'Mastercurve bestimmen'!$B$2</f>
        <v>-45</v>
      </c>
      <c r="F90" s="11">
        <f t="shared" si="10"/>
        <v>-9.7084311905069871</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-9.5031477139695113</v>
      </c>
      <c r="E91" s="11">
        <f>A91-'Mastercurve bestimmen'!$B$2</f>
        <v>-44</v>
      </c>
      <c r="F91" s="11">
        <f t="shared" si="10"/>
        <v>-9.5031477139695113</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-9.3000950247692042</v>
      </c>
      <c r="E92" s="11">
        <f>A92-'Mastercurve bestimmen'!$B$2</f>
        <v>-43</v>
      </c>
      <c r="F92" s="11">
        <f t="shared" si="10"/>
        <v>-9.3000950247692042</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-9.0990687495880813</v>
      </c>
      <c r="E93" s="11">
        <f>A93-'Mastercurve bestimmen'!$B$2</f>
        <v>-42</v>
      </c>
      <c r="F93" s="11">
        <f t="shared" si="10"/>
        <v>-9.0990687495880813</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-8.8998645151081597</v>
      </c>
      <c r="E94" s="11">
        <f>A94-'Mastercurve bestimmen'!$B$2</f>
        <v>-41</v>
      </c>
      <c r="F94" s="11">
        <f t="shared" si="10"/>
        <v>-8.8998645151081597</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-8.7022779480114565</v>
      </c>
      <c r="E95" s="11">
        <f>A95-'Mastercurve bestimmen'!$B$2</f>
        <v>-40</v>
      </c>
      <c r="F95" s="11">
        <f t="shared" si="10"/>
        <v>-8.7022779480114565</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-8.5061046749799907</v>
      </c>
      <c r="E96" s="11">
        <f>A96-'Mastercurve bestimmen'!$B$2</f>
        <v>-39</v>
      </c>
      <c r="F96" s="11">
        <f t="shared" si="10"/>
        <v>-8.5061046749799907</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-8.3111403226957776</v>
      </c>
      <c r="E97" s="11">
        <f>A97-'Mastercurve bestimmen'!$B$2</f>
        <v>-38</v>
      </c>
      <c r="F97" s="11">
        <f t="shared" si="10"/>
        <v>-8.3111403226957776</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-8.1171805178408345</v>
      </c>
      <c r="E98" s="11">
        <f>A98-'Mastercurve bestimmen'!$B$2</f>
        <v>-37</v>
      </c>
      <c r="F98" s="11">
        <f t="shared" si="10"/>
        <v>-8.1171805178408345</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-7.9240208870971811</v>
      </c>
      <c r="E99" s="11">
        <f>A99-'Mastercurve bestimmen'!$B$2</f>
        <v>-36</v>
      </c>
      <c r="F99" s="11">
        <f t="shared" si="10"/>
        <v>-7.9240208870971811</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-7.7314570571468302</v>
      </c>
      <c r="E100" s="11">
        <f>A100-'Mastercurve bestimmen'!$B$2</f>
        <v>-35</v>
      </c>
      <c r="F100" s="11">
        <f t="shared" si="10"/>
        <v>-7.7314570571468302</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-7.5392846546718042</v>
      </c>
      <c r="E101" s="11">
        <f>A101-'Mastercurve bestimmen'!$B$2</f>
        <v>-34</v>
      </c>
      <c r="F101" s="11">
        <f t="shared" si="10"/>
        <v>-7.5392846546718042</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-7.3472993063541159</v>
      </c>
      <c r="E102" s="11">
        <f>A102-'Mastercurve bestimmen'!$B$2</f>
        <v>-33</v>
      </c>
      <c r="F102" s="11">
        <f t="shared" si="10"/>
        <v>-7.3472993063541159</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-7.155296638875785</v>
      </c>
      <c r="E103" s="11">
        <f>A103-'Mastercurve bestimmen'!$B$2</f>
        <v>-32</v>
      </c>
      <c r="F103" s="11">
        <f t="shared" si="10"/>
        <v>-7.155296638875785</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-6.9630722789188289</v>
      </c>
      <c r="E104" s="11">
        <f>A104-'Mastercurve bestimmen'!$B$2</f>
        <v>-31</v>
      </c>
      <c r="F104" s="11">
        <f t="shared" si="10"/>
        <v>-6.9630722789188289</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-6.7704218531652618</v>
      </c>
      <c r="E105" s="11">
        <f>A105-'Mastercurve bestimmen'!$B$2</f>
        <v>-30</v>
      </c>
      <c r="F105" s="11">
        <f t="shared" si="10"/>
        <v>-6.7704218531652618</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-6.57714916989607</v>
      </c>
      <c r="E106" s="11">
        <f>A106-'Mastercurve bestimmen'!$B$2</f>
        <v>-29</v>
      </c>
      <c r="F106" s="11">
        <f t="shared" si="10"/>
        <v>-6.57714916989607</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-6.3830907637880951</v>
      </c>
      <c r="E107" s="11">
        <f>A107-'Mastercurve bestimmen'!$B$2</f>
        <v>-28</v>
      </c>
      <c r="F107" s="11">
        <f t="shared" si="10"/>
        <v>-6.3830907637880951</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-6.1880913511171425</v>
      </c>
      <c r="E108" s="11">
        <f>A108-'Mastercurve bestimmen'!$B$2</f>
        <v>-27</v>
      </c>
      <c r="F108" s="11">
        <f t="shared" si="10"/>
        <v>-6.1880913511171425</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-5.9919956481590226</v>
      </c>
      <c r="E109" s="11">
        <f>A109-'Mastercurve bestimmen'!$B$2</f>
        <v>-26</v>
      </c>
      <c r="F109" s="11">
        <f t="shared" si="10"/>
        <v>-5.9919956481590226</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-5.7946483711895453</v>
      </c>
      <c r="E110" s="11">
        <f>A110-'Mastercurve bestimmen'!$B$2</f>
        <v>-25</v>
      </c>
      <c r="F110" s="11">
        <f t="shared" si="10"/>
        <v>-5.7946483711895453</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-5.5958942364845177</v>
      </c>
      <c r="E111" s="11">
        <f>A111-'Mastercurve bestimmen'!$B$2</f>
        <v>-24</v>
      </c>
      <c r="F111" s="11">
        <f t="shared" si="10"/>
        <v>-5.5958942364845177</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-5.3955779603197467</v>
      </c>
      <c r="E112" s="11">
        <f>A112-'Mastercurve bestimmen'!$B$2</f>
        <v>-23</v>
      </c>
      <c r="F112" s="11">
        <f t="shared" si="10"/>
        <v>-5.3955779603197467</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-5.1935442589710412</v>
      </c>
      <c r="E113" s="11">
        <f>A113-'Mastercurve bestimmen'!$B$2</f>
        <v>-22</v>
      </c>
      <c r="F113" s="11">
        <f t="shared" si="10"/>
        <v>-5.1935442589710412</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-4.9896378487142092</v>
      </c>
      <c r="E114" s="11">
        <f>A114-'Mastercurve bestimmen'!$B$2</f>
        <v>-21</v>
      </c>
      <c r="F114" s="11">
        <f t="shared" si="10"/>
        <v>-4.9896378487142092</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-4.7837034458250614</v>
      </c>
      <c r="E115" s="11">
        <f>A115-'Mastercurve bestimmen'!$B$2</f>
        <v>-20</v>
      </c>
      <c r="F115" s="11">
        <f t="shared" si="10"/>
        <v>-4.7837034458250614</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-4.5755857665794029</v>
      </c>
      <c r="E116" s="11">
        <f>A116-'Mastercurve bestimmen'!$B$2</f>
        <v>-19</v>
      </c>
      <c r="F116" s="11">
        <f t="shared" si="10"/>
        <v>-4.5755857665794029</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-4.3651295272530426</v>
      </c>
      <c r="E117" s="11">
        <f>A117-'Mastercurve bestimmen'!$B$2</f>
        <v>-18</v>
      </c>
      <c r="F117" s="11">
        <f t="shared" si="10"/>
        <v>-4.3651295272530426</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-4.1521794441217885</v>
      </c>
      <c r="E118" s="11">
        <f>A118-'Mastercurve bestimmen'!$B$2</f>
        <v>-17</v>
      </c>
      <c r="F118" s="11">
        <f t="shared" si="10"/>
        <v>-4.1521794441217885</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-3.9365802334614513</v>
      </c>
      <c r="E119" s="11">
        <f>A119-'Mastercurve bestimmen'!$B$2</f>
        <v>-16</v>
      </c>
      <c r="F119" s="11">
        <f t="shared" si="10"/>
        <v>-3.9365802334614513</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-3.7181766115478365</v>
      </c>
      <c r="E120" s="11">
        <f>A120-'Mastercurve bestimmen'!$B$2</f>
        <v>-15</v>
      </c>
      <c r="F120" s="11">
        <f t="shared" si="10"/>
        <v>-3.7181766115478365</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-3.4968132946567536</v>
      </c>
      <c r="E121" s="11">
        <f>A121-'Mastercurve bestimmen'!$B$2</f>
        <v>-14</v>
      </c>
      <c r="F121" s="11">
        <f t="shared" si="10"/>
        <v>-3.4968132946567536</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-3.2723349990640092</v>
      </c>
      <c r="E122" s="11">
        <f>A122-'Mastercurve bestimmen'!$B$2</f>
        <v>-13</v>
      </c>
      <c r="F122" s="11">
        <f t="shared" si="10"/>
        <v>-3.2723349990640092</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-3.0445864410454142</v>
      </c>
      <c r="E123" s="11">
        <f>A123-'Mastercurve bestimmen'!$B$2</f>
        <v>-12</v>
      </c>
      <c r="F123" s="11">
        <f t="shared" si="10"/>
        <v>-3.0445864410454142</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-2.8134123368767745</v>
      </c>
      <c r="E124" s="11">
        <f>A124-'Mastercurve bestimmen'!$B$2</f>
        <v>-11</v>
      </c>
      <c r="F124" s="11">
        <f t="shared" si="10"/>
        <v>-2.8134123368767745</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-2.5786574028338993</v>
      </c>
      <c r="E125" s="11">
        <f>A125-'Mastercurve bestimmen'!$B$2</f>
        <v>-10</v>
      </c>
      <c r="F125" s="11">
        <f t="shared" si="10"/>
        <v>-2.5786574028338993</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-2.3401663551925975</v>
      </c>
      <c r="E126" s="11">
        <f>A126-'Mastercurve bestimmen'!$B$2</f>
        <v>-9</v>
      </c>
      <c r="F126" s="11">
        <f t="shared" si="10"/>
        <v>-2.3401663551925975</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-2.0977839102286757</v>
      </c>
      <c r="E127" s="11">
        <f>A127-'Mastercurve bestimmen'!$B$2</f>
        <v>-8</v>
      </c>
      <c r="F127" s="11">
        <f t="shared" si="10"/>
        <v>-2.0977839102286757</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-1.8513547842179432</v>
      </c>
      <c r="E128" s="11">
        <f>A128-'Mastercurve bestimmen'!$B$2</f>
        <v>-7</v>
      </c>
      <c r="F128" s="11">
        <f t="shared" si="10"/>
        <v>-1.8513547842179432</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-1.6007236934362079</v>
      </c>
      <c r="E129" s="11">
        <f>A129-'Mastercurve bestimmen'!$B$2</f>
        <v>-6</v>
      </c>
      <c r="F129" s="11">
        <f t="shared" si="10"/>
        <v>-1.6007236934362079</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-1.3457353541592783</v>
      </c>
      <c r="E130" s="11">
        <f>A130-'Mastercurve bestimmen'!$B$2</f>
        <v>-5</v>
      </c>
      <c r="F130" s="11">
        <f t="shared" si="10"/>
        <v>-1.3457353541592783</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-1.0862344826629622</v>
      </c>
      <c r="E131" s="11">
        <f>A131-'Mastercurve bestimmen'!$B$2</f>
        <v>-4</v>
      </c>
      <c r="F131" s="11">
        <f t="shared" si="10"/>
        <v>-1.0862344826629622</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-0.82206579522306811</v>
      </c>
      <c r="E132" s="11">
        <f>A132-'Mastercurve bestimmen'!$B$2</f>
        <v>-3</v>
      </c>
      <c r="F132" s="11">
        <f t="shared" si="10"/>
        <v>-0.82206579522306811</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-0.55307400811540441</v>
      </c>
      <c r="E133" s="11">
        <f>A133-'Mastercurve bestimmen'!$B$2</f>
        <v>-2</v>
      </c>
      <c r="F133" s="11">
        <f t="shared" si="10"/>
        <v>-0.55307400811540441</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-0.27910383761577895</v>
      </c>
      <c r="E134" s="11">
        <f>A134-'Mastercurve bestimmen'!$B$2</f>
        <v>-1</v>
      </c>
      <c r="F134" s="11">
        <f t="shared" si="10"/>
        <v>-0.27910383761577895</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0.28434779006006278</v>
      </c>
      <c r="E136" s="11">
        <f>A136-'Mastercurve bestimmen'!$B$2</f>
        <v>1</v>
      </c>
      <c r="F136" s="11">
        <f t="shared" si="10"/>
        <v>0.28434779006006278</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0.57386982430829525</v>
      </c>
      <c r="E137" s="11">
        <f>A137-'Mastercurve bestimmen'!$B$2</f>
        <v>2</v>
      </c>
      <c r="F137" s="11">
        <f t="shared" si="10"/>
        <v>0.57386982430829525</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0.86845139609252175</v>
      </c>
      <c r="E138" s="11">
        <f>A138-'Mastercurve bestimmen'!$B$2</f>
        <v>3</v>
      </c>
      <c r="F138" s="11">
        <f t="shared" si="10"/>
        <v>0.86845139609252175</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1.1679777987605671</v>
      </c>
      <c r="E139" s="11">
        <f>A139-'Mastercurve bestimmen'!$B$2</f>
        <v>4</v>
      </c>
      <c r="F139" s="11">
        <f t="shared" si="10"/>
        <v>1.1679777987605671</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1.4723343256602548</v>
      </c>
      <c r="E140" s="11">
        <f>A140-'Mastercurve bestimmen'!$B$2</f>
        <v>5</v>
      </c>
      <c r="F140" s="11">
        <f t="shared" si="10"/>
        <v>1.4723343256602548</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1.7814062701394102</v>
      </c>
      <c r="E141" s="11">
        <f>A141-'Mastercurve bestimmen'!$B$2</f>
        <v>6</v>
      </c>
      <c r="F141" s="11">
        <f t="shared" si="10"/>
        <v>1.7814062701394102</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2.0950789255458573</v>
      </c>
      <c r="E142" s="11">
        <f>A142-'Mastercurve bestimmen'!$B$2</f>
        <v>7</v>
      </c>
      <c r="F142" s="11">
        <f t="shared" si="10"/>
        <v>2.0950789255458573</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2.4132375852274208</v>
      </c>
      <c r="E143" s="11">
        <f>A143-'Mastercurve bestimmen'!$B$2</f>
        <v>8</v>
      </c>
      <c r="F143" s="11">
        <f t="shared" si="10"/>
        <v>2.4132375852274208</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2.7357675425319252</v>
      </c>
      <c r="E144" s="11">
        <f>A144-'Mastercurve bestimmen'!$B$2</f>
        <v>9</v>
      </c>
      <c r="F144" s="11">
        <f t="shared" ref="F144:F207" si="15">B144</f>
        <v>2.7357675425319252</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3.0625540908071942</v>
      </c>
      <c r="E145" s="11">
        <f>A145-'Mastercurve bestimmen'!$B$2</f>
        <v>10</v>
      </c>
      <c r="F145" s="11">
        <f t="shared" si="15"/>
        <v>3.0625540908071942</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3.3934825234010533</v>
      </c>
      <c r="E146" s="11">
        <f>A146-'Mastercurve bestimmen'!$B$2</f>
        <v>11</v>
      </c>
      <c r="F146" s="11">
        <f t="shared" si="15"/>
        <v>3.3934825234010533</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3.7284381336613257</v>
      </c>
      <c r="E147" s="11">
        <f>A147-'Mastercurve bestimmen'!$B$2</f>
        <v>12</v>
      </c>
      <c r="F147" s="11">
        <f t="shared" si="15"/>
        <v>3.7284381336613257</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4.0673062149358374</v>
      </c>
      <c r="E148" s="11">
        <f>A148-'Mastercurve bestimmen'!$B$2</f>
        <v>13</v>
      </c>
      <c r="F148" s="11">
        <f t="shared" si="15"/>
        <v>4.0673062149358374</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4.4099720605724118</v>
      </c>
      <c r="E149" s="11">
        <f>A149-'Mastercurve bestimmen'!$B$2</f>
        <v>14</v>
      </c>
      <c r="F149" s="11">
        <f t="shared" si="15"/>
        <v>4.4099720605724118</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4.7563209639188733</v>
      </c>
      <c r="E150" s="11">
        <f>A150-'Mastercurve bestimmen'!$B$2</f>
        <v>15</v>
      </c>
      <c r="F150" s="11">
        <f t="shared" si="15"/>
        <v>4.7563209639188733</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5.1062382183230461</v>
      </c>
      <c r="E151" s="11">
        <f>A151-'Mastercurve bestimmen'!$B$2</f>
        <v>16</v>
      </c>
      <c r="F151" s="11">
        <f t="shared" si="15"/>
        <v>5.1062382183230461</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5.4596091171327554</v>
      </c>
      <c r="E152" s="11">
        <f>A152-'Mastercurve bestimmen'!$B$2</f>
        <v>17</v>
      </c>
      <c r="F152" s="11">
        <f t="shared" si="15"/>
        <v>5.4596091171327554</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5.8163189536958262</v>
      </c>
      <c r="E153" s="11">
        <f>A153-'Mastercurve bestimmen'!$B$2</f>
        <v>18</v>
      </c>
      <c r="F153" s="11">
        <f t="shared" si="15"/>
        <v>5.8163189536958262</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6.1762530213600808</v>
      </c>
      <c r="E154" s="11">
        <f>A154-'Mastercurve bestimmen'!$B$2</f>
        <v>19</v>
      </c>
      <c r="F154" s="11">
        <f t="shared" si="15"/>
        <v>6.1762530213600808</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6.5392966134733461</v>
      </c>
      <c r="E155" s="11">
        <f>A155-'Mastercurve bestimmen'!$B$2</f>
        <v>20</v>
      </c>
      <c r="F155" s="11">
        <f t="shared" si="15"/>
        <v>6.5392966134733461</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6.9053350233834454</v>
      </c>
      <c r="E156" s="11">
        <f>A156-'Mastercurve bestimmen'!$B$2</f>
        <v>21</v>
      </c>
      <c r="F156" s="11">
        <f t="shared" si="15"/>
        <v>6.9053350233834454</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7.2742535444382028</v>
      </c>
      <c r="E157" s="11">
        <f>A157-'Mastercurve bestimmen'!$B$2</f>
        <v>22</v>
      </c>
      <c r="F157" s="11">
        <f t="shared" si="15"/>
        <v>7.2742535444382028</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7.6459374699854425</v>
      </c>
      <c r="E158" s="11">
        <f>A158-'Mastercurve bestimmen'!$B$2</f>
        <v>23</v>
      </c>
      <c r="F158" s="11">
        <f t="shared" si="15"/>
        <v>7.6459374699854425</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8.0202720933729896</v>
      </c>
      <c r="E159" s="11">
        <f>A159-'Mastercurve bestimmen'!$B$2</f>
        <v>24</v>
      </c>
      <c r="F159" s="11">
        <f t="shared" si="15"/>
        <v>8.0202720933729896</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8.3971427079486674</v>
      </c>
      <c r="E160" s="11">
        <f>A160-'Mastercurve bestimmen'!$B$2</f>
        <v>25</v>
      </c>
      <c r="F160" s="11">
        <f t="shared" si="15"/>
        <v>8.3971427079486674</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8.7764346070603043</v>
      </c>
      <c r="E161" s="11">
        <f>A161-'Mastercurve bestimmen'!$B$2</f>
        <v>26</v>
      </c>
      <c r="F161" s="11">
        <f t="shared" si="15"/>
        <v>8.7764346070603043</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9.1580330840557203</v>
      </c>
      <c r="E162" s="11">
        <f>A162-'Mastercurve bestimmen'!$B$2</f>
        <v>27</v>
      </c>
      <c r="F162" s="11">
        <f t="shared" si="15"/>
        <v>9.1580330840557203</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9.5418234322827402</v>
      </c>
      <c r="E163" s="11">
        <f>A163-'Mastercurve bestimmen'!$B$2</f>
        <v>28</v>
      </c>
      <c r="F163" s="11">
        <f t="shared" si="15"/>
        <v>9.5418234322827402</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9.927690945089191</v>
      </c>
      <c r="E164" s="11">
        <f>A164-'Mastercurve bestimmen'!$B$2</f>
        <v>29</v>
      </c>
      <c r="F164" s="11">
        <f t="shared" si="15"/>
        <v>9.927690945089191</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10.315520915822896</v>
      </c>
      <c r="E165" s="11">
        <f>A165-'Mastercurve bestimmen'!$B$2</f>
        <v>30</v>
      </c>
      <c r="F165" s="11">
        <f t="shared" si="15"/>
        <v>10.315520915822896</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10.705198637831678</v>
      </c>
      <c r="E166" s="11">
        <f>A166-'Mastercurve bestimmen'!$B$2</f>
        <v>31</v>
      </c>
      <c r="F166" s="11">
        <f t="shared" si="15"/>
        <v>10.705198637831678</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11.096609404463365</v>
      </c>
      <c r="E167" s="11">
        <f>A167-'Mastercurve bestimmen'!$B$2</f>
        <v>32</v>
      </c>
      <c r="F167" s="11">
        <f t="shared" si="15"/>
        <v>11.096609404463365</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11.489638509065777</v>
      </c>
      <c r="E168" s="11">
        <f>A168-'Mastercurve bestimmen'!$B$2</f>
        <v>33</v>
      </c>
      <c r="F168" s="11">
        <f t="shared" si="15"/>
        <v>11.489638509065777</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11.88417124498674</v>
      </c>
      <c r="E169" s="11">
        <f>A169-'Mastercurve bestimmen'!$B$2</f>
        <v>34</v>
      </c>
      <c r="F169" s="11">
        <f t="shared" si="15"/>
        <v>11.88417124498674</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12.280092905574083</v>
      </c>
      <c r="E170" s="11">
        <f>A170-'Mastercurve bestimmen'!$B$2</f>
        <v>35</v>
      </c>
      <c r="F170" s="11">
        <f t="shared" si="15"/>
        <v>12.280092905574083</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12.677288784175623</v>
      </c>
      <c r="E171" s="11">
        <f>A171-'Mastercurve bestimmen'!$B$2</f>
        <v>36</v>
      </c>
      <c r="F171" s="11">
        <f t="shared" si="15"/>
        <v>12.677288784175623</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13.075644174139189</v>
      </c>
      <c r="E172" s="11">
        <f>A172-'Mastercurve bestimmen'!$B$2</f>
        <v>37</v>
      </c>
      <c r="F172" s="11">
        <f t="shared" si="15"/>
        <v>13.075644174139189</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13.475044368812606</v>
      </c>
      <c r="E173" s="11">
        <f>A173-'Mastercurve bestimmen'!$B$2</f>
        <v>38</v>
      </c>
      <c r="F173" s="11">
        <f t="shared" si="15"/>
        <v>13.475044368812606</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13.875374661543695</v>
      </c>
      <c r="E174" s="11">
        <f>A174-'Mastercurve bestimmen'!$B$2</f>
        <v>39</v>
      </c>
      <c r="F174" s="11">
        <f t="shared" si="15"/>
        <v>13.875374661543695</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14.276520345680284</v>
      </c>
      <c r="E175" s="11">
        <f>A175-'Mastercurve bestimmen'!$B$2</f>
        <v>40</v>
      </c>
      <c r="F175" s="11">
        <f t="shared" si="15"/>
        <v>14.276520345680284</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14.678366714570194</v>
      </c>
      <c r="E176" s="11">
        <f>A176-'Mastercurve bestimmen'!$B$2</f>
        <v>41</v>
      </c>
      <c r="F176" s="11">
        <f t="shared" si="15"/>
        <v>14.678366714570194</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15.080799061561251</v>
      </c>
      <c r="E177" s="11">
        <f>A177-'Mastercurve bestimmen'!$B$2</f>
        <v>42</v>
      </c>
      <c r="F177" s="11">
        <f t="shared" si="15"/>
        <v>15.080799061561251</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15.483702680001281</v>
      </c>
      <c r="E178" s="11">
        <f>A178-'Mastercurve bestimmen'!$B$2</f>
        <v>43</v>
      </c>
      <c r="F178" s="11">
        <f t="shared" si="15"/>
        <v>15.483702680001281</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15.886962863238107</v>
      </c>
      <c r="E179" s="11">
        <f>A179-'Mastercurve bestimmen'!$B$2</f>
        <v>44</v>
      </c>
      <c r="F179" s="11">
        <f t="shared" si="15"/>
        <v>15.886962863238107</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16.290464904619554</v>
      </c>
      <c r="E180" s="11">
        <f>A180-'Mastercurve bestimmen'!$B$2</f>
        <v>45</v>
      </c>
      <c r="F180" s="11">
        <f t="shared" si="15"/>
        <v>16.290464904619554</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16.69411260978551</v>
      </c>
      <c r="E181" s="11">
        <f>A181-'Mastercurve bestimmen'!$B$2</f>
        <v>46</v>
      </c>
      <c r="F181" s="11">
        <f t="shared" si="15"/>
        <v>16.69411260978551</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17.097883833544127</v>
      </c>
      <c r="E182" s="11">
        <f>A182-'Mastercurve bestimmen'!$B$2</f>
        <v>47</v>
      </c>
      <c r="F182" s="11">
        <f t="shared" si="15"/>
        <v>17.097883833544127</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17.501774942995624</v>
      </c>
      <c r="E183" s="11">
        <f>A183-'Mastercurve bestimmen'!$B$2</f>
        <v>48</v>
      </c>
      <c r="F183" s="11">
        <f t="shared" si="15"/>
        <v>17.501774942995624</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17.905782305240209</v>
      </c>
      <c r="E184" s="11">
        <f>A184-'Mastercurve bestimmen'!$B$2</f>
        <v>49</v>
      </c>
      <c r="F184" s="11">
        <f t="shared" si="15"/>
        <v>17.905782305240209</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18.309902287378105</v>
      </c>
      <c r="E185" s="11">
        <f>A185-'Mastercurve bestimmen'!$B$2</f>
        <v>50</v>
      </c>
      <c r="F185" s="11">
        <f t="shared" si="15"/>
        <v>18.309902287378105</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18.714131256509525</v>
      </c>
      <c r="E186" s="11">
        <f>A186-'Mastercurve bestimmen'!$B$2</f>
        <v>51</v>
      </c>
      <c r="F186" s="11">
        <f t="shared" si="15"/>
        <v>18.714131256509525</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19.118465579734682</v>
      </c>
      <c r="E187" s="11">
        <f>A187-'Mastercurve bestimmen'!$B$2</f>
        <v>52</v>
      </c>
      <c r="F187" s="11">
        <f t="shared" si="15"/>
        <v>19.118465579734682</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19.522901624153796</v>
      </c>
      <c r="E188" s="11">
        <f>A188-'Mastercurve bestimmen'!$B$2</f>
        <v>53</v>
      </c>
      <c r="F188" s="11">
        <f t="shared" si="15"/>
        <v>19.522901624153796</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19.927435756867084</v>
      </c>
      <c r="E189" s="11">
        <f>A189-'Mastercurve bestimmen'!$B$2</f>
        <v>54</v>
      </c>
      <c r="F189" s="11">
        <f t="shared" si="15"/>
        <v>19.927435756867084</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20.332064344974761</v>
      </c>
      <c r="E190" s="11">
        <f>A190-'Mastercurve bestimmen'!$B$2</f>
        <v>55</v>
      </c>
      <c r="F190" s="11">
        <f t="shared" si="15"/>
        <v>20.332064344974761</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20.736783755577036</v>
      </c>
      <c r="E191" s="11">
        <f>A191-'Mastercurve bestimmen'!$B$2</f>
        <v>56</v>
      </c>
      <c r="F191" s="11">
        <f t="shared" si="15"/>
        <v>20.736783755577036</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21.141590355774134</v>
      </c>
      <c r="E192" s="11">
        <f>A192-'Mastercurve bestimmen'!$B$2</f>
        <v>57</v>
      </c>
      <c r="F192" s="11">
        <f t="shared" si="15"/>
        <v>21.141590355774134</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21.546480512666271</v>
      </c>
      <c r="E193" s="11">
        <f>A193-'Mastercurve bestimmen'!$B$2</f>
        <v>58</v>
      </c>
      <c r="F193" s="11">
        <f t="shared" si="15"/>
        <v>21.546480512666271</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21.951450593353652</v>
      </c>
      <c r="E194" s="11">
        <f>A194-'Mastercurve bestimmen'!$B$2</f>
        <v>59</v>
      </c>
      <c r="F194" s="11">
        <f t="shared" si="15"/>
        <v>21.951450593353652</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22.356496964936504</v>
      </c>
      <c r="E195" s="11">
        <f>A195-'Mastercurve bestimmen'!$B$2</f>
        <v>60</v>
      </c>
      <c r="F195" s="11">
        <f t="shared" si="15"/>
        <v>22.356496964936504</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22.76161599451504</v>
      </c>
      <c r="E196" s="11">
        <f>A196-'Mastercurve bestimmen'!$B$2</f>
        <v>61</v>
      </c>
      <c r="F196" s="11">
        <f t="shared" si="15"/>
        <v>22.76161599451504</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23.166804049189473</v>
      </c>
      <c r="E197" s="11">
        <f>A197-'Mastercurve bestimmen'!$B$2</f>
        <v>62</v>
      </c>
      <c r="F197" s="11">
        <f t="shared" si="15"/>
        <v>23.166804049189473</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23.572057496060019</v>
      </c>
      <c r="E198" s="11">
        <f>A198-'Mastercurve bestimmen'!$B$2</f>
        <v>63</v>
      </c>
      <c r="F198" s="11">
        <f t="shared" si="15"/>
        <v>23.572057496060019</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23.977372702226894</v>
      </c>
      <c r="E199" s="11">
        <f>A199-'Mastercurve bestimmen'!$B$2</f>
        <v>64</v>
      </c>
      <c r="F199" s="11">
        <f t="shared" si="15"/>
        <v>23.977372702226894</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24.382746034790323</v>
      </c>
      <c r="E200" s="11">
        <f>A200-'Mastercurve bestimmen'!$B$2</f>
        <v>65</v>
      </c>
      <c r="F200" s="11">
        <f t="shared" si="15"/>
        <v>24.382746034790323</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24.788173860850506</v>
      </c>
      <c r="E201" s="11">
        <f>A201-'Mastercurve bestimmen'!$B$2</f>
        <v>66</v>
      </c>
      <c r="F201" s="11">
        <f t="shared" si="15"/>
        <v>24.788173860850506</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25.193652547507668</v>
      </c>
      <c r="E202" s="11">
        <f>A202-'Mastercurve bestimmen'!$B$2</f>
        <v>67</v>
      </c>
      <c r="F202" s="11">
        <f t="shared" si="15"/>
        <v>25.193652547507668</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25.599178461862028</v>
      </c>
      <c r="E203" s="11">
        <f>A203-'Mastercurve bestimmen'!$B$2</f>
        <v>68</v>
      </c>
      <c r="F203" s="11">
        <f t="shared" si="15"/>
        <v>25.599178461862028</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26.004747971013799</v>
      </c>
      <c r="E204" s="11">
        <f>A204-'Mastercurve bestimmen'!$B$2</f>
        <v>69</v>
      </c>
      <c r="F204" s="11">
        <f t="shared" si="15"/>
        <v>26.004747971013799</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26.410357442063187</v>
      </c>
      <c r="E205" s="11">
        <f>A205-'Mastercurve bestimmen'!$B$2</f>
        <v>70</v>
      </c>
      <c r="F205" s="11">
        <f t="shared" si="15"/>
        <v>26.410357442063187</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26.816003242110426</v>
      </c>
      <c r="E206" s="11">
        <f>A206-'Mastercurve bestimmen'!$B$2</f>
        <v>71</v>
      </c>
      <c r="F206" s="11">
        <f t="shared" si="15"/>
        <v>26.816003242110426</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27.221681738255718</v>
      </c>
      <c r="E207" s="11">
        <f>A207-'Mastercurve bestimmen'!$B$2</f>
        <v>72</v>
      </c>
      <c r="F207" s="11">
        <f t="shared" si="15"/>
        <v>27.221681738255718</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27.627389297599279</v>
      </c>
      <c r="E208" s="11">
        <f>A208-'Mastercurve bestimmen'!$B$2</f>
        <v>73</v>
      </c>
      <c r="F208" s="11">
        <f t="shared" ref="F208:F215" si="21">B208</f>
        <v>27.627389297599279</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28.033122287241337</v>
      </c>
      <c r="E209" s="11">
        <f>A209-'Mastercurve bestimmen'!$B$2</f>
        <v>74</v>
      </c>
      <c r="F209" s="11">
        <f t="shared" si="21"/>
        <v>28.033122287241337</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28.438877074282097</v>
      </c>
      <c r="E210" s="11">
        <f>A210-'Mastercurve bestimmen'!$B$2</f>
        <v>75</v>
      </c>
      <c r="F210" s="11">
        <f t="shared" si="21"/>
        <v>28.438877074282097</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28.844650025821775</v>
      </c>
      <c r="E211" s="11">
        <f>A211-'Mastercurve bestimmen'!$B$2</f>
        <v>76</v>
      </c>
      <c r="F211" s="11">
        <f t="shared" si="21"/>
        <v>28.844650025821775</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29.250437508960591</v>
      </c>
      <c r="E212" s="11">
        <f>A212-'Mastercurve bestimmen'!$B$2</f>
        <v>77</v>
      </c>
      <c r="F212" s="11">
        <f t="shared" si="21"/>
        <v>29.250437508960591</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29.656235890798762</v>
      </c>
      <c r="E213" s="11">
        <f>A213-'Mastercurve bestimmen'!$B$2</f>
        <v>78</v>
      </c>
      <c r="F213" s="11">
        <f t="shared" si="21"/>
        <v>29.656235890798762</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30.062041538436496</v>
      </c>
      <c r="E214" s="11">
        <f>A214-'Mastercurve bestimmen'!$B$2</f>
        <v>79</v>
      </c>
      <c r="F214" s="11">
        <f t="shared" si="21"/>
        <v>30.062041538436496</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30.467850818974018</v>
      </c>
      <c r="E215" s="11">
        <f>A215-'Mastercurve bestimmen'!$B$2</f>
        <v>80</v>
      </c>
      <c r="F215" s="11">
        <f t="shared" si="21"/>
        <v>30.467850818974018</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0.28062327447554514</v>
      </c>
      <c r="J217" s="98">
        <v>2.1683870963651627E-3</v>
      </c>
      <c r="K217" s="98">
        <v>5.5122484555287574E-6</v>
      </c>
      <c r="L217" s="98">
        <v>-3.0343157297387083E-7</v>
      </c>
      <c r="M217" s="98">
        <v>-6.8242100225649196E-10</v>
      </c>
      <c r="N217" s="98">
        <v>1.7036110974421873E-11</v>
      </c>
      <c r="O217" s="98">
        <v>7.2089581351429132E-14</v>
      </c>
      <c r="P217" s="98">
        <v>6.087687990107011E-17</v>
      </c>
    </row>
    <row r="218" spans="1:16" x14ac:dyDescent="0.25">
      <c r="G218" s="11"/>
      <c r="H218" s="11">
        <v>0</v>
      </c>
      <c r="I218" s="11">
        <v>1.0910379994058465E-3</v>
      </c>
      <c r="J218" s="11">
        <v>2.0322268345858829E-5</v>
      </c>
      <c r="K218" s="3">
        <v>1.0325661996898297E-6</v>
      </c>
      <c r="L218" s="3">
        <v>9.4018223842911487E-9</v>
      </c>
      <c r="M218" s="3">
        <v>2.9521898333222125E-10</v>
      </c>
      <c r="N218" s="3">
        <v>1.6222593355155323E-12</v>
      </c>
      <c r="O218" s="11">
        <v>2.6086874880278629E-14</v>
      </c>
      <c r="P218" s="11">
        <v>1.5863393590905149E-16</v>
      </c>
    </row>
    <row r="219" spans="1:16" x14ac:dyDescent="0.25">
      <c r="G219" s="11"/>
      <c r="H219" s="11">
        <v>0.99995769895347819</v>
      </c>
      <c r="I219" s="11">
        <v>0.11287304768508281</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-30.257787948368609</v>
      </c>
      <c r="G222">
        <f>F15</f>
        <v>-30.413945965899352</v>
      </c>
    </row>
    <row r="223" spans="1:16" x14ac:dyDescent="0.25">
      <c r="E223" s="11">
        <f t="shared" ref="E223:E286" si="25">E16</f>
        <v>-119</v>
      </c>
      <c r="F223" s="11">
        <f t="shared" ref="F223:F286" si="26">$H$217*0+E223*$I$217+E223^2*$J$217+E223^3*$K$217+E223^4*$L$217+E223^5*$M$217+E223^6*$N$217+E223^7*$O$217+E223^8*$P$217</f>
        <v>-30.074767979119525</v>
      </c>
      <c r="G223" s="11">
        <f t="shared" ref="G223:G286" si="27">F16</f>
        <v>-30.163000041454666</v>
      </c>
    </row>
    <row r="224" spans="1:16" x14ac:dyDescent="0.25">
      <c r="E224" s="11">
        <f t="shared" si="25"/>
        <v>-118</v>
      </c>
      <c r="F224" s="11">
        <f t="shared" si="26"/>
        <v>-29.879991840859713</v>
      </c>
      <c r="G224" s="11">
        <f t="shared" si="27"/>
        <v>-29.911824935330458</v>
      </c>
    </row>
    <row r="225" spans="5:7" x14ac:dyDescent="0.25">
      <c r="E225" s="11">
        <f t="shared" si="25"/>
        <v>-117</v>
      </c>
      <c r="F225" s="11">
        <f t="shared" si="26"/>
        <v>-29.674033014247467</v>
      </c>
      <c r="G225" s="11">
        <f t="shared" si="27"/>
        <v>-29.660191465847205</v>
      </c>
    </row>
    <row r="226" spans="5:7" x14ac:dyDescent="0.25">
      <c r="E226" s="11">
        <f t="shared" si="25"/>
        <v>-116</v>
      </c>
      <c r="F226" s="11">
        <f t="shared" si="26"/>
        <v>-29.457456871297556</v>
      </c>
      <c r="G226" s="11">
        <f t="shared" si="27"/>
        <v>-29.40787045132538</v>
      </c>
    </row>
    <row r="227" spans="5:7" x14ac:dyDescent="0.25">
      <c r="E227" s="11">
        <f t="shared" si="25"/>
        <v>-115</v>
      </c>
      <c r="F227" s="11">
        <f t="shared" si="26"/>
        <v>-29.230820354032502</v>
      </c>
      <c r="G227" s="11">
        <f t="shared" si="27"/>
        <v>-29.154632710085455</v>
      </c>
    </row>
    <row r="228" spans="5:7" x14ac:dyDescent="0.25">
      <c r="E228" s="11">
        <f t="shared" si="25"/>
        <v>-114</v>
      </c>
      <c r="F228" s="11">
        <f t="shared" si="26"/>
        <v>-28.994671666576874</v>
      </c>
      <c r="G228" s="11">
        <f t="shared" si="27"/>
        <v>-28.900249060447912</v>
      </c>
    </row>
    <row r="229" spans="5:7" x14ac:dyDescent="0.25">
      <c r="E229" s="11">
        <f t="shared" si="25"/>
        <v>-113</v>
      </c>
      <c r="F229" s="11">
        <f t="shared" si="26"/>
        <v>-28.749549980617203</v>
      </c>
      <c r="G229" s="11">
        <f t="shared" si="27"/>
        <v>-28.644490320733226</v>
      </c>
    </row>
    <row r="230" spans="5:7" x14ac:dyDescent="0.25">
      <c r="E230" s="11">
        <f t="shared" si="25"/>
        <v>-112</v>
      </c>
      <c r="F230" s="11">
        <f t="shared" si="26"/>
        <v>-28.495985154147572</v>
      </c>
      <c r="G230" s="11">
        <f t="shared" si="27"/>
        <v>-28.387127309261871</v>
      </c>
    </row>
    <row r="231" spans="5:7" x14ac:dyDescent="0.25">
      <c r="E231" s="11">
        <f t="shared" si="25"/>
        <v>-111</v>
      </c>
      <c r="F231" s="11">
        <f t="shared" si="26"/>
        <v>-28.234497463418883</v>
      </c>
      <c r="G231" s="11">
        <f t="shared" si="27"/>
        <v>-28.127930844354328</v>
      </c>
    </row>
    <row r="232" spans="5:7" x14ac:dyDescent="0.25">
      <c r="E232" s="11">
        <f t="shared" si="25"/>
        <v>-110</v>
      </c>
      <c r="F232" s="11">
        <f t="shared" si="26"/>
        <v>-27.965597348006511</v>
      </c>
      <c r="G232" s="11">
        <f t="shared" si="27"/>
        <v>-27.866671744331065</v>
      </c>
    </row>
    <row r="233" spans="5:7" x14ac:dyDescent="0.25">
      <c r="E233" s="11">
        <f t="shared" si="25"/>
        <v>-109</v>
      </c>
      <c r="F233" s="11">
        <f t="shared" si="26"/>
        <v>-27.689785168909872</v>
      </c>
      <c r="G233" s="11">
        <f t="shared" si="27"/>
        <v>-27.603120827512569</v>
      </c>
    </row>
    <row r="234" spans="5:7" x14ac:dyDescent="0.25">
      <c r="E234" s="11">
        <f t="shared" si="25"/>
        <v>-108</v>
      </c>
      <c r="F234" s="11">
        <f t="shared" si="26"/>
        <v>-27.407550979593609</v>
      </c>
      <c r="G234" s="11">
        <f t="shared" si="27"/>
        <v>-27.337048912219309</v>
      </c>
    </row>
    <row r="235" spans="5:7" x14ac:dyDescent="0.25">
      <c r="E235" s="11">
        <f t="shared" si="25"/>
        <v>-107</v>
      </c>
      <c r="F235" s="11">
        <f t="shared" si="26"/>
        <v>-27.119374309878733</v>
      </c>
      <c r="G235" s="11">
        <f t="shared" si="27"/>
        <v>-27.068226816771755</v>
      </c>
    </row>
    <row r="236" spans="5:7" x14ac:dyDescent="0.25">
      <c r="E236" s="11">
        <f t="shared" si="25"/>
        <v>-106</v>
      </c>
      <c r="F236" s="11">
        <f t="shared" si="26"/>
        <v>-26.8257239625888</v>
      </c>
      <c r="G236" s="11">
        <f t="shared" si="27"/>
        <v>-26.796425359490403</v>
      </c>
    </row>
    <row r="237" spans="5:7" x14ac:dyDescent="0.25">
      <c r="E237" s="11">
        <f t="shared" si="25"/>
        <v>-105</v>
      </c>
      <c r="F237" s="11">
        <f t="shared" si="26"/>
        <v>-26.527057822854626</v>
      </c>
      <c r="G237" s="11">
        <f t="shared" si="27"/>
        <v>-26.521415358695705</v>
      </c>
    </row>
    <row r="238" spans="5:7" x14ac:dyDescent="0.25">
      <c r="E238" s="11">
        <f t="shared" si="25"/>
        <v>-104</v>
      </c>
      <c r="F238" s="11">
        <f t="shared" si="26"/>
        <v>-26.223822679977395</v>
      </c>
      <c r="G238" s="11">
        <f t="shared" si="27"/>
        <v>-26.242967632708151</v>
      </c>
    </row>
    <row r="239" spans="5:7" x14ac:dyDescent="0.25">
      <c r="E239" s="11">
        <f t="shared" si="25"/>
        <v>-103</v>
      </c>
      <c r="F239" s="11">
        <f t="shared" si="26"/>
        <v>-25.916454061748848</v>
      </c>
      <c r="G239" s="11">
        <f t="shared" si="27"/>
        <v>-25.960852999848214</v>
      </c>
    </row>
    <row r="240" spans="5:7" x14ac:dyDescent="0.25">
      <c r="E240" s="11">
        <f t="shared" si="25"/>
        <v>-102</v>
      </c>
      <c r="F240" s="11">
        <f t="shared" si="26"/>
        <v>-25.605376081123776</v>
      </c>
      <c r="G240" s="11">
        <f t="shared" si="27"/>
        <v>-25.674842278436373</v>
      </c>
    </row>
    <row r="241" spans="5:7" x14ac:dyDescent="0.25">
      <c r="E241" s="11">
        <f t="shared" si="25"/>
        <v>-101</v>
      </c>
      <c r="F241" s="11">
        <f t="shared" si="26"/>
        <v>-25.291001295138244</v>
      </c>
      <c r="G241" s="11">
        <f t="shared" si="27"/>
        <v>-25.384706286793101</v>
      </c>
    </row>
    <row r="242" spans="5:7" x14ac:dyDescent="0.25">
      <c r="E242" s="11">
        <f t="shared" si="25"/>
        <v>-100</v>
      </c>
      <c r="F242" s="11">
        <f t="shared" si="26"/>
        <v>-24.973730575964144</v>
      </c>
      <c r="G242" s="11">
        <f t="shared" si="27"/>
        <v>-25.090215843238873</v>
      </c>
    </row>
    <row r="243" spans="5:7" x14ac:dyDescent="0.25">
      <c r="E243" s="11">
        <f t="shared" si="25"/>
        <v>-99</v>
      </c>
      <c r="F243" s="11">
        <f t="shared" si="26"/>
        <v>-24.653952993988227</v>
      </c>
      <c r="G243" s="11">
        <f t="shared" si="27"/>
        <v>-24.791141766094167</v>
      </c>
    </row>
    <row r="244" spans="5:7" x14ac:dyDescent="0.25">
      <c r="E244" s="11">
        <f t="shared" si="25"/>
        <v>-98</v>
      </c>
      <c r="F244" s="11">
        <f t="shared" si="26"/>
        <v>-24.332045712801694</v>
      </c>
      <c r="G244" s="11">
        <f t="shared" si="27"/>
        <v>-24.487254873679461</v>
      </c>
    </row>
    <row r="245" spans="5:7" x14ac:dyDescent="0.25">
      <c r="E245" s="11">
        <f t="shared" si="25"/>
        <v>-97</v>
      </c>
      <c r="F245" s="11">
        <f t="shared" si="26"/>
        <v>-24.008373895983436</v>
      </c>
      <c r="G245" s="11">
        <f t="shared" si="27"/>
        <v>-24.178325984315229</v>
      </c>
    </row>
    <row r="246" spans="5:7" x14ac:dyDescent="0.25">
      <c r="E246" s="11">
        <f t="shared" si="25"/>
        <v>-96</v>
      </c>
      <c r="F246" s="11">
        <f t="shared" si="26"/>
        <v>-23.683290625557966</v>
      </c>
      <c r="G246" s="11">
        <f t="shared" si="27"/>
        <v>-23.864125916321946</v>
      </c>
    </row>
    <row r="247" spans="5:7" x14ac:dyDescent="0.25">
      <c r="E247" s="11">
        <f t="shared" si="25"/>
        <v>-95</v>
      </c>
      <c r="F247" s="11">
        <f t="shared" si="26"/>
        <v>-23.357136832006528</v>
      </c>
      <c r="G247" s="11">
        <f t="shared" si="27"/>
        <v>-23.544425488020089</v>
      </c>
    </row>
    <row r="248" spans="5:7" x14ac:dyDescent="0.25">
      <c r="E248" s="11">
        <f t="shared" si="25"/>
        <v>-94</v>
      </c>
      <c r="F248" s="11">
        <f t="shared" si="26"/>
        <v>-23.030241235707074</v>
      </c>
      <c r="G248" s="11">
        <f t="shared" si="27"/>
        <v>-23.218995517730136</v>
      </c>
    </row>
    <row r="249" spans="5:7" x14ac:dyDescent="0.25">
      <c r="E249" s="11">
        <f t="shared" si="25"/>
        <v>-93</v>
      </c>
      <c r="F249" s="11">
        <f t="shared" si="26"/>
        <v>-22.702920299677089</v>
      </c>
      <c r="G249" s="11">
        <f t="shared" si="27"/>
        <v>-22.887606823772558</v>
      </c>
    </row>
    <row r="250" spans="5:7" x14ac:dyDescent="0.25">
      <c r="E250" s="11">
        <f t="shared" si="25"/>
        <v>-92</v>
      </c>
      <c r="F250" s="11">
        <f t="shared" si="26"/>
        <v>-22.375478193489993</v>
      </c>
      <c r="G250" s="11">
        <f t="shared" si="27"/>
        <v>-22.550030224467836</v>
      </c>
    </row>
    <row r="251" spans="5:7" x14ac:dyDescent="0.25">
      <c r="E251" s="11">
        <f t="shared" si="25"/>
        <v>-91</v>
      </c>
      <c r="F251" s="11">
        <f t="shared" si="26"/>
        <v>-22.048206768233879</v>
      </c>
      <c r="G251" s="11">
        <f t="shared" si="27"/>
        <v>-22.206036538136445</v>
      </c>
    </row>
    <row r="252" spans="5:7" x14ac:dyDescent="0.25">
      <c r="E252" s="11">
        <f t="shared" si="25"/>
        <v>-90</v>
      </c>
      <c r="F252" s="11">
        <f t="shared" si="26"/>
        <v>-21.721385542378727</v>
      </c>
      <c r="G252" s="11">
        <f t="shared" si="27"/>
        <v>-21.855396583098859</v>
      </c>
    </row>
    <row r="253" spans="5:7" x14ac:dyDescent="0.25">
      <c r="E253" s="11">
        <f t="shared" si="25"/>
        <v>-89</v>
      </c>
      <c r="F253" s="11">
        <f t="shared" si="26"/>
        <v>-21.395281698415868</v>
      </c>
      <c r="G253" s="11">
        <f t="shared" si="27"/>
        <v>-21.497881177675559</v>
      </c>
    </row>
    <row r="254" spans="5:7" x14ac:dyDescent="0.25">
      <c r="E254" s="11">
        <f t="shared" si="25"/>
        <v>-88</v>
      </c>
      <c r="F254" s="11">
        <f t="shared" si="26"/>
        <v>-21.070150090130863</v>
      </c>
      <c r="G254" s="11">
        <f t="shared" si="27"/>
        <v>-21.133261140187017</v>
      </c>
    </row>
    <row r="255" spans="5:7" x14ac:dyDescent="0.25">
      <c r="E255" s="11">
        <f t="shared" si="25"/>
        <v>-87</v>
      </c>
      <c r="F255" s="11">
        <f t="shared" si="26"/>
        <v>-20.746233260368658</v>
      </c>
      <c r="G255" s="11">
        <f t="shared" si="27"/>
        <v>-20.761307288953706</v>
      </c>
    </row>
    <row r="256" spans="5:7" x14ac:dyDescent="0.25">
      <c r="E256" s="11">
        <f t="shared" si="25"/>
        <v>-86</v>
      </c>
      <c r="F256" s="11">
        <f t="shared" si="26"/>
        <v>-20.423761469147415</v>
      </c>
      <c r="G256" s="11">
        <f t="shared" si="27"/>
        <v>-20.381790442296108</v>
      </c>
    </row>
    <row r="257" spans="5:7" x14ac:dyDescent="0.25">
      <c r="E257" s="11">
        <f t="shared" si="25"/>
        <v>-85</v>
      </c>
      <c r="F257" s="11">
        <f t="shared" si="26"/>
        <v>-20.102952731974764</v>
      </c>
      <c r="G257" s="11">
        <f t="shared" si="27"/>
        <v>-19.994481418534697</v>
      </c>
    </row>
    <row r="258" spans="5:7" x14ac:dyDescent="0.25">
      <c r="E258" s="11">
        <f t="shared" si="25"/>
        <v>-84</v>
      </c>
      <c r="F258" s="11">
        <f t="shared" si="26"/>
        <v>-19.784012868218117</v>
      </c>
      <c r="G258" s="11">
        <f t="shared" si="27"/>
        <v>-19.599151035989951</v>
      </c>
    </row>
    <row r="259" spans="5:7" x14ac:dyDescent="0.25">
      <c r="E259" s="11">
        <f t="shared" si="25"/>
        <v>-83</v>
      </c>
      <c r="F259" s="11">
        <f t="shared" si="26"/>
        <v>-19.46713555937783</v>
      </c>
      <c r="G259" s="11">
        <f t="shared" si="27"/>
        <v>-19.195570112982342</v>
      </c>
    </row>
    <row r="260" spans="5:7" x14ac:dyDescent="0.25">
      <c r="E260" s="11">
        <f t="shared" si="25"/>
        <v>-82</v>
      </c>
      <c r="F260" s="11">
        <f t="shared" si="26"/>
        <v>-19.152502417109961</v>
      </c>
      <c r="G260" s="11">
        <f t="shared" si="27"/>
        <v>-18.783509467832349</v>
      </c>
    </row>
    <row r="261" spans="5:7" x14ac:dyDescent="0.25">
      <c r="E261" s="11">
        <f t="shared" si="25"/>
        <v>-81</v>
      </c>
      <c r="F261" s="11">
        <f t="shared" si="26"/>
        <v>-18.840283060842452</v>
      </c>
      <c r="G261" s="11">
        <f t="shared" si="27"/>
        <v>-18.362739918860449</v>
      </c>
    </row>
    <row r="262" spans="5:7" x14ac:dyDescent="0.25">
      <c r="E262" s="11">
        <f t="shared" si="25"/>
        <v>-80</v>
      </c>
      <c r="F262" s="11">
        <f t="shared" si="26"/>
        <v>-18.530635204826616</v>
      </c>
      <c r="G262" s="11">
        <f t="shared" si="27"/>
        <v>-17.933032284387114</v>
      </c>
    </row>
    <row r="263" spans="5:7" x14ac:dyDescent="0.25">
      <c r="E263" s="11">
        <f t="shared" si="25"/>
        <v>-79</v>
      </c>
      <c r="F263" s="11">
        <f t="shared" si="26"/>
        <v>-18.22370475446289</v>
      </c>
      <c r="G263" s="11">
        <f t="shared" si="27"/>
        <v>-17.746107024932101</v>
      </c>
    </row>
    <row r="264" spans="5:7" x14ac:dyDescent="0.25">
      <c r="E264" s="11">
        <f t="shared" si="25"/>
        <v>-78</v>
      </c>
      <c r="F264" s="11">
        <f t="shared" si="26"/>
        <v>-17.919625911737715</v>
      </c>
      <c r="G264" s="11">
        <f t="shared" si="27"/>
        <v>-17.550560344736777</v>
      </c>
    </row>
    <row r="265" spans="5:7" x14ac:dyDescent="0.25">
      <c r="E265" s="11">
        <f t="shared" si="25"/>
        <v>-77</v>
      </c>
      <c r="F265" s="11">
        <f t="shared" si="26"/>
        <v>-17.618521289605695</v>
      </c>
      <c r="G265" s="11">
        <f t="shared" si="27"/>
        <v>-17.346938090241764</v>
      </c>
    </row>
    <row r="266" spans="5:7" x14ac:dyDescent="0.25">
      <c r="E266" s="11">
        <f t="shared" si="25"/>
        <v>-76</v>
      </c>
      <c r="F266" s="11">
        <f t="shared" si="26"/>
        <v>-17.320502035148913</v>
      </c>
      <c r="G266" s="11">
        <f t="shared" si="27"/>
        <v>-17.135786107887711</v>
      </c>
    </row>
    <row r="267" spans="5:7" x14ac:dyDescent="0.25">
      <c r="E267" s="11">
        <f t="shared" si="25"/>
        <v>-75</v>
      </c>
      <c r="F267" s="11">
        <f t="shared" si="26"/>
        <v>-17.025667961342744</v>
      </c>
      <c r="G267" s="11">
        <f t="shared" si="27"/>
        <v>-16.917650244115247</v>
      </c>
    </row>
    <row r="268" spans="5:7" x14ac:dyDescent="0.25">
      <c r="E268" s="11">
        <f t="shared" si="25"/>
        <v>-74</v>
      </c>
      <c r="F268" s="11">
        <f t="shared" si="26"/>
        <v>-16.734107687255015</v>
      </c>
      <c r="G268" s="11">
        <f t="shared" si="27"/>
        <v>-16.693076345365018</v>
      </c>
    </row>
    <row r="269" spans="5:7" x14ac:dyDescent="0.25">
      <c r="E269" s="11">
        <f t="shared" si="25"/>
        <v>-73</v>
      </c>
      <c r="F269" s="11">
        <f t="shared" si="26"/>
        <v>-16.445898786503005</v>
      </c>
      <c r="G269" s="11">
        <f t="shared" si="27"/>
        <v>-16.462610258077657</v>
      </c>
    </row>
    <row r="270" spans="5:7" x14ac:dyDescent="0.25">
      <c r="E270" s="11">
        <f t="shared" si="25"/>
        <v>-72</v>
      </c>
      <c r="F270" s="11">
        <f t="shared" si="26"/>
        <v>-16.161107943790281</v>
      </c>
      <c r="G270" s="11">
        <f t="shared" si="27"/>
        <v>-16.226797828693801</v>
      </c>
    </row>
    <row r="271" spans="5:7" x14ac:dyDescent="0.25">
      <c r="E271" s="11">
        <f t="shared" si="25"/>
        <v>-71</v>
      </c>
      <c r="F271" s="11">
        <f t="shared" si="26"/>
        <v>-15.879791119342801</v>
      </c>
      <c r="G271" s="11">
        <f t="shared" si="27"/>
        <v>-15.986184903654085</v>
      </c>
    </row>
    <row r="272" spans="5:7" x14ac:dyDescent="0.25">
      <c r="E272" s="11">
        <f t="shared" si="25"/>
        <v>-70</v>
      </c>
      <c r="F272" s="11">
        <f t="shared" si="26"/>
        <v>-15.601993721061568</v>
      </c>
      <c r="G272" s="11">
        <f t="shared" si="27"/>
        <v>-15.741317329399148</v>
      </c>
    </row>
    <row r="273" spans="5:7" x14ac:dyDescent="0.25">
      <c r="E273" s="11">
        <f t="shared" si="25"/>
        <v>-69</v>
      </c>
      <c r="F273" s="11">
        <f t="shared" si="26"/>
        <v>-15.327750784206138</v>
      </c>
      <c r="G273" s="11">
        <f t="shared" si="27"/>
        <v>-15.492740952369633</v>
      </c>
    </row>
    <row r="274" spans="5:7" x14ac:dyDescent="0.25">
      <c r="E274" s="11">
        <f t="shared" si="25"/>
        <v>-68</v>
      </c>
      <c r="F274" s="11">
        <f t="shared" si="26"/>
        <v>-15.057087158421574</v>
      </c>
      <c r="G274" s="11">
        <f t="shared" si="27"/>
        <v>-15.241001619006171</v>
      </c>
    </row>
    <row r="275" spans="5:7" x14ac:dyDescent="0.25">
      <c r="E275" s="11">
        <f t="shared" si="25"/>
        <v>-67</v>
      </c>
      <c r="F275" s="11">
        <f t="shared" si="26"/>
        <v>-14.790017701918124</v>
      </c>
      <c r="G275" s="11">
        <f t="shared" si="27"/>
        <v>-14.986645175749402</v>
      </c>
    </row>
    <row r="276" spans="5:7" x14ac:dyDescent="0.25">
      <c r="E276" s="11">
        <f t="shared" si="25"/>
        <v>-66</v>
      </c>
      <c r="F276" s="11">
        <f t="shared" si="26"/>
        <v>-14.526547482611194</v>
      </c>
      <c r="G276" s="11">
        <f t="shared" si="27"/>
        <v>-14.730217469039962</v>
      </c>
    </row>
    <row r="277" spans="5:7" x14ac:dyDescent="0.25">
      <c r="E277" s="11">
        <f t="shared" si="25"/>
        <v>-65</v>
      </c>
      <c r="F277" s="11">
        <f t="shared" si="26"/>
        <v>-14.266671986026328</v>
      </c>
      <c r="G277" s="11">
        <f t="shared" si="27"/>
        <v>-14.472264345318489</v>
      </c>
    </row>
    <row r="278" spans="5:7" x14ac:dyDescent="0.25">
      <c r="E278" s="11">
        <f t="shared" si="25"/>
        <v>-64</v>
      </c>
      <c r="F278" s="11">
        <f t="shared" si="26"/>
        <v>-14.010377329771444</v>
      </c>
      <c r="G278" s="11">
        <f t="shared" si="27"/>
        <v>-14.213331651025619</v>
      </c>
    </row>
    <row r="279" spans="5:7" x14ac:dyDescent="0.25">
      <c r="E279" s="11">
        <f t="shared" si="25"/>
        <v>-63</v>
      </c>
      <c r="F279" s="11">
        <f t="shared" si="26"/>
        <v>-13.757640484376422</v>
      </c>
      <c r="G279" s="11">
        <f t="shared" si="27"/>
        <v>-13.953965232601995</v>
      </c>
    </row>
    <row r="280" spans="5:7" x14ac:dyDescent="0.25">
      <c r="E280" s="11">
        <f t="shared" si="25"/>
        <v>-62</v>
      </c>
      <c r="F280" s="11">
        <f t="shared" si="26"/>
        <v>-13.508429500297291</v>
      </c>
      <c r="G280" s="11">
        <f t="shared" si="27"/>
        <v>-13.694710936488246</v>
      </c>
    </row>
    <row r="281" spans="5:7" x14ac:dyDescent="0.25">
      <c r="E281" s="11">
        <f t="shared" si="25"/>
        <v>-61</v>
      </c>
      <c r="F281" s="11">
        <f t="shared" si="26"/>
        <v>-13.262703740880132</v>
      </c>
      <c r="G281" s="11">
        <f t="shared" si="27"/>
        <v>-13.436114609125017</v>
      </c>
    </row>
    <row r="282" spans="5:7" x14ac:dyDescent="0.25">
      <c r="E282" s="11">
        <f t="shared" si="25"/>
        <v>-60</v>
      </c>
      <c r="F282" s="11">
        <f t="shared" si="26"/>
        <v>-13.02041412107717</v>
      </c>
      <c r="G282" s="11">
        <f t="shared" si="27"/>
        <v>-13.178722096952939</v>
      </c>
    </row>
    <row r="283" spans="5:7" x14ac:dyDescent="0.25">
      <c r="E283" s="11">
        <f t="shared" si="25"/>
        <v>-59</v>
      </c>
      <c r="F283" s="11">
        <f t="shared" si="26"/>
        <v>-12.781503351705151</v>
      </c>
      <c r="G283" s="11">
        <f t="shared" si="27"/>
        <v>-12.923079246412653</v>
      </c>
    </row>
    <row r="284" spans="5:7" x14ac:dyDescent="0.25">
      <c r="E284" s="11">
        <f t="shared" si="25"/>
        <v>-58</v>
      </c>
      <c r="F284" s="11">
        <f t="shared" si="26"/>
        <v>-12.545906189033632</v>
      </c>
      <c r="G284" s="11">
        <f t="shared" si="27"/>
        <v>-12.669731903944795</v>
      </c>
    </row>
    <row r="285" spans="5:7" x14ac:dyDescent="0.25">
      <c r="E285" s="11">
        <f t="shared" si="25"/>
        <v>-57</v>
      </c>
      <c r="F285" s="11">
        <f t="shared" si="26"/>
        <v>-12.313549689488326</v>
      </c>
      <c r="G285" s="11">
        <f t="shared" si="27"/>
        <v>-12.419225915990005</v>
      </c>
    </row>
    <row r="286" spans="5:7" x14ac:dyDescent="0.25">
      <c r="E286" s="11">
        <f t="shared" si="25"/>
        <v>-56</v>
      </c>
      <c r="F286" s="11">
        <f t="shared" si="26"/>
        <v>-12.084353469252271</v>
      </c>
      <c r="G286" s="11">
        <f t="shared" si="27"/>
        <v>-12.17210712898892</v>
      </c>
    </row>
    <row r="287" spans="5:7" x14ac:dyDescent="0.25">
      <c r="E287" s="11">
        <f t="shared" ref="E287:E350" si="28">E80</f>
        <v>-55</v>
      </c>
      <c r="F287" s="11">
        <f t="shared" ref="F287:F350" si="29">$H$217*0+E287*$I$217+E287^2*$J$217+E287^3*$K$217+E287^4*$L$217+E287^5*$M$217+E287^6*$N$217+E287^7*$O$217+E287^8*$P$217</f>
        <v>-11.858229968545015</v>
      </c>
      <c r="G287" s="11">
        <f t="shared" ref="G287:G350" si="30">F80</f>
        <v>-11.928921389382172</v>
      </c>
    </row>
    <row r="288" spans="5:7" x14ac:dyDescent="0.25">
      <c r="E288" s="11">
        <f t="shared" si="28"/>
        <v>-54</v>
      </c>
      <c r="F288" s="11">
        <f t="shared" si="29"/>
        <v>-11.635084720357671</v>
      </c>
      <c r="G288" s="11">
        <f t="shared" si="30"/>
        <v>-11.690089506983968</v>
      </c>
    </row>
    <row r="289" spans="5:7" x14ac:dyDescent="0.25">
      <c r="E289" s="11">
        <f t="shared" si="28"/>
        <v>-53</v>
      </c>
      <c r="F289" s="11">
        <f t="shared" si="29"/>
        <v>-11.414816623419194</v>
      </c>
      <c r="G289" s="11">
        <f t="shared" si="30"/>
        <v>-11.45553214510276</v>
      </c>
    </row>
    <row r="290" spans="5:7" x14ac:dyDescent="0.25">
      <c r="E290" s="11">
        <f t="shared" si="28"/>
        <v>-52</v>
      </c>
      <c r="F290" s="11">
        <f t="shared" si="29"/>
        <v>-11.197318219166714</v>
      </c>
      <c r="G290" s="11">
        <f t="shared" si="30"/>
        <v>-11.225044930420561</v>
      </c>
    </row>
    <row r="291" spans="5:7" x14ac:dyDescent="0.25">
      <c r="E291" s="11">
        <f t="shared" si="28"/>
        <v>-51</v>
      </c>
      <c r="F291" s="11">
        <f t="shared" si="29"/>
        <v>-10.982475972490493</v>
      </c>
      <c r="G291" s="11">
        <f t="shared" si="30"/>
        <v>-10.998423489619395</v>
      </c>
    </row>
    <row r="292" spans="5:7" x14ac:dyDescent="0.25">
      <c r="E292" s="11">
        <f t="shared" si="28"/>
        <v>-50</v>
      </c>
      <c r="F292" s="11">
        <f t="shared" si="29"/>
        <v>-10.770170556021311</v>
      </c>
      <c r="G292" s="11">
        <f t="shared" si="30"/>
        <v>-10.775463449381276</v>
      </c>
    </row>
    <row r="293" spans="5:7" x14ac:dyDescent="0.25">
      <c r="E293" s="11">
        <f t="shared" si="28"/>
        <v>-49</v>
      </c>
      <c r="F293" s="11">
        <f t="shared" si="29"/>
        <v>-10.560277137726008</v>
      </c>
      <c r="G293" s="11">
        <f t="shared" si="30"/>
        <v>-10.555960436388222</v>
      </c>
    </row>
    <row r="294" spans="5:7" x14ac:dyDescent="0.25">
      <c r="E294" s="11">
        <f t="shared" si="28"/>
        <v>-48</v>
      </c>
      <c r="F294" s="11">
        <f t="shared" si="29"/>
        <v>-10.352665671574119</v>
      </c>
      <c r="G294" s="11">
        <f t="shared" si="30"/>
        <v>-10.339710077322248</v>
      </c>
    </row>
    <row r="295" spans="5:7" x14ac:dyDescent="0.25">
      <c r="E295" s="11">
        <f t="shared" si="28"/>
        <v>-47</v>
      </c>
      <c r="F295" s="11">
        <f t="shared" si="29"/>
        <v>-10.147201191036286</v>
      </c>
      <c r="G295" s="11">
        <f t="shared" si="30"/>
        <v>-10.126507998865373</v>
      </c>
    </row>
    <row r="296" spans="5:7" x14ac:dyDescent="0.25">
      <c r="E296" s="11">
        <f t="shared" si="28"/>
        <v>-46</v>
      </c>
      <c r="F296" s="11">
        <f t="shared" si="29"/>
        <v>-9.943744105172625</v>
      </c>
      <c r="G296" s="11">
        <f t="shared" si="30"/>
        <v>-9.9161498276996127</v>
      </c>
    </row>
    <row r="297" spans="5:7" x14ac:dyDescent="0.25">
      <c r="E297" s="11">
        <f t="shared" si="28"/>
        <v>-45</v>
      </c>
      <c r="F297" s="11">
        <f t="shared" si="29"/>
        <v>-9.742150497066687</v>
      </c>
      <c r="G297" s="11">
        <f t="shared" si="30"/>
        <v>-9.7084311905069871</v>
      </c>
    </row>
    <row r="298" spans="5:7" x14ac:dyDescent="0.25">
      <c r="E298" s="11">
        <f t="shared" si="28"/>
        <v>-44</v>
      </c>
      <c r="F298" s="11">
        <f t="shared" si="29"/>
        <v>-9.5422724243583996</v>
      </c>
      <c r="G298" s="11">
        <f t="shared" si="30"/>
        <v>-9.5031477139695113</v>
      </c>
    </row>
    <row r="299" spans="5:7" x14ac:dyDescent="0.25">
      <c r="E299" s="11">
        <f t="shared" si="28"/>
        <v>-43</v>
      </c>
      <c r="F299" s="11">
        <f t="shared" si="29"/>
        <v>-9.3439582216266945</v>
      </c>
      <c r="G299" s="11">
        <f t="shared" si="30"/>
        <v>-9.3000950247692042</v>
      </c>
    </row>
    <row r="300" spans="5:7" x14ac:dyDescent="0.25">
      <c r="E300" s="11">
        <f t="shared" si="28"/>
        <v>-42</v>
      </c>
      <c r="F300" s="11">
        <f t="shared" si="29"/>
        <v>-9.1470528043701584</v>
      </c>
      <c r="G300" s="11">
        <f t="shared" si="30"/>
        <v>-9.0990687495880813</v>
      </c>
    </row>
    <row r="301" spans="5:7" x14ac:dyDescent="0.25">
      <c r="E301" s="11">
        <f t="shared" si="28"/>
        <v>-41</v>
      </c>
      <c r="F301" s="11">
        <f t="shared" si="29"/>
        <v>-8.9513979743317211</v>
      </c>
      <c r="G301" s="11">
        <f t="shared" si="30"/>
        <v>-8.8998645151081597</v>
      </c>
    </row>
    <row r="302" spans="5:7" x14ac:dyDescent="0.25">
      <c r="E302" s="11">
        <f t="shared" si="28"/>
        <v>-40</v>
      </c>
      <c r="F302" s="11">
        <f t="shared" si="29"/>
        <v>-8.7568327259106979</v>
      </c>
      <c r="G302" s="11">
        <f t="shared" si="30"/>
        <v>-8.7022779480114565</v>
      </c>
    </row>
    <row r="303" spans="5:7" x14ac:dyDescent="0.25">
      <c r="E303" s="11">
        <f t="shared" si="28"/>
        <v>-39</v>
      </c>
      <c r="F303" s="11">
        <f t="shared" si="29"/>
        <v>-8.5631935534032273</v>
      </c>
      <c r="G303" s="11">
        <f t="shared" si="30"/>
        <v>-8.5061046749799907</v>
      </c>
    </row>
    <row r="304" spans="5:7" x14ac:dyDescent="0.25">
      <c r="E304" s="11">
        <f t="shared" si="28"/>
        <v>-38</v>
      </c>
      <c r="F304" s="11">
        <f t="shared" si="29"/>
        <v>-8.3703147588096574</v>
      </c>
      <c r="G304" s="11">
        <f t="shared" si="30"/>
        <v>-8.3111403226957776</v>
      </c>
    </row>
    <row r="305" spans="5:7" x14ac:dyDescent="0.25">
      <c r="E305" s="11">
        <f t="shared" si="28"/>
        <v>-37</v>
      </c>
      <c r="F305" s="11">
        <f t="shared" si="29"/>
        <v>-8.1780287599448958</v>
      </c>
      <c r="G305" s="11">
        <f t="shared" si="30"/>
        <v>-8.1171805178408345</v>
      </c>
    </row>
    <row r="306" spans="5:7" x14ac:dyDescent="0.25">
      <c r="E306" s="11">
        <f t="shared" si="28"/>
        <v>-36</v>
      </c>
      <c r="F306" s="11">
        <f t="shared" si="29"/>
        <v>-7.9861663985854214</v>
      </c>
      <c r="G306" s="11">
        <f t="shared" si="30"/>
        <v>-7.9240208870971811</v>
      </c>
    </row>
    <row r="307" spans="5:7" x14ac:dyDescent="0.25">
      <c r="E307" s="11">
        <f t="shared" si="28"/>
        <v>-35</v>
      </c>
      <c r="F307" s="11">
        <f t="shared" si="29"/>
        <v>-7.7945572483840682</v>
      </c>
      <c r="G307" s="11">
        <f t="shared" si="30"/>
        <v>-7.7314570571468302</v>
      </c>
    </row>
    <row r="308" spans="5:7" x14ac:dyDescent="0.25">
      <c r="E308" s="11">
        <f t="shared" si="28"/>
        <v>-34</v>
      </c>
      <c r="F308" s="11">
        <f t="shared" si="29"/>
        <v>-7.6030299222813165</v>
      </c>
      <c r="G308" s="11">
        <f t="shared" si="30"/>
        <v>-7.5392846546718042</v>
      </c>
    </row>
    <row r="309" spans="5:7" x14ac:dyDescent="0.25">
      <c r="E309" s="11">
        <f t="shared" si="28"/>
        <v>-33</v>
      </c>
      <c r="F309" s="11">
        <f t="shared" si="29"/>
        <v>-7.4114123791393709</v>
      </c>
      <c r="G309" s="11">
        <f t="shared" si="30"/>
        <v>-7.3472993063541159</v>
      </c>
    </row>
    <row r="310" spans="5:7" x14ac:dyDescent="0.25">
      <c r="E310" s="11">
        <f t="shared" si="28"/>
        <v>-32</v>
      </c>
      <c r="F310" s="11">
        <f t="shared" si="29"/>
        <v>-7.219532229322783</v>
      </c>
      <c r="G310" s="11">
        <f t="shared" si="30"/>
        <v>-7.155296638875785</v>
      </c>
    </row>
    <row r="311" spans="5:7" x14ac:dyDescent="0.25">
      <c r="E311" s="11">
        <f t="shared" si="28"/>
        <v>-31</v>
      </c>
      <c r="F311" s="11">
        <f t="shared" si="29"/>
        <v>-7.0272170389470316</v>
      </c>
      <c r="G311" s="11">
        <f t="shared" si="30"/>
        <v>-6.9630722789188289</v>
      </c>
    </row>
    <row r="312" spans="5:7" x14ac:dyDescent="0.25">
      <c r="E312" s="11">
        <f t="shared" si="28"/>
        <v>-30</v>
      </c>
      <c r="F312" s="11">
        <f t="shared" si="29"/>
        <v>-6.8342946325138874</v>
      </c>
      <c r="G312" s="11">
        <f t="shared" si="30"/>
        <v>-6.7704218531652618</v>
      </c>
    </row>
    <row r="313" spans="5:7" x14ac:dyDescent="0.25">
      <c r="E313" s="11">
        <f t="shared" si="28"/>
        <v>-29</v>
      </c>
      <c r="F313" s="11">
        <f t="shared" si="29"/>
        <v>-6.6405933936500627</v>
      </c>
      <c r="G313" s="11">
        <f t="shared" si="30"/>
        <v>-6.57714916989607</v>
      </c>
    </row>
    <row r="314" spans="5:7" x14ac:dyDescent="0.25">
      <c r="E314" s="11">
        <f t="shared" si="28"/>
        <v>-28</v>
      </c>
      <c r="F314" s="11">
        <f t="shared" si="29"/>
        <v>-6.4459425636631211</v>
      </c>
      <c r="G314" s="11">
        <f t="shared" si="30"/>
        <v>-6.3830907637880951</v>
      </c>
    </row>
    <row r="315" spans="5:7" x14ac:dyDescent="0.25">
      <c r="E315" s="11">
        <f t="shared" si="28"/>
        <v>-27</v>
      </c>
      <c r="F315" s="11">
        <f t="shared" si="29"/>
        <v>-6.2501725376261197</v>
      </c>
      <c r="G315" s="11">
        <f t="shared" si="30"/>
        <v>-6.1880913511171425</v>
      </c>
    </row>
    <row r="316" spans="5:7" x14ac:dyDescent="0.25">
      <c r="E316" s="11">
        <f t="shared" si="28"/>
        <v>-26</v>
      </c>
      <c r="F316" s="11">
        <f t="shared" si="29"/>
        <v>-6.0531151577001658</v>
      </c>
      <c r="G316" s="11">
        <f t="shared" si="30"/>
        <v>-5.9919956481590226</v>
      </c>
    </row>
    <row r="317" spans="5:7" x14ac:dyDescent="0.25">
      <c r="E317" s="11">
        <f t="shared" si="28"/>
        <v>-25</v>
      </c>
      <c r="F317" s="11">
        <f t="shared" si="29"/>
        <v>-5.8546040034014171</v>
      </c>
      <c r="G317" s="11">
        <f t="shared" si="30"/>
        <v>-5.7946483711895453</v>
      </c>
    </row>
    <row r="318" spans="5:7" x14ac:dyDescent="0.25">
      <c r="E318" s="11">
        <f t="shared" si="28"/>
        <v>-24</v>
      </c>
      <c r="F318" s="11">
        <f t="shared" si="29"/>
        <v>-5.6544746785167623</v>
      </c>
      <c r="G318" s="11">
        <f t="shared" si="30"/>
        <v>-5.5958942364845177</v>
      </c>
    </row>
    <row r="319" spans="5:7" x14ac:dyDescent="0.25">
      <c r="E319" s="11">
        <f t="shared" si="28"/>
        <v>-23</v>
      </c>
      <c r="F319" s="11">
        <f t="shared" si="29"/>
        <v>-5.4525650943698416</v>
      </c>
      <c r="G319" s="11">
        <f t="shared" si="30"/>
        <v>-5.3955779603197467</v>
      </c>
    </row>
    <row r="320" spans="5:7" x14ac:dyDescent="0.25">
      <c r="E320" s="11">
        <f t="shared" si="28"/>
        <v>-22</v>
      </c>
      <c r="F320" s="11">
        <f t="shared" si="29"/>
        <v>-5.2487157491367</v>
      </c>
      <c r="G320" s="11">
        <f t="shared" si="30"/>
        <v>-5.1935442589710412</v>
      </c>
    </row>
    <row r="321" spans="5:7" x14ac:dyDescent="0.25">
      <c r="E321" s="11">
        <f t="shared" si="28"/>
        <v>-21</v>
      </c>
      <c r="F321" s="11">
        <f t="shared" si="29"/>
        <v>-5.0427700029078864</v>
      </c>
      <c r="G321" s="11">
        <f t="shared" si="30"/>
        <v>-4.9896378487142092</v>
      </c>
    </row>
    <row r="322" spans="5:7" x14ac:dyDescent="0.25">
      <c r="E322" s="11">
        <f t="shared" si="28"/>
        <v>-20</v>
      </c>
      <c r="F322" s="11">
        <f t="shared" si="29"/>
        <v>-4.8345743481913086</v>
      </c>
      <c r="G322" s="11">
        <f t="shared" si="30"/>
        <v>-4.7837034458250614</v>
      </c>
    </row>
    <row r="323" spans="5:7" x14ac:dyDescent="0.25">
      <c r="E323" s="11">
        <f t="shared" si="28"/>
        <v>-19</v>
      </c>
      <c r="F323" s="11">
        <f t="shared" si="29"/>
        <v>-4.6239786755477805</v>
      </c>
      <c r="G323" s="11">
        <f t="shared" si="30"/>
        <v>-4.5755857665794029</v>
      </c>
    </row>
    <row r="324" spans="5:7" x14ac:dyDescent="0.25">
      <c r="E324" s="11">
        <f t="shared" si="28"/>
        <v>-18</v>
      </c>
      <c r="F324" s="11">
        <f t="shared" si="29"/>
        <v>-4.4108365340486912</v>
      </c>
      <c r="G324" s="11">
        <f t="shared" si="30"/>
        <v>-4.3651295272530426</v>
      </c>
    </row>
    <row r="325" spans="5:7" x14ac:dyDescent="0.25">
      <c r="E325" s="11">
        <f t="shared" si="28"/>
        <v>-17</v>
      </c>
      <c r="F325" s="11">
        <f t="shared" si="29"/>
        <v>-4.1950053862427623</v>
      </c>
      <c r="G325" s="11">
        <f t="shared" si="30"/>
        <v>-4.1521794441217885</v>
      </c>
    </row>
    <row r="326" spans="5:7" x14ac:dyDescent="0.25">
      <c r="E326" s="11">
        <f t="shared" si="28"/>
        <v>-16</v>
      </c>
      <c r="F326" s="11">
        <f t="shared" si="29"/>
        <v>-3.9763468573164569</v>
      </c>
      <c r="G326" s="11">
        <f t="shared" si="30"/>
        <v>-3.9365802334614513</v>
      </c>
    </row>
    <row r="327" spans="5:7" x14ac:dyDescent="0.25">
      <c r="E327" s="11">
        <f t="shared" si="28"/>
        <v>-15</v>
      </c>
      <c r="F327" s="11">
        <f t="shared" si="29"/>
        <v>-3.7547269781300998</v>
      </c>
      <c r="G327" s="11">
        <f t="shared" si="30"/>
        <v>-3.7181766115478365</v>
      </c>
    </row>
    <row r="328" spans="5:7" x14ac:dyDescent="0.25">
      <c r="E328" s="11">
        <f t="shared" si="28"/>
        <v>-14</v>
      </c>
      <c r="F328" s="11">
        <f t="shared" si="29"/>
        <v>-3.5300164218093339</v>
      </c>
      <c r="G328" s="11">
        <f t="shared" si="30"/>
        <v>-3.4968132946567536</v>
      </c>
    </row>
    <row r="329" spans="5:7" x14ac:dyDescent="0.25">
      <c r="E329" s="11">
        <f t="shared" si="28"/>
        <v>-13</v>
      </c>
      <c r="F329" s="11">
        <f t="shared" si="29"/>
        <v>-3.3020907335690906</v>
      </c>
      <c r="G329" s="11">
        <f t="shared" si="30"/>
        <v>-3.2723349990640092</v>
      </c>
    </row>
    <row r="330" spans="5:7" x14ac:dyDescent="0.25">
      <c r="E330" s="11">
        <f t="shared" si="28"/>
        <v>-12</v>
      </c>
      <c r="F330" s="11">
        <f t="shared" si="29"/>
        <v>-3.070830553444766</v>
      </c>
      <c r="G330" s="11">
        <f t="shared" si="30"/>
        <v>-3.0445864410454142</v>
      </c>
    </row>
    <row r="331" spans="5:7" x14ac:dyDescent="0.25">
      <c r="E331" s="11">
        <f t="shared" si="28"/>
        <v>-11</v>
      </c>
      <c r="F331" s="11">
        <f t="shared" si="29"/>
        <v>-2.836121831602902</v>
      </c>
      <c r="G331" s="11">
        <f t="shared" si="30"/>
        <v>-2.8134123368767745</v>
      </c>
    </row>
    <row r="332" spans="5:7" x14ac:dyDescent="0.25">
      <c r="E332" s="11">
        <f t="shared" si="28"/>
        <v>-10</v>
      </c>
      <c r="F332" s="11">
        <f t="shared" si="29"/>
        <v>-2.597856035901128</v>
      </c>
      <c r="G332" s="11">
        <f t="shared" si="30"/>
        <v>-2.5786574028338993</v>
      </c>
    </row>
    <row r="333" spans="5:7" x14ac:dyDescent="0.25">
      <c r="E333" s="11">
        <f t="shared" si="28"/>
        <v>-9</v>
      </c>
      <c r="F333" s="11">
        <f t="shared" si="29"/>
        <v>-2.3559303513647589</v>
      </c>
      <c r="G333" s="11">
        <f t="shared" si="30"/>
        <v>-2.3401663551925975</v>
      </c>
    </row>
    <row r="334" spans="5:7" x14ac:dyDescent="0.25">
      <c r="E334" s="11">
        <f t="shared" si="28"/>
        <v>-8</v>
      </c>
      <c r="F334" s="11">
        <f t="shared" si="29"/>
        <v>-2.1102478712449106</v>
      </c>
      <c r="G334" s="11">
        <f t="shared" si="30"/>
        <v>-2.0977839102286757</v>
      </c>
    </row>
    <row r="335" spans="5:7" x14ac:dyDescent="0.25">
      <c r="E335" s="11">
        <f t="shared" si="28"/>
        <v>-7</v>
      </c>
      <c r="F335" s="11">
        <f t="shared" si="29"/>
        <v>-1.8607177793206013</v>
      </c>
      <c r="G335" s="11">
        <f t="shared" si="30"/>
        <v>-1.8513547842179432</v>
      </c>
    </row>
    <row r="336" spans="5:7" x14ac:dyDescent="0.25">
      <c r="E336" s="11">
        <f t="shared" si="28"/>
        <v>-6</v>
      </c>
      <c r="F336" s="11">
        <f t="shared" si="29"/>
        <v>-1.6072555231048054</v>
      </c>
      <c r="G336" s="11">
        <f t="shared" si="30"/>
        <v>-1.6007236934362079</v>
      </c>
    </row>
    <row r="337" spans="5:7" x14ac:dyDescent="0.25">
      <c r="E337" s="11">
        <f t="shared" si="28"/>
        <v>-5</v>
      </c>
      <c r="F337" s="11">
        <f t="shared" si="29"/>
        <v>-1.3497829776119992</v>
      </c>
      <c r="G337" s="11">
        <f t="shared" si="30"/>
        <v>-1.3457353541592783</v>
      </c>
    </row>
    <row r="338" spans="5:7" x14ac:dyDescent="0.25">
      <c r="E338" s="11">
        <f t="shared" si="28"/>
        <v>-4</v>
      </c>
      <c r="F338" s="11">
        <f t="shared" si="29"/>
        <v>-1.0882285993422822</v>
      </c>
      <c r="G338" s="11">
        <f t="shared" si="30"/>
        <v>-1.0862344826629622</v>
      </c>
    </row>
    <row r="339" spans="5:7" x14ac:dyDescent="0.25">
      <c r="E339" s="11">
        <f t="shared" si="28"/>
        <v>-3</v>
      </c>
      <c r="F339" s="11">
        <f t="shared" si="29"/>
        <v>-0.82252757013469102</v>
      </c>
      <c r="G339" s="11">
        <f t="shared" si="30"/>
        <v>-0.82206579522306811</v>
      </c>
    </row>
    <row r="340" spans="5:7" x14ac:dyDescent="0.25">
      <c r="E340" s="11">
        <f t="shared" si="28"/>
        <v>-2</v>
      </c>
      <c r="F340" s="11">
        <f t="shared" si="29"/>
        <v>-0.5526219305398703</v>
      </c>
      <c r="G340" s="11">
        <f t="shared" si="30"/>
        <v>-0.55307400811540441</v>
      </c>
    </row>
    <row r="341" spans="5:7" x14ac:dyDescent="0.25">
      <c r="E341" s="11">
        <f t="shared" si="28"/>
        <v>-1</v>
      </c>
      <c r="F341" s="11">
        <f t="shared" si="29"/>
        <v>-0.2784607023598234</v>
      </c>
      <c r="G341" s="11">
        <f t="shared" si="30"/>
        <v>-0.27910383761577895</v>
      </c>
    </row>
    <row r="342" spans="5:7" x14ac:dyDescent="0.25">
      <c r="E342" s="11">
        <f t="shared" si="28"/>
        <v>0</v>
      </c>
      <c r="F342" s="11">
        <f t="shared" si="29"/>
        <v>0</v>
      </c>
      <c r="G342" s="11">
        <f t="shared" si="30"/>
        <v>0</v>
      </c>
    </row>
    <row r="343" spans="5:7" x14ac:dyDescent="0.25">
      <c r="E343" s="11">
        <f t="shared" si="28"/>
        <v>1</v>
      </c>
      <c r="F343" s="11">
        <f t="shared" si="29"/>
        <v>0.28279686972348012</v>
      </c>
      <c r="G343" s="11">
        <f t="shared" si="30"/>
        <v>0.28434779006006278</v>
      </c>
    </row>
    <row r="344" spans="5:7" x14ac:dyDescent="0.25">
      <c r="E344" s="11">
        <f t="shared" si="28"/>
        <v>2</v>
      </c>
      <c r="F344" s="11">
        <f t="shared" si="29"/>
        <v>0.56995931968110969</v>
      </c>
      <c r="G344" s="11">
        <f t="shared" si="30"/>
        <v>0.57386982430829525</v>
      </c>
    </row>
    <row r="345" spans="5:7" x14ac:dyDescent="0.25">
      <c r="E345" s="11">
        <f t="shared" si="28"/>
        <v>3</v>
      </c>
      <c r="F345" s="11">
        <f t="shared" si="29"/>
        <v>0.8615094067938911</v>
      </c>
      <c r="G345" s="11">
        <f t="shared" si="30"/>
        <v>0.86845139609252175</v>
      </c>
    </row>
    <row r="346" spans="5:7" x14ac:dyDescent="0.25">
      <c r="E346" s="11">
        <f t="shared" si="28"/>
        <v>4</v>
      </c>
      <c r="F346" s="11">
        <f t="shared" si="29"/>
        <v>1.1574617690284053</v>
      </c>
      <c r="G346" s="11">
        <f t="shared" si="30"/>
        <v>1.1679777987605671</v>
      </c>
    </row>
    <row r="347" spans="5:7" x14ac:dyDescent="0.25">
      <c r="E347" s="11">
        <f t="shared" si="28"/>
        <v>5</v>
      </c>
      <c r="F347" s="11">
        <f t="shared" si="29"/>
        <v>1.4578235753900679</v>
      </c>
      <c r="G347" s="11">
        <f t="shared" si="30"/>
        <v>1.4723343256602548</v>
      </c>
    </row>
    <row r="348" spans="5:7" x14ac:dyDescent="0.25">
      <c r="E348" s="11">
        <f t="shared" si="28"/>
        <v>6</v>
      </c>
      <c r="F348" s="11">
        <f t="shared" si="29"/>
        <v>1.7625944892840357</v>
      </c>
      <c r="G348" s="11">
        <f t="shared" si="30"/>
        <v>1.7814062701394102</v>
      </c>
    </row>
    <row r="349" spans="5:7" x14ac:dyDescent="0.25">
      <c r="E349" s="11">
        <f t="shared" si="28"/>
        <v>7</v>
      </c>
      <c r="F349" s="11">
        <f t="shared" si="29"/>
        <v>2.0717666456156931</v>
      </c>
      <c r="G349" s="11">
        <f t="shared" si="30"/>
        <v>2.0950789255458573</v>
      </c>
    </row>
    <row r="350" spans="5:7" x14ac:dyDescent="0.25">
      <c r="E350" s="11">
        <f t="shared" si="28"/>
        <v>8</v>
      </c>
      <c r="F350" s="11">
        <f t="shared" si="29"/>
        <v>2.3853246420050884</v>
      </c>
      <c r="G350" s="11">
        <f t="shared" si="30"/>
        <v>2.4132375852274208</v>
      </c>
    </row>
    <row r="351" spans="5:7" x14ac:dyDescent="0.25">
      <c r="E351" s="11">
        <f t="shared" ref="E351:E414" si="31">E144</f>
        <v>9</v>
      </c>
      <c r="F351" s="11">
        <f t="shared" ref="F351:F414" si="32">$H$217*0+E351*$I$217+E351^2*$J$217+E351^3*$K$217+E351^4*$L$217+E351^5*$M$217+E351^6*$N$217+E351^7*$O$217+E351^8*$P$217</f>
        <v>2.7032455444921566</v>
      </c>
      <c r="G351" s="11">
        <f t="shared" ref="G351:G414" si="33">F144</f>
        <v>2.7357675425319252</v>
      </c>
    </row>
    <row r="352" spans="5:7" x14ac:dyDescent="0.25">
      <c r="E352" s="11">
        <f t="shared" si="31"/>
        <v>10</v>
      </c>
      <c r="F352" s="11">
        <f t="shared" si="32"/>
        <v>3.0254989081120081</v>
      </c>
      <c r="G352" s="11">
        <f t="shared" si="33"/>
        <v>3.0625540908071942</v>
      </c>
    </row>
    <row r="353" spans="5:7" x14ac:dyDescent="0.25">
      <c r="E353" s="11">
        <f t="shared" si="31"/>
        <v>11</v>
      </c>
      <c r="F353" s="11">
        <f t="shared" si="32"/>
        <v>3.3520468127220382</v>
      </c>
      <c r="G353" s="11">
        <f t="shared" si="33"/>
        <v>3.3934825234010533</v>
      </c>
    </row>
    <row r="354" spans="5:7" x14ac:dyDescent="0.25">
      <c r="E354" s="11">
        <f t="shared" si="31"/>
        <v>12</v>
      </c>
      <c r="F354" s="11">
        <f t="shared" si="32"/>
        <v>3.6828439144650331</v>
      </c>
      <c r="G354" s="11">
        <f t="shared" si="33"/>
        <v>3.7284381336613257</v>
      </c>
    </row>
    <row r="355" spans="5:7" x14ac:dyDescent="0.25">
      <c r="E355" s="11">
        <f t="shared" si="31"/>
        <v>13</v>
      </c>
      <c r="F355" s="11">
        <f t="shared" si="32"/>
        <v>4.0178375132549355</v>
      </c>
      <c r="G355" s="11">
        <f t="shared" si="33"/>
        <v>4.0673062149358374</v>
      </c>
    </row>
    <row r="356" spans="5:7" x14ac:dyDescent="0.25">
      <c r="E356" s="11">
        <f t="shared" si="31"/>
        <v>14</v>
      </c>
      <c r="F356" s="11">
        <f t="shared" si="32"/>
        <v>4.3569676366743799</v>
      </c>
      <c r="G356" s="11">
        <f t="shared" si="33"/>
        <v>4.4099720605724118</v>
      </c>
    </row>
    <row r="357" spans="5:7" x14ac:dyDescent="0.25">
      <c r="E357" s="11">
        <f t="shared" si="31"/>
        <v>15</v>
      </c>
      <c r="F357" s="11">
        <f t="shared" si="32"/>
        <v>4.700167140675525</v>
      </c>
      <c r="G357" s="11">
        <f t="shared" si="33"/>
        <v>4.7563209639188733</v>
      </c>
    </row>
    <row r="358" spans="5:7" x14ac:dyDescent="0.25">
      <c r="E358" s="11">
        <f t="shared" si="31"/>
        <v>16</v>
      </c>
      <c r="F358" s="11">
        <f t="shared" si="32"/>
        <v>5.047361827478241</v>
      </c>
      <c r="G358" s="11">
        <f t="shared" si="33"/>
        <v>5.1062382183230461</v>
      </c>
    </row>
    <row r="359" spans="5:7" x14ac:dyDescent="0.25">
      <c r="E359" s="11">
        <f t="shared" si="31"/>
        <v>17</v>
      </c>
      <c r="F359" s="11">
        <f t="shared" si="32"/>
        <v>5.3984705810620941</v>
      </c>
      <c r="G359" s="11">
        <f t="shared" si="33"/>
        <v>5.4596091171327554</v>
      </c>
    </row>
    <row r="360" spans="5:7" x14ac:dyDescent="0.25">
      <c r="E360" s="11">
        <f t="shared" si="31"/>
        <v>18</v>
      </c>
      <c r="F360" s="11">
        <f t="shared" si="32"/>
        <v>5.7534055206510413</v>
      </c>
      <c r="G360" s="11">
        <f t="shared" si="33"/>
        <v>5.8163189536958262</v>
      </c>
    </row>
    <row r="361" spans="5:7" x14ac:dyDescent="0.25">
      <c r="E361" s="11">
        <f t="shared" si="31"/>
        <v>19</v>
      </c>
      <c r="F361" s="11">
        <f t="shared" si="32"/>
        <v>6.1120721725922387</v>
      </c>
      <c r="G361" s="11">
        <f t="shared" si="33"/>
        <v>6.1762530213600808</v>
      </c>
    </row>
    <row r="362" spans="5:7" x14ac:dyDescent="0.25">
      <c r="E362" s="11">
        <f t="shared" si="31"/>
        <v>20</v>
      </c>
      <c r="F362" s="11">
        <f t="shared" si="32"/>
        <v>6.4743696610327763</v>
      </c>
      <c r="G362" s="11">
        <f t="shared" si="33"/>
        <v>6.5392966134733461</v>
      </c>
    </row>
    <row r="363" spans="5:7" x14ac:dyDescent="0.25">
      <c r="E363" s="11">
        <f t="shared" si="31"/>
        <v>21</v>
      </c>
      <c r="F363" s="11">
        <f t="shared" si="32"/>
        <v>6.8401909178006353</v>
      </c>
      <c r="G363" s="11">
        <f t="shared" si="33"/>
        <v>6.9053350233834454</v>
      </c>
    </row>
    <row r="364" spans="5:7" x14ac:dyDescent="0.25">
      <c r="E364" s="11">
        <f t="shared" si="31"/>
        <v>22</v>
      </c>
      <c r="F364" s="11">
        <f t="shared" si="32"/>
        <v>7.2094229118985975</v>
      </c>
      <c r="G364" s="11">
        <f t="shared" si="33"/>
        <v>7.2742535444382028</v>
      </c>
    </row>
    <row r="365" spans="5:7" x14ac:dyDescent="0.25">
      <c r="E365" s="11">
        <f t="shared" si="31"/>
        <v>23</v>
      </c>
      <c r="F365" s="11">
        <f t="shared" si="32"/>
        <v>7.5819468990223164</v>
      </c>
      <c r="G365" s="11">
        <f t="shared" si="33"/>
        <v>7.6459374699854425</v>
      </c>
    </row>
    <row r="366" spans="5:7" x14ac:dyDescent="0.25">
      <c r="E366" s="11">
        <f t="shared" si="31"/>
        <v>24</v>
      </c>
      <c r="F366" s="11">
        <f t="shared" si="32"/>
        <v>7.957638691516193</v>
      </c>
      <c r="G366" s="11">
        <f t="shared" si="33"/>
        <v>8.0202720933729896</v>
      </c>
    </row>
    <row r="367" spans="5:7" x14ac:dyDescent="0.25">
      <c r="E367" s="11">
        <f t="shared" si="31"/>
        <v>25</v>
      </c>
      <c r="F367" s="11">
        <f t="shared" si="32"/>
        <v>8.3363689491831447</v>
      </c>
      <c r="G367" s="11">
        <f t="shared" si="33"/>
        <v>8.3971427079486674</v>
      </c>
    </row>
    <row r="368" spans="5:7" x14ac:dyDescent="0.25">
      <c r="E368" s="11">
        <f t="shared" si="31"/>
        <v>26</v>
      </c>
      <c r="F368" s="11">
        <f t="shared" si="32"/>
        <v>8.7180034913668809</v>
      </c>
      <c r="G368" s="11">
        <f t="shared" si="33"/>
        <v>8.7764346070603043</v>
      </c>
    </row>
    <row r="369" spans="5:7" x14ac:dyDescent="0.25">
      <c r="E369" s="11">
        <f t="shared" si="31"/>
        <v>27</v>
      </c>
      <c r="F369" s="11">
        <f t="shared" si="32"/>
        <v>9.1024036307275953</v>
      </c>
      <c r="G369" s="11">
        <f t="shared" si="33"/>
        <v>9.1580330840557203</v>
      </c>
    </row>
    <row r="370" spans="5:7" x14ac:dyDescent="0.25">
      <c r="E370" s="11">
        <f t="shared" si="31"/>
        <v>28</v>
      </c>
      <c r="F370" s="11">
        <f t="shared" si="32"/>
        <v>9.4894265291346844</v>
      </c>
      <c r="G370" s="11">
        <f t="shared" si="33"/>
        <v>9.5418234322827402</v>
      </c>
    </row>
    <row r="371" spans="5:7" x14ac:dyDescent="0.25">
      <c r="E371" s="11">
        <f t="shared" si="31"/>
        <v>29</v>
      </c>
      <c r="F371" s="11">
        <f t="shared" si="32"/>
        <v>9.8789255761022687</v>
      </c>
      <c r="G371" s="11">
        <f t="shared" si="33"/>
        <v>9.927690945089191</v>
      </c>
    </row>
    <row r="372" spans="5:7" x14ac:dyDescent="0.25">
      <c r="E372" s="11">
        <f t="shared" si="31"/>
        <v>30</v>
      </c>
      <c r="F372" s="11">
        <f t="shared" si="32"/>
        <v>10.270750790196022</v>
      </c>
      <c r="G372" s="11">
        <f t="shared" si="33"/>
        <v>10.315520915822896</v>
      </c>
    </row>
    <row r="373" spans="5:7" x14ac:dyDescent="0.25">
      <c r="E373" s="11">
        <f t="shared" si="31"/>
        <v>31</v>
      </c>
      <c r="F373" s="11">
        <f t="shared" si="32"/>
        <v>10.664749243842028</v>
      </c>
      <c r="G373" s="11">
        <f t="shared" si="33"/>
        <v>10.705198637831678</v>
      </c>
    </row>
    <row r="374" spans="5:7" x14ac:dyDescent="0.25">
      <c r="E374" s="11">
        <f t="shared" si="31"/>
        <v>32</v>
      </c>
      <c r="F374" s="11">
        <f t="shared" si="32"/>
        <v>11.06076551197105</v>
      </c>
      <c r="G374" s="11">
        <f t="shared" si="33"/>
        <v>11.096609404463365</v>
      </c>
    </row>
    <row r="375" spans="5:7" x14ac:dyDescent="0.25">
      <c r="E375" s="11">
        <f t="shared" si="31"/>
        <v>33</v>
      </c>
      <c r="F375" s="11">
        <f t="shared" si="32"/>
        <v>11.458642144933879</v>
      </c>
      <c r="G375" s="11">
        <f t="shared" si="33"/>
        <v>11.489638509065777</v>
      </c>
    </row>
    <row r="376" spans="5:7" x14ac:dyDescent="0.25">
      <c r="E376" s="11">
        <f t="shared" si="31"/>
        <v>34</v>
      </c>
      <c r="F376" s="11">
        <f t="shared" si="32"/>
        <v>11.858220166126008</v>
      </c>
      <c r="G376" s="11">
        <f t="shared" si="33"/>
        <v>11.88417124498674</v>
      </c>
    </row>
    <row r="377" spans="5:7" x14ac:dyDescent="0.25">
      <c r="E377" s="11">
        <f t="shared" si="31"/>
        <v>35</v>
      </c>
      <c r="F377" s="11">
        <f t="shared" si="32"/>
        <v>12.259339594762231</v>
      </c>
      <c r="G377" s="11">
        <f t="shared" si="33"/>
        <v>12.280092905574083</v>
      </c>
    </row>
    <row r="378" spans="5:7" x14ac:dyDescent="0.25">
      <c r="E378" s="11">
        <f t="shared" si="31"/>
        <v>36</v>
      </c>
      <c r="F378" s="11">
        <f t="shared" si="32"/>
        <v>12.661839994244325</v>
      </c>
      <c r="G378" s="11">
        <f t="shared" si="33"/>
        <v>12.677288784175623</v>
      </c>
    </row>
    <row r="379" spans="5:7" x14ac:dyDescent="0.25">
      <c r="E379" s="11">
        <f t="shared" si="31"/>
        <v>37</v>
      </c>
      <c r="F379" s="11">
        <f t="shared" si="32"/>
        <v>13.065561046567344</v>
      </c>
      <c r="G379" s="11">
        <f t="shared" si="33"/>
        <v>13.075644174139189</v>
      </c>
    </row>
    <row r="380" spans="5:7" x14ac:dyDescent="0.25">
      <c r="E380" s="11">
        <f t="shared" si="31"/>
        <v>38</v>
      </c>
      <c r="F380" s="11">
        <f t="shared" si="32"/>
        <v>13.470343153212552</v>
      </c>
      <c r="G380" s="11">
        <f t="shared" si="33"/>
        <v>13.475044368812606</v>
      </c>
    </row>
    <row r="381" spans="5:7" x14ac:dyDescent="0.25">
      <c r="E381" s="11">
        <f t="shared" si="31"/>
        <v>39</v>
      </c>
      <c r="F381" s="11">
        <f t="shared" si="32"/>
        <v>13.876028062977426</v>
      </c>
      <c r="G381" s="11">
        <f t="shared" si="33"/>
        <v>13.875374661543695</v>
      </c>
    </row>
    <row r="382" spans="5:7" x14ac:dyDescent="0.25">
      <c r="E382" s="11">
        <f t="shared" si="31"/>
        <v>40</v>
      </c>
      <c r="F382" s="11">
        <f t="shared" si="32"/>
        <v>14.282459527195702</v>
      </c>
      <c r="G382" s="11">
        <f t="shared" si="33"/>
        <v>14.276520345680284</v>
      </c>
    </row>
    <row r="383" spans="5:7" x14ac:dyDescent="0.25">
      <c r="E383" s="11">
        <f t="shared" si="31"/>
        <v>41</v>
      </c>
      <c r="F383" s="11">
        <f t="shared" si="32"/>
        <v>14.689483982802843</v>
      </c>
      <c r="G383" s="11">
        <f t="shared" si="33"/>
        <v>14.678366714570194</v>
      </c>
    </row>
    <row r="384" spans="5:7" x14ac:dyDescent="0.25">
      <c r="E384" s="11">
        <f t="shared" si="31"/>
        <v>42</v>
      </c>
      <c r="F384" s="11">
        <f t="shared" si="32"/>
        <v>15.096951263704685</v>
      </c>
      <c r="G384" s="11">
        <f t="shared" si="33"/>
        <v>15.080799061561251</v>
      </c>
    </row>
    <row r="385" spans="5:7" x14ac:dyDescent="0.25">
      <c r="E385" s="11">
        <f t="shared" si="31"/>
        <v>43</v>
      </c>
      <c r="F385" s="11">
        <f t="shared" si="32"/>
        <v>15.504715340909643</v>
      </c>
      <c r="G385" s="11">
        <f t="shared" si="33"/>
        <v>15.483702680001281</v>
      </c>
    </row>
    <row r="386" spans="5:7" x14ac:dyDescent="0.25">
      <c r="E386" s="11">
        <f t="shared" si="31"/>
        <v>44</v>
      </c>
      <c r="F386" s="11">
        <f t="shared" si="32"/>
        <v>15.912635091887179</v>
      </c>
      <c r="G386" s="11">
        <f t="shared" si="33"/>
        <v>15.886962863238107</v>
      </c>
    </row>
    <row r="387" spans="5:7" x14ac:dyDescent="0.25">
      <c r="E387" s="11">
        <f t="shared" si="31"/>
        <v>45</v>
      </c>
      <c r="F387" s="11">
        <f t="shared" si="32"/>
        <v>16.320575099617663</v>
      </c>
      <c r="G387" s="11">
        <f t="shared" si="33"/>
        <v>16.290464904619554</v>
      </c>
    </row>
    <row r="388" spans="5:7" x14ac:dyDescent="0.25">
      <c r="E388" s="11">
        <f t="shared" si="31"/>
        <v>46</v>
      </c>
      <c r="F388" s="11">
        <f t="shared" si="32"/>
        <v>16.728406481801446</v>
      </c>
      <c r="G388" s="11">
        <f t="shared" si="33"/>
        <v>16.69411260978551</v>
      </c>
    </row>
    <row r="389" spans="5:7" x14ac:dyDescent="0.25">
      <c r="E389" s="11">
        <f t="shared" si="31"/>
        <v>47</v>
      </c>
      <c r="F389" s="11">
        <f t="shared" si="32"/>
        <v>17.136007750697019</v>
      </c>
      <c r="G389" s="11">
        <f t="shared" si="33"/>
        <v>17.097883833544127</v>
      </c>
    </row>
    <row r="390" spans="5:7" x14ac:dyDescent="0.25">
      <c r="E390" s="11">
        <f t="shared" si="31"/>
        <v>48</v>
      </c>
      <c r="F390" s="11">
        <f t="shared" si="32"/>
        <v>17.543265704061035</v>
      </c>
      <c r="G390" s="11">
        <f t="shared" si="33"/>
        <v>17.501774942995624</v>
      </c>
    </row>
    <row r="391" spans="5:7" x14ac:dyDescent="0.25">
      <c r="E391" s="11">
        <f t="shared" si="31"/>
        <v>49</v>
      </c>
      <c r="F391" s="11">
        <f t="shared" si="32"/>
        <v>17.950076347665085</v>
      </c>
      <c r="G391" s="11">
        <f t="shared" si="33"/>
        <v>17.905782305240209</v>
      </c>
    </row>
    <row r="392" spans="5:7" x14ac:dyDescent="0.25">
      <c r="E392" s="11">
        <f t="shared" si="31"/>
        <v>50</v>
      </c>
      <c r="F392" s="11">
        <f t="shared" si="32"/>
        <v>18.356345849866688</v>
      </c>
      <c r="G392" s="11">
        <f t="shared" si="33"/>
        <v>18.309902287378105</v>
      </c>
    </row>
    <row r="393" spans="5:7" x14ac:dyDescent="0.25">
      <c r="E393" s="11">
        <f t="shared" si="31"/>
        <v>51</v>
      </c>
      <c r="F393" s="11">
        <f t="shared" si="32"/>
        <v>18.761991528714528</v>
      </c>
      <c r="G393" s="11">
        <f t="shared" si="33"/>
        <v>18.714131256509525</v>
      </c>
    </row>
    <row r="394" spans="5:7" x14ac:dyDescent="0.25">
      <c r="E394" s="11">
        <f t="shared" si="31"/>
        <v>52</v>
      </c>
      <c r="F394" s="11">
        <f t="shared" si="32"/>
        <v>19.166942872070148</v>
      </c>
      <c r="G394" s="11">
        <f t="shared" si="33"/>
        <v>19.118465579734682</v>
      </c>
    </row>
    <row r="395" spans="5:7" x14ac:dyDescent="0.25">
      <c r="E395" s="11">
        <f t="shared" si="31"/>
        <v>53</v>
      </c>
      <c r="F395" s="11">
        <f t="shared" si="32"/>
        <v>19.571142591231112</v>
      </c>
      <c r="G395" s="11">
        <f t="shared" si="33"/>
        <v>19.522901624153796</v>
      </c>
    </row>
    <row r="396" spans="5:7" x14ac:dyDescent="0.25">
      <c r="E396" s="11">
        <f t="shared" si="31"/>
        <v>54</v>
      </c>
      <c r="F396" s="11">
        <f t="shared" si="32"/>
        <v>19.974547708542794</v>
      </c>
      <c r="G396" s="11">
        <f t="shared" si="33"/>
        <v>19.927435756867084</v>
      </c>
    </row>
    <row r="397" spans="5:7" x14ac:dyDescent="0.25">
      <c r="E397" s="11">
        <f t="shared" si="31"/>
        <v>55</v>
      </c>
      <c r="F397" s="11">
        <f t="shared" si="32"/>
        <v>20.377130679488598</v>
      </c>
      <c r="G397" s="11">
        <f t="shared" si="33"/>
        <v>20.332064344974761</v>
      </c>
    </row>
    <row r="398" spans="5:7" x14ac:dyDescent="0.25">
      <c r="E398" s="11">
        <f t="shared" si="31"/>
        <v>56</v>
      </c>
      <c r="F398" s="11">
        <f t="shared" si="32"/>
        <v>20.778880549750745</v>
      </c>
      <c r="G398" s="11">
        <f t="shared" si="33"/>
        <v>20.736783755577036</v>
      </c>
    </row>
    <row r="399" spans="5:7" x14ac:dyDescent="0.25">
      <c r="E399" s="11">
        <f t="shared" si="31"/>
        <v>57</v>
      </c>
      <c r="F399" s="11">
        <f t="shared" si="32"/>
        <v>21.179804147736363</v>
      </c>
      <c r="G399" s="11">
        <f t="shared" si="33"/>
        <v>21.141590355774134</v>
      </c>
    </row>
    <row r="400" spans="5:7" x14ac:dyDescent="0.25">
      <c r="E400" s="11">
        <f t="shared" si="31"/>
        <v>58</v>
      </c>
      <c r="F400" s="11">
        <f t="shared" si="32"/>
        <v>21.579927313065888</v>
      </c>
      <c r="G400" s="11">
        <f t="shared" si="33"/>
        <v>21.546480512666271</v>
      </c>
    </row>
    <row r="401" spans="5:7" x14ac:dyDescent="0.25">
      <c r="E401" s="11">
        <f t="shared" si="31"/>
        <v>59</v>
      </c>
      <c r="F401" s="11">
        <f t="shared" si="32"/>
        <v>21.979296161523486</v>
      </c>
      <c r="G401" s="11">
        <f t="shared" si="33"/>
        <v>21.951450593353652</v>
      </c>
    </row>
    <row r="402" spans="5:7" x14ac:dyDescent="0.25">
      <c r="E402" s="11">
        <f t="shared" si="31"/>
        <v>60</v>
      </c>
      <c r="F402" s="11">
        <f t="shared" si="32"/>
        <v>22.377978386971247</v>
      </c>
      <c r="G402" s="11">
        <f t="shared" si="33"/>
        <v>22.356496964936504</v>
      </c>
    </row>
    <row r="403" spans="5:7" x14ac:dyDescent="0.25">
      <c r="E403" s="11">
        <f t="shared" si="31"/>
        <v>61</v>
      </c>
      <c r="F403" s="11">
        <f t="shared" si="32"/>
        <v>22.776064600731942</v>
      </c>
      <c r="G403" s="11">
        <f t="shared" si="33"/>
        <v>22.76161599451504</v>
      </c>
    </row>
    <row r="404" spans="5:7" x14ac:dyDescent="0.25">
      <c r="E404" s="11">
        <f t="shared" si="31"/>
        <v>62</v>
      </c>
      <c r="F404" s="11">
        <f t="shared" si="32"/>
        <v>23.173669708947017</v>
      </c>
      <c r="G404" s="11">
        <f t="shared" si="33"/>
        <v>23.166804049189473</v>
      </c>
    </row>
    <row r="405" spans="5:7" x14ac:dyDescent="0.25">
      <c r="E405" s="11">
        <f t="shared" si="31"/>
        <v>63</v>
      </c>
      <c r="F405" s="11">
        <f t="shared" si="32"/>
        <v>23.570934328419273</v>
      </c>
      <c r="G405" s="11">
        <f t="shared" si="33"/>
        <v>23.572057496060019</v>
      </c>
    </row>
    <row r="406" spans="5:7" x14ac:dyDescent="0.25">
      <c r="E406" s="11">
        <f t="shared" si="31"/>
        <v>64</v>
      </c>
      <c r="F406" s="11">
        <f t="shared" si="32"/>
        <v>23.968026241452208</v>
      </c>
      <c r="G406" s="11">
        <f t="shared" si="33"/>
        <v>23.977372702226894</v>
      </c>
    </row>
    <row r="407" spans="5:7" x14ac:dyDescent="0.25">
      <c r="E407" s="11">
        <f t="shared" si="31"/>
        <v>65</v>
      </c>
      <c r="F407" s="11">
        <f t="shared" si="32"/>
        <v>24.3651418902</v>
      </c>
      <c r="G407" s="11">
        <f t="shared" si="33"/>
        <v>24.382746034790323</v>
      </c>
    </row>
    <row r="408" spans="5:7" x14ac:dyDescent="0.25">
      <c r="E408" s="11">
        <f t="shared" si="31"/>
        <v>66</v>
      </c>
      <c r="F408" s="11">
        <f t="shared" si="32"/>
        <v>24.762507911045194</v>
      </c>
      <c r="G408" s="11">
        <f t="shared" si="33"/>
        <v>24.788173860850506</v>
      </c>
    </row>
    <row r="409" spans="5:7" x14ac:dyDescent="0.25">
      <c r="E409" s="11">
        <f t="shared" si="31"/>
        <v>67</v>
      </c>
      <c r="F409" s="11">
        <f t="shared" si="32"/>
        <v>25.160382709523091</v>
      </c>
      <c r="G409" s="11">
        <f t="shared" si="33"/>
        <v>25.193652547507668</v>
      </c>
    </row>
    <row r="410" spans="5:7" x14ac:dyDescent="0.25">
      <c r="E410" s="11">
        <f t="shared" si="31"/>
        <v>68</v>
      </c>
      <c r="F410" s="11">
        <f t="shared" si="32"/>
        <v>25.559058076314567</v>
      </c>
      <c r="G410" s="11">
        <f t="shared" si="33"/>
        <v>25.599178461862028</v>
      </c>
    </row>
    <row r="411" spans="5:7" x14ac:dyDescent="0.25">
      <c r="E411" s="11">
        <f t="shared" si="31"/>
        <v>69</v>
      </c>
      <c r="F411" s="11">
        <f t="shared" si="32"/>
        <v>25.95886084483136</v>
      </c>
      <c r="G411" s="11">
        <f t="shared" si="33"/>
        <v>26.004747971013799</v>
      </c>
    </row>
    <row r="412" spans="5:7" x14ac:dyDescent="0.25">
      <c r="E412" s="11">
        <f t="shared" si="31"/>
        <v>70</v>
      </c>
      <c r="F412" s="11">
        <f t="shared" si="32"/>
        <v>26.360154590920516</v>
      </c>
      <c r="G412" s="11">
        <f t="shared" si="33"/>
        <v>26.410357442063187</v>
      </c>
    </row>
    <row r="413" spans="5:7" x14ac:dyDescent="0.25">
      <c r="E413" s="11">
        <f t="shared" si="31"/>
        <v>71</v>
      </c>
      <c r="F413" s="11">
        <f t="shared" si="32"/>
        <v>26.763341375216815</v>
      </c>
      <c r="G413" s="11">
        <f t="shared" si="33"/>
        <v>26.816003242110426</v>
      </c>
    </row>
    <row r="414" spans="5:7" x14ac:dyDescent="0.25">
      <c r="E414" s="11">
        <f t="shared" si="31"/>
        <v>72</v>
      </c>
      <c r="F414" s="11">
        <f t="shared" si="32"/>
        <v>27.168863528674866</v>
      </c>
      <c r="G414" s="11">
        <f t="shared" si="33"/>
        <v>27.221681738255718</v>
      </c>
    </row>
    <row r="415" spans="5:7" x14ac:dyDescent="0.25">
      <c r="E415" s="11">
        <f t="shared" ref="E415:E422" si="34">E208</f>
        <v>73</v>
      </c>
      <c r="F415" s="11">
        <f t="shared" ref="F415:F422" si="35">$H$217*0+E415*$I$217+E415^2*$J$217+E415^3*$K$217+E415^4*$L$217+E415^5*$M$217+E415^6*$N$217+E415^7*$O$217+E415^8*$P$217</f>
        <v>27.577205481814609</v>
      </c>
      <c r="G415" s="11">
        <f t="shared" ref="G415:G422" si="36">F208</f>
        <v>27.627389297599279</v>
      </c>
    </row>
    <row r="416" spans="5:7" x14ac:dyDescent="0.25">
      <c r="E416" s="11">
        <f t="shared" si="34"/>
        <v>74</v>
      </c>
      <c r="F416" s="11">
        <f t="shared" si="35"/>
        <v>27.988895638216647</v>
      </c>
      <c r="G416" s="11">
        <f t="shared" si="36"/>
        <v>28.033122287241337</v>
      </c>
    </row>
    <row r="417" spans="5:7" x14ac:dyDescent="0.25">
      <c r="E417" s="11">
        <f t="shared" si="34"/>
        <v>75</v>
      </c>
      <c r="F417" s="11">
        <f t="shared" si="35"/>
        <v>28.404508292806394</v>
      </c>
      <c r="G417" s="11">
        <f t="shared" si="36"/>
        <v>28.438877074282097</v>
      </c>
    </row>
    <row r="418" spans="5:7" x14ac:dyDescent="0.25">
      <c r="E418" s="11">
        <f t="shared" si="34"/>
        <v>76</v>
      </c>
      <c r="F418" s="11">
        <f t="shared" si="35"/>
        <v>28.824665595468062</v>
      </c>
      <c r="G418" s="11">
        <f t="shared" si="36"/>
        <v>28.844650025821775</v>
      </c>
    </row>
    <row r="419" spans="5:7" x14ac:dyDescent="0.25">
      <c r="E419" s="11">
        <f t="shared" si="34"/>
        <v>77</v>
      </c>
      <c r="F419" s="11">
        <f t="shared" si="35"/>
        <v>29.250039560532411</v>
      </c>
      <c r="G419" s="11">
        <f t="shared" si="36"/>
        <v>29.250437508960591</v>
      </c>
    </row>
    <row r="420" spans="5:7" x14ac:dyDescent="0.25">
      <c r="E420" s="11">
        <f t="shared" si="34"/>
        <v>78</v>
      </c>
      <c r="F420" s="11">
        <f t="shared" si="35"/>
        <v>29.681354122684478</v>
      </c>
      <c r="G420" s="11">
        <f t="shared" si="36"/>
        <v>29.656235890798762</v>
      </c>
    </row>
    <row r="421" spans="5:7" x14ac:dyDescent="0.25">
      <c r="E421" s="11">
        <f t="shared" si="34"/>
        <v>79</v>
      </c>
      <c r="F421" s="11">
        <f t="shared" si="35"/>
        <v>30.119387239839757</v>
      </c>
      <c r="G421" s="11">
        <f t="shared" si="36"/>
        <v>30.062041538436496</v>
      </c>
    </row>
    <row r="422" spans="5:7" x14ac:dyDescent="0.25">
      <c r="E422" s="11">
        <f t="shared" si="34"/>
        <v>80</v>
      </c>
      <c r="F422" s="11">
        <f t="shared" si="35"/>
        <v>30.564973043540157</v>
      </c>
      <c r="G422" s="11">
        <f t="shared" si="36"/>
        <v>30.467850818974018</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9.2579999999999998E-5</v>
      </c>
      <c r="C3" s="2">
        <v>1.818E-4</v>
      </c>
      <c r="D3" s="2">
        <v>-5.6130000000000004E-4</v>
      </c>
      <c r="E3" s="2">
        <v>0</v>
      </c>
      <c r="F3" s="2">
        <v>0</v>
      </c>
      <c r="G3" s="2">
        <v>0</v>
      </c>
      <c r="H3" s="2">
        <v>8.1911684999999996E-5</v>
      </c>
      <c r="I3" s="2">
        <v>1.9397290000000001E-5</v>
      </c>
      <c r="J3" s="2">
        <v>-2.2904438E-4</v>
      </c>
      <c r="K3" s="3"/>
      <c r="L3" s="3">
        <f>-B3/D3</f>
        <v>0.16493853554249063</v>
      </c>
      <c r="M3" s="3"/>
      <c r="N3" s="2">
        <f>IF('Modell einstellen'!$B$1="Voll",H3/0.35,H3/0.35*2)</f>
        <v>2.3403338571428571E-4</v>
      </c>
      <c r="O3" s="2">
        <f>IF('Modell einstellen'!$B$1="Voll",J3/0.35,J3/0.35*2)</f>
        <v>-6.5441251428571432E-4</v>
      </c>
      <c r="P3" s="3">
        <f>-N3/O3</f>
        <v>0.35762364044906925</v>
      </c>
      <c r="Q3" s="3"/>
      <c r="R3" s="3"/>
      <c r="S3" s="3"/>
      <c r="T3" s="3"/>
      <c r="U3" s="3"/>
      <c r="V3" s="3"/>
      <c r="W3" s="3"/>
    </row>
    <row r="4" spans="1:23" x14ac:dyDescent="0.25">
      <c r="A4" s="2">
        <v>1E-14</v>
      </c>
      <c r="B4" s="2">
        <v>9.2579999999999998E-5</v>
      </c>
      <c r="C4" s="2">
        <v>1.818E-4</v>
      </c>
      <c r="D4" s="2">
        <v>-5.6130000000000004E-4</v>
      </c>
      <c r="E4" s="2">
        <v>0</v>
      </c>
      <c r="F4" s="2">
        <v>0</v>
      </c>
      <c r="G4" s="2">
        <v>0</v>
      </c>
      <c r="H4" s="2">
        <v>8.1913908000000004E-5</v>
      </c>
      <c r="I4" s="2">
        <v>1.9397893E-5</v>
      </c>
      <c r="J4" s="2">
        <v>-2.2904034000000001E-4</v>
      </c>
      <c r="K4" s="3"/>
      <c r="L4" s="3">
        <f t="shared" ref="L4:L33" si="0">-B4/D4</f>
        <v>0.16493853554249063</v>
      </c>
      <c r="M4" s="3"/>
      <c r="N4" s="2">
        <f>IF('Modell einstellen'!$B$1="Voll",H4/0.35,H4/0.35*2)</f>
        <v>2.3403973714285716E-4</v>
      </c>
      <c r="O4" s="2">
        <f>IF('Modell einstellen'!$B$1="Voll",J4/0.35,J4/0.35*2)</f>
        <v>-6.5440097142857156E-4</v>
      </c>
      <c r="P4" s="3">
        <f t="shared" ref="P4:P33" si="1">-N4/O4</f>
        <v>0.3576396542198636</v>
      </c>
      <c r="Q4" s="3"/>
      <c r="R4" s="3"/>
      <c r="S4" s="3"/>
      <c r="T4" s="3"/>
      <c r="U4" s="3"/>
      <c r="V4" s="3"/>
      <c r="W4" s="3"/>
    </row>
    <row r="5" spans="1:23" x14ac:dyDescent="0.25">
      <c r="A5" s="2">
        <v>1E-13</v>
      </c>
      <c r="B5" s="2">
        <v>9.2579999999999998E-5</v>
      </c>
      <c r="C5" s="2">
        <v>1.818E-4</v>
      </c>
      <c r="D5" s="2">
        <v>-5.6130000000000004E-4</v>
      </c>
      <c r="E5" s="2">
        <v>0</v>
      </c>
      <c r="F5" s="2">
        <v>0</v>
      </c>
      <c r="G5" s="2">
        <v>0</v>
      </c>
      <c r="H5" s="2">
        <v>8.1914210999999999E-5</v>
      </c>
      <c r="I5" s="2">
        <v>1.9398029999999998E-5</v>
      </c>
      <c r="J5" s="2">
        <v>-2.2904115999999999E-4</v>
      </c>
      <c r="K5" s="3"/>
      <c r="L5" s="3">
        <f t="shared" si="0"/>
        <v>0.16493853554249063</v>
      </c>
      <c r="M5" s="3"/>
      <c r="N5" s="2">
        <f>IF('Modell einstellen'!$B$1="Voll",H5/0.35,H5/0.35*2)</f>
        <v>2.3404060285714287E-4</v>
      </c>
      <c r="O5" s="2">
        <f>IF('Modell einstellen'!$B$1="Voll",J5/0.35,J5/0.35*2)</f>
        <v>-6.5440331428571433E-4</v>
      </c>
      <c r="P5" s="3">
        <f t="shared" si="1"/>
        <v>0.35763969672525237</v>
      </c>
      <c r="Q5" s="3"/>
      <c r="R5" s="3"/>
      <c r="S5" s="3"/>
      <c r="T5" s="3"/>
      <c r="U5" s="3"/>
      <c r="V5" s="3"/>
      <c r="W5" s="3"/>
    </row>
    <row r="6" spans="1:23" x14ac:dyDescent="0.25">
      <c r="A6" s="2">
        <v>9.9999999999999998E-13</v>
      </c>
      <c r="B6" s="2">
        <v>9.2579999999999998E-5</v>
      </c>
      <c r="C6" s="2">
        <v>1.818E-4</v>
      </c>
      <c r="D6" s="2">
        <v>-5.6130000000000004E-4</v>
      </c>
      <c r="E6" s="2">
        <v>0</v>
      </c>
      <c r="F6" s="2">
        <v>0</v>
      </c>
      <c r="G6" s="2">
        <v>0</v>
      </c>
      <c r="H6" s="2">
        <v>8.1914309999999997E-5</v>
      </c>
      <c r="I6" s="2">
        <v>1.9398066E-5</v>
      </c>
      <c r="J6" s="2">
        <v>-2.2904140999999999E-4</v>
      </c>
      <c r="K6" s="3"/>
      <c r="L6" s="3">
        <f t="shared" si="0"/>
        <v>0.16493853554249063</v>
      </c>
      <c r="M6" s="3"/>
      <c r="N6" s="2">
        <f>IF('Modell einstellen'!$B$1="Voll",H6/0.35,H6/0.35*2)</f>
        <v>2.3404088571428572E-4</v>
      </c>
      <c r="O6" s="2">
        <f>IF('Modell einstellen'!$B$1="Voll",J6/0.35,J6/0.35*2)</f>
        <v>-6.5440402857142857E-4</v>
      </c>
      <c r="P6" s="3">
        <f t="shared" si="1"/>
        <v>0.35763973859574127</v>
      </c>
      <c r="Q6" s="3"/>
      <c r="R6" s="3"/>
      <c r="S6" s="3"/>
      <c r="T6" s="3"/>
      <c r="U6" s="3"/>
      <c r="V6" s="3"/>
      <c r="W6" s="3"/>
    </row>
    <row r="7" spans="1:23" x14ac:dyDescent="0.25">
      <c r="A7" s="2">
        <v>9.9999999999999994E-12</v>
      </c>
      <c r="B7" s="2">
        <v>9.2579999999999998E-5</v>
      </c>
      <c r="C7" s="2">
        <v>1.818E-4</v>
      </c>
      <c r="D7" s="2">
        <v>-5.6130000000000004E-4</v>
      </c>
      <c r="E7" s="2">
        <v>0</v>
      </c>
      <c r="F7" s="2">
        <v>0</v>
      </c>
      <c r="G7" s="2">
        <v>0</v>
      </c>
      <c r="H7" s="2">
        <v>8.1914343E-5</v>
      </c>
      <c r="I7" s="2">
        <v>1.9398076000000001E-5</v>
      </c>
      <c r="J7" s="2">
        <v>-2.2904148000000001E-4</v>
      </c>
      <c r="K7" s="3"/>
      <c r="L7" s="3">
        <f t="shared" si="0"/>
        <v>0.16493853554249063</v>
      </c>
      <c r="M7" s="3"/>
      <c r="N7" s="2">
        <f>IF('Modell einstellen'!$B$1="Voll",H7/0.35,H7/0.35*2)</f>
        <v>2.3404098000000002E-4</v>
      </c>
      <c r="O7" s="2">
        <f>IF('Modell einstellen'!$B$1="Voll",J7/0.35,J7/0.35*2)</f>
        <v>-6.5440422857142863E-4</v>
      </c>
      <c r="P7" s="3">
        <f t="shared" si="1"/>
        <v>0.35763977337205471</v>
      </c>
      <c r="Q7" s="3"/>
      <c r="R7" s="3"/>
      <c r="S7" s="3"/>
      <c r="T7" s="3"/>
      <c r="U7" s="3"/>
      <c r="V7" s="3"/>
      <c r="W7" s="3"/>
    </row>
    <row r="8" spans="1:23" x14ac:dyDescent="0.25">
      <c r="A8" s="2">
        <v>1E-10</v>
      </c>
      <c r="B8" s="2">
        <v>9.2579999999999998E-5</v>
      </c>
      <c r="C8" s="2">
        <v>1.818E-4</v>
      </c>
      <c r="D8" s="2">
        <v>-5.6130000000000004E-4</v>
      </c>
      <c r="E8" s="2">
        <v>0</v>
      </c>
      <c r="F8" s="2">
        <v>0</v>
      </c>
      <c r="G8" s="2">
        <v>0</v>
      </c>
      <c r="H8" s="2">
        <v>8.1914353999999997E-5</v>
      </c>
      <c r="I8" s="2">
        <v>1.9398078999999999E-5</v>
      </c>
      <c r="J8" s="2">
        <v>-2.2904151E-4</v>
      </c>
      <c r="K8" s="3"/>
      <c r="L8" s="3">
        <f t="shared" si="0"/>
        <v>0.16493853554249063</v>
      </c>
      <c r="M8" s="3"/>
      <c r="N8" s="2">
        <f>IF('Modell einstellen'!$B$1="Voll",H8/0.35,H8/0.35*2)</f>
        <v>2.3404101142857143E-4</v>
      </c>
      <c r="O8" s="2">
        <f>IF('Modell einstellen'!$B$1="Voll",J8/0.35,J8/0.35*2)</f>
        <v>-6.5440431428571435E-4</v>
      </c>
      <c r="P8" s="3">
        <f t="shared" si="1"/>
        <v>0.35763977455440282</v>
      </c>
      <c r="Q8" s="3"/>
      <c r="R8" s="3"/>
      <c r="S8" s="3"/>
      <c r="T8" s="3"/>
      <c r="U8" s="3"/>
      <c r="V8" s="3"/>
      <c r="W8" s="3"/>
    </row>
    <row r="9" spans="1:23" x14ac:dyDescent="0.25">
      <c r="A9" s="2">
        <v>1.0000000000000001E-9</v>
      </c>
      <c r="B9" s="2">
        <v>9.2579999999999998E-5</v>
      </c>
      <c r="C9" s="2">
        <v>1.818E-4</v>
      </c>
      <c r="D9" s="2">
        <v>-5.6130000000000004E-4</v>
      </c>
      <c r="E9" s="2">
        <v>0</v>
      </c>
      <c r="F9" s="2">
        <v>0</v>
      </c>
      <c r="G9" s="2">
        <v>0</v>
      </c>
      <c r="H9" s="2">
        <v>8.1914357999999995E-5</v>
      </c>
      <c r="I9" s="2">
        <v>1.9398079999999998E-5</v>
      </c>
      <c r="J9" s="2">
        <v>-2.2904151E-4</v>
      </c>
      <c r="K9" s="3"/>
      <c r="L9" s="3">
        <f t="shared" si="0"/>
        <v>0.16493853554249063</v>
      </c>
      <c r="M9" s="3"/>
      <c r="N9" s="2">
        <f>IF('Modell einstellen'!$B$1="Voll",H9/0.35,H9/0.35*2)</f>
        <v>2.3404102285714285E-4</v>
      </c>
      <c r="O9" s="2">
        <f>IF('Modell einstellen'!$B$1="Voll",J9/0.35,J9/0.35*2)</f>
        <v>-6.5440431428571435E-4</v>
      </c>
      <c r="P9" s="3">
        <f t="shared" si="1"/>
        <v>0.35763979201848606</v>
      </c>
      <c r="Q9" s="3"/>
      <c r="R9" s="3"/>
      <c r="S9" s="3"/>
      <c r="T9" s="3"/>
      <c r="U9" s="3"/>
      <c r="V9" s="3"/>
      <c r="W9" s="3"/>
    </row>
    <row r="10" spans="1:23" x14ac:dyDescent="0.25">
      <c r="A10" s="2">
        <v>1E-8</v>
      </c>
      <c r="B10" s="2">
        <v>9.2579999999999998E-5</v>
      </c>
      <c r="C10" s="2">
        <v>1.818E-4</v>
      </c>
      <c r="D10" s="2">
        <v>-5.6130000000000004E-4</v>
      </c>
      <c r="E10" s="2">
        <v>0</v>
      </c>
      <c r="F10" s="2">
        <v>0</v>
      </c>
      <c r="G10" s="2">
        <v>0</v>
      </c>
      <c r="H10" s="2">
        <v>8.1914359000000004E-5</v>
      </c>
      <c r="I10" s="2">
        <v>1.9398079999999998E-5</v>
      </c>
      <c r="J10" s="2">
        <v>-2.2904151999999999E-4</v>
      </c>
      <c r="K10" s="3"/>
      <c r="L10" s="3">
        <f t="shared" si="0"/>
        <v>0.16493853554249063</v>
      </c>
      <c r="M10" s="3"/>
      <c r="N10" s="2">
        <f>IF('Modell einstellen'!$B$1="Voll",H10/0.35,H10/0.35*2)</f>
        <v>2.3404102571428575E-4</v>
      </c>
      <c r="O10" s="2">
        <f>IF('Modell einstellen'!$B$1="Voll",J10/0.35,J10/0.35*2)</f>
        <v>-6.5440434285714288E-4</v>
      </c>
      <c r="P10" s="3">
        <f t="shared" si="1"/>
        <v>0.35763978076987968</v>
      </c>
      <c r="Q10" s="3"/>
      <c r="R10" s="3"/>
      <c r="S10" s="3"/>
      <c r="T10" s="3"/>
      <c r="U10" s="3"/>
      <c r="V10" s="3"/>
      <c r="W10" s="3"/>
    </row>
    <row r="11" spans="1:23" x14ac:dyDescent="0.25">
      <c r="A11" s="2">
        <v>9.9999999999999995E-8</v>
      </c>
      <c r="B11" s="2">
        <v>9.2579999999999998E-5</v>
      </c>
      <c r="C11" s="2">
        <v>1.818E-4</v>
      </c>
      <c r="D11" s="2">
        <v>-5.6130000000000004E-4</v>
      </c>
      <c r="E11" s="2">
        <v>0</v>
      </c>
      <c r="F11" s="2">
        <v>0</v>
      </c>
      <c r="G11" s="2">
        <v>0</v>
      </c>
      <c r="H11" s="2">
        <v>8.1914363000000002E-5</v>
      </c>
      <c r="I11" s="2">
        <v>1.9398081000000001E-5</v>
      </c>
      <c r="J11" s="2">
        <v>-2.2904151999999999E-4</v>
      </c>
      <c r="K11" s="3"/>
      <c r="L11" s="3">
        <f t="shared" si="0"/>
        <v>0.16493853554249063</v>
      </c>
      <c r="M11" s="3"/>
      <c r="N11" s="2">
        <f>IF('Modell einstellen'!$B$1="Voll",H11/0.35,H11/0.35*2)</f>
        <v>2.3404103714285717E-4</v>
      </c>
      <c r="O11" s="2">
        <f>IF('Modell einstellen'!$B$1="Voll",J11/0.35,J11/0.35*2)</f>
        <v>-6.5440434285714288E-4</v>
      </c>
      <c r="P11" s="3">
        <f t="shared" si="1"/>
        <v>0.35763979823396214</v>
      </c>
      <c r="Q11" s="3"/>
      <c r="R11" s="3"/>
      <c r="S11" s="3"/>
      <c r="T11" s="3"/>
      <c r="U11" s="3"/>
      <c r="V11" s="3"/>
      <c r="W11" s="3"/>
    </row>
    <row r="12" spans="1:23" x14ac:dyDescent="0.25">
      <c r="A12" s="2">
        <v>9.9999999999999995E-7</v>
      </c>
      <c r="B12" s="2">
        <v>9.2579999999999998E-5</v>
      </c>
      <c r="C12" s="2">
        <v>1.818E-4</v>
      </c>
      <c r="D12" s="2">
        <v>-5.6130000000000004E-4</v>
      </c>
      <c r="E12" s="2">
        <v>0</v>
      </c>
      <c r="F12" s="2">
        <v>0</v>
      </c>
      <c r="G12" s="2">
        <v>0</v>
      </c>
      <c r="H12" s="2">
        <v>8.1914389000000006E-5</v>
      </c>
      <c r="I12" s="2">
        <v>1.9398086000000002E-5</v>
      </c>
      <c r="J12" s="2">
        <v>-2.2904157E-4</v>
      </c>
      <c r="K12" s="3"/>
      <c r="L12" s="3">
        <f t="shared" si="0"/>
        <v>0.16493853554249063</v>
      </c>
      <c r="M12" s="3"/>
      <c r="N12" s="2">
        <f>IF('Modell einstellen'!$B$1="Voll",H12/0.35,H12/0.35*2)</f>
        <v>2.3404111142857147E-4</v>
      </c>
      <c r="O12" s="2">
        <f>IF('Modell einstellen'!$B$1="Voll",J12/0.35,J12/0.35*2)</f>
        <v>-6.5440448571428577E-4</v>
      </c>
      <c r="P12" s="3">
        <f t="shared" si="1"/>
        <v>0.35763983367735386</v>
      </c>
      <c r="Q12" s="3"/>
      <c r="R12" s="3"/>
      <c r="S12" s="3"/>
      <c r="T12" s="3"/>
      <c r="U12" s="3"/>
      <c r="V12" s="3"/>
      <c r="W12" s="3"/>
    </row>
    <row r="13" spans="1:23" x14ac:dyDescent="0.25">
      <c r="A13" s="2">
        <v>1.0000000000000001E-5</v>
      </c>
      <c r="B13" s="2">
        <v>9.2579999999999998E-5</v>
      </c>
      <c r="C13" s="2">
        <v>1.818E-4</v>
      </c>
      <c r="D13" s="2">
        <v>-5.6130000000000004E-4</v>
      </c>
      <c r="E13" s="2">
        <v>0</v>
      </c>
      <c r="F13" s="2">
        <v>0</v>
      </c>
      <c r="G13" s="2">
        <v>0</v>
      </c>
      <c r="H13" s="2">
        <v>8.1914655E-5</v>
      </c>
      <c r="I13" s="2">
        <v>1.9398133E-5</v>
      </c>
      <c r="J13" s="2">
        <v>-2.2904204E-4</v>
      </c>
      <c r="K13" s="3"/>
      <c r="L13" s="3">
        <f t="shared" si="0"/>
        <v>0.16493853554249063</v>
      </c>
      <c r="M13" s="3"/>
      <c r="N13" s="2">
        <f>IF('Modell einstellen'!$B$1="Voll",H13/0.35,H13/0.35*2)</f>
        <v>2.3404187142857144E-4</v>
      </c>
      <c r="O13" s="2">
        <f>IF('Modell einstellen'!$B$1="Voll",J13/0.35,J13/0.35*2)</f>
        <v>-6.5440582857142864E-4</v>
      </c>
      <c r="P13" s="3">
        <f t="shared" si="1"/>
        <v>0.35764026115031106</v>
      </c>
      <c r="Q13" s="3"/>
      <c r="R13" s="3"/>
      <c r="S13" s="3"/>
      <c r="T13" s="3"/>
      <c r="U13" s="3"/>
      <c r="V13" s="3"/>
      <c r="W13" s="3"/>
    </row>
    <row r="14" spans="1:23" x14ac:dyDescent="0.25">
      <c r="A14" s="2">
        <v>1E-4</v>
      </c>
      <c r="B14" s="2">
        <v>9.2579999999999998E-5</v>
      </c>
      <c r="C14" s="2">
        <v>1.818E-4</v>
      </c>
      <c r="D14" s="2">
        <v>-5.6130000000000004E-4</v>
      </c>
      <c r="E14" s="2">
        <v>0</v>
      </c>
      <c r="F14" s="2">
        <v>0</v>
      </c>
      <c r="G14" s="2">
        <v>0</v>
      </c>
      <c r="H14" s="2">
        <v>8.1917310000000003E-5</v>
      </c>
      <c r="I14" s="2">
        <v>1.9398602E-5</v>
      </c>
      <c r="J14" s="2">
        <v>-2.2904669000000001E-4</v>
      </c>
      <c r="K14" s="3"/>
      <c r="L14" s="3">
        <f t="shared" si="0"/>
        <v>0.16493853554249063</v>
      </c>
      <c r="M14" s="3"/>
      <c r="N14" s="2">
        <f>IF('Modell einstellen'!$B$1="Voll",H14/0.35,H14/0.35*2)</f>
        <v>2.3404945714285716E-4</v>
      </c>
      <c r="O14" s="2">
        <f>IF('Modell einstellen'!$B$1="Voll",J14/0.35,J14/0.35*2)</f>
        <v>-6.5441911428571441E-4</v>
      </c>
      <c r="P14" s="3">
        <f t="shared" si="1"/>
        <v>0.35764459202619342</v>
      </c>
      <c r="Q14" s="3"/>
      <c r="R14" s="3"/>
      <c r="S14" s="3"/>
      <c r="T14" s="3"/>
      <c r="U14" s="3"/>
      <c r="V14" s="3"/>
      <c r="W14" s="3"/>
    </row>
    <row r="15" spans="1:23" x14ac:dyDescent="0.25">
      <c r="A15" s="2">
        <v>1E-3</v>
      </c>
      <c r="B15" s="2">
        <v>9.2570000000000003E-5</v>
      </c>
      <c r="C15" s="2">
        <v>1.819E-4</v>
      </c>
      <c r="D15" s="2">
        <v>-5.6130000000000004E-4</v>
      </c>
      <c r="E15" s="2">
        <v>0</v>
      </c>
      <c r="F15" s="2">
        <v>0</v>
      </c>
      <c r="G15" s="2">
        <v>0</v>
      </c>
      <c r="H15" s="2">
        <v>8.1943639000000006E-5</v>
      </c>
      <c r="I15" s="2">
        <v>1.9403253999999999E-5</v>
      </c>
      <c r="J15" s="2">
        <v>-2.2909286E-4</v>
      </c>
      <c r="K15" s="3"/>
      <c r="L15" s="3">
        <f t="shared" si="0"/>
        <v>0.16492071975770531</v>
      </c>
      <c r="M15" s="3"/>
      <c r="N15" s="2">
        <f>IF('Modell einstellen'!$B$1="Voll",H15/0.35,H15/0.35*2)</f>
        <v>2.341246828571429E-4</v>
      </c>
      <c r="O15" s="2">
        <f>IF('Modell einstellen'!$B$1="Voll",J15/0.35,J15/0.35*2)</f>
        <v>-6.545510285714286E-4</v>
      </c>
      <c r="P15" s="3">
        <f t="shared" si="1"/>
        <v>0.35768744167758004</v>
      </c>
      <c r="Q15" s="3"/>
      <c r="R15" s="3"/>
      <c r="S15" s="3"/>
      <c r="T15" s="3"/>
      <c r="U15" s="3"/>
      <c r="V15" s="3"/>
      <c r="W15" s="3"/>
    </row>
    <row r="16" spans="1:23" x14ac:dyDescent="0.25">
      <c r="A16" s="2">
        <v>0.01</v>
      </c>
      <c r="B16" s="2">
        <v>9.2499999999999999E-5</v>
      </c>
      <c r="C16" s="2">
        <v>1.8220000000000001E-4</v>
      </c>
      <c r="D16" s="2">
        <v>-5.6179999999999999E-4</v>
      </c>
      <c r="E16" s="2">
        <v>0</v>
      </c>
      <c r="F16" s="2">
        <v>0</v>
      </c>
      <c r="G16" s="2">
        <v>0</v>
      </c>
      <c r="H16" s="2">
        <v>8.2195656999999999E-5</v>
      </c>
      <c r="I16" s="2">
        <v>1.9447761E-5</v>
      </c>
      <c r="J16" s="2">
        <v>-2.2953473E-4</v>
      </c>
      <c r="K16" s="3"/>
      <c r="L16" s="3">
        <f t="shared" si="0"/>
        <v>0.16464934140263437</v>
      </c>
      <c r="M16" s="3"/>
      <c r="N16" s="2">
        <f>IF('Modell einstellen'!$B$1="Voll",H16/0.35,H16/0.35*2)</f>
        <v>2.3484473428571429E-4</v>
      </c>
      <c r="O16" s="2">
        <f>IF('Modell einstellen'!$B$1="Voll",J16/0.35,J16/0.35*2)</f>
        <v>-6.5581351428571437E-4</v>
      </c>
      <c r="P16" s="3">
        <f t="shared" si="1"/>
        <v>0.35809682046808339</v>
      </c>
      <c r="Q16" s="3"/>
      <c r="R16" s="3"/>
      <c r="S16" s="3"/>
      <c r="T16" s="3"/>
      <c r="U16" s="3"/>
      <c r="V16" s="3"/>
      <c r="W16" s="3"/>
    </row>
    <row r="17" spans="1:23" x14ac:dyDescent="0.25">
      <c r="A17" s="2">
        <v>0.1</v>
      </c>
      <c r="B17" s="2">
        <v>9.2509999999999993E-5</v>
      </c>
      <c r="C17" s="2">
        <v>1.853E-4</v>
      </c>
      <c r="D17" s="2">
        <v>-5.6599999999999999E-4</v>
      </c>
      <c r="E17" s="2">
        <v>0</v>
      </c>
      <c r="F17" s="2">
        <v>0</v>
      </c>
      <c r="G17" s="2">
        <v>0</v>
      </c>
      <c r="H17" s="2">
        <v>8.4157211999999994E-5</v>
      </c>
      <c r="I17" s="2">
        <v>1.9808870000000001E-5</v>
      </c>
      <c r="J17" s="2">
        <v>-2.3302018E-4</v>
      </c>
      <c r="K17" s="3"/>
      <c r="L17" s="3">
        <f t="shared" si="0"/>
        <v>0.1634452296819788</v>
      </c>
      <c r="M17" s="3"/>
      <c r="N17" s="2">
        <f>IF('Modell einstellen'!$B$1="Voll",H17/0.35,H17/0.35*2)</f>
        <v>2.4044917714285713E-4</v>
      </c>
      <c r="O17" s="2">
        <f>IF('Modell einstellen'!$B$1="Voll",J17/0.35,J17/0.35*2)</f>
        <v>-6.6577194285714295E-4</v>
      </c>
      <c r="P17" s="3">
        <f t="shared" si="1"/>
        <v>0.36115847133926332</v>
      </c>
      <c r="Q17" s="3"/>
      <c r="R17" s="3"/>
      <c r="S17" s="3"/>
      <c r="T17" s="3"/>
      <c r="U17" s="3"/>
      <c r="V17" s="3"/>
      <c r="W17" s="3"/>
    </row>
    <row r="18" spans="1:23" x14ac:dyDescent="0.25">
      <c r="A18" s="2">
        <v>1</v>
      </c>
      <c r="B18" s="2">
        <v>9.2150000000000004E-5</v>
      </c>
      <c r="C18" s="2">
        <v>1.9029999999999999E-4</v>
      </c>
      <c r="D18" s="2">
        <v>-5.7269999999999999E-4</v>
      </c>
      <c r="E18" s="2">
        <v>0</v>
      </c>
      <c r="F18" s="2">
        <v>0</v>
      </c>
      <c r="G18" s="2">
        <v>0</v>
      </c>
      <c r="H18" s="2">
        <v>8.7515288000000006E-5</v>
      </c>
      <c r="I18" s="2">
        <v>2.0412704E-5</v>
      </c>
      <c r="J18" s="2">
        <v>-2.3892124999999999E-4</v>
      </c>
      <c r="K18" s="3"/>
      <c r="L18" s="3">
        <f t="shared" si="0"/>
        <v>0.16090448751527853</v>
      </c>
      <c r="M18" s="3"/>
      <c r="N18" s="2">
        <f>IF('Modell einstellen'!$B$1="Voll",H18/0.35,H18/0.35*2)</f>
        <v>2.5004368000000003E-4</v>
      </c>
      <c r="O18" s="2">
        <f>IF('Modell einstellen'!$B$1="Voll",J18/0.35,J18/0.35*2)</f>
        <v>-6.8263214285714286E-4</v>
      </c>
      <c r="P18" s="3">
        <f t="shared" si="1"/>
        <v>0.36629344606224856</v>
      </c>
      <c r="Q18" s="3"/>
      <c r="R18" s="3"/>
      <c r="S18" s="3"/>
      <c r="T18" s="3"/>
      <c r="U18" s="3"/>
      <c r="V18" s="3"/>
      <c r="W18" s="3"/>
    </row>
    <row r="19" spans="1:23" x14ac:dyDescent="0.25">
      <c r="A19" s="2">
        <v>10</v>
      </c>
      <c r="B19" s="2">
        <v>9.1700000000000006E-5</v>
      </c>
      <c r="C19" s="2">
        <v>1.939E-4</v>
      </c>
      <c r="D19" s="2">
        <v>-5.7729999999999999E-4</v>
      </c>
      <c r="E19" s="2">
        <v>0</v>
      </c>
      <c r="F19" s="2">
        <v>0</v>
      </c>
      <c r="G19" s="2">
        <v>0</v>
      </c>
      <c r="H19" s="2">
        <v>9.0025809999999995E-5</v>
      </c>
      <c r="I19" s="2">
        <v>2.0855420000000002E-5</v>
      </c>
      <c r="J19" s="2">
        <v>-2.4329135000000001E-4</v>
      </c>
      <c r="K19" s="3"/>
      <c r="L19" s="3">
        <f t="shared" si="0"/>
        <v>0.15884288931231597</v>
      </c>
      <c r="M19" s="3"/>
      <c r="N19" s="2">
        <f>IF('Modell einstellen'!$B$1="Voll",H19/0.35,H19/0.35*2)</f>
        <v>2.5721659999999999E-4</v>
      </c>
      <c r="O19" s="2">
        <f>IF('Modell einstellen'!$B$1="Voll",J19/0.35,J19/0.35*2)</f>
        <v>-6.9511814285714288E-4</v>
      </c>
      <c r="P19" s="3">
        <f t="shared" si="1"/>
        <v>0.37003292554379758</v>
      </c>
      <c r="Q19" s="3"/>
      <c r="R19" s="3"/>
      <c r="S19" s="3"/>
      <c r="T19" s="3"/>
      <c r="U19" s="3"/>
      <c r="V19" s="3"/>
      <c r="W19" s="3"/>
    </row>
    <row r="20" spans="1:23" x14ac:dyDescent="0.25">
      <c r="A20" s="2">
        <v>100</v>
      </c>
      <c r="B20" s="2">
        <v>9.1089999999999997E-5</v>
      </c>
      <c r="C20" s="2">
        <v>1.9770000000000001E-4</v>
      </c>
      <c r="D20" s="2">
        <v>-5.8200000000000005E-4</v>
      </c>
      <c r="E20" s="2">
        <v>0</v>
      </c>
      <c r="F20" s="2">
        <v>0</v>
      </c>
      <c r="G20" s="2">
        <v>0</v>
      </c>
      <c r="H20" s="2">
        <v>9.2675169000000005E-5</v>
      </c>
      <c r="I20" s="2">
        <v>2.1316124E-5</v>
      </c>
      <c r="J20" s="2">
        <v>-2.4787277999999997E-4</v>
      </c>
      <c r="K20" s="3"/>
      <c r="L20" s="3">
        <f t="shared" si="0"/>
        <v>0.15651202749140891</v>
      </c>
      <c r="M20" s="3"/>
      <c r="N20" s="2">
        <f>IF('Modell einstellen'!$B$1="Voll",H20/0.35,H20/0.35*2)</f>
        <v>2.647861971428572E-4</v>
      </c>
      <c r="O20" s="2">
        <f>IF('Modell einstellen'!$B$1="Voll",J20/0.35,J20/0.35*2)</f>
        <v>-7.0820794285714282E-4</v>
      </c>
      <c r="P20" s="3">
        <f t="shared" si="1"/>
        <v>0.37388199301270603</v>
      </c>
      <c r="Q20" s="3"/>
      <c r="R20" s="3"/>
      <c r="S20" s="3"/>
      <c r="T20" s="3"/>
      <c r="U20" s="3"/>
      <c r="V20" s="3"/>
      <c r="W20" s="3"/>
    </row>
    <row r="21" spans="1:23" x14ac:dyDescent="0.25">
      <c r="A21" s="2">
        <v>1000</v>
      </c>
      <c r="B21" s="2">
        <v>9.0240000000000003E-5</v>
      </c>
      <c r="C21" s="2">
        <v>2.02E-4</v>
      </c>
      <c r="D21" s="2">
        <v>-5.8710000000000001E-4</v>
      </c>
      <c r="E21" s="2">
        <v>0</v>
      </c>
      <c r="F21" s="2">
        <v>0</v>
      </c>
      <c r="G21" s="2">
        <v>0</v>
      </c>
      <c r="H21" s="2">
        <v>9.5744999999999999E-5</v>
      </c>
      <c r="I21" s="2">
        <v>2.1847111999999999E-5</v>
      </c>
      <c r="J21" s="2">
        <v>-2.5315632000000001E-4</v>
      </c>
      <c r="K21" s="3"/>
      <c r="L21" s="3">
        <f t="shared" si="0"/>
        <v>0.15370464997445069</v>
      </c>
      <c r="M21" s="3"/>
      <c r="N21" s="2">
        <f>IF('Modell einstellen'!$B$1="Voll",H21/0.35,H21/0.35*2)</f>
        <v>2.7355714285714285E-4</v>
      </c>
      <c r="O21" s="2">
        <f>IF('Modell einstellen'!$B$1="Voll",J21/0.35,J21/0.35*2)</f>
        <v>-7.2330377142857153E-4</v>
      </c>
      <c r="P21" s="3">
        <f t="shared" si="1"/>
        <v>0.37820505527967851</v>
      </c>
      <c r="Q21" s="3"/>
      <c r="R21" s="3"/>
      <c r="S21" s="3"/>
      <c r="T21" s="3"/>
      <c r="U21" s="3"/>
      <c r="V21" s="3"/>
      <c r="W21" s="3"/>
    </row>
    <row r="22" spans="1:23" x14ac:dyDescent="0.25">
      <c r="A22" s="2">
        <v>10000</v>
      </c>
      <c r="B22" s="2">
        <v>8.9439999999999997E-5</v>
      </c>
      <c r="C22" s="2">
        <v>2.074E-4</v>
      </c>
      <c r="D22" s="2">
        <v>-5.9329999999999995E-4</v>
      </c>
      <c r="E22" s="2">
        <v>0</v>
      </c>
      <c r="F22" s="2">
        <v>0</v>
      </c>
      <c r="G22" s="2">
        <v>0</v>
      </c>
      <c r="H22" s="2">
        <v>9.9220661000000004E-5</v>
      </c>
      <c r="I22" s="2">
        <v>2.2509622999999998E-5</v>
      </c>
      <c r="J22" s="2">
        <v>-2.5928518999999999E-4</v>
      </c>
      <c r="K22" s="3"/>
      <c r="L22" s="3">
        <f t="shared" si="0"/>
        <v>0.15075004213719873</v>
      </c>
      <c r="M22" s="3"/>
      <c r="N22" s="2">
        <f>IF('Modell einstellen'!$B$1="Voll",H22/0.35,H22/0.35*2)</f>
        <v>2.8348760285714286E-4</v>
      </c>
      <c r="O22" s="2">
        <f>IF('Modell einstellen'!$B$1="Voll",J22/0.35,J22/0.35*2)</f>
        <v>-7.408148285714286E-4</v>
      </c>
      <c r="P22" s="3">
        <f t="shared" si="1"/>
        <v>0.38266998975143934</v>
      </c>
      <c r="Q22" s="3"/>
      <c r="R22" s="3"/>
      <c r="S22" s="3"/>
      <c r="T22" s="3"/>
      <c r="U22" s="3"/>
      <c r="V22" s="3"/>
      <c r="W22" s="3"/>
    </row>
    <row r="23" spans="1:23" x14ac:dyDescent="0.25">
      <c r="A23" s="2">
        <v>100000</v>
      </c>
      <c r="B23" s="2">
        <v>9.0779999999999995E-5</v>
      </c>
      <c r="C23" s="2">
        <v>2.1800000000000001E-4</v>
      </c>
      <c r="D23" s="2">
        <v>-6.0579999999999998E-4</v>
      </c>
      <c r="E23" s="2">
        <v>0</v>
      </c>
      <c r="F23" s="2">
        <v>0</v>
      </c>
      <c r="G23" s="2">
        <v>0</v>
      </c>
      <c r="H23" s="2">
        <v>1.0332945E-4</v>
      </c>
      <c r="I23" s="2">
        <v>2.3768475999999999E-5</v>
      </c>
      <c r="J23" s="2">
        <v>-2.6781461000000001E-4</v>
      </c>
      <c r="K23" s="3"/>
      <c r="L23" s="3">
        <f t="shared" si="0"/>
        <v>0.14985143611753055</v>
      </c>
      <c r="M23" s="3"/>
      <c r="N23" s="2">
        <f>IF('Modell einstellen'!$B$1="Voll",H23/0.35,H23/0.35*2)</f>
        <v>2.9522700000000001E-4</v>
      </c>
      <c r="O23" s="2">
        <f>IF('Modell einstellen'!$B$1="Voll",J23/0.35,J23/0.35*2)</f>
        <v>-7.6518460000000012E-4</v>
      </c>
      <c r="P23" s="3">
        <f t="shared" si="1"/>
        <v>0.38582454482225592</v>
      </c>
      <c r="Q23" s="3"/>
      <c r="R23" s="3"/>
      <c r="S23" s="3"/>
      <c r="T23" s="3"/>
      <c r="U23" s="3"/>
      <c r="V23" s="3"/>
      <c r="W23" s="3"/>
    </row>
    <row r="24" spans="1:23" x14ac:dyDescent="0.25">
      <c r="A24" s="2">
        <v>1000000</v>
      </c>
      <c r="B24" s="2">
        <v>9.8510000000000004E-5</v>
      </c>
      <c r="C24" s="2">
        <v>2.3949999999999999E-4</v>
      </c>
      <c r="D24" s="2">
        <v>-6.3270000000000004E-4</v>
      </c>
      <c r="E24" s="2">
        <v>0</v>
      </c>
      <c r="F24" s="2">
        <v>0</v>
      </c>
      <c r="G24" s="2">
        <v>0</v>
      </c>
      <c r="H24" s="2">
        <v>1.0807431E-4</v>
      </c>
      <c r="I24" s="2">
        <v>2.6286774999999999E-5</v>
      </c>
      <c r="J24" s="2">
        <v>-2.8058488999999998E-4</v>
      </c>
      <c r="K24" s="3"/>
      <c r="L24" s="3">
        <f t="shared" si="0"/>
        <v>0.15569780306622411</v>
      </c>
      <c r="M24" s="3"/>
      <c r="N24" s="2">
        <f>IF('Modell einstellen'!$B$1="Voll",H24/0.35,H24/0.35*2)</f>
        <v>3.0878374285714291E-4</v>
      </c>
      <c r="O24" s="2">
        <f>IF('Modell einstellen'!$B$1="Voll",J24/0.35,J24/0.35*2)</f>
        <v>-8.0167111428571425E-4</v>
      </c>
      <c r="P24" s="3">
        <f t="shared" si="1"/>
        <v>0.38517508907910197</v>
      </c>
      <c r="Q24" s="3"/>
      <c r="R24" s="3"/>
      <c r="S24" s="3"/>
      <c r="T24" s="3"/>
      <c r="U24" s="3"/>
      <c r="V24" s="3"/>
      <c r="W24" s="3"/>
    </row>
    <row r="25" spans="1:23" x14ac:dyDescent="0.25">
      <c r="A25" s="2">
        <v>10000000</v>
      </c>
      <c r="B25" s="2">
        <v>1.1120000000000001E-4</v>
      </c>
      <c r="C25" s="2">
        <v>2.675E-4</v>
      </c>
      <c r="D25" s="2">
        <v>-6.6969999999999996E-4</v>
      </c>
      <c r="E25" s="2">
        <v>0</v>
      </c>
      <c r="F25" s="2">
        <v>0</v>
      </c>
      <c r="G25" s="2">
        <v>0</v>
      </c>
      <c r="H25" s="2">
        <v>1.1333369E-4</v>
      </c>
      <c r="I25" s="2">
        <v>2.957988E-5</v>
      </c>
      <c r="J25" s="2">
        <v>-2.9617479E-4</v>
      </c>
      <c r="K25" s="3"/>
      <c r="L25" s="3">
        <f t="shared" si="0"/>
        <v>0.16604449753621026</v>
      </c>
      <c r="M25" s="3"/>
      <c r="N25" s="2">
        <f>IF('Modell einstellen'!$B$1="Voll",H25/0.35,H25/0.35*2)</f>
        <v>3.2381054285714287E-4</v>
      </c>
      <c r="O25" s="2">
        <f>IF('Modell einstellen'!$B$1="Voll",J25/0.35,J25/0.35*2)</f>
        <v>-8.4621368571428577E-4</v>
      </c>
      <c r="P25" s="3">
        <f t="shared" si="1"/>
        <v>0.38265812562912593</v>
      </c>
      <c r="Q25" s="3"/>
      <c r="R25" s="3"/>
      <c r="S25" s="3"/>
      <c r="T25" s="3"/>
      <c r="U25" s="3"/>
      <c r="V25" s="3"/>
      <c r="W25" s="3"/>
    </row>
    <row r="26" spans="1:23" x14ac:dyDescent="0.25">
      <c r="A26" s="2">
        <v>100000000</v>
      </c>
      <c r="B26" s="2">
        <v>1.2540000000000001E-4</v>
      </c>
      <c r="C26" s="2">
        <v>2.9460000000000001E-4</v>
      </c>
      <c r="D26" s="2">
        <v>-7.0790000000000002E-4</v>
      </c>
      <c r="E26" s="2">
        <v>0</v>
      </c>
      <c r="F26" s="2">
        <v>0</v>
      </c>
      <c r="G26" s="2">
        <v>0</v>
      </c>
      <c r="H26" s="2">
        <v>1.1901256E-4</v>
      </c>
      <c r="I26" s="2">
        <v>3.2821955999999998E-5</v>
      </c>
      <c r="J26" s="2">
        <v>-3.1218685999999997E-4</v>
      </c>
      <c r="K26" s="3"/>
      <c r="L26" s="3">
        <f t="shared" si="0"/>
        <v>0.17714366435937282</v>
      </c>
      <c r="M26" s="3"/>
      <c r="N26" s="2">
        <f>IF('Modell einstellen'!$B$1="Voll",H26/0.35,H26/0.35*2)</f>
        <v>3.4003588571428575E-4</v>
      </c>
      <c r="O26" s="2">
        <f>IF('Modell einstellen'!$B$1="Voll",J26/0.35,J26/0.35*2)</f>
        <v>-8.9196245714285715E-4</v>
      </c>
      <c r="P26" s="3">
        <f t="shared" si="1"/>
        <v>0.38122219493799325</v>
      </c>
      <c r="Q26" s="3"/>
      <c r="R26" s="3"/>
      <c r="S26" s="3"/>
      <c r="T26" s="3"/>
      <c r="U26" s="3"/>
      <c r="V26" s="3"/>
      <c r="W26" s="3"/>
    </row>
    <row r="27" spans="1:23" x14ac:dyDescent="0.25">
      <c r="A27" s="2">
        <v>1000000000</v>
      </c>
      <c r="B27" s="2">
        <v>1.3669999999999999E-4</v>
      </c>
      <c r="C27" s="2">
        <v>3.1960000000000002E-4</v>
      </c>
      <c r="D27" s="2">
        <v>-7.427E-4</v>
      </c>
      <c r="E27" s="2">
        <v>0</v>
      </c>
      <c r="F27" s="2">
        <v>0</v>
      </c>
      <c r="G27" s="2">
        <v>0</v>
      </c>
      <c r="H27" s="2">
        <v>1.2569493E-4</v>
      </c>
      <c r="I27" s="2">
        <v>3.5890207000000003E-5</v>
      </c>
      <c r="J27" s="2">
        <v>-3.2901679E-4</v>
      </c>
      <c r="K27" s="3"/>
      <c r="L27" s="3">
        <f t="shared" si="0"/>
        <v>0.18405816615053183</v>
      </c>
      <c r="M27" s="3"/>
      <c r="N27" s="2">
        <f>IF('Modell einstellen'!$B$1="Voll",H27/0.35,H27/0.35*2)</f>
        <v>3.5912837142857145E-4</v>
      </c>
      <c r="O27" s="2">
        <f>IF('Modell einstellen'!$B$1="Voll",J27/0.35,J27/0.35*2)</f>
        <v>-9.4004797142857143E-4</v>
      </c>
      <c r="P27" s="3">
        <f t="shared" si="1"/>
        <v>0.38203196256336952</v>
      </c>
      <c r="Q27" s="3"/>
      <c r="R27" s="3"/>
      <c r="S27" s="3"/>
      <c r="T27" s="3"/>
      <c r="U27" s="3"/>
      <c r="V27" s="3"/>
      <c r="W27" s="3"/>
    </row>
    <row r="28" spans="1:23" x14ac:dyDescent="0.25">
      <c r="A28" s="2">
        <v>10000000000</v>
      </c>
      <c r="B28" s="2">
        <v>1.44E-4</v>
      </c>
      <c r="C28" s="2">
        <v>3.4459999999999997E-4</v>
      </c>
      <c r="D28" s="2">
        <v>-7.7539999999999998E-4</v>
      </c>
      <c r="E28" s="2">
        <v>0</v>
      </c>
      <c r="F28" s="2">
        <v>0</v>
      </c>
      <c r="G28" s="2">
        <v>0</v>
      </c>
      <c r="H28" s="2">
        <v>1.3429652000000001E-4</v>
      </c>
      <c r="I28" s="2">
        <v>3.9065656000000001E-5</v>
      </c>
      <c r="J28" s="2">
        <v>-3.4860113E-4</v>
      </c>
      <c r="K28" s="3"/>
      <c r="L28" s="3">
        <f t="shared" si="0"/>
        <v>0.18571060098013928</v>
      </c>
      <c r="M28" s="3"/>
      <c r="N28" s="2">
        <f>IF('Modell einstellen'!$B$1="Voll",H28/0.35,H28/0.35*2)</f>
        <v>3.8370434285714292E-4</v>
      </c>
      <c r="O28" s="2">
        <f>IF('Modell einstellen'!$B$1="Voll",J28/0.35,J28/0.35*2)</f>
        <v>-9.9600322857142857E-4</v>
      </c>
      <c r="P28" s="3">
        <f t="shared" si="1"/>
        <v>0.38524407537061056</v>
      </c>
      <c r="Q28" s="3"/>
      <c r="R28" s="3"/>
      <c r="S28" s="3"/>
      <c r="T28" s="3"/>
      <c r="U28" s="3"/>
      <c r="V28" s="3"/>
      <c r="W28" s="3"/>
    </row>
    <row r="29" spans="1:23" x14ac:dyDescent="0.25">
      <c r="A29" s="2">
        <v>100000000000</v>
      </c>
      <c r="B29" s="2">
        <v>1.47E-4</v>
      </c>
      <c r="C29" s="2">
        <v>3.6949999999999998E-4</v>
      </c>
      <c r="D29" s="2">
        <v>-8.0480000000000005E-4</v>
      </c>
      <c r="E29" s="2">
        <v>0</v>
      </c>
      <c r="F29" s="2">
        <v>0</v>
      </c>
      <c r="G29" s="2">
        <v>0</v>
      </c>
      <c r="H29" s="2">
        <v>1.4406649000000001E-4</v>
      </c>
      <c r="I29" s="2">
        <v>4.2331096999999997E-5</v>
      </c>
      <c r="J29" s="2">
        <v>-3.6995224999999997E-4</v>
      </c>
      <c r="K29" s="3"/>
      <c r="L29" s="3">
        <f t="shared" si="0"/>
        <v>0.18265407554671967</v>
      </c>
      <c r="M29" s="3"/>
      <c r="N29" s="2">
        <f>IF('Modell einstellen'!$B$1="Voll",H29/0.35,H29/0.35*2)</f>
        <v>4.1161854285714291E-4</v>
      </c>
      <c r="O29" s="2">
        <f>IF('Modell einstellen'!$B$1="Voll",J29/0.35,J29/0.35*2)</f>
        <v>-1.0570064285714287E-3</v>
      </c>
      <c r="P29" s="3">
        <f t="shared" si="1"/>
        <v>0.3894191480116691</v>
      </c>
      <c r="Q29" s="3"/>
      <c r="R29" s="3"/>
      <c r="S29" s="3"/>
      <c r="T29" s="3"/>
      <c r="U29" s="3"/>
      <c r="V29" s="3"/>
      <c r="W29" s="3"/>
    </row>
    <row r="30" spans="1:23" x14ac:dyDescent="0.25">
      <c r="A30" s="2">
        <v>1000000000000</v>
      </c>
      <c r="B30" s="2">
        <v>1.45E-4</v>
      </c>
      <c r="C30" s="2">
        <v>3.9179999999999998E-4</v>
      </c>
      <c r="D30" s="2">
        <v>-8.2660000000000003E-4</v>
      </c>
      <c r="E30" s="2">
        <v>0</v>
      </c>
      <c r="F30" s="2">
        <v>0</v>
      </c>
      <c r="G30" s="2">
        <v>0</v>
      </c>
      <c r="H30" s="2">
        <v>1.5305127E-4</v>
      </c>
      <c r="I30" s="2">
        <v>4.5313260000000003E-5</v>
      </c>
      <c r="J30" s="2">
        <v>-3.8960635999999999E-4</v>
      </c>
      <c r="K30" s="3"/>
      <c r="L30" s="3">
        <f t="shared" si="0"/>
        <v>0.17541737236873942</v>
      </c>
      <c r="M30" s="3"/>
      <c r="N30" s="2">
        <f>IF('Modell einstellen'!$B$1="Voll",H30/0.35,H30/0.35*2)</f>
        <v>4.372893428571429E-4</v>
      </c>
      <c r="O30" s="2">
        <f>IF('Modell einstellen'!$B$1="Voll",J30/0.35,J30/0.35*2)</f>
        <v>-1.1131610285714285E-3</v>
      </c>
      <c r="P30" s="3">
        <f t="shared" si="1"/>
        <v>0.39283565596824449</v>
      </c>
      <c r="Q30" s="3"/>
      <c r="R30" s="3"/>
      <c r="S30" s="3"/>
      <c r="T30" s="3"/>
      <c r="U30" s="3"/>
      <c r="V30" s="3"/>
      <c r="W30" s="3"/>
    </row>
    <row r="31" spans="1:23" x14ac:dyDescent="0.25">
      <c r="A31" s="2">
        <v>10000000000000</v>
      </c>
      <c r="B31" s="2">
        <v>1.4109999999999999E-4</v>
      </c>
      <c r="C31" s="2">
        <v>4.126E-4</v>
      </c>
      <c r="D31" s="2">
        <v>-8.451E-4</v>
      </c>
      <c r="E31" s="2">
        <v>0</v>
      </c>
      <c r="F31" s="2">
        <v>0</v>
      </c>
      <c r="G31" s="2">
        <v>0</v>
      </c>
      <c r="H31" s="2">
        <v>1.6180456E-4</v>
      </c>
      <c r="I31" s="2">
        <v>4.8146841999999999E-5</v>
      </c>
      <c r="J31" s="2">
        <v>-4.0856607000000001E-4</v>
      </c>
      <c r="K31" s="3"/>
      <c r="L31" s="3">
        <f t="shared" si="0"/>
        <v>0.1669624896461957</v>
      </c>
      <c r="M31" s="3"/>
      <c r="N31" s="2">
        <f>IF('Modell einstellen'!$B$1="Voll",H31/0.35,H31/0.35*2)</f>
        <v>4.6229874285714286E-4</v>
      </c>
      <c r="O31" s="2">
        <f>IF('Modell einstellen'!$B$1="Voll",J31/0.35,J31/0.35*2)</f>
        <v>-1.1673316285714286E-3</v>
      </c>
      <c r="P31" s="3">
        <f t="shared" si="1"/>
        <v>0.39603034094338768</v>
      </c>
      <c r="Q31" s="3"/>
      <c r="R31" s="3"/>
      <c r="S31" s="3"/>
      <c r="T31" s="3"/>
      <c r="U31" s="3"/>
      <c r="V31" s="3"/>
      <c r="W31" s="3"/>
    </row>
    <row r="32" spans="1:23" x14ac:dyDescent="0.25">
      <c r="A32" s="2">
        <v>100000000000000</v>
      </c>
      <c r="B32" s="2">
        <v>1.338E-4</v>
      </c>
      <c r="C32" s="2">
        <v>4.3399999999999998E-4</v>
      </c>
      <c r="D32" s="2">
        <v>-8.6109999999999995E-4</v>
      </c>
      <c r="E32" s="2">
        <v>0</v>
      </c>
      <c r="F32" s="2">
        <v>0</v>
      </c>
      <c r="G32" s="2">
        <v>0</v>
      </c>
      <c r="H32" s="2">
        <v>1.7129524000000001E-4</v>
      </c>
      <c r="I32" s="2">
        <v>5.1122758999999999E-5</v>
      </c>
      <c r="J32" s="2">
        <v>-4.2885854999999998E-4</v>
      </c>
      <c r="K32" s="3"/>
      <c r="L32" s="3">
        <f t="shared" si="0"/>
        <v>0.15538265009871097</v>
      </c>
      <c r="M32" s="3"/>
      <c r="N32" s="2">
        <f>IF('Modell einstellen'!$B$1="Voll",H32/0.35,H32/0.35*2)</f>
        <v>4.8941497142857145E-4</v>
      </c>
      <c r="O32" s="2">
        <f>IF('Modell einstellen'!$B$1="Voll",J32/0.35,J32/0.35*2)</f>
        <v>-1.2253101428571429E-3</v>
      </c>
      <c r="P32" s="3">
        <f t="shared" si="1"/>
        <v>0.39942130103270651</v>
      </c>
      <c r="Q32" s="3"/>
      <c r="R32" s="3"/>
      <c r="S32" s="3"/>
      <c r="T32" s="3"/>
      <c r="U32" s="3"/>
      <c r="V32" s="3"/>
      <c r="W32" s="3"/>
    </row>
    <row r="33" spans="1:23" x14ac:dyDescent="0.25">
      <c r="A33" s="2">
        <v>1000000000000000</v>
      </c>
      <c r="B33" s="2">
        <v>1.2449999999999999E-4</v>
      </c>
      <c r="C33" s="2">
        <v>4.5590000000000002E-4</v>
      </c>
      <c r="D33" s="2">
        <v>-8.7569999999999998E-4</v>
      </c>
      <c r="E33" s="2">
        <v>0</v>
      </c>
      <c r="F33" s="2">
        <v>0</v>
      </c>
      <c r="G33" s="2">
        <v>0</v>
      </c>
      <c r="H33" s="2">
        <v>1.8134993E-4</v>
      </c>
      <c r="I33" s="2">
        <v>5.4219718000000001E-5</v>
      </c>
      <c r="J33" s="2">
        <v>-4.5018834999999998E-4</v>
      </c>
      <c r="K33" s="3"/>
      <c r="L33" s="3">
        <f t="shared" si="0"/>
        <v>0.14217197670435081</v>
      </c>
      <c r="M33" s="3"/>
      <c r="N33" s="2">
        <f>IF('Modell einstellen'!$B$1="Voll",H33/0.35,H33/0.35*2)</f>
        <v>5.1814265714285714E-4</v>
      </c>
      <c r="O33" s="2">
        <f>IF('Modell einstellen'!$B$1="Voll",J33/0.35,J33/0.35*2)</f>
        <v>-1.2862524285714287E-3</v>
      </c>
      <c r="P33" s="3">
        <f t="shared" si="1"/>
        <v>0.40283123719216629</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9.3599999999999998E-5</v>
      </c>
      <c r="C3" s="3">
        <v>1.8310000000000001E-4</v>
      </c>
      <c r="D3" s="3">
        <v>-5.6309999999999997E-4</v>
      </c>
      <c r="E3" s="3">
        <v>0</v>
      </c>
      <c r="F3" s="3">
        <v>0</v>
      </c>
      <c r="G3" s="3">
        <v>0</v>
      </c>
      <c r="H3" s="3">
        <v>8.1955227999999994E-5</v>
      </c>
      <c r="I3" s="3">
        <v>1.9533068E-5</v>
      </c>
      <c r="J3" s="3">
        <v>-2.2945855000000001E-4</v>
      </c>
      <c r="L3" s="3">
        <f>-B3/D3</f>
        <v>0.16622269579115612</v>
      </c>
      <c r="M3" s="3"/>
      <c r="N3" s="2">
        <f>IF('Modell einstellen'!$B$1="Voll",H3/0.35,H3/0.35*2)</f>
        <v>2.341577942857143E-4</v>
      </c>
      <c r="O3" s="2">
        <f>IF('Modell einstellen'!$B$1="Voll",J3/0.35,J3/0.35*2)</f>
        <v>-6.5559585714285726E-4</v>
      </c>
      <c r="P3" s="3">
        <f>-N3/O3</f>
        <v>0.35716789808006716</v>
      </c>
    </row>
    <row r="4" spans="1:16" x14ac:dyDescent="0.25">
      <c r="A4" s="3">
        <v>1E-14</v>
      </c>
      <c r="B4" s="3">
        <v>9.3599999999999998E-5</v>
      </c>
      <c r="C4" s="3">
        <v>1.8310000000000001E-4</v>
      </c>
      <c r="D4" s="3">
        <v>-5.6309999999999997E-4</v>
      </c>
      <c r="E4" s="3">
        <v>0</v>
      </c>
      <c r="F4" s="3">
        <v>0</v>
      </c>
      <c r="G4" s="3">
        <v>0</v>
      </c>
      <c r="H4" s="3">
        <v>8.1957495999999998E-5</v>
      </c>
      <c r="I4" s="3">
        <v>1.9533641000000001E-5</v>
      </c>
      <c r="J4" s="3">
        <v>-2.2945446000000001E-4</v>
      </c>
      <c r="L4" s="3">
        <f t="shared" ref="L4:L33" si="0">-B4/D4</f>
        <v>0.16622269579115612</v>
      </c>
      <c r="M4" s="3"/>
      <c r="N4" s="2">
        <f>IF('Modell einstellen'!$B$1="Voll",H4/0.35,H4/0.35*2)</f>
        <v>2.3416427428571429E-4</v>
      </c>
      <c r="O4" s="2">
        <f>IF('Modell einstellen'!$B$1="Voll",J4/0.35,J4/0.35*2)</f>
        <v>-6.555841714285715E-4</v>
      </c>
      <c r="P4" s="3">
        <f t="shared" ref="P4:P33" si="1">-N4/O4</f>
        <v>0.35718414887206806</v>
      </c>
    </row>
    <row r="5" spans="1:16" x14ac:dyDescent="0.25">
      <c r="A5" s="3">
        <v>1E-13</v>
      </c>
      <c r="B5" s="3">
        <v>9.3599999999999998E-5</v>
      </c>
      <c r="C5" s="3">
        <v>1.8310000000000001E-4</v>
      </c>
      <c r="D5" s="3">
        <v>-5.6309999999999997E-4</v>
      </c>
      <c r="E5" s="3">
        <v>0</v>
      </c>
      <c r="F5" s="3">
        <v>0</v>
      </c>
      <c r="G5" s="3">
        <v>0</v>
      </c>
      <c r="H5" s="3">
        <v>8.1957801999999995E-5</v>
      </c>
      <c r="I5" s="3">
        <v>1.9533777E-5</v>
      </c>
      <c r="J5" s="3">
        <v>-2.2945529E-4</v>
      </c>
      <c r="L5" s="3">
        <f t="shared" si="0"/>
        <v>0.16622269579115612</v>
      </c>
      <c r="M5" s="3"/>
      <c r="N5" s="2">
        <f>IF('Modell einstellen'!$B$1="Voll",H5/0.35,H5/0.35*2)</f>
        <v>2.3416514857142856E-4</v>
      </c>
      <c r="O5" s="2">
        <f>IF('Modell einstellen'!$B$1="Voll",J5/0.35,J5/0.35*2)</f>
        <v>-6.5558654285714291E-4</v>
      </c>
      <c r="P5" s="3">
        <f t="shared" si="1"/>
        <v>0.35718419043640259</v>
      </c>
    </row>
    <row r="6" spans="1:16" x14ac:dyDescent="0.25">
      <c r="A6" s="3">
        <v>9.9999999999999998E-13</v>
      </c>
      <c r="B6" s="3">
        <v>9.3599999999999998E-5</v>
      </c>
      <c r="C6" s="3">
        <v>1.8310000000000001E-4</v>
      </c>
      <c r="D6" s="3">
        <v>-5.6309999999999997E-4</v>
      </c>
      <c r="E6" s="3">
        <v>0</v>
      </c>
      <c r="F6" s="3">
        <v>0</v>
      </c>
      <c r="G6" s="3">
        <v>0</v>
      </c>
      <c r="H6" s="3">
        <v>8.1957919999999998E-5</v>
      </c>
      <c r="I6" s="3">
        <v>1.9533816E-5</v>
      </c>
      <c r="J6" s="3">
        <v>-2.2945556999999999E-4</v>
      </c>
      <c r="L6" s="3">
        <f t="shared" si="0"/>
        <v>0.16622269579115612</v>
      </c>
      <c r="M6" s="3"/>
      <c r="N6" s="2">
        <f>IF('Modell einstellen'!$B$1="Voll",H6/0.35,H6/0.35*2)</f>
        <v>2.3416548571428573E-4</v>
      </c>
      <c r="O6" s="2">
        <f>IF('Modell einstellen'!$B$1="Voll",J6/0.35,J6/0.35*2)</f>
        <v>-6.5558734285714286E-4</v>
      </c>
      <c r="P6" s="3">
        <f t="shared" si="1"/>
        <v>0.35718426883252391</v>
      </c>
    </row>
    <row r="7" spans="1:16" x14ac:dyDescent="0.25">
      <c r="A7" s="3">
        <v>9.9999999999999994E-12</v>
      </c>
      <c r="B7" s="3">
        <v>9.3599999999999998E-5</v>
      </c>
      <c r="C7" s="3">
        <v>1.8310000000000001E-4</v>
      </c>
      <c r="D7" s="3">
        <v>-5.6309999999999997E-4</v>
      </c>
      <c r="E7" s="3">
        <v>0</v>
      </c>
      <c r="F7" s="3">
        <v>0</v>
      </c>
      <c r="G7" s="3">
        <v>0</v>
      </c>
      <c r="H7" s="3">
        <v>8.1958139000000004E-5</v>
      </c>
      <c r="I7" s="3">
        <v>1.953386E-5</v>
      </c>
      <c r="J7" s="3">
        <v>-2.2945596999999999E-4</v>
      </c>
      <c r="L7" s="3">
        <f t="shared" si="0"/>
        <v>0.16622269579115612</v>
      </c>
      <c r="M7" s="3"/>
      <c r="N7" s="2">
        <f>IF('Modell einstellen'!$B$1="Voll",H7/0.35,H7/0.35*2)</f>
        <v>2.3416611142857146E-4</v>
      </c>
      <c r="O7" s="2">
        <f>IF('Modell einstellen'!$B$1="Voll",J7/0.35,J7/0.35*2)</f>
        <v>-6.5558848571428577E-4</v>
      </c>
      <c r="P7" s="3">
        <f t="shared" si="1"/>
        <v>0.35718460060115237</v>
      </c>
    </row>
    <row r="8" spans="1:16" x14ac:dyDescent="0.25">
      <c r="A8" s="3">
        <v>1E-10</v>
      </c>
      <c r="B8" s="3">
        <v>9.3599999999999998E-5</v>
      </c>
      <c r="C8" s="3">
        <v>1.8310000000000001E-4</v>
      </c>
      <c r="D8" s="3">
        <v>-5.6309999999999997E-4</v>
      </c>
      <c r="E8" s="3">
        <v>0</v>
      </c>
      <c r="F8" s="3">
        <v>0</v>
      </c>
      <c r="G8" s="3">
        <v>0</v>
      </c>
      <c r="H8" s="3">
        <v>8.1960015000000002E-5</v>
      </c>
      <c r="I8" s="3">
        <v>1.9534198000000001E-5</v>
      </c>
      <c r="J8" s="3">
        <v>-2.2945927999999999E-4</v>
      </c>
      <c r="L8" s="3">
        <f t="shared" si="0"/>
        <v>0.16622269579115612</v>
      </c>
      <c r="M8" s="3"/>
      <c r="N8" s="2">
        <f>IF('Modell einstellen'!$B$1="Voll",H8/0.35,H8/0.35*2)</f>
        <v>2.3417147142857145E-4</v>
      </c>
      <c r="O8" s="2">
        <f>IF('Modell einstellen'!$B$1="Voll",J8/0.35,J8/0.35*2)</f>
        <v>-6.555979428571429E-4</v>
      </c>
      <c r="P8" s="3">
        <f t="shared" si="1"/>
        <v>0.35718762387818875</v>
      </c>
    </row>
    <row r="9" spans="1:16" x14ac:dyDescent="0.25">
      <c r="A9" s="3">
        <v>1.0000000000000001E-9</v>
      </c>
      <c r="B9" s="3">
        <v>9.3599999999999998E-5</v>
      </c>
      <c r="C9" s="3">
        <v>1.8310000000000001E-4</v>
      </c>
      <c r="D9" s="3">
        <v>-5.6309999999999997E-4</v>
      </c>
      <c r="E9" s="3">
        <v>0</v>
      </c>
      <c r="F9" s="3">
        <v>0</v>
      </c>
      <c r="G9" s="3">
        <v>0</v>
      </c>
      <c r="H9" s="3">
        <v>8.1978550000000005E-5</v>
      </c>
      <c r="I9" s="3">
        <v>1.9537529999999999E-5</v>
      </c>
      <c r="J9" s="3">
        <v>-2.2949194999999999E-4</v>
      </c>
      <c r="L9" s="3">
        <f t="shared" si="0"/>
        <v>0.16622269579115612</v>
      </c>
      <c r="M9" s="3"/>
      <c r="N9" s="2">
        <f>IF('Modell einstellen'!$B$1="Voll",H9/0.35,H9/0.35*2)</f>
        <v>2.3422442857142859E-4</v>
      </c>
      <c r="O9" s="2">
        <f>IF('Modell einstellen'!$B$1="Voll",J9/0.35,J9/0.35*2)</f>
        <v>-6.5569128571428569E-4</v>
      </c>
      <c r="P9" s="3">
        <f t="shared" si="1"/>
        <v>0.35721754074598261</v>
      </c>
    </row>
    <row r="10" spans="1:16" x14ac:dyDescent="0.25">
      <c r="A10" s="3">
        <v>1E-8</v>
      </c>
      <c r="B10" s="3">
        <v>9.3540000000000002E-5</v>
      </c>
      <c r="C10" s="3">
        <v>1.8340000000000001E-4</v>
      </c>
      <c r="D10" s="3">
        <v>-5.6349999999999998E-4</v>
      </c>
      <c r="E10" s="3">
        <v>0</v>
      </c>
      <c r="F10" s="3">
        <v>0</v>
      </c>
      <c r="G10" s="3">
        <v>0</v>
      </c>
      <c r="H10" s="3">
        <v>8.2157547000000003E-5</v>
      </c>
      <c r="I10" s="3">
        <v>1.9569695999999999E-5</v>
      </c>
      <c r="J10" s="3">
        <v>-2.2980738999999999E-4</v>
      </c>
      <c r="L10" s="3">
        <f t="shared" si="0"/>
        <v>0.16599822537710737</v>
      </c>
      <c r="M10" s="3"/>
      <c r="N10" s="2">
        <f>IF('Modell einstellen'!$B$1="Voll",H10/0.35,H10/0.35*2)</f>
        <v>2.3473584857142859E-4</v>
      </c>
      <c r="O10" s="2">
        <f>IF('Modell einstellen'!$B$1="Voll",J10/0.35,J10/0.35*2)</f>
        <v>-6.5659254285714292E-4</v>
      </c>
      <c r="P10" s="3">
        <f t="shared" si="1"/>
        <v>0.35750611414193423</v>
      </c>
    </row>
    <row r="11" spans="1:16" x14ac:dyDescent="0.25">
      <c r="A11" s="3">
        <v>9.9999999999999995E-8</v>
      </c>
      <c r="B11" s="3">
        <v>9.3560000000000005E-5</v>
      </c>
      <c r="C11" s="3">
        <v>1.8569999999999999E-4</v>
      </c>
      <c r="D11" s="3">
        <v>-5.6680000000000001E-4</v>
      </c>
      <c r="E11" s="3">
        <v>0</v>
      </c>
      <c r="F11" s="3">
        <v>0</v>
      </c>
      <c r="G11" s="3">
        <v>0</v>
      </c>
      <c r="H11" s="3">
        <v>8.3673480000000003E-5</v>
      </c>
      <c r="I11" s="3">
        <v>1.9853087999999999E-5</v>
      </c>
      <c r="J11" s="3">
        <v>-2.3251451000000001E-4</v>
      </c>
      <c r="L11" s="3">
        <f t="shared" si="0"/>
        <v>0.16506704304869443</v>
      </c>
      <c r="M11" s="3"/>
      <c r="N11" s="2">
        <f>IF('Modell einstellen'!$B$1="Voll",H11/0.35,H11/0.35*2)</f>
        <v>2.3906708571428575E-4</v>
      </c>
      <c r="O11" s="2">
        <f>IF('Modell einstellen'!$B$1="Voll",J11/0.35,J11/0.35*2)</f>
        <v>-6.6432717142857146E-4</v>
      </c>
      <c r="P11" s="3">
        <f t="shared" si="1"/>
        <v>0.35986347690731219</v>
      </c>
    </row>
    <row r="12" spans="1:16" x14ac:dyDescent="0.25">
      <c r="A12" s="3">
        <v>9.9999999999999995E-7</v>
      </c>
      <c r="B12" s="3">
        <v>9.3239999999999995E-5</v>
      </c>
      <c r="C12" s="3">
        <v>1.9110000000000001E-4</v>
      </c>
      <c r="D12" s="3">
        <v>-5.7390000000000002E-4</v>
      </c>
      <c r="E12" s="3">
        <v>0</v>
      </c>
      <c r="F12" s="3">
        <v>0</v>
      </c>
      <c r="G12" s="3">
        <v>0</v>
      </c>
      <c r="H12" s="3">
        <v>8.7166915999999998E-5</v>
      </c>
      <c r="I12" s="3">
        <v>2.0493314000000001E-5</v>
      </c>
      <c r="J12" s="3">
        <v>-2.3869339000000001E-4</v>
      </c>
      <c r="L12" s="3">
        <f t="shared" si="0"/>
        <v>0.16246732880292733</v>
      </c>
      <c r="M12" s="3"/>
      <c r="N12" s="2">
        <f>IF('Modell einstellen'!$B$1="Voll",H12/0.35,H12/0.35*2)</f>
        <v>2.4904833142857141E-4</v>
      </c>
      <c r="O12" s="2">
        <f>IF('Modell einstellen'!$B$1="Voll",J12/0.35,J12/0.35*2)</f>
        <v>-6.8198111428571437E-4</v>
      </c>
      <c r="P12" s="3">
        <f t="shared" si="1"/>
        <v>0.36518361903528196</v>
      </c>
    </row>
    <row r="13" spans="1:16" x14ac:dyDescent="0.25">
      <c r="A13" s="3">
        <v>1.0000000000000001E-5</v>
      </c>
      <c r="B13" s="3">
        <v>9.2800000000000006E-5</v>
      </c>
      <c r="C13" s="3">
        <v>1.9479999999999999E-4</v>
      </c>
      <c r="D13" s="3">
        <v>-5.7870000000000003E-4</v>
      </c>
      <c r="E13" s="3">
        <v>0</v>
      </c>
      <c r="F13" s="3">
        <v>0</v>
      </c>
      <c r="G13" s="3">
        <v>0</v>
      </c>
      <c r="H13" s="3">
        <v>8.9703693999999997E-5</v>
      </c>
      <c r="I13" s="3">
        <v>2.0948508999999999E-5</v>
      </c>
      <c r="J13" s="3">
        <v>-2.4313414999999999E-4</v>
      </c>
      <c r="L13" s="3">
        <f t="shared" si="0"/>
        <v>0.16035942630032832</v>
      </c>
      <c r="M13" s="3"/>
      <c r="N13" s="2">
        <f>IF('Modell einstellen'!$B$1="Voll",H13/0.35,H13/0.35*2)</f>
        <v>2.5629626857142859E-4</v>
      </c>
      <c r="O13" s="2">
        <f>IF('Modell einstellen'!$B$1="Voll",J13/0.35,J13/0.35*2)</f>
        <v>-6.9466899999999997E-4</v>
      </c>
      <c r="P13" s="3">
        <f t="shared" si="1"/>
        <v>0.36894732393618918</v>
      </c>
    </row>
    <row r="14" spans="1:16" x14ac:dyDescent="0.25">
      <c r="A14" s="3">
        <v>1E-4</v>
      </c>
      <c r="B14" s="3">
        <v>9.2219999999999995E-5</v>
      </c>
      <c r="C14" s="3">
        <v>1.986E-4</v>
      </c>
      <c r="D14" s="3">
        <v>-5.8330000000000003E-4</v>
      </c>
      <c r="E14" s="3">
        <v>0</v>
      </c>
      <c r="F14" s="3">
        <v>0</v>
      </c>
      <c r="G14" s="3">
        <v>0</v>
      </c>
      <c r="H14" s="3">
        <v>9.2273075000000001E-5</v>
      </c>
      <c r="I14" s="3">
        <v>2.1402851000000001E-5</v>
      </c>
      <c r="J14" s="3">
        <v>-2.4760188000000002E-4</v>
      </c>
      <c r="L14" s="3">
        <f t="shared" si="0"/>
        <v>0.15810046288359333</v>
      </c>
      <c r="M14" s="3"/>
      <c r="N14" s="2">
        <f>IF('Modell einstellen'!$B$1="Voll",H14/0.35,H14/0.35*2)</f>
        <v>2.6363735714285717E-4</v>
      </c>
      <c r="O14" s="2">
        <f>IF('Modell einstellen'!$B$1="Voll",J14/0.35,J14/0.35*2)</f>
        <v>-7.0743394285714299E-4</v>
      </c>
      <c r="P14" s="3">
        <f t="shared" si="1"/>
        <v>0.37266710171990614</v>
      </c>
    </row>
    <row r="15" spans="1:16" x14ac:dyDescent="0.25">
      <c r="A15" s="3">
        <v>1E-3</v>
      </c>
      <c r="B15" s="3">
        <v>9.1370000000000001E-5</v>
      </c>
      <c r="C15" s="3">
        <v>2.028E-4</v>
      </c>
      <c r="D15" s="3">
        <v>-5.8830000000000004E-4</v>
      </c>
      <c r="E15" s="3">
        <v>0</v>
      </c>
      <c r="F15" s="3">
        <v>0</v>
      </c>
      <c r="G15" s="3">
        <v>0</v>
      </c>
      <c r="H15" s="3">
        <v>9.5300729999999996E-5</v>
      </c>
      <c r="I15" s="3">
        <v>2.1928888999999999E-5</v>
      </c>
      <c r="J15" s="3">
        <v>-2.5282488999999998E-4</v>
      </c>
      <c r="L15" s="3">
        <f t="shared" si="0"/>
        <v>0.15531191568927416</v>
      </c>
      <c r="M15" s="3"/>
      <c r="N15" s="2">
        <f>IF('Modell einstellen'!$B$1="Voll",H15/0.35,H15/0.35*2)</f>
        <v>2.7228780000000002E-4</v>
      </c>
      <c r="O15" s="2">
        <f>IF('Modell einstellen'!$B$1="Voll",J15/0.35,J15/0.35*2)</f>
        <v>-7.2235682857142854E-4</v>
      </c>
      <c r="P15" s="3">
        <f t="shared" si="1"/>
        <v>0.37694362291624062</v>
      </c>
    </row>
    <row r="16" spans="1:16" x14ac:dyDescent="0.25">
      <c r="A16" s="3">
        <v>0.01</v>
      </c>
      <c r="B16" s="3">
        <v>9.0190000000000002E-5</v>
      </c>
      <c r="C16" s="3">
        <v>2.075E-4</v>
      </c>
      <c r="D16" s="3">
        <v>-5.9360000000000001E-4</v>
      </c>
      <c r="E16" s="3">
        <v>0</v>
      </c>
      <c r="F16" s="3">
        <v>0</v>
      </c>
      <c r="G16" s="3">
        <v>0</v>
      </c>
      <c r="H16" s="3">
        <v>9.8677099000000002E-5</v>
      </c>
      <c r="I16" s="3">
        <v>2.2503769000000001E-5</v>
      </c>
      <c r="J16" s="3">
        <v>-2.5859754999999998E-4</v>
      </c>
      <c r="L16" s="3">
        <f t="shared" si="0"/>
        <v>0.15193733153638814</v>
      </c>
      <c r="M16" s="3"/>
      <c r="N16" s="2">
        <f>IF('Modell einstellen'!$B$1="Voll",H16/0.35,H16/0.35*2)</f>
        <v>2.8193456857142861E-4</v>
      </c>
      <c r="O16" s="2">
        <f>IF('Modell einstellen'!$B$1="Voll",J16/0.35,J16/0.35*2)</f>
        <v>-7.3885014285714288E-4</v>
      </c>
      <c r="P16" s="3">
        <f t="shared" si="1"/>
        <v>0.38158559120146346</v>
      </c>
    </row>
    <row r="17" spans="1:16" x14ac:dyDescent="0.25">
      <c r="A17" s="3">
        <v>0.1</v>
      </c>
      <c r="B17" s="3">
        <v>8.8490000000000001E-5</v>
      </c>
      <c r="C17" s="3">
        <v>2.129E-4</v>
      </c>
      <c r="D17" s="3">
        <v>-5.9929999999999998E-4</v>
      </c>
      <c r="E17" s="3">
        <v>0</v>
      </c>
      <c r="F17" s="3">
        <v>0</v>
      </c>
      <c r="G17" s="3">
        <v>0</v>
      </c>
      <c r="H17" s="3">
        <v>1.0272073E-4</v>
      </c>
      <c r="I17" s="3">
        <v>2.3176527000000001E-5</v>
      </c>
      <c r="J17" s="3">
        <v>-2.6544246000000002E-4</v>
      </c>
      <c r="L17" s="3">
        <f t="shared" si="0"/>
        <v>0.14765559819789756</v>
      </c>
      <c r="M17" s="3"/>
      <c r="N17" s="2">
        <f>IF('Modell einstellen'!$B$1="Voll",H17/0.35,H17/0.35*2)</f>
        <v>2.9348780000000005E-4</v>
      </c>
      <c r="O17" s="2">
        <f>IF('Modell einstellen'!$B$1="Voll",J17/0.35,J17/0.35*2)</f>
        <v>-7.5840702857142865E-4</v>
      </c>
      <c r="P17" s="3">
        <f t="shared" si="1"/>
        <v>0.38697927226864914</v>
      </c>
    </row>
    <row r="18" spans="1:16" x14ac:dyDescent="0.25">
      <c r="A18" s="3">
        <v>1</v>
      </c>
      <c r="B18" s="3">
        <v>8.6139999999999999E-5</v>
      </c>
      <c r="C18" s="3">
        <v>2.1880000000000001E-4</v>
      </c>
      <c r="D18" s="3">
        <v>-6.0530000000000002E-4</v>
      </c>
      <c r="E18" s="3">
        <v>0</v>
      </c>
      <c r="F18" s="3">
        <v>0</v>
      </c>
      <c r="G18" s="3">
        <v>0</v>
      </c>
      <c r="H18" s="3">
        <v>1.0739275E-4</v>
      </c>
      <c r="I18" s="3">
        <v>2.3933487000000002E-5</v>
      </c>
      <c r="J18" s="3">
        <v>-2.7326219999999999E-4</v>
      </c>
      <c r="L18" s="3">
        <f t="shared" si="0"/>
        <v>0.14230959854617545</v>
      </c>
      <c r="M18" s="3"/>
      <c r="N18" s="2">
        <f>IF('Modell einstellen'!$B$1="Voll",H18/0.35,H18/0.35*2)</f>
        <v>3.0683642857142862E-4</v>
      </c>
      <c r="O18" s="2">
        <f>IF('Modell einstellen'!$B$1="Voll",J18/0.35,J18/0.35*2)</f>
        <v>-7.8074914285714285E-4</v>
      </c>
      <c r="P18" s="3">
        <f t="shared" si="1"/>
        <v>0.39300258140350192</v>
      </c>
    </row>
    <row r="19" spans="1:16" x14ac:dyDescent="0.25">
      <c r="A19" s="3">
        <v>10</v>
      </c>
      <c r="B19" s="3">
        <v>8.3109999999999995E-5</v>
      </c>
      <c r="C19" s="3">
        <v>2.252E-4</v>
      </c>
      <c r="D19" s="3">
        <v>-6.11E-4</v>
      </c>
      <c r="E19" s="3">
        <v>0</v>
      </c>
      <c r="F19" s="3">
        <v>0</v>
      </c>
      <c r="G19" s="3">
        <v>0</v>
      </c>
      <c r="H19" s="3">
        <v>1.1255491E-4</v>
      </c>
      <c r="I19" s="3">
        <v>2.4751402E-5</v>
      </c>
      <c r="J19" s="3">
        <v>-2.8181301000000002E-4</v>
      </c>
      <c r="L19" s="3">
        <f t="shared" si="0"/>
        <v>0.13602291325695581</v>
      </c>
      <c r="M19" s="3"/>
      <c r="N19" s="2">
        <f>IF('Modell einstellen'!$B$1="Voll",H19/0.35,H19/0.35*2)</f>
        <v>3.215854571428572E-4</v>
      </c>
      <c r="O19" s="2">
        <f>IF('Modell einstellen'!$B$1="Voll",J19/0.35,J19/0.35*2)</f>
        <v>-8.0518002857142871E-4</v>
      </c>
      <c r="P19" s="3">
        <f t="shared" si="1"/>
        <v>0.39939571987822703</v>
      </c>
    </row>
    <row r="20" spans="1:16" x14ac:dyDescent="0.25">
      <c r="A20" s="3">
        <v>100</v>
      </c>
      <c r="B20" s="3">
        <v>7.9820000000000005E-5</v>
      </c>
      <c r="C20" s="3">
        <v>2.3220000000000001E-4</v>
      </c>
      <c r="D20" s="3">
        <v>-6.1689999999999998E-4</v>
      </c>
      <c r="E20" s="3">
        <v>0</v>
      </c>
      <c r="F20" s="3">
        <v>0</v>
      </c>
      <c r="G20" s="3">
        <v>0</v>
      </c>
      <c r="H20" s="3">
        <v>1.1787978E-4</v>
      </c>
      <c r="I20" s="3">
        <v>2.5645718999999999E-5</v>
      </c>
      <c r="J20" s="3">
        <v>-2.9074116999999998E-4</v>
      </c>
      <c r="L20" s="3">
        <f t="shared" si="0"/>
        <v>0.12938887988328743</v>
      </c>
      <c r="M20" s="3"/>
      <c r="N20" s="2">
        <f>IF('Modell einstellen'!$B$1="Voll",H20/0.35,H20/0.35*2)</f>
        <v>3.3679937142857148E-4</v>
      </c>
      <c r="O20" s="2">
        <f>IF('Modell einstellen'!$B$1="Voll",J20/0.35,J20/0.35*2)</f>
        <v>-8.3068905714285719E-4</v>
      </c>
      <c r="P20" s="3">
        <f t="shared" si="1"/>
        <v>0.40544577845648766</v>
      </c>
    </row>
    <row r="21" spans="1:16" x14ac:dyDescent="0.25">
      <c r="A21" s="3">
        <v>1000</v>
      </c>
      <c r="B21" s="3">
        <v>7.7789999999999999E-5</v>
      </c>
      <c r="C21" s="3">
        <v>2.4469999999999998E-4</v>
      </c>
      <c r="D21" s="3">
        <v>-6.2859999999999999E-4</v>
      </c>
      <c r="E21" s="3">
        <v>0</v>
      </c>
      <c r="F21" s="3">
        <v>0</v>
      </c>
      <c r="G21" s="3">
        <v>0</v>
      </c>
      <c r="H21" s="3">
        <v>1.2393308000000001E-4</v>
      </c>
      <c r="I21" s="3">
        <v>2.7201287000000001E-5</v>
      </c>
      <c r="J21" s="3">
        <v>-3.0241048000000001E-4</v>
      </c>
      <c r="L21" s="3">
        <f t="shared" si="0"/>
        <v>0.1237511931275851</v>
      </c>
      <c r="M21" s="3"/>
      <c r="N21" s="2">
        <f>IF('Modell einstellen'!$B$1="Voll",H21/0.35,H21/0.35*2)</f>
        <v>3.5409451428571433E-4</v>
      </c>
      <c r="O21" s="2">
        <f>IF('Modell einstellen'!$B$1="Voll",J21/0.35,J21/0.35*2)</f>
        <v>-8.6402994285714294E-4</v>
      </c>
      <c r="P21" s="3">
        <f t="shared" si="1"/>
        <v>0.40981741108972153</v>
      </c>
    </row>
    <row r="22" spans="1:16" x14ac:dyDescent="0.25">
      <c r="A22" s="3">
        <v>10000</v>
      </c>
      <c r="B22" s="3">
        <v>8.0320000000000003E-5</v>
      </c>
      <c r="C22" s="3">
        <v>2.721E-4</v>
      </c>
      <c r="D22" s="3">
        <v>-6.5720000000000004E-4</v>
      </c>
      <c r="E22" s="3">
        <v>0</v>
      </c>
      <c r="F22" s="3">
        <v>0</v>
      </c>
      <c r="G22" s="3">
        <v>0</v>
      </c>
      <c r="H22" s="3">
        <v>1.3165635E-4</v>
      </c>
      <c r="I22" s="3">
        <v>3.055943E-5</v>
      </c>
      <c r="J22" s="3">
        <v>-3.2128613999999998E-4</v>
      </c>
      <c r="L22" s="3">
        <f t="shared" si="0"/>
        <v>0.12221545952525867</v>
      </c>
      <c r="M22" s="3"/>
      <c r="N22" s="2">
        <f>IF('Modell einstellen'!$B$1="Voll",H22/0.35,H22/0.35*2)</f>
        <v>3.7616100000000002E-4</v>
      </c>
      <c r="O22" s="2">
        <f>IF('Modell einstellen'!$B$1="Voll",J22/0.35,J22/0.35*2)</f>
        <v>-9.1796040000000003E-4</v>
      </c>
      <c r="P22" s="3">
        <f t="shared" si="1"/>
        <v>0.40977911465461908</v>
      </c>
    </row>
    <row r="23" spans="1:16" x14ac:dyDescent="0.25">
      <c r="A23" s="3">
        <v>100000</v>
      </c>
      <c r="B23" s="3">
        <v>8.7390000000000002E-5</v>
      </c>
      <c r="C23" s="3">
        <v>3.1129999999999998E-4</v>
      </c>
      <c r="D23" s="3">
        <v>-7.0029999999999995E-4</v>
      </c>
      <c r="E23" s="3">
        <v>0</v>
      </c>
      <c r="F23" s="3">
        <v>0</v>
      </c>
      <c r="G23" s="3">
        <v>0</v>
      </c>
      <c r="H23" s="3">
        <v>1.4079831000000001E-4</v>
      </c>
      <c r="I23" s="3">
        <v>3.5380185000000003E-5</v>
      </c>
      <c r="J23" s="3">
        <v>-3.4624234000000002E-4</v>
      </c>
      <c r="L23" s="3">
        <f t="shared" si="0"/>
        <v>0.12478937598172213</v>
      </c>
      <c r="M23" s="3"/>
      <c r="N23" s="2">
        <f>IF('Modell einstellen'!$B$1="Voll",H23/0.35,H23/0.35*2)</f>
        <v>4.0228088571428575E-4</v>
      </c>
      <c r="O23" s="2">
        <f>IF('Modell einstellen'!$B$1="Voll",J23/0.35,J23/0.35*2)</f>
        <v>-9.8926382857142869E-4</v>
      </c>
      <c r="P23" s="3">
        <f t="shared" si="1"/>
        <v>0.40664671455258761</v>
      </c>
    </row>
    <row r="24" spans="1:16" x14ac:dyDescent="0.25">
      <c r="A24" s="3">
        <v>1000000</v>
      </c>
      <c r="B24" s="3">
        <v>9.4430000000000002E-5</v>
      </c>
      <c r="C24" s="3">
        <v>3.501E-4</v>
      </c>
      <c r="D24" s="3">
        <v>-7.4330000000000002E-4</v>
      </c>
      <c r="E24" s="3">
        <v>0</v>
      </c>
      <c r="F24" s="3">
        <v>0</v>
      </c>
      <c r="G24" s="3">
        <v>0</v>
      </c>
      <c r="H24" s="3">
        <v>1.4962828999999999E-4</v>
      </c>
      <c r="I24" s="3">
        <v>4.0248442000000001E-5</v>
      </c>
      <c r="J24" s="3">
        <v>-3.7113248000000002E-4</v>
      </c>
      <c r="L24" s="3">
        <f t="shared" si="0"/>
        <v>0.12704157137091349</v>
      </c>
      <c r="M24" s="3"/>
      <c r="N24" s="2">
        <f>IF('Modell einstellen'!$B$1="Voll",H24/0.35,H24/0.35*2)</f>
        <v>4.2750939999999999E-4</v>
      </c>
      <c r="O24" s="2">
        <f>IF('Modell einstellen'!$B$1="Voll",J24/0.35,J24/0.35*2)</f>
        <v>-1.0603785142857143E-3</v>
      </c>
      <c r="P24" s="3">
        <f t="shared" si="1"/>
        <v>0.40316678831235681</v>
      </c>
    </row>
    <row r="25" spans="1:16" x14ac:dyDescent="0.25">
      <c r="A25" s="3">
        <v>10000000</v>
      </c>
      <c r="B25" s="3">
        <v>1.002E-4</v>
      </c>
      <c r="C25" s="3">
        <v>3.836E-4</v>
      </c>
      <c r="D25" s="3">
        <v>-7.8080000000000001E-4</v>
      </c>
      <c r="E25" s="3">
        <v>0</v>
      </c>
      <c r="F25" s="3">
        <v>0</v>
      </c>
      <c r="G25" s="3">
        <v>0</v>
      </c>
      <c r="H25" s="3">
        <v>1.5814051E-4</v>
      </c>
      <c r="I25" s="3">
        <v>4.4549606000000001E-5</v>
      </c>
      <c r="J25" s="3">
        <v>-3.9404224000000001E-4</v>
      </c>
      <c r="L25" s="3">
        <f t="shared" si="0"/>
        <v>0.12832991803278687</v>
      </c>
      <c r="M25" s="3"/>
      <c r="N25" s="2">
        <f>IF('Modell einstellen'!$B$1="Voll",H25/0.35,H25/0.35*2)</f>
        <v>4.518300285714286E-4</v>
      </c>
      <c r="O25" s="2">
        <f>IF('Modell einstellen'!$B$1="Voll",J25/0.35,J25/0.35*2)</f>
        <v>-1.1258349714285715E-3</v>
      </c>
      <c r="P25" s="3">
        <f t="shared" si="1"/>
        <v>0.4013288270820915</v>
      </c>
    </row>
    <row r="26" spans="1:16" x14ac:dyDescent="0.25">
      <c r="A26" s="3">
        <v>100000000</v>
      </c>
      <c r="B26" s="3">
        <v>1.02E-4</v>
      </c>
      <c r="C26" s="3">
        <v>4.1389999999999998E-4</v>
      </c>
      <c r="D26" s="3">
        <v>-8.1269999999999997E-4</v>
      </c>
      <c r="E26" s="3">
        <v>0</v>
      </c>
      <c r="F26" s="3">
        <v>0</v>
      </c>
      <c r="G26" s="3">
        <v>0</v>
      </c>
      <c r="H26" s="3">
        <v>1.6787633E-4</v>
      </c>
      <c r="I26" s="3">
        <v>4.8578407000000001E-5</v>
      </c>
      <c r="J26" s="3">
        <v>-4.1763719E-4</v>
      </c>
      <c r="L26" s="3">
        <f t="shared" si="0"/>
        <v>0.12550756736803248</v>
      </c>
      <c r="M26" s="3"/>
      <c r="N26" s="2">
        <f>IF('Modell einstellen'!$B$1="Voll",H26/0.35,H26/0.35*2)</f>
        <v>4.7964665714285719E-4</v>
      </c>
      <c r="O26" s="2">
        <f>IF('Modell einstellen'!$B$1="Voll",J26/0.35,J26/0.35*2)</f>
        <v>-1.1932491142857143E-3</v>
      </c>
      <c r="P26" s="3">
        <f t="shared" si="1"/>
        <v>0.40196690816734976</v>
      </c>
    </row>
    <row r="27" spans="1:16" x14ac:dyDescent="0.25">
      <c r="A27" s="3">
        <v>1000000000</v>
      </c>
      <c r="B27" s="3">
        <v>1.002E-4</v>
      </c>
      <c r="C27" s="3">
        <v>4.4109999999999999E-4</v>
      </c>
      <c r="D27" s="3">
        <v>-8.3869999999999995E-4</v>
      </c>
      <c r="E27" s="3">
        <v>0</v>
      </c>
      <c r="F27" s="3">
        <v>0</v>
      </c>
      <c r="G27" s="3">
        <v>0</v>
      </c>
      <c r="H27" s="3">
        <v>1.7806184999999999E-4</v>
      </c>
      <c r="I27" s="3">
        <v>5.2298288999999997E-5</v>
      </c>
      <c r="J27" s="3">
        <v>-4.4086806E-4</v>
      </c>
      <c r="L27" s="3">
        <f t="shared" si="0"/>
        <v>0.11947060927626088</v>
      </c>
      <c r="M27" s="3"/>
      <c r="N27" s="2">
        <f>IF('Modell einstellen'!$B$1="Voll",H27/0.35,H27/0.35*2)</f>
        <v>5.0874814285714284E-4</v>
      </c>
      <c r="O27" s="2">
        <f>IF('Modell einstellen'!$B$1="Voll",J27/0.35,J27/0.35*2)</f>
        <v>-1.2596230285714287E-3</v>
      </c>
      <c r="P27" s="3">
        <f t="shared" si="1"/>
        <v>0.40388920440278658</v>
      </c>
    </row>
    <row r="28" spans="1:16" x14ac:dyDescent="0.25">
      <c r="A28" s="3">
        <v>10000000000</v>
      </c>
      <c r="B28" s="3">
        <v>9.2930000000000006E-5</v>
      </c>
      <c r="C28" s="3">
        <v>4.6779999999999999E-4</v>
      </c>
      <c r="D28" s="3">
        <v>-8.5959999999999997E-4</v>
      </c>
      <c r="E28" s="3">
        <v>0</v>
      </c>
      <c r="F28" s="3">
        <v>0</v>
      </c>
      <c r="G28" s="3">
        <v>0</v>
      </c>
      <c r="H28" s="3">
        <v>1.895449E-4</v>
      </c>
      <c r="I28" s="3">
        <v>5.6077069999999997E-5</v>
      </c>
      <c r="J28" s="3">
        <v>-4.6584391000000001E-4</v>
      </c>
      <c r="L28" s="3">
        <f t="shared" si="0"/>
        <v>0.10810842252210331</v>
      </c>
      <c r="M28" s="3"/>
      <c r="N28" s="2">
        <f>IF('Modell einstellen'!$B$1="Voll",H28/0.35,H28/0.35*2)</f>
        <v>5.4155685714285713E-4</v>
      </c>
      <c r="O28" s="2">
        <f>IF('Modell einstellen'!$B$1="Voll",J28/0.35,J28/0.35*2)</f>
        <v>-1.3309826000000001E-3</v>
      </c>
      <c r="P28" s="3">
        <f t="shared" si="1"/>
        <v>0.40688500145896506</v>
      </c>
    </row>
    <row r="29" spans="1:16" x14ac:dyDescent="0.25">
      <c r="A29" s="3">
        <v>100000000000</v>
      </c>
      <c r="B29" s="3">
        <v>7.627E-5</v>
      </c>
      <c r="C29" s="3">
        <v>4.9540000000000001E-4</v>
      </c>
      <c r="D29" s="3">
        <v>-8.7259999999999996E-4</v>
      </c>
      <c r="E29" s="3">
        <v>0</v>
      </c>
      <c r="F29" s="3">
        <v>0</v>
      </c>
      <c r="G29" s="3">
        <v>0</v>
      </c>
      <c r="H29" s="3">
        <v>2.0242649000000001E-4</v>
      </c>
      <c r="I29" s="3">
        <v>6.0094855000000003E-5</v>
      </c>
      <c r="J29" s="3">
        <v>-4.9324331000000004E-4</v>
      </c>
      <c r="L29" s="3">
        <f t="shared" si="0"/>
        <v>8.7405454962181994E-2</v>
      </c>
      <c r="M29" s="3"/>
      <c r="N29" s="2">
        <f>IF('Modell einstellen'!$B$1="Voll",H29/0.35,H29/0.35*2)</f>
        <v>5.7836140000000003E-4</v>
      </c>
      <c r="O29" s="2">
        <f>IF('Modell einstellen'!$B$1="Voll",J29/0.35,J29/0.35*2)</f>
        <v>-1.4092666000000002E-3</v>
      </c>
      <c r="P29" s="3">
        <f t="shared" si="1"/>
        <v>0.41039885568848361</v>
      </c>
    </row>
    <row r="30" spans="1:16" x14ac:dyDescent="0.25">
      <c r="A30" s="3">
        <v>1000000000000</v>
      </c>
      <c r="B30" s="3">
        <v>5.257E-5</v>
      </c>
      <c r="C30" s="3">
        <v>5.3050000000000005E-4</v>
      </c>
      <c r="D30" s="3">
        <v>-8.8670000000000003E-4</v>
      </c>
      <c r="E30" s="3">
        <v>0</v>
      </c>
      <c r="F30" s="3">
        <v>0</v>
      </c>
      <c r="G30" s="3">
        <v>0</v>
      </c>
      <c r="H30" s="3">
        <v>2.1961901000000001E-4</v>
      </c>
      <c r="I30" s="3">
        <v>6.5283808999999998E-5</v>
      </c>
      <c r="J30" s="3">
        <v>-5.2929726999999998E-4</v>
      </c>
      <c r="L30" s="3">
        <f t="shared" si="0"/>
        <v>5.9287244840419528E-2</v>
      </c>
      <c r="M30" s="3"/>
      <c r="N30" s="2">
        <f>IF('Modell einstellen'!$B$1="Voll",H30/0.35,H30/0.35*2)</f>
        <v>6.2748288571428583E-4</v>
      </c>
      <c r="O30" s="2">
        <f>IF('Modell einstellen'!$B$1="Voll",J30/0.35,J30/0.35*2)</f>
        <v>-1.5122779142857142E-3</v>
      </c>
      <c r="P30" s="3">
        <f t="shared" si="1"/>
        <v>0.41492564282449457</v>
      </c>
    </row>
    <row r="31" spans="1:16" x14ac:dyDescent="0.25">
      <c r="A31" s="3">
        <v>10000000000000</v>
      </c>
      <c r="B31" s="3">
        <v>1.1430000000000001E-5</v>
      </c>
      <c r="C31" s="3">
        <v>5.7070000000000005E-4</v>
      </c>
      <c r="D31" s="3">
        <v>-8.8909999999999998E-4</v>
      </c>
      <c r="E31" s="3">
        <v>0</v>
      </c>
      <c r="F31" s="3">
        <v>0</v>
      </c>
      <c r="G31" s="3">
        <v>0</v>
      </c>
      <c r="H31" s="3">
        <v>2.4078372E-4</v>
      </c>
      <c r="I31" s="3">
        <v>7.1471758999999997E-5</v>
      </c>
      <c r="J31" s="3">
        <v>-5.7303024E-4</v>
      </c>
      <c r="L31" s="3">
        <f t="shared" si="0"/>
        <v>1.2855696772016647E-2</v>
      </c>
      <c r="M31" s="3"/>
      <c r="N31" s="2">
        <f>IF('Modell einstellen'!$B$1="Voll",H31/0.35,H31/0.35*2)</f>
        <v>6.8795348571428579E-4</v>
      </c>
      <c r="O31" s="2">
        <f>IF('Modell einstellen'!$B$1="Voll",J31/0.35,J31/0.35*2)</f>
        <v>-1.6372292571428572E-3</v>
      </c>
      <c r="P31" s="3">
        <f t="shared" si="1"/>
        <v>0.42019374056070763</v>
      </c>
    </row>
    <row r="32" spans="1:16" x14ac:dyDescent="0.25">
      <c r="A32" s="3">
        <v>100000000000000</v>
      </c>
      <c r="B32" s="3">
        <v>-5.2630000000000003E-5</v>
      </c>
      <c r="C32" s="3">
        <v>6.2339999999999997E-4</v>
      </c>
      <c r="D32" s="3">
        <v>-8.8190000000000002E-4</v>
      </c>
      <c r="E32" s="3">
        <v>0</v>
      </c>
      <c r="F32" s="3">
        <v>0</v>
      </c>
      <c r="G32" s="3">
        <v>0</v>
      </c>
      <c r="H32" s="3">
        <v>2.6960605E-4</v>
      </c>
      <c r="I32" s="3">
        <v>7.9784727999999999E-5</v>
      </c>
      <c r="J32" s="3">
        <v>-6.3221532000000001E-4</v>
      </c>
      <c r="L32" s="3">
        <f t="shared" si="0"/>
        <v>-5.9677968023585444E-2</v>
      </c>
      <c r="M32" s="3"/>
      <c r="N32" s="2">
        <f>IF('Modell einstellen'!$B$1="Voll",H32/0.35,H32/0.35*2)</f>
        <v>7.7030300000000007E-4</v>
      </c>
      <c r="O32" s="2">
        <f>IF('Modell einstellen'!$B$1="Voll",J32/0.35,J32/0.35*2)</f>
        <v>-1.8063294857142858E-3</v>
      </c>
      <c r="P32" s="3">
        <f t="shared" si="1"/>
        <v>0.4264465625413823</v>
      </c>
    </row>
    <row r="33" spans="1:16" x14ac:dyDescent="0.25">
      <c r="A33" s="3">
        <v>1000000000000000</v>
      </c>
      <c r="B33" s="3">
        <v>-1.5200000000000001E-4</v>
      </c>
      <c r="C33" s="3">
        <v>6.9640000000000001E-4</v>
      </c>
      <c r="D33" s="3">
        <v>-8.6039999999999999E-4</v>
      </c>
      <c r="E33" s="3">
        <v>0</v>
      </c>
      <c r="F33" s="3">
        <v>0</v>
      </c>
      <c r="G33" s="3">
        <v>0</v>
      </c>
      <c r="H33" s="3">
        <v>3.1094318999999999E-4</v>
      </c>
      <c r="I33" s="3">
        <v>9.1547810999999995E-5</v>
      </c>
      <c r="J33" s="3">
        <v>-7.1653291000000003E-4</v>
      </c>
      <c r="L33" s="3">
        <f t="shared" si="0"/>
        <v>-0.17666201766620176</v>
      </c>
      <c r="M33" s="3"/>
      <c r="N33" s="2">
        <f>IF('Modell einstellen'!$B$1="Voll",H33/0.35,H33/0.35*2)</f>
        <v>8.884091142857143E-4</v>
      </c>
      <c r="O33" s="2">
        <f>IF('Modell einstellen'!$B$1="Voll",J33/0.35,J33/0.35*2)</f>
        <v>-2.0472368857142858E-3</v>
      </c>
      <c r="P33" s="3">
        <f t="shared" si="1"/>
        <v>0.433955210794156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9.4270000000000004E-5</v>
      </c>
      <c r="C3" s="3">
        <v>1.839E-4</v>
      </c>
      <c r="D3" s="3">
        <v>-5.643E-4</v>
      </c>
      <c r="E3" s="3">
        <v>0</v>
      </c>
      <c r="F3" s="3">
        <v>0</v>
      </c>
      <c r="G3" s="3">
        <v>0</v>
      </c>
      <c r="H3" s="3">
        <v>8.1984952999999993E-5</v>
      </c>
      <c r="I3" s="3">
        <v>1.9620347000000001E-5</v>
      </c>
      <c r="J3" s="3">
        <v>-2.2972688000000001E-4</v>
      </c>
      <c r="K3" s="3"/>
      <c r="L3" s="3">
        <f>-B3/D3</f>
        <v>0.16705653021442496</v>
      </c>
      <c r="M3" s="3"/>
      <c r="N3" s="2">
        <f>IF('Modell einstellen'!$B$1="Voll",H3/0.35,H3/0.35*2)</f>
        <v>2.3424272285714286E-4</v>
      </c>
      <c r="O3" s="2">
        <f>IF('Modell einstellen'!$B$1="Voll",J3/0.35,J3/0.35*2)</f>
        <v>-6.5636251428571434E-4</v>
      </c>
      <c r="P3" s="3">
        <f>-N3/O3</f>
        <v>0.35688010475744064</v>
      </c>
      <c r="Q3" s="3"/>
      <c r="R3" s="3"/>
      <c r="S3" s="3"/>
      <c r="T3" s="3"/>
      <c r="U3" s="3"/>
    </row>
    <row r="4" spans="1:21" x14ac:dyDescent="0.25">
      <c r="A4" s="3">
        <v>1E-14</v>
      </c>
      <c r="B4" s="3">
        <v>9.4270000000000004E-5</v>
      </c>
      <c r="C4" s="3">
        <v>1.839E-4</v>
      </c>
      <c r="D4" s="3">
        <v>-5.643E-4</v>
      </c>
      <c r="E4" s="3">
        <v>0</v>
      </c>
      <c r="F4" s="3">
        <v>0</v>
      </c>
      <c r="G4" s="3">
        <v>0</v>
      </c>
      <c r="H4" s="3">
        <v>8.1987362000000003E-5</v>
      </c>
      <c r="I4" s="3">
        <v>1.9620921000000001E-5</v>
      </c>
      <c r="J4" s="3">
        <v>-2.2972296000000001E-4</v>
      </c>
      <c r="K4" s="3"/>
      <c r="L4" s="3">
        <f t="shared" ref="L4:L33" si="0">-B4/D4</f>
        <v>0.16705653021442496</v>
      </c>
      <c r="M4" s="3"/>
      <c r="N4" s="2">
        <f>IF('Modell einstellen'!$B$1="Voll",H4/0.35,H4/0.35*2)</f>
        <v>2.3424960571428574E-4</v>
      </c>
      <c r="O4" s="2">
        <f>IF('Modell einstellen'!$B$1="Voll",J4/0.35,J4/0.35*2)</f>
        <v>-6.5635131428571432E-4</v>
      </c>
      <c r="P4" s="3">
        <f t="shared" ref="P4:P33" si="1">-N4/O4</f>
        <v>0.35689668111537481</v>
      </c>
      <c r="Q4" s="3"/>
      <c r="R4" s="3"/>
      <c r="S4" s="3"/>
      <c r="T4" s="3"/>
      <c r="U4" s="3"/>
    </row>
    <row r="5" spans="1:21" x14ac:dyDescent="0.25">
      <c r="A5" s="3">
        <v>1E-13</v>
      </c>
      <c r="B5" s="3">
        <v>9.4270000000000004E-5</v>
      </c>
      <c r="C5" s="3">
        <v>1.839E-4</v>
      </c>
      <c r="D5" s="3">
        <v>-5.643E-4</v>
      </c>
      <c r="E5" s="3">
        <v>0</v>
      </c>
      <c r="F5" s="3">
        <v>0</v>
      </c>
      <c r="G5" s="3">
        <v>0</v>
      </c>
      <c r="H5" s="3">
        <v>8.1988794999999996E-5</v>
      </c>
      <c r="I5" s="3">
        <v>1.9621262000000001E-5</v>
      </c>
      <c r="J5" s="3">
        <v>-2.2972579E-4</v>
      </c>
      <c r="K5" s="3"/>
      <c r="L5" s="3">
        <f t="shared" si="0"/>
        <v>0.16705653021442496</v>
      </c>
      <c r="M5" s="3"/>
      <c r="N5" s="2">
        <f>IF('Modell einstellen'!$B$1="Voll",H5/0.35,H5/0.35*2)</f>
        <v>2.3425370000000002E-4</v>
      </c>
      <c r="O5" s="2">
        <f>IF('Modell einstellen'!$B$1="Voll",J5/0.35,J5/0.35*2)</f>
        <v>-6.5635940000000005E-4</v>
      </c>
      <c r="P5" s="3">
        <f t="shared" si="1"/>
        <v>0.3568985223644241</v>
      </c>
      <c r="Q5" s="3"/>
      <c r="R5" s="3"/>
      <c r="S5" s="3"/>
      <c r="T5" s="3"/>
      <c r="U5" s="3"/>
    </row>
    <row r="6" spans="1:21" x14ac:dyDescent="0.25">
      <c r="A6" s="3">
        <v>9.9999999999999998E-13</v>
      </c>
      <c r="B6" s="3">
        <v>9.4270000000000004E-5</v>
      </c>
      <c r="C6" s="3">
        <v>1.839E-4</v>
      </c>
      <c r="D6" s="3">
        <v>-5.643E-4</v>
      </c>
      <c r="E6" s="3">
        <v>0</v>
      </c>
      <c r="F6" s="3">
        <v>0</v>
      </c>
      <c r="G6" s="3">
        <v>0</v>
      </c>
      <c r="H6" s="3">
        <v>8.2000125999999999E-5</v>
      </c>
      <c r="I6" s="3">
        <v>1.9623338999999999E-5</v>
      </c>
      <c r="J6" s="3">
        <v>-2.2974589E-4</v>
      </c>
      <c r="K6" s="3"/>
      <c r="L6" s="3">
        <f t="shared" si="0"/>
        <v>0.16705653021442496</v>
      </c>
      <c r="M6" s="3"/>
      <c r="N6" s="2">
        <f>IF('Modell einstellen'!$B$1="Voll",H6/0.35,H6/0.35*2)</f>
        <v>2.342860742857143E-4</v>
      </c>
      <c r="O6" s="2">
        <f>IF('Modell einstellen'!$B$1="Voll",J6/0.35,J6/0.35*2)</f>
        <v>-6.5641682857142864E-4</v>
      </c>
      <c r="P6" s="3">
        <f t="shared" si="1"/>
        <v>0.35691661774667655</v>
      </c>
      <c r="Q6" s="3"/>
      <c r="R6" s="3"/>
      <c r="S6" s="3"/>
      <c r="T6" s="3"/>
      <c r="U6" s="3"/>
    </row>
    <row r="7" spans="1:21" x14ac:dyDescent="0.25">
      <c r="A7" s="3">
        <v>9.9999999999999994E-12</v>
      </c>
      <c r="B7" s="3">
        <v>9.4240000000000006E-5</v>
      </c>
      <c r="C7" s="3">
        <v>1.841E-4</v>
      </c>
      <c r="D7" s="3">
        <v>-5.6450000000000001E-4</v>
      </c>
      <c r="E7" s="3">
        <v>0</v>
      </c>
      <c r="F7" s="3">
        <v>0</v>
      </c>
      <c r="G7" s="3">
        <v>0</v>
      </c>
      <c r="H7" s="3">
        <v>8.2109698999999995E-5</v>
      </c>
      <c r="I7" s="3">
        <v>1.9643254E-5</v>
      </c>
      <c r="J7" s="3">
        <v>-2.2993964000000001E-4</v>
      </c>
      <c r="K7" s="3"/>
      <c r="L7" s="3">
        <f t="shared" si="0"/>
        <v>0.16694419840566874</v>
      </c>
      <c r="M7" s="3"/>
      <c r="N7" s="2">
        <f>IF('Modell einstellen'!$B$1="Voll",H7/0.35,H7/0.35*2)</f>
        <v>2.3459914E-4</v>
      </c>
      <c r="O7" s="2">
        <f>IF('Modell einstellen'!$B$1="Voll",J7/0.35,J7/0.35*2)</f>
        <v>-6.5697040000000013E-4</v>
      </c>
      <c r="P7" s="3">
        <f t="shared" si="1"/>
        <v>0.3570924047719653</v>
      </c>
      <c r="Q7" s="3"/>
      <c r="R7" s="3"/>
      <c r="S7" s="3"/>
      <c r="T7" s="3"/>
      <c r="U7" s="3"/>
    </row>
    <row r="8" spans="1:21" x14ac:dyDescent="0.25">
      <c r="A8" s="3">
        <v>1E-10</v>
      </c>
      <c r="B8" s="3">
        <v>9.3960000000000002E-5</v>
      </c>
      <c r="C8" s="3">
        <v>1.8540000000000001E-4</v>
      </c>
      <c r="D8" s="3">
        <v>-5.6630000000000005E-4</v>
      </c>
      <c r="E8" s="3">
        <v>0</v>
      </c>
      <c r="F8" s="3">
        <v>0</v>
      </c>
      <c r="G8" s="3">
        <v>0</v>
      </c>
      <c r="H8" s="3">
        <v>8.3063505000000002E-5</v>
      </c>
      <c r="I8" s="3">
        <v>1.9816264E-5</v>
      </c>
      <c r="J8" s="3">
        <v>-2.316246E-4</v>
      </c>
      <c r="K8" s="3"/>
      <c r="L8" s="3">
        <f t="shared" si="0"/>
        <v>0.16591912413914886</v>
      </c>
      <c r="M8" s="3"/>
      <c r="N8" s="2">
        <f>IF('Modell einstellen'!$B$1="Voll",H8/0.35,H8/0.35*2)</f>
        <v>2.3732430000000001E-4</v>
      </c>
      <c r="O8" s="2">
        <f>IF('Modell einstellen'!$B$1="Voll",J8/0.35,J8/0.35*2)</f>
        <v>-6.6178457142857146E-4</v>
      </c>
      <c r="P8" s="3">
        <f t="shared" si="1"/>
        <v>0.35861262145730638</v>
      </c>
      <c r="Q8" s="3"/>
      <c r="R8" s="3"/>
      <c r="S8" s="3"/>
      <c r="T8" s="3"/>
      <c r="U8" s="3"/>
    </row>
    <row r="9" spans="1:21" x14ac:dyDescent="0.25">
      <c r="A9" s="3">
        <v>1.0000000000000001E-9</v>
      </c>
      <c r="B9" s="3">
        <v>9.3999999999999994E-5</v>
      </c>
      <c r="C9" s="3">
        <v>1.9110000000000001E-4</v>
      </c>
      <c r="D9" s="3">
        <v>-5.7399999999999997E-4</v>
      </c>
      <c r="E9" s="3">
        <v>0</v>
      </c>
      <c r="F9" s="3">
        <v>0</v>
      </c>
      <c r="G9" s="3">
        <v>0</v>
      </c>
      <c r="H9" s="3">
        <v>8.6612844000000006E-5</v>
      </c>
      <c r="I9" s="3">
        <v>2.0483329E-5</v>
      </c>
      <c r="J9" s="3">
        <v>-2.3796004000000001E-4</v>
      </c>
      <c r="K9" s="3"/>
      <c r="L9" s="3">
        <f t="shared" si="0"/>
        <v>0.16376306620209058</v>
      </c>
      <c r="M9" s="3"/>
      <c r="N9" s="2">
        <f>IF('Modell einstellen'!$B$1="Voll",H9/0.35,H9/0.35*2)</f>
        <v>2.474652685714286E-4</v>
      </c>
      <c r="O9" s="2">
        <f>IF('Modell einstellen'!$B$1="Voll",J9/0.35,J9/0.35*2)</f>
        <v>-6.7988582857142867E-4</v>
      </c>
      <c r="P9" s="3">
        <f t="shared" si="1"/>
        <v>0.36398062464605402</v>
      </c>
      <c r="Q9" s="3"/>
      <c r="R9" s="3"/>
      <c r="S9" s="3"/>
      <c r="T9" s="3"/>
      <c r="U9" s="3"/>
    </row>
    <row r="10" spans="1:21" x14ac:dyDescent="0.25">
      <c r="A10" s="3">
        <v>1E-8</v>
      </c>
      <c r="B10" s="3">
        <v>9.357E-5</v>
      </c>
      <c r="C10" s="3">
        <v>1.95E-4</v>
      </c>
      <c r="D10" s="3">
        <v>-5.7899999999999998E-4</v>
      </c>
      <c r="E10" s="3">
        <v>0</v>
      </c>
      <c r="F10" s="3">
        <v>0</v>
      </c>
      <c r="G10" s="3">
        <v>0</v>
      </c>
      <c r="H10" s="3">
        <v>8.9243918000000004E-5</v>
      </c>
      <c r="I10" s="3">
        <v>2.0961572999999999E-5</v>
      </c>
      <c r="J10" s="3">
        <v>-2.4258634000000001E-4</v>
      </c>
      <c r="K10" s="3"/>
      <c r="L10" s="3">
        <f t="shared" si="0"/>
        <v>0.16160621761658031</v>
      </c>
      <c r="M10" s="3"/>
      <c r="N10" s="2">
        <f>IF('Modell einstellen'!$B$1="Voll",H10/0.35,H10/0.35*2)</f>
        <v>2.5498262285714288E-4</v>
      </c>
      <c r="O10" s="2">
        <f>IF('Modell einstellen'!$B$1="Voll",J10/0.35,J10/0.35*2)</f>
        <v>-6.9310382857142863E-4</v>
      </c>
      <c r="P10" s="3">
        <f t="shared" si="1"/>
        <v>0.36788517440841889</v>
      </c>
      <c r="Q10" s="3"/>
      <c r="R10" s="3"/>
      <c r="S10" s="3"/>
      <c r="T10" s="3"/>
      <c r="U10" s="3"/>
    </row>
    <row r="11" spans="1:21" x14ac:dyDescent="0.25">
      <c r="A11" s="3">
        <v>9.9999999999999995E-8</v>
      </c>
      <c r="B11" s="3">
        <v>9.3029999999999995E-5</v>
      </c>
      <c r="C11" s="3">
        <v>1.9870000000000001E-4</v>
      </c>
      <c r="D11" s="3">
        <v>-5.8359999999999998E-4</v>
      </c>
      <c r="E11" s="3">
        <v>0</v>
      </c>
      <c r="F11" s="3">
        <v>0</v>
      </c>
      <c r="G11" s="3">
        <v>0</v>
      </c>
      <c r="H11" s="3">
        <v>9.1737235999999998E-5</v>
      </c>
      <c r="I11" s="3">
        <v>2.140831E-5</v>
      </c>
      <c r="J11" s="3">
        <v>-2.4694141000000002E-4</v>
      </c>
      <c r="K11" s="3"/>
      <c r="L11" s="3">
        <f t="shared" si="0"/>
        <v>0.15940712816997943</v>
      </c>
      <c r="M11" s="3"/>
      <c r="N11" s="2">
        <f>IF('Modell einstellen'!$B$1="Voll",H11/0.35,H11/0.35*2)</f>
        <v>2.6210638857142857E-4</v>
      </c>
      <c r="O11" s="2">
        <f>IF('Modell einstellen'!$B$1="Voll",J11/0.35,J11/0.35*2)</f>
        <v>-7.0554688571428581E-4</v>
      </c>
      <c r="P11" s="3">
        <f t="shared" si="1"/>
        <v>0.37149393453289181</v>
      </c>
      <c r="Q11" s="3"/>
      <c r="R11" s="3"/>
      <c r="S11" s="3"/>
      <c r="T11" s="3"/>
      <c r="U11" s="3"/>
    </row>
    <row r="12" spans="1:21" x14ac:dyDescent="0.25">
      <c r="A12" s="3">
        <v>9.9999999999999995E-7</v>
      </c>
      <c r="B12" s="3">
        <v>9.2239999999999998E-5</v>
      </c>
      <c r="C12" s="3">
        <v>2.03E-4</v>
      </c>
      <c r="D12" s="3">
        <v>-5.8870000000000005E-4</v>
      </c>
      <c r="E12" s="3">
        <v>0</v>
      </c>
      <c r="F12" s="3">
        <v>0</v>
      </c>
      <c r="G12" s="3">
        <v>0</v>
      </c>
      <c r="H12" s="3">
        <v>9.4699802999999999E-5</v>
      </c>
      <c r="I12" s="3">
        <v>2.1930477999999999E-5</v>
      </c>
      <c r="J12" s="3">
        <v>-2.5207767E-4</v>
      </c>
      <c r="K12" s="3"/>
      <c r="L12" s="3">
        <f t="shared" si="0"/>
        <v>0.15668421946662134</v>
      </c>
      <c r="M12" s="3"/>
      <c r="N12" s="2">
        <f>IF('Modell einstellen'!$B$1="Voll",H12/0.35,H12/0.35*2)</f>
        <v>2.7057086571428572E-4</v>
      </c>
      <c r="O12" s="2">
        <f>IF('Modell einstellen'!$B$1="Voll",J12/0.35,J12/0.35*2)</f>
        <v>-7.2022191428571436E-4</v>
      </c>
      <c r="P12" s="3">
        <f t="shared" si="1"/>
        <v>0.37567708000474614</v>
      </c>
      <c r="Q12" s="3"/>
      <c r="R12" s="3"/>
      <c r="S12" s="3"/>
      <c r="T12" s="3"/>
      <c r="U12" s="3"/>
    </row>
    <row r="13" spans="1:21" x14ac:dyDescent="0.25">
      <c r="A13" s="3">
        <v>1.0000000000000001E-5</v>
      </c>
      <c r="B13" s="3">
        <v>9.1139999999999998E-5</v>
      </c>
      <c r="C13" s="3">
        <v>2.075E-4</v>
      </c>
      <c r="D13" s="3">
        <v>-5.9389999999999996E-4</v>
      </c>
      <c r="E13" s="3">
        <v>0</v>
      </c>
      <c r="F13" s="3">
        <v>0</v>
      </c>
      <c r="G13" s="3">
        <v>0</v>
      </c>
      <c r="H13" s="3">
        <v>9.7961513000000003E-5</v>
      </c>
      <c r="I13" s="3">
        <v>2.2494116999999998E-5</v>
      </c>
      <c r="J13" s="3">
        <v>-2.5768277999999999E-4</v>
      </c>
      <c r="K13" s="3"/>
      <c r="L13" s="3">
        <f t="shared" si="0"/>
        <v>0.15346017848122581</v>
      </c>
      <c r="M13" s="3"/>
      <c r="N13" s="2">
        <f>IF('Modell einstellen'!$B$1="Voll",H13/0.35,H13/0.35*2)</f>
        <v>2.7989003714285718E-4</v>
      </c>
      <c r="O13" s="2">
        <f>IF('Modell einstellen'!$B$1="Voll",J13/0.35,J13/0.35*2)</f>
        <v>-7.3623651428571431E-4</v>
      </c>
      <c r="P13" s="3">
        <f t="shared" si="1"/>
        <v>0.38016321075083098</v>
      </c>
      <c r="Q13" s="3"/>
      <c r="R13" s="3"/>
      <c r="S13" s="3"/>
      <c r="T13" s="3"/>
      <c r="U13" s="3"/>
    </row>
    <row r="14" spans="1:21" x14ac:dyDescent="0.25">
      <c r="A14" s="3">
        <v>1E-4</v>
      </c>
      <c r="B14" s="3">
        <v>8.9549999999999995E-5</v>
      </c>
      <c r="C14" s="3">
        <v>2.128E-4</v>
      </c>
      <c r="D14" s="3">
        <v>-5.9960000000000005E-4</v>
      </c>
      <c r="E14" s="3">
        <v>0</v>
      </c>
      <c r="F14" s="3">
        <v>0</v>
      </c>
      <c r="G14" s="3">
        <v>0</v>
      </c>
      <c r="H14" s="3">
        <v>1.0187331E-4</v>
      </c>
      <c r="I14" s="3">
        <v>2.3155398E-5</v>
      </c>
      <c r="J14" s="3">
        <v>-2.6434111000000002E-4</v>
      </c>
      <c r="K14" s="3"/>
      <c r="L14" s="3">
        <f t="shared" si="0"/>
        <v>0.14934956637758504</v>
      </c>
      <c r="M14" s="3"/>
      <c r="N14" s="2">
        <f>IF('Modell einstellen'!$B$1="Voll",H14/0.35,H14/0.35*2)</f>
        <v>2.9106660000000002E-4</v>
      </c>
      <c r="O14" s="2">
        <f>IF('Modell einstellen'!$B$1="Voll",J14/0.35,J14/0.35*2)</f>
        <v>-7.5526031428571443E-4</v>
      </c>
      <c r="P14" s="3">
        <f t="shared" si="1"/>
        <v>0.38538579943165097</v>
      </c>
      <c r="Q14" s="3"/>
      <c r="R14" s="3"/>
      <c r="S14" s="3"/>
      <c r="T14" s="3"/>
      <c r="U14" s="3"/>
    </row>
    <row r="15" spans="1:21" x14ac:dyDescent="0.25">
      <c r="A15" s="3">
        <v>1E-3</v>
      </c>
      <c r="B15" s="3">
        <v>8.7340000000000001E-5</v>
      </c>
      <c r="C15" s="3">
        <v>2.187E-4</v>
      </c>
      <c r="D15" s="3">
        <v>-6.0559999999999998E-4</v>
      </c>
      <c r="E15" s="3">
        <v>0</v>
      </c>
      <c r="F15" s="3">
        <v>0</v>
      </c>
      <c r="G15" s="3">
        <v>0</v>
      </c>
      <c r="H15" s="3">
        <v>1.06412E-4</v>
      </c>
      <c r="I15" s="3">
        <v>2.3902752E-5</v>
      </c>
      <c r="J15" s="3">
        <v>-2.7198047999999999E-4</v>
      </c>
      <c r="K15" s="3"/>
      <c r="L15" s="3">
        <f t="shared" si="0"/>
        <v>0.14422060766182299</v>
      </c>
      <c r="M15" s="3"/>
      <c r="N15" s="2">
        <f>IF('Modell einstellen'!$B$1="Voll",H15/0.35,H15/0.35*2)</f>
        <v>3.0403428571428574E-4</v>
      </c>
      <c r="O15" s="2">
        <f>IF('Modell einstellen'!$B$1="Voll",J15/0.35,J15/0.35*2)</f>
        <v>-7.7708708571428569E-4</v>
      </c>
      <c r="P15" s="3">
        <f t="shared" si="1"/>
        <v>0.39124866608074232</v>
      </c>
      <c r="Q15" s="3"/>
      <c r="R15" s="3"/>
      <c r="S15" s="3"/>
      <c r="T15" s="3"/>
      <c r="U15" s="3"/>
    </row>
    <row r="16" spans="1:21" x14ac:dyDescent="0.25">
      <c r="A16" s="3">
        <v>0.01</v>
      </c>
      <c r="B16" s="3">
        <v>8.4389999999999997E-5</v>
      </c>
      <c r="C16" s="3">
        <v>2.251E-4</v>
      </c>
      <c r="D16" s="3">
        <v>-6.1140000000000001E-4</v>
      </c>
      <c r="E16" s="3">
        <v>0</v>
      </c>
      <c r="F16" s="3">
        <v>0</v>
      </c>
      <c r="G16" s="3">
        <v>0</v>
      </c>
      <c r="H16" s="3">
        <v>1.1151769E-4</v>
      </c>
      <c r="I16" s="3">
        <v>2.4718829000000001E-5</v>
      </c>
      <c r="J16" s="3">
        <v>-2.8046849000000002E-4</v>
      </c>
      <c r="K16" s="3"/>
      <c r="L16" s="3">
        <f t="shared" si="0"/>
        <v>0.13802747791952893</v>
      </c>
      <c r="M16" s="3"/>
      <c r="N16" s="2">
        <f>IF('Modell einstellen'!$B$1="Voll",H16/0.35,H16/0.35*2)</f>
        <v>3.1862197142857148E-4</v>
      </c>
      <c r="O16" s="2">
        <f>IF('Modell einstellen'!$B$1="Voll",J16/0.35,J16/0.35*2)</f>
        <v>-8.0133854285714299E-4</v>
      </c>
      <c r="P16" s="3">
        <f t="shared" si="1"/>
        <v>0.39761218809285848</v>
      </c>
      <c r="Q16" s="3"/>
      <c r="R16" s="3"/>
      <c r="S16" s="3"/>
      <c r="T16" s="3"/>
      <c r="U16" s="3"/>
    </row>
    <row r="17" spans="1:25" x14ac:dyDescent="0.25">
      <c r="A17" s="3">
        <v>0.1</v>
      </c>
      <c r="B17" s="3">
        <v>8.0870000000000003E-5</v>
      </c>
      <c r="C17" s="3">
        <v>2.3139999999999999E-4</v>
      </c>
      <c r="D17" s="3">
        <v>-6.1660000000000003E-4</v>
      </c>
      <c r="E17" s="3">
        <v>0</v>
      </c>
      <c r="F17" s="3">
        <v>0</v>
      </c>
      <c r="G17" s="3">
        <v>0</v>
      </c>
      <c r="H17" s="3">
        <v>1.1678687E-4</v>
      </c>
      <c r="I17" s="3">
        <v>2.5535082E-5</v>
      </c>
      <c r="J17" s="3">
        <v>-2.8911687000000001E-4</v>
      </c>
      <c r="K17" s="3"/>
      <c r="L17" s="3">
        <f t="shared" si="0"/>
        <v>0.13115471942912749</v>
      </c>
      <c r="M17" s="3"/>
      <c r="N17" s="2">
        <f>IF('Modell einstellen'!$B$1="Voll",H17/0.35,H17/0.35*2)</f>
        <v>3.3367677142857145E-4</v>
      </c>
      <c r="O17" s="2">
        <f>IF('Modell einstellen'!$B$1="Voll",J17/0.35,J17/0.35*2)</f>
        <v>-8.2604820000000008E-4</v>
      </c>
      <c r="P17" s="3">
        <f t="shared" si="1"/>
        <v>0.40394346410847626</v>
      </c>
      <c r="Q17" s="3"/>
      <c r="R17" s="3"/>
      <c r="S17" s="3"/>
      <c r="T17" s="3"/>
      <c r="U17" s="3"/>
      <c r="V17" s="3"/>
      <c r="W17" s="3"/>
      <c r="X17" s="3"/>
      <c r="Y17" s="3"/>
    </row>
    <row r="18" spans="1:25" x14ac:dyDescent="0.25">
      <c r="A18" s="3">
        <v>1</v>
      </c>
      <c r="B18" s="3">
        <v>7.6440000000000007E-5</v>
      </c>
      <c r="C18" s="3">
        <v>2.3819999999999999E-4</v>
      </c>
      <c r="D18" s="3">
        <v>-6.2149999999999998E-4</v>
      </c>
      <c r="E18" s="3">
        <v>0</v>
      </c>
      <c r="F18" s="3">
        <v>0</v>
      </c>
      <c r="G18" s="3">
        <v>0</v>
      </c>
      <c r="H18" s="3">
        <v>1.2269808999999999E-4</v>
      </c>
      <c r="I18" s="3">
        <v>2.6428377999999999E-5</v>
      </c>
      <c r="J18" s="3">
        <v>-2.9871558999999999E-4</v>
      </c>
      <c r="K18" s="3"/>
      <c r="L18" s="3">
        <f t="shared" si="0"/>
        <v>0.12299275945293646</v>
      </c>
      <c r="M18" s="3"/>
      <c r="N18" s="2">
        <f>IF('Modell einstellen'!$B$1="Voll",H18/0.35,H18/0.35*2)</f>
        <v>3.5056597142857143E-4</v>
      </c>
      <c r="O18" s="2">
        <f>IF('Modell einstellen'!$B$1="Voll",J18/0.35,J18/0.35*2)</f>
        <v>-8.5347311428571435E-4</v>
      </c>
      <c r="P18" s="3">
        <f t="shared" si="1"/>
        <v>0.41075221417134605</v>
      </c>
      <c r="Q18" s="3"/>
      <c r="R18" s="3"/>
      <c r="S18" s="3"/>
      <c r="T18" s="3"/>
      <c r="U18" s="3"/>
      <c r="V18" s="3"/>
      <c r="W18" s="3"/>
      <c r="X18" s="3"/>
      <c r="Y18" s="3"/>
    </row>
    <row r="19" spans="1:25" x14ac:dyDescent="0.25">
      <c r="A19" s="3">
        <v>10</v>
      </c>
      <c r="B19" s="3">
        <v>7.0010000000000002E-5</v>
      </c>
      <c r="C19" s="3">
        <v>2.475E-4</v>
      </c>
      <c r="D19" s="3">
        <v>-6.2739999999999996E-4</v>
      </c>
      <c r="E19" s="3">
        <v>0</v>
      </c>
      <c r="F19" s="3">
        <v>0</v>
      </c>
      <c r="G19" s="3">
        <v>0</v>
      </c>
      <c r="H19" s="3">
        <v>1.3058692000000001E-4</v>
      </c>
      <c r="I19" s="3">
        <v>2.7651624E-5</v>
      </c>
      <c r="J19" s="3">
        <v>-3.1155963999999998E-4</v>
      </c>
      <c r="K19" s="3"/>
      <c r="L19" s="3">
        <f t="shared" si="0"/>
        <v>0.11158750398469877</v>
      </c>
      <c r="M19" s="3"/>
      <c r="N19" s="2">
        <f>IF('Modell einstellen'!$B$1="Voll",H19/0.35,H19/0.35*2)</f>
        <v>3.7310548571428578E-4</v>
      </c>
      <c r="O19" s="2">
        <f>IF('Modell einstellen'!$B$1="Voll",J19/0.35,J19/0.35*2)</f>
        <v>-8.9017040000000005E-4</v>
      </c>
      <c r="P19" s="3">
        <f t="shared" si="1"/>
        <v>0.41913939815824675</v>
      </c>
      <c r="Q19" s="3"/>
      <c r="R19" s="3"/>
      <c r="S19" s="3"/>
      <c r="T19" s="3"/>
      <c r="U19" s="3"/>
      <c r="V19" s="3"/>
      <c r="W19" s="3"/>
      <c r="X19" s="3"/>
      <c r="Y19" s="3"/>
    </row>
    <row r="20" spans="1:25" x14ac:dyDescent="0.25">
      <c r="A20" s="3">
        <v>100</v>
      </c>
      <c r="B20" s="3">
        <v>6.2929999999999995E-5</v>
      </c>
      <c r="C20" s="3">
        <v>2.6340000000000001E-4</v>
      </c>
      <c r="D20" s="3">
        <v>-6.3860000000000002E-4</v>
      </c>
      <c r="E20" s="3">
        <v>0</v>
      </c>
      <c r="F20" s="3">
        <v>0</v>
      </c>
      <c r="G20" s="3">
        <v>0</v>
      </c>
      <c r="H20" s="3">
        <v>1.4023618E-4</v>
      </c>
      <c r="I20" s="3">
        <v>2.9711359999999999E-5</v>
      </c>
      <c r="J20" s="3">
        <v>-3.2885854000000003E-4</v>
      </c>
      <c r="K20" s="3"/>
      <c r="L20" s="3">
        <f t="shared" si="0"/>
        <v>9.8543689320388345E-2</v>
      </c>
      <c r="M20" s="3"/>
      <c r="N20" s="2">
        <f>IF('Modell einstellen'!$B$1="Voll",H20/0.35,H20/0.35*2)</f>
        <v>4.0067480000000001E-4</v>
      </c>
      <c r="O20" s="2">
        <f>IF('Modell einstellen'!$B$1="Voll",J20/0.35,J20/0.35*2)</f>
        <v>-9.3959582857142869E-4</v>
      </c>
      <c r="P20" s="3">
        <f t="shared" si="1"/>
        <v>0.42643314052297376</v>
      </c>
      <c r="Q20" s="3"/>
      <c r="R20" s="3"/>
      <c r="S20" s="3"/>
      <c r="T20" s="3"/>
      <c r="U20" s="3"/>
      <c r="V20" s="3"/>
      <c r="W20" s="3"/>
      <c r="X20" s="3"/>
      <c r="Y20" s="3"/>
    </row>
    <row r="21" spans="1:25" x14ac:dyDescent="0.25">
      <c r="A21" s="3">
        <v>1000</v>
      </c>
      <c r="B21" s="3">
        <v>6.1199999999999997E-5</v>
      </c>
      <c r="C21" s="3">
        <v>2.9379999999999999E-4</v>
      </c>
      <c r="D21" s="3">
        <v>-6.6600000000000003E-4</v>
      </c>
      <c r="E21" s="3">
        <v>0</v>
      </c>
      <c r="F21" s="3">
        <v>0</v>
      </c>
      <c r="G21" s="3">
        <v>0</v>
      </c>
      <c r="H21" s="3">
        <v>1.4930832000000001E-4</v>
      </c>
      <c r="I21" s="3">
        <v>3.3516833000000001E-5</v>
      </c>
      <c r="J21" s="3">
        <v>-3.5068163999999998E-4</v>
      </c>
      <c r="K21" s="3"/>
      <c r="L21" s="3">
        <f t="shared" si="0"/>
        <v>9.1891891891891883E-2</v>
      </c>
      <c r="M21" s="3"/>
      <c r="N21" s="2">
        <f>IF('Modell einstellen'!$B$1="Voll",H21/0.35,H21/0.35*2)</f>
        <v>4.2659520000000006E-4</v>
      </c>
      <c r="O21" s="2">
        <f>IF('Modell einstellen'!$B$1="Voll",J21/0.35,J21/0.35*2)</f>
        <v>-1.0019475428571429E-3</v>
      </c>
      <c r="P21" s="3">
        <f t="shared" si="1"/>
        <v>0.42576600246308877</v>
      </c>
      <c r="Q21" s="3"/>
      <c r="R21" s="3"/>
      <c r="S21" s="3"/>
      <c r="T21" s="3"/>
      <c r="U21" s="3"/>
      <c r="V21" s="3"/>
      <c r="W21" s="3"/>
      <c r="X21" s="3"/>
      <c r="Y21" s="3"/>
    </row>
    <row r="22" spans="1:25" x14ac:dyDescent="0.25">
      <c r="A22" s="3">
        <v>10000</v>
      </c>
      <c r="B22" s="3">
        <v>6.6740000000000001E-5</v>
      </c>
      <c r="C22" s="3">
        <v>3.3429999999999999E-4</v>
      </c>
      <c r="D22" s="3">
        <v>-7.0799999999999997E-4</v>
      </c>
      <c r="E22" s="3">
        <v>0</v>
      </c>
      <c r="F22" s="3">
        <v>0</v>
      </c>
      <c r="G22" s="3">
        <v>0</v>
      </c>
      <c r="H22" s="3">
        <v>1.5710033999999999E-4</v>
      </c>
      <c r="I22" s="3">
        <v>3.8570752999999998E-5</v>
      </c>
      <c r="J22" s="3">
        <v>-3.7491693000000001E-4</v>
      </c>
      <c r="K22" s="3"/>
      <c r="L22" s="3">
        <f t="shared" si="0"/>
        <v>9.4265536723163845E-2</v>
      </c>
      <c r="M22" s="3"/>
      <c r="N22" s="2">
        <f>IF('Modell einstellen'!$B$1="Voll",H22/0.35,H22/0.35*2)</f>
        <v>4.4885811428571431E-4</v>
      </c>
      <c r="O22" s="2">
        <f>IF('Modell einstellen'!$B$1="Voll",J22/0.35,J22/0.35*2)</f>
        <v>-1.0711912285714287E-3</v>
      </c>
      <c r="P22" s="3">
        <f t="shared" si="1"/>
        <v>0.41902706287496805</v>
      </c>
      <c r="Q22" s="3"/>
      <c r="R22" s="3"/>
      <c r="S22" s="3"/>
      <c r="T22" s="3"/>
      <c r="U22" s="3"/>
      <c r="V22" s="3"/>
      <c r="W22" s="3"/>
      <c r="X22" s="3"/>
      <c r="Y22" s="3"/>
    </row>
    <row r="23" spans="1:25" x14ac:dyDescent="0.25">
      <c r="A23" s="3">
        <v>100000</v>
      </c>
      <c r="B23" s="3">
        <v>7.0959999999999998E-5</v>
      </c>
      <c r="C23" s="3">
        <v>3.7619999999999998E-4</v>
      </c>
      <c r="D23" s="3">
        <v>-7.5089999999999998E-4</v>
      </c>
      <c r="E23" s="3">
        <v>0</v>
      </c>
      <c r="F23" s="3">
        <v>0</v>
      </c>
      <c r="G23" s="3">
        <v>0</v>
      </c>
      <c r="H23" s="3">
        <v>1.6588013999999999E-4</v>
      </c>
      <c r="I23" s="3">
        <v>4.3913876000000001E-5</v>
      </c>
      <c r="J23" s="3">
        <v>-4.0133238000000001E-4</v>
      </c>
      <c r="K23" s="3"/>
      <c r="L23" s="3">
        <f t="shared" si="0"/>
        <v>9.4499933413237452E-2</v>
      </c>
      <c r="M23" s="3"/>
      <c r="N23" s="2">
        <f>IF('Modell einstellen'!$B$1="Voll",H23/0.35,H23/0.35*2)</f>
        <v>4.7394325714285714E-4</v>
      </c>
      <c r="O23" s="2">
        <f>IF('Modell einstellen'!$B$1="Voll",J23/0.35,J23/0.35*2)</f>
        <v>-1.1466639428571429E-3</v>
      </c>
      <c r="P23" s="3">
        <f t="shared" si="1"/>
        <v>0.41332358978859368</v>
      </c>
      <c r="Q23" s="3"/>
      <c r="R23" s="3"/>
      <c r="S23" s="3"/>
      <c r="T23" s="3"/>
      <c r="U23" s="3"/>
      <c r="V23" s="3"/>
      <c r="W23" s="3"/>
      <c r="X23" s="3"/>
      <c r="Y23" s="3"/>
    </row>
    <row r="24" spans="1:25" x14ac:dyDescent="0.25">
      <c r="A24" s="3">
        <v>1000000</v>
      </c>
      <c r="B24" s="3">
        <v>7.3129999999999999E-5</v>
      </c>
      <c r="C24" s="3">
        <v>4.1370000000000003E-4</v>
      </c>
      <c r="D24" s="3">
        <v>-7.8859999999999998E-4</v>
      </c>
      <c r="E24" s="3">
        <v>0</v>
      </c>
      <c r="F24" s="3">
        <v>0</v>
      </c>
      <c r="G24" s="3">
        <v>0</v>
      </c>
      <c r="H24" s="3">
        <v>1.7517971999999999E-4</v>
      </c>
      <c r="I24" s="3">
        <v>4.8829377999999997E-5</v>
      </c>
      <c r="J24" s="3">
        <v>-4.2715244000000001E-4</v>
      </c>
      <c r="K24" s="3"/>
      <c r="L24" s="3">
        <f t="shared" si="0"/>
        <v>9.273395891453208E-2</v>
      </c>
      <c r="M24" s="3"/>
      <c r="N24" s="2">
        <f>IF('Modell einstellen'!$B$1="Voll",H24/0.35,H24/0.35*2)</f>
        <v>5.005134857142857E-4</v>
      </c>
      <c r="O24" s="2">
        <f>IF('Modell einstellen'!$B$1="Voll",J24/0.35,J24/0.35*2)</f>
        <v>-1.2204355428571429E-3</v>
      </c>
      <c r="P24" s="3">
        <f t="shared" si="1"/>
        <v>0.41011054507847361</v>
      </c>
      <c r="Q24" s="3"/>
      <c r="R24" s="3"/>
      <c r="S24" s="3"/>
      <c r="T24" s="3"/>
      <c r="U24" s="3"/>
      <c r="V24" s="3"/>
      <c r="W24" s="3"/>
      <c r="X24" s="3"/>
      <c r="Y24" s="3"/>
    </row>
    <row r="25" spans="1:25" x14ac:dyDescent="0.25">
      <c r="A25" s="3">
        <v>10000000</v>
      </c>
      <c r="B25" s="3">
        <v>7.0829999999999998E-5</v>
      </c>
      <c r="C25" s="3">
        <v>4.4799999999999999E-4</v>
      </c>
      <c r="D25" s="3">
        <v>-8.2030000000000004E-4</v>
      </c>
      <c r="E25" s="3">
        <v>0</v>
      </c>
      <c r="F25" s="3">
        <v>0</v>
      </c>
      <c r="G25" s="3">
        <v>0</v>
      </c>
      <c r="H25" s="3">
        <v>1.8614921000000001E-4</v>
      </c>
      <c r="I25" s="3">
        <v>5.3490316999999998E-5</v>
      </c>
      <c r="J25" s="3">
        <v>-4.5419010000000002E-4</v>
      </c>
      <c r="K25" s="3"/>
      <c r="L25" s="3">
        <f t="shared" si="0"/>
        <v>8.6346458612702667E-2</v>
      </c>
      <c r="M25" s="3"/>
      <c r="N25" s="2">
        <f>IF('Modell einstellen'!$B$1="Voll",H25/0.35,H25/0.35*2)</f>
        <v>5.3185488571428578E-4</v>
      </c>
      <c r="O25" s="2">
        <f>IF('Modell einstellen'!$B$1="Voll",J25/0.35,J25/0.35*2)</f>
        <v>-1.2976860000000002E-3</v>
      </c>
      <c r="P25" s="3">
        <f t="shared" si="1"/>
        <v>0.40984867349596565</v>
      </c>
      <c r="Q25" s="3"/>
      <c r="R25" s="3"/>
      <c r="S25" s="3"/>
      <c r="T25" s="3"/>
      <c r="U25" s="3"/>
      <c r="V25" s="3"/>
      <c r="W25" s="3"/>
      <c r="X25" s="3"/>
      <c r="Y25" s="3"/>
    </row>
    <row r="26" spans="1:25" x14ac:dyDescent="0.25">
      <c r="A26" s="3">
        <v>100000000</v>
      </c>
      <c r="B26" s="3">
        <v>6.3070000000000004E-5</v>
      </c>
      <c r="C26" s="3">
        <v>4.8030000000000002E-4</v>
      </c>
      <c r="D26" s="3">
        <v>-8.4559999999999995E-4</v>
      </c>
      <c r="E26" s="3">
        <v>0</v>
      </c>
      <c r="F26" s="3">
        <v>0</v>
      </c>
      <c r="G26" s="3">
        <v>0</v>
      </c>
      <c r="H26" s="3">
        <v>1.9868250999999999E-4</v>
      </c>
      <c r="I26" s="3">
        <v>5.8036805E-5</v>
      </c>
      <c r="J26" s="3">
        <v>-4.8273099000000001E-4</v>
      </c>
      <c r="K26" s="3"/>
      <c r="L26" s="3">
        <f t="shared" si="0"/>
        <v>7.4586092715231797E-2</v>
      </c>
      <c r="M26" s="3"/>
      <c r="N26" s="2">
        <f>IF('Modell einstellen'!$B$1="Voll",H26/0.35,H26/0.35*2)</f>
        <v>5.6766431428571427E-4</v>
      </c>
      <c r="O26" s="2">
        <f>IF('Modell einstellen'!$B$1="Voll",J26/0.35,J26/0.35*2)</f>
        <v>-1.3792314000000002E-3</v>
      </c>
      <c r="P26" s="3">
        <f t="shared" si="1"/>
        <v>0.41158018464901114</v>
      </c>
      <c r="Q26" s="3"/>
      <c r="R26" s="3"/>
      <c r="S26" s="3"/>
      <c r="T26" s="3"/>
      <c r="U26" s="3"/>
      <c r="V26" s="3"/>
      <c r="W26" s="3"/>
      <c r="X26" s="3"/>
      <c r="Y26" s="3"/>
    </row>
    <row r="27" spans="1:25" x14ac:dyDescent="0.25">
      <c r="A27" s="3">
        <v>1000000000</v>
      </c>
      <c r="B27" s="3">
        <v>4.4110000000000003E-5</v>
      </c>
      <c r="C27" s="3">
        <v>5.1630000000000003E-4</v>
      </c>
      <c r="D27" s="3">
        <v>-8.6470000000000004E-4</v>
      </c>
      <c r="E27" s="3">
        <v>0</v>
      </c>
      <c r="F27" s="3">
        <v>0</v>
      </c>
      <c r="G27" s="3">
        <v>0</v>
      </c>
      <c r="H27" s="3">
        <v>2.1524683000000001E-4</v>
      </c>
      <c r="I27" s="3">
        <v>6.3289738999999998E-5</v>
      </c>
      <c r="J27" s="3">
        <v>-5.1816372000000003E-4</v>
      </c>
      <c r="K27" s="3"/>
      <c r="L27" s="3">
        <f t="shared" si="0"/>
        <v>5.1011911645657451E-2</v>
      </c>
      <c r="M27" s="3"/>
      <c r="N27" s="2">
        <f>IF('Modell einstellen'!$B$1="Voll",H27/0.35,H27/0.35*2)</f>
        <v>6.1499094285714288E-4</v>
      </c>
      <c r="O27" s="2">
        <f>IF('Modell einstellen'!$B$1="Voll",J27/0.35,J27/0.35*2)</f>
        <v>-1.4804677714285717E-3</v>
      </c>
      <c r="P27" s="3">
        <f t="shared" si="1"/>
        <v>0.41540312779906702</v>
      </c>
      <c r="Q27" s="3"/>
      <c r="R27" s="3"/>
      <c r="S27" s="3"/>
      <c r="T27" s="3"/>
      <c r="U27" s="3"/>
      <c r="V27" s="3"/>
      <c r="W27" s="3"/>
      <c r="X27" s="3"/>
      <c r="Y27" s="3"/>
    </row>
    <row r="28" spans="1:25" x14ac:dyDescent="0.25">
      <c r="A28" s="3">
        <v>10000000000</v>
      </c>
      <c r="B28" s="3">
        <v>1.181E-5</v>
      </c>
      <c r="C28" s="3">
        <v>5.5719999999999999E-4</v>
      </c>
      <c r="D28" s="3">
        <v>-8.7620000000000005E-4</v>
      </c>
      <c r="E28" s="3">
        <v>0</v>
      </c>
      <c r="F28" s="3">
        <v>0</v>
      </c>
      <c r="G28" s="3">
        <v>0</v>
      </c>
      <c r="H28" s="3">
        <v>2.3568708999999999E-4</v>
      </c>
      <c r="I28" s="3">
        <v>6.9454998999999995E-5</v>
      </c>
      <c r="J28" s="3">
        <v>-5.6093775999999996E-4</v>
      </c>
      <c r="K28" s="3"/>
      <c r="L28" s="3">
        <f t="shared" si="0"/>
        <v>1.3478657840675645E-2</v>
      </c>
      <c r="M28" s="3"/>
      <c r="N28" s="2">
        <f>IF('Modell einstellen'!$B$1="Voll",H28/0.35,H28/0.35*2)</f>
        <v>6.7339168571428577E-4</v>
      </c>
      <c r="O28" s="2">
        <f>IF('Modell einstellen'!$B$1="Voll",J28/0.35,J28/0.35*2)</f>
        <v>-1.6026793142857143E-3</v>
      </c>
      <c r="P28" s="3">
        <f t="shared" si="1"/>
        <v>0.42016620524886755</v>
      </c>
      <c r="Q28" s="3"/>
      <c r="R28" s="3"/>
      <c r="S28" s="3"/>
      <c r="T28" s="3"/>
      <c r="U28" s="3"/>
      <c r="V28" s="3"/>
      <c r="W28" s="3"/>
      <c r="X28" s="3"/>
      <c r="Y28" s="3"/>
    </row>
    <row r="29" spans="1:25" x14ac:dyDescent="0.25">
      <c r="A29" s="3">
        <v>100000000000</v>
      </c>
      <c r="B29" s="3">
        <v>-4.2679999999999998E-5</v>
      </c>
      <c r="C29" s="3">
        <v>6.0860000000000005E-4</v>
      </c>
      <c r="D29" s="3">
        <v>-8.7679999999999995E-4</v>
      </c>
      <c r="E29" s="3">
        <v>0</v>
      </c>
      <c r="F29" s="3">
        <v>0</v>
      </c>
      <c r="G29" s="3">
        <v>0</v>
      </c>
      <c r="H29" s="3">
        <v>2.6310112000000002E-4</v>
      </c>
      <c r="I29" s="3">
        <v>7.7446601999999997E-5</v>
      </c>
      <c r="J29" s="3">
        <v>-6.1744428000000005E-4</v>
      </c>
      <c r="K29" s="3"/>
      <c r="L29" s="3">
        <f t="shared" si="0"/>
        <v>-4.8677007299270075E-2</v>
      </c>
      <c r="M29" s="3"/>
      <c r="N29" s="2">
        <f>IF('Modell einstellen'!$B$1="Voll",H29/0.35,H29/0.35*2)</f>
        <v>7.5171748571428579E-4</v>
      </c>
      <c r="O29" s="2">
        <f>IF('Modell einstellen'!$B$1="Voll",J29/0.35,J29/0.35*2)</f>
        <v>-1.7641265142857145E-3</v>
      </c>
      <c r="P29" s="3">
        <f t="shared" si="1"/>
        <v>0.42611313850052995</v>
      </c>
      <c r="Q29" s="3"/>
      <c r="R29" s="3"/>
      <c r="S29" s="3"/>
      <c r="T29" s="3"/>
      <c r="U29" s="3"/>
      <c r="V29" s="3"/>
      <c r="W29" s="3"/>
      <c r="X29" s="3"/>
      <c r="Y29" s="3"/>
    </row>
    <row r="30" spans="1:25" x14ac:dyDescent="0.25">
      <c r="A30" s="3">
        <v>1000000000000</v>
      </c>
      <c r="B30" s="3">
        <v>-1.3200000000000001E-4</v>
      </c>
      <c r="C30" s="3">
        <v>6.7599999999999995E-4</v>
      </c>
      <c r="D30" s="3">
        <v>-8.5939999999999996E-4</v>
      </c>
      <c r="E30" s="3">
        <v>0</v>
      </c>
      <c r="F30" s="3">
        <v>0</v>
      </c>
      <c r="G30" s="3">
        <v>0</v>
      </c>
      <c r="H30" s="3">
        <v>3.0123935999999999E-4</v>
      </c>
      <c r="I30" s="3">
        <v>8.8281110999999994E-5</v>
      </c>
      <c r="J30" s="3">
        <v>-6.9509784999999995E-4</v>
      </c>
      <c r="K30" s="3"/>
      <c r="L30" s="3">
        <f t="shared" si="0"/>
        <v>-0.15359553176634863</v>
      </c>
      <c r="M30" s="3"/>
      <c r="N30" s="2">
        <f>IF('Modell einstellen'!$B$1="Voll",H30/0.35,H30/0.35*2)</f>
        <v>8.6068388571428577E-4</v>
      </c>
      <c r="O30" s="2">
        <f>IF('Modell einstellen'!$B$1="Voll",J30/0.35,J30/0.35*2)</f>
        <v>-1.9859938571428573E-3</v>
      </c>
      <c r="P30" s="3">
        <f t="shared" si="1"/>
        <v>0.43337691232968134</v>
      </c>
      <c r="Q30" s="3"/>
      <c r="R30" s="3"/>
      <c r="S30" s="3"/>
      <c r="T30" s="3"/>
      <c r="U30" s="3"/>
      <c r="V30" s="3"/>
      <c r="W30" s="3"/>
      <c r="X30" s="3"/>
      <c r="Y30" s="3"/>
    </row>
    <row r="31" spans="1:25" x14ac:dyDescent="0.25">
      <c r="A31" s="3">
        <v>10000000000000</v>
      </c>
      <c r="B31" s="3">
        <v>-2.9169999999999999E-4</v>
      </c>
      <c r="C31" s="3">
        <v>7.7430000000000001E-4</v>
      </c>
      <c r="D31" s="3">
        <v>-8.0409999999999998E-4</v>
      </c>
      <c r="E31" s="3">
        <v>0</v>
      </c>
      <c r="F31" s="3">
        <v>0</v>
      </c>
      <c r="G31" s="3">
        <v>0</v>
      </c>
      <c r="H31" s="3">
        <v>3.6096305999999998E-4</v>
      </c>
      <c r="I31" s="3">
        <v>1.0470401999999999E-4</v>
      </c>
      <c r="J31" s="3">
        <v>-8.1475912999999999E-4</v>
      </c>
      <c r="K31" s="3"/>
      <c r="L31" s="3">
        <f t="shared" si="0"/>
        <v>-0.3627658251461261</v>
      </c>
      <c r="M31" s="3"/>
      <c r="N31" s="2">
        <f>IF('Modell einstellen'!$B$1="Voll",H31/0.35,H31/0.35*2)</f>
        <v>1.0313230285714286E-3</v>
      </c>
      <c r="O31" s="2">
        <f>IF('Modell einstellen'!$B$1="Voll",J31/0.35,J31/0.35*2)</f>
        <v>-2.3278832285714285E-3</v>
      </c>
      <c r="P31" s="3">
        <f t="shared" si="1"/>
        <v>0.44303039598954852</v>
      </c>
      <c r="Q31" s="3"/>
      <c r="R31" s="3"/>
      <c r="S31" s="3"/>
      <c r="T31" s="3"/>
      <c r="U31" s="3"/>
      <c r="V31" s="3"/>
      <c r="W31" s="3"/>
      <c r="X31" s="3"/>
      <c r="Y31" s="3"/>
    </row>
    <row r="32" spans="1:25" x14ac:dyDescent="0.25">
      <c r="A32" s="3">
        <v>100000000000000</v>
      </c>
      <c r="B32" s="3">
        <v>-5.9349999999999995E-4</v>
      </c>
      <c r="C32" s="3">
        <v>9.2750000000000005E-4</v>
      </c>
      <c r="D32" s="3">
        <v>-6.6310000000000002E-4</v>
      </c>
      <c r="E32" s="3">
        <v>0</v>
      </c>
      <c r="F32" s="3">
        <v>0</v>
      </c>
      <c r="G32" s="3">
        <v>0</v>
      </c>
      <c r="H32" s="3">
        <v>4.6227926E-4</v>
      </c>
      <c r="I32" s="3">
        <v>1.3146562999999999E-4</v>
      </c>
      <c r="J32" s="3">
        <v>-1.0136737999999999E-3</v>
      </c>
      <c r="K32" s="3"/>
      <c r="L32" s="3">
        <f t="shared" si="0"/>
        <v>-0.89503845573819929</v>
      </c>
      <c r="M32" s="3"/>
      <c r="N32" s="2">
        <f>IF('Modell einstellen'!$B$1="Voll",H32/0.35,H32/0.35*2)</f>
        <v>1.3207978857142858E-3</v>
      </c>
      <c r="O32" s="2">
        <f>IF('Modell einstellen'!$B$1="Voll",J32/0.35,J32/0.35*2)</f>
        <v>-2.8962108571428573E-3</v>
      </c>
      <c r="P32" s="3">
        <f t="shared" si="1"/>
        <v>0.45604341357150596</v>
      </c>
      <c r="Q32" s="3"/>
      <c r="R32" s="3"/>
      <c r="S32" s="3"/>
      <c r="T32" s="3"/>
      <c r="U32" s="3"/>
      <c r="V32" s="3"/>
      <c r="W32" s="3"/>
      <c r="X32" s="3"/>
      <c r="Y32" s="3"/>
    </row>
    <row r="33" spans="1:25" x14ac:dyDescent="0.25">
      <c r="A33" s="2">
        <v>1000000000000000</v>
      </c>
      <c r="B33" s="3">
        <v>-1.17E-3</v>
      </c>
      <c r="C33" s="3">
        <v>1.1720000000000001E-3</v>
      </c>
      <c r="D33" s="3">
        <v>-3.3950000000000001E-4</v>
      </c>
      <c r="E33" s="3">
        <v>0</v>
      </c>
      <c r="F33" s="3">
        <v>0</v>
      </c>
      <c r="G33" s="3">
        <v>0</v>
      </c>
      <c r="H33" s="3">
        <v>6.4009863000000005E-4</v>
      </c>
      <c r="I33" s="3">
        <v>1.7619924E-4</v>
      </c>
      <c r="J33" s="3">
        <v>-1.3542878999999999E-3</v>
      </c>
      <c r="K33" s="3"/>
      <c r="L33" s="3">
        <f t="shared" si="0"/>
        <v>-3.4462444771723124</v>
      </c>
      <c r="M33" s="3"/>
      <c r="N33" s="2">
        <f>IF('Modell einstellen'!$B$1="Voll",H33/0.35,H33/0.35*2)</f>
        <v>1.8288532285714288E-3</v>
      </c>
      <c r="O33" s="2">
        <f>IF('Modell einstellen'!$B$1="Voll",J33/0.35,J33/0.35*2)</f>
        <v>-3.869394E-3</v>
      </c>
      <c r="P33" s="3">
        <f t="shared" si="1"/>
        <v>0.47264590490692571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9.4969999999999994E-5</v>
      </c>
      <c r="C3" s="3">
        <v>1.8469999999999999E-4</v>
      </c>
      <c r="D3" s="3">
        <v>-5.6550000000000003E-4</v>
      </c>
      <c r="E3" s="3">
        <v>0</v>
      </c>
      <c r="F3" s="3">
        <v>0</v>
      </c>
      <c r="G3" s="3">
        <v>0</v>
      </c>
      <c r="H3" s="3">
        <v>8.2017986000000001E-5</v>
      </c>
      <c r="I3" s="3">
        <v>1.9709792E-5</v>
      </c>
      <c r="J3" s="3">
        <v>-2.3000509E-4</v>
      </c>
      <c r="K3" s="3"/>
      <c r="L3" s="3">
        <f>-B3/D3</f>
        <v>0.16793987621573828</v>
      </c>
      <c r="M3" s="3"/>
      <c r="N3" s="2">
        <f>IF('Modell einstellen'!$B$1="Voll",H3/0.35,H3/0.35*2)</f>
        <v>2.3433710285714288E-4</v>
      </c>
      <c r="O3" s="2">
        <f>IF('Modell einstellen'!$B$1="Voll",J3/0.35,J3/0.35*2)</f>
        <v>-6.5715740000000004E-4</v>
      </c>
      <c r="P3" s="3">
        <f>-N3/O3</f>
        <v>0.35659204759338153</v>
      </c>
      <c r="Q3" s="3"/>
      <c r="R3" s="3"/>
      <c r="S3" s="3"/>
      <c r="T3" s="3"/>
      <c r="U3" s="3"/>
    </row>
    <row r="4" spans="1:21" x14ac:dyDescent="0.25">
      <c r="A4" s="3">
        <v>1E-14</v>
      </c>
      <c r="B4" s="3">
        <v>9.4959999999999999E-5</v>
      </c>
      <c r="C4" s="3">
        <v>1.8469999999999999E-4</v>
      </c>
      <c r="D4" s="3">
        <v>-5.6550000000000003E-4</v>
      </c>
      <c r="E4" s="3">
        <v>0</v>
      </c>
      <c r="F4" s="3">
        <v>0</v>
      </c>
      <c r="G4" s="3">
        <v>0</v>
      </c>
      <c r="H4" s="3">
        <v>8.2041076000000004E-5</v>
      </c>
      <c r="I4" s="3">
        <v>1.9714132999999998E-5</v>
      </c>
      <c r="J4" s="3">
        <v>-2.3003773999999999E-4</v>
      </c>
      <c r="K4" s="3"/>
      <c r="L4" s="3">
        <f t="shared" ref="L4:L33" si="0">-B4/D4</f>
        <v>0.16792219274977896</v>
      </c>
      <c r="M4" s="3"/>
      <c r="N4" s="2">
        <f>IF('Modell einstellen'!$B$1="Voll",H4/0.35,H4/0.35*2)</f>
        <v>2.3440307428571432E-4</v>
      </c>
      <c r="O4" s="2">
        <f>IF('Modell einstellen'!$B$1="Voll",J4/0.35,J4/0.35*2)</f>
        <v>-6.5725068571428577E-4</v>
      </c>
      <c r="P4" s="3">
        <f t="shared" ref="P4:P33" si="1">-N4/O4</f>
        <v>0.35664181016558416</v>
      </c>
      <c r="Q4" s="3"/>
      <c r="R4" s="3"/>
      <c r="S4" s="3"/>
      <c r="T4" s="3"/>
      <c r="U4" s="3"/>
    </row>
    <row r="5" spans="1:21" x14ac:dyDescent="0.25">
      <c r="A5" s="3">
        <v>1E-13</v>
      </c>
      <c r="B5" s="3">
        <v>9.4900000000000003E-5</v>
      </c>
      <c r="C5" s="3">
        <v>1.85E-4</v>
      </c>
      <c r="D5" s="3">
        <v>-5.6590000000000004E-4</v>
      </c>
      <c r="E5" s="3">
        <v>0</v>
      </c>
      <c r="F5" s="3">
        <v>0</v>
      </c>
      <c r="G5" s="3">
        <v>0</v>
      </c>
      <c r="H5" s="3">
        <v>8.2241825999999994E-5</v>
      </c>
      <c r="I5" s="3">
        <v>1.9751095000000001E-5</v>
      </c>
      <c r="J5" s="3">
        <v>-2.3039411E-4</v>
      </c>
      <c r="K5" s="3"/>
      <c r="L5" s="3">
        <f t="shared" si="0"/>
        <v>0.16769747305177593</v>
      </c>
      <c r="M5" s="3"/>
      <c r="N5" s="2">
        <f>IF('Modell einstellen'!$B$1="Voll",H5/0.35,H5/0.35*2)</f>
        <v>2.3497664571428572E-4</v>
      </c>
      <c r="O5" s="2">
        <f>IF('Modell einstellen'!$B$1="Voll",J5/0.35,J5/0.35*2)</f>
        <v>-6.5826888571428571E-4</v>
      </c>
      <c r="P5" s="3">
        <f t="shared" si="1"/>
        <v>0.35696149523961357</v>
      </c>
      <c r="Q5" s="3"/>
      <c r="R5" s="3"/>
      <c r="S5" s="3"/>
      <c r="T5" s="3"/>
      <c r="U5" s="3"/>
    </row>
    <row r="6" spans="1:21" x14ac:dyDescent="0.25">
      <c r="A6" s="3">
        <v>9.9999999999999998E-13</v>
      </c>
      <c r="B6" s="3">
        <v>9.4920000000000006E-5</v>
      </c>
      <c r="C6" s="3">
        <v>1.8770000000000001E-4</v>
      </c>
      <c r="D6" s="3">
        <v>-5.6959999999999997E-4</v>
      </c>
      <c r="E6" s="3">
        <v>0</v>
      </c>
      <c r="F6" s="3">
        <v>0</v>
      </c>
      <c r="G6" s="3">
        <v>0</v>
      </c>
      <c r="H6" s="3">
        <v>8.3897759999999999E-5</v>
      </c>
      <c r="I6" s="3">
        <v>2.0066598999999999E-5</v>
      </c>
      <c r="J6" s="3">
        <v>-2.3336826000000001E-4</v>
      </c>
      <c r="K6" s="3"/>
      <c r="L6" s="3">
        <f t="shared" si="0"/>
        <v>0.16664325842696631</v>
      </c>
      <c r="M6" s="3"/>
      <c r="N6" s="2">
        <f>IF('Modell einstellen'!$B$1="Voll",H6/0.35,H6/0.35*2)</f>
        <v>2.3970788571428571E-4</v>
      </c>
      <c r="O6" s="2">
        <f>IF('Modell einstellen'!$B$1="Voll",J6/0.35,J6/0.35*2)</f>
        <v>-6.6676645714285727E-4</v>
      </c>
      <c r="P6" s="3">
        <f t="shared" si="1"/>
        <v>0.35950801535735832</v>
      </c>
      <c r="Q6" s="3"/>
      <c r="R6" s="3"/>
      <c r="S6" s="3"/>
      <c r="T6" s="3"/>
      <c r="U6" s="3"/>
    </row>
    <row r="7" spans="1:21" x14ac:dyDescent="0.25">
      <c r="A7" s="3">
        <v>9.9999999999999994E-12</v>
      </c>
      <c r="B7" s="3">
        <v>9.4590000000000001E-5</v>
      </c>
      <c r="C7" s="3">
        <v>1.93E-4</v>
      </c>
      <c r="D7" s="3">
        <v>-5.7669999999999998E-4</v>
      </c>
      <c r="E7" s="3">
        <v>0</v>
      </c>
      <c r="F7" s="3">
        <v>0</v>
      </c>
      <c r="G7" s="3">
        <v>0</v>
      </c>
      <c r="H7" s="3">
        <v>8.7340699999999995E-5</v>
      </c>
      <c r="I7" s="3">
        <v>2.0709449999999999E-5</v>
      </c>
      <c r="J7" s="3">
        <v>-2.3949149000000001E-4</v>
      </c>
      <c r="K7" s="3"/>
      <c r="L7" s="3">
        <f t="shared" si="0"/>
        <v>0.16401942084272586</v>
      </c>
      <c r="M7" s="3"/>
      <c r="N7" s="2">
        <f>IF('Modell einstellen'!$B$1="Voll",H7/0.35,H7/0.35*2)</f>
        <v>2.4954485714285716E-4</v>
      </c>
      <c r="O7" s="2">
        <f>IF('Modell einstellen'!$B$1="Voll",J7/0.35,J7/0.35*2)</f>
        <v>-6.8426140000000006E-4</v>
      </c>
      <c r="P7" s="3">
        <f t="shared" si="1"/>
        <v>0.36469229031895872</v>
      </c>
      <c r="Q7" s="3"/>
      <c r="R7" s="3"/>
      <c r="S7" s="3"/>
      <c r="T7" s="3"/>
      <c r="U7" s="3"/>
    </row>
    <row r="8" spans="1:21" x14ac:dyDescent="0.25">
      <c r="A8" s="3">
        <v>1E-10</v>
      </c>
      <c r="B8" s="3">
        <v>9.4149999999999998E-5</v>
      </c>
      <c r="C8" s="3">
        <v>1.9680000000000001E-4</v>
      </c>
      <c r="D8" s="3">
        <v>-5.8149999999999999E-4</v>
      </c>
      <c r="E8" s="3">
        <v>0</v>
      </c>
      <c r="F8" s="3">
        <v>0</v>
      </c>
      <c r="G8" s="3">
        <v>0</v>
      </c>
      <c r="H8" s="3">
        <v>8.9856363000000001E-5</v>
      </c>
      <c r="I8" s="3">
        <v>2.1169881999999999E-5</v>
      </c>
      <c r="J8" s="3">
        <v>-2.4392186999999999E-4</v>
      </c>
      <c r="K8" s="3"/>
      <c r="L8" s="3">
        <f t="shared" si="0"/>
        <v>0.16190885640584696</v>
      </c>
      <c r="M8" s="3"/>
      <c r="N8" s="2">
        <f>IF('Modell einstellen'!$B$1="Voll",H8/0.35,H8/0.35*2)</f>
        <v>2.5673246571428573E-4</v>
      </c>
      <c r="O8" s="2">
        <f>IF('Modell einstellen'!$B$1="Voll",J8/0.35,J8/0.35*2)</f>
        <v>-6.9691962857142858E-4</v>
      </c>
      <c r="P8" s="3">
        <f t="shared" si="1"/>
        <v>0.36838174043188504</v>
      </c>
      <c r="Q8" s="3"/>
      <c r="R8" s="3"/>
      <c r="S8" s="3"/>
      <c r="T8" s="3"/>
      <c r="U8" s="3"/>
    </row>
    <row r="9" spans="1:21" x14ac:dyDescent="0.25">
      <c r="A9" s="3">
        <v>1.0000000000000001E-9</v>
      </c>
      <c r="B9" s="3">
        <v>9.3560000000000005E-5</v>
      </c>
      <c r="C9" s="3">
        <v>2.007E-4</v>
      </c>
      <c r="D9" s="3">
        <v>-5.8609999999999999E-4</v>
      </c>
      <c r="E9" s="3">
        <v>0</v>
      </c>
      <c r="F9" s="3">
        <v>0</v>
      </c>
      <c r="G9" s="3">
        <v>0</v>
      </c>
      <c r="H9" s="3">
        <v>9.2440649999999994E-5</v>
      </c>
      <c r="I9" s="3">
        <v>2.1636097E-5</v>
      </c>
      <c r="J9" s="3">
        <v>-2.4844291999999999E-4</v>
      </c>
      <c r="K9" s="3"/>
      <c r="L9" s="3">
        <f t="shared" si="0"/>
        <v>0.15963146220781438</v>
      </c>
      <c r="M9" s="3"/>
      <c r="N9" s="2">
        <f>IF('Modell einstellen'!$B$1="Voll",H9/0.35,H9/0.35*2)</f>
        <v>2.6411614285714284E-4</v>
      </c>
      <c r="O9" s="2">
        <f>IF('Modell einstellen'!$B$1="Voll",J9/0.35,J9/0.35*2)</f>
        <v>-7.0983691428571434E-4</v>
      </c>
      <c r="P9" s="3">
        <f t="shared" si="1"/>
        <v>0.37208003351433799</v>
      </c>
      <c r="Q9" s="3"/>
      <c r="R9" s="3"/>
      <c r="S9" s="3"/>
      <c r="T9" s="3"/>
      <c r="U9" s="3"/>
    </row>
    <row r="10" spans="1:21" x14ac:dyDescent="0.25">
      <c r="A10" s="3">
        <v>1E-8</v>
      </c>
      <c r="B10" s="3">
        <v>9.2700000000000004E-5</v>
      </c>
      <c r="C10" s="3">
        <v>2.05E-4</v>
      </c>
      <c r="D10" s="3">
        <v>-5.9130000000000001E-4</v>
      </c>
      <c r="E10" s="3">
        <v>0</v>
      </c>
      <c r="F10" s="3">
        <v>0</v>
      </c>
      <c r="G10" s="3">
        <v>0</v>
      </c>
      <c r="H10" s="3">
        <v>9.5469906999999998E-5</v>
      </c>
      <c r="I10" s="3">
        <v>2.2173170000000001E-5</v>
      </c>
      <c r="J10" s="3">
        <v>-2.5370075000000003E-4</v>
      </c>
      <c r="K10" s="3"/>
      <c r="L10" s="3">
        <f t="shared" si="0"/>
        <v>0.15677321156773211</v>
      </c>
      <c r="M10" s="3"/>
      <c r="N10" s="2">
        <f>IF('Modell einstellen'!$B$1="Voll",H10/0.35,H10/0.35*2)</f>
        <v>2.7277116285714286E-4</v>
      </c>
      <c r="O10" s="2">
        <f>IF('Modell einstellen'!$B$1="Voll",J10/0.35,J10/0.35*2)</f>
        <v>-7.2485928571428579E-4</v>
      </c>
      <c r="P10" s="3">
        <f t="shared" si="1"/>
        <v>0.37630912403688199</v>
      </c>
      <c r="Q10" s="3"/>
      <c r="R10" s="3"/>
      <c r="S10" s="3"/>
      <c r="T10" s="3"/>
      <c r="U10" s="3"/>
    </row>
    <row r="11" spans="1:21" x14ac:dyDescent="0.25">
      <c r="A11" s="3">
        <v>9.9999999999999995E-8</v>
      </c>
      <c r="B11" s="3">
        <v>9.1500000000000001E-5</v>
      </c>
      <c r="C11" s="3">
        <v>2.098E-4</v>
      </c>
      <c r="D11" s="3">
        <v>-5.9670000000000003E-4</v>
      </c>
      <c r="E11" s="3">
        <v>0</v>
      </c>
      <c r="F11" s="3">
        <v>0</v>
      </c>
      <c r="G11" s="3">
        <v>0</v>
      </c>
      <c r="H11" s="3">
        <v>9.8864937000000004E-5</v>
      </c>
      <c r="I11" s="3">
        <v>2.2763292000000001E-5</v>
      </c>
      <c r="J11" s="3">
        <v>-2.5954162999999999E-4</v>
      </c>
      <c r="K11" s="3"/>
      <c r="L11" s="3">
        <f t="shared" si="0"/>
        <v>0.15334338863750627</v>
      </c>
      <c r="M11" s="3"/>
      <c r="N11" s="2">
        <f>IF('Modell einstellen'!$B$1="Voll",H11/0.35,H11/0.35*2)</f>
        <v>2.8247124857142859E-4</v>
      </c>
      <c r="O11" s="2">
        <f>IF('Modell einstellen'!$B$1="Voll",J11/0.35,J11/0.35*2)</f>
        <v>-7.4154751428571434E-4</v>
      </c>
      <c r="P11" s="3">
        <f t="shared" si="1"/>
        <v>0.38092130730626911</v>
      </c>
      <c r="Q11" s="3"/>
      <c r="R11" s="3"/>
      <c r="S11" s="3"/>
      <c r="T11" s="3"/>
      <c r="U11" s="3"/>
    </row>
    <row r="12" spans="1:21" x14ac:dyDescent="0.25">
      <c r="A12" s="3">
        <v>9.9999999999999995E-7</v>
      </c>
      <c r="B12" s="3">
        <v>8.9759999999999994E-5</v>
      </c>
      <c r="C12" s="3">
        <v>2.153E-4</v>
      </c>
      <c r="D12" s="3">
        <v>-6.0249999999999995E-4</v>
      </c>
      <c r="E12" s="3">
        <v>0</v>
      </c>
      <c r="F12" s="3">
        <v>0</v>
      </c>
      <c r="G12" s="3">
        <v>0</v>
      </c>
      <c r="H12" s="3">
        <v>1.0292363999999999E-4</v>
      </c>
      <c r="I12" s="3">
        <v>2.3452822E-5</v>
      </c>
      <c r="J12" s="3">
        <v>-2.6645526999999997E-4</v>
      </c>
      <c r="K12" s="3"/>
      <c r="L12" s="3">
        <f t="shared" si="0"/>
        <v>0.14897925311203319</v>
      </c>
      <c r="M12" s="3"/>
      <c r="N12" s="2">
        <f>IF('Modell einstellen'!$B$1="Voll",H12/0.35,H12/0.35*2)</f>
        <v>2.9406754285714288E-4</v>
      </c>
      <c r="O12" s="2">
        <f>IF('Modell einstellen'!$B$1="Voll",J12/0.35,J12/0.35*2)</f>
        <v>-7.6130077142857143E-4</v>
      </c>
      <c r="P12" s="3">
        <f t="shared" si="1"/>
        <v>0.38626986060362029</v>
      </c>
      <c r="Q12" s="3"/>
      <c r="R12" s="3"/>
      <c r="S12" s="3"/>
      <c r="T12" s="3"/>
      <c r="U12" s="3"/>
    </row>
    <row r="13" spans="1:21" x14ac:dyDescent="0.25">
      <c r="A13" s="3">
        <v>1.0000000000000001E-5</v>
      </c>
      <c r="B13" s="3">
        <v>8.7369999999999999E-5</v>
      </c>
      <c r="C13" s="3">
        <v>2.2139999999999999E-4</v>
      </c>
      <c r="D13" s="3">
        <v>-6.0849999999999999E-4</v>
      </c>
      <c r="E13" s="3">
        <v>0</v>
      </c>
      <c r="F13" s="3">
        <v>0</v>
      </c>
      <c r="G13" s="3">
        <v>0</v>
      </c>
      <c r="H13" s="3">
        <v>1.0760868E-4</v>
      </c>
      <c r="I13" s="3">
        <v>2.4227701000000001E-5</v>
      </c>
      <c r="J13" s="3">
        <v>-2.7434525999999999E-4</v>
      </c>
      <c r="K13" s="3"/>
      <c r="L13" s="3">
        <f t="shared" si="0"/>
        <v>0.14358258011503697</v>
      </c>
      <c r="M13" s="3"/>
      <c r="N13" s="2">
        <f>IF('Modell einstellen'!$B$1="Voll",H13/0.35,H13/0.35*2)</f>
        <v>3.0745337142857145E-4</v>
      </c>
      <c r="O13" s="2">
        <f>IF('Modell einstellen'!$B$1="Voll",J13/0.35,J13/0.35*2)</f>
        <v>-7.8384359999999998E-4</v>
      </c>
      <c r="P13" s="3">
        <f t="shared" si="1"/>
        <v>0.39223816004694234</v>
      </c>
      <c r="Q13" s="3"/>
      <c r="R13" s="3"/>
      <c r="S13" s="3"/>
      <c r="T13" s="3"/>
      <c r="U13" s="3"/>
    </row>
    <row r="14" spans="1:21" x14ac:dyDescent="0.25">
      <c r="A14" s="3">
        <v>1E-4</v>
      </c>
      <c r="B14" s="3">
        <v>8.4270000000000005E-5</v>
      </c>
      <c r="C14" s="3">
        <v>2.2790000000000001E-4</v>
      </c>
      <c r="D14" s="3">
        <v>-6.1430000000000002E-4</v>
      </c>
      <c r="E14" s="3">
        <v>0</v>
      </c>
      <c r="F14" s="3">
        <v>0</v>
      </c>
      <c r="G14" s="3">
        <v>0</v>
      </c>
      <c r="H14" s="3">
        <v>1.1275991000000001E-4</v>
      </c>
      <c r="I14" s="3">
        <v>2.5054308E-5</v>
      </c>
      <c r="J14" s="3">
        <v>-2.8291201999999999E-4</v>
      </c>
      <c r="K14" s="3"/>
      <c r="L14" s="3">
        <f t="shared" si="0"/>
        <v>0.1371805306853329</v>
      </c>
      <c r="M14" s="3"/>
      <c r="N14" s="2">
        <f>IF('Modell einstellen'!$B$1="Voll",H14/0.35,H14/0.35*2)</f>
        <v>3.2217117142857148E-4</v>
      </c>
      <c r="O14" s="2">
        <f>IF('Modell einstellen'!$B$1="Voll",J14/0.35,J14/0.35*2)</f>
        <v>-8.0832005714285714E-4</v>
      </c>
      <c r="P14" s="3">
        <f t="shared" si="1"/>
        <v>0.39856882008760186</v>
      </c>
      <c r="Q14" s="3"/>
      <c r="R14" s="3"/>
      <c r="S14" s="3"/>
      <c r="T14" s="3"/>
      <c r="U14" s="3"/>
    </row>
    <row r="15" spans="1:21" x14ac:dyDescent="0.25">
      <c r="A15" s="3">
        <v>1E-3</v>
      </c>
      <c r="B15" s="3">
        <v>8.0569999999999996E-5</v>
      </c>
      <c r="C15" s="3">
        <v>2.343E-4</v>
      </c>
      <c r="D15" s="3">
        <v>-6.1939999999999999E-4</v>
      </c>
      <c r="E15" s="3">
        <v>0</v>
      </c>
      <c r="F15" s="3">
        <v>0</v>
      </c>
      <c r="G15" s="3">
        <v>0</v>
      </c>
      <c r="H15" s="3">
        <v>1.1810532E-4</v>
      </c>
      <c r="I15" s="3">
        <v>2.5885597999999999E-5</v>
      </c>
      <c r="J15" s="3">
        <v>-2.9168930999999999E-4</v>
      </c>
      <c r="K15" s="3"/>
      <c r="L15" s="3">
        <f t="shared" si="0"/>
        <v>0.13007749434937035</v>
      </c>
      <c r="M15" s="3"/>
      <c r="N15" s="2">
        <f>IF('Modell einstellen'!$B$1="Voll",H15/0.35,H15/0.35*2)</f>
        <v>3.3744377142857145E-4</v>
      </c>
      <c r="O15" s="2">
        <f>IF('Modell einstellen'!$B$1="Voll",J15/0.35,J15/0.35*2)</f>
        <v>-8.3339802857142859E-4</v>
      </c>
      <c r="P15" s="3">
        <f t="shared" si="1"/>
        <v>0.40490109150726161</v>
      </c>
      <c r="Q15" s="3"/>
      <c r="R15" s="3"/>
      <c r="S15" s="3"/>
      <c r="T15" s="3"/>
      <c r="U15" s="3"/>
    </row>
    <row r="16" spans="1:21" x14ac:dyDescent="0.25">
      <c r="A16" s="3">
        <v>0.01</v>
      </c>
      <c r="B16" s="3">
        <v>7.5660000000000004E-5</v>
      </c>
      <c r="C16" s="3">
        <v>2.4149999999999999E-4</v>
      </c>
      <c r="D16" s="3">
        <v>-6.244E-4</v>
      </c>
      <c r="E16" s="3">
        <v>0</v>
      </c>
      <c r="F16" s="3">
        <v>0</v>
      </c>
      <c r="G16" s="3">
        <v>0</v>
      </c>
      <c r="H16" s="3">
        <v>1.2440891E-4</v>
      </c>
      <c r="I16" s="3">
        <v>2.6834821999999999E-5</v>
      </c>
      <c r="J16" s="3">
        <v>-3.0190867000000002E-4</v>
      </c>
      <c r="K16" s="3"/>
      <c r="L16" s="3">
        <f t="shared" si="0"/>
        <v>0.12117232543241513</v>
      </c>
      <c r="M16" s="3"/>
      <c r="N16" s="2">
        <f>IF('Modell einstellen'!$B$1="Voll",H16/0.35,H16/0.35*2)</f>
        <v>3.5545402857142859E-4</v>
      </c>
      <c r="O16" s="2">
        <f>IF('Modell einstellen'!$B$1="Voll",J16/0.35,J16/0.35*2)</f>
        <v>-8.6259620000000016E-4</v>
      </c>
      <c r="P16" s="3">
        <f t="shared" si="1"/>
        <v>0.41207465158254641</v>
      </c>
      <c r="Q16" s="3"/>
      <c r="R16" s="3"/>
      <c r="S16" s="3"/>
      <c r="T16" s="3"/>
      <c r="U16" s="3"/>
    </row>
    <row r="17" spans="1:21" x14ac:dyDescent="0.25">
      <c r="A17" s="3">
        <v>0.1</v>
      </c>
      <c r="B17" s="3">
        <v>6.8200000000000004E-5</v>
      </c>
      <c r="C17" s="3">
        <v>2.5060000000000002E-4</v>
      </c>
      <c r="D17" s="3">
        <v>-6.2949999999999996E-4</v>
      </c>
      <c r="E17" s="3">
        <v>0</v>
      </c>
      <c r="F17" s="3">
        <v>0</v>
      </c>
      <c r="G17" s="3">
        <v>0</v>
      </c>
      <c r="H17" s="3">
        <v>1.3284877000000001E-4</v>
      </c>
      <c r="I17" s="3">
        <v>2.8058549999999999E-5</v>
      </c>
      <c r="J17" s="3">
        <v>-3.1538794999999998E-4</v>
      </c>
      <c r="K17" s="3"/>
      <c r="L17" s="3">
        <f t="shared" si="0"/>
        <v>0.10833995234312949</v>
      </c>
      <c r="M17" s="3"/>
      <c r="N17" s="2">
        <f>IF('Modell einstellen'!$B$1="Voll",H17/0.35,H17/0.35*2)</f>
        <v>3.7956791428571434E-4</v>
      </c>
      <c r="O17" s="2">
        <f>IF('Modell einstellen'!$B$1="Voll",J17/0.35,J17/0.35*2)</f>
        <v>-9.0110842857142853E-4</v>
      </c>
      <c r="P17" s="3">
        <f t="shared" si="1"/>
        <v>0.4212233536506389</v>
      </c>
      <c r="Q17" s="3"/>
      <c r="R17" s="3"/>
      <c r="S17" s="3"/>
      <c r="T17" s="3"/>
      <c r="U17" s="3"/>
    </row>
    <row r="18" spans="1:21" x14ac:dyDescent="0.25">
      <c r="A18" s="3">
        <v>1</v>
      </c>
      <c r="B18" s="3">
        <v>5.8119999999999999E-5</v>
      </c>
      <c r="C18" s="3">
        <v>2.6120000000000001E-4</v>
      </c>
      <c r="D18" s="3">
        <v>-6.3369999999999995E-4</v>
      </c>
      <c r="E18" s="3">
        <v>0</v>
      </c>
      <c r="F18" s="3">
        <v>0</v>
      </c>
      <c r="G18" s="3">
        <v>0</v>
      </c>
      <c r="H18" s="3">
        <v>1.4295955000000001E-4</v>
      </c>
      <c r="I18" s="3">
        <v>2.950307E-5</v>
      </c>
      <c r="J18" s="3">
        <v>-3.3137964000000002E-4</v>
      </c>
      <c r="K18" s="3"/>
      <c r="L18" s="3">
        <f t="shared" si="0"/>
        <v>9.1715322707905958E-2</v>
      </c>
      <c r="M18" s="3"/>
      <c r="N18" s="2">
        <f>IF('Modell einstellen'!$B$1="Voll",H18/0.35,H18/0.35*2)</f>
        <v>4.0845585714285718E-4</v>
      </c>
      <c r="O18" s="2">
        <f>IF('Modell einstellen'!$B$1="Voll",J18/0.35,J18/0.35*2)</f>
        <v>-9.4679897142857159E-4</v>
      </c>
      <c r="P18" s="3">
        <f t="shared" si="1"/>
        <v>0.43140716188840084</v>
      </c>
      <c r="Q18" s="3"/>
      <c r="R18" s="3"/>
      <c r="S18" s="3"/>
      <c r="T18" s="3"/>
      <c r="U18" s="3"/>
    </row>
    <row r="19" spans="1:21" x14ac:dyDescent="0.25">
      <c r="A19" s="3">
        <v>10</v>
      </c>
      <c r="B19" s="3">
        <v>4.8560000000000003E-5</v>
      </c>
      <c r="C19" s="3">
        <v>2.7500000000000002E-4</v>
      </c>
      <c r="D19" s="3">
        <v>-6.4030000000000001E-4</v>
      </c>
      <c r="E19" s="3">
        <v>0</v>
      </c>
      <c r="F19" s="3">
        <v>0</v>
      </c>
      <c r="G19" s="3">
        <v>0</v>
      </c>
      <c r="H19" s="3">
        <v>1.5264192E-4</v>
      </c>
      <c r="I19" s="3">
        <v>3.1330846999999997E-5</v>
      </c>
      <c r="J19" s="3">
        <v>-3.4795003999999998E-4</v>
      </c>
      <c r="K19" s="3"/>
      <c r="L19" s="3">
        <f t="shared" si="0"/>
        <v>7.5839450257691704E-2</v>
      </c>
      <c r="M19" s="3"/>
      <c r="N19" s="2">
        <f>IF('Modell einstellen'!$B$1="Voll",H19/0.35,H19/0.35*2)</f>
        <v>4.3611977142857147E-4</v>
      </c>
      <c r="O19" s="2">
        <f>IF('Modell einstellen'!$B$1="Voll",J19/0.35,J19/0.35*2)</f>
        <v>-9.9414297142857142E-4</v>
      </c>
      <c r="P19" s="3">
        <f t="shared" si="1"/>
        <v>0.43868918652804295</v>
      </c>
      <c r="Q19" s="3"/>
      <c r="R19" s="3"/>
      <c r="S19" s="3"/>
      <c r="T19" s="3"/>
      <c r="U19" s="3"/>
    </row>
    <row r="20" spans="1:21" x14ac:dyDescent="0.25">
      <c r="A20" s="3">
        <v>100</v>
      </c>
      <c r="B20" s="3">
        <v>4.4459999999999998E-5</v>
      </c>
      <c r="C20" s="3">
        <v>3.0219999999999997E-4</v>
      </c>
      <c r="D20" s="3">
        <v>-6.623E-4</v>
      </c>
      <c r="E20" s="3">
        <v>0</v>
      </c>
      <c r="F20" s="3">
        <v>0</v>
      </c>
      <c r="G20" s="3">
        <v>0</v>
      </c>
      <c r="H20" s="3">
        <v>1.6104035E-4</v>
      </c>
      <c r="I20" s="3">
        <v>3.4795139999999998E-5</v>
      </c>
      <c r="J20" s="3">
        <v>-3.6799711E-4</v>
      </c>
      <c r="K20" s="3"/>
      <c r="L20" s="3">
        <f t="shared" si="0"/>
        <v>6.7129699531934164E-2</v>
      </c>
      <c r="M20" s="3"/>
      <c r="N20" s="2">
        <f>IF('Modell einstellen'!$B$1="Voll",H20/0.35,H20/0.35*2)</f>
        <v>4.6011528571428576E-4</v>
      </c>
      <c r="O20" s="2">
        <f>IF('Modell einstellen'!$B$1="Voll",J20/0.35,J20/0.35*2)</f>
        <v>-1.0514203142857144E-3</v>
      </c>
      <c r="P20" s="3">
        <f t="shared" si="1"/>
        <v>0.43761308342883454</v>
      </c>
      <c r="Q20" s="3"/>
      <c r="R20" s="3"/>
      <c r="S20" s="3"/>
      <c r="T20" s="3"/>
      <c r="U20" s="3"/>
    </row>
    <row r="21" spans="1:21" x14ac:dyDescent="0.25">
      <c r="A21" s="3">
        <v>1000</v>
      </c>
      <c r="B21" s="3">
        <v>4.5000000000000003E-5</v>
      </c>
      <c r="C21" s="3">
        <v>3.4440000000000002E-4</v>
      </c>
      <c r="D21" s="3">
        <v>-7.0140000000000003E-4</v>
      </c>
      <c r="E21" s="3">
        <v>0</v>
      </c>
      <c r="F21" s="3">
        <v>0</v>
      </c>
      <c r="G21" s="3">
        <v>0</v>
      </c>
      <c r="H21" s="3">
        <v>1.6965118E-4</v>
      </c>
      <c r="I21" s="3">
        <v>4.0152728999999999E-5</v>
      </c>
      <c r="J21" s="3">
        <v>-3.9417560999999997E-4</v>
      </c>
      <c r="K21" s="3"/>
      <c r="L21" s="3">
        <f t="shared" si="0"/>
        <v>6.4157399486740804E-2</v>
      </c>
      <c r="M21" s="3"/>
      <c r="N21" s="2">
        <f>IF('Modell einstellen'!$B$1="Voll",H21/0.35,H21/0.35*2)</f>
        <v>4.8471765714285718E-4</v>
      </c>
      <c r="O21" s="2">
        <f>IF('Modell einstellen'!$B$1="Voll",J21/0.35,J21/0.35*2)</f>
        <v>-1.1262160285714286E-3</v>
      </c>
      <c r="P21" s="3">
        <f t="shared" si="1"/>
        <v>0.43039491966537452</v>
      </c>
      <c r="Q21" s="3"/>
      <c r="R21" s="3"/>
      <c r="S21" s="3"/>
      <c r="T21" s="3"/>
      <c r="U21" s="3"/>
    </row>
    <row r="22" spans="1:21" x14ac:dyDescent="0.25">
      <c r="A22" s="3">
        <v>10000</v>
      </c>
      <c r="B22" s="3">
        <v>4.7469999999999998E-5</v>
      </c>
      <c r="C22" s="3">
        <v>3.902E-4</v>
      </c>
      <c r="D22" s="3">
        <v>-7.4580000000000002E-4</v>
      </c>
      <c r="E22" s="3">
        <v>0</v>
      </c>
      <c r="F22" s="3">
        <v>0</v>
      </c>
      <c r="G22" s="3">
        <v>0</v>
      </c>
      <c r="H22" s="3">
        <v>1.7855147000000001E-4</v>
      </c>
      <c r="I22" s="3">
        <v>4.6030628999999999E-5</v>
      </c>
      <c r="J22" s="3">
        <v>-4.2249025000000001E-4</v>
      </c>
      <c r="K22" s="3"/>
      <c r="L22" s="3">
        <f t="shared" si="0"/>
        <v>6.3649772056851697E-2</v>
      </c>
      <c r="M22" s="3"/>
      <c r="N22" s="2">
        <f>IF('Modell einstellen'!$B$1="Voll",H22/0.35,H22/0.35*2)</f>
        <v>5.1014705714285725E-4</v>
      </c>
      <c r="O22" s="2">
        <f>IF('Modell einstellen'!$B$1="Voll",J22/0.35,J22/0.35*2)</f>
        <v>-1.2071150000000001E-3</v>
      </c>
      <c r="P22" s="3">
        <f t="shared" si="1"/>
        <v>0.42261678228077459</v>
      </c>
      <c r="Q22" s="3"/>
      <c r="R22" s="3"/>
      <c r="S22" s="3"/>
      <c r="T22" s="3"/>
      <c r="U22" s="3"/>
    </row>
    <row r="23" spans="1:21" x14ac:dyDescent="0.25">
      <c r="A23" s="3">
        <v>100000</v>
      </c>
      <c r="B23" s="3">
        <v>4.566E-5</v>
      </c>
      <c r="C23" s="3">
        <v>4.3310000000000001E-4</v>
      </c>
      <c r="D23" s="3">
        <v>-7.8470000000000005E-4</v>
      </c>
      <c r="E23" s="3">
        <v>0</v>
      </c>
      <c r="F23" s="3">
        <v>0</v>
      </c>
      <c r="G23" s="3">
        <v>0</v>
      </c>
      <c r="H23" s="3">
        <v>1.8903211E-4</v>
      </c>
      <c r="I23" s="3">
        <v>5.1729147999999997E-5</v>
      </c>
      <c r="J23" s="3">
        <v>-4.5217682999999998E-4</v>
      </c>
      <c r="K23" s="3"/>
      <c r="L23" s="3">
        <f t="shared" si="0"/>
        <v>5.8187842487574866E-2</v>
      </c>
      <c r="M23" s="3"/>
      <c r="N23" s="2">
        <f>IF('Modell einstellen'!$B$1="Voll",H23/0.35,H23/0.35*2)</f>
        <v>5.4009174285714291E-4</v>
      </c>
      <c r="O23" s="2">
        <f>IF('Modell einstellen'!$B$1="Voll",J23/0.35,J23/0.35*2)</f>
        <v>-1.2919337999999999E-3</v>
      </c>
      <c r="P23" s="3">
        <f t="shared" si="1"/>
        <v>0.41804908491220133</v>
      </c>
      <c r="Q23" s="3"/>
      <c r="R23" s="3"/>
      <c r="S23" s="3"/>
      <c r="T23" s="3"/>
      <c r="U23" s="3"/>
    </row>
    <row r="24" spans="1:21" x14ac:dyDescent="0.25">
      <c r="A24" s="3">
        <v>1000000</v>
      </c>
      <c r="B24" s="3">
        <v>3.8099999999999998E-5</v>
      </c>
      <c r="C24" s="3">
        <v>4.7330000000000001E-4</v>
      </c>
      <c r="D24" s="3">
        <v>-8.1680000000000001E-4</v>
      </c>
      <c r="E24" s="3">
        <v>0</v>
      </c>
      <c r="F24" s="3">
        <v>0</v>
      </c>
      <c r="G24" s="3">
        <v>0</v>
      </c>
      <c r="H24" s="3">
        <v>2.0189469E-4</v>
      </c>
      <c r="I24" s="3">
        <v>5.7271485000000001E-5</v>
      </c>
      <c r="J24" s="3">
        <v>-4.8418442999999999E-4</v>
      </c>
      <c r="K24" s="3"/>
      <c r="L24" s="3">
        <f t="shared" si="0"/>
        <v>4.6645445641527908E-2</v>
      </c>
      <c r="M24" s="3"/>
      <c r="N24" s="2">
        <f>IF('Modell einstellen'!$B$1="Voll",H24/0.35,H24/0.35*2)</f>
        <v>5.768419714285714E-4</v>
      </c>
      <c r="O24" s="2">
        <f>IF('Modell einstellen'!$B$1="Voll",J24/0.35,J24/0.35*2)</f>
        <v>-1.3833840857142858E-3</v>
      </c>
      <c r="P24" s="3">
        <f t="shared" si="1"/>
        <v>0.41697889789640691</v>
      </c>
      <c r="Q24" s="3"/>
      <c r="R24" s="3"/>
      <c r="S24" s="3"/>
      <c r="T24" s="3"/>
      <c r="U24" s="3"/>
    </row>
    <row r="25" spans="1:21" x14ac:dyDescent="0.25">
      <c r="A25" s="3">
        <v>10000000</v>
      </c>
      <c r="B25" s="3">
        <v>1.9369999999999999E-5</v>
      </c>
      <c r="C25" s="3">
        <v>5.1519999999999995E-4</v>
      </c>
      <c r="D25" s="3">
        <v>-8.4130000000000001E-4</v>
      </c>
      <c r="E25" s="3">
        <v>0</v>
      </c>
      <c r="F25" s="3">
        <v>0</v>
      </c>
      <c r="G25" s="3">
        <v>0</v>
      </c>
      <c r="H25" s="3">
        <v>2.1919826E-4</v>
      </c>
      <c r="I25" s="3">
        <v>6.3318279999999998E-5</v>
      </c>
      <c r="J25" s="3">
        <v>-5.2291084999999998E-4</v>
      </c>
      <c r="K25" s="3"/>
      <c r="L25" s="3">
        <f t="shared" si="0"/>
        <v>2.3023891596338997E-2</v>
      </c>
      <c r="M25" s="3"/>
      <c r="N25" s="2">
        <f>IF('Modell einstellen'!$B$1="Voll",H25/0.35,H25/0.35*2)</f>
        <v>6.2628074285714288E-4</v>
      </c>
      <c r="O25" s="2">
        <f>IF('Modell einstellen'!$B$1="Voll",J25/0.35,J25/0.35*2)</f>
        <v>-1.494031E-3</v>
      </c>
      <c r="P25" s="3">
        <f t="shared" si="1"/>
        <v>0.41918858635272149</v>
      </c>
      <c r="Q25" s="3"/>
      <c r="R25" s="3"/>
      <c r="S25" s="3"/>
      <c r="T25" s="3"/>
      <c r="U25" s="3"/>
    </row>
    <row r="26" spans="1:21" x14ac:dyDescent="0.25">
      <c r="A26" s="3">
        <v>100000000</v>
      </c>
      <c r="B26" s="3">
        <v>-1.3900000000000001E-5</v>
      </c>
      <c r="C26" s="3">
        <v>5.6110000000000003E-4</v>
      </c>
      <c r="D26" s="3">
        <v>-8.564E-4</v>
      </c>
      <c r="E26" s="3">
        <v>0</v>
      </c>
      <c r="F26" s="3">
        <v>0</v>
      </c>
      <c r="G26" s="3">
        <v>0</v>
      </c>
      <c r="H26" s="3">
        <v>2.4117598000000001E-4</v>
      </c>
      <c r="I26" s="3">
        <v>7.0211686000000006E-5</v>
      </c>
      <c r="J26" s="3">
        <v>-5.6967010000000002E-4</v>
      </c>
      <c r="K26" s="3"/>
      <c r="L26" s="3">
        <f t="shared" si="0"/>
        <v>-1.6230733302195238E-2</v>
      </c>
      <c r="M26" s="3"/>
      <c r="N26" s="2">
        <f>IF('Modell einstellen'!$B$1="Voll",H26/0.35,H26/0.35*2)</f>
        <v>6.8907422857142863E-4</v>
      </c>
      <c r="O26" s="2">
        <f>IF('Modell einstellen'!$B$1="Voll",J26/0.35,J26/0.35*2)</f>
        <v>-1.6276288571428572E-3</v>
      </c>
      <c r="P26" s="3">
        <f t="shared" si="1"/>
        <v>0.42336078372377278</v>
      </c>
      <c r="Q26" s="3"/>
      <c r="R26" s="3"/>
      <c r="S26" s="3"/>
      <c r="T26" s="3"/>
      <c r="U26" s="3"/>
    </row>
    <row r="27" spans="1:21" x14ac:dyDescent="0.25">
      <c r="A27" s="3">
        <v>1000000000</v>
      </c>
      <c r="B27" s="3">
        <v>-7.2139999999999997E-5</v>
      </c>
      <c r="C27" s="3">
        <v>6.1740000000000005E-4</v>
      </c>
      <c r="D27" s="3">
        <v>-8.5800000000000004E-4</v>
      </c>
      <c r="E27" s="3">
        <v>0</v>
      </c>
      <c r="F27" s="3">
        <v>0</v>
      </c>
      <c r="G27" s="3">
        <v>0</v>
      </c>
      <c r="H27" s="3">
        <v>2.7102809E-4</v>
      </c>
      <c r="I27" s="3">
        <v>7.8973218000000001E-5</v>
      </c>
      <c r="J27" s="3">
        <v>-6.3129752000000005E-4</v>
      </c>
      <c r="K27" s="3"/>
      <c r="L27" s="3">
        <f t="shared" si="0"/>
        <v>-8.4079254079254068E-2</v>
      </c>
      <c r="M27" s="3"/>
      <c r="N27" s="2">
        <f>IF('Modell einstellen'!$B$1="Voll",H27/0.35,H27/0.35*2)</f>
        <v>7.7436597142857143E-4</v>
      </c>
      <c r="O27" s="2">
        <f>IF('Modell einstellen'!$B$1="Voll",J27/0.35,J27/0.35*2)</f>
        <v>-1.8037072000000002E-3</v>
      </c>
      <c r="P27" s="3">
        <f t="shared" si="1"/>
        <v>0.4293191109003564</v>
      </c>
      <c r="Q27" s="3"/>
      <c r="R27" s="3"/>
      <c r="S27" s="3"/>
      <c r="T27" s="3"/>
      <c r="U27" s="3"/>
    </row>
    <row r="28" spans="1:21" x14ac:dyDescent="0.25">
      <c r="A28" s="3">
        <v>10000000000</v>
      </c>
      <c r="B28" s="3">
        <v>-1.7220000000000001E-4</v>
      </c>
      <c r="C28" s="3">
        <v>6.9169999999999995E-4</v>
      </c>
      <c r="D28" s="3">
        <v>-8.3690000000000001E-4</v>
      </c>
      <c r="E28" s="3">
        <v>0</v>
      </c>
      <c r="F28" s="3">
        <v>0</v>
      </c>
      <c r="G28" s="3">
        <v>0</v>
      </c>
      <c r="H28" s="3">
        <v>3.1356375999999999E-4</v>
      </c>
      <c r="I28" s="3">
        <v>9.0981848999999998E-5</v>
      </c>
      <c r="J28" s="3">
        <v>-7.1754955000000002E-4</v>
      </c>
      <c r="K28" s="3"/>
      <c r="L28" s="3">
        <f t="shared" si="0"/>
        <v>-0.20575934998207673</v>
      </c>
      <c r="M28" s="3"/>
      <c r="N28" s="2">
        <f>IF('Modell einstellen'!$B$1="Voll",H28/0.35,H28/0.35*2)</f>
        <v>8.9589645714285718E-4</v>
      </c>
      <c r="O28" s="2">
        <f>IF('Modell einstellen'!$B$1="Voll",J28/0.35,J28/0.35*2)</f>
        <v>-2.0501415714285717E-3</v>
      </c>
      <c r="P28" s="3">
        <f t="shared" si="1"/>
        <v>0.43699248365496152</v>
      </c>
      <c r="Q28" s="3"/>
      <c r="R28" s="3"/>
      <c r="S28" s="3"/>
      <c r="T28" s="3"/>
      <c r="U28" s="3"/>
    </row>
    <row r="29" spans="1:21" x14ac:dyDescent="0.25">
      <c r="A29" s="3">
        <v>100000000000</v>
      </c>
      <c r="B29" s="3">
        <v>-3.5710000000000001E-4</v>
      </c>
      <c r="C29" s="3">
        <v>8.0139999999999996E-4</v>
      </c>
      <c r="D29" s="3">
        <v>-7.6809999999999997E-4</v>
      </c>
      <c r="E29" s="3">
        <v>0</v>
      </c>
      <c r="F29" s="3">
        <v>0</v>
      </c>
      <c r="G29" s="3">
        <v>0</v>
      </c>
      <c r="H29" s="3">
        <v>3.8160762999999998E-4</v>
      </c>
      <c r="I29" s="3">
        <v>1.0947605E-4</v>
      </c>
      <c r="J29" s="3">
        <v>-8.5301631000000001E-4</v>
      </c>
      <c r="K29" s="3"/>
      <c r="L29" s="3">
        <f t="shared" si="0"/>
        <v>-0.46491342273141523</v>
      </c>
      <c r="M29" s="3"/>
      <c r="N29" s="2">
        <f>IF('Modell einstellen'!$B$1="Voll",H29/0.35,H29/0.35*2)</f>
        <v>1.0903075142857143E-3</v>
      </c>
      <c r="O29" s="2">
        <f>IF('Modell einstellen'!$B$1="Voll",J29/0.35,J29/0.35*2)</f>
        <v>-2.4371894571428572E-3</v>
      </c>
      <c r="P29" s="3">
        <f t="shared" si="1"/>
        <v>0.44736264187023572</v>
      </c>
      <c r="Q29" s="3"/>
      <c r="R29" s="3"/>
      <c r="S29" s="3"/>
      <c r="T29" s="3"/>
      <c r="U29" s="3"/>
    </row>
    <row r="30" spans="1:21" x14ac:dyDescent="0.25">
      <c r="A30" s="3">
        <v>1000000000000</v>
      </c>
      <c r="B30" s="3">
        <v>-7.1230000000000002E-4</v>
      </c>
      <c r="C30" s="3">
        <v>9.7380000000000003E-4</v>
      </c>
      <c r="D30" s="3">
        <v>-5.9310000000000005E-4</v>
      </c>
      <c r="E30" s="3">
        <v>0</v>
      </c>
      <c r="F30" s="3">
        <v>0</v>
      </c>
      <c r="G30" s="3">
        <v>0</v>
      </c>
      <c r="H30" s="3">
        <v>4.9857579999999996E-4</v>
      </c>
      <c r="I30" s="3">
        <v>1.3992025000000001E-4</v>
      </c>
      <c r="J30" s="3">
        <v>-1.0809119E-3</v>
      </c>
      <c r="K30" s="3"/>
      <c r="L30" s="3">
        <f t="shared" si="0"/>
        <v>-1.2009779126622828</v>
      </c>
      <c r="M30" s="3"/>
      <c r="N30" s="2">
        <f>IF('Modell einstellen'!$B$1="Voll",H30/0.35,H30/0.35*2)</f>
        <v>1.4245022857142858E-3</v>
      </c>
      <c r="O30" s="2">
        <f>IF('Modell einstellen'!$B$1="Voll",J30/0.35,J30/0.35*2)</f>
        <v>-3.0883197142857147E-3</v>
      </c>
      <c r="P30" s="3">
        <f t="shared" si="1"/>
        <v>0.4612547979164629</v>
      </c>
      <c r="Q30" s="3"/>
      <c r="R30" s="3"/>
      <c r="S30" s="3"/>
      <c r="T30" s="3"/>
      <c r="U30" s="3"/>
    </row>
    <row r="31" spans="1:21" x14ac:dyDescent="0.25">
      <c r="A31" s="3">
        <v>10000000000000</v>
      </c>
      <c r="B31" s="3">
        <v>-1.3849999999999999E-3</v>
      </c>
      <c r="C31" s="3">
        <v>1.2470000000000001E-3</v>
      </c>
      <c r="D31" s="3">
        <v>-2.0239999999999999E-4</v>
      </c>
      <c r="E31" s="3">
        <v>0</v>
      </c>
      <c r="F31" s="3">
        <v>0</v>
      </c>
      <c r="G31" s="3">
        <v>0</v>
      </c>
      <c r="H31" s="3">
        <v>7.0263004000000004E-4</v>
      </c>
      <c r="I31" s="3">
        <v>1.9046495E-4</v>
      </c>
      <c r="J31" s="3">
        <v>-1.4687115999999999E-3</v>
      </c>
      <c r="K31" s="3"/>
      <c r="L31" s="3">
        <f t="shared" si="0"/>
        <v>-6.8428853754940713</v>
      </c>
      <c r="M31" s="3"/>
      <c r="N31" s="2">
        <f>IF('Modell einstellen'!$B$1="Voll",H31/0.35,H31/0.35*2)</f>
        <v>2.0075144000000003E-3</v>
      </c>
      <c r="O31" s="2">
        <f>IF('Modell einstellen'!$B$1="Voll",J31/0.35,J31/0.35*2)</f>
        <v>-4.1963188571428568E-3</v>
      </c>
      <c r="P31" s="3">
        <f t="shared" si="1"/>
        <v>0.47839891779979143</v>
      </c>
      <c r="Q31" s="3"/>
      <c r="R31" s="3"/>
      <c r="S31" s="3"/>
      <c r="T31" s="3"/>
      <c r="U31" s="3"/>
    </row>
    <row r="32" spans="1:21" x14ac:dyDescent="0.25">
      <c r="A32" s="3">
        <v>100000000000000</v>
      </c>
      <c r="B32" s="3">
        <v>-2.5019999999999999E-3</v>
      </c>
      <c r="C32" s="3">
        <v>1.6459999999999999E-3</v>
      </c>
      <c r="D32" s="3">
        <v>5.0889999999999996E-4</v>
      </c>
      <c r="E32" s="3">
        <v>0</v>
      </c>
      <c r="F32" s="3">
        <v>0</v>
      </c>
      <c r="G32" s="3">
        <v>0</v>
      </c>
      <c r="H32" s="3">
        <v>1.0251046E-3</v>
      </c>
      <c r="I32" s="3">
        <v>2.6691369999999999E-4</v>
      </c>
      <c r="J32" s="3">
        <v>-2.0678850999999998E-3</v>
      </c>
      <c r="K32" s="3"/>
      <c r="L32" s="3">
        <f t="shared" si="0"/>
        <v>4.9164865395952058</v>
      </c>
      <c r="M32" s="3"/>
      <c r="N32" s="2">
        <f>IF('Modell einstellen'!$B$1="Voll",H32/0.35,H32/0.35*2)</f>
        <v>2.9288702857142856E-3</v>
      </c>
      <c r="O32" s="2">
        <f>IF('Modell einstellen'!$B$1="Voll",J32/0.35,J32/0.35*2)</f>
        <v>-5.9082431428571424E-3</v>
      </c>
      <c r="P32" s="3">
        <f t="shared" si="1"/>
        <v>0.49572609232495563</v>
      </c>
      <c r="Q32" s="3"/>
      <c r="R32" s="3"/>
      <c r="S32" s="3"/>
      <c r="T32" s="3"/>
      <c r="U32" s="3"/>
    </row>
    <row r="33" spans="1:21" x14ac:dyDescent="0.25">
      <c r="A33" s="2">
        <v>1000000000000000</v>
      </c>
      <c r="B33" s="3">
        <v>-3.9969999999999997E-3</v>
      </c>
      <c r="C33" s="3">
        <v>2.1419999999999998E-3</v>
      </c>
      <c r="D33" s="3">
        <v>1.5039999999999999E-3</v>
      </c>
      <c r="E33" s="3">
        <v>0</v>
      </c>
      <c r="F33" s="3">
        <v>0</v>
      </c>
      <c r="G33" s="3">
        <v>0</v>
      </c>
      <c r="H33" s="3">
        <v>1.4458186E-3</v>
      </c>
      <c r="I33" s="3">
        <v>3.6366722000000001E-4</v>
      </c>
      <c r="J33" s="3">
        <v>-2.8365334000000002E-3</v>
      </c>
      <c r="K33" s="3"/>
      <c r="L33" s="3">
        <f t="shared" si="0"/>
        <v>2.6575797872340425</v>
      </c>
      <c r="M33" s="3"/>
      <c r="N33" s="2">
        <f>IF('Modell einstellen'!$B$1="Voll",H33/0.35,H33/0.35*2)</f>
        <v>4.1309102857142862E-3</v>
      </c>
      <c r="O33" s="2">
        <f>IF('Modell einstellen'!$B$1="Voll",J33/0.35,J33/0.35*2)</f>
        <v>-8.1043811428571436E-3</v>
      </c>
      <c r="P33" s="3">
        <f t="shared" si="1"/>
        <v>0.5097132295357425</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9.5799999999999998E-5</v>
      </c>
      <c r="C3" s="3">
        <v>1.8760000000000001E-4</v>
      </c>
      <c r="D3" s="3">
        <v>-5.6970000000000002E-4</v>
      </c>
      <c r="E3" s="3">
        <v>0</v>
      </c>
      <c r="F3" s="3">
        <v>0</v>
      </c>
      <c r="G3" s="3">
        <v>0</v>
      </c>
      <c r="H3" s="3">
        <v>8.3276429999999996E-5</v>
      </c>
      <c r="I3" s="3">
        <v>2.0052932E-5</v>
      </c>
      <c r="J3" s="3">
        <v>-2.3253198E-4</v>
      </c>
      <c r="K3" s="2"/>
      <c r="L3" s="3"/>
      <c r="M3" s="3"/>
      <c r="N3" s="2">
        <f>IF('Modell einstellen'!$B$1="Voll",H3/0.35,H3/0.35*2)</f>
        <v>2.3793265714285714E-4</v>
      </c>
      <c r="O3" s="2">
        <f>IF('Modell einstellen'!$B$1="Voll",J3/0.35,J3/0.35*2)</f>
        <v>-6.6437708571428578E-4</v>
      </c>
      <c r="P3" s="3">
        <f>-N3/O3</f>
        <v>0.35812893349121266</v>
      </c>
      <c r="Q3" s="3"/>
      <c r="R3" s="3"/>
      <c r="S3" s="3"/>
      <c r="T3" s="3"/>
      <c r="U3" s="3"/>
    </row>
    <row r="4" spans="1:21" x14ac:dyDescent="0.25">
      <c r="A4" s="3">
        <v>1E-14</v>
      </c>
      <c r="B4" s="3">
        <v>9.5450000000000003E-5</v>
      </c>
      <c r="C4" s="3">
        <v>1.9430000000000001E-4</v>
      </c>
      <c r="D4" s="3">
        <v>-5.7850000000000002E-4</v>
      </c>
      <c r="E4" s="3">
        <v>0</v>
      </c>
      <c r="F4" s="3">
        <v>0</v>
      </c>
      <c r="G4" s="3">
        <v>0</v>
      </c>
      <c r="H4" s="3">
        <v>8.7480931999999999E-5</v>
      </c>
      <c r="I4" s="3">
        <v>2.0849078999999999E-5</v>
      </c>
      <c r="J4" s="3">
        <v>-2.400387E-4</v>
      </c>
      <c r="K4" s="2"/>
      <c r="L4" s="3"/>
      <c r="M4" s="3"/>
      <c r="N4" s="2">
        <f>IF('Modell einstellen'!$B$1="Voll",H4/0.35,H4/0.35*2)</f>
        <v>2.4994551999999999E-4</v>
      </c>
      <c r="O4" s="2">
        <f>IF('Modell einstellen'!$B$1="Voll",J4/0.35,J4/0.35*2)</f>
        <v>-6.8582485714285715E-4</v>
      </c>
      <c r="P4" s="3">
        <f t="shared" ref="P4:P33" si="0">-N4/O4</f>
        <v>0.36444511655828826</v>
      </c>
      <c r="Q4" s="3"/>
      <c r="R4" s="3"/>
      <c r="S4" s="3"/>
      <c r="T4" s="3"/>
      <c r="U4" s="3"/>
    </row>
    <row r="5" spans="1:21" x14ac:dyDescent="0.25">
      <c r="A5" s="3">
        <v>1E-13</v>
      </c>
      <c r="B5" s="3">
        <v>9.4989999999999997E-5</v>
      </c>
      <c r="C5" s="3">
        <v>1.9819999999999999E-4</v>
      </c>
      <c r="D5" s="3">
        <v>-5.8330000000000003E-4</v>
      </c>
      <c r="E5" s="3">
        <v>0</v>
      </c>
      <c r="F5" s="3">
        <v>0</v>
      </c>
      <c r="G5" s="3">
        <v>0</v>
      </c>
      <c r="H5" s="3">
        <v>9.0030895000000005E-5</v>
      </c>
      <c r="I5" s="3">
        <v>2.1321331E-5</v>
      </c>
      <c r="J5" s="3">
        <v>-2.4454612000000001E-4</v>
      </c>
      <c r="K5" s="2"/>
      <c r="L5" s="3"/>
      <c r="M5" s="3"/>
      <c r="N5" s="2">
        <f>IF('Modell einstellen'!$B$1="Voll",H5/0.35,H5/0.35*2)</f>
        <v>2.5723112857142859E-4</v>
      </c>
      <c r="O5" s="2">
        <f>IF('Modell einstellen'!$B$1="Voll",J5/0.35,J5/0.35*2)</f>
        <v>-6.9870320000000002E-4</v>
      </c>
      <c r="P5" s="3">
        <f t="shared" si="0"/>
        <v>0.3681550743884221</v>
      </c>
      <c r="Q5" s="3"/>
      <c r="R5" s="3"/>
      <c r="S5" s="3"/>
      <c r="T5" s="3"/>
      <c r="U5" s="3"/>
    </row>
    <row r="6" spans="1:21" x14ac:dyDescent="0.25">
      <c r="A6" s="3">
        <v>9.9999999999999998E-13</v>
      </c>
      <c r="B6" s="3">
        <v>9.4389999999999996E-5</v>
      </c>
      <c r="C6" s="3">
        <v>2.0210000000000001E-4</v>
      </c>
      <c r="D6" s="3">
        <v>-5.8810000000000004E-4</v>
      </c>
      <c r="E6" s="3">
        <v>0</v>
      </c>
      <c r="F6" s="3">
        <v>0</v>
      </c>
      <c r="G6" s="3">
        <v>0</v>
      </c>
      <c r="H6" s="3">
        <v>9.2647101999999995E-5</v>
      </c>
      <c r="I6" s="3">
        <v>2.1798972999999999E-5</v>
      </c>
      <c r="J6" s="3">
        <v>-2.4914012000000003E-4</v>
      </c>
      <c r="K6" s="2"/>
      <c r="L6" s="3"/>
      <c r="M6" s="3"/>
      <c r="N6" s="2">
        <f>IF('Modell einstellen'!$B$1="Voll",H6/0.35,H6/0.35*2)</f>
        <v>2.6470600571428573E-4</v>
      </c>
      <c r="O6" s="2">
        <f>IF('Modell einstellen'!$B$1="Voll",J6/0.35,J6/0.35*2)</f>
        <v>-7.1182891428571437E-4</v>
      </c>
      <c r="P6" s="3">
        <f t="shared" si="0"/>
        <v>0.37186745354381301</v>
      </c>
      <c r="Q6" s="3"/>
      <c r="R6" s="3"/>
      <c r="S6" s="3"/>
      <c r="T6" s="3"/>
      <c r="U6" s="3"/>
    </row>
    <row r="7" spans="1:21" x14ac:dyDescent="0.25">
      <c r="A7" s="3">
        <v>9.9999999999999994E-12</v>
      </c>
      <c r="B7" s="3">
        <v>9.3510000000000004E-5</v>
      </c>
      <c r="C7" s="3">
        <v>2.065E-4</v>
      </c>
      <c r="D7" s="3">
        <v>-5.9329999999999995E-4</v>
      </c>
      <c r="E7" s="3">
        <v>0</v>
      </c>
      <c r="F7" s="3">
        <v>0</v>
      </c>
      <c r="G7" s="3">
        <v>0</v>
      </c>
      <c r="H7" s="3">
        <v>9.5685301000000006E-5</v>
      </c>
      <c r="I7" s="3">
        <v>2.2344175E-5</v>
      </c>
      <c r="J7" s="3">
        <v>-2.5443303999999998E-4</v>
      </c>
      <c r="K7" s="2"/>
      <c r="L7" s="3"/>
      <c r="M7" s="3"/>
      <c r="N7" s="2">
        <f>IF('Modell einstellen'!$B$1="Voll",H7/0.35,H7/0.35*2)</f>
        <v>2.7338657428571433E-4</v>
      </c>
      <c r="O7" s="2">
        <f>IF('Modell einstellen'!$B$1="Voll",J7/0.35,J7/0.35*2)</f>
        <v>-7.269515428571429E-4</v>
      </c>
      <c r="P7" s="3">
        <f t="shared" si="0"/>
        <v>0.37607262405857356</v>
      </c>
      <c r="Q7" s="3"/>
      <c r="R7" s="3"/>
      <c r="S7" s="3"/>
      <c r="T7" s="3"/>
      <c r="U7" s="3"/>
    </row>
    <row r="8" spans="1:21" x14ac:dyDescent="0.25">
      <c r="A8" s="3">
        <v>1E-10</v>
      </c>
      <c r="B8" s="3">
        <v>9.2280000000000004E-5</v>
      </c>
      <c r="C8" s="3">
        <v>2.1139999999999999E-4</v>
      </c>
      <c r="D8" s="3">
        <v>-5.9880000000000003E-4</v>
      </c>
      <c r="E8" s="3">
        <v>0</v>
      </c>
      <c r="F8" s="3">
        <v>0</v>
      </c>
      <c r="G8" s="3">
        <v>0</v>
      </c>
      <c r="H8" s="3">
        <v>9.9114396999999999E-5</v>
      </c>
      <c r="I8" s="3">
        <v>2.2947628E-5</v>
      </c>
      <c r="J8" s="3">
        <v>-2.6035473999999999E-4</v>
      </c>
      <c r="K8" s="2"/>
      <c r="L8" s="3"/>
      <c r="M8" s="3"/>
      <c r="N8" s="2">
        <f>IF('Modell einstellen'!$B$1="Voll",H8/0.35,H8/0.35*2)</f>
        <v>2.8318399142857146E-4</v>
      </c>
      <c r="O8" s="2">
        <f>IF('Modell einstellen'!$B$1="Voll",J8/0.35,J8/0.35*2)</f>
        <v>-7.4387068571428569E-4</v>
      </c>
      <c r="P8" s="3">
        <f t="shared" si="0"/>
        <v>0.38068981190816814</v>
      </c>
      <c r="Q8" s="3"/>
      <c r="R8" s="3"/>
      <c r="S8" s="3"/>
      <c r="T8" s="3"/>
      <c r="U8" s="3"/>
    </row>
    <row r="9" spans="1:21" x14ac:dyDescent="0.25">
      <c r="A9" s="3">
        <v>1.0000000000000001E-9</v>
      </c>
      <c r="B9" s="3">
        <v>9.0509999999999999E-5</v>
      </c>
      <c r="C9" s="3">
        <v>2.1699999999999999E-4</v>
      </c>
      <c r="D9" s="3">
        <v>-6.0470000000000001E-4</v>
      </c>
      <c r="E9" s="3">
        <v>0</v>
      </c>
      <c r="F9" s="3">
        <v>0</v>
      </c>
      <c r="G9" s="3">
        <v>0</v>
      </c>
      <c r="H9" s="3">
        <v>1.0320271E-4</v>
      </c>
      <c r="I9" s="3">
        <v>2.3650868E-5</v>
      </c>
      <c r="J9" s="3">
        <v>-2.6734471000000002E-4</v>
      </c>
      <c r="K9" s="2"/>
      <c r="L9" s="3"/>
      <c r="M9" s="3"/>
      <c r="N9" s="2">
        <f>IF('Modell einstellen'!$B$1="Voll",H9/0.35,H9/0.35*2)</f>
        <v>2.9486488571428576E-4</v>
      </c>
      <c r="O9" s="2">
        <f>IF('Modell einstellen'!$B$1="Voll",J9/0.35,J9/0.35*2)</f>
        <v>-7.6384202857142868E-4</v>
      </c>
      <c r="P9" s="3">
        <f t="shared" si="0"/>
        <v>0.38602862199891669</v>
      </c>
      <c r="Q9" s="3"/>
      <c r="R9" s="3"/>
      <c r="S9" s="3"/>
      <c r="T9" s="3"/>
      <c r="U9" s="3"/>
    </row>
    <row r="10" spans="1:21" x14ac:dyDescent="0.25">
      <c r="A10" s="3">
        <v>1E-8</v>
      </c>
      <c r="B10" s="3">
        <v>8.8059999999999994E-5</v>
      </c>
      <c r="C10" s="3">
        <v>2.2330000000000001E-4</v>
      </c>
      <c r="D10" s="3">
        <v>-6.1079999999999999E-4</v>
      </c>
      <c r="E10" s="3">
        <v>0</v>
      </c>
      <c r="F10" s="3">
        <v>0</v>
      </c>
      <c r="G10" s="3">
        <v>0</v>
      </c>
      <c r="H10" s="3">
        <v>1.0791631E-4</v>
      </c>
      <c r="I10" s="3">
        <v>2.4440346999999999E-5</v>
      </c>
      <c r="J10" s="3">
        <v>-2.7531231E-4</v>
      </c>
      <c r="K10" s="2"/>
      <c r="L10" s="3"/>
      <c r="M10" s="3"/>
      <c r="N10" s="2">
        <f>IF('Modell einstellen'!$B$1="Voll",H10/0.35,H10/0.35*2)</f>
        <v>3.0833231428571429E-4</v>
      </c>
      <c r="O10" s="2">
        <f>IF('Modell einstellen'!$B$1="Voll",J10/0.35,J10/0.35*2)</f>
        <v>-7.8660660000000001E-4</v>
      </c>
      <c r="P10" s="3">
        <f t="shared" si="0"/>
        <v>0.39197778697218444</v>
      </c>
      <c r="Q10" s="3"/>
      <c r="R10" s="3"/>
      <c r="S10" s="3"/>
      <c r="T10" s="3"/>
      <c r="U10" s="3"/>
    </row>
    <row r="11" spans="1:21" x14ac:dyDescent="0.25">
      <c r="A11" s="3">
        <v>9.9999999999999995E-8</v>
      </c>
      <c r="B11" s="3">
        <v>8.4919999999999993E-5</v>
      </c>
      <c r="C11" s="3">
        <v>2.298E-4</v>
      </c>
      <c r="D11" s="3">
        <v>-6.1660000000000003E-4</v>
      </c>
      <c r="E11" s="3">
        <v>0</v>
      </c>
      <c r="F11" s="3">
        <v>0</v>
      </c>
      <c r="G11" s="3">
        <v>0</v>
      </c>
      <c r="H11" s="3">
        <v>1.1306292000000001E-4</v>
      </c>
      <c r="I11" s="3">
        <v>2.5276864999999999E-5</v>
      </c>
      <c r="J11" s="3">
        <v>-2.8390336999999999E-4</v>
      </c>
      <c r="K11" s="2"/>
      <c r="L11" s="3"/>
      <c r="M11" s="3"/>
      <c r="N11" s="2">
        <f>IF('Modell einstellen'!$B$1="Voll",H11/0.35,H11/0.35*2)</f>
        <v>3.2303691428571432E-4</v>
      </c>
      <c r="O11" s="2">
        <f>IF('Modell einstellen'!$B$1="Voll",J11/0.35,J11/0.35*2)</f>
        <v>-8.1115248571428573E-4</v>
      </c>
      <c r="P11" s="3">
        <f t="shared" si="0"/>
        <v>0.39824437448558647</v>
      </c>
      <c r="Q11" s="3"/>
      <c r="R11" s="3"/>
      <c r="S11" s="3"/>
      <c r="T11" s="3"/>
      <c r="U11" s="3"/>
    </row>
    <row r="12" spans="1:21" x14ac:dyDescent="0.25">
      <c r="A12" s="3">
        <v>9.9999999999999995E-7</v>
      </c>
      <c r="B12" s="3">
        <v>8.1169999999999997E-5</v>
      </c>
      <c r="C12" s="3">
        <v>2.363E-4</v>
      </c>
      <c r="D12" s="3">
        <v>-6.2169999999999999E-4</v>
      </c>
      <c r="E12" s="3">
        <v>0</v>
      </c>
      <c r="F12" s="3">
        <v>0</v>
      </c>
      <c r="G12" s="3">
        <v>0</v>
      </c>
      <c r="H12" s="3">
        <v>1.1842427E-4</v>
      </c>
      <c r="I12" s="3">
        <v>2.6121741999999999E-5</v>
      </c>
      <c r="J12" s="3">
        <v>-2.9274059999999998E-4</v>
      </c>
      <c r="K12" s="2"/>
      <c r="L12" s="3"/>
      <c r="M12" s="3"/>
      <c r="N12" s="2">
        <f>IF('Modell einstellen'!$B$1="Voll",H12/0.35,H12/0.35*2)</f>
        <v>3.3835505714285716E-4</v>
      </c>
      <c r="O12" s="2">
        <f>IF('Modell einstellen'!$B$1="Voll",J12/0.35,J12/0.35*2)</f>
        <v>-8.3640171428571431E-4</v>
      </c>
      <c r="P12" s="3">
        <f t="shared" si="0"/>
        <v>0.4045365419077504</v>
      </c>
      <c r="Q12" s="3"/>
      <c r="R12" s="3"/>
      <c r="S12" s="3"/>
      <c r="T12" s="3"/>
      <c r="U12" s="3"/>
    </row>
    <row r="13" spans="1:21" x14ac:dyDescent="0.25">
      <c r="A13" s="3">
        <v>1.0000000000000001E-5</v>
      </c>
      <c r="B13" s="3">
        <v>7.6110000000000001E-5</v>
      </c>
      <c r="C13" s="3">
        <v>2.4369999999999999E-4</v>
      </c>
      <c r="D13" s="3">
        <v>-6.2679999999999995E-4</v>
      </c>
      <c r="E13" s="3">
        <v>0</v>
      </c>
      <c r="F13" s="3">
        <v>0</v>
      </c>
      <c r="G13" s="3">
        <v>0</v>
      </c>
      <c r="H13" s="3">
        <v>1.2483604E-4</v>
      </c>
      <c r="I13" s="3">
        <v>2.7099898999999998E-5</v>
      </c>
      <c r="J13" s="3">
        <v>-3.0317393999999999E-4</v>
      </c>
      <c r="K13" s="2"/>
      <c r="L13" s="3"/>
      <c r="M13" s="3"/>
      <c r="N13" s="2">
        <f>IF('Modell einstellen'!$B$1="Voll",H13/0.35,H13/0.35*2)</f>
        <v>3.5667439999999999E-4</v>
      </c>
      <c r="O13" s="2">
        <f>IF('Modell einstellen'!$B$1="Voll",J13/0.35,J13/0.35*2)</f>
        <v>-8.6621125714285722E-4</v>
      </c>
      <c r="P13" s="3">
        <f t="shared" si="0"/>
        <v>0.41176375515652824</v>
      </c>
      <c r="Q13" s="3"/>
      <c r="R13" s="3"/>
      <c r="S13" s="3"/>
      <c r="T13" s="3"/>
      <c r="U13" s="3"/>
    </row>
    <row r="14" spans="1:21" x14ac:dyDescent="0.25">
      <c r="A14" s="3">
        <v>1E-4</v>
      </c>
      <c r="B14" s="3">
        <v>6.8429999999999994E-5</v>
      </c>
      <c r="C14" s="3">
        <v>2.5310000000000003E-4</v>
      </c>
      <c r="D14" s="3">
        <v>-6.3190000000000002E-4</v>
      </c>
      <c r="E14" s="3">
        <v>0</v>
      </c>
      <c r="F14" s="3">
        <v>0</v>
      </c>
      <c r="G14" s="3">
        <v>0</v>
      </c>
      <c r="H14" s="3">
        <v>1.3339427000000001E-4</v>
      </c>
      <c r="I14" s="3">
        <v>2.8352222E-5</v>
      </c>
      <c r="J14" s="3">
        <v>-3.1687707999999997E-4</v>
      </c>
      <c r="K14" s="2"/>
      <c r="L14" s="3"/>
      <c r="M14" s="3"/>
      <c r="N14" s="2">
        <f>IF('Modell einstellen'!$B$1="Voll",H14/0.35,H14/0.35*2)</f>
        <v>3.8112648571428576E-4</v>
      </c>
      <c r="O14" s="2">
        <f>IF('Modell einstellen'!$B$1="Voll",J14/0.35,J14/0.35*2)</f>
        <v>-9.0536308571428567E-4</v>
      </c>
      <c r="P14" s="3">
        <f t="shared" si="0"/>
        <v>0.42096534719393408</v>
      </c>
      <c r="Q14" s="3"/>
      <c r="R14" s="3"/>
      <c r="S14" s="3"/>
      <c r="T14" s="3"/>
      <c r="U14" s="3"/>
    </row>
    <row r="15" spans="1:21" x14ac:dyDescent="0.25">
      <c r="A15" s="3">
        <v>1E-3</v>
      </c>
      <c r="B15" s="3">
        <v>5.8010000000000002E-5</v>
      </c>
      <c r="C15" s="3">
        <v>2.633E-4</v>
      </c>
      <c r="D15" s="3">
        <v>-6.3560000000000005E-4</v>
      </c>
      <c r="E15" s="3">
        <v>0</v>
      </c>
      <c r="F15" s="3">
        <v>0</v>
      </c>
      <c r="G15" s="3">
        <v>0</v>
      </c>
      <c r="H15" s="3">
        <v>1.4353033000000001E-4</v>
      </c>
      <c r="I15" s="3">
        <v>2.9758108000000001E-5</v>
      </c>
      <c r="J15" s="3">
        <v>-3.3278357999999997E-4</v>
      </c>
      <c r="K15" s="2"/>
      <c r="L15" s="3"/>
      <c r="M15" s="3"/>
      <c r="N15" s="2">
        <f>IF('Modell einstellen'!$B$1="Voll",H15/0.35,H15/0.35*2)</f>
        <v>4.1008665714285721E-4</v>
      </c>
      <c r="O15" s="2">
        <f>IF('Modell einstellen'!$B$1="Voll",J15/0.35,J15/0.35*2)</f>
        <v>-9.5081022857142856E-4</v>
      </c>
      <c r="P15" s="3">
        <f t="shared" si="0"/>
        <v>0.43130231966372867</v>
      </c>
      <c r="Q15" s="3"/>
      <c r="R15" s="3"/>
      <c r="S15" s="3"/>
      <c r="T15" s="3"/>
      <c r="U15" s="3"/>
    </row>
    <row r="16" spans="1:21" x14ac:dyDescent="0.25">
      <c r="A16" s="3">
        <v>0.01</v>
      </c>
      <c r="B16" s="3">
        <v>4.6629999999999999E-5</v>
      </c>
      <c r="C16" s="3">
        <v>2.7260000000000001E-4</v>
      </c>
      <c r="D16" s="3">
        <v>-6.3679999999999997E-4</v>
      </c>
      <c r="E16" s="3">
        <v>0</v>
      </c>
      <c r="F16" s="3">
        <v>0</v>
      </c>
      <c r="G16" s="3">
        <v>0</v>
      </c>
      <c r="H16" s="3">
        <v>1.5339718000000001E-4</v>
      </c>
      <c r="I16" s="3">
        <v>3.1054708000000001E-5</v>
      </c>
      <c r="J16" s="3">
        <v>-3.4796415999999999E-4</v>
      </c>
      <c r="K16" s="2"/>
      <c r="L16" s="3"/>
      <c r="M16" s="3"/>
      <c r="N16" s="2">
        <f>IF('Modell einstellen'!$B$1="Voll",H16/0.35,H16/0.35*2)</f>
        <v>4.3827765714285721E-4</v>
      </c>
      <c r="O16" s="2">
        <f>IF('Modell einstellen'!$B$1="Voll",J16/0.35,J16/0.35*2)</f>
        <v>-9.9418331428571425E-4</v>
      </c>
      <c r="P16" s="3">
        <f t="shared" si="0"/>
        <v>0.4408418959010032</v>
      </c>
      <c r="Q16" s="3"/>
      <c r="R16" s="3"/>
      <c r="S16" s="3"/>
      <c r="T16" s="3"/>
      <c r="U16" s="3"/>
    </row>
    <row r="17" spans="1:21" x14ac:dyDescent="0.25">
      <c r="A17" s="3">
        <v>0.1</v>
      </c>
      <c r="B17" s="3">
        <v>3.4629999999999999E-5</v>
      </c>
      <c r="C17" s="3">
        <v>2.8140000000000001E-4</v>
      </c>
      <c r="D17" s="3">
        <v>-6.3659999999999997E-4</v>
      </c>
      <c r="E17" s="3">
        <v>0</v>
      </c>
      <c r="F17" s="3">
        <v>0</v>
      </c>
      <c r="G17" s="3">
        <v>0</v>
      </c>
      <c r="H17" s="3">
        <v>1.6304517999999999E-4</v>
      </c>
      <c r="I17" s="3">
        <v>3.2306986000000003E-5</v>
      </c>
      <c r="J17" s="3">
        <v>-3.6269386000000001E-4</v>
      </c>
      <c r="K17" s="2"/>
      <c r="L17" s="3"/>
      <c r="M17" s="3"/>
      <c r="N17" s="2">
        <f>IF('Modell einstellen'!$B$1="Voll",H17/0.35,H17/0.35*2)</f>
        <v>4.6584337142857146E-4</v>
      </c>
      <c r="O17" s="2">
        <f>IF('Modell einstellen'!$B$1="Voll",J17/0.35,J17/0.35*2)</f>
        <v>-1.0362681714285716E-3</v>
      </c>
      <c r="P17" s="3">
        <f t="shared" si="0"/>
        <v>0.44953939942628196</v>
      </c>
      <c r="Q17" s="3"/>
      <c r="R17" s="3"/>
      <c r="S17" s="3"/>
      <c r="T17" s="3"/>
      <c r="U17" s="3"/>
    </row>
    <row r="18" spans="1:21" x14ac:dyDescent="0.25">
      <c r="A18" s="3">
        <v>1</v>
      </c>
      <c r="B18" s="3">
        <v>2.1339999999999999E-5</v>
      </c>
      <c r="C18" s="3">
        <v>2.9399999999999999E-4</v>
      </c>
      <c r="D18" s="3">
        <v>-6.3829999999999996E-4</v>
      </c>
      <c r="E18" s="3">
        <v>0</v>
      </c>
      <c r="F18" s="3">
        <v>0</v>
      </c>
      <c r="G18" s="3">
        <v>0</v>
      </c>
      <c r="H18" s="3">
        <v>1.7353234999999999E-4</v>
      </c>
      <c r="I18" s="3">
        <v>3.4046133000000003E-5</v>
      </c>
      <c r="J18" s="3">
        <v>-3.7980023000000002E-4</v>
      </c>
      <c r="K18" s="2"/>
      <c r="L18" s="3"/>
      <c r="M18" s="3"/>
      <c r="N18" s="2">
        <f>IF('Modell einstellen'!$B$1="Voll",H18/0.35,H18/0.35*2)</f>
        <v>4.9580671428571424E-4</v>
      </c>
      <c r="O18" s="2">
        <f>IF('Modell einstellen'!$B$1="Voll",J18/0.35,J18/0.35*2)</f>
        <v>-1.0851435142857145E-3</v>
      </c>
      <c r="P18" s="3">
        <f t="shared" si="0"/>
        <v>0.45690427833600827</v>
      </c>
      <c r="Q18" s="3"/>
      <c r="R18" s="3"/>
      <c r="S18" s="3"/>
      <c r="T18" s="3"/>
      <c r="U18" s="3"/>
    </row>
    <row r="19" spans="1:21" x14ac:dyDescent="0.25">
      <c r="A19" s="3">
        <v>10</v>
      </c>
      <c r="B19" s="3">
        <v>1.1219999999999999E-5</v>
      </c>
      <c r="C19" s="3">
        <v>3.211E-4</v>
      </c>
      <c r="D19" s="3">
        <v>-6.5479999999999998E-4</v>
      </c>
      <c r="E19" s="3">
        <v>0</v>
      </c>
      <c r="F19" s="3">
        <v>0</v>
      </c>
      <c r="G19" s="3">
        <v>0</v>
      </c>
      <c r="H19" s="3">
        <v>1.8350733E-4</v>
      </c>
      <c r="I19" s="3">
        <v>3.7613110999999997E-5</v>
      </c>
      <c r="J19" s="3">
        <v>-4.0196113000000002E-4</v>
      </c>
      <c r="K19" s="2"/>
      <c r="L19" s="3"/>
      <c r="M19" s="3"/>
      <c r="N19" s="2">
        <f>IF('Modell einstellen'!$B$1="Voll",H19/0.35,H19/0.35*2)</f>
        <v>5.2430665714285716E-4</v>
      </c>
      <c r="O19" s="2">
        <f>IF('Modell einstellen'!$B$1="Voll",J19/0.35,J19/0.35*2)</f>
        <v>-1.1484603714285715E-3</v>
      </c>
      <c r="P19" s="3">
        <f t="shared" si="0"/>
        <v>0.4565300381158745</v>
      </c>
      <c r="Q19" s="3"/>
      <c r="R19" s="3"/>
      <c r="S19" s="3"/>
      <c r="T19" s="3"/>
      <c r="U19" s="3"/>
    </row>
    <row r="20" spans="1:21" x14ac:dyDescent="0.25">
      <c r="A20" s="3">
        <v>100</v>
      </c>
      <c r="B20" s="3">
        <v>4.9370000000000003E-6</v>
      </c>
      <c r="C20" s="3">
        <v>3.6729999999999998E-4</v>
      </c>
      <c r="D20" s="3">
        <v>-6.9110000000000005E-4</v>
      </c>
      <c r="E20" s="3">
        <v>0</v>
      </c>
      <c r="F20" s="3">
        <v>0</v>
      </c>
      <c r="G20" s="3">
        <v>0</v>
      </c>
      <c r="H20" s="3">
        <v>1.9353099E-4</v>
      </c>
      <c r="I20" s="3">
        <v>4.3616135E-5</v>
      </c>
      <c r="J20" s="3">
        <v>-4.3187435999999998E-4</v>
      </c>
      <c r="K20" s="2"/>
      <c r="L20" s="3"/>
      <c r="M20" s="3"/>
      <c r="N20" s="2">
        <f>IF('Modell einstellen'!$B$1="Voll",H20/0.35,H20/0.35*2)</f>
        <v>5.529456857142857E-4</v>
      </c>
      <c r="O20" s="2">
        <f>IF('Modell einstellen'!$B$1="Voll",J20/0.35,J20/0.35*2)</f>
        <v>-1.233926742857143E-3</v>
      </c>
      <c r="P20" s="3">
        <f t="shared" si="0"/>
        <v>0.44811873064193941</v>
      </c>
      <c r="Q20" s="3"/>
      <c r="R20" s="3"/>
      <c r="S20" s="3"/>
      <c r="T20" s="3"/>
      <c r="U20" s="3"/>
    </row>
    <row r="21" spans="1:21" x14ac:dyDescent="0.25">
      <c r="A21" s="3">
        <v>1000</v>
      </c>
      <c r="B21" s="3">
        <v>-2.3709999999999998E-6</v>
      </c>
      <c r="C21" s="3">
        <v>4.2220000000000002E-4</v>
      </c>
      <c r="D21" s="3">
        <v>-7.3499999999999998E-4</v>
      </c>
      <c r="E21" s="3">
        <v>0</v>
      </c>
      <c r="F21" s="3">
        <v>0</v>
      </c>
      <c r="G21" s="3">
        <v>0</v>
      </c>
      <c r="H21" s="3">
        <v>2.0529730999999999E-4</v>
      </c>
      <c r="I21" s="3">
        <v>5.0865207000000001E-5</v>
      </c>
      <c r="J21" s="3">
        <v>-4.6790828000000003E-4</v>
      </c>
      <c r="K21" s="2"/>
      <c r="L21" s="3"/>
      <c r="M21" s="3"/>
      <c r="N21" s="2">
        <f>IF('Modell einstellen'!$B$1="Voll",H21/0.35,H21/0.35*2)</f>
        <v>5.8656374285714289E-4</v>
      </c>
      <c r="O21" s="2">
        <f>IF('Modell einstellen'!$B$1="Voll",J21/0.35,J21/0.35*2)</f>
        <v>-1.3368808000000002E-3</v>
      </c>
      <c r="P21" s="3">
        <f t="shared" si="0"/>
        <v>0.43875545438093122</v>
      </c>
      <c r="Q21" s="3"/>
      <c r="R21" s="3"/>
      <c r="S21" s="3"/>
      <c r="T21" s="3"/>
      <c r="U21" s="3"/>
    </row>
    <row r="22" spans="1:21" x14ac:dyDescent="0.25">
      <c r="A22" s="3">
        <v>10000</v>
      </c>
      <c r="B22" s="3">
        <v>-2.016E-5</v>
      </c>
      <c r="C22" s="3">
        <v>4.7869999999999998E-4</v>
      </c>
      <c r="D22" s="3">
        <v>-7.7189999999999995E-4</v>
      </c>
      <c r="E22" s="3">
        <v>0</v>
      </c>
      <c r="F22" s="3">
        <v>0</v>
      </c>
      <c r="G22" s="3">
        <v>0</v>
      </c>
      <c r="H22" s="3">
        <v>2.2144972E-4</v>
      </c>
      <c r="I22" s="3">
        <v>5.8652481999999999E-5</v>
      </c>
      <c r="J22" s="3">
        <v>-5.1074701000000005E-4</v>
      </c>
      <c r="K22" s="2"/>
      <c r="L22" s="3"/>
      <c r="M22" s="3"/>
      <c r="N22" s="2">
        <f>IF('Modell einstellen'!$B$1="Voll",H22/0.35,H22/0.35*2)</f>
        <v>6.3271348571428577E-4</v>
      </c>
      <c r="O22" s="2">
        <f>IF('Modell einstellen'!$B$1="Voll",J22/0.35,J22/0.35*2)</f>
        <v>-1.4592771714285716E-3</v>
      </c>
      <c r="P22" s="3">
        <f t="shared" si="0"/>
        <v>0.43358006148680145</v>
      </c>
      <c r="Q22" s="3"/>
      <c r="R22" s="3"/>
      <c r="S22" s="3"/>
      <c r="T22" s="3"/>
      <c r="U22" s="3"/>
    </row>
    <row r="23" spans="1:21" x14ac:dyDescent="0.25">
      <c r="A23" s="3">
        <v>100000</v>
      </c>
      <c r="B23" s="3">
        <v>-5.151E-5</v>
      </c>
      <c r="C23" s="3">
        <v>5.3629999999999997E-4</v>
      </c>
      <c r="D23" s="3">
        <v>-7.984E-4</v>
      </c>
      <c r="E23" s="3">
        <v>0</v>
      </c>
      <c r="F23" s="3">
        <v>0</v>
      </c>
      <c r="G23" s="3">
        <v>0</v>
      </c>
      <c r="H23" s="3">
        <v>2.4296281000000001E-4</v>
      </c>
      <c r="I23" s="3">
        <v>6.6990754000000003E-5</v>
      </c>
      <c r="J23" s="3">
        <v>-5.6148682000000001E-4</v>
      </c>
      <c r="K23" s="2"/>
      <c r="L23" s="3"/>
      <c r="M23" s="3"/>
      <c r="N23" s="2">
        <f>IF('Modell einstellen'!$B$1="Voll",H23/0.35,H23/0.35*2)</f>
        <v>6.9417945714285727E-4</v>
      </c>
      <c r="O23" s="2">
        <f>IF('Modell einstellen'!$B$1="Voll",J23/0.35,J23/0.35*2)</f>
        <v>-1.6042480571428572E-3</v>
      </c>
      <c r="P23" s="3">
        <f t="shared" si="0"/>
        <v>0.4327132914713831</v>
      </c>
      <c r="Q23" s="3"/>
      <c r="R23" s="3"/>
      <c r="S23" s="3"/>
      <c r="T23" s="3"/>
      <c r="U23" s="3"/>
    </row>
    <row r="24" spans="1:21" x14ac:dyDescent="0.25">
      <c r="A24" s="3">
        <v>1000000</v>
      </c>
      <c r="B24" s="3">
        <v>-1.07E-4</v>
      </c>
      <c r="C24" s="3">
        <v>6.0070000000000002E-4</v>
      </c>
      <c r="D24" s="3">
        <v>-8.095E-4</v>
      </c>
      <c r="E24" s="3">
        <v>0</v>
      </c>
      <c r="F24" s="3">
        <v>0</v>
      </c>
      <c r="G24" s="3">
        <v>0</v>
      </c>
      <c r="H24" s="3">
        <v>2.7315725999999999E-4</v>
      </c>
      <c r="I24" s="3">
        <v>7.6793605000000003E-5</v>
      </c>
      <c r="J24" s="3">
        <v>-6.2670415999999997E-4</v>
      </c>
      <c r="K24" s="2"/>
      <c r="L24" s="3"/>
      <c r="M24" s="3"/>
      <c r="N24" s="2">
        <f>IF('Modell einstellen'!$B$1="Voll",H24/0.35,H24/0.35*2)</f>
        <v>7.8044931428571432E-4</v>
      </c>
      <c r="O24" s="2">
        <f>IF('Modell einstellen'!$B$1="Voll",J24/0.35,J24/0.35*2)</f>
        <v>-1.7905833142857143E-3</v>
      </c>
      <c r="P24" s="3">
        <f t="shared" si="0"/>
        <v>0.43586316708030148</v>
      </c>
      <c r="Q24" s="3"/>
      <c r="R24" s="3"/>
      <c r="S24" s="3"/>
      <c r="T24" s="3"/>
      <c r="U24" s="3"/>
    </row>
    <row r="25" spans="1:21" x14ac:dyDescent="0.25">
      <c r="A25" s="3">
        <v>10000000</v>
      </c>
      <c r="B25" s="3">
        <v>-2.0550000000000001E-4</v>
      </c>
      <c r="C25" s="3">
        <v>6.8059999999999996E-4</v>
      </c>
      <c r="D25" s="3">
        <v>-7.9500000000000003E-4</v>
      </c>
      <c r="E25" s="3">
        <v>0</v>
      </c>
      <c r="F25" s="3">
        <v>0</v>
      </c>
      <c r="G25" s="3">
        <v>0</v>
      </c>
      <c r="H25" s="3">
        <v>3.1716181000000001E-4</v>
      </c>
      <c r="I25" s="3">
        <v>8.9581983999999993E-5</v>
      </c>
      <c r="J25" s="3">
        <v>-7.1692920000000001E-4</v>
      </c>
      <c r="K25" s="2"/>
      <c r="L25" s="3"/>
      <c r="M25" s="3"/>
      <c r="N25" s="2">
        <f>IF('Modell einstellen'!$B$1="Voll",H25/0.35,H25/0.35*2)</f>
        <v>9.0617660000000006E-4</v>
      </c>
      <c r="O25" s="2">
        <f>IF('Modell einstellen'!$B$1="Voll",J25/0.35,J25/0.35*2)</f>
        <v>-2.0483691428571432E-3</v>
      </c>
      <c r="P25" s="3">
        <f t="shared" si="0"/>
        <v>0.44238930427160728</v>
      </c>
      <c r="Q25" s="3"/>
      <c r="R25" s="3"/>
      <c r="S25" s="3"/>
      <c r="T25" s="3"/>
      <c r="U25" s="3"/>
    </row>
    <row r="26" spans="1:21" x14ac:dyDescent="0.25">
      <c r="A26" s="3">
        <v>100000000</v>
      </c>
      <c r="B26" s="3">
        <v>-3.9320000000000002E-4</v>
      </c>
      <c r="C26" s="3">
        <v>7.9500000000000003E-4</v>
      </c>
      <c r="D26" s="3">
        <v>-7.2760000000000001E-4</v>
      </c>
      <c r="E26" s="3">
        <v>0</v>
      </c>
      <c r="F26" s="3">
        <v>0</v>
      </c>
      <c r="G26" s="3">
        <v>0</v>
      </c>
      <c r="H26" s="3">
        <v>3.8806608000000001E-4</v>
      </c>
      <c r="I26" s="3">
        <v>1.0878164E-4</v>
      </c>
      <c r="J26" s="3">
        <v>-8.5761142000000004E-4</v>
      </c>
      <c r="K26" s="2"/>
      <c r="L26" s="3"/>
      <c r="M26" s="3"/>
      <c r="N26" s="2">
        <f>IF('Modell einstellen'!$B$1="Voll",H26/0.35,H26/0.35*2)</f>
        <v>1.1087602285714286E-3</v>
      </c>
      <c r="O26" s="2">
        <f>IF('Modell einstellen'!$B$1="Voll",J26/0.35,J26/0.35*2)</f>
        <v>-2.4503183428571432E-3</v>
      </c>
      <c r="P26" s="3">
        <f t="shared" si="0"/>
        <v>0.45249639982639217</v>
      </c>
      <c r="Q26" s="3"/>
      <c r="R26" s="3"/>
      <c r="S26" s="3"/>
      <c r="T26" s="3"/>
      <c r="U26" s="3"/>
    </row>
    <row r="27" spans="1:21" x14ac:dyDescent="0.25">
      <c r="A27" s="3">
        <v>1000000000</v>
      </c>
      <c r="B27" s="3">
        <v>-7.6040000000000005E-4</v>
      </c>
      <c r="C27" s="3">
        <v>9.7280000000000001E-4</v>
      </c>
      <c r="D27" s="3">
        <v>-5.4580000000000004E-4</v>
      </c>
      <c r="E27" s="3">
        <v>0</v>
      </c>
      <c r="F27" s="3">
        <v>0</v>
      </c>
      <c r="G27" s="3">
        <v>0</v>
      </c>
      <c r="H27" s="3">
        <v>5.0989274000000004E-4</v>
      </c>
      <c r="I27" s="3">
        <v>1.4013065000000001E-4</v>
      </c>
      <c r="J27" s="3">
        <v>-1.0934899000000001E-3</v>
      </c>
      <c r="K27" s="2"/>
      <c r="L27" s="3"/>
      <c r="M27" s="3"/>
      <c r="N27" s="2">
        <f>IF('Modell einstellen'!$B$1="Voll",H27/0.35,H27/0.35*2)</f>
        <v>1.4568364000000001E-3</v>
      </c>
      <c r="O27" s="2">
        <f>IF('Modell einstellen'!$B$1="Voll",J27/0.35,J27/0.35*2)</f>
        <v>-3.1242568571428577E-3</v>
      </c>
      <c r="P27" s="3">
        <f t="shared" si="0"/>
        <v>0.46629853645653235</v>
      </c>
      <c r="Q27" s="3"/>
      <c r="R27" s="3"/>
      <c r="S27" s="3"/>
      <c r="T27" s="3"/>
      <c r="U27" s="3"/>
    </row>
    <row r="28" spans="1:21" x14ac:dyDescent="0.25">
      <c r="A28" s="3">
        <v>10000000000</v>
      </c>
      <c r="B28" s="3">
        <v>-1.456E-3</v>
      </c>
      <c r="C28" s="3">
        <v>1.2520000000000001E-3</v>
      </c>
      <c r="D28" s="3">
        <v>-1.383E-4</v>
      </c>
      <c r="E28" s="3">
        <v>0</v>
      </c>
      <c r="F28" s="3">
        <v>0</v>
      </c>
      <c r="G28" s="3">
        <v>0</v>
      </c>
      <c r="H28" s="3">
        <v>7.2106826999999995E-4</v>
      </c>
      <c r="I28" s="3">
        <v>1.9186776E-4</v>
      </c>
      <c r="J28" s="3">
        <v>-1.4925668999999999E-3</v>
      </c>
      <c r="K28" s="2"/>
      <c r="L28" s="3"/>
      <c r="M28" s="3"/>
      <c r="N28" s="2">
        <f>IF('Modell einstellen'!$B$1="Voll",H28/0.35,H28/0.35*2)</f>
        <v>2.0601950571428572E-3</v>
      </c>
      <c r="O28" s="2">
        <f>IF('Modell einstellen'!$B$1="Voll",J28/0.35,J28/0.35*2)</f>
        <v>-4.2644768571428572E-3</v>
      </c>
      <c r="P28" s="3">
        <f t="shared" si="0"/>
        <v>0.48310616428650532</v>
      </c>
      <c r="Q28" s="3"/>
      <c r="R28" s="3"/>
      <c r="S28" s="3"/>
      <c r="T28" s="3"/>
      <c r="U28" s="3"/>
    </row>
    <row r="29" spans="1:21" x14ac:dyDescent="0.25">
      <c r="A29" s="3">
        <v>100000000000</v>
      </c>
      <c r="B29" s="3">
        <v>-2.6020000000000001E-3</v>
      </c>
      <c r="C29" s="3">
        <v>1.6590000000000001E-3</v>
      </c>
      <c r="D29" s="3">
        <v>5.9520000000000005E-4</v>
      </c>
      <c r="E29" s="3">
        <v>0</v>
      </c>
      <c r="F29" s="3">
        <v>0</v>
      </c>
      <c r="G29" s="3">
        <v>0</v>
      </c>
      <c r="H29" s="3">
        <v>1.0517363E-3</v>
      </c>
      <c r="I29" s="3">
        <v>2.6966231E-4</v>
      </c>
      <c r="J29" s="3">
        <v>-2.1045885999999999E-3</v>
      </c>
      <c r="K29" s="2"/>
      <c r="L29" s="3"/>
      <c r="M29" s="3"/>
      <c r="N29" s="2">
        <f>IF('Modell einstellen'!$B$1="Voll",H29/0.35,H29/0.35*2)</f>
        <v>3.0049608571428577E-3</v>
      </c>
      <c r="O29" s="2">
        <f>IF('Modell einstellen'!$B$1="Voll",J29/0.35,J29/0.35*2)</f>
        <v>-6.0131102857142859E-3</v>
      </c>
      <c r="P29" s="3">
        <f t="shared" si="0"/>
        <v>0.49973486504678405</v>
      </c>
      <c r="Q29" s="3"/>
      <c r="R29" s="3"/>
      <c r="S29" s="3"/>
      <c r="T29" s="3"/>
      <c r="U29" s="3"/>
    </row>
    <row r="30" spans="1:21" x14ac:dyDescent="0.25">
      <c r="A30" s="3">
        <v>1000000000000</v>
      </c>
      <c r="B30" s="3">
        <v>-4.104E-3</v>
      </c>
      <c r="C30" s="3">
        <v>2.1549999999999998E-3</v>
      </c>
      <c r="D30" s="3">
        <v>1.596E-3</v>
      </c>
      <c r="E30" s="3">
        <v>0</v>
      </c>
      <c r="F30" s="3">
        <v>0</v>
      </c>
      <c r="G30" s="3">
        <v>0</v>
      </c>
      <c r="H30" s="3">
        <v>1.4743038E-3</v>
      </c>
      <c r="I30" s="3">
        <v>3.6663861999999998E-4</v>
      </c>
      <c r="J30" s="3">
        <v>-2.8756528000000001E-3</v>
      </c>
      <c r="K30" s="2"/>
      <c r="L30" s="3"/>
      <c r="M30" s="3"/>
      <c r="N30" s="2">
        <f>IF('Modell einstellen'!$B$1="Voll",H30/0.35,H30/0.35*2)</f>
        <v>4.2122965714285719E-3</v>
      </c>
      <c r="O30" s="2">
        <f>IF('Modell einstellen'!$B$1="Voll",J30/0.35,J30/0.35*2)</f>
        <v>-8.2161508571428586E-3</v>
      </c>
      <c r="P30" s="3">
        <f t="shared" si="0"/>
        <v>0.51268491105741276</v>
      </c>
      <c r="Q30" s="3"/>
      <c r="R30" s="3"/>
      <c r="S30" s="3"/>
      <c r="T30" s="3"/>
      <c r="U30" s="3"/>
    </row>
    <row r="31" spans="1:21" x14ac:dyDescent="0.25">
      <c r="A31" s="3">
        <v>10000000000000</v>
      </c>
      <c r="B31" s="3">
        <v>-5.4539999999999996E-3</v>
      </c>
      <c r="C31" s="3">
        <v>2.5899999999999999E-3</v>
      </c>
      <c r="D31" s="3">
        <v>2.5100000000000001E-3</v>
      </c>
      <c r="E31" s="3">
        <v>0</v>
      </c>
      <c r="F31" s="3">
        <v>0</v>
      </c>
      <c r="G31" s="3">
        <v>0</v>
      </c>
      <c r="H31" s="3">
        <v>1.850771E-3</v>
      </c>
      <c r="I31" s="3">
        <v>4.5246441000000001E-4</v>
      </c>
      <c r="J31" s="3">
        <v>-3.5584189000000001E-3</v>
      </c>
      <c r="K31" s="2"/>
      <c r="L31" s="3"/>
      <c r="M31" s="3"/>
      <c r="N31" s="2">
        <f>IF('Modell einstellen'!$B$1="Voll",H31/0.35,H31/0.35*2)</f>
        <v>5.2879171428571433E-3</v>
      </c>
      <c r="O31" s="2">
        <f>IF('Modell einstellen'!$B$1="Voll",J31/0.35,J31/0.35*2)</f>
        <v>-1.0166911142857143E-2</v>
      </c>
      <c r="P31" s="3">
        <f t="shared" si="0"/>
        <v>0.52011049064515702</v>
      </c>
      <c r="Q31" s="3"/>
      <c r="R31" s="3"/>
      <c r="S31" s="3"/>
      <c r="T31" s="3"/>
      <c r="U31" s="3"/>
    </row>
    <row r="32" spans="1:21" x14ac:dyDescent="0.25">
      <c r="A32" s="3">
        <v>100000000000000</v>
      </c>
      <c r="B32" s="3">
        <v>-6.4070000000000004E-3</v>
      </c>
      <c r="C32" s="3">
        <v>2.895E-3</v>
      </c>
      <c r="D32" s="3">
        <v>3.156E-3</v>
      </c>
      <c r="E32" s="3">
        <v>0</v>
      </c>
      <c r="F32" s="3">
        <v>0</v>
      </c>
      <c r="G32" s="3">
        <v>0</v>
      </c>
      <c r="H32" s="3">
        <v>2.1157562E-3</v>
      </c>
      <c r="I32" s="3">
        <v>5.1309623000000005E-4</v>
      </c>
      <c r="J32" s="3">
        <v>-4.0386012999999998E-3</v>
      </c>
      <c r="K32" s="2"/>
      <c r="L32" s="3"/>
      <c r="M32" s="3"/>
      <c r="N32" s="2">
        <f>IF('Modell einstellen'!$B$1="Voll",H32/0.35,H32/0.35*2)</f>
        <v>6.0450177142857145E-3</v>
      </c>
      <c r="O32" s="2">
        <f>IF('Modell einstellen'!$B$1="Voll",J32/0.35,J32/0.35*2)</f>
        <v>-1.1538860857142858E-2</v>
      </c>
      <c r="P32" s="3">
        <f t="shared" si="0"/>
        <v>0.52388340488079377</v>
      </c>
      <c r="Q32" s="3"/>
      <c r="R32" s="3"/>
      <c r="S32" s="3"/>
      <c r="T32" s="3"/>
      <c r="U32" s="3"/>
    </row>
    <row r="33" spans="1:21" x14ac:dyDescent="0.25">
      <c r="A33" s="2">
        <v>1000000000000000</v>
      </c>
      <c r="B33" s="3">
        <v>-6.9820000000000004E-3</v>
      </c>
      <c r="C33" s="3">
        <v>3.0799999999999998E-3</v>
      </c>
      <c r="D33" s="3">
        <v>3.5460000000000001E-3</v>
      </c>
      <c r="E33" s="3">
        <v>0</v>
      </c>
      <c r="F33" s="3">
        <v>0</v>
      </c>
      <c r="G33" s="3">
        <v>0</v>
      </c>
      <c r="H33" s="3">
        <v>2.2760048000000001E-3</v>
      </c>
      <c r="I33" s="3">
        <v>5.5006200000000003E-4</v>
      </c>
      <c r="J33" s="3">
        <v>-4.3295809999999999E-3</v>
      </c>
      <c r="K33" s="2"/>
      <c r="L33" s="3"/>
      <c r="M33" s="3"/>
      <c r="N33" s="2">
        <f>IF('Modell einstellen'!$B$1="Voll",H33/0.35,H33/0.35*2)</f>
        <v>6.5028708571428576E-3</v>
      </c>
      <c r="O33" s="2">
        <f>IF('Modell einstellen'!$B$1="Voll",J33/0.35,J33/0.35*2)</f>
        <v>-1.2370231428571429E-2</v>
      </c>
      <c r="P33" s="3">
        <f t="shared" si="0"/>
        <v>0.52568708149818655</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8.9480000000000004E-5</v>
      </c>
      <c r="C3" s="3">
        <v>2.2489999999999999E-4</v>
      </c>
      <c r="D3" s="3">
        <v>-6.1309999999999999E-4</v>
      </c>
      <c r="E3" s="3">
        <v>0</v>
      </c>
      <c r="F3" s="3">
        <v>0</v>
      </c>
      <c r="G3" s="3">
        <v>0</v>
      </c>
      <c r="H3" s="3">
        <v>1.0767679E-4</v>
      </c>
      <c r="I3" s="3">
        <v>2.4639439E-5</v>
      </c>
      <c r="J3" s="3">
        <v>-2.7554017999999999E-4</v>
      </c>
      <c r="L3" s="3">
        <f>-B3/D3</f>
        <v>0.14594682759745556</v>
      </c>
      <c r="M3" s="3"/>
      <c r="N3" s="2">
        <f>IF('Modell einstellen'!$B$1="Voll",H3/0.35,H3/0.35*2)</f>
        <v>3.0764797142857146E-4</v>
      </c>
      <c r="O3" s="2">
        <f>IF('Modell einstellen'!$B$1="Voll",J3/0.35,J3/0.35*2)</f>
        <v>-7.8725765714285714E-4</v>
      </c>
      <c r="P3" s="3">
        <f>-N3/O3</f>
        <v>0.39078434949124302</v>
      </c>
    </row>
    <row r="4" spans="1:16" x14ac:dyDescent="0.25">
      <c r="A4" s="3">
        <v>1E-14</v>
      </c>
      <c r="B4" s="3">
        <v>8.5550000000000006E-5</v>
      </c>
      <c r="C4" s="3">
        <v>2.3340000000000001E-4</v>
      </c>
      <c r="D4" s="3">
        <v>-6.2069999999999996E-4</v>
      </c>
      <c r="E4" s="3">
        <v>0</v>
      </c>
      <c r="F4" s="3">
        <v>0</v>
      </c>
      <c r="G4" s="3">
        <v>0</v>
      </c>
      <c r="H4" s="3">
        <v>1.141744E-4</v>
      </c>
      <c r="I4" s="3">
        <v>2.5720950999999999E-5</v>
      </c>
      <c r="J4" s="3">
        <v>-2.8647404E-4</v>
      </c>
      <c r="L4" s="3">
        <f t="shared" ref="L4:L33" si="0">-B4/D4</f>
        <v>0.13782825841791527</v>
      </c>
      <c r="M4" s="3"/>
      <c r="N4" s="2">
        <f>IF('Modell einstellen'!$B$1="Voll",H4/0.35,H4/0.35*2)</f>
        <v>3.2621257142857144E-4</v>
      </c>
      <c r="O4" s="2">
        <f>IF('Modell einstellen'!$B$1="Voll",J4/0.35,J4/0.35*2)</f>
        <v>-8.184972571428572E-4</v>
      </c>
      <c r="P4" s="3">
        <f t="shared" ref="P4:P33" si="1">-N4/O4</f>
        <v>0.3985505981624024</v>
      </c>
    </row>
    <row r="5" spans="1:16" x14ac:dyDescent="0.25">
      <c r="A5" s="3">
        <v>1E-13</v>
      </c>
      <c r="B5" s="3">
        <v>8.1500000000000002E-5</v>
      </c>
      <c r="C5" s="3">
        <v>2.4030000000000001E-4</v>
      </c>
      <c r="D5" s="3">
        <v>-6.2600000000000004E-4</v>
      </c>
      <c r="E5" s="3">
        <v>0</v>
      </c>
      <c r="F5" s="3">
        <v>0</v>
      </c>
      <c r="G5" s="3">
        <v>0</v>
      </c>
      <c r="H5" s="3">
        <v>1.1976431E-4</v>
      </c>
      <c r="I5" s="3">
        <v>2.6618034000000001E-5</v>
      </c>
      <c r="J5" s="3">
        <v>-2.9574023999999997E-4</v>
      </c>
      <c r="L5" s="3">
        <f t="shared" si="0"/>
        <v>0.13019169329073482</v>
      </c>
      <c r="M5" s="3"/>
      <c r="N5" s="2">
        <f>IF('Modell einstellen'!$B$1="Voll",H5/0.35,H5/0.35*2)</f>
        <v>3.4218374285714285E-4</v>
      </c>
      <c r="O5" s="2">
        <f>IF('Modell einstellen'!$B$1="Voll",J5/0.35,J5/0.35*2)</f>
        <v>-8.4497211428571429E-4</v>
      </c>
      <c r="P5" s="3">
        <f t="shared" si="1"/>
        <v>0.40496453915097924</v>
      </c>
    </row>
    <row r="6" spans="1:16" x14ac:dyDescent="0.25">
      <c r="A6" s="3">
        <v>9.9999999999999998E-13</v>
      </c>
      <c r="B6" s="3">
        <v>7.5859999999999995E-5</v>
      </c>
      <c r="C6" s="3">
        <v>2.4850000000000002E-4</v>
      </c>
      <c r="D6" s="3">
        <v>-6.3139999999999995E-4</v>
      </c>
      <c r="E6" s="3">
        <v>0</v>
      </c>
      <c r="F6" s="3">
        <v>0</v>
      </c>
      <c r="G6" s="3">
        <v>0</v>
      </c>
      <c r="H6" s="3">
        <v>1.2666563000000001E-4</v>
      </c>
      <c r="I6" s="3">
        <v>2.7689583E-5</v>
      </c>
      <c r="J6" s="3">
        <v>-3.0702692999999998E-4</v>
      </c>
      <c r="L6" s="3">
        <f t="shared" si="0"/>
        <v>0.120145707950586</v>
      </c>
      <c r="M6" s="3"/>
      <c r="N6" s="2">
        <f>IF('Modell einstellen'!$B$1="Voll",H6/0.35,H6/0.35*2)</f>
        <v>3.6190180000000003E-4</v>
      </c>
      <c r="O6" s="2">
        <f>IF('Modell einstellen'!$B$1="Voll",J6/0.35,J6/0.35*2)</f>
        <v>-8.7721979999999999E-4</v>
      </c>
      <c r="P6" s="3">
        <f t="shared" si="1"/>
        <v>0.41255543935510808</v>
      </c>
    </row>
    <row r="7" spans="1:16" x14ac:dyDescent="0.25">
      <c r="A7" s="3">
        <v>9.9999999999999994E-12</v>
      </c>
      <c r="B7" s="3">
        <v>6.7420000000000002E-5</v>
      </c>
      <c r="C7" s="3">
        <v>2.5849999999999999E-4</v>
      </c>
      <c r="D7" s="3">
        <v>-6.3659999999999997E-4</v>
      </c>
      <c r="E7" s="3">
        <v>0</v>
      </c>
      <c r="F7" s="3">
        <v>0</v>
      </c>
      <c r="G7" s="3">
        <v>0</v>
      </c>
      <c r="H7" s="3">
        <v>1.3571237E-4</v>
      </c>
      <c r="I7" s="3">
        <v>2.9033547000000001E-5</v>
      </c>
      <c r="J7" s="3">
        <v>-3.2156691000000001E-4</v>
      </c>
      <c r="L7" s="3">
        <f t="shared" si="0"/>
        <v>0.10590637763116557</v>
      </c>
      <c r="M7" s="3"/>
      <c r="N7" s="2">
        <f>IF('Modell einstellen'!$B$1="Voll",H7/0.35,H7/0.35*2)</f>
        <v>3.8774962857142858E-4</v>
      </c>
      <c r="O7" s="2">
        <f>IF('Modell einstellen'!$B$1="Voll",J7/0.35,J7/0.35*2)</f>
        <v>-9.1876260000000015E-4</v>
      </c>
      <c r="P7" s="3">
        <f t="shared" si="1"/>
        <v>0.42203462414711757</v>
      </c>
    </row>
    <row r="8" spans="1:16" x14ac:dyDescent="0.25">
      <c r="A8" s="3">
        <v>1E-10</v>
      </c>
      <c r="B8" s="3">
        <v>5.6570000000000002E-5</v>
      </c>
      <c r="C8" s="3">
        <v>2.6889999999999998E-4</v>
      </c>
      <c r="D8" s="3">
        <v>-6.3980000000000005E-4</v>
      </c>
      <c r="E8" s="3">
        <v>0</v>
      </c>
      <c r="F8" s="3">
        <v>0</v>
      </c>
      <c r="G8" s="3">
        <v>0</v>
      </c>
      <c r="H8" s="3">
        <v>1.4586214999999999E-4</v>
      </c>
      <c r="I8" s="3">
        <v>3.0460372000000001E-5</v>
      </c>
      <c r="J8" s="3">
        <v>-3.3754200999999999E-4</v>
      </c>
      <c r="L8" s="3">
        <f t="shared" si="0"/>
        <v>8.8418255704907786E-2</v>
      </c>
      <c r="M8" s="3"/>
      <c r="N8" s="2">
        <f>IF('Modell einstellen'!$B$1="Voll",H8/0.35,H8/0.35*2)</f>
        <v>4.16749E-4</v>
      </c>
      <c r="O8" s="2">
        <f>IF('Modell einstellen'!$B$1="Voll",J8/0.35,J8/0.35*2)</f>
        <v>-9.6440574285714287E-4</v>
      </c>
      <c r="P8" s="3">
        <f t="shared" si="1"/>
        <v>0.43213035912181719</v>
      </c>
    </row>
    <row r="9" spans="1:16" x14ac:dyDescent="0.25">
      <c r="A9" s="3">
        <v>1.0000000000000001E-9</v>
      </c>
      <c r="B9" s="3">
        <v>4.5170000000000003E-5</v>
      </c>
      <c r="C9" s="3">
        <v>2.7799999999999998E-4</v>
      </c>
      <c r="D9" s="3">
        <v>-6.4070000000000002E-4</v>
      </c>
      <c r="E9" s="3">
        <v>0</v>
      </c>
      <c r="F9" s="3">
        <v>0</v>
      </c>
      <c r="G9" s="3">
        <v>0</v>
      </c>
      <c r="H9" s="3">
        <v>1.5543455E-4</v>
      </c>
      <c r="I9" s="3">
        <v>3.1733707999999999E-5</v>
      </c>
      <c r="J9" s="3">
        <v>-3.5230879E-4</v>
      </c>
      <c r="L9" s="3">
        <f t="shared" si="0"/>
        <v>7.0501014515373814E-2</v>
      </c>
      <c r="M9" s="3"/>
      <c r="N9" s="2">
        <f>IF('Modell einstellen'!$B$1="Voll",H9/0.35,H9/0.35*2)</f>
        <v>4.4409871428571432E-4</v>
      </c>
      <c r="O9" s="2">
        <f>IF('Modell einstellen'!$B$1="Voll",J9/0.35,J9/0.35*2)</f>
        <v>-1.0065965428571429E-3</v>
      </c>
      <c r="P9" s="3">
        <f t="shared" si="1"/>
        <v>0.44118839612261734</v>
      </c>
    </row>
    <row r="10" spans="1:16" x14ac:dyDescent="0.25">
      <c r="A10" s="3">
        <v>1E-8</v>
      </c>
      <c r="B10" s="3">
        <v>3.2280000000000003E-5</v>
      </c>
      <c r="C10" s="3">
        <v>2.8689999999999998E-4</v>
      </c>
      <c r="D10" s="3">
        <v>-6.399E-4</v>
      </c>
      <c r="E10" s="3">
        <v>0</v>
      </c>
      <c r="F10" s="3">
        <v>0</v>
      </c>
      <c r="G10" s="3">
        <v>0</v>
      </c>
      <c r="H10" s="3">
        <v>1.6545302999999999E-4</v>
      </c>
      <c r="I10" s="3">
        <v>3.3004379999999997E-5</v>
      </c>
      <c r="J10" s="3">
        <v>-3.6750850999999997E-4</v>
      </c>
      <c r="L10" s="3">
        <f t="shared" si="0"/>
        <v>5.0445382090951715E-2</v>
      </c>
      <c r="M10" s="3"/>
      <c r="N10" s="2">
        <f>IF('Modell einstellen'!$B$1="Voll",H10/0.35,H10/0.35*2)</f>
        <v>4.7272294285714286E-4</v>
      </c>
      <c r="O10" s="2">
        <f>IF('Modell einstellen'!$B$1="Voll",J10/0.35,J10/0.35*2)</f>
        <v>-1.0500243142857143E-3</v>
      </c>
      <c r="P10" s="3">
        <f t="shared" si="1"/>
        <v>0.45020190144712569</v>
      </c>
    </row>
    <row r="11" spans="1:16" x14ac:dyDescent="0.25">
      <c r="A11" s="3">
        <v>9.9999999999999995E-8</v>
      </c>
      <c r="B11" s="3">
        <v>1.732E-5</v>
      </c>
      <c r="C11" s="3">
        <v>2.9569999999999998E-4</v>
      </c>
      <c r="D11" s="3">
        <v>-6.3690000000000003E-4</v>
      </c>
      <c r="E11" s="3">
        <v>0</v>
      </c>
      <c r="F11" s="3">
        <v>0</v>
      </c>
      <c r="G11" s="3">
        <v>0</v>
      </c>
      <c r="H11" s="3">
        <v>1.76229E-4</v>
      </c>
      <c r="I11" s="3">
        <v>3.4299867999999999E-5</v>
      </c>
      <c r="J11" s="3">
        <v>-3.8356472000000003E-4</v>
      </c>
      <c r="L11" s="3">
        <f t="shared" si="0"/>
        <v>2.7194222012874861E-2</v>
      </c>
      <c r="M11" s="3"/>
      <c r="N11" s="2">
        <f>IF('Modell einstellen'!$B$1="Voll",H11/0.35,H11/0.35*2)</f>
        <v>5.0351142857142856E-4</v>
      </c>
      <c r="O11" s="2">
        <f>IF('Modell einstellen'!$B$1="Voll",J11/0.35,J11/0.35*2)</f>
        <v>-1.0958992000000001E-3</v>
      </c>
      <c r="P11" s="3">
        <f t="shared" si="1"/>
        <v>0.45945049377846842</v>
      </c>
    </row>
    <row r="12" spans="1:16" x14ac:dyDescent="0.25">
      <c r="A12" s="3">
        <v>9.9999999999999995E-7</v>
      </c>
      <c r="B12" s="3">
        <v>-2.3949999999999999E-7</v>
      </c>
      <c r="C12" s="3">
        <v>3.0479999999999998E-4</v>
      </c>
      <c r="D12" s="3">
        <v>-6.3159999999999996E-4</v>
      </c>
      <c r="E12" s="3">
        <v>0</v>
      </c>
      <c r="F12" s="3">
        <v>0</v>
      </c>
      <c r="G12" s="3">
        <v>0</v>
      </c>
      <c r="H12" s="3">
        <v>1.8809841E-4</v>
      </c>
      <c r="I12" s="3">
        <v>3.5652151000000003E-5</v>
      </c>
      <c r="J12" s="3">
        <v>-4.0094391000000001E-4</v>
      </c>
      <c r="L12" s="3">
        <f t="shared" si="0"/>
        <v>-3.7919569347688413E-4</v>
      </c>
      <c r="M12" s="3"/>
      <c r="N12" s="2">
        <f>IF('Modell einstellen'!$B$1="Voll",H12/0.35,H12/0.35*2)</f>
        <v>5.3742402857142864E-4</v>
      </c>
      <c r="O12" s="2">
        <f>IF('Modell einstellen'!$B$1="Voll",J12/0.35,J12/0.35*2)</f>
        <v>-1.1455540285714287E-3</v>
      </c>
      <c r="P12" s="3">
        <f t="shared" si="1"/>
        <v>0.46913896260451993</v>
      </c>
    </row>
    <row r="13" spans="1:16" x14ac:dyDescent="0.25">
      <c r="A13" s="3">
        <v>1.0000000000000001E-5</v>
      </c>
      <c r="B13" s="3">
        <v>-2.1310000000000001E-5</v>
      </c>
      <c r="C13" s="3">
        <v>3.1409999999999999E-4</v>
      </c>
      <c r="D13" s="3">
        <v>-6.2330000000000003E-4</v>
      </c>
      <c r="E13" s="3">
        <v>0</v>
      </c>
      <c r="F13" s="3">
        <v>0</v>
      </c>
      <c r="G13" s="3">
        <v>0</v>
      </c>
      <c r="H13" s="3">
        <v>2.0149052000000001E-4</v>
      </c>
      <c r="I13" s="3">
        <v>3.7089258000000003E-5</v>
      </c>
      <c r="J13" s="3">
        <v>-4.2018946000000002E-4</v>
      </c>
      <c r="L13" s="3">
        <f t="shared" si="0"/>
        <v>-3.418899406385368E-2</v>
      </c>
      <c r="M13" s="3"/>
      <c r="N13" s="2">
        <f>IF('Modell einstellen'!$B$1="Voll",H13/0.35,H13/0.35*2)</f>
        <v>5.7568720000000003E-4</v>
      </c>
      <c r="O13" s="2">
        <f>IF('Modell einstellen'!$B$1="Voll",J13/0.35,J13/0.35*2)</f>
        <v>-1.2005413142857145E-3</v>
      </c>
      <c r="P13" s="3">
        <f t="shared" si="1"/>
        <v>0.47952302278119963</v>
      </c>
    </row>
    <row r="14" spans="1:16" x14ac:dyDescent="0.25">
      <c r="A14" s="3">
        <v>1E-4</v>
      </c>
      <c r="B14" s="3">
        <v>-4.9539999999999997E-5</v>
      </c>
      <c r="C14" s="3">
        <v>3.2499999999999999E-4</v>
      </c>
      <c r="D14" s="3">
        <v>-6.0979999999999997E-4</v>
      </c>
      <c r="E14" s="3">
        <v>0</v>
      </c>
      <c r="F14" s="3">
        <v>0</v>
      </c>
      <c r="G14" s="3">
        <v>0</v>
      </c>
      <c r="H14" s="3">
        <v>2.1843448E-4</v>
      </c>
      <c r="I14" s="3">
        <v>3.8793720000000002E-5</v>
      </c>
      <c r="J14" s="3">
        <v>-4.4407285999999998E-4</v>
      </c>
      <c r="L14" s="3">
        <f t="shared" si="0"/>
        <v>-8.123975073794687E-2</v>
      </c>
      <c r="M14" s="3"/>
      <c r="N14" s="2">
        <f>IF('Modell einstellen'!$B$1="Voll",H14/0.35,H14/0.35*2)</f>
        <v>6.2409851428571429E-4</v>
      </c>
      <c r="O14" s="2">
        <f>IF('Modell einstellen'!$B$1="Voll",J14/0.35,J14/0.35*2)</f>
        <v>-1.2687796E-3</v>
      </c>
      <c r="P14" s="3">
        <f t="shared" si="1"/>
        <v>0.49188883103551972</v>
      </c>
    </row>
    <row r="15" spans="1:16" x14ac:dyDescent="0.25">
      <c r="A15" s="3">
        <v>1E-3</v>
      </c>
      <c r="B15" s="3">
        <v>-8.8300000000000005E-5</v>
      </c>
      <c r="C15" s="3">
        <v>3.3750000000000002E-4</v>
      </c>
      <c r="D15" s="3">
        <v>-5.8810000000000004E-4</v>
      </c>
      <c r="E15" s="3">
        <v>0</v>
      </c>
      <c r="F15" s="3">
        <v>0</v>
      </c>
      <c r="G15" s="3">
        <v>0</v>
      </c>
      <c r="H15" s="3">
        <v>2.4030760999999999E-4</v>
      </c>
      <c r="I15" s="3">
        <v>4.0828523E-5</v>
      </c>
      <c r="J15" s="3">
        <v>-4.7421623000000002E-4</v>
      </c>
      <c r="L15" s="3">
        <f t="shared" si="0"/>
        <v>-0.15014453324264582</v>
      </c>
      <c r="M15" s="3"/>
      <c r="N15" s="2">
        <f>IF('Modell einstellen'!$B$1="Voll",H15/0.35,H15/0.35*2)</f>
        <v>6.8659317142857142E-4</v>
      </c>
      <c r="O15" s="2">
        <f>IF('Modell einstellen'!$B$1="Voll",J15/0.35,J15/0.35*2)</f>
        <v>-1.3549035142857145E-3</v>
      </c>
      <c r="P15" s="3">
        <f t="shared" si="1"/>
        <v>0.50674691163564767</v>
      </c>
    </row>
    <row r="16" spans="1:16" x14ac:dyDescent="0.25">
      <c r="A16" s="3">
        <v>0.01</v>
      </c>
      <c r="B16" s="3">
        <v>-1.427E-4</v>
      </c>
      <c r="C16" s="3">
        <v>3.5320000000000002E-4</v>
      </c>
      <c r="D16" s="3">
        <v>-5.5440000000000003E-4</v>
      </c>
      <c r="E16" s="3">
        <v>0</v>
      </c>
      <c r="F16" s="3">
        <v>0</v>
      </c>
      <c r="G16" s="3">
        <v>0</v>
      </c>
      <c r="H16" s="3">
        <v>2.6918846999999998E-4</v>
      </c>
      <c r="I16" s="3">
        <v>4.3429354999999998E-5</v>
      </c>
      <c r="J16" s="3">
        <v>-5.1352045999999995E-4</v>
      </c>
      <c r="L16" s="3">
        <f t="shared" si="0"/>
        <v>-0.2573953823953824</v>
      </c>
      <c r="M16" s="3"/>
      <c r="N16" s="2">
        <f>IF('Modell einstellen'!$B$1="Voll",H16/0.35,H16/0.35*2)</f>
        <v>7.6910991428571422E-4</v>
      </c>
      <c r="O16" s="2">
        <f>IF('Modell einstellen'!$B$1="Voll",J16/0.35,J16/0.35*2)</f>
        <v>-1.4672013142857142E-3</v>
      </c>
      <c r="P16" s="3">
        <f t="shared" si="1"/>
        <v>0.52420203471542304</v>
      </c>
    </row>
    <row r="17" spans="1:16" x14ac:dyDescent="0.25">
      <c r="A17" s="3">
        <v>0.1</v>
      </c>
      <c r="B17" s="3">
        <v>-2.2169999999999999E-4</v>
      </c>
      <c r="C17" s="3">
        <v>3.8299999999999999E-4</v>
      </c>
      <c r="D17" s="3">
        <v>-5.0949999999999997E-4</v>
      </c>
      <c r="E17" s="3">
        <v>0</v>
      </c>
      <c r="F17" s="3">
        <v>0</v>
      </c>
      <c r="G17" s="3">
        <v>0</v>
      </c>
      <c r="H17" s="3">
        <v>3.0793632E-4</v>
      </c>
      <c r="I17" s="3">
        <v>4.8153816999999999E-5</v>
      </c>
      <c r="J17" s="3">
        <v>-5.6998905000000004E-4</v>
      </c>
      <c r="L17" s="3">
        <f t="shared" si="0"/>
        <v>-0.43513248282630029</v>
      </c>
      <c r="M17" s="3"/>
      <c r="N17" s="2">
        <f>IF('Modell einstellen'!$B$1="Voll",H17/0.35,H17/0.35*2)</f>
        <v>8.7981805714285716E-4</v>
      </c>
      <c r="O17" s="2">
        <f>IF('Modell einstellen'!$B$1="Voll",J17/0.35,J17/0.35*2)</f>
        <v>-1.6285401428571432E-3</v>
      </c>
      <c r="P17" s="3">
        <f t="shared" si="1"/>
        <v>0.54024953637267237</v>
      </c>
    </row>
    <row r="18" spans="1:16" x14ac:dyDescent="0.25">
      <c r="A18" s="3">
        <v>1</v>
      </c>
      <c r="B18" s="3">
        <v>-3.4509999999999999E-4</v>
      </c>
      <c r="C18" s="3">
        <v>4.5839999999999998E-4</v>
      </c>
      <c r="D18" s="3">
        <v>-4.6270000000000003E-4</v>
      </c>
      <c r="E18" s="3">
        <v>0</v>
      </c>
      <c r="F18" s="3">
        <v>0</v>
      </c>
      <c r="G18" s="3">
        <v>0</v>
      </c>
      <c r="H18" s="3">
        <v>3.6106364E-4</v>
      </c>
      <c r="I18" s="3">
        <v>5.9566929E-5</v>
      </c>
      <c r="J18" s="3">
        <v>-6.6358048000000002E-4</v>
      </c>
      <c r="L18" s="3">
        <f t="shared" si="0"/>
        <v>-0.74583963691376698</v>
      </c>
      <c r="M18" s="3"/>
      <c r="N18" s="2">
        <f>IF('Modell einstellen'!$B$1="Voll",H18/0.35,H18/0.35*2)</f>
        <v>1.0316104E-3</v>
      </c>
      <c r="O18" s="2">
        <f>IF('Modell einstellen'!$B$1="Voll",J18/0.35,J18/0.35*2)</f>
        <v>-1.8959442285714288E-3</v>
      </c>
      <c r="P18" s="3">
        <f t="shared" si="1"/>
        <v>0.54411431752784523</v>
      </c>
    </row>
    <row r="19" spans="1:16" x14ac:dyDescent="0.25">
      <c r="A19" s="3">
        <v>10</v>
      </c>
      <c r="B19" s="3">
        <v>-5.6829999999999999E-4</v>
      </c>
      <c r="C19" s="3">
        <v>5.9290000000000005E-4</v>
      </c>
      <c r="D19" s="3">
        <v>-3.7389999999999998E-4</v>
      </c>
      <c r="E19" s="3">
        <v>0</v>
      </c>
      <c r="F19" s="3">
        <v>0</v>
      </c>
      <c r="G19" s="3">
        <v>0</v>
      </c>
      <c r="H19" s="3">
        <v>4.4424420000000001E-4</v>
      </c>
      <c r="I19" s="3">
        <v>8.0591481000000004E-5</v>
      </c>
      <c r="J19" s="3">
        <v>-8.2112997000000001E-4</v>
      </c>
      <c r="L19" s="3">
        <f t="shared" si="0"/>
        <v>-1.519925113666756</v>
      </c>
      <c r="M19" s="3"/>
      <c r="N19" s="2">
        <f>IF('Modell einstellen'!$B$1="Voll",H19/0.35,H19/0.35*2)</f>
        <v>1.269269142857143E-3</v>
      </c>
      <c r="O19" s="2">
        <f>IF('Modell einstellen'!$B$1="Voll",J19/0.35,J19/0.35*2)</f>
        <v>-2.3460856285714288E-3</v>
      </c>
      <c r="P19" s="3">
        <f t="shared" si="1"/>
        <v>0.54101569328909038</v>
      </c>
    </row>
    <row r="20" spans="1:16" x14ac:dyDescent="0.25">
      <c r="A20" s="3">
        <v>100</v>
      </c>
      <c r="B20" s="3">
        <v>-9.9820000000000009E-4</v>
      </c>
      <c r="C20" s="3">
        <v>7.9370000000000005E-4</v>
      </c>
      <c r="D20" s="3">
        <v>-1.47E-4</v>
      </c>
      <c r="E20" s="3">
        <v>0</v>
      </c>
      <c r="F20" s="3">
        <v>0</v>
      </c>
      <c r="G20" s="3">
        <v>0</v>
      </c>
      <c r="H20" s="3">
        <v>5.8840111E-4</v>
      </c>
      <c r="I20" s="3">
        <v>1.1424421E-4</v>
      </c>
      <c r="J20" s="3">
        <v>-1.0856239000000001E-3</v>
      </c>
      <c r="L20" s="3">
        <f t="shared" si="0"/>
        <v>-6.7904761904761912</v>
      </c>
      <c r="M20" s="3"/>
      <c r="N20" s="2">
        <f>IF('Modell einstellen'!$B$1="Voll",H20/0.35,H20/0.35*2)</f>
        <v>1.6811460285714288E-3</v>
      </c>
      <c r="O20" s="2">
        <f>IF('Modell einstellen'!$B$1="Voll",J20/0.35,J20/0.35*2)</f>
        <v>-3.101782571428572E-3</v>
      </c>
      <c r="P20" s="3">
        <f t="shared" si="1"/>
        <v>0.54199351174932675</v>
      </c>
    </row>
    <row r="21" spans="1:16" x14ac:dyDescent="0.25">
      <c r="A21" s="3">
        <v>1000</v>
      </c>
      <c r="B21" s="3">
        <v>-1.7880000000000001E-3</v>
      </c>
      <c r="C21" s="3">
        <v>1.09E-3</v>
      </c>
      <c r="D21" s="3">
        <v>3.4230000000000003E-4</v>
      </c>
      <c r="E21" s="3">
        <v>0</v>
      </c>
      <c r="F21" s="3">
        <v>0</v>
      </c>
      <c r="G21" s="3">
        <v>0</v>
      </c>
      <c r="H21" s="3">
        <v>8.3254507999999997E-4</v>
      </c>
      <c r="I21" s="3">
        <v>1.6750239E-4</v>
      </c>
      <c r="J21" s="3">
        <v>-1.5211718E-3</v>
      </c>
      <c r="L21" s="3">
        <f t="shared" si="0"/>
        <v>5.2234881682734446</v>
      </c>
      <c r="M21" s="3"/>
      <c r="N21" s="2">
        <f>IF('Modell einstellen'!$B$1="Voll",H21/0.35,H21/0.35*2)</f>
        <v>2.3787002285714288E-3</v>
      </c>
      <c r="O21" s="2">
        <f>IF('Modell einstellen'!$B$1="Voll",J21/0.35,J21/0.35*2)</f>
        <v>-4.3462051428571433E-3</v>
      </c>
      <c r="P21" s="3">
        <f t="shared" si="1"/>
        <v>0.54730509729407284</v>
      </c>
    </row>
    <row r="22" spans="1:16" x14ac:dyDescent="0.25">
      <c r="A22" s="3">
        <v>10000</v>
      </c>
      <c r="B22" s="3">
        <v>-3.0490000000000001E-3</v>
      </c>
      <c r="C22" s="3">
        <v>1.5120000000000001E-3</v>
      </c>
      <c r="D22" s="3">
        <v>1.178E-3</v>
      </c>
      <c r="E22" s="3">
        <v>0</v>
      </c>
      <c r="F22" s="3">
        <v>0</v>
      </c>
      <c r="G22" s="3">
        <v>0</v>
      </c>
      <c r="H22" s="3">
        <v>1.1980509000000001E-3</v>
      </c>
      <c r="I22" s="3">
        <v>2.4658031E-4</v>
      </c>
      <c r="J22" s="3">
        <v>-2.1705987E-3</v>
      </c>
      <c r="L22" s="3">
        <f t="shared" si="0"/>
        <v>2.5882852292020373</v>
      </c>
      <c r="M22" s="3"/>
      <c r="N22" s="2">
        <f>IF('Modell einstellen'!$B$1="Voll",H22/0.35,H22/0.35*2)</f>
        <v>3.4230025714285721E-3</v>
      </c>
      <c r="O22" s="2">
        <f>IF('Modell einstellen'!$B$1="Voll",J22/0.35,J22/0.35*2)</f>
        <v>-6.201710571428572E-3</v>
      </c>
      <c r="P22" s="3">
        <f t="shared" si="1"/>
        <v>0.55194490810300412</v>
      </c>
    </row>
    <row r="23" spans="1:16" x14ac:dyDescent="0.25">
      <c r="A23" s="3">
        <v>100000</v>
      </c>
      <c r="B23" s="3">
        <v>-4.5659999999999997E-3</v>
      </c>
      <c r="C23" s="3">
        <v>2.0209999999999998E-3</v>
      </c>
      <c r="D23" s="3">
        <v>2.1849999999999999E-3</v>
      </c>
      <c r="E23" s="3">
        <v>0</v>
      </c>
      <c r="F23" s="3">
        <v>0</v>
      </c>
      <c r="G23" s="3">
        <v>0</v>
      </c>
      <c r="H23" s="3">
        <v>1.6204476999999999E-3</v>
      </c>
      <c r="I23" s="3">
        <v>3.4435748999999999E-4</v>
      </c>
      <c r="J23" s="3">
        <v>-2.9425991000000002E-3</v>
      </c>
      <c r="L23" s="3">
        <f t="shared" si="0"/>
        <v>2.0897025171624715</v>
      </c>
      <c r="M23" s="3"/>
      <c r="N23" s="2">
        <f>IF('Modell einstellen'!$B$1="Voll",H23/0.35,H23/0.35*2)</f>
        <v>4.6298505714285716E-3</v>
      </c>
      <c r="O23" s="2">
        <f>IF('Modell einstellen'!$B$1="Voll",J23/0.35,J23/0.35*2)</f>
        <v>-8.4074260000000008E-3</v>
      </c>
      <c r="P23" s="3">
        <f t="shared" si="1"/>
        <v>0.55068585455626617</v>
      </c>
    </row>
    <row r="24" spans="1:16" x14ac:dyDescent="0.25">
      <c r="A24" s="3">
        <v>1000000</v>
      </c>
      <c r="B24" s="3">
        <v>-5.8529999999999997E-3</v>
      </c>
      <c r="C24" s="3">
        <v>2.4789999999999999E-3</v>
      </c>
      <c r="D24" s="3">
        <v>3.0140000000000002E-3</v>
      </c>
      <c r="E24" s="3">
        <v>0</v>
      </c>
      <c r="F24" s="3">
        <v>0</v>
      </c>
      <c r="G24" s="3">
        <v>0</v>
      </c>
      <c r="H24" s="3">
        <v>1.9667139E-3</v>
      </c>
      <c r="I24" s="3">
        <v>4.3308908000000001E-4</v>
      </c>
      <c r="J24" s="3">
        <v>-3.6046941999999999E-3</v>
      </c>
      <c r="L24" s="3">
        <f t="shared" si="0"/>
        <v>1.941937624419376</v>
      </c>
      <c r="M24" s="3"/>
      <c r="N24" s="2">
        <f>IF('Modell einstellen'!$B$1="Voll",H24/0.35,H24/0.35*2)</f>
        <v>5.6191825714285715E-3</v>
      </c>
      <c r="O24" s="2">
        <f>IF('Modell einstellen'!$B$1="Voll",J24/0.35,J24/0.35*2)</f>
        <v>-1.0299126285714286E-2</v>
      </c>
      <c r="P24" s="3">
        <f t="shared" si="1"/>
        <v>0.54559798720235408</v>
      </c>
    </row>
    <row r="25" spans="1:16" x14ac:dyDescent="0.25">
      <c r="A25" s="3">
        <v>10000000</v>
      </c>
      <c r="B25" s="3">
        <v>-6.698E-3</v>
      </c>
      <c r="C25" s="3">
        <v>2.8019999999999998E-3</v>
      </c>
      <c r="D25" s="3">
        <v>3.5370000000000002E-3</v>
      </c>
      <c r="E25" s="3">
        <v>0</v>
      </c>
      <c r="F25" s="3">
        <v>0</v>
      </c>
      <c r="G25" s="3">
        <v>0</v>
      </c>
      <c r="H25" s="3">
        <v>2.1862658E-3</v>
      </c>
      <c r="I25" s="3">
        <v>4.9624211000000003E-4</v>
      </c>
      <c r="J25" s="3">
        <v>-4.0483489000000001E-3</v>
      </c>
      <c r="L25" s="3">
        <f t="shared" si="0"/>
        <v>1.8936952219394967</v>
      </c>
      <c r="M25" s="3"/>
      <c r="N25" s="2">
        <f>IF('Modell einstellen'!$B$1="Voll",H25/0.35,H25/0.35*2)</f>
        <v>6.2464737142857146E-3</v>
      </c>
      <c r="O25" s="2">
        <f>IF('Modell einstellen'!$B$1="Voll",J25/0.35,J25/0.35*2)</f>
        <v>-1.1566711142857143E-2</v>
      </c>
      <c r="P25" s="3">
        <f t="shared" si="1"/>
        <v>0.54003887856602484</v>
      </c>
    </row>
    <row r="26" spans="1:16" x14ac:dyDescent="0.25">
      <c r="A26" s="3">
        <v>100000000</v>
      </c>
      <c r="B26" s="3">
        <v>-7.2269999999999999E-3</v>
      </c>
      <c r="C26" s="3">
        <v>3.0300000000000001E-3</v>
      </c>
      <c r="D26" s="3">
        <v>3.839E-3</v>
      </c>
      <c r="E26" s="3">
        <v>0</v>
      </c>
      <c r="F26" s="3">
        <v>0</v>
      </c>
      <c r="G26" s="3">
        <v>0</v>
      </c>
      <c r="H26" s="3">
        <v>2.3267410999999998E-3</v>
      </c>
      <c r="I26" s="3">
        <v>5.4075792999999997E-4</v>
      </c>
      <c r="J26" s="3">
        <v>-4.3465617999999999E-3</v>
      </c>
      <c r="L26" s="3">
        <f t="shared" si="0"/>
        <v>1.8825214899713467</v>
      </c>
      <c r="M26" s="3"/>
      <c r="N26" s="2">
        <f>IF('Modell einstellen'!$B$1="Voll",H26/0.35,H26/0.35*2)</f>
        <v>6.6478317142857138E-3</v>
      </c>
      <c r="O26" s="2">
        <f>IF('Modell einstellen'!$B$1="Voll",J26/0.35,J26/0.35*2)</f>
        <v>-1.2418748E-2</v>
      </c>
      <c r="P26" s="3">
        <f t="shared" si="1"/>
        <v>0.53530611252323612</v>
      </c>
    </row>
    <row r="27" spans="1:16" x14ac:dyDescent="0.25">
      <c r="A27" s="3">
        <v>1000000000</v>
      </c>
      <c r="B27" s="3">
        <v>-7.6080000000000002E-3</v>
      </c>
      <c r="C27" s="3">
        <v>3.186E-3</v>
      </c>
      <c r="D27" s="3">
        <v>4.0639999999999999E-3</v>
      </c>
      <c r="E27" s="3">
        <v>0</v>
      </c>
      <c r="F27" s="3">
        <v>0</v>
      </c>
      <c r="G27" s="3">
        <v>0</v>
      </c>
      <c r="H27" s="3">
        <v>2.4280933999999998E-3</v>
      </c>
      <c r="I27" s="3">
        <v>5.7156882999999999E-4</v>
      </c>
      <c r="J27" s="3">
        <v>-4.5568596999999997E-3</v>
      </c>
      <c r="L27" s="3">
        <f t="shared" si="0"/>
        <v>1.8720472440944882</v>
      </c>
      <c r="M27" s="3"/>
      <c r="N27" s="2">
        <f>IF('Modell einstellen'!$B$1="Voll",H27/0.35,H27/0.35*2)</f>
        <v>6.9374097142857142E-3</v>
      </c>
      <c r="O27" s="2">
        <f>IF('Modell einstellen'!$B$1="Voll",J27/0.35,J27/0.35*2)</f>
        <v>-1.3019599142857143E-2</v>
      </c>
      <c r="P27" s="3">
        <f t="shared" si="1"/>
        <v>0.53284357207662114</v>
      </c>
    </row>
    <row r="28" spans="1:16" x14ac:dyDescent="0.25">
      <c r="A28" s="3">
        <v>10000000000</v>
      </c>
      <c r="B28" s="3">
        <v>-7.7929999999999996E-3</v>
      </c>
      <c r="C28" s="3">
        <v>3.2490000000000002E-3</v>
      </c>
      <c r="D28" s="3">
        <v>4.1859999999999996E-3</v>
      </c>
      <c r="E28" s="3">
        <v>0</v>
      </c>
      <c r="F28" s="3">
        <v>0</v>
      </c>
      <c r="G28" s="3">
        <v>0</v>
      </c>
      <c r="H28" s="3">
        <v>2.4800806000000002E-3</v>
      </c>
      <c r="I28" s="3">
        <v>5.8418499999999998E-4</v>
      </c>
      <c r="J28" s="3">
        <v>-4.6532771000000004E-3</v>
      </c>
      <c r="L28" s="3">
        <f t="shared" si="0"/>
        <v>1.8616817964644052</v>
      </c>
      <c r="M28" s="3"/>
      <c r="N28" s="2">
        <f>IF('Modell einstellen'!$B$1="Voll",H28/0.35,H28/0.35*2)</f>
        <v>7.0859445714285723E-3</v>
      </c>
      <c r="O28" s="2">
        <f>IF('Modell einstellen'!$B$1="Voll",J28/0.35,J28/0.35*2)</f>
        <v>-1.3295077428571431E-2</v>
      </c>
      <c r="P28" s="3">
        <f t="shared" si="1"/>
        <v>0.53297505106669874</v>
      </c>
    </row>
    <row r="29" spans="1:16" x14ac:dyDescent="0.25">
      <c r="A29" s="3">
        <v>100000000000</v>
      </c>
      <c r="B29" s="3">
        <v>-8.1810000000000008E-3</v>
      </c>
      <c r="C29" s="3">
        <v>3.4139999999999999E-3</v>
      </c>
      <c r="D29" s="3">
        <v>4.4099999999999999E-3</v>
      </c>
      <c r="E29" s="3">
        <v>0</v>
      </c>
      <c r="F29" s="3">
        <v>0</v>
      </c>
      <c r="G29" s="3">
        <v>0</v>
      </c>
      <c r="H29" s="3">
        <v>2.5941059000000001E-3</v>
      </c>
      <c r="I29" s="3">
        <v>6.1679126000000004E-4</v>
      </c>
      <c r="J29" s="3">
        <v>-4.8822923000000004E-3</v>
      </c>
      <c r="L29" s="3">
        <f t="shared" si="0"/>
        <v>1.8551020408163268</v>
      </c>
      <c r="M29" s="3"/>
      <c r="N29" s="2">
        <f>IF('Modell einstellen'!$B$1="Voll",H29/0.35,H29/0.35*2)</f>
        <v>7.4117311428571432E-3</v>
      </c>
      <c r="O29" s="2">
        <f>IF('Modell einstellen'!$B$1="Voll",J29/0.35,J29/0.35*2)</f>
        <v>-1.3949406571428574E-2</v>
      </c>
      <c r="P29" s="3">
        <f t="shared" si="1"/>
        <v>0.53132949454910749</v>
      </c>
    </row>
    <row r="30" spans="1:16" x14ac:dyDescent="0.25">
      <c r="A30" s="3">
        <v>1000000000000</v>
      </c>
      <c r="B30" s="3">
        <v>-8.4939999999999998E-3</v>
      </c>
      <c r="C30" s="3">
        <v>3.5249999999999999E-3</v>
      </c>
      <c r="D30" s="3">
        <v>4.6119999999999998E-3</v>
      </c>
      <c r="E30" s="3">
        <v>0</v>
      </c>
      <c r="F30" s="3">
        <v>0</v>
      </c>
      <c r="G30" s="3">
        <v>0</v>
      </c>
      <c r="H30" s="3">
        <v>2.6851302000000001E-3</v>
      </c>
      <c r="I30" s="3">
        <v>6.3918161000000001E-4</v>
      </c>
      <c r="J30" s="3">
        <v>-5.0519794999999996E-3</v>
      </c>
      <c r="L30" s="3">
        <f t="shared" si="0"/>
        <v>1.8417172593235041</v>
      </c>
      <c r="M30" s="3"/>
      <c r="N30" s="2">
        <f>IF('Modell einstellen'!$B$1="Voll",H30/0.35,H30/0.35*2)</f>
        <v>7.6718005714285723E-3</v>
      </c>
      <c r="O30" s="2">
        <f>IF('Modell einstellen'!$B$1="Voll",J30/0.35,J30/0.35*2)</f>
        <v>-1.4434227142857142E-2</v>
      </c>
      <c r="P30" s="3">
        <f t="shared" si="1"/>
        <v>0.53150061277960459</v>
      </c>
    </row>
    <row r="31" spans="1:16" x14ac:dyDescent="0.25">
      <c r="A31" s="3">
        <v>10000000000000</v>
      </c>
      <c r="B31" s="3">
        <v>-8.5339999999999999E-3</v>
      </c>
      <c r="C31" s="3">
        <v>3.5300000000000002E-3</v>
      </c>
      <c r="D31" s="3">
        <v>4.646E-3</v>
      </c>
      <c r="E31" s="3">
        <v>0</v>
      </c>
      <c r="F31" s="3">
        <v>0</v>
      </c>
      <c r="G31" s="3">
        <v>0</v>
      </c>
      <c r="H31" s="3">
        <v>2.699636E-3</v>
      </c>
      <c r="I31" s="3">
        <v>6.4019725999999995E-4</v>
      </c>
      <c r="J31" s="3">
        <v>-5.0699122000000003E-3</v>
      </c>
      <c r="L31" s="3">
        <f t="shared" si="0"/>
        <v>1.8368489022815324</v>
      </c>
      <c r="M31" s="3"/>
      <c r="N31" s="2">
        <f>IF('Modell einstellen'!$B$1="Voll",H31/0.35,H31/0.35*2)</f>
        <v>7.7132457142857153E-3</v>
      </c>
      <c r="O31" s="2">
        <f>IF('Modell einstellen'!$B$1="Voll",J31/0.35,J31/0.35*2)</f>
        <v>-1.4485463428571431E-2</v>
      </c>
      <c r="P31" s="3">
        <f t="shared" si="1"/>
        <v>0.53248180510897214</v>
      </c>
    </row>
    <row r="32" spans="1:16" x14ac:dyDescent="0.25">
      <c r="A32" s="3">
        <v>100000000000000</v>
      </c>
      <c r="B32" s="3">
        <v>-8.5380000000000005E-3</v>
      </c>
      <c r="C32" s="3">
        <v>3.5330000000000001E-3</v>
      </c>
      <c r="D32" s="3">
        <v>4.6480000000000002E-3</v>
      </c>
      <c r="E32" s="3">
        <v>0</v>
      </c>
      <c r="F32" s="3">
        <v>0</v>
      </c>
      <c r="G32" s="3">
        <v>0</v>
      </c>
      <c r="H32" s="3">
        <v>2.700376E-3</v>
      </c>
      <c r="I32" s="3">
        <v>6.4076960999999997E-4</v>
      </c>
      <c r="J32" s="3">
        <v>-5.0726842999999997E-3</v>
      </c>
      <c r="L32" s="3">
        <f t="shared" si="0"/>
        <v>1.8369191049913942</v>
      </c>
      <c r="M32" s="3"/>
      <c r="N32" s="2">
        <f>IF('Modell einstellen'!$B$1="Voll",H32/0.35,H32/0.35*2)</f>
        <v>7.7153600000000001E-3</v>
      </c>
      <c r="O32" s="2">
        <f>IF('Modell einstellen'!$B$1="Voll",J32/0.35,J32/0.35*2)</f>
        <v>-1.4493383714285714E-2</v>
      </c>
      <c r="P32" s="3">
        <f t="shared" si="1"/>
        <v>0.5323366959777095</v>
      </c>
    </row>
    <row r="33" spans="1:16" x14ac:dyDescent="0.25">
      <c r="A33" s="3">
        <v>1000000000000000</v>
      </c>
      <c r="B33" s="3">
        <v>-8.5419999999999992E-3</v>
      </c>
      <c r="C33" s="3">
        <v>3.5339999999999998E-3</v>
      </c>
      <c r="D33" s="3">
        <v>4.6499999999999996E-3</v>
      </c>
      <c r="E33" s="3">
        <v>0</v>
      </c>
      <c r="F33" s="3">
        <v>0</v>
      </c>
      <c r="G33" s="3">
        <v>0</v>
      </c>
      <c r="H33" s="3">
        <v>2.7015829E-3</v>
      </c>
      <c r="I33" s="3">
        <v>6.4103567999999997E-4</v>
      </c>
      <c r="J33" s="3">
        <v>-5.0748275999999998E-3</v>
      </c>
      <c r="L33" s="3">
        <f t="shared" si="0"/>
        <v>1.8369892473118279</v>
      </c>
      <c r="M33" s="3"/>
      <c r="N33" s="2">
        <f>IF('Modell einstellen'!$B$1="Voll",H33/0.35,H33/0.35*2)</f>
        <v>7.7188082857142862E-3</v>
      </c>
      <c r="O33" s="2">
        <f>IF('Modell einstellen'!$B$1="Voll",J33/0.35,J33/0.35*2)</f>
        <v>-1.4499507428571428E-2</v>
      </c>
      <c r="P33" s="3">
        <f t="shared" si="1"/>
        <v>0.53234969006631871</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4.6369999999999998E-5</v>
      </c>
      <c r="C3" s="3">
        <v>2.7999999999999998E-4</v>
      </c>
      <c r="D3" s="3">
        <v>-6.4320000000000002E-4</v>
      </c>
      <c r="E3" s="3">
        <v>0</v>
      </c>
      <c r="F3" s="3">
        <v>0</v>
      </c>
      <c r="G3" s="3">
        <v>0</v>
      </c>
      <c r="H3" s="3">
        <v>1.5497827000000001E-4</v>
      </c>
      <c r="I3" s="3">
        <v>3.1996623000000001E-5</v>
      </c>
      <c r="J3" s="3">
        <v>-3.5252025000000002E-4</v>
      </c>
      <c r="L3" s="3">
        <f>-B3/D3</f>
        <v>7.2092661691542284E-2</v>
      </c>
      <c r="M3" s="3"/>
      <c r="N3" s="2">
        <f>IF('Modell einstellen'!$B$1="Voll",H3/0.35,H3/0.35*2)</f>
        <v>4.4279505714285718E-4</v>
      </c>
      <c r="O3" s="2">
        <f>IF('Modell einstellen'!$B$1="Voll",J3/0.35,J3/0.35*2)</f>
        <v>-1.0072007142857143E-3</v>
      </c>
      <c r="P3" s="3">
        <f>-N3/O3</f>
        <v>0.43962941136005662</v>
      </c>
    </row>
    <row r="4" spans="1:16" x14ac:dyDescent="0.25">
      <c r="A4" s="3">
        <v>1E-14</v>
      </c>
      <c r="B4" s="3">
        <v>2.972E-5</v>
      </c>
      <c r="C4" s="3">
        <v>2.9189999999999999E-4</v>
      </c>
      <c r="D4" s="3">
        <v>-6.4249999999999995E-4</v>
      </c>
      <c r="E4" s="3">
        <v>0</v>
      </c>
      <c r="F4" s="3">
        <v>0</v>
      </c>
      <c r="G4" s="3">
        <v>0</v>
      </c>
      <c r="H4" s="3">
        <v>1.6790775999999999E-4</v>
      </c>
      <c r="I4" s="3">
        <v>3.3677051999999999E-5</v>
      </c>
      <c r="J4" s="3">
        <v>-3.7228366000000002E-4</v>
      </c>
      <c r="L4" s="3">
        <f t="shared" ref="L4:L33" si="0">-B4/D4</f>
        <v>4.6256809338521401E-2</v>
      </c>
      <c r="M4" s="3"/>
      <c r="N4" s="2">
        <f>IF('Modell einstellen'!$B$1="Voll",H4/0.35,H4/0.35*2)</f>
        <v>4.7973645714285713E-4</v>
      </c>
      <c r="O4" s="2">
        <f>IF('Modell einstellen'!$B$1="Voll",J4/0.35,J4/0.35*2)</f>
        <v>-1.0636676000000001E-3</v>
      </c>
      <c r="P4" s="3">
        <f t="shared" ref="P4:P33" si="1">-N4/O4</f>
        <v>0.45102103057652321</v>
      </c>
    </row>
    <row r="5" spans="1:16" x14ac:dyDescent="0.25">
      <c r="A5" s="3">
        <v>1E-13</v>
      </c>
      <c r="B5" s="3">
        <v>1.398E-5</v>
      </c>
      <c r="C5" s="3">
        <v>3.011E-4</v>
      </c>
      <c r="D5" s="3">
        <v>-6.3920000000000003E-4</v>
      </c>
      <c r="E5" s="3">
        <v>0</v>
      </c>
      <c r="F5" s="3">
        <v>0</v>
      </c>
      <c r="G5" s="3">
        <v>0</v>
      </c>
      <c r="H5" s="3">
        <v>1.7898491999999999E-4</v>
      </c>
      <c r="I5" s="3">
        <v>3.5024266999999999E-5</v>
      </c>
      <c r="J5" s="3">
        <v>-3.8883390999999999E-4</v>
      </c>
      <c r="L5" s="3">
        <f t="shared" si="0"/>
        <v>2.1871088861076346E-2</v>
      </c>
      <c r="M5" s="3"/>
      <c r="N5" s="2">
        <f>IF('Modell einstellen'!$B$1="Voll",H5/0.35,H5/0.35*2)</f>
        <v>5.1138548571428568E-4</v>
      </c>
      <c r="O5" s="2">
        <f>IF('Modell einstellen'!$B$1="Voll",J5/0.35,J5/0.35*2)</f>
        <v>-1.1109540285714286E-3</v>
      </c>
      <c r="P5" s="3">
        <f t="shared" si="1"/>
        <v>0.46031201342496075</v>
      </c>
    </row>
    <row r="6" spans="1:16" x14ac:dyDescent="0.25">
      <c r="A6" s="3">
        <v>9.9999999999999998E-13</v>
      </c>
      <c r="B6" s="3">
        <v>-4.685E-6</v>
      </c>
      <c r="C6" s="3">
        <v>3.1070000000000002E-4</v>
      </c>
      <c r="D6" s="3">
        <v>-6.334E-4</v>
      </c>
      <c r="E6" s="3">
        <v>0</v>
      </c>
      <c r="F6" s="3">
        <v>0</v>
      </c>
      <c r="G6" s="3">
        <v>0</v>
      </c>
      <c r="H6" s="3">
        <v>1.9132201E-4</v>
      </c>
      <c r="I6" s="3">
        <v>3.6446158999999998E-5</v>
      </c>
      <c r="J6" s="3">
        <v>-4.0694252999999998E-4</v>
      </c>
      <c r="L6" s="3">
        <f t="shared" si="0"/>
        <v>-7.3965898326491947E-3</v>
      </c>
      <c r="M6" s="3"/>
      <c r="N6" s="2">
        <f>IF('Modell einstellen'!$B$1="Voll",H6/0.35,H6/0.35*2)</f>
        <v>5.4663431428571426E-4</v>
      </c>
      <c r="O6" s="2">
        <f>IF('Modell einstellen'!$B$1="Voll",J6/0.35,J6/0.35*2)</f>
        <v>-1.1626929428571429E-3</v>
      </c>
      <c r="P6" s="3">
        <f t="shared" si="1"/>
        <v>0.47014503497582316</v>
      </c>
    </row>
    <row r="7" spans="1:16" x14ac:dyDescent="0.25">
      <c r="A7" s="3">
        <v>9.9999999999999994E-12</v>
      </c>
      <c r="B7" s="3">
        <v>-2.6959999999999999E-5</v>
      </c>
      <c r="C7" s="3">
        <v>3.2049999999999998E-4</v>
      </c>
      <c r="D7" s="3">
        <v>-6.2430000000000005E-4</v>
      </c>
      <c r="E7" s="3">
        <v>0</v>
      </c>
      <c r="F7" s="3">
        <v>0</v>
      </c>
      <c r="G7" s="3">
        <v>0</v>
      </c>
      <c r="H7" s="3">
        <v>2.0517781000000001E-4</v>
      </c>
      <c r="I7" s="3">
        <v>3.7948609000000003E-5</v>
      </c>
      <c r="J7" s="3">
        <v>-4.2689291E-4</v>
      </c>
      <c r="L7" s="3">
        <f t="shared" si="0"/>
        <v>-4.318436649046932E-2</v>
      </c>
      <c r="M7" s="3"/>
      <c r="N7" s="2">
        <f>IF('Modell einstellen'!$B$1="Voll",H7/0.35,H7/0.35*2)</f>
        <v>5.8622231428571438E-4</v>
      </c>
      <c r="O7" s="2">
        <f>IF('Modell einstellen'!$B$1="Voll",J7/0.35,J7/0.35*2)</f>
        <v>-1.2196940285714285E-3</v>
      </c>
      <c r="P7" s="3">
        <f t="shared" si="1"/>
        <v>0.48063063403887413</v>
      </c>
    </row>
    <row r="8" spans="1:16" x14ac:dyDescent="0.25">
      <c r="A8" s="3">
        <v>1E-10</v>
      </c>
      <c r="B8" s="3">
        <v>-5.8140000000000002E-5</v>
      </c>
      <c r="C8" s="3">
        <v>3.323E-4</v>
      </c>
      <c r="D8" s="3">
        <v>-6.0899999999999995E-4</v>
      </c>
      <c r="E8" s="3">
        <v>0</v>
      </c>
      <c r="F8" s="3">
        <v>0</v>
      </c>
      <c r="G8" s="3">
        <v>0</v>
      </c>
      <c r="H8" s="3">
        <v>2.2349602999999999E-4</v>
      </c>
      <c r="I8" s="3">
        <v>3.9804337000000002E-5</v>
      </c>
      <c r="J8" s="3">
        <v>-4.5273536999999999E-4</v>
      </c>
      <c r="L8" s="3">
        <f t="shared" si="0"/>
        <v>-9.546798029556651E-2</v>
      </c>
      <c r="M8" s="3"/>
      <c r="N8" s="2">
        <f>IF('Modell einstellen'!$B$1="Voll",H8/0.35,H8/0.35*2)</f>
        <v>6.3856008571428575E-4</v>
      </c>
      <c r="O8" s="2">
        <f>IF('Modell einstellen'!$B$1="Voll",J8/0.35,J8/0.35*2)</f>
        <v>-1.2935296285714287E-3</v>
      </c>
      <c r="P8" s="3">
        <f t="shared" si="1"/>
        <v>0.49365710039398952</v>
      </c>
    </row>
    <row r="9" spans="1:16" x14ac:dyDescent="0.25">
      <c r="A9" s="3">
        <v>1.0000000000000001E-9</v>
      </c>
      <c r="B9" s="3">
        <v>-1.002E-4</v>
      </c>
      <c r="C9" s="3">
        <v>3.455E-4</v>
      </c>
      <c r="D9" s="3">
        <v>-5.8469999999999996E-4</v>
      </c>
      <c r="E9" s="3">
        <v>0</v>
      </c>
      <c r="F9" s="3">
        <v>0</v>
      </c>
      <c r="G9" s="3">
        <v>0</v>
      </c>
      <c r="H9" s="3">
        <v>2.4674483000000001E-4</v>
      </c>
      <c r="I9" s="3">
        <v>4.1959261999999999E-5</v>
      </c>
      <c r="J9" s="3">
        <v>-4.8471712000000002E-4</v>
      </c>
      <c r="L9" s="3">
        <f t="shared" si="0"/>
        <v>-0.17136993329912775</v>
      </c>
      <c r="M9" s="3"/>
      <c r="N9" s="2">
        <f>IF('Modell einstellen'!$B$1="Voll",H9/0.35,H9/0.35*2)</f>
        <v>7.049852285714287E-4</v>
      </c>
      <c r="O9" s="2">
        <f>IF('Modell einstellen'!$B$1="Voll",J9/0.35,J9/0.35*2)</f>
        <v>-1.3849060571428573E-3</v>
      </c>
      <c r="P9" s="3">
        <f t="shared" si="1"/>
        <v>0.50904913364727045</v>
      </c>
    </row>
    <row r="10" spans="1:16" x14ac:dyDescent="0.25">
      <c r="A10" s="3">
        <v>1E-8</v>
      </c>
      <c r="B10" s="3">
        <v>-1.6100000000000001E-4</v>
      </c>
      <c r="C10" s="3">
        <v>3.6089999999999999E-4</v>
      </c>
      <c r="D10" s="3">
        <v>-5.4489999999999996E-4</v>
      </c>
      <c r="E10" s="3">
        <v>0</v>
      </c>
      <c r="F10" s="3">
        <v>0</v>
      </c>
      <c r="G10" s="3">
        <v>0</v>
      </c>
      <c r="H10" s="3">
        <v>2.7838146999999998E-4</v>
      </c>
      <c r="I10" s="3">
        <v>4.4597052000000002E-5</v>
      </c>
      <c r="J10" s="3">
        <v>-5.2703747000000002E-4</v>
      </c>
      <c r="L10" s="3">
        <f t="shared" si="0"/>
        <v>-0.29546705817581209</v>
      </c>
      <c r="M10" s="3"/>
      <c r="N10" s="2">
        <f>IF('Modell einstellen'!$B$1="Voll",H10/0.35,H10/0.35*2)</f>
        <v>7.953756285714286E-4</v>
      </c>
      <c r="O10" s="2">
        <f>IF('Modell einstellen'!$B$1="Voll",J10/0.35,J10/0.35*2)</f>
        <v>-1.5058213428571429E-3</v>
      </c>
      <c r="P10" s="3">
        <f t="shared" si="1"/>
        <v>0.52820052813322738</v>
      </c>
    </row>
    <row r="11" spans="1:16" x14ac:dyDescent="0.25">
      <c r="A11" s="3">
        <v>9.9999999999999995E-8</v>
      </c>
      <c r="B11" s="3">
        <v>-2.52E-4</v>
      </c>
      <c r="C11" s="3">
        <v>3.7889999999999999E-4</v>
      </c>
      <c r="D11" s="3">
        <v>-4.7839999999999997E-4</v>
      </c>
      <c r="E11" s="3">
        <v>0</v>
      </c>
      <c r="F11" s="3">
        <v>0</v>
      </c>
      <c r="G11" s="3">
        <v>0</v>
      </c>
      <c r="H11" s="3">
        <v>3.2296163E-4</v>
      </c>
      <c r="I11" s="3">
        <v>4.7837825E-5</v>
      </c>
      <c r="J11" s="3">
        <v>-5.8473148000000004E-4</v>
      </c>
      <c r="L11" s="3">
        <f t="shared" si="0"/>
        <v>-0.52675585284280935</v>
      </c>
      <c r="M11" s="3"/>
      <c r="N11" s="2">
        <f>IF('Modell einstellen'!$B$1="Voll",H11/0.35,H11/0.35*2)</f>
        <v>9.227475142857144E-4</v>
      </c>
      <c r="O11" s="2">
        <f>IF('Modell einstellen'!$B$1="Voll",J11/0.35,J11/0.35*2)</f>
        <v>-1.6706613714285716E-3</v>
      </c>
      <c r="P11" s="3">
        <f t="shared" si="1"/>
        <v>0.55232468414390823</v>
      </c>
    </row>
    <row r="12" spans="1:16" x14ac:dyDescent="0.25">
      <c r="A12" s="3">
        <v>9.9999999999999995E-7</v>
      </c>
      <c r="B12" s="3">
        <v>-4.0289999999999998E-4</v>
      </c>
      <c r="C12" s="3">
        <v>4.0099999999999999E-4</v>
      </c>
      <c r="D12" s="3">
        <v>-3.5740000000000001E-4</v>
      </c>
      <c r="E12" s="3">
        <v>0</v>
      </c>
      <c r="F12" s="3">
        <v>0</v>
      </c>
      <c r="G12" s="3">
        <v>0</v>
      </c>
      <c r="H12" s="3">
        <v>3.9288067E-4</v>
      </c>
      <c r="I12" s="3">
        <v>5.2081976000000001E-5</v>
      </c>
      <c r="J12" s="3">
        <v>-6.7179242E-4</v>
      </c>
      <c r="L12" s="3">
        <f t="shared" si="0"/>
        <v>-1.1273083379966424</v>
      </c>
      <c r="M12" s="3"/>
      <c r="N12" s="2">
        <f>IF('Modell einstellen'!$B$1="Voll",H12/0.35,H12/0.35*2)</f>
        <v>1.1225162000000001E-3</v>
      </c>
      <c r="O12" s="2">
        <f>IF('Modell einstellen'!$B$1="Voll",J12/0.35,J12/0.35*2)</f>
        <v>-1.9194069142857144E-3</v>
      </c>
      <c r="P12" s="3">
        <f t="shared" si="1"/>
        <v>0.58482450576027634</v>
      </c>
    </row>
    <row r="13" spans="1:16" x14ac:dyDescent="0.25">
      <c r="A13" s="3">
        <v>1.0000000000000001E-5</v>
      </c>
      <c r="B13" s="3">
        <v>-6.7520000000000004E-4</v>
      </c>
      <c r="C13" s="3">
        <v>4.2739999999999998E-4</v>
      </c>
      <c r="D13" s="3">
        <v>-1.2129999999999999E-4</v>
      </c>
      <c r="E13" s="3">
        <v>0</v>
      </c>
      <c r="F13" s="3">
        <v>0</v>
      </c>
      <c r="G13" s="3">
        <v>0</v>
      </c>
      <c r="H13" s="3">
        <v>5.1233287999999995E-4</v>
      </c>
      <c r="I13" s="3">
        <v>5.7682383000000002E-5</v>
      </c>
      <c r="J13" s="3">
        <v>-8.1375513999999997E-4</v>
      </c>
      <c r="L13" s="3">
        <f t="shared" si="0"/>
        <v>-5.5663643858202807</v>
      </c>
      <c r="M13" s="3"/>
      <c r="N13" s="2">
        <f>IF('Modell einstellen'!$B$1="Voll",H13/0.35,H13/0.35*2)</f>
        <v>1.4638082285714285E-3</v>
      </c>
      <c r="O13" s="2">
        <f>IF('Modell einstellen'!$B$1="Voll",J13/0.35,J13/0.35*2)</f>
        <v>-2.3250146857142859E-3</v>
      </c>
      <c r="P13" s="3">
        <f t="shared" si="1"/>
        <v>0.62959096024880401</v>
      </c>
    </row>
    <row r="14" spans="1:16" x14ac:dyDescent="0.25">
      <c r="A14" s="3">
        <v>1E-4</v>
      </c>
      <c r="B14" s="3">
        <v>-1.183E-3</v>
      </c>
      <c r="C14" s="3">
        <v>4.5689999999999999E-4</v>
      </c>
      <c r="D14" s="3">
        <v>3.4640000000000002E-4</v>
      </c>
      <c r="E14" s="3">
        <v>0</v>
      </c>
      <c r="F14" s="3">
        <v>0</v>
      </c>
      <c r="G14" s="3">
        <v>0</v>
      </c>
      <c r="H14" s="3">
        <v>7.2510173000000003E-4</v>
      </c>
      <c r="I14" s="3">
        <v>6.4640133999999998E-5</v>
      </c>
      <c r="J14" s="3">
        <v>-1.0540489E-3</v>
      </c>
      <c r="L14" s="3">
        <f t="shared" si="0"/>
        <v>3.4151270207852193</v>
      </c>
      <c r="M14" s="3"/>
      <c r="N14" s="2">
        <f>IF('Modell einstellen'!$B$1="Voll",H14/0.35,H14/0.35*2)</f>
        <v>2.0717192285714288E-3</v>
      </c>
      <c r="O14" s="2">
        <f>IF('Modell einstellen'!$B$1="Voll",J14/0.35,J14/0.35*2)</f>
        <v>-3.0115682857142861E-3</v>
      </c>
      <c r="P14" s="3">
        <f t="shared" si="1"/>
        <v>0.6879203896517514</v>
      </c>
    </row>
    <row r="15" spans="1:16" x14ac:dyDescent="0.25">
      <c r="A15" s="3">
        <v>1E-3</v>
      </c>
      <c r="B15" s="3">
        <v>-2.0630000000000002E-3</v>
      </c>
      <c r="C15" s="3">
        <v>4.9560000000000001E-4</v>
      </c>
      <c r="D15" s="3">
        <v>1.1800000000000001E-3</v>
      </c>
      <c r="E15" s="3">
        <v>0</v>
      </c>
      <c r="F15" s="3">
        <v>0</v>
      </c>
      <c r="G15" s="3">
        <v>0</v>
      </c>
      <c r="H15" s="3">
        <v>1.0803163000000001E-3</v>
      </c>
      <c r="I15" s="3">
        <v>7.3577618999999997E-5</v>
      </c>
      <c r="J15" s="3">
        <v>-1.4425296999999999E-3</v>
      </c>
      <c r="L15" s="3">
        <f t="shared" si="0"/>
        <v>1.7483050847457628</v>
      </c>
      <c r="M15" s="3"/>
      <c r="N15" s="2">
        <f>IF('Modell einstellen'!$B$1="Voll",H15/0.35,H15/0.35*2)</f>
        <v>3.0866180000000006E-3</v>
      </c>
      <c r="O15" s="2">
        <f>IF('Modell einstellen'!$B$1="Voll",J15/0.35,J15/0.35*2)</f>
        <v>-4.1215134285714286E-3</v>
      </c>
      <c r="P15" s="3">
        <f t="shared" si="1"/>
        <v>0.74890402603149187</v>
      </c>
    </row>
    <row r="16" spans="1:16" x14ac:dyDescent="0.25">
      <c r="A16" s="3">
        <v>0.01</v>
      </c>
      <c r="B16" s="3">
        <v>-3.3860000000000001E-3</v>
      </c>
      <c r="C16" s="3">
        <v>6.1589999999999995E-4</v>
      </c>
      <c r="D16" s="3">
        <v>2.379E-3</v>
      </c>
      <c r="E16" s="3">
        <v>0</v>
      </c>
      <c r="F16" s="3">
        <v>0</v>
      </c>
      <c r="G16" s="3">
        <v>0</v>
      </c>
      <c r="H16" s="3">
        <v>1.5808338000000001E-3</v>
      </c>
      <c r="I16" s="3">
        <v>9.5828895000000006E-5</v>
      </c>
      <c r="J16" s="3">
        <v>-2.0204339000000002E-3</v>
      </c>
      <c r="L16" s="3">
        <f t="shared" si="0"/>
        <v>1.4232870954182431</v>
      </c>
      <c r="M16" s="3"/>
      <c r="N16" s="2">
        <f>IF('Modell einstellen'!$B$1="Voll",H16/0.35,H16/0.35*2)</f>
        <v>4.5166680000000006E-3</v>
      </c>
      <c r="O16" s="2">
        <f>IF('Modell einstellen'!$B$1="Voll",J16/0.35,J16/0.35*2)</f>
        <v>-5.7726682857142863E-3</v>
      </c>
      <c r="P16" s="3">
        <f t="shared" si="1"/>
        <v>0.78242292410555969</v>
      </c>
    </row>
    <row r="17" spans="1:16" x14ac:dyDescent="0.25">
      <c r="A17" s="3">
        <v>0.1</v>
      </c>
      <c r="B17" s="3">
        <v>-4.8560000000000001E-3</v>
      </c>
      <c r="C17" s="3">
        <v>9.0189999999999997E-4</v>
      </c>
      <c r="D17" s="3">
        <v>3.565E-3</v>
      </c>
      <c r="E17" s="3">
        <v>0</v>
      </c>
      <c r="F17" s="3">
        <v>0</v>
      </c>
      <c r="G17" s="3">
        <v>0</v>
      </c>
      <c r="H17" s="3">
        <v>2.0729638E-3</v>
      </c>
      <c r="I17" s="3">
        <v>1.4694721999999999E-4</v>
      </c>
      <c r="J17" s="3">
        <v>-2.6904975999999998E-3</v>
      </c>
      <c r="L17" s="3">
        <f t="shared" si="0"/>
        <v>1.3621318373071529</v>
      </c>
      <c r="M17" s="3"/>
      <c r="N17" s="2">
        <f>IF('Modell einstellen'!$B$1="Voll",H17/0.35,H17/0.35*2)</f>
        <v>5.922753714285715E-3</v>
      </c>
      <c r="O17" s="2">
        <f>IF('Modell einstellen'!$B$1="Voll",J17/0.35,J17/0.35*2)</f>
        <v>-7.6871359999999998E-3</v>
      </c>
      <c r="P17" s="3">
        <f t="shared" si="1"/>
        <v>0.77047598927425187</v>
      </c>
    </row>
    <row r="18" spans="1:16" x14ac:dyDescent="0.25">
      <c r="A18" s="3">
        <v>1</v>
      </c>
      <c r="B18" s="3">
        <v>-6.0870000000000004E-3</v>
      </c>
      <c r="C18" s="3">
        <v>1.3320000000000001E-3</v>
      </c>
      <c r="D18" s="3">
        <v>4.3709999999999999E-3</v>
      </c>
      <c r="E18" s="3">
        <v>0</v>
      </c>
      <c r="F18" s="3">
        <v>0</v>
      </c>
      <c r="G18" s="3">
        <v>0</v>
      </c>
      <c r="H18" s="3">
        <v>2.4025538999999999E-3</v>
      </c>
      <c r="I18" s="3">
        <v>2.2492629E-4</v>
      </c>
      <c r="J18" s="3">
        <v>-3.2945839000000001E-3</v>
      </c>
      <c r="L18" s="3">
        <f t="shared" si="0"/>
        <v>1.3925875085792727</v>
      </c>
      <c r="M18" s="3"/>
      <c r="N18" s="2">
        <f>IF('Modell einstellen'!$B$1="Voll",H18/0.35,H18/0.35*2)</f>
        <v>6.8644397142857147E-3</v>
      </c>
      <c r="O18" s="2">
        <f>IF('Modell einstellen'!$B$1="Voll",J18/0.35,J18/0.35*2)</f>
        <v>-9.4130968571428577E-3</v>
      </c>
      <c r="P18" s="3">
        <f t="shared" si="1"/>
        <v>0.72924350173628905</v>
      </c>
    </row>
    <row r="19" spans="1:16" x14ac:dyDescent="0.25">
      <c r="A19" s="3">
        <v>10</v>
      </c>
      <c r="B19" s="3">
        <v>-6.8910000000000004E-3</v>
      </c>
      <c r="C19" s="3">
        <v>1.817E-3</v>
      </c>
      <c r="D19" s="3">
        <v>4.6959999999999997E-3</v>
      </c>
      <c r="E19" s="3">
        <v>0</v>
      </c>
      <c r="F19" s="3">
        <v>0</v>
      </c>
      <c r="G19" s="3">
        <v>0</v>
      </c>
      <c r="H19" s="3">
        <v>2.5308065000000002E-3</v>
      </c>
      <c r="I19" s="3">
        <v>3.1424863999999998E-4</v>
      </c>
      <c r="J19" s="3">
        <v>-3.7400570000000002E-3</v>
      </c>
      <c r="L19" s="3">
        <f t="shared" si="0"/>
        <v>1.4674190800681433</v>
      </c>
      <c r="M19" s="3"/>
      <c r="N19" s="2">
        <f>IF('Modell einstellen'!$B$1="Voll",H19/0.35,H19/0.35*2)</f>
        <v>7.2308757142857151E-3</v>
      </c>
      <c r="O19" s="2">
        <f>IF('Modell einstellen'!$B$1="Voll",J19/0.35,J19/0.35*2)</f>
        <v>-1.0685877142857144E-2</v>
      </c>
      <c r="P19" s="3">
        <f t="shared" si="1"/>
        <v>0.6766759169713189</v>
      </c>
    </row>
    <row r="20" spans="1:16" x14ac:dyDescent="0.25">
      <c r="A20" s="3">
        <v>100</v>
      </c>
      <c r="B20" s="3">
        <v>-7.4910000000000003E-3</v>
      </c>
      <c r="C20" s="3">
        <v>2.2680000000000001E-3</v>
      </c>
      <c r="D20" s="3">
        <v>4.8510000000000003E-3</v>
      </c>
      <c r="E20" s="3">
        <v>0</v>
      </c>
      <c r="F20" s="3">
        <v>0</v>
      </c>
      <c r="G20" s="3">
        <v>0</v>
      </c>
      <c r="H20" s="3">
        <v>2.5887545000000001E-3</v>
      </c>
      <c r="I20" s="3">
        <v>3.9879359000000002E-4</v>
      </c>
      <c r="J20" s="3">
        <v>-4.0990152000000002E-3</v>
      </c>
      <c r="L20" s="3">
        <f t="shared" si="0"/>
        <v>1.5442176870748299</v>
      </c>
      <c r="M20" s="3"/>
      <c r="N20" s="2">
        <f>IF('Modell einstellen'!$B$1="Voll",H20/0.35,H20/0.35*2)</f>
        <v>7.3964414285714293E-3</v>
      </c>
      <c r="O20" s="2">
        <f>IF('Modell einstellen'!$B$1="Voll",J20/0.35,J20/0.35*2)</f>
        <v>-1.1711472000000001E-2</v>
      </c>
      <c r="P20" s="3">
        <f t="shared" si="1"/>
        <v>0.63155523307159245</v>
      </c>
    </row>
    <row r="21" spans="1:16" x14ac:dyDescent="0.25">
      <c r="A21" s="3">
        <v>1000</v>
      </c>
      <c r="B21" s="3">
        <v>-7.8770000000000003E-3</v>
      </c>
      <c r="C21" s="3">
        <v>2.6459999999999999E-3</v>
      </c>
      <c r="D21" s="3">
        <v>4.8630000000000001E-3</v>
      </c>
      <c r="E21" s="3">
        <v>0</v>
      </c>
      <c r="F21" s="3">
        <v>0</v>
      </c>
      <c r="G21" s="3">
        <v>0</v>
      </c>
      <c r="H21" s="3">
        <v>2.5985517E-3</v>
      </c>
      <c r="I21" s="3">
        <v>4.7030976000000003E-4</v>
      </c>
      <c r="J21" s="3">
        <v>-4.3639413999999998E-3</v>
      </c>
      <c r="L21" s="3">
        <f t="shared" si="0"/>
        <v>1.6197820275550072</v>
      </c>
      <c r="M21" s="3"/>
      <c r="N21" s="2">
        <f>IF('Modell einstellen'!$B$1="Voll",H21/0.35,H21/0.35*2)</f>
        <v>7.4244334285714286E-3</v>
      </c>
      <c r="O21" s="2">
        <f>IF('Modell einstellen'!$B$1="Voll",J21/0.35,J21/0.35*2)</f>
        <v>-1.2468404000000001E-2</v>
      </c>
      <c r="P21" s="3">
        <f t="shared" si="1"/>
        <v>0.59545980612846905</v>
      </c>
    </row>
    <row r="22" spans="1:16" x14ac:dyDescent="0.25">
      <c r="A22" s="3">
        <v>10000</v>
      </c>
      <c r="B22" s="3">
        <v>-8.0590000000000002E-3</v>
      </c>
      <c r="C22" s="3">
        <v>2.9160000000000002E-3</v>
      </c>
      <c r="D22" s="3">
        <v>4.7790000000000003E-3</v>
      </c>
      <c r="E22" s="3">
        <v>0</v>
      </c>
      <c r="F22" s="3">
        <v>0</v>
      </c>
      <c r="G22" s="3">
        <v>0</v>
      </c>
      <c r="H22" s="3">
        <v>2.5808713999999999E-3</v>
      </c>
      <c r="I22" s="3">
        <v>5.2152087000000003E-4</v>
      </c>
      <c r="J22" s="3">
        <v>-4.5292114999999997E-3</v>
      </c>
      <c r="L22" s="3">
        <f t="shared" si="0"/>
        <v>1.6863360535676919</v>
      </c>
      <c r="M22" s="3"/>
      <c r="N22" s="2">
        <f>IF('Modell einstellen'!$B$1="Voll",H22/0.35,H22/0.35*2)</f>
        <v>7.3739182857142857E-3</v>
      </c>
      <c r="O22" s="2">
        <f>IF('Modell einstellen'!$B$1="Voll",J22/0.35,J22/0.35*2)</f>
        <v>-1.2940604285714285E-2</v>
      </c>
      <c r="P22" s="3">
        <f t="shared" si="1"/>
        <v>0.56982797116010153</v>
      </c>
    </row>
    <row r="23" spans="1:16" x14ac:dyDescent="0.25">
      <c r="A23" s="3">
        <v>100000</v>
      </c>
      <c r="B23" s="3">
        <v>-8.5699999999999995E-3</v>
      </c>
      <c r="C23" s="3">
        <v>3.1970000000000002E-3</v>
      </c>
      <c r="D23" s="3">
        <v>5.0109999999999998E-3</v>
      </c>
      <c r="E23" s="3">
        <v>0</v>
      </c>
      <c r="F23" s="3">
        <v>0</v>
      </c>
      <c r="G23" s="3">
        <v>0</v>
      </c>
      <c r="H23" s="3">
        <v>2.6960301999999999E-3</v>
      </c>
      <c r="I23" s="3">
        <v>5.7597154999999996E-4</v>
      </c>
      <c r="J23" s="3">
        <v>-4.8371845999999998E-3</v>
      </c>
      <c r="L23" s="3">
        <f t="shared" si="0"/>
        <v>1.7102374775493914</v>
      </c>
      <c r="M23" s="3"/>
      <c r="N23" s="2">
        <f>IF('Modell einstellen'!$B$1="Voll",H23/0.35,H23/0.35*2)</f>
        <v>7.7029434285714286E-3</v>
      </c>
      <c r="O23" s="2">
        <f>IF('Modell einstellen'!$B$1="Voll",J23/0.35,J23/0.35*2)</f>
        <v>-1.3820527428571429E-2</v>
      </c>
      <c r="P23" s="3">
        <f t="shared" si="1"/>
        <v>0.55735524337855535</v>
      </c>
    </row>
    <row r="24" spans="1:16" x14ac:dyDescent="0.25">
      <c r="A24" s="3">
        <v>1000000</v>
      </c>
      <c r="B24" s="3">
        <v>-8.7480000000000006E-3</v>
      </c>
      <c r="C24" s="3">
        <v>3.3709999999999999E-3</v>
      </c>
      <c r="D24" s="3">
        <v>5.0159999999999996E-3</v>
      </c>
      <c r="E24" s="3">
        <v>0</v>
      </c>
      <c r="F24" s="3">
        <v>0</v>
      </c>
      <c r="G24" s="3">
        <v>0</v>
      </c>
      <c r="H24" s="3">
        <v>2.7200343000000002E-3</v>
      </c>
      <c r="I24" s="3">
        <v>6.0966600999999999E-4</v>
      </c>
      <c r="J24" s="3">
        <v>-4.9810462999999999E-3</v>
      </c>
      <c r="L24" s="3">
        <f t="shared" si="0"/>
        <v>1.7440191387559811</v>
      </c>
      <c r="M24" s="3"/>
      <c r="N24" s="2">
        <f>IF('Modell einstellen'!$B$1="Voll",H24/0.35,H24/0.35*2)</f>
        <v>7.7715265714285728E-3</v>
      </c>
      <c r="O24" s="2">
        <f>IF('Modell einstellen'!$B$1="Voll",J24/0.35,J24/0.35*2)</f>
        <v>-1.4231560857142857E-2</v>
      </c>
      <c r="P24" s="3">
        <f t="shared" si="1"/>
        <v>0.54607689553096517</v>
      </c>
    </row>
    <row r="25" spans="1:16" x14ac:dyDescent="0.25">
      <c r="A25" s="3">
        <v>10000000</v>
      </c>
      <c r="B25" s="3">
        <v>-8.7340000000000004E-3</v>
      </c>
      <c r="C25" s="3">
        <v>3.4619999999999998E-3</v>
      </c>
      <c r="D25" s="3">
        <v>4.9129999999999998E-3</v>
      </c>
      <c r="E25" s="3">
        <v>0</v>
      </c>
      <c r="F25" s="3">
        <v>0</v>
      </c>
      <c r="G25" s="3">
        <v>0</v>
      </c>
      <c r="H25" s="3">
        <v>2.7030680999999999E-3</v>
      </c>
      <c r="I25" s="3">
        <v>6.2704215000000002E-4</v>
      </c>
      <c r="J25" s="3">
        <v>-5.0262761999999997E-3</v>
      </c>
      <c r="L25" s="3">
        <f t="shared" si="0"/>
        <v>1.7777325463057196</v>
      </c>
      <c r="M25" s="3"/>
      <c r="N25" s="2">
        <f>IF('Modell einstellen'!$B$1="Voll",H25/0.35,H25/0.35*2)</f>
        <v>7.7230517142857147E-3</v>
      </c>
      <c r="O25" s="2">
        <f>IF('Modell einstellen'!$B$1="Voll",J25/0.35,J25/0.35*2)</f>
        <v>-1.4360789142857143E-2</v>
      </c>
      <c r="P25" s="3">
        <f t="shared" si="1"/>
        <v>0.5377874180491713</v>
      </c>
    </row>
    <row r="26" spans="1:16" x14ac:dyDescent="0.25">
      <c r="A26" s="3">
        <v>100000000</v>
      </c>
      <c r="B26" s="3">
        <v>-8.737E-3</v>
      </c>
      <c r="C26" s="3">
        <v>3.4650000000000002E-3</v>
      </c>
      <c r="D26" s="3">
        <v>4.9129999999999998E-3</v>
      </c>
      <c r="E26" s="3">
        <v>0</v>
      </c>
      <c r="F26" s="3">
        <v>0</v>
      </c>
      <c r="G26" s="3">
        <v>0</v>
      </c>
      <c r="H26" s="3">
        <v>2.7041368000000001E-3</v>
      </c>
      <c r="I26" s="3">
        <v>6.2747862000000001E-4</v>
      </c>
      <c r="J26" s="3">
        <v>-5.0288891000000004E-3</v>
      </c>
      <c r="L26" s="3">
        <f t="shared" si="0"/>
        <v>1.778343171178506</v>
      </c>
      <c r="M26" s="3"/>
      <c r="N26" s="2">
        <f>IF('Modell einstellen'!$B$1="Voll",H26/0.35,H26/0.35*2)</f>
        <v>7.7261051428571433E-3</v>
      </c>
      <c r="O26" s="2">
        <f>IF('Modell einstellen'!$B$1="Voll",J26/0.35,J26/0.35*2)</f>
        <v>-1.4368254571428573E-2</v>
      </c>
      <c r="P26" s="3">
        <f t="shared" si="1"/>
        <v>0.53772050769622259</v>
      </c>
    </row>
    <row r="27" spans="1:16" x14ac:dyDescent="0.25">
      <c r="A27" s="3">
        <v>1000000000</v>
      </c>
      <c r="B27" s="3">
        <v>-8.7150000000000005E-3</v>
      </c>
      <c r="C27" s="3">
        <v>3.5079999999999998E-3</v>
      </c>
      <c r="D27" s="3">
        <v>4.849E-3</v>
      </c>
      <c r="E27" s="3">
        <v>0</v>
      </c>
      <c r="F27" s="3">
        <v>0</v>
      </c>
      <c r="G27" s="3">
        <v>0</v>
      </c>
      <c r="H27" s="3">
        <v>2.6948638999999999E-3</v>
      </c>
      <c r="I27" s="3">
        <v>6.3582470999999998E-4</v>
      </c>
      <c r="J27" s="3">
        <v>-5.0494804000000004E-3</v>
      </c>
      <c r="L27" s="3">
        <f t="shared" si="0"/>
        <v>1.7972777892348939</v>
      </c>
      <c r="M27" s="3"/>
      <c r="N27" s="2">
        <f>IF('Modell einstellen'!$B$1="Voll",H27/0.35,H27/0.35*2)</f>
        <v>7.6996111428571431E-3</v>
      </c>
      <c r="O27" s="2">
        <f>IF('Modell einstellen'!$B$1="Voll",J27/0.35,J27/0.35*2)</f>
        <v>-1.4427086857142859E-2</v>
      </c>
      <c r="P27" s="3">
        <f t="shared" si="1"/>
        <v>0.53369132792356211</v>
      </c>
    </row>
    <row r="28" spans="1:16" x14ac:dyDescent="0.25">
      <c r="A28" s="3">
        <v>10000000000</v>
      </c>
      <c r="B28" s="3">
        <v>-8.6820000000000005E-3</v>
      </c>
      <c r="C28" s="3">
        <v>3.5400000000000002E-3</v>
      </c>
      <c r="D28" s="3">
        <v>4.7850000000000002E-3</v>
      </c>
      <c r="E28" s="3">
        <v>0</v>
      </c>
      <c r="F28" s="3">
        <v>0</v>
      </c>
      <c r="G28" s="3">
        <v>0</v>
      </c>
      <c r="H28" s="3">
        <v>2.6904361000000001E-3</v>
      </c>
      <c r="I28" s="3">
        <v>6.4180674000000005E-4</v>
      </c>
      <c r="J28" s="3">
        <v>-5.0664411000000001E-3</v>
      </c>
      <c r="L28" s="3">
        <f t="shared" si="0"/>
        <v>1.8144200626959248</v>
      </c>
      <c r="M28" s="3"/>
      <c r="N28" s="2">
        <f>IF('Modell einstellen'!$B$1="Voll",H28/0.35,H28/0.35*2)</f>
        <v>7.6869602857142861E-3</v>
      </c>
      <c r="O28" s="2">
        <f>IF('Modell einstellen'!$B$1="Voll",J28/0.35,J28/0.35*2)</f>
        <v>-1.4475546000000001E-2</v>
      </c>
      <c r="P28" s="3">
        <f t="shared" si="1"/>
        <v>0.53103076634997293</v>
      </c>
    </row>
    <row r="29" spans="1:16" x14ac:dyDescent="0.25">
      <c r="A29" s="3">
        <v>100000000000</v>
      </c>
      <c r="B29" s="3">
        <v>-8.6829999999999997E-3</v>
      </c>
      <c r="C29" s="3">
        <v>3.5409999999999999E-3</v>
      </c>
      <c r="D29" s="3">
        <v>4.7840000000000001E-3</v>
      </c>
      <c r="E29" s="3">
        <v>0</v>
      </c>
      <c r="F29" s="3">
        <v>0</v>
      </c>
      <c r="G29" s="3">
        <v>0</v>
      </c>
      <c r="H29" s="3">
        <v>2.6919496000000001E-3</v>
      </c>
      <c r="I29" s="3">
        <v>6.4207190999999997E-4</v>
      </c>
      <c r="J29" s="3">
        <v>-5.0688816000000001E-3</v>
      </c>
      <c r="L29" s="3">
        <f t="shared" si="0"/>
        <v>1.8150083612040133</v>
      </c>
      <c r="M29" s="3"/>
      <c r="N29" s="2">
        <f>IF('Modell einstellen'!$B$1="Voll",H29/0.35,H29/0.35*2)</f>
        <v>7.6912845714285725E-3</v>
      </c>
      <c r="O29" s="2">
        <f>IF('Modell einstellen'!$B$1="Voll",J29/0.35,J29/0.35*2)</f>
        <v>-1.4482518857142858E-2</v>
      </c>
      <c r="P29" s="3">
        <f t="shared" si="1"/>
        <v>0.53107367905377789</v>
      </c>
    </row>
    <row r="30" spans="1:16" x14ac:dyDescent="0.25">
      <c r="A30" s="3">
        <v>1000000000000</v>
      </c>
      <c r="B30" s="3">
        <v>-8.6840000000000007E-3</v>
      </c>
      <c r="C30" s="3">
        <v>3.542E-3</v>
      </c>
      <c r="D30" s="3">
        <v>4.7850000000000002E-3</v>
      </c>
      <c r="E30" s="3">
        <v>0</v>
      </c>
      <c r="F30" s="3">
        <v>0</v>
      </c>
      <c r="G30" s="3">
        <v>0</v>
      </c>
      <c r="H30" s="3">
        <v>2.6935068999999999E-3</v>
      </c>
      <c r="I30" s="3">
        <v>6.4226617999999999E-4</v>
      </c>
      <c r="J30" s="3">
        <v>-5.0711113000000002E-3</v>
      </c>
      <c r="L30" s="3">
        <f t="shared" si="0"/>
        <v>1.8148380355276907</v>
      </c>
      <c r="M30" s="3"/>
      <c r="N30" s="2">
        <f>IF('Modell einstellen'!$B$1="Voll",H30/0.35,H30/0.35*2)</f>
        <v>7.6957340000000001E-3</v>
      </c>
      <c r="O30" s="2">
        <f>IF('Modell einstellen'!$B$1="Voll",J30/0.35,J30/0.35*2)</f>
        <v>-1.448888942857143E-2</v>
      </c>
      <c r="P30" s="3">
        <f t="shared" si="1"/>
        <v>0.53114726549188529</v>
      </c>
    </row>
    <row r="31" spans="1:16" x14ac:dyDescent="0.25">
      <c r="A31" s="3">
        <v>10000000000000</v>
      </c>
      <c r="B31" s="3">
        <v>-8.685E-3</v>
      </c>
      <c r="C31" s="3">
        <v>3.5430000000000001E-3</v>
      </c>
      <c r="D31" s="3">
        <v>4.7850000000000002E-3</v>
      </c>
      <c r="E31" s="3">
        <v>0</v>
      </c>
      <c r="F31" s="3">
        <v>0</v>
      </c>
      <c r="G31" s="3">
        <v>0</v>
      </c>
      <c r="H31" s="3">
        <v>2.6948101999999998E-3</v>
      </c>
      <c r="I31" s="3">
        <v>6.4243749000000004E-4</v>
      </c>
      <c r="J31" s="3">
        <v>-5.0730087999999998E-3</v>
      </c>
      <c r="L31" s="3">
        <f t="shared" si="0"/>
        <v>1.8150470219435737</v>
      </c>
      <c r="M31" s="3"/>
      <c r="N31" s="2">
        <f>IF('Modell einstellen'!$B$1="Voll",H31/0.35,H31/0.35*2)</f>
        <v>7.6994577142857146E-3</v>
      </c>
      <c r="O31" s="2">
        <f>IF('Modell einstellen'!$B$1="Voll",J31/0.35,J31/0.35*2)</f>
        <v>-1.4494310857142858E-2</v>
      </c>
      <c r="P31" s="3">
        <f t="shared" si="1"/>
        <v>0.53120550470955219</v>
      </c>
    </row>
    <row r="32" spans="1:16" x14ac:dyDescent="0.25">
      <c r="A32" s="3">
        <v>100000000000000</v>
      </c>
      <c r="B32" s="3">
        <v>-8.6829999999999997E-3</v>
      </c>
      <c r="C32" s="3">
        <v>3.5439999999999998E-3</v>
      </c>
      <c r="D32" s="3">
        <v>4.7819999999999998E-3</v>
      </c>
      <c r="E32" s="3">
        <v>0</v>
      </c>
      <c r="F32" s="3">
        <v>0</v>
      </c>
      <c r="G32" s="3">
        <v>0</v>
      </c>
      <c r="H32" s="3">
        <v>2.6950012999999999E-3</v>
      </c>
      <c r="I32" s="3">
        <v>6.4259283999999999E-4</v>
      </c>
      <c r="J32" s="3">
        <v>-5.0737515000000002E-3</v>
      </c>
      <c r="L32" s="3">
        <f t="shared" si="0"/>
        <v>1.8157674613132582</v>
      </c>
      <c r="M32" s="3"/>
      <c r="N32" s="2">
        <f>IF('Modell einstellen'!$B$1="Voll",H32/0.35,H32/0.35*2)</f>
        <v>7.7000037142857143E-3</v>
      </c>
      <c r="O32" s="2">
        <f>IF('Modell einstellen'!$B$1="Voll",J32/0.35,J32/0.35*2)</f>
        <v>-1.4496432857142858E-2</v>
      </c>
      <c r="P32" s="3">
        <f t="shared" si="1"/>
        <v>0.53116541084047963</v>
      </c>
    </row>
    <row r="33" spans="1:16" x14ac:dyDescent="0.25">
      <c r="A33" s="3">
        <v>1000000000000000</v>
      </c>
      <c r="B33" s="3">
        <v>-8.6800000000000002E-3</v>
      </c>
      <c r="C33" s="3">
        <v>3.5439999999999998E-3</v>
      </c>
      <c r="D33" s="3">
        <v>4.7790000000000003E-3</v>
      </c>
      <c r="E33" s="3">
        <v>0</v>
      </c>
      <c r="F33" s="3">
        <v>0</v>
      </c>
      <c r="G33" s="3">
        <v>0</v>
      </c>
      <c r="H33" s="3">
        <v>2.6949926E-3</v>
      </c>
      <c r="I33" s="3">
        <v>6.4273631000000004E-4</v>
      </c>
      <c r="J33" s="3">
        <v>-5.0742547000000001E-3</v>
      </c>
      <c r="L33" s="3">
        <f t="shared" si="0"/>
        <v>1.8162795563925507</v>
      </c>
      <c r="M33" s="3"/>
      <c r="N33" s="2">
        <f>IF('Modell einstellen'!$B$1="Voll",H33/0.35,H33/0.35*2)</f>
        <v>7.6999788571428572E-3</v>
      </c>
      <c r="O33" s="2">
        <f>IF('Modell einstellen'!$B$1="Voll",J33/0.35,J33/0.35*2)</f>
        <v>-1.4497870571428572E-2</v>
      </c>
      <c r="P33" s="3">
        <f t="shared" si="1"/>
        <v>0.53111102207778416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2022-01-17T08:02:01Z</dcterms:modified>
</cp:coreProperties>
</file>